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1075" windowHeight="10005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InventTrans!$A$1:$N$49</definedName>
    <definedName name="AtlasReport_2" localSheetId="5">TPPTrans!$A$1:$Q$126</definedName>
    <definedName name="AtlasReport_3" localSheetId="6">InventSum!$A$1:$H$298</definedName>
    <definedName name="AtlasReport_4" localSheetId="7">TPPSum!$A$1:$M$103</definedName>
    <definedName name="AtlasReport_5" localSheetId="8">InventTable!$A$1:$O$140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I48" i="2"/>
  <c r="D297" i="4"/>
  <c r="M125" i="3"/>
  <c r="K125" i="3"/>
  <c r="J125" i="3"/>
  <c r="H125" i="3"/>
  <c r="Q125" i="3"/>
  <c r="E102" i="5"/>
  <c r="D102" i="5"/>
  <c r="L21" i="2"/>
  <c r="L22" i="2"/>
  <c r="M22" i="2" s="1"/>
  <c r="N21" i="2"/>
  <c r="L19" i="2"/>
  <c r="L23" i="2"/>
  <c r="N22" i="2"/>
  <c r="M21" i="2"/>
  <c r="L20" i="2"/>
  <c r="L24" i="2"/>
  <c r="F4" i="4"/>
  <c r="F8" i="4"/>
  <c r="F12" i="4"/>
  <c r="F16" i="4"/>
  <c r="F20" i="4"/>
  <c r="F24" i="4"/>
  <c r="F28" i="4"/>
  <c r="F32" i="4"/>
  <c r="F36" i="4"/>
  <c r="F40" i="4"/>
  <c r="F44" i="4"/>
  <c r="F48" i="4"/>
  <c r="F52" i="4"/>
  <c r="F56" i="4"/>
  <c r="F60" i="4"/>
  <c r="F64" i="4"/>
  <c r="F68" i="4"/>
  <c r="F72" i="4"/>
  <c r="F76" i="4"/>
  <c r="F80" i="4"/>
  <c r="F84" i="4"/>
  <c r="F88" i="4"/>
  <c r="F92" i="4"/>
  <c r="F96" i="4"/>
  <c r="F100" i="4"/>
  <c r="F104" i="4"/>
  <c r="F108" i="4"/>
  <c r="F112" i="4"/>
  <c r="F116" i="4"/>
  <c r="F120" i="4"/>
  <c r="F124" i="4"/>
  <c r="F128" i="4"/>
  <c r="F132" i="4"/>
  <c r="F136" i="4"/>
  <c r="F140" i="4"/>
  <c r="F144" i="4"/>
  <c r="F148" i="4"/>
  <c r="F152" i="4"/>
  <c r="F156" i="4"/>
  <c r="F160" i="4"/>
  <c r="F164" i="4"/>
  <c r="F168" i="4"/>
  <c r="F172" i="4"/>
  <c r="F176" i="4"/>
  <c r="F180" i="4"/>
  <c r="F184" i="4"/>
  <c r="F188" i="4"/>
  <c r="F192" i="4"/>
  <c r="F196" i="4"/>
  <c r="F200" i="4"/>
  <c r="F204" i="4"/>
  <c r="F208" i="4"/>
  <c r="F212" i="4"/>
  <c r="F216" i="4"/>
  <c r="F220" i="4"/>
  <c r="F224" i="4"/>
  <c r="F228" i="4"/>
  <c r="F232" i="4"/>
  <c r="F5" i="4"/>
  <c r="F9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F77" i="4"/>
  <c r="F81" i="4"/>
  <c r="F85" i="4"/>
  <c r="F89" i="4"/>
  <c r="F93" i="4"/>
  <c r="F97" i="4"/>
  <c r="F101" i="4"/>
  <c r="F105" i="4"/>
  <c r="F109" i="4"/>
  <c r="F113" i="4"/>
  <c r="F117" i="4"/>
  <c r="F121" i="4"/>
  <c r="F125" i="4"/>
  <c r="F129" i="4"/>
  <c r="F133" i="4"/>
  <c r="F137" i="4"/>
  <c r="F141" i="4"/>
  <c r="F145" i="4"/>
  <c r="F149" i="4"/>
  <c r="F153" i="4"/>
  <c r="F157" i="4"/>
  <c r="F161" i="4"/>
  <c r="F165" i="4"/>
  <c r="F169" i="4"/>
  <c r="F173" i="4"/>
  <c r="F177" i="4"/>
  <c r="F181" i="4"/>
  <c r="F185" i="4"/>
  <c r="F189" i="4"/>
  <c r="F193" i="4"/>
  <c r="F197" i="4"/>
  <c r="F201" i="4"/>
  <c r="F205" i="4"/>
  <c r="F209" i="4"/>
  <c r="F213" i="4"/>
  <c r="F217" i="4"/>
  <c r="F221" i="4"/>
  <c r="F225" i="4"/>
  <c r="F229" i="4"/>
  <c r="F233" i="4"/>
  <c r="F237" i="4"/>
  <c r="F241" i="4"/>
  <c r="F3" i="4"/>
  <c r="F7" i="4"/>
  <c r="F11" i="4"/>
  <c r="F15" i="4"/>
  <c r="F19" i="4"/>
  <c r="F23" i="4"/>
  <c r="F27" i="4"/>
  <c r="F31" i="4"/>
  <c r="F35" i="4"/>
  <c r="F39" i="4"/>
  <c r="F43" i="4"/>
  <c r="F47" i="4"/>
  <c r="F51" i="4"/>
  <c r="F55" i="4"/>
  <c r="F59" i="4"/>
  <c r="F63" i="4"/>
  <c r="F67" i="4"/>
  <c r="F71" i="4"/>
  <c r="F75" i="4"/>
  <c r="F79" i="4"/>
  <c r="F83" i="4"/>
  <c r="F87" i="4"/>
  <c r="F91" i="4"/>
  <c r="F95" i="4"/>
  <c r="F99" i="4"/>
  <c r="F103" i="4"/>
  <c r="F107" i="4"/>
  <c r="F111" i="4"/>
  <c r="F115" i="4"/>
  <c r="F119" i="4"/>
  <c r="F123" i="4"/>
  <c r="F127" i="4"/>
  <c r="F131" i="4"/>
  <c r="F135" i="4"/>
  <c r="F139" i="4"/>
  <c r="F143" i="4"/>
  <c r="F147" i="4"/>
  <c r="F151" i="4"/>
  <c r="F155" i="4"/>
  <c r="F159" i="4"/>
  <c r="F163" i="4"/>
  <c r="F167" i="4"/>
  <c r="F171" i="4"/>
  <c r="F175" i="4"/>
  <c r="F179" i="4"/>
  <c r="F183" i="4"/>
  <c r="F187" i="4"/>
  <c r="F191" i="4"/>
  <c r="F195" i="4"/>
  <c r="F199" i="4"/>
  <c r="F203" i="4"/>
  <c r="F207" i="4"/>
  <c r="F211" i="4"/>
  <c r="F215" i="4"/>
  <c r="F219" i="4"/>
  <c r="F223" i="4"/>
  <c r="F227" i="4"/>
  <c r="F231" i="4"/>
  <c r="F235" i="4"/>
  <c r="F14" i="4"/>
  <c r="F30" i="4"/>
  <c r="F46" i="4"/>
  <c r="F62" i="4"/>
  <c r="F78" i="4"/>
  <c r="F94" i="4"/>
  <c r="F110" i="4"/>
  <c r="F126" i="4"/>
  <c r="F142" i="4"/>
  <c r="F158" i="4"/>
  <c r="F174" i="4"/>
  <c r="F190" i="4"/>
  <c r="F206" i="4"/>
  <c r="F222" i="4"/>
  <c r="F236" i="4"/>
  <c r="F242" i="4"/>
  <c r="F246" i="4"/>
  <c r="F250" i="4"/>
  <c r="F254" i="4"/>
  <c r="F258" i="4"/>
  <c r="F262" i="4"/>
  <c r="F266" i="4"/>
  <c r="F270" i="4"/>
  <c r="F274" i="4"/>
  <c r="F278" i="4"/>
  <c r="F282" i="4"/>
  <c r="F286" i="4"/>
  <c r="F290" i="4"/>
  <c r="F294" i="4"/>
  <c r="E4" i="4"/>
  <c r="E8" i="4"/>
  <c r="E12" i="4"/>
  <c r="E16" i="4"/>
  <c r="E20" i="4"/>
  <c r="E24" i="4"/>
  <c r="E28" i="4"/>
  <c r="E32" i="4"/>
  <c r="E36" i="4"/>
  <c r="E40" i="4"/>
  <c r="E44" i="4"/>
  <c r="E48" i="4"/>
  <c r="E52" i="4"/>
  <c r="E56" i="4"/>
  <c r="E60" i="4"/>
  <c r="E64" i="4"/>
  <c r="E68" i="4"/>
  <c r="E72" i="4"/>
  <c r="E76" i="4"/>
  <c r="E80" i="4"/>
  <c r="E84" i="4"/>
  <c r="E88" i="4"/>
  <c r="E92" i="4"/>
  <c r="E96" i="4"/>
  <c r="E100" i="4"/>
  <c r="E104" i="4"/>
  <c r="E108" i="4"/>
  <c r="E112" i="4"/>
  <c r="E116" i="4"/>
  <c r="E120" i="4"/>
  <c r="E124" i="4"/>
  <c r="E128" i="4"/>
  <c r="E132" i="4"/>
  <c r="E136" i="4"/>
  <c r="E140" i="4"/>
  <c r="E144" i="4"/>
  <c r="E148" i="4"/>
  <c r="E152" i="4"/>
  <c r="E156" i="4"/>
  <c r="E160" i="4"/>
  <c r="E164" i="4"/>
  <c r="E168" i="4"/>
  <c r="E172" i="4"/>
  <c r="E176" i="4"/>
  <c r="E180" i="4"/>
  <c r="E184" i="4"/>
  <c r="E188" i="4"/>
  <c r="E192" i="4"/>
  <c r="E196" i="4"/>
  <c r="E200" i="4"/>
  <c r="E204" i="4"/>
  <c r="E208" i="4"/>
  <c r="E212" i="4"/>
  <c r="E216" i="4"/>
  <c r="E220" i="4"/>
  <c r="E224" i="4"/>
  <c r="E228" i="4"/>
  <c r="E232" i="4"/>
  <c r="E236" i="4"/>
  <c r="E240" i="4"/>
  <c r="E244" i="4"/>
  <c r="E248" i="4"/>
  <c r="E252" i="4"/>
  <c r="E256" i="4"/>
  <c r="E260" i="4"/>
  <c r="E264" i="4"/>
  <c r="E268" i="4"/>
  <c r="E272" i="4"/>
  <c r="E276" i="4"/>
  <c r="E280" i="4"/>
  <c r="E284" i="4"/>
  <c r="E288" i="4"/>
  <c r="E292" i="4"/>
  <c r="E296" i="4"/>
  <c r="F18" i="4"/>
  <c r="F34" i="4"/>
  <c r="F50" i="4"/>
  <c r="F66" i="4"/>
  <c r="F82" i="4"/>
  <c r="F98" i="4"/>
  <c r="F114" i="4"/>
  <c r="F130" i="4"/>
  <c r="F146" i="4"/>
  <c r="F162" i="4"/>
  <c r="F178" i="4"/>
  <c r="F194" i="4"/>
  <c r="F210" i="4"/>
  <c r="F226" i="4"/>
  <c r="F238" i="4"/>
  <c r="F243" i="4"/>
  <c r="F247" i="4"/>
  <c r="F251" i="4"/>
  <c r="F255" i="4"/>
  <c r="F259" i="4"/>
  <c r="F263" i="4"/>
  <c r="F267" i="4"/>
  <c r="F271" i="4"/>
  <c r="F275" i="4"/>
  <c r="F279" i="4"/>
  <c r="F283" i="4"/>
  <c r="F287" i="4"/>
  <c r="F291" i="4"/>
  <c r="F295" i="4"/>
  <c r="E5" i="4"/>
  <c r="E9" i="4"/>
  <c r="E13" i="4"/>
  <c r="E17" i="4"/>
  <c r="E21" i="4"/>
  <c r="E25" i="4"/>
  <c r="E29" i="4"/>
  <c r="E33" i="4"/>
  <c r="E37" i="4"/>
  <c r="E41" i="4"/>
  <c r="E45" i="4"/>
  <c r="E49" i="4"/>
  <c r="E53" i="4"/>
  <c r="E57" i="4"/>
  <c r="E61" i="4"/>
  <c r="E65" i="4"/>
  <c r="E69" i="4"/>
  <c r="E73" i="4"/>
  <c r="E77" i="4"/>
  <c r="E81" i="4"/>
  <c r="E85" i="4"/>
  <c r="E89" i="4"/>
  <c r="E93" i="4"/>
  <c r="E97" i="4"/>
  <c r="E101" i="4"/>
  <c r="E105" i="4"/>
  <c r="E109" i="4"/>
  <c r="E113" i="4"/>
  <c r="E117" i="4"/>
  <c r="E121" i="4"/>
  <c r="E125" i="4"/>
  <c r="E129" i="4"/>
  <c r="E133" i="4"/>
  <c r="E137" i="4"/>
  <c r="E141" i="4"/>
  <c r="E145" i="4"/>
  <c r="E149" i="4"/>
  <c r="E153" i="4"/>
  <c r="E157" i="4"/>
  <c r="E161" i="4"/>
  <c r="E165" i="4"/>
  <c r="E169" i="4"/>
  <c r="E173" i="4"/>
  <c r="E177" i="4"/>
  <c r="E181" i="4"/>
  <c r="E185" i="4"/>
  <c r="E189" i="4"/>
  <c r="E193" i="4"/>
  <c r="E197" i="4"/>
  <c r="E201" i="4"/>
  <c r="E205" i="4"/>
  <c r="E209" i="4"/>
  <c r="E213" i="4"/>
  <c r="E217" i="4"/>
  <c r="E221" i="4"/>
  <c r="E225" i="4"/>
  <c r="E229" i="4"/>
  <c r="E233" i="4"/>
  <c r="E237" i="4"/>
  <c r="E241" i="4"/>
  <c r="E245" i="4"/>
  <c r="E249" i="4"/>
  <c r="E253" i="4"/>
  <c r="E257" i="4"/>
  <c r="E261" i="4"/>
  <c r="E265" i="4"/>
  <c r="E269" i="4"/>
  <c r="E273" i="4"/>
  <c r="E277" i="4"/>
  <c r="E281" i="4"/>
  <c r="E285" i="4"/>
  <c r="E289" i="4"/>
  <c r="E293" i="4"/>
  <c r="F10" i="4"/>
  <c r="F26" i="4"/>
  <c r="F42" i="4"/>
  <c r="F58" i="4"/>
  <c r="F74" i="4"/>
  <c r="F90" i="4"/>
  <c r="F106" i="4"/>
  <c r="F122" i="4"/>
  <c r="F138" i="4"/>
  <c r="F154" i="4"/>
  <c r="F170" i="4"/>
  <c r="F186" i="4"/>
  <c r="F202" i="4"/>
  <c r="F218" i="4"/>
  <c r="F234" i="4"/>
  <c r="F240" i="4"/>
  <c r="F245" i="4"/>
  <c r="F249" i="4"/>
  <c r="F253" i="4"/>
  <c r="F257" i="4"/>
  <c r="F261" i="4"/>
  <c r="F265" i="4"/>
  <c r="F269" i="4"/>
  <c r="F273" i="4"/>
  <c r="F277" i="4"/>
  <c r="F281" i="4"/>
  <c r="F285" i="4"/>
  <c r="F289" i="4"/>
  <c r="F293" i="4"/>
  <c r="E3" i="4"/>
  <c r="E7" i="4"/>
  <c r="E11" i="4"/>
  <c r="E15" i="4"/>
  <c r="E19" i="4"/>
  <c r="E23" i="4"/>
  <c r="E27" i="4"/>
  <c r="E31" i="4"/>
  <c r="E35" i="4"/>
  <c r="E39" i="4"/>
  <c r="E43" i="4"/>
  <c r="E47" i="4"/>
  <c r="E51" i="4"/>
  <c r="E55" i="4"/>
  <c r="E59" i="4"/>
  <c r="E63" i="4"/>
  <c r="E67" i="4"/>
  <c r="E71" i="4"/>
  <c r="E75" i="4"/>
  <c r="E79" i="4"/>
  <c r="E83" i="4"/>
  <c r="E87" i="4"/>
  <c r="E91" i="4"/>
  <c r="E95" i="4"/>
  <c r="E99" i="4"/>
  <c r="E103" i="4"/>
  <c r="E107" i="4"/>
  <c r="E111" i="4"/>
  <c r="E115" i="4"/>
  <c r="E119" i="4"/>
  <c r="E123" i="4"/>
  <c r="E127" i="4"/>
  <c r="E131" i="4"/>
  <c r="E135" i="4"/>
  <c r="E139" i="4"/>
  <c r="E143" i="4"/>
  <c r="E147" i="4"/>
  <c r="E151" i="4"/>
  <c r="E155" i="4"/>
  <c r="E159" i="4"/>
  <c r="E163" i="4"/>
  <c r="E167" i="4"/>
  <c r="E171" i="4"/>
  <c r="E175" i="4"/>
  <c r="E179" i="4"/>
  <c r="E183" i="4"/>
  <c r="E187" i="4"/>
  <c r="E191" i="4"/>
  <c r="E195" i="4"/>
  <c r="E199" i="4"/>
  <c r="E203" i="4"/>
  <c r="E207" i="4"/>
  <c r="E211" i="4"/>
  <c r="E215" i="4"/>
  <c r="E219" i="4"/>
  <c r="E223" i="4"/>
  <c r="E227" i="4"/>
  <c r="E231" i="4"/>
  <c r="E235" i="4"/>
  <c r="E239" i="4"/>
  <c r="E243" i="4"/>
  <c r="E247" i="4"/>
  <c r="E251" i="4"/>
  <c r="E255" i="4"/>
  <c r="E259" i="4"/>
  <c r="E263" i="4"/>
  <c r="E267" i="4"/>
  <c r="E271" i="4"/>
  <c r="E275" i="4"/>
  <c r="E279" i="4"/>
  <c r="E283" i="4"/>
  <c r="E287" i="4"/>
  <c r="E291" i="4"/>
  <c r="E295" i="4"/>
  <c r="F54" i="4"/>
  <c r="F118" i="4"/>
  <c r="F182" i="4"/>
  <c r="F239" i="4"/>
  <c r="F256" i="4"/>
  <c r="F272" i="4"/>
  <c r="F288" i="4"/>
  <c r="E10" i="4"/>
  <c r="E26" i="4"/>
  <c r="E42" i="4"/>
  <c r="E58" i="4"/>
  <c r="E74" i="4"/>
  <c r="E90" i="4"/>
  <c r="E106" i="4"/>
  <c r="E122" i="4"/>
  <c r="E138" i="4"/>
  <c r="E154" i="4"/>
  <c r="E170" i="4"/>
  <c r="E186" i="4"/>
  <c r="E202" i="4"/>
  <c r="E218" i="4"/>
  <c r="E234" i="4"/>
  <c r="E250" i="4"/>
  <c r="E266" i="4"/>
  <c r="E282" i="4"/>
  <c r="E222" i="4"/>
  <c r="E254" i="4"/>
  <c r="E286" i="4"/>
  <c r="F102" i="4"/>
  <c r="F252" i="4"/>
  <c r="E22" i="4"/>
  <c r="E54" i="4"/>
  <c r="E102" i="4"/>
  <c r="E150" i="4"/>
  <c r="E198" i="4"/>
  <c r="E246" i="4"/>
  <c r="E278" i="4"/>
  <c r="F6" i="4"/>
  <c r="F70" i="4"/>
  <c r="F134" i="4"/>
  <c r="F198" i="4"/>
  <c r="F244" i="4"/>
  <c r="F260" i="4"/>
  <c r="F276" i="4"/>
  <c r="F292" i="4"/>
  <c r="E14" i="4"/>
  <c r="E30" i="4"/>
  <c r="E46" i="4"/>
  <c r="E62" i="4"/>
  <c r="E78" i="4"/>
  <c r="E94" i="4"/>
  <c r="E110" i="4"/>
  <c r="E126" i="4"/>
  <c r="E142" i="4"/>
  <c r="E158" i="4"/>
  <c r="E174" i="4"/>
  <c r="E190" i="4"/>
  <c r="E206" i="4"/>
  <c r="E238" i="4"/>
  <c r="E270" i="4"/>
  <c r="F166" i="4"/>
  <c r="F230" i="4"/>
  <c r="F284" i="4"/>
  <c r="E38" i="4"/>
  <c r="E86" i="4"/>
  <c r="E134" i="4"/>
  <c r="E182" i="4"/>
  <c r="E230" i="4"/>
  <c r="E294" i="4"/>
  <c r="F22" i="4"/>
  <c r="F86" i="4"/>
  <c r="F150" i="4"/>
  <c r="F214" i="4"/>
  <c r="F248" i="4"/>
  <c r="F264" i="4"/>
  <c r="F280" i="4"/>
  <c r="F296" i="4"/>
  <c r="E18" i="4"/>
  <c r="E34" i="4"/>
  <c r="E50" i="4"/>
  <c r="E66" i="4"/>
  <c r="E82" i="4"/>
  <c r="E98" i="4"/>
  <c r="E114" i="4"/>
  <c r="E130" i="4"/>
  <c r="E146" i="4"/>
  <c r="E162" i="4"/>
  <c r="E178" i="4"/>
  <c r="E194" i="4"/>
  <c r="E210" i="4"/>
  <c r="E226" i="4"/>
  <c r="E242" i="4"/>
  <c r="E258" i="4"/>
  <c r="E274" i="4"/>
  <c r="E290" i="4"/>
  <c r="F38" i="4"/>
  <c r="F268" i="4"/>
  <c r="E6" i="4"/>
  <c r="E70" i="4"/>
  <c r="E118" i="4"/>
  <c r="E166" i="4"/>
  <c r="E214" i="4"/>
  <c r="E262" i="4"/>
  <c r="J6" i="5"/>
  <c r="J10" i="5"/>
  <c r="J14" i="5"/>
  <c r="J18" i="5"/>
  <c r="J22" i="5"/>
  <c r="J26" i="5"/>
  <c r="J30" i="5"/>
  <c r="J34" i="5"/>
  <c r="J38" i="5"/>
  <c r="J42" i="5"/>
  <c r="J46" i="5"/>
  <c r="J50" i="5"/>
  <c r="J54" i="5"/>
  <c r="J58" i="5"/>
  <c r="J62" i="5"/>
  <c r="J66" i="5"/>
  <c r="J70" i="5"/>
  <c r="J74" i="5"/>
  <c r="J78" i="5"/>
  <c r="J82" i="5"/>
  <c r="J86" i="5"/>
  <c r="J90" i="5"/>
  <c r="J94" i="5"/>
  <c r="J98" i="5"/>
  <c r="J3" i="5"/>
  <c r="J7" i="5"/>
  <c r="J11" i="5"/>
  <c r="J15" i="5"/>
  <c r="J19" i="5"/>
  <c r="J23" i="5"/>
  <c r="J27" i="5"/>
  <c r="J31" i="5"/>
  <c r="J35" i="5"/>
  <c r="J39" i="5"/>
  <c r="J43" i="5"/>
  <c r="J47" i="5"/>
  <c r="J51" i="5"/>
  <c r="J55" i="5"/>
  <c r="J59" i="5"/>
  <c r="J63" i="5"/>
  <c r="J67" i="5"/>
  <c r="J71" i="5"/>
  <c r="J75" i="5"/>
  <c r="J79" i="5"/>
  <c r="J83" i="5"/>
  <c r="J87" i="5"/>
  <c r="J91" i="5"/>
  <c r="J95" i="5"/>
  <c r="J99" i="5"/>
  <c r="J5" i="5"/>
  <c r="J9" i="5"/>
  <c r="J13" i="5"/>
  <c r="J17" i="5"/>
  <c r="J21" i="5"/>
  <c r="J25" i="5"/>
  <c r="J29" i="5"/>
  <c r="J33" i="5"/>
  <c r="J37" i="5"/>
  <c r="J41" i="5"/>
  <c r="J45" i="5"/>
  <c r="J49" i="5"/>
  <c r="J53" i="5"/>
  <c r="J57" i="5"/>
  <c r="J61" i="5"/>
  <c r="J65" i="5"/>
  <c r="J69" i="5"/>
  <c r="J73" i="5"/>
  <c r="J77" i="5"/>
  <c r="J81" i="5"/>
  <c r="J85" i="5"/>
  <c r="J89" i="5"/>
  <c r="J93" i="5"/>
  <c r="J97" i="5"/>
  <c r="J101" i="5"/>
  <c r="J12" i="5"/>
  <c r="J28" i="5"/>
  <c r="J44" i="5"/>
  <c r="J60" i="5"/>
  <c r="J76" i="5"/>
  <c r="J92" i="5"/>
  <c r="J16" i="5"/>
  <c r="J32" i="5"/>
  <c r="J48" i="5"/>
  <c r="J64" i="5"/>
  <c r="J80" i="5"/>
  <c r="J96" i="5"/>
  <c r="J8" i="5"/>
  <c r="J24" i="5"/>
  <c r="J40" i="5"/>
  <c r="J56" i="5"/>
  <c r="J72" i="5"/>
  <c r="J88" i="5"/>
  <c r="J36" i="5"/>
  <c r="J100" i="5"/>
  <c r="F4" i="5"/>
  <c r="F8" i="5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J68" i="5"/>
  <c r="F14" i="5"/>
  <c r="F26" i="5"/>
  <c r="F38" i="5"/>
  <c r="F50" i="5"/>
  <c r="F62" i="5"/>
  <c r="F74" i="5"/>
  <c r="F82" i="5"/>
  <c r="F98" i="5"/>
  <c r="J52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J4" i="5"/>
  <c r="F6" i="5"/>
  <c r="F18" i="5"/>
  <c r="F30" i="5"/>
  <c r="F42" i="5"/>
  <c r="F54" i="5"/>
  <c r="F66" i="5"/>
  <c r="F78" i="5"/>
  <c r="F90" i="5"/>
  <c r="J20" i="5"/>
  <c r="J84" i="5"/>
  <c r="F3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F99" i="5"/>
  <c r="F10" i="5"/>
  <c r="F22" i="5"/>
  <c r="F34" i="5"/>
  <c r="F46" i="5"/>
  <c r="F58" i="5"/>
  <c r="F70" i="5"/>
  <c r="F86" i="5"/>
  <c r="F94" i="5"/>
  <c r="M19" i="2"/>
  <c r="N19" i="2"/>
  <c r="M23" i="2"/>
  <c r="N23" i="2"/>
  <c r="M20" i="2"/>
  <c r="N20" i="2"/>
  <c r="M24" i="2"/>
  <c r="N24" i="2"/>
  <c r="G262" i="4" l="1"/>
  <c r="G214" i="4"/>
  <c r="G166" i="4"/>
  <c r="G118" i="4"/>
  <c r="G70" i="4"/>
  <c r="G6" i="4"/>
  <c r="H268" i="4"/>
  <c r="H38" i="4"/>
  <c r="G290" i="4"/>
  <c r="G274" i="4"/>
  <c r="G258" i="4"/>
  <c r="G242" i="4"/>
  <c r="G226" i="4"/>
  <c r="G210" i="4"/>
  <c r="G194" i="4"/>
  <c r="G178" i="4"/>
  <c r="G162" i="4"/>
  <c r="G146" i="4"/>
  <c r="G130" i="4"/>
  <c r="G114" i="4"/>
  <c r="G98" i="4"/>
  <c r="G82" i="4"/>
  <c r="G66" i="4"/>
  <c r="G50" i="4"/>
  <c r="G34" i="4"/>
  <c r="G18" i="4"/>
  <c r="H296" i="4"/>
  <c r="H280" i="4"/>
  <c r="H264" i="4"/>
  <c r="H248" i="4"/>
  <c r="H214" i="4"/>
  <c r="H150" i="4"/>
  <c r="H86" i="4"/>
  <c r="H22" i="4"/>
  <c r="G294" i="4"/>
  <c r="G230" i="4"/>
  <c r="G182" i="4"/>
  <c r="G134" i="4"/>
  <c r="G86" i="4"/>
  <c r="G38" i="4"/>
  <c r="H284" i="4"/>
  <c r="H230" i="4"/>
  <c r="H166" i="4"/>
  <c r="G270" i="4"/>
  <c r="G238" i="4"/>
  <c r="G206" i="4"/>
  <c r="G190" i="4"/>
  <c r="G174" i="4"/>
  <c r="G158" i="4"/>
  <c r="G142" i="4"/>
  <c r="G126" i="4"/>
  <c r="G110" i="4"/>
  <c r="G94" i="4"/>
  <c r="G78" i="4"/>
  <c r="G62" i="4"/>
  <c r="G46" i="4"/>
  <c r="G30" i="4"/>
  <c r="G14" i="4"/>
  <c r="H292" i="4"/>
  <c r="H276" i="4"/>
  <c r="H260" i="4"/>
  <c r="H244" i="4"/>
  <c r="H198" i="4"/>
  <c r="H134" i="4"/>
  <c r="H70" i="4"/>
  <c r="H6" i="4"/>
  <c r="G278" i="4"/>
  <c r="G246" i="4"/>
  <c r="G198" i="4"/>
  <c r="G150" i="4"/>
  <c r="G102" i="4"/>
  <c r="G54" i="4"/>
  <c r="G22" i="4"/>
  <c r="H252" i="4"/>
  <c r="H102" i="4"/>
  <c r="G286" i="4"/>
  <c r="G254" i="4"/>
  <c r="G222" i="4"/>
  <c r="G282" i="4"/>
  <c r="G266" i="4"/>
  <c r="G250" i="4"/>
  <c r="G234" i="4"/>
  <c r="G218" i="4"/>
  <c r="G202" i="4"/>
  <c r="G186" i="4"/>
  <c r="G170" i="4"/>
  <c r="G154" i="4"/>
  <c r="G138" i="4"/>
  <c r="G122" i="4"/>
  <c r="G106" i="4"/>
  <c r="G90" i="4"/>
  <c r="G74" i="4"/>
  <c r="G58" i="4"/>
  <c r="G42" i="4"/>
  <c r="G26" i="4"/>
  <c r="G10" i="4"/>
  <c r="H288" i="4"/>
  <c r="H272" i="4"/>
  <c r="H256" i="4"/>
  <c r="H239" i="4"/>
  <c r="H182" i="4"/>
  <c r="H118" i="4"/>
  <c r="H54" i="4"/>
  <c r="G295" i="4"/>
  <c r="G291" i="4"/>
  <c r="G287" i="4"/>
  <c r="G283" i="4"/>
  <c r="G279" i="4"/>
  <c r="G275" i="4"/>
  <c r="G271" i="4"/>
  <c r="G267" i="4"/>
  <c r="G263" i="4"/>
  <c r="G259" i="4"/>
  <c r="G255" i="4"/>
  <c r="G251" i="4"/>
  <c r="G247" i="4"/>
  <c r="G243" i="4"/>
  <c r="G239" i="4"/>
  <c r="G235" i="4"/>
  <c r="G231" i="4"/>
  <c r="G227" i="4"/>
  <c r="G223" i="4"/>
  <c r="G219" i="4"/>
  <c r="G215" i="4"/>
  <c r="G211" i="4"/>
  <c r="G207" i="4"/>
  <c r="G203" i="4"/>
  <c r="G199" i="4"/>
  <c r="G195" i="4"/>
  <c r="G191" i="4"/>
  <c r="G187" i="4"/>
  <c r="G183" i="4"/>
  <c r="G179" i="4"/>
  <c r="G175" i="4"/>
  <c r="G171" i="4"/>
  <c r="G167" i="4"/>
  <c r="G163" i="4"/>
  <c r="G159" i="4"/>
  <c r="G155" i="4"/>
  <c r="G151" i="4"/>
  <c r="G147" i="4"/>
  <c r="G143" i="4"/>
  <c r="G139" i="4"/>
  <c r="G135" i="4"/>
  <c r="G131" i="4"/>
  <c r="G127" i="4"/>
  <c r="G123" i="4"/>
  <c r="G119" i="4"/>
  <c r="G115" i="4"/>
  <c r="G111" i="4"/>
  <c r="G107" i="4"/>
  <c r="G103" i="4"/>
  <c r="G99" i="4"/>
  <c r="G95" i="4"/>
  <c r="G91" i="4"/>
  <c r="G87" i="4"/>
  <c r="G83" i="4"/>
  <c r="G79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E297" i="4"/>
  <c r="H293" i="4"/>
  <c r="H289" i="4"/>
  <c r="H285" i="4"/>
  <c r="H281" i="4"/>
  <c r="H277" i="4"/>
  <c r="H273" i="4"/>
  <c r="H269" i="4"/>
  <c r="H265" i="4"/>
  <c r="H261" i="4"/>
  <c r="H257" i="4"/>
  <c r="H253" i="4"/>
  <c r="H249" i="4"/>
  <c r="H245" i="4"/>
  <c r="H240" i="4"/>
  <c r="H234" i="4"/>
  <c r="H218" i="4"/>
  <c r="H202" i="4"/>
  <c r="H186" i="4"/>
  <c r="H170" i="4"/>
  <c r="H154" i="4"/>
  <c r="H138" i="4"/>
  <c r="H122" i="4"/>
  <c r="H106" i="4"/>
  <c r="H90" i="4"/>
  <c r="H74" i="4"/>
  <c r="H58" i="4"/>
  <c r="H42" i="4"/>
  <c r="H26" i="4"/>
  <c r="H10" i="4"/>
  <c r="G293" i="4"/>
  <c r="G289" i="4"/>
  <c r="G285" i="4"/>
  <c r="G281" i="4"/>
  <c r="G277" i="4"/>
  <c r="G273" i="4"/>
  <c r="G269" i="4"/>
  <c r="G265" i="4"/>
  <c r="G261" i="4"/>
  <c r="G257" i="4"/>
  <c r="G253" i="4"/>
  <c r="G249" i="4"/>
  <c r="G245" i="4"/>
  <c r="G241" i="4"/>
  <c r="G237" i="4"/>
  <c r="G233" i="4"/>
  <c r="G229" i="4"/>
  <c r="G225" i="4"/>
  <c r="G221" i="4"/>
  <c r="G217" i="4"/>
  <c r="G213" i="4"/>
  <c r="G209" i="4"/>
  <c r="G205" i="4"/>
  <c r="G201" i="4"/>
  <c r="G197" i="4"/>
  <c r="G193" i="4"/>
  <c r="G189" i="4"/>
  <c r="G185" i="4"/>
  <c r="G181" i="4"/>
  <c r="G177" i="4"/>
  <c r="G173" i="4"/>
  <c r="G169" i="4"/>
  <c r="G165" i="4"/>
  <c r="G161" i="4"/>
  <c r="G157" i="4"/>
  <c r="G153" i="4"/>
  <c r="G149" i="4"/>
  <c r="G145" i="4"/>
  <c r="G141" i="4"/>
  <c r="G137" i="4"/>
  <c r="G133" i="4"/>
  <c r="G129" i="4"/>
  <c r="G125" i="4"/>
  <c r="G121" i="4"/>
  <c r="G117" i="4"/>
  <c r="G113" i="4"/>
  <c r="G109" i="4"/>
  <c r="G105" i="4"/>
  <c r="G101" i="4"/>
  <c r="G97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5" i="4"/>
  <c r="H295" i="4"/>
  <c r="H291" i="4"/>
  <c r="H287" i="4"/>
  <c r="H283" i="4"/>
  <c r="H279" i="4"/>
  <c r="H275" i="4"/>
  <c r="H271" i="4"/>
  <c r="H267" i="4"/>
  <c r="H263" i="4"/>
  <c r="H259" i="4"/>
  <c r="H255" i="4"/>
  <c r="H251" i="4"/>
  <c r="H247" i="4"/>
  <c r="H243" i="4"/>
  <c r="H238" i="4"/>
  <c r="H226" i="4"/>
  <c r="H210" i="4"/>
  <c r="H194" i="4"/>
  <c r="H178" i="4"/>
  <c r="H162" i="4"/>
  <c r="H146" i="4"/>
  <c r="H130" i="4"/>
  <c r="H114" i="4"/>
  <c r="H98" i="4"/>
  <c r="H82" i="4"/>
  <c r="H66" i="4"/>
  <c r="H50" i="4"/>
  <c r="H34" i="4"/>
  <c r="H18" i="4"/>
  <c r="G296" i="4"/>
  <c r="G292" i="4"/>
  <c r="G288" i="4"/>
  <c r="G284" i="4"/>
  <c r="G280" i="4"/>
  <c r="G276" i="4"/>
  <c r="G272" i="4"/>
  <c r="G268" i="4"/>
  <c r="G264" i="4"/>
  <c r="G260" i="4"/>
  <c r="G256" i="4"/>
  <c r="G252" i="4"/>
  <c r="G248" i="4"/>
  <c r="G244" i="4"/>
  <c r="G240" i="4"/>
  <c r="G236" i="4"/>
  <c r="G232" i="4"/>
  <c r="G228" i="4"/>
  <c r="G224" i="4"/>
  <c r="G220" i="4"/>
  <c r="G216" i="4"/>
  <c r="G212" i="4"/>
  <c r="G208" i="4"/>
  <c r="G204" i="4"/>
  <c r="G200" i="4"/>
  <c r="G196" i="4"/>
  <c r="G192" i="4"/>
  <c r="G188" i="4"/>
  <c r="G184" i="4"/>
  <c r="G180" i="4"/>
  <c r="G176" i="4"/>
  <c r="G172" i="4"/>
  <c r="G168" i="4"/>
  <c r="G164" i="4"/>
  <c r="G160" i="4"/>
  <c r="G156" i="4"/>
  <c r="G152" i="4"/>
  <c r="G148" i="4"/>
  <c r="G144" i="4"/>
  <c r="G140" i="4"/>
  <c r="G136" i="4"/>
  <c r="G132" i="4"/>
  <c r="G128" i="4"/>
  <c r="G124" i="4"/>
  <c r="G120" i="4"/>
  <c r="G116" i="4"/>
  <c r="G112" i="4"/>
  <c r="G108" i="4"/>
  <c r="G104" i="4"/>
  <c r="G100" i="4"/>
  <c r="G96" i="4"/>
  <c r="G92" i="4"/>
  <c r="G88" i="4"/>
  <c r="G84" i="4"/>
  <c r="G80" i="4"/>
  <c r="G76" i="4"/>
  <c r="G72" i="4"/>
  <c r="G68" i="4"/>
  <c r="G64" i="4"/>
  <c r="G60" i="4"/>
  <c r="G56" i="4"/>
  <c r="G52" i="4"/>
  <c r="G48" i="4"/>
  <c r="G44" i="4"/>
  <c r="G40" i="4"/>
  <c r="G36" i="4"/>
  <c r="G32" i="4"/>
  <c r="G28" i="4"/>
  <c r="G24" i="4"/>
  <c r="G20" i="4"/>
  <c r="G16" i="4"/>
  <c r="G12" i="4"/>
  <c r="G8" i="4"/>
  <c r="G4" i="4"/>
  <c r="H294" i="4"/>
  <c r="H290" i="4"/>
  <c r="H286" i="4"/>
  <c r="H282" i="4"/>
  <c r="H278" i="4"/>
  <c r="H274" i="4"/>
  <c r="H270" i="4"/>
  <c r="H266" i="4"/>
  <c r="H262" i="4"/>
  <c r="H258" i="4"/>
  <c r="H254" i="4"/>
  <c r="H250" i="4"/>
  <c r="H246" i="4"/>
  <c r="H242" i="4"/>
  <c r="H236" i="4"/>
  <c r="H222" i="4"/>
  <c r="H206" i="4"/>
  <c r="H190" i="4"/>
  <c r="H174" i="4"/>
  <c r="H158" i="4"/>
  <c r="H142" i="4"/>
  <c r="H126" i="4"/>
  <c r="H110" i="4"/>
  <c r="H94" i="4"/>
  <c r="H78" i="4"/>
  <c r="H62" i="4"/>
  <c r="H46" i="4"/>
  <c r="H30" i="4"/>
  <c r="H14" i="4"/>
  <c r="H235" i="4"/>
  <c r="H231" i="4"/>
  <c r="H227" i="4"/>
  <c r="H223" i="4"/>
  <c r="H219" i="4"/>
  <c r="H215" i="4"/>
  <c r="H211" i="4"/>
  <c r="H207" i="4"/>
  <c r="H203" i="4"/>
  <c r="H199" i="4"/>
  <c r="H195" i="4"/>
  <c r="H191" i="4"/>
  <c r="H187" i="4"/>
  <c r="H183" i="4"/>
  <c r="H179" i="4"/>
  <c r="H175" i="4"/>
  <c r="H171" i="4"/>
  <c r="H167" i="4"/>
  <c r="H163" i="4"/>
  <c r="H159" i="4"/>
  <c r="H155" i="4"/>
  <c r="H151" i="4"/>
  <c r="H147" i="4"/>
  <c r="H143" i="4"/>
  <c r="H139" i="4"/>
  <c r="H135" i="4"/>
  <c r="H131" i="4"/>
  <c r="H127" i="4"/>
  <c r="H123" i="4"/>
  <c r="H119" i="4"/>
  <c r="H115" i="4"/>
  <c r="H111" i="4"/>
  <c r="H107" i="4"/>
  <c r="H103" i="4"/>
  <c r="H99" i="4"/>
  <c r="H95" i="4"/>
  <c r="H91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31" i="4"/>
  <c r="H27" i="4"/>
  <c r="H23" i="4"/>
  <c r="H19" i="4"/>
  <c r="H15" i="4"/>
  <c r="H11" i="4"/>
  <c r="H7" i="4"/>
  <c r="H3" i="4"/>
  <c r="F297" i="4"/>
  <c r="H241" i="4"/>
  <c r="H237" i="4"/>
  <c r="H233" i="4"/>
  <c r="H229" i="4"/>
  <c r="H225" i="4"/>
  <c r="H221" i="4"/>
  <c r="H217" i="4"/>
  <c r="H213" i="4"/>
  <c r="H209" i="4"/>
  <c r="H205" i="4"/>
  <c r="H201" i="4"/>
  <c r="H197" i="4"/>
  <c r="H193" i="4"/>
  <c r="H189" i="4"/>
  <c r="H185" i="4"/>
  <c r="H181" i="4"/>
  <c r="H177" i="4"/>
  <c r="H173" i="4"/>
  <c r="H169" i="4"/>
  <c r="H165" i="4"/>
  <c r="H161" i="4"/>
  <c r="H157" i="4"/>
  <c r="H153" i="4"/>
  <c r="H149" i="4"/>
  <c r="H145" i="4"/>
  <c r="H141" i="4"/>
  <c r="H137" i="4"/>
  <c r="H133" i="4"/>
  <c r="H129" i="4"/>
  <c r="H125" i="4"/>
  <c r="H121" i="4"/>
  <c r="H117" i="4"/>
  <c r="H113" i="4"/>
  <c r="H109" i="4"/>
  <c r="H105" i="4"/>
  <c r="H101" i="4"/>
  <c r="H97" i="4"/>
  <c r="H93" i="4"/>
  <c r="H89" i="4"/>
  <c r="H85" i="4"/>
  <c r="H81" i="4"/>
  <c r="H77" i="4"/>
  <c r="H73" i="4"/>
  <c r="H69" i="4"/>
  <c r="H65" i="4"/>
  <c r="H61" i="4"/>
  <c r="H57" i="4"/>
  <c r="H53" i="4"/>
  <c r="H49" i="4"/>
  <c r="H45" i="4"/>
  <c r="H41" i="4"/>
  <c r="H37" i="4"/>
  <c r="H33" i="4"/>
  <c r="H29" i="4"/>
  <c r="H25" i="4"/>
  <c r="H21" i="4"/>
  <c r="H17" i="4"/>
  <c r="H13" i="4"/>
  <c r="H9" i="4"/>
  <c r="H5" i="4"/>
  <c r="H232" i="4"/>
  <c r="H228" i="4"/>
  <c r="H224" i="4"/>
  <c r="H220" i="4"/>
  <c r="H216" i="4"/>
  <c r="H212" i="4"/>
  <c r="H208" i="4"/>
  <c r="H204" i="4"/>
  <c r="H200" i="4"/>
  <c r="H196" i="4"/>
  <c r="H192" i="4"/>
  <c r="H188" i="4"/>
  <c r="H184" i="4"/>
  <c r="H180" i="4"/>
  <c r="H176" i="4"/>
  <c r="H172" i="4"/>
  <c r="H168" i="4"/>
  <c r="H164" i="4"/>
  <c r="H160" i="4"/>
  <c r="H156" i="4"/>
  <c r="H152" i="4"/>
  <c r="H148" i="4"/>
  <c r="H144" i="4"/>
  <c r="H140" i="4"/>
  <c r="H136" i="4"/>
  <c r="H132" i="4"/>
  <c r="H128" i="4"/>
  <c r="H124" i="4"/>
  <c r="H120" i="4"/>
  <c r="H116" i="4"/>
  <c r="H112" i="4"/>
  <c r="H108" i="4"/>
  <c r="H104" i="4"/>
  <c r="H100" i="4"/>
  <c r="H96" i="4"/>
  <c r="H92" i="4"/>
  <c r="H88" i="4"/>
  <c r="H84" i="4"/>
  <c r="H80" i="4"/>
  <c r="H76" i="4"/>
  <c r="H72" i="4"/>
  <c r="H68" i="4"/>
  <c r="H64" i="4"/>
  <c r="H60" i="4"/>
  <c r="H56" i="4"/>
  <c r="H52" i="4"/>
  <c r="H48" i="4"/>
  <c r="H44" i="4"/>
  <c r="H40" i="4"/>
  <c r="H36" i="4"/>
  <c r="H32" i="4"/>
  <c r="H28" i="4"/>
  <c r="H24" i="4"/>
  <c r="H20" i="4"/>
  <c r="H16" i="4"/>
  <c r="H12" i="4"/>
  <c r="H8" i="4"/>
  <c r="H4" i="4"/>
  <c r="H94" i="5"/>
  <c r="H86" i="5"/>
  <c r="H70" i="5"/>
  <c r="H58" i="5"/>
  <c r="H46" i="5"/>
  <c r="H34" i="5"/>
  <c r="H22" i="5"/>
  <c r="H10" i="5"/>
  <c r="H99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31" i="5"/>
  <c r="H27" i="5"/>
  <c r="H23" i="5"/>
  <c r="H19" i="5"/>
  <c r="H15" i="5"/>
  <c r="H11" i="5"/>
  <c r="H7" i="5"/>
  <c r="H3" i="5"/>
  <c r="L84" i="5"/>
  <c r="L20" i="5"/>
  <c r="H90" i="5"/>
  <c r="H78" i="5"/>
  <c r="H66" i="5"/>
  <c r="H54" i="5"/>
  <c r="H42" i="5"/>
  <c r="H30" i="5"/>
  <c r="H18" i="5"/>
  <c r="H6" i="5"/>
  <c r="L4" i="5"/>
  <c r="H101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5" i="5"/>
  <c r="L52" i="5"/>
  <c r="H98" i="5"/>
  <c r="H82" i="5"/>
  <c r="H74" i="5"/>
  <c r="H62" i="5"/>
  <c r="H50" i="5"/>
  <c r="H38" i="5"/>
  <c r="H26" i="5"/>
  <c r="H14" i="5"/>
  <c r="L68" i="5"/>
  <c r="H100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L100" i="5"/>
  <c r="L36" i="5"/>
  <c r="L88" i="5"/>
  <c r="L72" i="5"/>
  <c r="L56" i="5"/>
  <c r="L40" i="5"/>
  <c r="L24" i="5"/>
  <c r="L8" i="5"/>
  <c r="L96" i="5"/>
  <c r="L80" i="5"/>
  <c r="L64" i="5"/>
  <c r="L48" i="5"/>
  <c r="L32" i="5"/>
  <c r="L16" i="5"/>
  <c r="L92" i="5"/>
  <c r="L76" i="5"/>
  <c r="L60" i="5"/>
  <c r="L44" i="5"/>
  <c r="L28" i="5"/>
  <c r="L12" i="5"/>
  <c r="L101" i="5"/>
  <c r="L97" i="5"/>
  <c r="L93" i="5"/>
  <c r="L89" i="5"/>
  <c r="L85" i="5"/>
  <c r="L81" i="5"/>
  <c r="L77" i="5"/>
  <c r="L73" i="5"/>
  <c r="L69" i="5"/>
  <c r="L65" i="5"/>
  <c r="L61" i="5"/>
  <c r="L57" i="5"/>
  <c r="L53" i="5"/>
  <c r="L49" i="5"/>
  <c r="L45" i="5"/>
  <c r="L41" i="5"/>
  <c r="L37" i="5"/>
  <c r="L33" i="5"/>
  <c r="L29" i="5"/>
  <c r="L25" i="5"/>
  <c r="L21" i="5"/>
  <c r="L17" i="5"/>
  <c r="L13" i="5"/>
  <c r="L9" i="5"/>
  <c r="L5" i="5"/>
  <c r="L99" i="5"/>
  <c r="L95" i="5"/>
  <c r="L91" i="5"/>
  <c r="L87" i="5"/>
  <c r="L83" i="5"/>
  <c r="L79" i="5"/>
  <c r="L75" i="5"/>
  <c r="L71" i="5"/>
  <c r="L67" i="5"/>
  <c r="L63" i="5"/>
  <c r="L59" i="5"/>
  <c r="L55" i="5"/>
  <c r="L51" i="5"/>
  <c r="L47" i="5"/>
  <c r="L43" i="5"/>
  <c r="L39" i="5"/>
  <c r="L35" i="5"/>
  <c r="L31" i="5"/>
  <c r="L27" i="5"/>
  <c r="L23" i="5"/>
  <c r="L19" i="5"/>
  <c r="L15" i="5"/>
  <c r="L11" i="5"/>
  <c r="L7" i="5"/>
  <c r="L3" i="5"/>
  <c r="L98" i="5"/>
  <c r="L94" i="5"/>
  <c r="L90" i="5"/>
  <c r="L86" i="5"/>
  <c r="L82" i="5"/>
  <c r="L78" i="5"/>
  <c r="L74" i="5"/>
  <c r="L70" i="5"/>
  <c r="L66" i="5"/>
  <c r="L62" i="5"/>
  <c r="L58" i="5"/>
  <c r="L54" i="5"/>
  <c r="L50" i="5"/>
  <c r="L46" i="5"/>
  <c r="L42" i="5"/>
  <c r="L38" i="5"/>
  <c r="L34" i="5"/>
  <c r="L30" i="5"/>
  <c r="L26" i="5"/>
  <c r="L22" i="5"/>
  <c r="L18" i="5"/>
  <c r="L14" i="5"/>
  <c r="L10" i="5"/>
  <c r="L6" i="5"/>
  <c r="H297" i="4" l="1"/>
  <c r="G297" i="4"/>
  <c r="F1" i="1"/>
  <c r="G5" i="1" l="1"/>
  <c r="G4" i="1"/>
  <c r="G89" i="5"/>
  <c r="G9" i="5"/>
  <c r="G93" i="5"/>
  <c r="G77" i="5"/>
  <c r="G61" i="5"/>
  <c r="G45" i="5"/>
  <c r="G29" i="5"/>
  <c r="G13" i="5"/>
  <c r="K55" i="5"/>
  <c r="G73" i="5"/>
  <c r="G41" i="5"/>
  <c r="G100" i="5"/>
  <c r="G85" i="5"/>
  <c r="G69" i="5"/>
  <c r="G53" i="5"/>
  <c r="G37" i="5"/>
  <c r="G21" i="5"/>
  <c r="G5" i="5"/>
  <c r="K87" i="5"/>
  <c r="K23" i="5"/>
  <c r="G101" i="5"/>
  <c r="G57" i="5"/>
  <c r="G25" i="5"/>
  <c r="K39" i="5"/>
  <c r="G97" i="5"/>
  <c r="G81" i="5"/>
  <c r="G65" i="5"/>
  <c r="G49" i="5"/>
  <c r="G33" i="5"/>
  <c r="G17" i="5"/>
  <c r="K71" i="5"/>
  <c r="K7" i="5"/>
  <c r="G98" i="5"/>
  <c r="G94" i="5"/>
  <c r="G90" i="5"/>
  <c r="G86" i="5"/>
  <c r="G82" i="5"/>
  <c r="G78" i="5"/>
  <c r="G74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K91" i="5"/>
  <c r="K75" i="5"/>
  <c r="K59" i="5"/>
  <c r="K43" i="5"/>
  <c r="K27" i="5"/>
  <c r="K11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K99" i="5"/>
  <c r="K83" i="5"/>
  <c r="K67" i="5"/>
  <c r="K51" i="5"/>
  <c r="K35" i="5"/>
  <c r="K19" i="5"/>
  <c r="K3" i="5"/>
  <c r="G99" i="5"/>
  <c r="G95" i="5"/>
  <c r="G91" i="5"/>
  <c r="G87" i="5"/>
  <c r="G83" i="5"/>
  <c r="G79" i="5"/>
  <c r="G75" i="5"/>
  <c r="G71" i="5"/>
  <c r="G67" i="5"/>
  <c r="G63" i="5"/>
  <c r="G59" i="5"/>
  <c r="G55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K95" i="5"/>
  <c r="K79" i="5"/>
  <c r="K63" i="5"/>
  <c r="K47" i="5"/>
  <c r="K31" i="5"/>
  <c r="K15" i="5"/>
  <c r="K100" i="5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16" i="5"/>
  <c r="K12" i="5"/>
  <c r="K8" i="5"/>
  <c r="K4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14" i="5"/>
  <c r="K10" i="5"/>
  <c r="K6" i="5"/>
  <c r="K101" i="5"/>
  <c r="K97" i="5"/>
  <c r="K93" i="5"/>
  <c r="K89" i="5"/>
  <c r="K85" i="5"/>
  <c r="K81" i="5"/>
  <c r="K77" i="5"/>
  <c r="K73" i="5"/>
  <c r="K69" i="5"/>
  <c r="K65" i="5"/>
  <c r="K61" i="5"/>
  <c r="K57" i="5"/>
  <c r="K53" i="5"/>
  <c r="K49" i="5"/>
  <c r="K45" i="5"/>
  <c r="K41" i="5"/>
  <c r="K37" i="5"/>
  <c r="K33" i="5"/>
  <c r="K29" i="5"/>
  <c r="K25" i="5"/>
  <c r="K21" i="5"/>
  <c r="K17" i="5"/>
  <c r="K13" i="5"/>
  <c r="K9" i="5"/>
  <c r="K5" i="5"/>
  <c r="M5" i="5" l="1"/>
  <c r="M9" i="5"/>
  <c r="M13" i="5"/>
  <c r="M17" i="5"/>
  <c r="M21" i="5"/>
  <c r="M25" i="5"/>
  <c r="M29" i="5"/>
  <c r="M33" i="5"/>
  <c r="M37" i="5"/>
  <c r="M41" i="5"/>
  <c r="M45" i="5"/>
  <c r="M49" i="5"/>
  <c r="M53" i="5"/>
  <c r="M57" i="5"/>
  <c r="M61" i="5"/>
  <c r="M65" i="5"/>
  <c r="M69" i="5"/>
  <c r="M73" i="5"/>
  <c r="M77" i="5"/>
  <c r="M81" i="5"/>
  <c r="M85" i="5"/>
  <c r="M89" i="5"/>
  <c r="M93" i="5"/>
  <c r="M97" i="5"/>
  <c r="M101" i="5"/>
  <c r="M6" i="5"/>
  <c r="M10" i="5"/>
  <c r="M14" i="5"/>
  <c r="M18" i="5"/>
  <c r="M22" i="5"/>
  <c r="M26" i="5"/>
  <c r="M30" i="5"/>
  <c r="M34" i="5"/>
  <c r="M38" i="5"/>
  <c r="M42" i="5"/>
  <c r="M46" i="5"/>
  <c r="M50" i="5"/>
  <c r="M54" i="5"/>
  <c r="M58" i="5"/>
  <c r="M62" i="5"/>
  <c r="M66" i="5"/>
  <c r="M70" i="5"/>
  <c r="M74" i="5"/>
  <c r="M78" i="5"/>
  <c r="M82" i="5"/>
  <c r="M86" i="5"/>
  <c r="M90" i="5"/>
  <c r="M94" i="5"/>
  <c r="M98" i="5"/>
  <c r="M4" i="5"/>
  <c r="M8" i="5"/>
  <c r="M12" i="5"/>
  <c r="M16" i="5"/>
  <c r="M20" i="5"/>
  <c r="M24" i="5"/>
  <c r="M28" i="5"/>
  <c r="M32" i="5"/>
  <c r="M36" i="5"/>
  <c r="M40" i="5"/>
  <c r="M44" i="5"/>
  <c r="M48" i="5"/>
  <c r="M52" i="5"/>
  <c r="M56" i="5"/>
  <c r="M60" i="5"/>
  <c r="M64" i="5"/>
  <c r="M68" i="5"/>
  <c r="M72" i="5"/>
  <c r="M76" i="5"/>
  <c r="M80" i="5"/>
  <c r="M84" i="5"/>
  <c r="M88" i="5"/>
  <c r="M92" i="5"/>
  <c r="M96" i="5"/>
  <c r="M100" i="5"/>
  <c r="M15" i="5"/>
  <c r="M31" i="5"/>
  <c r="M47" i="5"/>
  <c r="M63" i="5"/>
  <c r="M79" i="5"/>
  <c r="M95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M3" i="5"/>
  <c r="M19" i="5"/>
  <c r="M35" i="5"/>
  <c r="M51" i="5"/>
  <c r="M67" i="5"/>
  <c r="M83" i="5"/>
  <c r="M99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M11" i="5"/>
  <c r="M27" i="5"/>
  <c r="M43" i="5"/>
  <c r="M59" i="5"/>
  <c r="M75" i="5"/>
  <c r="M91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M7" i="5"/>
  <c r="M71" i="5"/>
  <c r="I17" i="5"/>
  <c r="I33" i="5"/>
  <c r="I49" i="5"/>
  <c r="I65" i="5"/>
  <c r="I81" i="5"/>
  <c r="I97" i="5"/>
  <c r="M39" i="5"/>
  <c r="I25" i="5"/>
  <c r="I57" i="5"/>
  <c r="I101" i="5"/>
  <c r="M23" i="5"/>
  <c r="M87" i="5"/>
  <c r="I5" i="5"/>
  <c r="I21" i="5"/>
  <c r="I37" i="5"/>
  <c r="I53" i="5"/>
  <c r="I69" i="5"/>
  <c r="I85" i="5"/>
  <c r="I100" i="5"/>
  <c r="I41" i="5"/>
  <c r="I73" i="5"/>
  <c r="M55" i="5"/>
  <c r="I13" i="5"/>
  <c r="I29" i="5"/>
  <c r="I45" i="5"/>
  <c r="I61" i="5"/>
  <c r="I77" i="5"/>
  <c r="I93" i="5"/>
  <c r="I9" i="5"/>
  <c r="I89" i="5"/>
  <c r="C4" i="1"/>
</calcChain>
</file>

<file path=xl/sharedStrings.xml><?xml version="1.0" encoding="utf-8"?>
<sst xmlns="http://schemas.openxmlformats.org/spreadsheetml/2006/main" count="6676" uniqueCount="934">
  <si>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</si>
  <si>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</si>
  <si>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</si>
  <si>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</si>
  <si>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</si>
  <si>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</si>
  <si>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</si>
  <si>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</si>
  <si>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</si>
  <si>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</si>
  <si>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</si>
  <si>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</si>
  <si>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</si>
  <si>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</si>
  <si>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</si>
  <si>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</si>
  <si>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</si>
  <si>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</si>
  <si>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</si>
  <si>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</si>
  <si>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</si>
  <si>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</si>
  <si>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LARESI22005</t>
  </si>
  <si>
    <t>LA20006014</t>
  </si>
  <si>
    <t>CS240300300</t>
  </si>
  <si>
    <t>CS640400300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</si>
  <si>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</si>
  <si>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</si>
  <si>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</si>
  <si>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</si>
  <si>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</si>
  <si>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</si>
  <si>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</si>
  <si>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</si>
  <si>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</si>
  <si>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</si>
  <si>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</si>
  <si>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</si>
  <si>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</si>
  <si>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</si>
  <si>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</si>
  <si>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</si>
  <si>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</si>
  <si>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</si>
  <si>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</si>
  <si>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</si>
  <si>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</si>
  <si>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</si>
  <si>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</si>
  <si>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</si>
  <si>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</si>
  <si>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</si>
  <si>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</si>
  <si>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</si>
  <si>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</si>
  <si>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</si>
  <si>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</si>
  <si>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</si>
  <si>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</si>
  <si>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</si>
  <si>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</si>
  <si>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LAFRPTO001</t>
  </si>
  <si>
    <t>LAFRPTO002</t>
  </si>
  <si>
    <t>LARESI22015</t>
  </si>
  <si>
    <t>SHRESEPO55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</si>
  <si>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</si>
  <si>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</si>
  <si>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</si>
  <si>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</si>
  <si>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</si>
  <si>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</si>
  <si>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</si>
  <si>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</si>
  <si>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</si>
  <si>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</si>
  <si>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</si>
  <si>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</si>
  <si>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</si>
  <si>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</si>
  <si>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</si>
  <si>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</si>
  <si>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</si>
  <si>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</si>
  <si>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</si>
  <si>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</si>
  <si>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</si>
  <si>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</si>
  <si>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</si>
  <si>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</si>
  <si>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</si>
  <si>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</si>
  <si>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</si>
  <si>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</si>
  <si>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</si>
  <si>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</si>
  <si>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</si>
  <si>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</si>
  <si>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</si>
  <si>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</si>
  <si>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</si>
  <si>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</si>
  <si>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</si>
  <si>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</si>
  <si>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</si>
  <si>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</si>
  <si>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</si>
  <si>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</si>
  <si>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</si>
  <si>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</si>
  <si>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</si>
  <si>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</si>
  <si>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</si>
  <si>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</si>
  <si>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</si>
  <si>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</si>
  <si>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</si>
  <si>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</si>
  <si>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</si>
  <si>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</si>
  <si>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</si>
  <si>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</si>
  <si>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</si>
  <si>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</si>
  <si>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</si>
  <si>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</si>
  <si>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</si>
  <si>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</si>
  <si>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</si>
  <si>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</si>
  <si>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</si>
  <si>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</si>
  <si>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</si>
  <si>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</si>
  <si>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</si>
  <si>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</si>
  <si>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</si>
  <si>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</si>
  <si>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LAPSTKO100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</si>
  <si>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</si>
  <si>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</si>
  <si>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</si>
  <si>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</si>
  <si>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</si>
  <si>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</si>
  <si>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</si>
  <si>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</si>
  <si>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S&amp;PARMO-mesh 500/500
roll 1.95 x 50 m</t>
  </si>
  <si>
    <t>BOM</t>
  </si>
  <si>
    <t>S&amp;P C-Laminate HM (200/2000) 90/1.4</t>
  </si>
  <si>
    <t>S&amp;P C-Laminate SM (150/2000) 20/1.4</t>
  </si>
  <si>
    <t>S&amp;P C-Sheet 240 600 g/m2</t>
  </si>
  <si>
    <t>S&amp;P G-Sheet E 50/50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</si>
  <si>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</si>
  <si>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</si>
  <si>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</si>
  <si>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</si>
  <si>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</si>
  <si>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</si>
  <si>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</si>
  <si>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</si>
  <si>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</si>
  <si>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</si>
  <si>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</si>
  <si>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</si>
  <si>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</si>
  <si>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</si>
  <si>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</si>
  <si>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</si>
  <si>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S&amp;P ARMO-mur , bag of 25kg</t>
  </si>
  <si>
    <t>ARMOWET025RS</t>
  </si>
  <si>
    <t>ASPDIEN002</t>
  </si>
  <si>
    <t>Asphalt application work</t>
  </si>
  <si>
    <t>ASPINST001</t>
  </si>
  <si>
    <t>Asphalt Verlegearbeit Installation</t>
  </si>
  <si>
    <t>S&amp;P Carbophalt G (120/200kN)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</si>
  <si>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</si>
  <si>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</si>
  <si>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</si>
  <si>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</si>
  <si>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</si>
  <si>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</si>
  <si>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</si>
  <si>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</si>
  <si>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</si>
  <si>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</si>
  <si>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</si>
  <si>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</si>
  <si>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S&amp;P Cleaner 2 lt</t>
  </si>
  <si>
    <t>S&amp;P Anchor plate prestressed</t>
  </si>
  <si>
    <t>S&amp;P Laminierroller 130 x 30mm</t>
  </si>
  <si>
    <t>VEDI670001</t>
  </si>
  <si>
    <t>Interest on I/C loan</t>
  </si>
  <si>
    <t>VERDIE0631</t>
  </si>
  <si>
    <t>Group Charges – Tpp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</si>
  <si>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</si>
  <si>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</si>
  <si>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</si>
  <si>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</si>
  <si>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</si>
  <si>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</si>
  <si>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</si>
  <si>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</si>
  <si>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</si>
  <si>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</si>
  <si>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</si>
  <si>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</si>
  <si>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</si>
  <si>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</si>
  <si>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SHRESEPO55HP6KG</t>
  </si>
  <si>
    <t>S&amp;P Resin 55 HP
(Set à 6kg)</t>
  </si>
  <si>
    <t>EUR</t>
  </si>
  <si>
    <t>Check Trans</t>
  </si>
  <si>
    <t>Yes</t>
  </si>
  <si>
    <t>Transaction text</t>
  </si>
  <si>
    <t>*</t>
  </si>
  <si>
    <t>Sales order</t>
  </si>
  <si>
    <t>No</t>
  </si>
  <si>
    <t>TPPTransAdjustment</t>
  </si>
  <si>
    <t>TransOrigin</t>
  </si>
  <si>
    <t>Lot Id</t>
  </si>
  <si>
    <t>Adjustment?</t>
  </si>
  <si>
    <t>Group by</t>
  </si>
  <si>
    <t>ACMOPPRC019</t>
  </si>
  <si>
    <t>IC-Transit</t>
  </si>
  <si>
    <t>RF</t>
  </si>
  <si>
    <t>SW</t>
  </si>
  <si>
    <t>ACMORC025P</t>
  </si>
  <si>
    <t>ACPRPBAG001</t>
  </si>
  <si>
    <t>ACPRRCPP002</t>
  </si>
  <si>
    <t>ACPRRCPP004</t>
  </si>
  <si>
    <t>ACPRRCPP005</t>
  </si>
  <si>
    <t>ACPRRCPP006</t>
  </si>
  <si>
    <t>ACPRRCPP007</t>
  </si>
  <si>
    <t>ACPRRCPP009</t>
  </si>
  <si>
    <t>ACPRRCPP010</t>
  </si>
  <si>
    <t>AMANC600ALU</t>
  </si>
  <si>
    <t>AMC200097050</t>
  </si>
  <si>
    <t>AML200195050</t>
  </si>
  <si>
    <t>AML600195050</t>
  </si>
  <si>
    <t>ANGF150070AR</t>
  </si>
  <si>
    <t>FR</t>
  </si>
  <si>
    <t>MC2</t>
  </si>
  <si>
    <t>ASBITREL0200</t>
  </si>
  <si>
    <t>ASPRFRP001</t>
  </si>
  <si>
    <t>ASPRSFIX040</t>
  </si>
  <si>
    <t>ASPRSVAR040</t>
  </si>
  <si>
    <t>BOAXII12070020A4</t>
  </si>
  <si>
    <t>CS240300200</t>
  </si>
  <si>
    <t>CS240400200</t>
  </si>
  <si>
    <t>ENGFRP0005</t>
  </si>
  <si>
    <t>FX225BB</t>
  </si>
  <si>
    <t>GEANCERD0025</t>
  </si>
  <si>
    <t>GEANCERD0050</t>
  </si>
  <si>
    <t>GEANCERD0101</t>
  </si>
  <si>
    <t>GEANCERD0102</t>
  </si>
  <si>
    <t>GEANCERD0103</t>
  </si>
  <si>
    <t>GEANCES22KN</t>
  </si>
  <si>
    <t>GEANCMP10KN</t>
  </si>
  <si>
    <t>GEANCMP22KN</t>
  </si>
  <si>
    <t>GEJUT50012068</t>
  </si>
  <si>
    <t>GEMACERD001</t>
  </si>
  <si>
    <t>GEMACERD004</t>
  </si>
  <si>
    <t>GEPROANC0001</t>
  </si>
  <si>
    <t>GEPROANC0003</t>
  </si>
  <si>
    <t>GEPROANC0004</t>
  </si>
  <si>
    <t>GEPROANC0005</t>
  </si>
  <si>
    <t>GEPROANC0006</t>
  </si>
  <si>
    <t>GEPROANC0007</t>
  </si>
  <si>
    <t>GEPROANC0008</t>
  </si>
  <si>
    <t>GEPROANC0009</t>
  </si>
  <si>
    <t>GEPROANC0011</t>
  </si>
  <si>
    <t>GLG0050120</t>
  </si>
  <si>
    <t>GLG0087120</t>
  </si>
  <si>
    <t>GLG010020BIT</t>
  </si>
  <si>
    <t>GLG0195SBR</t>
  </si>
  <si>
    <t>LA15002017</t>
  </si>
  <si>
    <t>LA15010012U</t>
  </si>
  <si>
    <t>LA15010014U</t>
  </si>
  <si>
    <t>LAANACB600</t>
  </si>
  <si>
    <t>LAANACT600</t>
  </si>
  <si>
    <t>LACAN25PET</t>
  </si>
  <si>
    <t>LACLEAN200</t>
  </si>
  <si>
    <t>LAENACB060</t>
  </si>
  <si>
    <t>LAENACB080</t>
  </si>
  <si>
    <t>LAENACB090</t>
  </si>
  <si>
    <t>LAENACB100</t>
  </si>
  <si>
    <t>LAENACB120</t>
  </si>
  <si>
    <t>LAENACB150</t>
  </si>
  <si>
    <t>LAENACT050</t>
  </si>
  <si>
    <t>LAENACT060</t>
  </si>
  <si>
    <t>LAENACT080</t>
  </si>
  <si>
    <t>LAENACT090</t>
  </si>
  <si>
    <t>LAENACT100</t>
  </si>
  <si>
    <t>LAENACT120</t>
  </si>
  <si>
    <t>LAENACT150</t>
  </si>
  <si>
    <t>LAFRPTO001F1</t>
  </si>
  <si>
    <t>LAFRPTO003</t>
  </si>
  <si>
    <t>LAFRPTO030</t>
  </si>
  <si>
    <t>LAFRPTO050</t>
  </si>
  <si>
    <t>LAM1213373A2</t>
  </si>
  <si>
    <t>LAM12L0035A2</t>
  </si>
  <si>
    <t>LAM12TYP01A2</t>
  </si>
  <si>
    <t>LAPSANCM12</t>
  </si>
  <si>
    <t>LAPSTGR010</t>
  </si>
  <si>
    <t>LAPSTGRM01</t>
  </si>
  <si>
    <t>LAPSTKO020</t>
  </si>
  <si>
    <t>LAPSTKO021</t>
  </si>
  <si>
    <t>LAPSTKO023</t>
  </si>
  <si>
    <t>LAPSTKO024</t>
  </si>
  <si>
    <t>LAPSTKO501</t>
  </si>
  <si>
    <t>LAPSTKO503</t>
  </si>
  <si>
    <t>LAREPCEM15</t>
  </si>
  <si>
    <t>LARES23030</t>
  </si>
  <si>
    <t>ROANCNBP001</t>
  </si>
  <si>
    <t>ROANCST016MM</t>
  </si>
  <si>
    <t>ROANLP100100</t>
  </si>
  <si>
    <t>RONET50KN180</t>
  </si>
  <si>
    <t>ROVBB10KN050</t>
  </si>
  <si>
    <t>SHBAC07STE</t>
  </si>
  <si>
    <t>SHH200GUMMI</t>
  </si>
  <si>
    <t>SHHIGER0001</t>
  </si>
  <si>
    <t>SHPRPE940T</t>
  </si>
  <si>
    <t>SHRESICEMF</t>
  </si>
  <si>
    <t>SHTEFROL06030</t>
  </si>
  <si>
    <t>SHTEFROL09030</t>
  </si>
  <si>
    <t>SLNET7030250</t>
  </si>
  <si>
    <t>TRBOND0001</t>
  </si>
  <si>
    <t>TRBOND0004</t>
  </si>
  <si>
    <t>TRBOND0005</t>
  </si>
  <si>
    <t>TRBOND0006</t>
  </si>
  <si>
    <t>TRBOND0007</t>
  </si>
  <si>
    <t>TRBOND0009</t>
  </si>
  <si>
    <t>TRCARTO001</t>
  </si>
  <si>
    <t>TRCARTO003</t>
  </si>
  <si>
    <t>TRCARTO004</t>
  </si>
  <si>
    <t>TRCARTO005</t>
  </si>
  <si>
    <t>TRCARTO006</t>
  </si>
  <si>
    <t>TRCARTO007</t>
  </si>
  <si>
    <t>TRETIK0001</t>
  </si>
  <si>
    <t>TRETIK0002</t>
  </si>
  <si>
    <t>TRETIK0003</t>
  </si>
  <si>
    <t>TRETIK0004</t>
  </si>
  <si>
    <t>TRETIK0005</t>
  </si>
  <si>
    <t>TRETIK0007</t>
  </si>
  <si>
    <t>TRPALET001</t>
  </si>
  <si>
    <t>TRPALET002</t>
  </si>
  <si>
    <t>TRPALET003</t>
  </si>
  <si>
    <t>TRPALET005</t>
  </si>
  <si>
    <t>TRPALET006</t>
  </si>
  <si>
    <t>TRPALET007</t>
  </si>
  <si>
    <t>TRPALET008</t>
  </si>
  <si>
    <t>TRPALET009</t>
  </si>
  <si>
    <t>TRPALET010</t>
  </si>
  <si>
    <t>TRPOLST002</t>
  </si>
  <si>
    <t>TRPOLST003</t>
  </si>
  <si>
    <t>TRPOLST004</t>
  </si>
  <si>
    <t>TRTAPE0001</t>
  </si>
  <si>
    <t>TRTAPE0002</t>
  </si>
  <si>
    <t>TRTAPE0003</t>
  </si>
  <si>
    <t>TRTAPE0005</t>
  </si>
  <si>
    <t>TRTAPE0006</t>
  </si>
  <si>
    <t>TRTAPE0007</t>
  </si>
  <si>
    <t>TRTAPE0009</t>
  </si>
  <si>
    <t>SO0005836</t>
  </si>
  <si>
    <t>S&amp;P C-Laminate SM (150/2000)
100/1.4 UTS Fiber</t>
  </si>
  <si>
    <t>SO0005750</t>
  </si>
  <si>
    <t>S&amp;P Resin 220 (Set of 5 kg)</t>
  </si>
  <si>
    <t>S&amp;P Resin 220 (Set of 15 kg)</t>
  </si>
  <si>
    <t>Production line</t>
  </si>
  <si>
    <t>S&amp;P RC Power Pack,bag of 19 kg.</t>
  </si>
  <si>
    <t>S&amp;P ARMO-crete RC, bag of 25kg Reactive component for mortar</t>
  </si>
  <si>
    <t>Papiersäcke mit Daumenloch</t>
  </si>
  <si>
    <t>Neopentyl Glycol Flakes</t>
  </si>
  <si>
    <t>Magnesia 7236</t>
  </si>
  <si>
    <t>AGITAN P (841)</t>
  </si>
  <si>
    <t>PP BKG 6mm</t>
  </si>
  <si>
    <t>SILRES Pulver D</t>
  </si>
  <si>
    <t>DENKA CSA 20</t>
  </si>
  <si>
    <t>Melcret 530F</t>
  </si>
  <si>
    <t>S&amp;P ARMO Anchoring element Alu</t>
  </si>
  <si>
    <t>S&amp;P ARMO-mesh C200</t>
  </si>
  <si>
    <t>S&amp;P ARMO-mesh L200</t>
  </si>
  <si>
    <t>S&amp;P ARMO-mesh L600</t>
  </si>
  <si>
    <t>AMMIETG980</t>
  </si>
  <si>
    <t>S&amp;P ARMO Power Pump System</t>
  </si>
  <si>
    <t>S&amp;P Glasfaserbewehrung AR</t>
  </si>
  <si>
    <t>S&amp;P Asphalt Manual Application equip.</t>
  </si>
  <si>
    <t>S&amp;P ARMO-crete w ,bag of 25kg</t>
  </si>
  <si>
    <t>S&amp;P ARMO-crete w , bag of 25 kg</t>
  </si>
  <si>
    <t>Asphalt Bitumen Release Agent
200 lt barrel</t>
  </si>
  <si>
    <t>Aramid 8050 DTEX</t>
  </si>
  <si>
    <t>Anker A-Strap fix 40mm</t>
  </si>
  <si>
    <t>Anker A-Strap variable 40mm</t>
  </si>
  <si>
    <t>S&amp;P Anchor M12 (Endverankerung)</t>
  </si>
  <si>
    <t>S&amp;P Anchor M12 (Vorspannung)</t>
  </si>
  <si>
    <t>S&amp;P Anchor M16 (Vorspannung)</t>
  </si>
  <si>
    <t>S&amp;P Haftzüge - Installation</t>
  </si>
  <si>
    <t>FX225 Concentrate BB Black Bag</t>
  </si>
  <si>
    <t>S&amp;P Erdnagel 25 cm</t>
  </si>
  <si>
    <t>S&amp;P Erdnagel 50 cm</t>
  </si>
  <si>
    <t>S&amp;P Spreizanker</t>
  </si>
  <si>
    <t>S&amp;P Kugelkopfmutter</t>
  </si>
  <si>
    <t>S&amp;P Einschlitzplatte zu Erdanker</t>
  </si>
  <si>
    <t>S&amp;P Erdanker 22 kN S</t>
  </si>
  <si>
    <t>S&amp;P Erdanker 10 kN</t>
  </si>
  <si>
    <t>S&amp;P Erdanker 22 kN</t>
  </si>
  <si>
    <t>S&amp;P Jutegewebe (500g/m²)</t>
  </si>
  <si>
    <t>STACO Bohr und Schlaghammer</t>
  </si>
  <si>
    <t>S&amp;P Vorspannwinde</t>
  </si>
  <si>
    <t>Erdankerkopf</t>
  </si>
  <si>
    <t>Drahtseil 6mm</t>
  </si>
  <si>
    <t>Presshülsen 10 kN</t>
  </si>
  <si>
    <t>Presshülsen 22 kN</t>
  </si>
  <si>
    <t>Pressröhrli kurz 10 kN</t>
  </si>
  <si>
    <t>Pressröhrli kurz 22 kN</t>
  </si>
  <si>
    <t>Pressröhrli lang 10 kN</t>
  </si>
  <si>
    <t>Pressröhrli lang 22 kN</t>
  </si>
  <si>
    <t>Unterlegscheiben Anker 22 kN</t>
  </si>
  <si>
    <t>S&amp;P Glasphalt bit (120/120 kN)</t>
  </si>
  <si>
    <t>S&amp;P Glasphalt G</t>
  </si>
  <si>
    <t>S&amp;P C-Laminate SM (150/2000) 20/1.7</t>
  </si>
  <si>
    <t>S&amp;P C-Laminate SM (150/2000)
100/1.2 UTS Fiber</t>
  </si>
  <si>
    <t>Aluminiumprofil (Boden)</t>
  </si>
  <si>
    <t>Aluminiumprofil (Deckel)</t>
  </si>
  <si>
    <t>LAANCSTS001</t>
  </si>
  <si>
    <t>S&amp;P Stahlbehandlung</t>
  </si>
  <si>
    <t>LAB/OH-Other</t>
  </si>
  <si>
    <t>LAB/OH-Other production</t>
  </si>
  <si>
    <t>Plastikkanister weiss 25 lt</t>
  </si>
  <si>
    <t>Epoxy Cleaner 200 lt</t>
  </si>
  <si>
    <t>S&amp;P Endverankerung (Boden) Typ 60</t>
  </si>
  <si>
    <t>S&amp;P Endverankerung (Boden) Typ 80</t>
  </si>
  <si>
    <t>S&amp;P Endverankerung (Boden) Typ 90</t>
  </si>
  <si>
    <t>S&amp;P Endverankerung (Boden) Typ 100</t>
  </si>
  <si>
    <t>S&amp;P Endverankerung (Boden) Typ 120</t>
  </si>
  <si>
    <t>S&amp;P Endverankerung (Boden) Typ 150</t>
  </si>
  <si>
    <t>S&amp;P End Anchor Typ 60</t>
  </si>
  <si>
    <t>S&amp;P Endverankerung (Deckel) Typ 50</t>
  </si>
  <si>
    <t>S&amp;P Endverankerung (Deckel) Typ 60</t>
  </si>
  <si>
    <t>S&amp;P Endverankerung (Deckel) Typ 80</t>
  </si>
  <si>
    <t>S&amp;P Endverankerung (Deckel) Typ 90</t>
  </si>
  <si>
    <t>S&amp;P Endverankerung (Deckel) Typ 100</t>
  </si>
  <si>
    <t>S&amp;P Endverankerung (Deckel) Typ 120</t>
  </si>
  <si>
    <t>S&amp;P Endverankerung (Deckel) Typ 150</t>
  </si>
  <si>
    <t>S&amp;P Unrolling set</t>
  </si>
  <si>
    <t>S&amp;P Unrolling set - F</t>
  </si>
  <si>
    <t>Dispensing plate for Gluing Set</t>
  </si>
  <si>
    <t>S&amp;P Halterung zu Betonschleifgerät</t>
  </si>
  <si>
    <t>S&amp;P Warnklebband FRP</t>
  </si>
  <si>
    <t>S&amp;P Unterlegscheiben M12 (Endverankerung)</t>
  </si>
  <si>
    <t>S&amp;P Sechskantschraube M12 (Endverankerung)</t>
  </si>
  <si>
    <t>S&amp;P Sechskantmutter M12 (Endverankerung)</t>
  </si>
  <si>
    <t>S&amp;P Segmentanker M12 (Vorspannung)</t>
  </si>
  <si>
    <t>Teflonfolie Heizkissen Gradientenvorsp.,
0.3x160x900mm</t>
  </si>
  <si>
    <t>PTFE Folie geschält weiss, 
Breite 600mm</t>
  </si>
  <si>
    <t>S&amp;P Aluplättchen (rund) zu Vorspannsystem A</t>
  </si>
  <si>
    <t>S&amp;P Aluplättchen (eckig) zu Vorspannsystem A</t>
  </si>
  <si>
    <t>S&amp;P Aluplättchen (eckig) zu Vorspannsystem</t>
  </si>
  <si>
    <t>S&amp;P Aluplättchen (rund) zu Vorspannsystem A 3mm</t>
  </si>
  <si>
    <t>Sechskantschrauben zu Vorspannsystem</t>
  </si>
  <si>
    <t>Innensechskantschrauben zu Vorspannsystem</t>
  </si>
  <si>
    <t>Reprofilierungsmortel bag of 25 kg</t>
  </si>
  <si>
    <t>S&amp;P Resin 230 (Set of 30 kg)</t>
  </si>
  <si>
    <t>MC2-Services</t>
  </si>
  <si>
    <t>S&amp;P Netzbefestigungsplatte</t>
  </si>
  <si>
    <t>S&amp;P Felsanker (Stahl)</t>
  </si>
  <si>
    <t>S&amp;P Lochplatte zu Stahlanker</t>
  </si>
  <si>
    <t>S&amp;P Hochleistungsnetz 50 kN (PES), schwarz</t>
  </si>
  <si>
    <t>S&amp;P Verbindungsband 10 kN</t>
  </si>
  <si>
    <t>Weissblechkessel 7 lt</t>
  </si>
  <si>
    <t>S&amp;P Fugengummi</t>
  </si>
  <si>
    <t>S&amp;P Aramid - Schere</t>
  </si>
  <si>
    <t>Polyethylen Faserfüllstoff</t>
  </si>
  <si>
    <t>S&amp;P Resicem Komp. F 4 kg</t>
  </si>
  <si>
    <t>S&amp;P Laminierroller 60 x 30mm</t>
  </si>
  <si>
    <t>S&amp;P Laminierroller 90 x 30mm</t>
  </si>
  <si>
    <t>S&amp;P Hochleistungsnetz 70/30 kN schwarz, 2.50m</t>
  </si>
  <si>
    <t>PP - Umreifband</t>
  </si>
  <si>
    <t>CARTONEC Kantenschutzwinkel 2000mm</t>
  </si>
  <si>
    <t>MECA-CREPP 10cm</t>
  </si>
  <si>
    <t>MECASTRETCH 50cm</t>
  </si>
  <si>
    <t>Bündelstretch 10cm</t>
  </si>
  <si>
    <t>Bauplastik grün</t>
  </si>
  <si>
    <t>Faltschachtel 1175x775x1070 mm</t>
  </si>
  <si>
    <t>Palettenauflage Graukarton 0.3mm</t>
  </si>
  <si>
    <t>Faltkarton 27cm</t>
  </si>
  <si>
    <t>Palettenabdeckung 160 x 120 cm</t>
  </si>
  <si>
    <t>Wellkarton ca 350 g/m2, 100 cm x 60 lfm</t>
  </si>
  <si>
    <t>Faltschachtel 585x385x385 mm
doppelwellig, braun</t>
  </si>
  <si>
    <t>Signal-Etikette "THIS END UP"</t>
  </si>
  <si>
    <t>Gefahrgut-Etikette , Entzündbare Flüssigkeit , Gefahrgutklas</t>
  </si>
  <si>
    <t>Gefahrgut-Etikette , Ätzend , Gefahrgutklasse 8</t>
  </si>
  <si>
    <t>Gefahrgut-Etikette , Gefährlich , Gefahrgutklasse 9</t>
  </si>
  <si>
    <t>Gefahrgut-Etikette , Umweltgefährdender Stoff</t>
  </si>
  <si>
    <t>Warnhinweis-Etiketten ( Lamellenrollen )</t>
  </si>
  <si>
    <t>TRPAKET001</t>
  </si>
  <si>
    <t>Transportkosten (Paketversand)</t>
  </si>
  <si>
    <t>EUR - Palette</t>
  </si>
  <si>
    <t>EUR - Palettenrahmen</t>
  </si>
  <si>
    <t>EUR - Deckel zu Palettenrahmen</t>
  </si>
  <si>
    <t>EUR - Palette ISPM 15 inkl. Kartoffelpaloxen</t>
  </si>
  <si>
    <t>INKA Palette Typ F 64</t>
  </si>
  <si>
    <t>Kunststoffpaletten Nestbar</t>
  </si>
  <si>
    <t>Paletten mit Holzrahmen ISPM15</t>
  </si>
  <si>
    <t>Kunststoffpaletten mit Metallrahmen</t>
  </si>
  <si>
    <t>INKA Palette Typ F 46</t>
  </si>
  <si>
    <t>Luftpolsterfolie Breite 100cm</t>
  </si>
  <si>
    <t>Luftpolsterfolie Breite 33cm</t>
  </si>
  <si>
    <t>Luftpolsterfolie Breite 20cm</t>
  </si>
  <si>
    <t>TRPRODAWET001</t>
  </si>
  <si>
    <t>Transport cost Armo-crete Prod</t>
  </si>
  <si>
    <t>Beton Gewebeband gelb</t>
  </si>
  <si>
    <t>Selbstklebeband PVC 50mm braun</t>
  </si>
  <si>
    <t>Selbstklebeband PVC 38mm transparent</t>
  </si>
  <si>
    <t>Doppelkseitiges Klebeband fadenverstärkt</t>
  </si>
  <si>
    <t>tesaband FLUORESZ.-PINK</t>
  </si>
  <si>
    <t>tesaband FLUORESZ.-GELB</t>
  </si>
  <si>
    <t>tesaband Klebeband S&amp;P bedruckt</t>
  </si>
  <si>
    <t>VERDIE0623</t>
  </si>
  <si>
    <t>Misc. Charges - Selling</t>
  </si>
  <si>
    <t>VERDIE0627</t>
  </si>
  <si>
    <t>Group Charges - Admin</t>
  </si>
  <si>
    <t>VERDIE0629</t>
  </si>
  <si>
    <t>Group &amp; misc. charges Below - Selling</t>
  </si>
  <si>
    <t>VERDIE0639</t>
  </si>
  <si>
    <t>S&amp;P Manufacturing Fee - own used products</t>
  </si>
  <si>
    <t>VERMIE0010</t>
  </si>
  <si>
    <t>Mietzins Wintersried</t>
  </si>
  <si>
    <t>VERMIE0100</t>
  </si>
  <si>
    <t>Miete Liegenschaft Elvas</t>
  </si>
  <si>
    <t>365ApP0000335</t>
  </si>
  <si>
    <t>SO0005738</t>
  </si>
  <si>
    <t>SO0005770</t>
  </si>
  <si>
    <t>SO0005771</t>
  </si>
  <si>
    <t>SO0005785</t>
  </si>
  <si>
    <t>SO0005790</t>
  </si>
  <si>
    <t>Production</t>
  </si>
  <si>
    <t>InvJ000620</t>
  </si>
  <si>
    <t>InvJ000622</t>
  </si>
  <si>
    <t>InvJ000623</t>
  </si>
  <si>
    <t>InvJ000626</t>
  </si>
  <si>
    <t>InvJ000627</t>
  </si>
  <si>
    <t>InvJ000628</t>
  </si>
  <si>
    <t>InvJ000629</t>
  </si>
  <si>
    <t>InvJ000630</t>
  </si>
  <si>
    <t>InvJ000631</t>
  </si>
  <si>
    <t>InvJ000633</t>
  </si>
  <si>
    <t>InvJ000635</t>
  </si>
  <si>
    <t>InvJ000637</t>
  </si>
  <si>
    <t>InvJ000638</t>
  </si>
  <si>
    <t>InvJ000640</t>
  </si>
  <si>
    <t>InvJ000641</t>
  </si>
  <si>
    <t>InvJ000642</t>
  </si>
  <si>
    <t>InvJ000643</t>
  </si>
  <si>
    <t>InvJ000646</t>
  </si>
  <si>
    <t>InvJ000647</t>
  </si>
  <si>
    <t>InvJ000648</t>
  </si>
  <si>
    <t>InvJ000649</t>
  </si>
  <si>
    <t>InvJ000650</t>
  </si>
  <si>
    <t>InvJ000651</t>
  </si>
  <si>
    <t>InvJ000654</t>
  </si>
  <si>
    <t>InvJ000655</t>
  </si>
  <si>
    <t>InvJ000658</t>
  </si>
  <si>
    <t>InvJ000659</t>
  </si>
  <si>
    <t>InvJ000660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</si>
  <si>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</si>
  <si>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</si>
  <si>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</si>
  <si>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</si>
  <si>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</si>
  <si>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</si>
  <si>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</si>
  <si>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</si>
  <si>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</si>
  <si>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</si>
  <si>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</si>
  <si>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</si>
  <si>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</si>
  <si>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</si>
  <si>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</si>
  <si>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</si>
  <si>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</si>
  <si>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</si>
  <si>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</si>
  <si>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</si>
  <si>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</si>
  <si>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</si>
  <si>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</si>
  <si>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</si>
  <si>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</si>
  <si>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Generate journal</t>
  </si>
  <si>
    <t>TPP Cost price</t>
  </si>
  <si>
    <t>TPP Cost Amount</t>
  </si>
  <si>
    <t>Production line,Counting</t>
  </si>
  <si>
    <t>00001322_067,00001323_067,InvJ000619</t>
  </si>
  <si>
    <t>Purchase order,Counting</t>
  </si>
  <si>
    <t>ApP0002487,InvJ000631</t>
  </si>
  <si>
    <t>InvJ000635,InvJ000670</t>
  </si>
  <si>
    <t>00001318_067,InvJ000643</t>
  </si>
  <si>
    <t>Sales order,Counting</t>
  </si>
  <si>
    <t>SO0005715,SO0005740,SO0005808,SO0005809,InvJ000629</t>
  </si>
  <si>
    <t>Purchase order,Counting,TPP adjustment</t>
  </si>
  <si>
    <t>ApP0002476,InvJ000627</t>
  </si>
  <si>
    <t>Counting,TPP adjustment</t>
  </si>
  <si>
    <t>Transaction,Counting</t>
  </si>
  <si>
    <t>InvJ000611,InvJ000623</t>
  </si>
  <si>
    <t>Purchase order,Sales order,TPP adjustment</t>
  </si>
  <si>
    <t>ApP0002491,368ApP0000202</t>
  </si>
  <si>
    <t>InvJ000614,InvJ000657</t>
  </si>
  <si>
    <t>InvJ000610,InvJ000613,InvJ000653</t>
  </si>
  <si>
    <t>InvJ000612,InvJ000634</t>
  </si>
  <si>
    <t>Production,Sales order,Counting</t>
  </si>
  <si>
    <t>00001295_067,SO0005715,00001307_067,00001308_067,00001309_067,00001310_067,00001311_067,00001312_067,00001313_067,SO0005740,SO0005808,SO0005809,InvJ000643</t>
  </si>
  <si>
    <t>Production line,Purchase order</t>
  </si>
  <si>
    <t>00001295_067,00001307_067,00001308_067,00001309_067,00001310_067,00001311_067,00001312_067,00001313_067,ApP0002497,ApP0002499,ApP0002501,ApP0002503,ApP0002505,ApP0002507,ApP0002509</t>
  </si>
  <si>
    <t>00001304_067,00001305_067,00001306_067,00001314_067,00001315_067,00001316_067,00001319_067,00001320_067,00001325_067,00001327_067,InvJ000630,00001329_067</t>
  </si>
  <si>
    <t>00001317_067,00001321_067,InvJ000630</t>
  </si>
  <si>
    <t>Production,Sales order</t>
  </si>
  <si>
    <t>00001304_067,00001305_067,00001306_067,SO0005715,SO0005749,00001314_067,00001315_067,SO0005751,SO0005755,SO0005769,00001316_067,SO0005777,00001319_067,00001320_067,SO0005782,SO0005795,00001325_067,SO0005820,SO0005828,SO0005829,00001327_067,SO0005841,00001329_067</t>
  </si>
  <si>
    <t>00001317_067,SO0005778,00001321_067,SO0005801,SO0005823,SO0005824,InvJ000630</t>
  </si>
  <si>
    <t>00001304_067,00001305_067,00001306_067,00001314_067,00001315_067,00001316_067,00001317_067,00001319_067,00001320_067,00001321_067,00001325_067,00001327_067,InvJ000653,00001329_067</t>
  </si>
  <si>
    <t>00001318_067,SO0005781,InvJ000643</t>
  </si>
  <si>
    <t>ApP0002439,InvJ000629</t>
  </si>
  <si>
    <t>SO0005788,SO0005801,InvJ000629</t>
  </si>
  <si>
    <t>InvJ000629,InvJ000671</t>
  </si>
  <si>
    <t>Sales order,Production line,Counting</t>
  </si>
  <si>
    <t>SO0005801,00001324_067,00001328_067,InvJ000630</t>
  </si>
  <si>
    <t>SO0005808,SO0005809,InvJ000630</t>
  </si>
  <si>
    <t>Sales order,Production</t>
  </si>
  <si>
    <t>SO0005818,00001324_067,SO0005735,00001328_067</t>
  </si>
  <si>
    <t>InvJ000630,InvJ000666</t>
  </si>
  <si>
    <t>Sales order,TPP adjustment</t>
  </si>
  <si>
    <t>SO0005754,SO0005762,SO0005802,SO0005803</t>
  </si>
  <si>
    <t>SO0005738,SO0005754,SO0005801,InvJ000643</t>
  </si>
  <si>
    <t>SO0005738,InvJ000643</t>
  </si>
  <si>
    <t>ApP0002484,InvJ000631</t>
  </si>
  <si>
    <t>Sales order,Purchase order</t>
  </si>
  <si>
    <t>SO0005748,ApP0002456,ApP0002477,SO0005715,SO0005747,SO0005749,SO0005752,SO0005753,SO0005762,SO0005740,SO0005751,SO0005755,SO0005769,ApP0002475,ApP0002495,SO0005772,SO0005773,SO0005775,SO0005777,SO0005778,SO0005779,SO0005620,SO0005789,SO0005802,SO0005804,SO0005806,SO0005808,SO0005814,ApP0002411,SO0005801,SO0005803,SO0005805,SO0005807,SO0005809,SO0005815,SO0005819,SO0005818,SO0005820,SO0005823,SO0005824,SO0005821,SO0005822,SO0005828,SO0005829,SO0005735,SO0005787,SO0005825,SO0005833,SO0005834</t>
  </si>
  <si>
    <t>SO0005754,SO0005768,SO0005780,SO0005781,SO0005788,SO0005816,SO0005831,SO0005832</t>
  </si>
  <si>
    <t>SO0005790,SO0005838,SO0005839</t>
  </si>
  <si>
    <t>SO0005791,SO0005792,SO0005794,SO0005796,SO0005797,SO0005798,SO0005799,SO0005800,SO0005840</t>
  </si>
  <si>
    <t>SO0005817,SO0005819</t>
  </si>
  <si>
    <t>SO0005835,SO0005837</t>
  </si>
  <si>
    <t>SO0005838,SO0005839</t>
  </si>
  <si>
    <t>00001295_067,00001307_067,00001308_067,00001309_067,00001310_067,00001311_067,00001312_067,00001313_067,ApP0002448,ApP0002469,ApP0002432,ApP0002434,ApP0002436,ApP0002498,ApP0002500,ApP0002502,ApP0002504,ApP0002506,ApP0002508,ApP0002510</t>
  </si>
  <si>
    <t>ApP0002544,ApP0002545,ApP0002546</t>
  </si>
  <si>
    <t>00001304_067,00001305_067,00001306_067,00001314_067,00001315_067,00001316_067,00001317_067,00001319_067,00001320_067,00001321_067,00001325_067,00001327_067,00001329_067</t>
  </si>
  <si>
    <t>00001322_067,00001323_067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</si>
  <si>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</si>
  <si>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</si>
  <si>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</si>
  <si>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</si>
  <si>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</si>
  <si>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</si>
  <si>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</si>
  <si>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</si>
  <si>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</si>
  <si>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</si>
  <si>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</si>
  <si>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</si>
  <si>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</si>
  <si>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</si>
  <si>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</si>
  <si>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</si>
  <si>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</si>
  <si>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</si>
  <si>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</si>
  <si>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</si>
  <si>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</si>
  <si>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</si>
  <si>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</si>
  <si>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</si>
  <si>
    <t>Totaled</t>
  </si>
  <si>
    <t>Material</t>
  </si>
  <si>
    <t>V1.1</t>
  </si>
  <si>
    <t>Fix an issue in TPPSum, TPP balance (ending)</t>
  </si>
  <si>
    <t>ARMOWET025RB</t>
  </si>
  <si>
    <t>LAENACS120</t>
  </si>
  <si>
    <t>S&amp;P ARMO-crete w (rb) 25kg bag</t>
  </si>
  <si>
    <t>LAENACS050</t>
  </si>
  <si>
    <t>LAENACS080</t>
  </si>
  <si>
    <t>LAENACS090</t>
  </si>
  <si>
    <t>LAENACS100</t>
  </si>
  <si>
    <t>CS240300600Z</t>
  </si>
  <si>
    <t>S&amp;P Asphalt Abrollgerät maschinell</t>
  </si>
  <si>
    <t>Branch</t>
  </si>
  <si>
    <t>Department</t>
  </si>
  <si>
    <t>Cost Center</t>
  </si>
  <si>
    <t>Purpose</t>
  </si>
  <si>
    <t>Tax Group</t>
  </si>
  <si>
    <t>Segment</t>
  </si>
  <si>
    <t>Major Marketing Group</t>
  </si>
  <si>
    <t>Detail Marketing Group</t>
  </si>
  <si>
    <t>Statutory</t>
  </si>
  <si>
    <t>Channel</t>
  </si>
  <si>
    <t>013</t>
  </si>
  <si>
    <t>ICIRpsSp</t>
  </si>
  <si>
    <t>ICI</t>
  </si>
  <si>
    <t>ARMO</t>
  </si>
  <si>
    <t>Grid</t>
  </si>
  <si>
    <t>ASPHALT</t>
  </si>
  <si>
    <t>Equipment</t>
  </si>
  <si>
    <t>Mortar Wet</t>
  </si>
  <si>
    <t>FRP</t>
  </si>
  <si>
    <t>Anchor</t>
  </si>
  <si>
    <t>Grid Carbo</t>
  </si>
  <si>
    <t>Epoxy</t>
  </si>
  <si>
    <t>Sheets Car</t>
  </si>
  <si>
    <t>Grid Glass</t>
  </si>
  <si>
    <t>Sheets Gla</t>
  </si>
  <si>
    <t>Laminate</t>
  </si>
  <si>
    <t>Laminate H</t>
  </si>
  <si>
    <t>Carbon</t>
  </si>
  <si>
    <t>Cleaner</t>
  </si>
  <si>
    <t>Anchorplat</t>
  </si>
  <si>
    <t>Prestress</t>
  </si>
  <si>
    <t>ACETONAIND</t>
  </si>
  <si>
    <t>165</t>
  </si>
  <si>
    <t>EO</t>
  </si>
  <si>
    <t>AO</t>
  </si>
  <si>
    <t>ARMOMUR025RB</t>
  </si>
  <si>
    <t>JobSite</t>
  </si>
  <si>
    <t>CAG0195200GV</t>
  </si>
  <si>
    <t>CAGV0195200</t>
  </si>
  <si>
    <t>CS240400500PT</t>
  </si>
  <si>
    <t>CS240600300_Old</t>
  </si>
  <si>
    <t>FX70-6MP-5A-PS</t>
  </si>
  <si>
    <t>FX70-6MP-5B-PS</t>
  </si>
  <si>
    <t>FX70-6MP-C-PS</t>
  </si>
  <si>
    <t>FXSSST141-RP1000</t>
  </si>
  <si>
    <t>GLG0097120GV</t>
  </si>
  <si>
    <t>GLG0195120GV</t>
  </si>
  <si>
    <t>LA20001014</t>
  </si>
  <si>
    <t>LA20005012</t>
  </si>
  <si>
    <t>LAANDPULAWPF</t>
  </si>
  <si>
    <t>LABYK9076</t>
  </si>
  <si>
    <t>LAMOULEX352</t>
  </si>
  <si>
    <t>LAMOWIPUL24</t>
  </si>
  <si>
    <t>LANOXTBPB40</t>
  </si>
  <si>
    <t>LAPOWDER</t>
  </si>
  <si>
    <t>LAPRFRP001</t>
  </si>
  <si>
    <t>LAPSTKO110</t>
  </si>
  <si>
    <t>LAREBBICA141</t>
  </si>
  <si>
    <t>LAREBBICH141</t>
  </si>
  <si>
    <t>LAREBBICR141</t>
  </si>
  <si>
    <t>LARESDER41145</t>
  </si>
  <si>
    <t>LATRENV100</t>
  </si>
  <si>
    <t>SHPRFRP003</t>
  </si>
  <si>
    <t>SHPRFRP005</t>
  </si>
  <si>
    <t>SHPRFRP007</t>
  </si>
  <si>
    <t>SHRECAN</t>
  </si>
  <si>
    <t>SHRESEPO50</t>
  </si>
  <si>
    <t>T70024K</t>
  </si>
  <si>
    <t>TENAXHT8TEX</t>
  </si>
  <si>
    <t>TENAXIS8TEX</t>
  </si>
  <si>
    <t>TENAXS16TEX</t>
  </si>
  <si>
    <t>TR</t>
  </si>
  <si>
    <t>ARAPTOOL003</t>
  </si>
  <si>
    <t>AS120290300</t>
  </si>
  <si>
    <t>FillIn</t>
  </si>
  <si>
    <t>FX70-JKT-A3MM</t>
  </si>
  <si>
    <t>GLG0195200GV</t>
  </si>
  <si>
    <t>GSE09010A67</t>
  </si>
  <si>
    <t>SHEPO0002B</t>
  </si>
  <si>
    <t>SHRESEPO5005PT</t>
  </si>
  <si>
    <t>SHRESEPO5015PT</t>
  </si>
  <si>
    <t>SHRESICA004</t>
  </si>
  <si>
    <t>SHRESIN50APT</t>
  </si>
  <si>
    <t>SHRESIN50BPT</t>
  </si>
  <si>
    <t>Acetona Industrial</t>
  </si>
  <si>
    <t>010</t>
  </si>
  <si>
    <t>POR1</t>
  </si>
  <si>
    <t>BuyOut</t>
  </si>
  <si>
    <t>PowerPack</t>
  </si>
  <si>
    <t>S&amp;P ARMO-mur (rb), bag of 25kg</t>
  </si>
  <si>
    <t>S&amp;P A-Sheet 120 290 g/m²</t>
  </si>
  <si>
    <t>Sheets Ara</t>
  </si>
  <si>
    <t>S&amp;P Carbophalt GV</t>
  </si>
  <si>
    <t>CS240300300PT</t>
  </si>
  <si>
    <t>PT C-Sheet 240 300 g/m2, 50m</t>
  </si>
  <si>
    <t>CS240300500PT</t>
  </si>
  <si>
    <t>PT C-Sheet 240 300 g/m2, 100m</t>
  </si>
  <si>
    <t>CS240400300PT</t>
  </si>
  <si>
    <t>PT C-Sheet 240 400 g/m2, 150m</t>
  </si>
  <si>
    <t>PT C-Sheet 240 400 g/m2, 100m</t>
  </si>
  <si>
    <t>RPS-ALL</t>
  </si>
  <si>
    <t>Grouts</t>
  </si>
  <si>
    <t>FX70-6MP Epoxy Comp A 5 GAL (POR/ESP)</t>
  </si>
  <si>
    <t>FX70-6MP Epoxy Comp B 5 GAL (POR/ESP)</t>
  </si>
  <si>
    <t>FX70-6MP FILLER 50 LB Bag (POR/ESP)</t>
  </si>
  <si>
    <t>FX JACKET, THICKNESS 3MM</t>
  </si>
  <si>
    <t>FX70</t>
  </si>
  <si>
    <t>Screws (1000 piece bag)</t>
  </si>
  <si>
    <t>GLG005020BIT</t>
  </si>
  <si>
    <t>Grid Bit</t>
  </si>
  <si>
    <t>S&amp;P Glasphalt GV (120/200kN)</t>
  </si>
  <si>
    <t>GSAR9010A67</t>
  </si>
  <si>
    <t>S&amp;P G-Sheet AR 90/10 Typ A</t>
  </si>
  <si>
    <t>GSAR9010B67</t>
  </si>
  <si>
    <t>S&amp;P G-Sheet AR 90/10 Typ B</t>
  </si>
  <si>
    <t>S&amp;P G-Sheet E 90/10 Typ A</t>
  </si>
  <si>
    <t>S&amp;P C-Laminate HM (200/2000) 10/1.4</t>
  </si>
  <si>
    <t>S&amp;P C-Laminate HM (200/2000) 
50/1.2</t>
  </si>
  <si>
    <t>Andonox Pulcat AW-PF BX020</t>
  </si>
  <si>
    <t>Byk 90 76</t>
  </si>
  <si>
    <t>S&amp;P End Anchor Typ 50</t>
  </si>
  <si>
    <t>S&amp;P End Anchor Typ 80</t>
  </si>
  <si>
    <t>S&amp;P End Anchor Typ 90</t>
  </si>
  <si>
    <t>S&amp;P End Anchor Typ 100</t>
  </si>
  <si>
    <t>S&amp;P End Anchor Typ 120</t>
  </si>
  <si>
    <t>S&amp;P Gluing system</t>
  </si>
  <si>
    <t>Moulex 352N</t>
  </si>
  <si>
    <t>Mold Wiz Pul 24</t>
  </si>
  <si>
    <t>Norox TBPB - Peroxido 40</t>
  </si>
  <si>
    <t>LAPEROXM20</t>
  </si>
  <si>
    <t>Peroxan PB M -20</t>
  </si>
  <si>
    <t>LAPEROXMI60</t>
  </si>
  <si>
    <t>Peroxan MI-60 KX</t>
  </si>
  <si>
    <t>S&amp;P POWDER</t>
  </si>
  <si>
    <t>Torayca  T620SC-24000-60E-P1</t>
  </si>
  <si>
    <t>S&amp;P Verankerungsplatte Vorspannung Set</t>
  </si>
  <si>
    <t>Rebelco-Biresin CA 141 (10kg)</t>
  </si>
  <si>
    <t>Rebelco-Biresin CH 141 (9kg)</t>
  </si>
  <si>
    <t>Rebelco-Biresin CR 141 (10kg)</t>
  </si>
  <si>
    <t>Resina Derakane 411.45</t>
  </si>
  <si>
    <t>LARESDER44140</t>
  </si>
  <si>
    <t>Resina Derakane 441.40</t>
  </si>
  <si>
    <t>LARESDERM411350</t>
  </si>
  <si>
    <t>Resina Derakane Momentum 411-350</t>
  </si>
  <si>
    <t>Tren s V 100,20x1L</t>
  </si>
  <si>
    <t>S&amp;P Resin 50/55 Resicem Komp. B 2kg</t>
  </si>
  <si>
    <t>SHPRFRP001</t>
  </si>
  <si>
    <t>Tenax (R) E - Carbon HTA40 E13 12K 800tex</t>
  </si>
  <si>
    <t>SHPRFRP002</t>
  </si>
  <si>
    <t>Tenax (R) E - Carbon HTS40 F13 12K 800tex</t>
  </si>
  <si>
    <t>Tenax (R) E - Carbon STS40 F13 24K 1600tex</t>
  </si>
  <si>
    <t>SHPRFRP004</t>
  </si>
  <si>
    <t>Tenax (R) E - Carbon UTS50 F24 24K 1600tex DCP</t>
  </si>
  <si>
    <t>Tenax (R) E - Carbon HTS40 F13 24K 1600tex</t>
  </si>
  <si>
    <t>Tenax (R) E - Carbon ITS50 F23
24K 1600tex D</t>
  </si>
  <si>
    <t>S&amp;P embalagens Resin 50/55</t>
  </si>
  <si>
    <t>S&amp;P Resin Epoxy 50 , primer (Set à 6 kg)</t>
  </si>
  <si>
    <t>PT Resin 50 - Conj. 5Kg - N</t>
  </si>
  <si>
    <t>PT Resin 50 - Conj. 15Kg - N</t>
  </si>
  <si>
    <t>S&amp;P Resin Epoxy 55, impregnation (Set à 6 kg)</t>
  </si>
  <si>
    <t>SHRESEPO5505PT</t>
  </si>
  <si>
    <t>PT Resin 55 - Conj. 5 Kg - N</t>
  </si>
  <si>
    <t>SHRESEPO5506PT</t>
  </si>
  <si>
    <t>PT Resin 55 - Conj. 6 Kg - N</t>
  </si>
  <si>
    <t>S&amp;P Resicem Komp. A 4 kg</t>
  </si>
  <si>
    <t>S&amp;P Resicem, impregnation vapour permeable (Set à 10 kg)</t>
  </si>
  <si>
    <t>SHRESIN50A</t>
  </si>
  <si>
    <t>S&amp;P Resin 50 Komp. A 4 kg</t>
  </si>
  <si>
    <t>S&amp;P RESIN 50- Comp.A</t>
  </si>
  <si>
    <t>SHRESIN50B</t>
  </si>
  <si>
    <t>S&amp;P Resin 50 Komp. B 2 kg</t>
  </si>
  <si>
    <t>S&amp;P RESIN 50- Comp.B</t>
  </si>
  <si>
    <t>Carbon Fiber T700SC 24K FOE</t>
  </si>
  <si>
    <t>Tenax - HTS  800tex</t>
  </si>
  <si>
    <t>Tenax - E IMS65 E23 24K  830tex</t>
  </si>
  <si>
    <t>Tenax - J Carbon STS40 F13 24K 1600tex</t>
  </si>
  <si>
    <t>TENAXUT16TEX</t>
  </si>
  <si>
    <t>Tenax - UTS  1600tex</t>
  </si>
  <si>
    <t>PO000300</t>
  </si>
  <si>
    <t>PC000302</t>
  </si>
  <si>
    <t>Lot 051167</t>
  </si>
  <si>
    <t>Posted</t>
  </si>
  <si>
    <t>ApP0000349</t>
  </si>
  <si>
    <t>PoI0000289</t>
  </si>
  <si>
    <t>Lot 051171</t>
  </si>
  <si>
    <t>ApP0000346</t>
  </si>
  <si>
    <t>PoI0000292</t>
  </si>
  <si>
    <t>Lot 050846</t>
  </si>
  <si>
    <t>Transfer order shipment</t>
  </si>
  <si>
    <t>Xfr0000098</t>
  </si>
  <si>
    <t>XfrV000108</t>
  </si>
  <si>
    <t>Lot 051187</t>
  </si>
  <si>
    <t>Transfer order receive</t>
  </si>
  <si>
    <t>Lot 051190</t>
  </si>
  <si>
    <t>Rdr0000919</t>
  </si>
  <si>
    <t>FT 01/01065</t>
  </si>
  <si>
    <t>Lot 050882</t>
  </si>
  <si>
    <t>360ApP0002616</t>
  </si>
  <si>
    <t>FT 01/01063</t>
  </si>
  <si>
    <t>Lot 051009</t>
  </si>
  <si>
    <t>360368ApP0000216</t>
  </si>
  <si>
    <t>FT 01/01061</t>
  </si>
  <si>
    <t>Lot 051013</t>
  </si>
  <si>
    <t>Lot 050940</t>
  </si>
  <si>
    <t>360ApP0002626</t>
  </si>
  <si>
    <t>FT 01/01066</t>
  </si>
  <si>
    <t>Lot 051094</t>
  </si>
  <si>
    <t>Lot 051095</t>
  </si>
  <si>
    <t>Lot 051096</t>
  </si>
  <si>
    <t>Lot 051014</t>
  </si>
  <si>
    <t>Lot 051015</t>
  </si>
  <si>
    <t>Lot 051016</t>
  </si>
  <si>
    <t>Lot 051093</t>
  </si>
  <si>
    <t>ApP0000351</t>
  </si>
  <si>
    <t>PoI0000291</t>
  </si>
  <si>
    <t>Lot 051178</t>
  </si>
  <si>
    <t>Lot 050943</t>
  </si>
  <si>
    <t>Lot 050945</t>
  </si>
  <si>
    <t>Lot 050946</t>
  </si>
  <si>
    <t>ApP0000350</t>
  </si>
  <si>
    <t>PoI0000290</t>
  </si>
  <si>
    <t>Lot 051172</t>
  </si>
  <si>
    <t>Lot 051169</t>
  </si>
  <si>
    <t>Lot 051179</t>
  </si>
  <si>
    <t>Lot 050944</t>
  </si>
  <si>
    <t>Lot 050942</t>
  </si>
  <si>
    <t>Rdr0000922</t>
  </si>
  <si>
    <t>NC 01/00057</t>
  </si>
  <si>
    <t>Lot 051174</t>
  </si>
  <si>
    <t>Rdr0000923</t>
  </si>
  <si>
    <t>FT 01/01069</t>
  </si>
  <si>
    <t>Lot 051176</t>
  </si>
  <si>
    <t>Lot 051161</t>
  </si>
  <si>
    <t>ApP0000352</t>
  </si>
  <si>
    <t>PoI0000293</t>
  </si>
  <si>
    <t>Lot 051191</t>
  </si>
  <si>
    <t>Rdr0000927</t>
  </si>
  <si>
    <t>Lot 051181</t>
  </si>
  <si>
    <t>Lot 051200</t>
  </si>
  <si>
    <t>Lot 051201</t>
  </si>
  <si>
    <t>Lot 051193</t>
  </si>
  <si>
    <t>Lot 051197</t>
  </si>
  <si>
    <t>Lot 051194</t>
  </si>
  <si>
    <t>Lot 051199</t>
  </si>
  <si>
    <t>Lot 051188</t>
  </si>
  <si>
    <t>Lot 051189</t>
  </si>
  <si>
    <t>V1.2</t>
  </si>
  <si>
    <t>In On-hand statement report, round up the amount to 2 decimals when comparing the transaction amount;</t>
  </si>
  <si>
    <t>Fix an issue when there is no record generated;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</si>
</sst>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0" fontId="0" fillId="0" borderId="0" xfId="0" applyAlignment="1">
      <alignment wrapText="1"/>
    </xf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</cellXfs>
  <cellStyles count="3">
    <cellStyle name="Comma" xfId="2" builtinId="3"/>
    <cellStyle name="Normal" xfId="0" builtinId="0"/>
    <cellStyle name="Title" xfId="1" builtinId="15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9" name="OnHandStatement" displayName="OnHandStatement" ref="A1:P82" totalsRowShown="0" dataDxfId="134" dataCellStyle="Comma">
  <autoFilter ref="A1:P82">
    <filterColumn colId="15">
      <filters>
        <filter val="Yes"/>
      </filters>
    </filterColumn>
  </autoFilter>
  <tableColumns count="16">
    <tableColumn id="1" name="Item"/>
    <tableColumn id="2" name="Site"/>
    <tableColumn id="3" name="Warehouse"/>
    <tableColumn id="4" name="Invent on-hand beginning" dataDxfId="133" dataCellStyle="Comma"/>
    <tableColumn id="5" name="TPP on-hand beginning" dataDxfId="132" dataCellStyle="Comma"/>
    <tableColumn id="6" name="Beginning balance reconcile" dataDxfId="131" dataCellStyle="Comma"/>
    <tableColumn id="7" name="TPP Balance Beginning" dataDxfId="130" dataCellStyle="Comma"/>
    <tableColumn id="8" name="TPP Cost price Beginning" dataDxfId="129" dataCellStyle="Comma"/>
    <tableColumn id="9" name="Invent Transaction" dataDxfId="128" dataCellStyle="Comma"/>
    <tableColumn id="10" name="TPP Transaction" dataDxfId="127" dataCellStyle="Comma"/>
    <tableColumn id="11" name="Invent ending balance" dataDxfId="126" dataCellStyle="Comma"/>
    <tableColumn id="12" name="TPP on-hand ending balance" dataDxfId="125" dataCellStyle="Comma"/>
    <tableColumn id="13" name="Ending ON-hand reconcile" dataDxfId="124" dataCellStyle="Comma"/>
    <tableColumn id="14" name="TPP Balance Ending" dataDxfId="123" dataCellStyle="Comma"/>
    <tableColumn id="15" name="TPP Cost price Ending" dataDxfId="12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0" name="TPPAdjustmentProposal" displayName="TPPAdjustmentProposal" ref="A1:Q11" totalsRowShown="0">
  <autoFilter ref="A1:Q11"/>
  <tableColumns count="17">
    <tableColumn id="1" name="Item number"/>
    <tableColumn id="2" name="Item name"/>
    <tableColumn id="3" name="Site"/>
    <tableColumn id="4" name="Warehouse"/>
    <tableColumn id="5" name="Date" dataDxfId="121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202" totalsRowShown="0">
  <autoFilter ref="A1:I202"/>
  <tableColumns count="9">
    <tableColumn id="1" name="Date" dataDxfId="120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AtlasReport_1_Table_1" displayName="AtlasReport_1_Table_1" ref="A2:N48" totalsRowCount="1">
  <autoFilter ref="A2:N47"/>
  <tableColumns count="14">
    <tableColumn id="1" name="Reference" totalsRowLabel="Total" dataDxfId="119" totalsRowDxfId="118"/>
    <tableColumn id="2" name="Number" dataDxfId="117" totalsRowDxfId="116"/>
    <tableColumn id="3" name="Item number" totalsRowLabel="Total" dataDxfId="115" totalsRowDxfId="114"/>
    <tableColumn id="4" name="Item name" dataDxfId="113" totalsRowDxfId="112"/>
    <tableColumn id="5" name="Site" dataDxfId="111" totalsRowDxfId="110"/>
    <tableColumn id="6" name="Warehouse" dataDxfId="109" totalsRowDxfId="108"/>
    <tableColumn id="7" name="Physical date" dataDxfId="107" totalsRowDxfId="106"/>
    <tableColumn id="8" name="Financial date" dataDxfId="105" totalsRowDxfId="104"/>
    <tableColumn id="9" name="Quantity" totalsRowFunction="sum" dataDxfId="103" totalsRowDxfId="102"/>
    <tableColumn id="10" name="Unit" dataDxfId="101" totalsRowDxfId="100"/>
    <tableColumn id="11" name="Lot ID" dataDxfId="99" totalsRowDxfId="98"/>
    <tableColumn id="12" name="VendInvoiceTransId" dataDxfId="97" totalsRowDxfId="96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95" totalsRowDxfId="94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93" totalsRowDxfId="92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AtlasReport_2_Table_1" displayName="AtlasReport_2_Table_1" ref="A2:Q125" totalsRowCount="1">
  <autoFilter ref="A2:Q124"/>
  <tableColumns count="17">
    <tableColumn id="1" name="Reference" totalsRowLabel="Total" dataDxfId="91" totalsRowDxfId="90"/>
    <tableColumn id="2" name="Number" dataDxfId="89" totalsRowDxfId="88"/>
    <tableColumn id="3" name="Item number" dataDxfId="87" totalsRowDxfId="86"/>
    <tableColumn id="4" name="Item name" dataDxfId="85" totalsRowDxfId="84"/>
    <tableColumn id="5" name="Date" dataDxfId="83" totalsRowDxfId="82"/>
    <tableColumn id="6" name="Site" dataDxfId="81" totalsRowDxfId="80"/>
    <tableColumn id="7" name="Warehouse" dataDxfId="79" totalsRowDxfId="78"/>
    <tableColumn id="8" name="Quantity" totalsRowFunction="sum" dataDxfId="77" totalsRowDxfId="76"/>
    <tableColumn id="9" name="Unit" dataDxfId="75" totalsRowDxfId="74"/>
    <tableColumn id="10" name="TPP cost price" totalsRowFunction="sum" dataDxfId="73" totalsRowDxfId="72"/>
    <tableColumn id="11" name="TPP cost amount" totalsRowFunction="sum" dataDxfId="71" totalsRowDxfId="70"/>
    <tableColumn id="12" name="Currency" dataDxfId="69" totalsRowDxfId="68"/>
    <tableColumn id="13" name="TPP cost amount currency" totalsRowFunction="sum" dataDxfId="67" totalsRowDxfId="66"/>
    <tableColumn id="14" name="Financial voucher" dataDxfId="65" totalsRowDxfId="64"/>
    <tableColumn id="15" name="Lot ID" dataDxfId="63" totalsRowDxfId="62"/>
    <tableColumn id="16" name="Status" dataDxfId="61" totalsRowDxfId="60"/>
    <tableColumn id="17" name="InventTransRecId" totalsRowFunction="sum" dataDxfId="59" totalsRow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AtlasReport_3_Table_1" displayName="AtlasReport_3_Table_1" ref="A2:H297" totalsRowCount="1">
  <autoFilter ref="A2:H296"/>
  <tableColumns count="8">
    <tableColumn id="1" name="Item number" totalsRowLabel="Total" dataDxfId="57" totalsRowDxfId="56"/>
    <tableColumn id="2" name="Site" dataDxfId="55" totalsRowDxfId="54"/>
    <tableColumn id="3" name="Warehouse" dataDxfId="53" totalsRowDxfId="52"/>
    <tableColumn id="4" name="Current On-hand" totalsRowFunction="sum" dataDxfId="51" totalsRowDxfId="50"/>
    <tableColumn id="5" name="Trans backwords (Beginning)" totalsRowFunction="sum" dataDxfId="49" totalsRowDxfId="48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47" totalsRowDxfId="46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45" totalsRowDxfId="44">
      <calculatedColumnFormula>AtlasReport_3_Table_1[[#This Row],[Current On-hand]]-AtlasReport_3_Table_1[[#This Row],[Trans backwords (Beginning)]]</calculatedColumnFormula>
    </tableColumn>
    <tableColumn id="8" name="Ending On-hand" totalsRowFunction="sum" dataDxfId="43" totalsRowDxfId="42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AtlasReport_4_Table_1" displayName="AtlasReport_4_Table_1" ref="A2:M102" totalsRowCount="1">
  <autoFilter ref="A2:M101"/>
  <tableColumns count="13">
    <tableColumn id="1" name="Item number" totalsRowLabel="Total" dataDxfId="41" totalsRowDxfId="40"/>
    <tableColumn id="2" name="Site" dataDxfId="39" totalsRowDxfId="38"/>
    <tableColumn id="3" name="Warehouse" dataDxfId="37" totalsRowDxfId="36"/>
    <tableColumn id="4" name="Quantity" totalsRowFunction="sum" dataDxfId="35" totalsRowDxfId="34"/>
    <tableColumn id="5" name="TPP cost amount" totalsRowFunction="sum" dataDxfId="33" totalsRowDxfId="32"/>
    <tableColumn id="6" name="TPP trans backwards (Beginning)" dataDxfId="31" totalsRowDxfId="30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29" totalsRowDxfId="28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27" totalsRowDxfId="26">
      <calculatedColumnFormula>AtlasReport_4_Table_1[[#This Row],[Quantity]]-AtlasReport_4_Table_1[[#This Row],[TPP trans backwards (Beginning)]]</calculatedColumnFormula>
    </tableColumn>
    <tableColumn id="9" name="TPP On-hand (Ending)" dataDxfId="25" totalsRowDxfId="24">
      <calculatedColumnFormula>AtlasReport_4_Table_1[[#This Row],[Quantity]]-AtlasReport_4_Table_1[[#This Row],[TPP trans backwards (Ending)]]</calculatedColumnFormula>
    </tableColumn>
    <tableColumn id="10" name="TPP trans backwards balance (Beginning)" dataDxfId="23" totalsRowDxfId="22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21" totalsRowDxfId="20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19" totalsRowDxfId="18">
      <calculatedColumnFormula>AtlasReport_4_Table_1[[#This Row],[TPP cost amount]]-AtlasReport_4_Table_1[[#This Row],[TPP trans backwards balance (Beginning)]]</calculatedColumnFormula>
    </tableColumn>
    <tableColumn id="13" name="TPP Balance (Ending)" dataDxfId="17" totalsRowDxfId="16">
      <calculatedColumnFormula>AtlasReport_4_Table_1[[#This Row],[TPP cost amount]]-AtlasReport_4_Table_1[[#This Row],[TPP trans backwards balance (Ending)]]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AtlasReport_5_Table_1" displayName="AtlasReport_5_Table_1" ref="A2:O140" totalsRowShown="0">
  <autoFilter ref="A2:O140"/>
  <tableColumns count="15">
    <tableColumn id="1" name="Item number" dataDxfId="15"/>
    <tableColumn id="2" name="Item name" dataDxfId="14"/>
    <tableColumn id="3" name="Item group" dataDxfId="13"/>
    <tableColumn id="4" name="Item type" dataDxfId="12"/>
    <tableColumn id="5" name="Unit" dataDxfId="11"/>
    <tableColumn id="6" name="Branch" dataDxfId="10"/>
    <tableColumn id="7" name="Department" dataDxfId="9"/>
    <tableColumn id="8" name="Cost Center" dataDxfId="8"/>
    <tableColumn id="9" name="Purpose" dataDxfId="7"/>
    <tableColumn id="10" name="Tax Group" dataDxfId="6"/>
    <tableColumn id="11" name="Segment" dataDxfId="5"/>
    <tableColumn id="12" name="Major Marketing Group" dataDxfId="4"/>
    <tableColumn id="13" name="Detail Marketing Group" dataDxfId="3"/>
    <tableColumn id="14" name="Statutory" dataDxfId="2"/>
    <tableColumn id="15" name="Channel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0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6" totalsRowShown="0">
  <autoFilter ref="A72:B7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40"/>
  <sheetViews>
    <sheetView tabSelected="1" workbookViewId="0">
      <selection activeCell="D41" sqref="D41"/>
    </sheetView>
  </sheetViews>
  <sheetFormatPr defaultRowHeight="15" x14ac:dyDescent="0.2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 x14ac:dyDescent="0.25">
      <c r="B1" t="s">
        <v>0</v>
      </c>
      <c r="C1">
        <v>365</v>
      </c>
      <c r="F1" t="str">
        <f>VLOOKUP(DateRegion,Table9[#All],2,0)</f>
        <v>MM.DD.YYYY</v>
      </c>
      <c r="G1" t="s">
        <v>3</v>
      </c>
      <c r="H1" t="s">
        <v>579</v>
      </c>
    </row>
    <row r="2" spans="2:17" x14ac:dyDescent="0.25">
      <c r="B2" t="s">
        <v>1</v>
      </c>
      <c r="C2" s="1">
        <v>43128</v>
      </c>
      <c r="P2" t="s">
        <v>584</v>
      </c>
      <c r="Q2" s="16">
        <v>0.87027777777777782</v>
      </c>
    </row>
    <row r="3" spans="2:17" x14ac:dyDescent="0.25">
      <c r="B3" t="s">
        <v>2</v>
      </c>
      <c r="C3" s="1">
        <v>43131</v>
      </c>
      <c r="P3" t="s">
        <v>585</v>
      </c>
      <c r="Q3" s="16">
        <v>0.87028935185185186</v>
      </c>
    </row>
    <row r="4" spans="2:17" x14ac:dyDescent="0.25">
      <c r="B4" t="s">
        <v>5</v>
      </c>
      <c r="C4" t="str">
        <f>TEXT(FromDate,DateFormat) &amp; " .. " &amp; TEXT(ToDate,DateFormat)</f>
        <v>01.28.2018 .. 01.31.2018</v>
      </c>
      <c r="F4" t="s">
        <v>77</v>
      </c>
      <c r="G4" t="str">
        <f>TEXT(FromDate,DateFormat)&amp;" .. "&amp;TEXT(DATE(2099,12,31),DateFormat)</f>
        <v>01.28.2018 .. 12.31.2099</v>
      </c>
      <c r="P4" s="17" t="s">
        <v>586</v>
      </c>
      <c r="Q4" s="16">
        <v>0.87030092592592589</v>
      </c>
    </row>
    <row r="5" spans="2:17" x14ac:dyDescent="0.25">
      <c r="F5" t="s">
        <v>78</v>
      </c>
      <c r="G5" t="str">
        <f>TEXT(ToDate+1,DateFormat)&amp;" .. "&amp;TEXT(DATE(2099,12,31),DateFormat)</f>
        <v>02.01.2018 .. 12.31.2099</v>
      </c>
    </row>
    <row r="7" spans="2:17" x14ac:dyDescent="0.25">
      <c r="B7" t="s">
        <v>207</v>
      </c>
      <c r="C7" t="s">
        <v>214</v>
      </c>
    </row>
    <row r="8" spans="2:17" x14ac:dyDescent="0.25">
      <c r="B8" t="s">
        <v>164</v>
      </c>
      <c r="C8" t="s">
        <v>580</v>
      </c>
    </row>
    <row r="9" spans="2:17" x14ac:dyDescent="0.25">
      <c r="P9" t="s">
        <v>587</v>
      </c>
      <c r="Q9" s="16">
        <v>0.87064814814814817</v>
      </c>
    </row>
    <row r="10" spans="2:17" x14ac:dyDescent="0.25">
      <c r="P10" t="s">
        <v>588</v>
      </c>
      <c r="Q10" s="16">
        <v>0.87065972222222221</v>
      </c>
    </row>
    <row r="11" spans="2:17" x14ac:dyDescent="0.25">
      <c r="B11" t="s">
        <v>581</v>
      </c>
      <c r="P11" s="18" t="s">
        <v>586</v>
      </c>
      <c r="Q11" s="16">
        <v>0.87085648148148154</v>
      </c>
    </row>
    <row r="12" spans="2:17" x14ac:dyDescent="0.25">
      <c r="B12">
        <v>1</v>
      </c>
      <c r="C12" t="s">
        <v>648</v>
      </c>
    </row>
    <row r="13" spans="2:17" x14ac:dyDescent="0.25">
      <c r="C13" t="s">
        <v>649</v>
      </c>
    </row>
    <row r="14" spans="2:17" x14ac:dyDescent="0.25">
      <c r="C14" t="s">
        <v>650</v>
      </c>
    </row>
    <row r="15" spans="2:17" x14ac:dyDescent="0.25">
      <c r="C15" s="20" t="s">
        <v>671</v>
      </c>
    </row>
    <row r="16" spans="2:17" x14ac:dyDescent="0.25">
      <c r="B16">
        <v>2</v>
      </c>
      <c r="C16" t="s">
        <v>651</v>
      </c>
      <c r="P16" t="s">
        <v>589</v>
      </c>
      <c r="Q16" s="16">
        <v>0.87416666666666665</v>
      </c>
    </row>
    <row r="17" spans="2:17" x14ac:dyDescent="0.25">
      <c r="C17" t="s">
        <v>652</v>
      </c>
      <c r="P17" s="17" t="s">
        <v>590</v>
      </c>
      <c r="Q17" s="16">
        <v>0.87429398148148152</v>
      </c>
    </row>
    <row r="18" spans="2:17" x14ac:dyDescent="0.25">
      <c r="C18" t="s">
        <v>653</v>
      </c>
    </row>
    <row r="19" spans="2:17" x14ac:dyDescent="0.25">
      <c r="C19" s="19" t="s">
        <v>654</v>
      </c>
    </row>
    <row r="20" spans="2:17" x14ac:dyDescent="0.25">
      <c r="C20" s="20" t="s">
        <v>655</v>
      </c>
    </row>
    <row r="21" spans="2:17" x14ac:dyDescent="0.25">
      <c r="C21" s="20" t="s">
        <v>656</v>
      </c>
    </row>
    <row r="22" spans="2:17" x14ac:dyDescent="0.25">
      <c r="B22">
        <v>3</v>
      </c>
      <c r="C22" t="s">
        <v>657</v>
      </c>
    </row>
    <row r="23" spans="2:17" x14ac:dyDescent="0.25">
      <c r="C23" t="s">
        <v>658</v>
      </c>
      <c r="L23" t="s">
        <v>157</v>
      </c>
      <c r="M23" t="s">
        <v>221</v>
      </c>
    </row>
    <row r="24" spans="2:17" x14ac:dyDescent="0.25">
      <c r="C24" t="s">
        <v>659</v>
      </c>
      <c r="L24" t="s">
        <v>6</v>
      </c>
      <c r="M24" t="s">
        <v>212</v>
      </c>
    </row>
    <row r="25" spans="2:17" x14ac:dyDescent="0.25">
      <c r="C25" s="20" t="s">
        <v>660</v>
      </c>
      <c r="L25" t="s">
        <v>47</v>
      </c>
      <c r="M25" t="s">
        <v>212</v>
      </c>
    </row>
    <row r="26" spans="2:17" x14ac:dyDescent="0.25">
      <c r="C26" s="20" t="s">
        <v>661</v>
      </c>
      <c r="L26" t="s">
        <v>570</v>
      </c>
      <c r="M26" t="s">
        <v>216</v>
      </c>
    </row>
    <row r="27" spans="2:17" x14ac:dyDescent="0.25">
      <c r="B27">
        <v>4</v>
      </c>
      <c r="C27" t="s">
        <v>662</v>
      </c>
      <c r="L27" t="s">
        <v>8</v>
      </c>
      <c r="M27" t="s">
        <v>216</v>
      </c>
    </row>
    <row r="28" spans="2:17" x14ac:dyDescent="0.25">
      <c r="C28" t="s">
        <v>663</v>
      </c>
      <c r="L28" t="s">
        <v>44</v>
      </c>
      <c r="M28" t="s">
        <v>216</v>
      </c>
    </row>
    <row r="29" spans="2:17" x14ac:dyDescent="0.25">
      <c r="C29" s="20" t="s">
        <v>664</v>
      </c>
    </row>
    <row r="30" spans="2:17" x14ac:dyDescent="0.25">
      <c r="C30" s="20" t="s">
        <v>665</v>
      </c>
    </row>
    <row r="31" spans="2:17" x14ac:dyDescent="0.25">
      <c r="C31" s="20" t="s">
        <v>666</v>
      </c>
    </row>
    <row r="32" spans="2:17" x14ac:dyDescent="0.25">
      <c r="B32">
        <v>5</v>
      </c>
      <c r="C32" s="21" t="s">
        <v>667</v>
      </c>
    </row>
    <row r="33" spans="2:4" x14ac:dyDescent="0.25">
      <c r="C33" s="20" t="s">
        <v>668</v>
      </c>
    </row>
    <row r="34" spans="2:4" x14ac:dyDescent="0.25">
      <c r="C34" s="20" t="s">
        <v>669</v>
      </c>
    </row>
    <row r="36" spans="2:4" x14ac:dyDescent="0.25">
      <c r="B36" t="s">
        <v>670</v>
      </c>
    </row>
    <row r="37" spans="2:4" x14ac:dyDescent="0.25">
      <c r="B37" t="s">
        <v>582</v>
      </c>
      <c r="C37" s="1">
        <v>43100</v>
      </c>
      <c r="D37" t="s">
        <v>583</v>
      </c>
    </row>
    <row r="38" spans="2:4" x14ac:dyDescent="0.25">
      <c r="B38" t="s">
        <v>674</v>
      </c>
      <c r="C38" s="1">
        <v>43123</v>
      </c>
      <c r="D38" t="s">
        <v>675</v>
      </c>
    </row>
    <row r="39" spans="2:4" x14ac:dyDescent="0.25">
      <c r="B39" t="s">
        <v>931</v>
      </c>
      <c r="C39" s="1">
        <v>43137</v>
      </c>
      <c r="D39" t="s">
        <v>932</v>
      </c>
    </row>
    <row r="40" spans="2:4" x14ac:dyDescent="0.25">
      <c r="D40" t="s">
        <v>933</v>
      </c>
    </row>
  </sheetData>
  <dataValidations disablePrompts="1"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3"/>
  <sheetViews>
    <sheetView workbookViewId="0">
      <pane xSplit="3" ySplit="1" topLeftCell="E38" activePane="bottomRight" state="frozen"/>
      <selection pane="topRight" activeCell="D1" sqref="D1"/>
      <selection pane="bottomLeft" activeCell="A2" sqref="A2"/>
      <selection pane="bottomRight" activeCell="L38" sqref="L38"/>
    </sheetView>
  </sheetViews>
  <sheetFormatPr defaultRowHeight="15" x14ac:dyDescent="0.25"/>
  <cols>
    <col min="1" max="1" width="20.57031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 x14ac:dyDescent="0.25">
      <c r="A1" t="s">
        <v>166</v>
      </c>
      <c r="B1" t="s">
        <v>46</v>
      </c>
      <c r="C1" t="s">
        <v>47</v>
      </c>
      <c r="D1" t="s">
        <v>195</v>
      </c>
      <c r="E1" t="s">
        <v>196</v>
      </c>
      <c r="F1" t="s">
        <v>197</v>
      </c>
      <c r="G1" t="s">
        <v>203</v>
      </c>
      <c r="H1" t="s">
        <v>205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  <c r="N1" t="s">
        <v>204</v>
      </c>
      <c r="O1" t="s">
        <v>206</v>
      </c>
      <c r="P1" t="s">
        <v>211</v>
      </c>
    </row>
    <row r="2" spans="1:16" hidden="1" x14ac:dyDescent="0.25">
      <c r="A2" t="s">
        <v>716</v>
      </c>
      <c r="B2">
        <v>165</v>
      </c>
      <c r="C2" t="s">
        <v>718</v>
      </c>
      <c r="D2" s="14">
        <v>17.5</v>
      </c>
      <c r="E2" s="14">
        <v>17.5</v>
      </c>
      <c r="F2" s="14">
        <v>0</v>
      </c>
      <c r="G2" s="14">
        <v>0</v>
      </c>
      <c r="H2" s="14">
        <v>0</v>
      </c>
      <c r="I2" s="14">
        <v>285</v>
      </c>
      <c r="J2" s="14">
        <v>285</v>
      </c>
      <c r="K2" s="14">
        <v>302.5</v>
      </c>
      <c r="L2" s="14">
        <v>302.5</v>
      </c>
      <c r="M2" s="14">
        <v>0</v>
      </c>
      <c r="N2" s="14">
        <v>0</v>
      </c>
      <c r="O2" s="14">
        <v>0</v>
      </c>
      <c r="P2" t="s">
        <v>216</v>
      </c>
    </row>
    <row r="3" spans="1:16" hidden="1" x14ac:dyDescent="0.25">
      <c r="A3" t="s">
        <v>49</v>
      </c>
      <c r="B3">
        <v>165</v>
      </c>
      <c r="C3" t="s">
        <v>719</v>
      </c>
      <c r="D3" s="14">
        <v>769</v>
      </c>
      <c r="E3" s="14">
        <v>769</v>
      </c>
      <c r="F3" s="14">
        <v>0</v>
      </c>
      <c r="G3" s="14">
        <v>1554.68</v>
      </c>
      <c r="H3" s="14">
        <v>2.0216905071521456</v>
      </c>
      <c r="I3" s="14">
        <v>0</v>
      </c>
      <c r="J3" s="14">
        <v>0</v>
      </c>
      <c r="K3" s="14">
        <v>769</v>
      </c>
      <c r="L3" s="14">
        <v>769</v>
      </c>
      <c r="M3" s="14">
        <v>0</v>
      </c>
      <c r="N3" s="14">
        <v>1554.68</v>
      </c>
      <c r="O3" s="14">
        <v>2.0216905071521456</v>
      </c>
      <c r="P3" t="s">
        <v>216</v>
      </c>
    </row>
    <row r="4" spans="1:16" hidden="1" x14ac:dyDescent="0.25">
      <c r="A4" t="s">
        <v>126</v>
      </c>
      <c r="B4">
        <v>165</v>
      </c>
      <c r="C4" t="s">
        <v>719</v>
      </c>
      <c r="D4" s="14">
        <v>487.5</v>
      </c>
      <c r="E4" s="14">
        <v>487.5</v>
      </c>
      <c r="F4" s="14">
        <v>0</v>
      </c>
      <c r="G4" s="14">
        <v>1821.75</v>
      </c>
      <c r="H4" s="14">
        <v>3.7369230769230768</v>
      </c>
      <c r="I4" s="14">
        <v>0</v>
      </c>
      <c r="J4" s="14">
        <v>0</v>
      </c>
      <c r="K4" s="14">
        <v>487.5</v>
      </c>
      <c r="L4" s="14">
        <v>487.5</v>
      </c>
      <c r="M4" s="14">
        <v>0</v>
      </c>
      <c r="N4" s="14">
        <v>1821.75</v>
      </c>
      <c r="O4" s="14">
        <v>3.7369230769230768</v>
      </c>
      <c r="P4" t="s">
        <v>216</v>
      </c>
    </row>
    <row r="5" spans="1:16" hidden="1" x14ac:dyDescent="0.25">
      <c r="A5" t="s">
        <v>127</v>
      </c>
      <c r="B5">
        <v>165</v>
      </c>
      <c r="C5" t="s">
        <v>719</v>
      </c>
      <c r="D5" s="14">
        <v>472.75</v>
      </c>
      <c r="E5" s="14">
        <v>472.75</v>
      </c>
      <c r="F5" s="14">
        <v>0</v>
      </c>
      <c r="G5" s="14">
        <v>1807.11</v>
      </c>
      <c r="H5" s="14">
        <v>3.8225489159175039</v>
      </c>
      <c r="I5" s="14">
        <v>0</v>
      </c>
      <c r="J5" s="14">
        <v>0</v>
      </c>
      <c r="K5" s="14">
        <v>472.75</v>
      </c>
      <c r="L5" s="14">
        <v>472.75</v>
      </c>
      <c r="M5" s="14">
        <v>0</v>
      </c>
      <c r="N5" s="14">
        <v>1807.11</v>
      </c>
      <c r="O5" s="14">
        <v>3.8225489159175039</v>
      </c>
      <c r="P5" t="s">
        <v>216</v>
      </c>
    </row>
    <row r="6" spans="1:16" hidden="1" x14ac:dyDescent="0.25">
      <c r="A6" t="s">
        <v>128</v>
      </c>
      <c r="B6">
        <v>165</v>
      </c>
      <c r="C6" t="s">
        <v>719</v>
      </c>
      <c r="D6" s="14">
        <v>172</v>
      </c>
      <c r="E6" s="14">
        <v>172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172</v>
      </c>
      <c r="L6" s="14">
        <v>172</v>
      </c>
      <c r="M6" s="14">
        <v>0</v>
      </c>
      <c r="N6" s="14">
        <v>0</v>
      </c>
      <c r="O6" s="14">
        <v>0</v>
      </c>
      <c r="P6" t="s">
        <v>216</v>
      </c>
    </row>
    <row r="7" spans="1:16" hidden="1" x14ac:dyDescent="0.25">
      <c r="A7" t="s">
        <v>720</v>
      </c>
      <c r="B7">
        <v>165</v>
      </c>
      <c r="C7" t="s">
        <v>719</v>
      </c>
      <c r="D7" s="14">
        <v>256</v>
      </c>
      <c r="E7" s="14">
        <v>256</v>
      </c>
      <c r="F7" s="14">
        <v>0</v>
      </c>
      <c r="G7" s="14">
        <v>0</v>
      </c>
      <c r="H7" s="14">
        <v>0</v>
      </c>
      <c r="I7" s="14">
        <v>955</v>
      </c>
      <c r="J7" s="14">
        <v>955</v>
      </c>
      <c r="K7" s="14">
        <v>1211</v>
      </c>
      <c r="L7" s="14">
        <v>1211</v>
      </c>
      <c r="M7" s="14">
        <v>0</v>
      </c>
      <c r="N7" s="14">
        <v>0</v>
      </c>
      <c r="O7" s="14">
        <v>0</v>
      </c>
      <c r="P7" t="s">
        <v>216</v>
      </c>
    </row>
    <row r="8" spans="1:16" hidden="1" x14ac:dyDescent="0.25">
      <c r="A8" t="s">
        <v>676</v>
      </c>
      <c r="B8">
        <v>165</v>
      </c>
      <c r="C8" t="s">
        <v>719</v>
      </c>
      <c r="D8" s="14">
        <v>98</v>
      </c>
      <c r="E8" s="14">
        <v>98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98</v>
      </c>
      <c r="L8" s="14">
        <v>98</v>
      </c>
      <c r="M8" s="14">
        <v>0</v>
      </c>
      <c r="N8" s="14">
        <v>0</v>
      </c>
      <c r="O8" s="14">
        <v>0</v>
      </c>
      <c r="P8" t="s">
        <v>216</v>
      </c>
    </row>
    <row r="9" spans="1:16" hidden="1" x14ac:dyDescent="0.25">
      <c r="A9" t="s">
        <v>18</v>
      </c>
      <c r="B9">
        <v>165</v>
      </c>
      <c r="C9" t="s">
        <v>719</v>
      </c>
      <c r="D9" s="14">
        <v>11310</v>
      </c>
      <c r="E9" s="14">
        <v>11310</v>
      </c>
      <c r="F9" s="14">
        <v>0</v>
      </c>
      <c r="G9" s="14">
        <v>8128.24</v>
      </c>
      <c r="H9" s="14">
        <v>0.71867727674624227</v>
      </c>
      <c r="I9" s="14">
        <v>-4290</v>
      </c>
      <c r="J9" s="14">
        <v>-4290</v>
      </c>
      <c r="K9" s="14">
        <v>7020</v>
      </c>
      <c r="L9" s="14">
        <v>7020</v>
      </c>
      <c r="M9" s="14">
        <v>0</v>
      </c>
      <c r="N9" s="14">
        <v>5045.1099999999997</v>
      </c>
      <c r="O9" s="14">
        <v>0.71867663817663818</v>
      </c>
      <c r="P9" t="s">
        <v>216</v>
      </c>
    </row>
    <row r="10" spans="1:16" hidden="1" x14ac:dyDescent="0.25">
      <c r="A10" t="s">
        <v>18</v>
      </c>
      <c r="B10">
        <v>165</v>
      </c>
      <c r="C10" t="s">
        <v>721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4290</v>
      </c>
      <c r="J10" s="14">
        <v>4290</v>
      </c>
      <c r="K10" s="14">
        <v>4290</v>
      </c>
      <c r="L10" s="14">
        <v>4290</v>
      </c>
      <c r="M10" s="14">
        <v>0</v>
      </c>
      <c r="N10" s="14">
        <v>3083.13</v>
      </c>
      <c r="O10" s="14">
        <v>0.71867832167832169</v>
      </c>
      <c r="P10" t="s">
        <v>216</v>
      </c>
    </row>
    <row r="11" spans="1:16" hidden="1" x14ac:dyDescent="0.25">
      <c r="A11" t="s">
        <v>722</v>
      </c>
      <c r="B11">
        <v>165</v>
      </c>
      <c r="C11" t="s">
        <v>719</v>
      </c>
      <c r="D11" s="14">
        <v>5070</v>
      </c>
      <c r="E11" s="14">
        <v>5070</v>
      </c>
      <c r="F11" s="14">
        <v>0</v>
      </c>
      <c r="G11" s="14">
        <v>3479.74</v>
      </c>
      <c r="H11" s="14">
        <v>0.68633925049309663</v>
      </c>
      <c r="I11" s="14">
        <v>0</v>
      </c>
      <c r="J11" s="14">
        <v>0</v>
      </c>
      <c r="K11" s="14">
        <v>5070</v>
      </c>
      <c r="L11" s="14">
        <v>5070</v>
      </c>
      <c r="M11" s="14">
        <v>0</v>
      </c>
      <c r="N11" s="14">
        <v>3479.74</v>
      </c>
      <c r="O11" s="14">
        <v>0.68633925049309663</v>
      </c>
      <c r="P11" t="s">
        <v>216</v>
      </c>
    </row>
    <row r="12" spans="1:16" hidden="1" x14ac:dyDescent="0.25">
      <c r="A12" t="s">
        <v>51</v>
      </c>
      <c r="B12">
        <v>165</v>
      </c>
      <c r="C12" t="s">
        <v>719</v>
      </c>
      <c r="D12" s="14">
        <v>210</v>
      </c>
      <c r="E12" s="14">
        <v>210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210</v>
      </c>
      <c r="L12" s="14">
        <v>210</v>
      </c>
      <c r="M12" s="14">
        <v>0</v>
      </c>
      <c r="N12" s="14">
        <v>0</v>
      </c>
      <c r="O12" s="14">
        <v>0</v>
      </c>
      <c r="P12" t="s">
        <v>216</v>
      </c>
    </row>
    <row r="13" spans="1:16" hidden="1" x14ac:dyDescent="0.25">
      <c r="A13" t="s">
        <v>24</v>
      </c>
      <c r="B13">
        <v>165</v>
      </c>
      <c r="C13" t="s">
        <v>719</v>
      </c>
      <c r="D13" s="14">
        <v>166.2</v>
      </c>
      <c r="E13" s="14">
        <v>166.2</v>
      </c>
      <c r="F13" s="14">
        <v>0</v>
      </c>
      <c r="G13" s="14">
        <v>793.27</v>
      </c>
      <c r="H13" s="14">
        <v>4.7729843561973526</v>
      </c>
      <c r="I13" s="14">
        <v>0</v>
      </c>
      <c r="J13" s="14">
        <v>0</v>
      </c>
      <c r="K13" s="14">
        <v>166.2</v>
      </c>
      <c r="L13" s="14">
        <v>166.2</v>
      </c>
      <c r="M13" s="14">
        <v>0</v>
      </c>
      <c r="N13" s="14">
        <v>793.27</v>
      </c>
      <c r="O13" s="14">
        <v>4.7729843561973526</v>
      </c>
      <c r="P13" t="s">
        <v>216</v>
      </c>
    </row>
    <row r="14" spans="1:16" hidden="1" x14ac:dyDescent="0.25">
      <c r="A14" t="s">
        <v>24</v>
      </c>
      <c r="B14">
        <v>165</v>
      </c>
      <c r="C14" t="s">
        <v>718</v>
      </c>
      <c r="D14" s="14">
        <v>0</v>
      </c>
      <c r="E14" s="14">
        <v>0</v>
      </c>
      <c r="F14" s="14">
        <v>0</v>
      </c>
      <c r="G14" s="14">
        <v>0.01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0.01</v>
      </c>
      <c r="O14" s="14">
        <v>0</v>
      </c>
      <c r="P14" t="s">
        <v>216</v>
      </c>
    </row>
    <row r="15" spans="1:16" hidden="1" x14ac:dyDescent="0.25">
      <c r="A15" t="s">
        <v>66</v>
      </c>
      <c r="B15">
        <v>165</v>
      </c>
      <c r="C15" t="s">
        <v>719</v>
      </c>
      <c r="D15" s="14">
        <v>205</v>
      </c>
      <c r="E15" s="14">
        <v>205</v>
      </c>
      <c r="F15" s="14">
        <v>0</v>
      </c>
      <c r="G15" s="14">
        <v>809.33999999999992</v>
      </c>
      <c r="H15" s="14">
        <v>3.9479999999999995</v>
      </c>
      <c r="I15" s="14">
        <v>0</v>
      </c>
      <c r="J15" s="14">
        <v>0</v>
      </c>
      <c r="K15" s="14">
        <v>205</v>
      </c>
      <c r="L15" s="14">
        <v>205</v>
      </c>
      <c r="M15" s="14">
        <v>0</v>
      </c>
      <c r="N15" s="14">
        <v>809.33999999999992</v>
      </c>
      <c r="O15" s="14">
        <v>3.9479999999999995</v>
      </c>
      <c r="P15" t="s">
        <v>216</v>
      </c>
    </row>
    <row r="16" spans="1:16" hidden="1" x14ac:dyDescent="0.25">
      <c r="A16" t="s">
        <v>724</v>
      </c>
      <c r="B16">
        <v>165</v>
      </c>
      <c r="C16" t="s">
        <v>719</v>
      </c>
      <c r="D16" s="14">
        <v>150</v>
      </c>
      <c r="E16" s="14">
        <v>150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150</v>
      </c>
      <c r="L16" s="14">
        <v>150</v>
      </c>
      <c r="M16" s="14">
        <v>0</v>
      </c>
      <c r="N16" s="14">
        <v>0</v>
      </c>
      <c r="O16" s="14">
        <v>0</v>
      </c>
      <c r="P16" t="s">
        <v>216</v>
      </c>
    </row>
    <row r="17" spans="1:16" hidden="1" x14ac:dyDescent="0.25">
      <c r="A17" t="s">
        <v>25</v>
      </c>
      <c r="B17">
        <v>165</v>
      </c>
      <c r="C17" t="s">
        <v>719</v>
      </c>
      <c r="D17" s="14">
        <v>15</v>
      </c>
      <c r="E17" s="14">
        <v>15</v>
      </c>
      <c r="F17" s="14">
        <v>0</v>
      </c>
      <c r="G17" s="14">
        <v>221.76999999999998</v>
      </c>
      <c r="H17" s="14">
        <v>14.784666666666665</v>
      </c>
      <c r="I17" s="14">
        <v>0</v>
      </c>
      <c r="J17" s="14">
        <v>0</v>
      </c>
      <c r="K17" s="14">
        <v>15</v>
      </c>
      <c r="L17" s="14">
        <v>15</v>
      </c>
      <c r="M17" s="14">
        <v>0</v>
      </c>
      <c r="N17" s="14">
        <v>221.76999999999998</v>
      </c>
      <c r="O17" s="14">
        <v>14.784666666666665</v>
      </c>
      <c r="P17" t="s">
        <v>216</v>
      </c>
    </row>
    <row r="18" spans="1:16" hidden="1" x14ac:dyDescent="0.25">
      <c r="A18" t="s">
        <v>250</v>
      </c>
      <c r="B18">
        <v>165</v>
      </c>
      <c r="C18" t="s">
        <v>719</v>
      </c>
      <c r="D18" s="14">
        <v>165</v>
      </c>
      <c r="E18" s="14">
        <v>165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165</v>
      </c>
      <c r="L18" s="14">
        <v>165</v>
      </c>
      <c r="M18" s="14">
        <v>0</v>
      </c>
      <c r="N18" s="14">
        <v>0</v>
      </c>
      <c r="O18" s="14">
        <v>0</v>
      </c>
      <c r="P18" t="s">
        <v>216</v>
      </c>
    </row>
    <row r="19" spans="1:16" hidden="1" x14ac:dyDescent="0.25">
      <c r="A19" t="s">
        <v>726</v>
      </c>
      <c r="B19">
        <v>165</v>
      </c>
      <c r="C19" t="s">
        <v>719</v>
      </c>
      <c r="D19" s="14">
        <v>70</v>
      </c>
      <c r="E19" s="14">
        <v>70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70</v>
      </c>
      <c r="L19" s="14">
        <v>70</v>
      </c>
      <c r="M19" s="14">
        <v>0</v>
      </c>
      <c r="N19" s="14">
        <v>0</v>
      </c>
      <c r="O19" s="14">
        <v>0</v>
      </c>
      <c r="P19" t="s">
        <v>216</v>
      </c>
    </row>
    <row r="20" spans="1:16" hidden="1" x14ac:dyDescent="0.25">
      <c r="A20" t="s">
        <v>727</v>
      </c>
      <c r="B20">
        <v>165</v>
      </c>
      <c r="C20" t="s">
        <v>719</v>
      </c>
      <c r="D20" s="14">
        <v>35</v>
      </c>
      <c r="E20" s="14">
        <v>35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35</v>
      </c>
      <c r="L20" s="14">
        <v>35</v>
      </c>
      <c r="M20" s="14">
        <v>0</v>
      </c>
      <c r="N20" s="14">
        <v>0</v>
      </c>
      <c r="O20" s="14">
        <v>0</v>
      </c>
      <c r="P20" t="s">
        <v>216</v>
      </c>
    </row>
    <row r="21" spans="1:16" hidden="1" x14ac:dyDescent="0.25">
      <c r="A21" t="s">
        <v>728</v>
      </c>
      <c r="B21">
        <v>165</v>
      </c>
      <c r="C21" t="s">
        <v>719</v>
      </c>
      <c r="D21" s="14">
        <v>525</v>
      </c>
      <c r="E21" s="14">
        <v>525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525</v>
      </c>
      <c r="L21" s="14">
        <v>525</v>
      </c>
      <c r="M21" s="14">
        <v>0</v>
      </c>
      <c r="N21" s="14">
        <v>0</v>
      </c>
      <c r="O21" s="14">
        <v>0</v>
      </c>
      <c r="P21" t="s">
        <v>216</v>
      </c>
    </row>
    <row r="22" spans="1:16" hidden="1" x14ac:dyDescent="0.25">
      <c r="A22" t="s">
        <v>729</v>
      </c>
      <c r="B22">
        <v>165</v>
      </c>
      <c r="C22" t="s">
        <v>719</v>
      </c>
      <c r="D22" s="14">
        <v>4</v>
      </c>
      <c r="E22" s="14">
        <v>4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4</v>
      </c>
      <c r="L22" s="14">
        <v>4</v>
      </c>
      <c r="M22" s="14">
        <v>0</v>
      </c>
      <c r="N22" s="14">
        <v>0</v>
      </c>
      <c r="O22" s="14">
        <v>0</v>
      </c>
      <c r="P22" t="s">
        <v>216</v>
      </c>
    </row>
    <row r="23" spans="1:16" hidden="1" x14ac:dyDescent="0.25">
      <c r="A23" t="s">
        <v>730</v>
      </c>
      <c r="B23">
        <v>165</v>
      </c>
      <c r="C23" t="s">
        <v>719</v>
      </c>
      <c r="D23" s="14">
        <v>97</v>
      </c>
      <c r="E23" s="14">
        <v>97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97</v>
      </c>
      <c r="L23" s="14">
        <v>97</v>
      </c>
      <c r="M23" s="14">
        <v>0</v>
      </c>
      <c r="N23" s="14">
        <v>0</v>
      </c>
      <c r="O23" s="14">
        <v>0</v>
      </c>
      <c r="P23" t="s">
        <v>216</v>
      </c>
    </row>
    <row r="24" spans="1:16" hidden="1" x14ac:dyDescent="0.25">
      <c r="A24" t="s">
        <v>16</v>
      </c>
      <c r="B24">
        <v>165</v>
      </c>
      <c r="C24" t="s">
        <v>719</v>
      </c>
      <c r="D24" s="14">
        <v>20865</v>
      </c>
      <c r="E24" s="14">
        <v>20865</v>
      </c>
      <c r="F24" s="14">
        <v>0</v>
      </c>
      <c r="G24" s="14">
        <v>13175.560000000001</v>
      </c>
      <c r="H24" s="14">
        <v>0.63146705008387261</v>
      </c>
      <c r="I24" s="14">
        <v>0</v>
      </c>
      <c r="J24" s="14">
        <v>0</v>
      </c>
      <c r="K24" s="14">
        <v>20865</v>
      </c>
      <c r="L24" s="14">
        <v>20865</v>
      </c>
      <c r="M24" s="14">
        <v>0</v>
      </c>
      <c r="N24" s="14">
        <v>13175.560000000001</v>
      </c>
      <c r="O24" s="14">
        <v>0.63146705008387261</v>
      </c>
      <c r="P24" t="s">
        <v>216</v>
      </c>
    </row>
    <row r="25" spans="1:16" hidden="1" x14ac:dyDescent="0.25">
      <c r="A25" t="s">
        <v>731</v>
      </c>
      <c r="B25">
        <v>165</v>
      </c>
      <c r="C25" t="s">
        <v>719</v>
      </c>
      <c r="D25" s="14">
        <v>4680</v>
      </c>
      <c r="E25" s="14">
        <v>4680</v>
      </c>
      <c r="F25" s="14">
        <v>0</v>
      </c>
      <c r="G25" s="14">
        <v>-12777.58</v>
      </c>
      <c r="H25" s="14">
        <v>-2.7302521367521368</v>
      </c>
      <c r="I25" s="14">
        <v>-487.5</v>
      </c>
      <c r="J25" s="14">
        <v>-487.5</v>
      </c>
      <c r="K25" s="14">
        <v>4192.5</v>
      </c>
      <c r="L25" s="14">
        <v>4192.5</v>
      </c>
      <c r="M25" s="14">
        <v>0</v>
      </c>
      <c r="N25" s="14">
        <v>-11446.58</v>
      </c>
      <c r="O25" s="14">
        <v>-2.730251639833035</v>
      </c>
      <c r="P25" t="s">
        <v>216</v>
      </c>
    </row>
    <row r="26" spans="1:16" hidden="1" x14ac:dyDescent="0.25">
      <c r="A26" t="s">
        <v>134</v>
      </c>
      <c r="B26">
        <v>165</v>
      </c>
      <c r="C26" t="s">
        <v>719</v>
      </c>
      <c r="D26" s="14">
        <v>11.6</v>
      </c>
      <c r="E26" s="14">
        <v>11.6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11.6</v>
      </c>
      <c r="L26" s="14">
        <v>11.6</v>
      </c>
      <c r="M26" s="14">
        <v>0</v>
      </c>
      <c r="N26" s="14">
        <v>0</v>
      </c>
      <c r="O26" s="14">
        <v>0</v>
      </c>
      <c r="P26" t="s">
        <v>216</v>
      </c>
    </row>
    <row r="27" spans="1:16" hidden="1" x14ac:dyDescent="0.25">
      <c r="A27" t="s">
        <v>67</v>
      </c>
      <c r="B27">
        <v>165</v>
      </c>
      <c r="C27" t="s">
        <v>718</v>
      </c>
      <c r="D27" s="14">
        <v>8614</v>
      </c>
      <c r="E27" s="14">
        <v>8614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8614</v>
      </c>
      <c r="L27" s="14">
        <v>8614</v>
      </c>
      <c r="M27" s="14">
        <v>0</v>
      </c>
      <c r="N27" s="14">
        <v>0</v>
      </c>
      <c r="O27" s="14">
        <v>0</v>
      </c>
      <c r="P27" t="s">
        <v>216</v>
      </c>
    </row>
    <row r="28" spans="1:16" hidden="1" x14ac:dyDescent="0.25">
      <c r="A28" t="s">
        <v>93</v>
      </c>
      <c r="B28">
        <v>165</v>
      </c>
      <c r="C28" t="s">
        <v>718</v>
      </c>
      <c r="D28" s="14">
        <v>15217</v>
      </c>
      <c r="E28" s="14">
        <v>15217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15217</v>
      </c>
      <c r="L28" s="14">
        <v>15217</v>
      </c>
      <c r="M28" s="14">
        <v>0</v>
      </c>
      <c r="N28" s="14">
        <v>0</v>
      </c>
      <c r="O28" s="14">
        <v>0</v>
      </c>
      <c r="P28" t="s">
        <v>216</v>
      </c>
    </row>
    <row r="29" spans="1:16" hidden="1" x14ac:dyDescent="0.25">
      <c r="A29" t="s">
        <v>68</v>
      </c>
      <c r="B29">
        <v>165</v>
      </c>
      <c r="C29" t="s">
        <v>718</v>
      </c>
      <c r="D29" s="14">
        <v>5788</v>
      </c>
      <c r="E29" s="14">
        <v>5788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5788</v>
      </c>
      <c r="L29" s="14">
        <v>5788</v>
      </c>
      <c r="M29" s="14">
        <v>0</v>
      </c>
      <c r="N29" s="14">
        <v>0</v>
      </c>
      <c r="O29" s="14">
        <v>0</v>
      </c>
      <c r="P29" t="s">
        <v>216</v>
      </c>
    </row>
    <row r="30" spans="1:16" hidden="1" x14ac:dyDescent="0.25">
      <c r="A30" t="s">
        <v>52</v>
      </c>
      <c r="B30">
        <v>165</v>
      </c>
      <c r="C30" t="s">
        <v>718</v>
      </c>
      <c r="D30" s="14">
        <v>2744</v>
      </c>
      <c r="E30" s="14">
        <v>2744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2744</v>
      </c>
      <c r="L30" s="14">
        <v>2744</v>
      </c>
      <c r="M30" s="14">
        <v>0</v>
      </c>
      <c r="N30" s="14">
        <v>0</v>
      </c>
      <c r="O30" s="14">
        <v>0</v>
      </c>
      <c r="P30" t="s">
        <v>216</v>
      </c>
    </row>
    <row r="31" spans="1:16" hidden="1" x14ac:dyDescent="0.25">
      <c r="A31" t="s">
        <v>103</v>
      </c>
      <c r="B31">
        <v>165</v>
      </c>
      <c r="C31" t="s">
        <v>718</v>
      </c>
      <c r="D31" s="14">
        <v>25265</v>
      </c>
      <c r="E31" s="14">
        <v>25265</v>
      </c>
      <c r="F31" s="14">
        <v>0</v>
      </c>
      <c r="G31" s="14">
        <v>0</v>
      </c>
      <c r="H31" s="14">
        <v>0</v>
      </c>
      <c r="I31" s="14">
        <v>-4100</v>
      </c>
      <c r="J31" s="14">
        <v>-4100</v>
      </c>
      <c r="K31" s="14">
        <v>21165</v>
      </c>
      <c r="L31" s="14">
        <v>21165</v>
      </c>
      <c r="M31" s="14">
        <v>0</v>
      </c>
      <c r="N31" s="14">
        <v>0</v>
      </c>
      <c r="O31" s="14">
        <v>0</v>
      </c>
      <c r="P31" t="s">
        <v>216</v>
      </c>
    </row>
    <row r="32" spans="1:16" hidden="1" x14ac:dyDescent="0.25">
      <c r="A32" t="s">
        <v>53</v>
      </c>
      <c r="B32">
        <v>165</v>
      </c>
      <c r="C32" t="s">
        <v>719</v>
      </c>
      <c r="D32" s="14">
        <v>8</v>
      </c>
      <c r="E32" s="14">
        <v>8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8</v>
      </c>
      <c r="L32" s="14">
        <v>8</v>
      </c>
      <c r="M32" s="14">
        <v>0</v>
      </c>
      <c r="N32" s="14">
        <v>0</v>
      </c>
      <c r="O32" s="14">
        <v>0</v>
      </c>
      <c r="P32" t="s">
        <v>216</v>
      </c>
    </row>
    <row r="33" spans="1:16" hidden="1" x14ac:dyDescent="0.25">
      <c r="A33" t="s">
        <v>53</v>
      </c>
      <c r="B33">
        <v>165</v>
      </c>
      <c r="C33" t="s">
        <v>718</v>
      </c>
      <c r="D33" s="14">
        <v>4000</v>
      </c>
      <c r="E33" s="14">
        <v>4000</v>
      </c>
      <c r="F33" s="14">
        <v>0</v>
      </c>
      <c r="G33" s="14">
        <v>0</v>
      </c>
      <c r="H33" s="14">
        <v>0</v>
      </c>
      <c r="I33" s="14">
        <v>3620</v>
      </c>
      <c r="J33" s="14">
        <v>3620</v>
      </c>
      <c r="K33" s="14">
        <v>7620</v>
      </c>
      <c r="L33" s="14">
        <v>7620</v>
      </c>
      <c r="M33" s="14">
        <v>0</v>
      </c>
      <c r="N33" s="14">
        <v>0</v>
      </c>
      <c r="O33" s="14">
        <v>0</v>
      </c>
      <c r="P33" t="s">
        <v>216</v>
      </c>
    </row>
    <row r="34" spans="1:16" hidden="1" x14ac:dyDescent="0.25">
      <c r="A34" t="s">
        <v>54</v>
      </c>
      <c r="B34">
        <v>165</v>
      </c>
      <c r="C34" t="s">
        <v>718</v>
      </c>
      <c r="D34" s="14">
        <v>8387</v>
      </c>
      <c r="E34" s="14">
        <v>8387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8387</v>
      </c>
      <c r="L34" s="14">
        <v>8387</v>
      </c>
      <c r="M34" s="14">
        <v>0</v>
      </c>
      <c r="N34" s="14">
        <v>0</v>
      </c>
      <c r="O34" s="14">
        <v>0</v>
      </c>
      <c r="P34" t="s">
        <v>216</v>
      </c>
    </row>
    <row r="35" spans="1:16" hidden="1" x14ac:dyDescent="0.25">
      <c r="A35" t="s">
        <v>89</v>
      </c>
      <c r="B35">
        <v>165</v>
      </c>
      <c r="C35" t="s">
        <v>718</v>
      </c>
      <c r="D35" s="14">
        <v>6621</v>
      </c>
      <c r="E35" s="14">
        <v>6621</v>
      </c>
      <c r="F35" s="14">
        <v>0</v>
      </c>
      <c r="G35" s="14">
        <v>0</v>
      </c>
      <c r="H35" s="14">
        <v>0</v>
      </c>
      <c r="I35" s="14">
        <v>-1050</v>
      </c>
      <c r="J35" s="14">
        <v>-1050</v>
      </c>
      <c r="K35" s="14">
        <v>5571</v>
      </c>
      <c r="L35" s="14">
        <v>5571</v>
      </c>
      <c r="M35" s="14">
        <v>0</v>
      </c>
      <c r="N35" s="14">
        <v>0</v>
      </c>
      <c r="O35" s="14">
        <v>0</v>
      </c>
      <c r="P35" t="s">
        <v>216</v>
      </c>
    </row>
    <row r="36" spans="1:16" hidden="1" x14ac:dyDescent="0.25">
      <c r="A36" t="s">
        <v>26</v>
      </c>
      <c r="B36">
        <v>165</v>
      </c>
      <c r="C36" t="s">
        <v>718</v>
      </c>
      <c r="D36" s="14">
        <v>3427</v>
      </c>
      <c r="E36" s="14">
        <v>3427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3427</v>
      </c>
      <c r="L36" s="14">
        <v>3427</v>
      </c>
      <c r="M36" s="14">
        <v>0</v>
      </c>
      <c r="N36" s="14">
        <v>0</v>
      </c>
      <c r="O36" s="14">
        <v>0</v>
      </c>
      <c r="P36" t="s">
        <v>216</v>
      </c>
    </row>
    <row r="37" spans="1:16" hidden="1" x14ac:dyDescent="0.25">
      <c r="A37" t="s">
        <v>112</v>
      </c>
      <c r="B37">
        <v>165</v>
      </c>
      <c r="C37" t="s">
        <v>718</v>
      </c>
      <c r="D37" s="14">
        <v>4930</v>
      </c>
      <c r="E37" s="14">
        <v>4930</v>
      </c>
      <c r="F37" s="14">
        <v>0</v>
      </c>
      <c r="G37" s="14">
        <v>0</v>
      </c>
      <c r="H37" s="14">
        <v>0</v>
      </c>
      <c r="I37" s="14">
        <v>-450</v>
      </c>
      <c r="J37" s="14">
        <v>-450</v>
      </c>
      <c r="K37" s="14">
        <v>4480</v>
      </c>
      <c r="L37" s="14">
        <v>4480</v>
      </c>
      <c r="M37" s="14">
        <v>0</v>
      </c>
      <c r="N37" s="14">
        <v>0</v>
      </c>
      <c r="O37" s="14">
        <v>0</v>
      </c>
      <c r="P37" t="s">
        <v>216</v>
      </c>
    </row>
    <row r="38" spans="1:16" x14ac:dyDescent="0.25">
      <c r="A38" t="s">
        <v>98</v>
      </c>
      <c r="B38">
        <v>165</v>
      </c>
      <c r="C38" t="s">
        <v>718</v>
      </c>
      <c r="D38" s="14">
        <v>9036</v>
      </c>
      <c r="E38" s="14">
        <v>9036</v>
      </c>
      <c r="F38" s="14">
        <v>0</v>
      </c>
      <c r="G38" s="14">
        <v>0</v>
      </c>
      <c r="H38" s="14">
        <v>0</v>
      </c>
      <c r="I38" s="14">
        <v>2850</v>
      </c>
      <c r="J38" s="14">
        <v>-900</v>
      </c>
      <c r="K38" s="14">
        <v>11886</v>
      </c>
      <c r="L38" s="14">
        <v>8136</v>
      </c>
      <c r="M38" s="14">
        <v>3750</v>
      </c>
      <c r="N38" s="14">
        <v>0</v>
      </c>
      <c r="O38" s="14">
        <v>0</v>
      </c>
      <c r="P38" t="s">
        <v>212</v>
      </c>
    </row>
    <row r="39" spans="1:16" hidden="1" x14ac:dyDescent="0.25">
      <c r="A39" t="s">
        <v>55</v>
      </c>
      <c r="B39">
        <v>165</v>
      </c>
      <c r="C39" t="s">
        <v>719</v>
      </c>
      <c r="D39" s="14">
        <v>450</v>
      </c>
      <c r="E39" s="14">
        <v>450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450</v>
      </c>
      <c r="L39" s="14">
        <v>450</v>
      </c>
      <c r="M39" s="14">
        <v>0</v>
      </c>
      <c r="N39" s="14">
        <v>0</v>
      </c>
      <c r="O39" s="14">
        <v>0</v>
      </c>
      <c r="P39" t="s">
        <v>216</v>
      </c>
    </row>
    <row r="40" spans="1:16" hidden="1" x14ac:dyDescent="0.25">
      <c r="A40" t="s">
        <v>55</v>
      </c>
      <c r="B40">
        <v>165</v>
      </c>
      <c r="C40" t="s">
        <v>718</v>
      </c>
      <c r="D40" s="14">
        <v>4424</v>
      </c>
      <c r="E40" s="14">
        <v>4424</v>
      </c>
      <c r="F40" s="14">
        <v>0</v>
      </c>
      <c r="G40" s="14">
        <v>0</v>
      </c>
      <c r="H40" s="14">
        <v>0</v>
      </c>
      <c r="I40" s="14">
        <v>-1200</v>
      </c>
      <c r="J40" s="14">
        <v>-1200</v>
      </c>
      <c r="K40" s="14">
        <v>3224</v>
      </c>
      <c r="L40" s="14">
        <v>3224</v>
      </c>
      <c r="M40" s="14">
        <v>0</v>
      </c>
      <c r="N40" s="14">
        <v>0</v>
      </c>
      <c r="O40" s="14">
        <v>0</v>
      </c>
      <c r="P40" t="s">
        <v>216</v>
      </c>
    </row>
    <row r="41" spans="1:16" hidden="1" x14ac:dyDescent="0.25">
      <c r="A41" t="s">
        <v>91</v>
      </c>
      <c r="B41">
        <v>165</v>
      </c>
      <c r="C41" t="s">
        <v>718</v>
      </c>
      <c r="D41" s="14">
        <v>1002</v>
      </c>
      <c r="E41" s="14">
        <v>1002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1002</v>
      </c>
      <c r="L41" s="14">
        <v>1002</v>
      </c>
      <c r="M41" s="14">
        <v>0</v>
      </c>
      <c r="N41" s="14">
        <v>0</v>
      </c>
      <c r="O41" s="14">
        <v>0</v>
      </c>
      <c r="P41" t="s">
        <v>216</v>
      </c>
    </row>
    <row r="42" spans="1:16" hidden="1" x14ac:dyDescent="0.25">
      <c r="A42" t="s">
        <v>56</v>
      </c>
      <c r="B42">
        <v>165</v>
      </c>
      <c r="C42" t="s">
        <v>719</v>
      </c>
      <c r="D42" s="14">
        <v>228</v>
      </c>
      <c r="E42" s="14">
        <v>228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228</v>
      </c>
      <c r="L42" s="14">
        <v>228</v>
      </c>
      <c r="M42" s="14">
        <v>0</v>
      </c>
      <c r="N42" s="14">
        <v>0</v>
      </c>
      <c r="O42" s="14">
        <v>0</v>
      </c>
      <c r="P42" t="s">
        <v>216</v>
      </c>
    </row>
    <row r="43" spans="1:16" hidden="1" x14ac:dyDescent="0.25">
      <c r="A43" t="s">
        <v>56</v>
      </c>
      <c r="B43">
        <v>165</v>
      </c>
      <c r="C43" t="s">
        <v>718</v>
      </c>
      <c r="D43" s="14">
        <v>8512</v>
      </c>
      <c r="E43" s="14">
        <v>8512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8512</v>
      </c>
      <c r="L43" s="14">
        <v>8512</v>
      </c>
      <c r="M43" s="14">
        <v>0</v>
      </c>
      <c r="N43" s="14">
        <v>0</v>
      </c>
      <c r="O43" s="14">
        <v>0</v>
      </c>
      <c r="P43" t="s">
        <v>216</v>
      </c>
    </row>
    <row r="44" spans="1:16" hidden="1" x14ac:dyDescent="0.25">
      <c r="A44" t="s">
        <v>114</v>
      </c>
      <c r="B44">
        <v>165</v>
      </c>
      <c r="C44" t="s">
        <v>718</v>
      </c>
      <c r="D44" s="14">
        <v>1919</v>
      </c>
      <c r="E44" s="14">
        <v>1919</v>
      </c>
      <c r="F44" s="14">
        <v>0</v>
      </c>
      <c r="G44" s="14">
        <v>0</v>
      </c>
      <c r="H44" s="14">
        <v>0</v>
      </c>
      <c r="I44" s="14">
        <v>-100</v>
      </c>
      <c r="J44" s="14">
        <v>-100</v>
      </c>
      <c r="K44" s="14">
        <v>1819</v>
      </c>
      <c r="L44" s="14">
        <v>1819</v>
      </c>
      <c r="M44" s="14">
        <v>0</v>
      </c>
      <c r="N44" s="14">
        <v>0</v>
      </c>
      <c r="O44" s="14">
        <v>0</v>
      </c>
      <c r="P44" t="s">
        <v>216</v>
      </c>
    </row>
    <row r="45" spans="1:16" hidden="1" x14ac:dyDescent="0.25">
      <c r="A45" t="s">
        <v>69</v>
      </c>
      <c r="B45">
        <v>165</v>
      </c>
      <c r="C45" t="s">
        <v>718</v>
      </c>
      <c r="D45" s="14">
        <v>4372</v>
      </c>
      <c r="E45" s="14">
        <v>4372</v>
      </c>
      <c r="F45" s="14">
        <v>0</v>
      </c>
      <c r="G45" s="14">
        <v>0</v>
      </c>
      <c r="H45" s="14">
        <v>0</v>
      </c>
      <c r="I45" s="14">
        <v>-200</v>
      </c>
      <c r="J45" s="14">
        <v>-200</v>
      </c>
      <c r="K45" s="14">
        <v>4172</v>
      </c>
      <c r="L45" s="14">
        <v>4172</v>
      </c>
      <c r="M45" s="14">
        <v>0</v>
      </c>
      <c r="N45" s="14">
        <v>0</v>
      </c>
      <c r="O45" s="14">
        <v>0</v>
      </c>
      <c r="P45" t="s">
        <v>216</v>
      </c>
    </row>
    <row r="46" spans="1:16" hidden="1" x14ac:dyDescent="0.25">
      <c r="A46" t="s">
        <v>732</v>
      </c>
      <c r="B46">
        <v>165</v>
      </c>
      <c r="C46" t="s">
        <v>718</v>
      </c>
      <c r="D46" s="14">
        <v>1845</v>
      </c>
      <c r="E46" s="14">
        <v>1845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1845</v>
      </c>
      <c r="L46" s="14">
        <v>1845</v>
      </c>
      <c r="M46" s="14">
        <v>0</v>
      </c>
      <c r="N46" s="14">
        <v>0</v>
      </c>
      <c r="O46" s="14">
        <v>0</v>
      </c>
      <c r="P46" t="s">
        <v>216</v>
      </c>
    </row>
    <row r="47" spans="1:16" hidden="1" x14ac:dyDescent="0.25">
      <c r="A47" t="s">
        <v>57</v>
      </c>
      <c r="B47">
        <v>165</v>
      </c>
      <c r="C47" t="s">
        <v>718</v>
      </c>
      <c r="D47" s="14">
        <v>1644</v>
      </c>
      <c r="E47" s="14">
        <v>1644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1644</v>
      </c>
      <c r="L47" s="14">
        <v>1644</v>
      </c>
      <c r="M47" s="14">
        <v>0</v>
      </c>
      <c r="N47" s="14">
        <v>0</v>
      </c>
      <c r="O47" s="14">
        <v>0</v>
      </c>
      <c r="P47" t="s">
        <v>216</v>
      </c>
    </row>
    <row r="48" spans="1:16" hidden="1" x14ac:dyDescent="0.25">
      <c r="A48" t="s">
        <v>733</v>
      </c>
      <c r="B48">
        <v>165</v>
      </c>
      <c r="C48" t="s">
        <v>718</v>
      </c>
      <c r="D48" s="14">
        <v>214</v>
      </c>
      <c r="E48" s="14">
        <v>214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214</v>
      </c>
      <c r="L48" s="14">
        <v>214</v>
      </c>
      <c r="M48" s="14">
        <v>0</v>
      </c>
      <c r="N48" s="14">
        <v>0</v>
      </c>
      <c r="O48" s="14">
        <v>0</v>
      </c>
      <c r="P48" t="s">
        <v>216</v>
      </c>
    </row>
    <row r="49" spans="1:16" hidden="1" x14ac:dyDescent="0.25">
      <c r="A49" t="s">
        <v>58</v>
      </c>
      <c r="B49">
        <v>165</v>
      </c>
      <c r="C49" t="s">
        <v>718</v>
      </c>
      <c r="D49" s="14">
        <v>3446</v>
      </c>
      <c r="E49" s="14">
        <v>3446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3446</v>
      </c>
      <c r="L49" s="14">
        <v>3446</v>
      </c>
      <c r="M49" s="14">
        <v>0</v>
      </c>
      <c r="N49" s="14">
        <v>0</v>
      </c>
      <c r="O49" s="14">
        <v>0</v>
      </c>
      <c r="P49" t="s">
        <v>216</v>
      </c>
    </row>
    <row r="50" spans="1:16" hidden="1" x14ac:dyDescent="0.25">
      <c r="A50" t="s">
        <v>23</v>
      </c>
      <c r="B50">
        <v>165</v>
      </c>
      <c r="C50" t="s">
        <v>718</v>
      </c>
      <c r="D50" s="14">
        <v>2582</v>
      </c>
      <c r="E50" s="14">
        <v>2582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2582</v>
      </c>
      <c r="L50" s="14">
        <v>2582</v>
      </c>
      <c r="M50" s="14">
        <v>0</v>
      </c>
      <c r="N50" s="14">
        <v>0</v>
      </c>
      <c r="O50" s="14">
        <v>0</v>
      </c>
      <c r="P50" t="s">
        <v>216</v>
      </c>
    </row>
    <row r="51" spans="1:16" hidden="1" x14ac:dyDescent="0.25">
      <c r="A51" t="s">
        <v>70</v>
      </c>
      <c r="B51">
        <v>165</v>
      </c>
      <c r="C51" t="s">
        <v>718</v>
      </c>
      <c r="D51" s="14">
        <v>1796</v>
      </c>
      <c r="E51" s="14">
        <v>1796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1796</v>
      </c>
      <c r="L51" s="14">
        <v>1796</v>
      </c>
      <c r="M51" s="14">
        <v>0</v>
      </c>
      <c r="N51" s="14">
        <v>0</v>
      </c>
      <c r="O51" s="14">
        <v>0</v>
      </c>
      <c r="P51" t="s">
        <v>216</v>
      </c>
    </row>
    <row r="52" spans="1:16" hidden="1" x14ac:dyDescent="0.25">
      <c r="A52" t="s">
        <v>71</v>
      </c>
      <c r="B52">
        <v>165</v>
      </c>
      <c r="C52" t="s">
        <v>718</v>
      </c>
      <c r="D52" s="14">
        <v>3468</v>
      </c>
      <c r="E52" s="14">
        <v>3468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3468</v>
      </c>
      <c r="L52" s="14">
        <v>3468</v>
      </c>
      <c r="M52" s="14">
        <v>0</v>
      </c>
      <c r="N52" s="14">
        <v>0</v>
      </c>
      <c r="O52" s="14">
        <v>0</v>
      </c>
      <c r="P52" t="s">
        <v>216</v>
      </c>
    </row>
    <row r="53" spans="1:16" hidden="1" x14ac:dyDescent="0.25">
      <c r="A53" t="s">
        <v>59</v>
      </c>
      <c r="B53">
        <v>165</v>
      </c>
      <c r="C53" t="s">
        <v>718</v>
      </c>
      <c r="D53" s="14">
        <v>5909</v>
      </c>
      <c r="E53" s="14">
        <v>5909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5909</v>
      </c>
      <c r="L53" s="14">
        <v>5909</v>
      </c>
      <c r="M53" s="14">
        <v>0</v>
      </c>
      <c r="N53" s="14">
        <v>0</v>
      </c>
      <c r="O53" s="14">
        <v>0</v>
      </c>
      <c r="P53" t="s">
        <v>216</v>
      </c>
    </row>
    <row r="54" spans="1:16" hidden="1" x14ac:dyDescent="0.25">
      <c r="A54" t="s">
        <v>60</v>
      </c>
      <c r="B54">
        <v>165</v>
      </c>
      <c r="C54" t="s">
        <v>718</v>
      </c>
      <c r="D54" s="14">
        <v>4478.1000000000004</v>
      </c>
      <c r="E54" s="14">
        <v>4478.1000000000004</v>
      </c>
      <c r="F54" s="14">
        <v>0</v>
      </c>
      <c r="G54" s="14">
        <v>0</v>
      </c>
      <c r="H54" s="14">
        <v>0</v>
      </c>
      <c r="I54" s="14">
        <v>-1000</v>
      </c>
      <c r="J54" s="14">
        <v>-1000</v>
      </c>
      <c r="K54" s="14">
        <v>3478.1</v>
      </c>
      <c r="L54" s="14">
        <v>3478.1</v>
      </c>
      <c r="M54" s="14">
        <v>0</v>
      </c>
      <c r="N54" s="14">
        <v>0</v>
      </c>
      <c r="O54" s="14">
        <v>0</v>
      </c>
      <c r="P54" t="s">
        <v>216</v>
      </c>
    </row>
    <row r="55" spans="1:16" hidden="1" x14ac:dyDescent="0.25">
      <c r="A55" t="s">
        <v>734</v>
      </c>
      <c r="B55">
        <v>165</v>
      </c>
      <c r="C55" t="s">
        <v>718</v>
      </c>
      <c r="D55" s="14">
        <v>26.019999999999996</v>
      </c>
      <c r="E55" s="14">
        <v>26.019999999999996</v>
      </c>
      <c r="F55" s="14">
        <v>0</v>
      </c>
      <c r="G55" s="14">
        <v>0</v>
      </c>
      <c r="H55" s="14">
        <v>0</v>
      </c>
      <c r="I55" s="14">
        <v>24.42</v>
      </c>
      <c r="J55" s="14">
        <v>24.42</v>
      </c>
      <c r="K55" s="14">
        <v>50.44</v>
      </c>
      <c r="L55" s="14">
        <v>50.44</v>
      </c>
      <c r="M55" s="14">
        <v>0</v>
      </c>
      <c r="N55" s="14">
        <v>0</v>
      </c>
      <c r="O55" s="14">
        <v>0</v>
      </c>
      <c r="P55" t="s">
        <v>216</v>
      </c>
    </row>
    <row r="56" spans="1:16" hidden="1" x14ac:dyDescent="0.25">
      <c r="A56" t="s">
        <v>735</v>
      </c>
      <c r="B56">
        <v>165</v>
      </c>
      <c r="C56" t="s">
        <v>718</v>
      </c>
      <c r="D56" s="14">
        <v>18.78</v>
      </c>
      <c r="E56" s="14">
        <v>18.78</v>
      </c>
      <c r="F56" s="14">
        <v>0</v>
      </c>
      <c r="G56" s="14">
        <v>0</v>
      </c>
      <c r="H56" s="14">
        <v>0</v>
      </c>
      <c r="I56" s="14">
        <v>-1.02</v>
      </c>
      <c r="J56" s="14">
        <v>-1.02</v>
      </c>
      <c r="K56" s="14">
        <v>17.760000000000002</v>
      </c>
      <c r="L56" s="14">
        <v>17.760000000000002</v>
      </c>
      <c r="M56" s="14">
        <v>0</v>
      </c>
      <c r="N56" s="14">
        <v>0</v>
      </c>
      <c r="O56" s="14">
        <v>0</v>
      </c>
      <c r="P56" t="s">
        <v>216</v>
      </c>
    </row>
    <row r="57" spans="1:16" hidden="1" x14ac:dyDescent="0.25">
      <c r="A57" t="s">
        <v>679</v>
      </c>
      <c r="B57">
        <v>165</v>
      </c>
      <c r="C57" t="s">
        <v>719</v>
      </c>
      <c r="D57" s="14">
        <v>5</v>
      </c>
      <c r="E57" s="14">
        <v>5</v>
      </c>
      <c r="F57" s="14">
        <v>0</v>
      </c>
      <c r="G57" s="14">
        <v>21.04</v>
      </c>
      <c r="H57" s="14">
        <v>4.2080000000000002</v>
      </c>
      <c r="I57" s="14">
        <v>0</v>
      </c>
      <c r="J57" s="14">
        <v>0</v>
      </c>
      <c r="K57" s="14">
        <v>5</v>
      </c>
      <c r="L57" s="14">
        <v>5</v>
      </c>
      <c r="M57" s="14">
        <v>0</v>
      </c>
      <c r="N57" s="14">
        <v>21.04</v>
      </c>
      <c r="O57" s="14">
        <v>4.2080000000000002</v>
      </c>
      <c r="P57" t="s">
        <v>216</v>
      </c>
    </row>
    <row r="58" spans="1:16" hidden="1" x14ac:dyDescent="0.25">
      <c r="A58" t="s">
        <v>680</v>
      </c>
      <c r="B58">
        <v>165</v>
      </c>
      <c r="C58" t="s">
        <v>719</v>
      </c>
      <c r="D58" s="14">
        <v>0</v>
      </c>
      <c r="E58" s="14">
        <v>0</v>
      </c>
      <c r="F58" s="14">
        <v>0</v>
      </c>
      <c r="G58" s="14">
        <v>-0.03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-0.03</v>
      </c>
      <c r="O58" s="14">
        <v>0</v>
      </c>
      <c r="P58" t="s">
        <v>216</v>
      </c>
    </row>
    <row r="59" spans="1:16" hidden="1" x14ac:dyDescent="0.25">
      <c r="A59" t="s">
        <v>295</v>
      </c>
      <c r="B59">
        <v>165</v>
      </c>
      <c r="C59" t="s">
        <v>719</v>
      </c>
      <c r="D59" s="14">
        <v>2</v>
      </c>
      <c r="E59" s="14">
        <v>2</v>
      </c>
      <c r="F59" s="14">
        <v>0</v>
      </c>
      <c r="G59" s="14">
        <v>90.5</v>
      </c>
      <c r="H59" s="14">
        <v>45.25</v>
      </c>
      <c r="I59" s="14">
        <v>0</v>
      </c>
      <c r="J59" s="14">
        <v>0</v>
      </c>
      <c r="K59" s="14">
        <v>2</v>
      </c>
      <c r="L59" s="14">
        <v>2</v>
      </c>
      <c r="M59" s="14">
        <v>0</v>
      </c>
      <c r="N59" s="14">
        <v>90.5</v>
      </c>
      <c r="O59" s="14">
        <v>45.25</v>
      </c>
      <c r="P59" t="s">
        <v>216</v>
      </c>
    </row>
    <row r="60" spans="1:16" hidden="1" x14ac:dyDescent="0.25">
      <c r="A60" t="s">
        <v>62</v>
      </c>
      <c r="B60">
        <v>165</v>
      </c>
      <c r="C60" t="s">
        <v>719</v>
      </c>
      <c r="D60" s="14">
        <v>5</v>
      </c>
      <c r="E60" s="14">
        <v>5</v>
      </c>
      <c r="F60" s="14">
        <v>0</v>
      </c>
      <c r="G60" s="14">
        <v>191.34</v>
      </c>
      <c r="H60" s="14">
        <v>38.268000000000001</v>
      </c>
      <c r="I60" s="14">
        <v>0</v>
      </c>
      <c r="J60" s="14">
        <v>0</v>
      </c>
      <c r="K60" s="14">
        <v>5</v>
      </c>
      <c r="L60" s="14">
        <v>5</v>
      </c>
      <c r="M60" s="14">
        <v>0</v>
      </c>
      <c r="N60" s="14">
        <v>191.34</v>
      </c>
      <c r="O60" s="14">
        <v>38.268000000000001</v>
      </c>
      <c r="P60" t="s">
        <v>216</v>
      </c>
    </row>
    <row r="61" spans="1:16" hidden="1" x14ac:dyDescent="0.25">
      <c r="A61" t="s">
        <v>736</v>
      </c>
      <c r="B61">
        <v>165</v>
      </c>
      <c r="C61" t="s">
        <v>718</v>
      </c>
      <c r="D61" s="14">
        <v>3.08</v>
      </c>
      <c r="E61" s="14">
        <v>3.08</v>
      </c>
      <c r="F61" s="14">
        <v>0</v>
      </c>
      <c r="G61" s="14">
        <v>0</v>
      </c>
      <c r="H61" s="14">
        <v>0</v>
      </c>
      <c r="I61" s="14">
        <v>-2.0300000000000002</v>
      </c>
      <c r="J61" s="14">
        <v>-2.0300000000000002</v>
      </c>
      <c r="K61" s="14">
        <v>1.05</v>
      </c>
      <c r="L61" s="14">
        <v>1.05</v>
      </c>
      <c r="M61" s="14">
        <v>0</v>
      </c>
      <c r="N61" s="14">
        <v>0</v>
      </c>
      <c r="O61" s="14">
        <v>0</v>
      </c>
      <c r="P61" t="s">
        <v>216</v>
      </c>
    </row>
    <row r="62" spans="1:16" hidden="1" x14ac:dyDescent="0.25">
      <c r="A62" t="s">
        <v>737</v>
      </c>
      <c r="B62">
        <v>165</v>
      </c>
      <c r="C62" t="s">
        <v>718</v>
      </c>
      <c r="D62" s="14">
        <v>15.75</v>
      </c>
      <c r="E62" s="14">
        <v>15.75</v>
      </c>
      <c r="F62" s="14">
        <v>0</v>
      </c>
      <c r="G62" s="14">
        <v>0</v>
      </c>
      <c r="H62" s="14">
        <v>0</v>
      </c>
      <c r="I62" s="14">
        <v>16.5</v>
      </c>
      <c r="J62" s="14">
        <v>16.5</v>
      </c>
      <c r="K62" s="14">
        <v>32.25</v>
      </c>
      <c r="L62" s="14">
        <v>32.25</v>
      </c>
      <c r="M62" s="14">
        <v>0</v>
      </c>
      <c r="N62" s="14">
        <v>0</v>
      </c>
      <c r="O62" s="14">
        <v>0</v>
      </c>
      <c r="P62" t="s">
        <v>216</v>
      </c>
    </row>
    <row r="63" spans="1:16" hidden="1" x14ac:dyDescent="0.25">
      <c r="A63" t="s">
        <v>738</v>
      </c>
      <c r="B63">
        <v>165</v>
      </c>
      <c r="C63" t="s">
        <v>718</v>
      </c>
      <c r="D63" s="14">
        <v>26.980000000000004</v>
      </c>
      <c r="E63" s="14">
        <v>26.980000000000004</v>
      </c>
      <c r="F63" s="14">
        <v>0</v>
      </c>
      <c r="G63" s="14">
        <v>0</v>
      </c>
      <c r="H63" s="14">
        <v>0</v>
      </c>
      <c r="I63" s="14">
        <v>48.55</v>
      </c>
      <c r="J63" s="14">
        <v>48.550000000000004</v>
      </c>
      <c r="K63" s="14">
        <v>75.53</v>
      </c>
      <c r="L63" s="14">
        <v>75.53</v>
      </c>
      <c r="M63" s="14">
        <v>0</v>
      </c>
      <c r="N63" s="14">
        <v>0</v>
      </c>
      <c r="O63" s="14">
        <v>0</v>
      </c>
      <c r="P63" t="s">
        <v>216</v>
      </c>
    </row>
    <row r="64" spans="1:16" hidden="1" x14ac:dyDescent="0.25">
      <c r="A64" t="s">
        <v>739</v>
      </c>
      <c r="B64">
        <v>165</v>
      </c>
      <c r="C64" t="s">
        <v>718</v>
      </c>
      <c r="D64" s="14">
        <v>20</v>
      </c>
      <c r="E64" s="14">
        <v>20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20</v>
      </c>
      <c r="L64" s="14">
        <v>20</v>
      </c>
      <c r="M64" s="14">
        <v>0</v>
      </c>
      <c r="N64" s="14">
        <v>0</v>
      </c>
      <c r="O64" s="14">
        <v>0</v>
      </c>
      <c r="P64" t="s">
        <v>216</v>
      </c>
    </row>
    <row r="65" spans="1:16" hidden="1" x14ac:dyDescent="0.25">
      <c r="A65" t="s">
        <v>740</v>
      </c>
      <c r="B65">
        <v>165</v>
      </c>
      <c r="C65" t="s">
        <v>718</v>
      </c>
      <c r="D65" s="14">
        <v>1069</v>
      </c>
      <c r="E65" s="14">
        <v>1069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1069</v>
      </c>
      <c r="L65" s="14">
        <v>1069</v>
      </c>
      <c r="M65" s="14">
        <v>0</v>
      </c>
      <c r="N65" s="14">
        <v>0</v>
      </c>
      <c r="O65" s="14">
        <v>0</v>
      </c>
      <c r="P65" t="s">
        <v>216</v>
      </c>
    </row>
    <row r="66" spans="1:16" hidden="1" x14ac:dyDescent="0.25">
      <c r="A66" t="s">
        <v>741</v>
      </c>
      <c r="B66">
        <v>165</v>
      </c>
      <c r="C66" t="s">
        <v>719</v>
      </c>
      <c r="D66" s="14">
        <v>20</v>
      </c>
      <c r="E66" s="14">
        <v>20</v>
      </c>
      <c r="F66" s="14">
        <v>0</v>
      </c>
      <c r="G66" s="14">
        <v>110.34</v>
      </c>
      <c r="H66" s="14">
        <v>5.5170000000000003</v>
      </c>
      <c r="I66" s="14">
        <v>0</v>
      </c>
      <c r="J66" s="14">
        <v>0</v>
      </c>
      <c r="K66" s="14">
        <v>20</v>
      </c>
      <c r="L66" s="14">
        <v>20</v>
      </c>
      <c r="M66" s="14">
        <v>0</v>
      </c>
      <c r="N66" s="14">
        <v>110.34</v>
      </c>
      <c r="O66" s="14">
        <v>5.5170000000000003</v>
      </c>
      <c r="P66" t="s">
        <v>216</v>
      </c>
    </row>
    <row r="67" spans="1:16" hidden="1" x14ac:dyDescent="0.25">
      <c r="A67" t="s">
        <v>742</v>
      </c>
      <c r="B67">
        <v>165</v>
      </c>
      <c r="C67" t="s">
        <v>718</v>
      </c>
      <c r="D67" s="14">
        <v>10</v>
      </c>
      <c r="E67" s="14">
        <v>10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10</v>
      </c>
      <c r="L67" s="14">
        <v>10</v>
      </c>
      <c r="M67" s="14">
        <v>0</v>
      </c>
      <c r="N67" s="14">
        <v>0</v>
      </c>
      <c r="O67" s="14">
        <v>0</v>
      </c>
      <c r="P67" t="s">
        <v>216</v>
      </c>
    </row>
    <row r="68" spans="1:16" hidden="1" x14ac:dyDescent="0.25">
      <c r="A68" t="s">
        <v>743</v>
      </c>
      <c r="B68">
        <v>165</v>
      </c>
      <c r="C68" t="s">
        <v>718</v>
      </c>
      <c r="D68" s="14">
        <v>49</v>
      </c>
      <c r="E68" s="14">
        <v>49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49</v>
      </c>
      <c r="L68" s="14">
        <v>49</v>
      </c>
      <c r="M68" s="14">
        <v>0</v>
      </c>
      <c r="N68" s="14">
        <v>0</v>
      </c>
      <c r="O68" s="14">
        <v>0</v>
      </c>
      <c r="P68" t="s">
        <v>216</v>
      </c>
    </row>
    <row r="69" spans="1:16" hidden="1" x14ac:dyDescent="0.25">
      <c r="A69" t="s">
        <v>744</v>
      </c>
      <c r="B69">
        <v>165</v>
      </c>
      <c r="C69" t="s">
        <v>718</v>
      </c>
      <c r="D69" s="14">
        <v>70</v>
      </c>
      <c r="E69" s="14">
        <v>70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>
        <v>70</v>
      </c>
      <c r="L69" s="14">
        <v>70</v>
      </c>
      <c r="M69" s="14">
        <v>0</v>
      </c>
      <c r="N69" s="14">
        <v>0</v>
      </c>
      <c r="O69" s="14">
        <v>0</v>
      </c>
      <c r="P69" t="s">
        <v>216</v>
      </c>
    </row>
    <row r="70" spans="1:16" hidden="1" x14ac:dyDescent="0.25">
      <c r="A70" t="s">
        <v>745</v>
      </c>
      <c r="B70">
        <v>165</v>
      </c>
      <c r="C70" t="s">
        <v>718</v>
      </c>
      <c r="D70" s="14">
        <v>1429.5</v>
      </c>
      <c r="E70" s="14">
        <v>1429.5</v>
      </c>
      <c r="F70" s="14">
        <v>0</v>
      </c>
      <c r="G70" s="14">
        <v>0</v>
      </c>
      <c r="H70" s="14">
        <v>0</v>
      </c>
      <c r="I70" s="14">
        <v>-145</v>
      </c>
      <c r="J70" s="14">
        <v>-145</v>
      </c>
      <c r="K70" s="14">
        <v>1284.5</v>
      </c>
      <c r="L70" s="14">
        <v>1284.5</v>
      </c>
      <c r="M70" s="14">
        <v>0</v>
      </c>
      <c r="N70" s="14">
        <v>0</v>
      </c>
      <c r="O70" s="14">
        <v>0</v>
      </c>
      <c r="P70" t="s">
        <v>216</v>
      </c>
    </row>
    <row r="71" spans="1:16" hidden="1" x14ac:dyDescent="0.25">
      <c r="A71" t="s">
        <v>63</v>
      </c>
      <c r="B71">
        <v>165</v>
      </c>
      <c r="C71" t="s">
        <v>719</v>
      </c>
      <c r="D71" s="14">
        <v>87</v>
      </c>
      <c r="E71" s="14">
        <v>87</v>
      </c>
      <c r="F71" s="14">
        <v>0</v>
      </c>
      <c r="G71" s="14">
        <v>341.58000000000004</v>
      </c>
      <c r="H71" s="14">
        <v>3.9262068965517245</v>
      </c>
      <c r="I71" s="14">
        <v>0</v>
      </c>
      <c r="J71" s="14">
        <v>0</v>
      </c>
      <c r="K71" s="14">
        <v>87</v>
      </c>
      <c r="L71" s="14">
        <v>87</v>
      </c>
      <c r="M71" s="14">
        <v>0</v>
      </c>
      <c r="N71" s="14">
        <v>341.58000000000004</v>
      </c>
      <c r="O71" s="14">
        <v>3.9262068965517245</v>
      </c>
      <c r="P71" t="s">
        <v>216</v>
      </c>
    </row>
    <row r="72" spans="1:16" hidden="1" x14ac:dyDescent="0.25">
      <c r="A72" t="s">
        <v>746</v>
      </c>
      <c r="B72">
        <v>165</v>
      </c>
      <c r="C72" t="s">
        <v>718</v>
      </c>
      <c r="D72" s="14">
        <v>9.5</v>
      </c>
      <c r="E72" s="14">
        <v>9.5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9.5</v>
      </c>
      <c r="L72" s="14">
        <v>9.5</v>
      </c>
      <c r="M72" s="14">
        <v>0</v>
      </c>
      <c r="N72" s="14">
        <v>0</v>
      </c>
      <c r="O72" s="14">
        <v>0</v>
      </c>
      <c r="P72" t="s">
        <v>216</v>
      </c>
    </row>
    <row r="73" spans="1:16" hidden="1" x14ac:dyDescent="0.25">
      <c r="A73" t="s">
        <v>747</v>
      </c>
      <c r="B73">
        <v>165</v>
      </c>
      <c r="C73" t="s">
        <v>718</v>
      </c>
      <c r="D73" s="14">
        <v>3012.41</v>
      </c>
      <c r="E73" s="14">
        <v>3012.41</v>
      </c>
      <c r="F73" s="14">
        <v>0</v>
      </c>
      <c r="G73" s="14">
        <v>0</v>
      </c>
      <c r="H73" s="14">
        <v>0</v>
      </c>
      <c r="I73" s="14">
        <v>1740</v>
      </c>
      <c r="J73" s="14">
        <v>1740</v>
      </c>
      <c r="K73" s="14">
        <v>4752.41</v>
      </c>
      <c r="L73" s="14">
        <v>4752.41</v>
      </c>
      <c r="M73" s="14">
        <v>0</v>
      </c>
      <c r="N73" s="14">
        <v>0</v>
      </c>
      <c r="O73" s="14">
        <v>0</v>
      </c>
      <c r="P73" t="s">
        <v>216</v>
      </c>
    </row>
    <row r="74" spans="1:16" hidden="1" x14ac:dyDescent="0.25">
      <c r="A74" t="s">
        <v>748</v>
      </c>
      <c r="B74">
        <v>165</v>
      </c>
      <c r="C74" t="s">
        <v>718</v>
      </c>
      <c r="D74" s="14">
        <v>72.52</v>
      </c>
      <c r="E74" s="14">
        <v>72.52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72.52</v>
      </c>
      <c r="L74" s="14">
        <v>72.52</v>
      </c>
      <c r="M74" s="14">
        <v>0</v>
      </c>
      <c r="N74" s="14">
        <v>0</v>
      </c>
      <c r="O74" s="14">
        <v>0</v>
      </c>
      <c r="P74" t="s">
        <v>216</v>
      </c>
    </row>
    <row r="75" spans="1:16" hidden="1" x14ac:dyDescent="0.25">
      <c r="A75" t="s">
        <v>749</v>
      </c>
      <c r="B75">
        <v>165</v>
      </c>
      <c r="C75" t="s">
        <v>718</v>
      </c>
      <c r="D75" s="14">
        <v>48.9</v>
      </c>
      <c r="E75" s="14">
        <v>48.9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K75" s="14">
        <v>48.9</v>
      </c>
      <c r="L75" s="14">
        <v>48.9</v>
      </c>
      <c r="M75" s="14">
        <v>0</v>
      </c>
      <c r="N75" s="14">
        <v>0</v>
      </c>
      <c r="O75" s="14">
        <v>0</v>
      </c>
      <c r="P75" t="s">
        <v>216</v>
      </c>
    </row>
    <row r="76" spans="1:16" hidden="1" x14ac:dyDescent="0.25">
      <c r="A76" t="s">
        <v>750</v>
      </c>
      <c r="B76">
        <v>165</v>
      </c>
      <c r="C76" t="s">
        <v>718</v>
      </c>
      <c r="D76" s="14">
        <v>10</v>
      </c>
      <c r="E76" s="14">
        <v>10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10</v>
      </c>
      <c r="L76" s="14">
        <v>10</v>
      </c>
      <c r="M76" s="14">
        <v>0</v>
      </c>
      <c r="N76" s="14">
        <v>0</v>
      </c>
      <c r="O76" s="14">
        <v>0</v>
      </c>
      <c r="P76" t="s">
        <v>216</v>
      </c>
    </row>
    <row r="77" spans="1:16" hidden="1" x14ac:dyDescent="0.25">
      <c r="A77" t="s">
        <v>64</v>
      </c>
      <c r="B77">
        <v>165</v>
      </c>
      <c r="C77" t="s">
        <v>719</v>
      </c>
      <c r="D77" s="14">
        <v>56</v>
      </c>
      <c r="E77" s="14">
        <v>56</v>
      </c>
      <c r="F77" s="14">
        <v>0</v>
      </c>
      <c r="G77" s="14">
        <v>297.34000000000003</v>
      </c>
      <c r="H77" s="14">
        <v>5.3096428571428573</v>
      </c>
      <c r="I77" s="14">
        <v>0</v>
      </c>
      <c r="J77" s="14">
        <v>0</v>
      </c>
      <c r="K77" s="14">
        <v>56</v>
      </c>
      <c r="L77" s="14">
        <v>56</v>
      </c>
      <c r="M77" s="14">
        <v>0</v>
      </c>
      <c r="N77" s="14">
        <v>297.34000000000003</v>
      </c>
      <c r="O77" s="14">
        <v>5.3096428571428573</v>
      </c>
      <c r="P77" t="s">
        <v>216</v>
      </c>
    </row>
    <row r="78" spans="1:16" hidden="1" x14ac:dyDescent="0.25">
      <c r="A78" t="s">
        <v>109</v>
      </c>
      <c r="B78">
        <v>165</v>
      </c>
      <c r="C78" t="s">
        <v>719</v>
      </c>
      <c r="D78" s="14">
        <v>6</v>
      </c>
      <c r="E78" s="14">
        <v>6</v>
      </c>
      <c r="F78" s="14">
        <v>0</v>
      </c>
      <c r="G78" s="14">
        <v>44.03</v>
      </c>
      <c r="H78" s="14">
        <v>7.3383333333333338</v>
      </c>
      <c r="I78" s="14">
        <v>0</v>
      </c>
      <c r="J78" s="14">
        <v>0</v>
      </c>
      <c r="K78" s="14">
        <v>6</v>
      </c>
      <c r="L78" s="14">
        <v>6</v>
      </c>
      <c r="M78" s="14">
        <v>0</v>
      </c>
      <c r="N78" s="14">
        <v>44.03</v>
      </c>
      <c r="O78" s="14">
        <v>7.3383333333333338</v>
      </c>
      <c r="P78" t="s">
        <v>216</v>
      </c>
    </row>
    <row r="79" spans="1:16" hidden="1" x14ac:dyDescent="0.25">
      <c r="A79" t="s">
        <v>752</v>
      </c>
      <c r="B79">
        <v>165</v>
      </c>
      <c r="C79" t="s">
        <v>718</v>
      </c>
      <c r="D79" s="14">
        <v>24.35</v>
      </c>
      <c r="E79" s="14">
        <v>24.35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24.35</v>
      </c>
      <c r="L79" s="14">
        <v>24.35</v>
      </c>
      <c r="M79" s="14">
        <v>0</v>
      </c>
      <c r="N79" s="14">
        <v>0</v>
      </c>
      <c r="O79" s="14">
        <v>0</v>
      </c>
      <c r="P79" t="s">
        <v>216</v>
      </c>
    </row>
    <row r="80" spans="1:16" hidden="1" x14ac:dyDescent="0.25">
      <c r="A80" t="s">
        <v>753</v>
      </c>
      <c r="B80">
        <v>165</v>
      </c>
      <c r="C80" t="s">
        <v>718</v>
      </c>
      <c r="D80" s="14">
        <v>29.45</v>
      </c>
      <c r="E80" s="14">
        <v>29.45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  <c r="K80" s="14">
        <v>29.45</v>
      </c>
      <c r="L80" s="14">
        <v>29.45</v>
      </c>
      <c r="M80" s="14">
        <v>0</v>
      </c>
      <c r="N80" s="14">
        <v>0</v>
      </c>
      <c r="O80" s="14">
        <v>0</v>
      </c>
      <c r="P80" t="s">
        <v>216</v>
      </c>
    </row>
    <row r="81" spans="1:16" hidden="1" x14ac:dyDescent="0.25">
      <c r="A81" t="s">
        <v>754</v>
      </c>
      <c r="B81">
        <v>165</v>
      </c>
      <c r="C81" t="s">
        <v>718</v>
      </c>
      <c r="D81" s="14">
        <v>6449</v>
      </c>
      <c r="E81" s="14">
        <v>6449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K81" s="14">
        <v>6449</v>
      </c>
      <c r="L81" s="14">
        <v>6449</v>
      </c>
      <c r="M81" s="14">
        <v>0</v>
      </c>
      <c r="N81" s="14">
        <v>0</v>
      </c>
      <c r="O81" s="14">
        <v>0</v>
      </c>
      <c r="P81" t="s">
        <v>216</v>
      </c>
    </row>
    <row r="82" spans="1:16" hidden="1" x14ac:dyDescent="0.25">
      <c r="A82" t="s">
        <v>755</v>
      </c>
      <c r="B82">
        <v>165</v>
      </c>
      <c r="C82" t="s">
        <v>718</v>
      </c>
      <c r="D82" s="14">
        <v>40.880000000000003</v>
      </c>
      <c r="E82" s="14">
        <v>40.880000000000003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40.880000000000003</v>
      </c>
      <c r="L82" s="14">
        <v>40.880000000000003</v>
      </c>
      <c r="M82" s="14">
        <v>0</v>
      </c>
      <c r="N82" s="14">
        <v>0</v>
      </c>
      <c r="O82" s="14">
        <v>0</v>
      </c>
      <c r="P82" t="s">
        <v>216</v>
      </c>
    </row>
    <row r="83" spans="1:16" x14ac:dyDescent="0.25"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</row>
  </sheetData>
  <dataValidations count="1">
    <dataValidation type="list" allowBlank="1" showInputMessage="1" showErrorMessage="1" sqref="P2:P83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1"/>
  <sheetViews>
    <sheetView workbookViewId="0">
      <selection activeCell="G10" sqref="G10"/>
    </sheetView>
  </sheetViews>
  <sheetFormatPr defaultRowHeight="15" x14ac:dyDescent="0.25"/>
  <cols>
    <col min="1" max="1" width="14.7109375" customWidth="1"/>
    <col min="2" max="2" width="12.7109375" customWidth="1"/>
    <col min="4" max="4" width="13.42578125" customWidth="1"/>
    <col min="5" max="5" width="13.8554687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9.7109375" customWidth="1"/>
    <col min="15" max="15" width="21.140625" customWidth="1"/>
    <col min="16" max="16" width="23.85546875" customWidth="1"/>
    <col min="17" max="17" width="14.5703125" customWidth="1"/>
  </cols>
  <sheetData>
    <row r="1" spans="1:17" x14ac:dyDescent="0.25">
      <c r="A1" t="s">
        <v>6</v>
      </c>
      <c r="B1" t="s">
        <v>27</v>
      </c>
      <c r="C1" t="s">
        <v>46</v>
      </c>
      <c r="D1" t="s">
        <v>47</v>
      </c>
      <c r="E1" t="s">
        <v>44</v>
      </c>
      <c r="F1" t="s">
        <v>565</v>
      </c>
      <c r="G1" t="s">
        <v>8</v>
      </c>
      <c r="H1" t="s">
        <v>12</v>
      </c>
      <c r="I1" t="s">
        <v>33</v>
      </c>
      <c r="J1" t="s">
        <v>566</v>
      </c>
      <c r="K1" t="s">
        <v>567</v>
      </c>
      <c r="L1" t="s">
        <v>42</v>
      </c>
      <c r="M1" t="s">
        <v>218</v>
      </c>
      <c r="N1" t="s">
        <v>219</v>
      </c>
      <c r="O1" t="s">
        <v>568</v>
      </c>
      <c r="P1" t="s">
        <v>569</v>
      </c>
      <c r="Q1" t="s">
        <v>220</v>
      </c>
    </row>
    <row r="2" spans="1:17" x14ac:dyDescent="0.25">
      <c r="A2" t="s">
        <v>98</v>
      </c>
      <c r="B2" t="s">
        <v>99</v>
      </c>
      <c r="C2">
        <v>165</v>
      </c>
      <c r="D2" t="s">
        <v>718</v>
      </c>
      <c r="E2" s="1">
        <v>43129</v>
      </c>
      <c r="F2" t="s">
        <v>215</v>
      </c>
      <c r="G2" t="s">
        <v>889</v>
      </c>
      <c r="H2">
        <v>-900</v>
      </c>
      <c r="I2" t="s">
        <v>36</v>
      </c>
      <c r="J2">
        <v>0</v>
      </c>
      <c r="M2" t="s">
        <v>155</v>
      </c>
      <c r="N2" t="s">
        <v>893</v>
      </c>
      <c r="Q2" t="s">
        <v>216</v>
      </c>
    </row>
    <row r="3" spans="1:17" x14ac:dyDescent="0.25">
      <c r="A3" t="s">
        <v>98</v>
      </c>
      <c r="B3" t="s">
        <v>99</v>
      </c>
      <c r="C3">
        <v>165</v>
      </c>
      <c r="D3" t="s">
        <v>718</v>
      </c>
      <c r="E3" s="1">
        <v>43129</v>
      </c>
      <c r="F3" t="s">
        <v>215</v>
      </c>
      <c r="G3" t="s">
        <v>889</v>
      </c>
      <c r="H3">
        <v>-100</v>
      </c>
      <c r="I3" t="s">
        <v>36</v>
      </c>
      <c r="J3">
        <v>0</v>
      </c>
      <c r="K3">
        <v>0</v>
      </c>
      <c r="L3" t="s">
        <v>210</v>
      </c>
      <c r="M3" t="s">
        <v>156</v>
      </c>
      <c r="N3" t="s">
        <v>893</v>
      </c>
      <c r="O3">
        <v>0</v>
      </c>
      <c r="P3">
        <v>0</v>
      </c>
      <c r="Q3" t="s">
        <v>216</v>
      </c>
    </row>
    <row r="4" spans="1:17" x14ac:dyDescent="0.25">
      <c r="A4" t="s">
        <v>98</v>
      </c>
      <c r="B4" t="s">
        <v>99</v>
      </c>
      <c r="C4">
        <v>165</v>
      </c>
      <c r="D4" t="s">
        <v>718</v>
      </c>
      <c r="E4" s="1">
        <v>43129</v>
      </c>
      <c r="F4" t="s">
        <v>215</v>
      </c>
      <c r="G4" t="s">
        <v>889</v>
      </c>
      <c r="H4">
        <v>-150</v>
      </c>
      <c r="I4" t="s">
        <v>36</v>
      </c>
      <c r="J4">
        <v>0</v>
      </c>
      <c r="K4">
        <v>0</v>
      </c>
      <c r="L4" t="s">
        <v>210</v>
      </c>
      <c r="M4" t="s">
        <v>156</v>
      </c>
      <c r="N4" t="s">
        <v>893</v>
      </c>
      <c r="O4">
        <v>0</v>
      </c>
      <c r="P4">
        <v>0</v>
      </c>
      <c r="Q4" t="s">
        <v>216</v>
      </c>
    </row>
    <row r="5" spans="1:17" x14ac:dyDescent="0.25">
      <c r="A5" t="s">
        <v>98</v>
      </c>
      <c r="B5" t="s">
        <v>99</v>
      </c>
      <c r="C5">
        <v>165</v>
      </c>
      <c r="D5" t="s">
        <v>718</v>
      </c>
      <c r="E5" s="1">
        <v>43129</v>
      </c>
      <c r="F5" t="s">
        <v>215</v>
      </c>
      <c r="G5" t="s">
        <v>889</v>
      </c>
      <c r="H5">
        <v>-150</v>
      </c>
      <c r="I5" t="s">
        <v>36</v>
      </c>
      <c r="J5">
        <v>0</v>
      </c>
      <c r="K5">
        <v>0</v>
      </c>
      <c r="L5" t="s">
        <v>210</v>
      </c>
      <c r="M5" t="s">
        <v>156</v>
      </c>
      <c r="N5" t="s">
        <v>893</v>
      </c>
      <c r="O5">
        <v>0</v>
      </c>
      <c r="P5">
        <v>0</v>
      </c>
      <c r="Q5" t="s">
        <v>216</v>
      </c>
    </row>
    <row r="6" spans="1:17" x14ac:dyDescent="0.25">
      <c r="A6" t="s">
        <v>98</v>
      </c>
      <c r="B6" t="s">
        <v>99</v>
      </c>
      <c r="C6">
        <v>165</v>
      </c>
      <c r="D6" t="s">
        <v>718</v>
      </c>
      <c r="E6" s="1">
        <v>43129</v>
      </c>
      <c r="F6" t="s">
        <v>215</v>
      </c>
      <c r="G6" t="s">
        <v>889</v>
      </c>
      <c r="H6">
        <v>-100</v>
      </c>
      <c r="I6" t="s">
        <v>36</v>
      </c>
      <c r="J6">
        <v>0</v>
      </c>
      <c r="K6">
        <v>0</v>
      </c>
      <c r="L6" t="s">
        <v>210</v>
      </c>
      <c r="M6" t="s">
        <v>156</v>
      </c>
      <c r="N6" t="s">
        <v>893</v>
      </c>
      <c r="O6">
        <v>0</v>
      </c>
      <c r="P6">
        <v>0</v>
      </c>
      <c r="Q6" t="s">
        <v>216</v>
      </c>
    </row>
    <row r="7" spans="1:17" x14ac:dyDescent="0.25">
      <c r="A7" t="s">
        <v>98</v>
      </c>
      <c r="B7" t="s">
        <v>99</v>
      </c>
      <c r="C7">
        <v>165</v>
      </c>
      <c r="D7" t="s">
        <v>718</v>
      </c>
      <c r="E7" s="1">
        <v>43129</v>
      </c>
      <c r="F7" t="s">
        <v>215</v>
      </c>
      <c r="G7" t="s">
        <v>889</v>
      </c>
      <c r="H7">
        <v>-100</v>
      </c>
      <c r="I7" t="s">
        <v>36</v>
      </c>
      <c r="J7">
        <v>0</v>
      </c>
      <c r="K7">
        <v>0</v>
      </c>
      <c r="L7" t="s">
        <v>210</v>
      </c>
      <c r="M7" t="s">
        <v>156</v>
      </c>
      <c r="N7" t="s">
        <v>893</v>
      </c>
      <c r="O7">
        <v>0</v>
      </c>
      <c r="P7">
        <v>0</v>
      </c>
      <c r="Q7" t="s">
        <v>216</v>
      </c>
    </row>
    <row r="8" spans="1:17" x14ac:dyDescent="0.25">
      <c r="A8" t="s">
        <v>98</v>
      </c>
      <c r="B8" t="s">
        <v>99</v>
      </c>
      <c r="C8">
        <v>165</v>
      </c>
      <c r="D8" t="s">
        <v>718</v>
      </c>
      <c r="E8" s="1">
        <v>43129</v>
      </c>
      <c r="F8" t="s">
        <v>215</v>
      </c>
      <c r="G8" t="s">
        <v>889</v>
      </c>
      <c r="H8">
        <v>-150</v>
      </c>
      <c r="I8" t="s">
        <v>36</v>
      </c>
      <c r="J8">
        <v>0</v>
      </c>
      <c r="K8">
        <v>0</v>
      </c>
      <c r="L8" t="s">
        <v>210</v>
      </c>
      <c r="M8" t="s">
        <v>156</v>
      </c>
      <c r="N8" t="s">
        <v>893</v>
      </c>
      <c r="O8">
        <v>0</v>
      </c>
      <c r="P8">
        <v>0</v>
      </c>
      <c r="Q8" t="s">
        <v>216</v>
      </c>
    </row>
    <row r="9" spans="1:17" x14ac:dyDescent="0.25">
      <c r="A9" t="s">
        <v>98</v>
      </c>
      <c r="B9" t="s">
        <v>99</v>
      </c>
      <c r="C9">
        <v>165</v>
      </c>
      <c r="D9" t="s">
        <v>718</v>
      </c>
      <c r="E9" s="1">
        <v>43129</v>
      </c>
      <c r="F9" t="s">
        <v>215</v>
      </c>
      <c r="G9" t="s">
        <v>889</v>
      </c>
      <c r="H9">
        <v>-150</v>
      </c>
      <c r="I9" t="s">
        <v>36</v>
      </c>
      <c r="J9">
        <v>0</v>
      </c>
      <c r="K9">
        <v>0</v>
      </c>
      <c r="L9" t="s">
        <v>210</v>
      </c>
      <c r="M9" t="s">
        <v>156</v>
      </c>
      <c r="N9" t="s">
        <v>893</v>
      </c>
      <c r="O9">
        <v>0</v>
      </c>
      <c r="P9">
        <v>0</v>
      </c>
      <c r="Q9" t="s">
        <v>216</v>
      </c>
    </row>
    <row r="10" spans="1:17" x14ac:dyDescent="0.25">
      <c r="A10" t="s">
        <v>98</v>
      </c>
      <c r="B10" t="s">
        <v>99</v>
      </c>
      <c r="C10">
        <v>165</v>
      </c>
      <c r="D10" t="s">
        <v>718</v>
      </c>
      <c r="E10" s="1">
        <v>43131</v>
      </c>
      <c r="F10" t="s">
        <v>215</v>
      </c>
      <c r="G10" t="s">
        <v>921</v>
      </c>
      <c r="H10">
        <v>3750</v>
      </c>
      <c r="I10" t="s">
        <v>36</v>
      </c>
      <c r="J10">
        <v>0</v>
      </c>
      <c r="M10" t="s">
        <v>155</v>
      </c>
      <c r="N10" t="s">
        <v>922</v>
      </c>
    </row>
    <row r="11" spans="1:17" x14ac:dyDescent="0.25">
      <c r="A11" t="s">
        <v>98</v>
      </c>
      <c r="B11" t="s">
        <v>99</v>
      </c>
      <c r="C11">
        <v>165</v>
      </c>
      <c r="D11" t="s">
        <v>718</v>
      </c>
      <c r="E11" s="1">
        <v>43131</v>
      </c>
      <c r="F11" t="s">
        <v>215</v>
      </c>
      <c r="G11" t="s">
        <v>921</v>
      </c>
      <c r="H11">
        <v>3750</v>
      </c>
      <c r="I11" t="s">
        <v>36</v>
      </c>
      <c r="J11">
        <v>0</v>
      </c>
      <c r="M11" t="s">
        <v>217</v>
      </c>
      <c r="N11" t="s">
        <v>922</v>
      </c>
      <c r="O11">
        <v>0</v>
      </c>
      <c r="P11">
        <v>0</v>
      </c>
      <c r="Q11" t="s">
        <v>212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02"/>
  <sheetViews>
    <sheetView workbookViewId="0">
      <selection activeCell="I1" sqref="I1:I1048576"/>
    </sheetView>
  </sheetViews>
  <sheetFormatPr defaultRowHeight="15" x14ac:dyDescent="0.25"/>
  <cols>
    <col min="2" max="2" width="14.7109375" customWidth="1"/>
    <col min="3" max="3" width="12.7109375" customWidth="1"/>
    <col min="4" max="4" width="13.42578125" customWidth="1"/>
    <col min="5" max="5" width="17.28515625" customWidth="1"/>
    <col min="6" max="6" width="12.28515625" customWidth="1"/>
    <col min="7" max="7" width="10.85546875" customWidth="1"/>
    <col min="8" max="8" width="15.5703125" customWidth="1"/>
    <col min="9" max="9" width="18.28515625" customWidth="1"/>
  </cols>
  <sheetData>
    <row r="1" spans="1:9" x14ac:dyDescent="0.25">
      <c r="A1" t="s">
        <v>44</v>
      </c>
      <c r="B1" t="s">
        <v>6</v>
      </c>
      <c r="C1" t="s">
        <v>27</v>
      </c>
      <c r="D1" t="s">
        <v>47</v>
      </c>
      <c r="E1" t="s">
        <v>213</v>
      </c>
      <c r="F1" t="s">
        <v>8</v>
      </c>
      <c r="G1" t="s">
        <v>12</v>
      </c>
      <c r="H1" t="s">
        <v>591</v>
      </c>
      <c r="I1" t="s">
        <v>592</v>
      </c>
    </row>
    <row r="2" spans="1:9" x14ac:dyDescent="0.25">
      <c r="A2" s="1">
        <v>43100</v>
      </c>
      <c r="B2" t="s">
        <v>222</v>
      </c>
      <c r="C2" t="s">
        <v>369</v>
      </c>
      <c r="D2" t="s">
        <v>224</v>
      </c>
      <c r="E2" t="s">
        <v>593</v>
      </c>
      <c r="F2" t="s">
        <v>594</v>
      </c>
      <c r="G2">
        <v>-28</v>
      </c>
      <c r="H2">
        <v>0</v>
      </c>
      <c r="I2">
        <v>0</v>
      </c>
    </row>
    <row r="3" spans="1:9" x14ac:dyDescent="0.25">
      <c r="A3" s="1">
        <v>43100</v>
      </c>
      <c r="B3" t="s">
        <v>222</v>
      </c>
      <c r="C3" t="s">
        <v>369</v>
      </c>
      <c r="D3" t="s">
        <v>225</v>
      </c>
      <c r="E3" t="s">
        <v>21</v>
      </c>
      <c r="F3" t="s">
        <v>544</v>
      </c>
      <c r="G3">
        <v>-1</v>
      </c>
      <c r="H3">
        <v>0</v>
      </c>
      <c r="I3">
        <v>0</v>
      </c>
    </row>
    <row r="4" spans="1:9" x14ac:dyDescent="0.25">
      <c r="A4" s="1">
        <v>43100</v>
      </c>
      <c r="B4" t="s">
        <v>226</v>
      </c>
      <c r="C4" t="s">
        <v>370</v>
      </c>
      <c r="D4" t="s">
        <v>225</v>
      </c>
      <c r="E4" t="s">
        <v>21</v>
      </c>
      <c r="F4" t="s">
        <v>547</v>
      </c>
      <c r="G4">
        <v>15</v>
      </c>
      <c r="H4">
        <v>0</v>
      </c>
      <c r="I4">
        <v>0</v>
      </c>
    </row>
    <row r="5" spans="1:9" x14ac:dyDescent="0.25">
      <c r="A5" s="1">
        <v>43100</v>
      </c>
      <c r="B5" t="s">
        <v>227</v>
      </c>
      <c r="C5" t="s">
        <v>371</v>
      </c>
      <c r="D5" t="s">
        <v>225</v>
      </c>
      <c r="E5" t="s">
        <v>21</v>
      </c>
      <c r="F5" t="s">
        <v>545</v>
      </c>
      <c r="G5">
        <v>-1</v>
      </c>
      <c r="H5">
        <v>0</v>
      </c>
      <c r="I5">
        <v>0</v>
      </c>
    </row>
    <row r="6" spans="1:9" x14ac:dyDescent="0.25">
      <c r="A6" s="1">
        <v>43100</v>
      </c>
      <c r="B6" t="s">
        <v>228</v>
      </c>
      <c r="C6" t="s">
        <v>372</v>
      </c>
      <c r="D6" t="s">
        <v>225</v>
      </c>
      <c r="E6" t="s">
        <v>21</v>
      </c>
      <c r="F6" t="s">
        <v>544</v>
      </c>
      <c r="G6">
        <v>-53</v>
      </c>
      <c r="H6">
        <v>0</v>
      </c>
      <c r="I6">
        <v>0</v>
      </c>
    </row>
    <row r="7" spans="1:9" x14ac:dyDescent="0.25">
      <c r="A7" s="1">
        <v>43100</v>
      </c>
      <c r="B7" t="s">
        <v>229</v>
      </c>
      <c r="C7" t="s">
        <v>373</v>
      </c>
      <c r="D7" t="s">
        <v>225</v>
      </c>
      <c r="E7" t="s">
        <v>21</v>
      </c>
      <c r="F7" t="s">
        <v>544</v>
      </c>
      <c r="G7">
        <v>-87</v>
      </c>
      <c r="H7">
        <v>0</v>
      </c>
      <c r="I7">
        <v>0</v>
      </c>
    </row>
    <row r="8" spans="1:9" x14ac:dyDescent="0.25">
      <c r="A8" s="1">
        <v>43100</v>
      </c>
      <c r="B8" t="s">
        <v>230</v>
      </c>
      <c r="C8" t="s">
        <v>374</v>
      </c>
      <c r="D8" t="s">
        <v>225</v>
      </c>
      <c r="E8" t="s">
        <v>21</v>
      </c>
      <c r="F8" t="s">
        <v>544</v>
      </c>
      <c r="G8">
        <v>-44.2</v>
      </c>
      <c r="H8">
        <v>0</v>
      </c>
      <c r="I8">
        <v>0</v>
      </c>
    </row>
    <row r="9" spans="1:9" x14ac:dyDescent="0.25">
      <c r="A9" s="1">
        <v>43100</v>
      </c>
      <c r="B9" t="s">
        <v>231</v>
      </c>
      <c r="C9" t="s">
        <v>375</v>
      </c>
      <c r="D9" t="s">
        <v>225</v>
      </c>
      <c r="E9" t="s">
        <v>595</v>
      </c>
      <c r="F9" t="s">
        <v>596</v>
      </c>
      <c r="G9">
        <v>477.5</v>
      </c>
      <c r="H9">
        <v>0</v>
      </c>
      <c r="I9">
        <v>0</v>
      </c>
    </row>
    <row r="10" spans="1:9" x14ac:dyDescent="0.25">
      <c r="A10" s="1">
        <v>43100</v>
      </c>
      <c r="B10" t="s">
        <v>232</v>
      </c>
      <c r="C10" t="s">
        <v>376</v>
      </c>
      <c r="D10" t="s">
        <v>225</v>
      </c>
      <c r="E10" t="s">
        <v>21</v>
      </c>
      <c r="F10" t="s">
        <v>544</v>
      </c>
      <c r="G10">
        <v>-71</v>
      </c>
      <c r="H10">
        <v>0</v>
      </c>
      <c r="I10">
        <v>0</v>
      </c>
    </row>
    <row r="11" spans="1:9" x14ac:dyDescent="0.25">
      <c r="A11" s="1">
        <v>43100</v>
      </c>
      <c r="B11" t="s">
        <v>233</v>
      </c>
      <c r="C11" t="s">
        <v>377</v>
      </c>
      <c r="D11" t="s">
        <v>225</v>
      </c>
      <c r="E11" t="s">
        <v>21</v>
      </c>
      <c r="F11" t="s">
        <v>544</v>
      </c>
      <c r="G11">
        <v>-20.8</v>
      </c>
      <c r="H11">
        <v>0</v>
      </c>
      <c r="I11">
        <v>0</v>
      </c>
    </row>
    <row r="12" spans="1:9" x14ac:dyDescent="0.25">
      <c r="A12" s="1">
        <v>43100</v>
      </c>
      <c r="B12" t="s">
        <v>234</v>
      </c>
      <c r="C12" t="s">
        <v>378</v>
      </c>
      <c r="D12" t="s">
        <v>225</v>
      </c>
      <c r="E12" t="s">
        <v>21</v>
      </c>
      <c r="F12" t="s">
        <v>544</v>
      </c>
      <c r="G12">
        <v>-43.2</v>
      </c>
      <c r="H12">
        <v>0</v>
      </c>
      <c r="I12">
        <v>0</v>
      </c>
    </row>
    <row r="13" spans="1:9" x14ac:dyDescent="0.25">
      <c r="A13" s="1">
        <v>43100</v>
      </c>
      <c r="B13" t="s">
        <v>49</v>
      </c>
      <c r="C13" t="s">
        <v>88</v>
      </c>
      <c r="D13" t="s">
        <v>225</v>
      </c>
      <c r="E13" t="s">
        <v>21</v>
      </c>
      <c r="F13" t="s">
        <v>597</v>
      </c>
      <c r="G13">
        <v>-1210.6500000000001</v>
      </c>
      <c r="H13">
        <v>0</v>
      </c>
      <c r="I13">
        <v>0</v>
      </c>
    </row>
    <row r="14" spans="1:9" ht="75" x14ac:dyDescent="0.25">
      <c r="A14" s="1">
        <v>43100</v>
      </c>
      <c r="B14" t="s">
        <v>126</v>
      </c>
      <c r="C14" s="15" t="s">
        <v>146</v>
      </c>
      <c r="D14" t="s">
        <v>225</v>
      </c>
      <c r="E14" t="s">
        <v>21</v>
      </c>
      <c r="F14" t="s">
        <v>547</v>
      </c>
      <c r="G14">
        <v>-14.6</v>
      </c>
      <c r="H14">
        <v>0</v>
      </c>
      <c r="I14">
        <v>0</v>
      </c>
    </row>
    <row r="15" spans="1:9" x14ac:dyDescent="0.25">
      <c r="A15" s="1">
        <v>43100</v>
      </c>
      <c r="B15" t="s">
        <v>235</v>
      </c>
      <c r="C15" t="s">
        <v>379</v>
      </c>
      <c r="D15" t="s">
        <v>225</v>
      </c>
      <c r="E15" t="s">
        <v>21</v>
      </c>
      <c r="F15" t="s">
        <v>543</v>
      </c>
      <c r="G15">
        <v>11.81</v>
      </c>
      <c r="H15">
        <v>0</v>
      </c>
      <c r="I15">
        <v>0</v>
      </c>
    </row>
    <row r="16" spans="1:9" x14ac:dyDescent="0.25">
      <c r="A16" s="1">
        <v>43100</v>
      </c>
      <c r="B16" t="s">
        <v>236</v>
      </c>
      <c r="C16" t="s">
        <v>380</v>
      </c>
      <c r="D16" t="s">
        <v>225</v>
      </c>
      <c r="E16" t="s">
        <v>21</v>
      </c>
      <c r="F16" t="s">
        <v>547</v>
      </c>
      <c r="G16">
        <v>-32</v>
      </c>
      <c r="H16">
        <v>0</v>
      </c>
      <c r="I16">
        <v>0</v>
      </c>
    </row>
    <row r="17" spans="1:9" x14ac:dyDescent="0.25">
      <c r="A17" s="1">
        <v>43100</v>
      </c>
      <c r="B17" t="s">
        <v>237</v>
      </c>
      <c r="C17" t="s">
        <v>381</v>
      </c>
      <c r="D17" t="s">
        <v>225</v>
      </c>
      <c r="E17" t="s">
        <v>21</v>
      </c>
      <c r="F17" t="s">
        <v>547</v>
      </c>
      <c r="G17">
        <v>-15.6</v>
      </c>
      <c r="H17">
        <v>0</v>
      </c>
      <c r="I17">
        <v>0</v>
      </c>
    </row>
    <row r="18" spans="1:9" x14ac:dyDescent="0.25">
      <c r="A18" s="1">
        <v>43100</v>
      </c>
      <c r="B18" t="s">
        <v>127</v>
      </c>
      <c r="C18" t="s">
        <v>167</v>
      </c>
      <c r="D18" t="s">
        <v>225</v>
      </c>
      <c r="E18" t="s">
        <v>21</v>
      </c>
      <c r="F18" t="s">
        <v>547</v>
      </c>
      <c r="G18">
        <v>29.05</v>
      </c>
      <c r="H18">
        <v>0</v>
      </c>
      <c r="I18">
        <v>0</v>
      </c>
    </row>
    <row r="19" spans="1:9" x14ac:dyDescent="0.25">
      <c r="A19" s="1">
        <v>43100</v>
      </c>
      <c r="B19" t="s">
        <v>238</v>
      </c>
      <c r="C19" t="s">
        <v>382</v>
      </c>
      <c r="D19" t="s">
        <v>225</v>
      </c>
      <c r="E19" t="s">
        <v>21</v>
      </c>
      <c r="F19" t="s">
        <v>547</v>
      </c>
      <c r="G19">
        <v>97.5</v>
      </c>
      <c r="H19">
        <v>0</v>
      </c>
      <c r="I19">
        <v>0</v>
      </c>
    </row>
    <row r="20" spans="1:9" x14ac:dyDescent="0.25">
      <c r="A20" s="1">
        <v>43100</v>
      </c>
      <c r="B20" t="s">
        <v>239</v>
      </c>
      <c r="C20" t="s">
        <v>385</v>
      </c>
      <c r="D20" t="s">
        <v>225</v>
      </c>
      <c r="E20" t="s">
        <v>21</v>
      </c>
      <c r="F20" t="s">
        <v>540</v>
      </c>
      <c r="G20">
        <v>2</v>
      </c>
      <c r="H20">
        <v>0</v>
      </c>
      <c r="I20">
        <v>0</v>
      </c>
    </row>
    <row r="21" spans="1:9" x14ac:dyDescent="0.25">
      <c r="A21" s="1">
        <v>43100</v>
      </c>
      <c r="B21" t="s">
        <v>50</v>
      </c>
      <c r="C21" t="s">
        <v>386</v>
      </c>
      <c r="D21" t="s">
        <v>241</v>
      </c>
      <c r="E21" t="s">
        <v>21</v>
      </c>
      <c r="F21" t="s">
        <v>538</v>
      </c>
      <c r="G21">
        <v>1</v>
      </c>
      <c r="H21">
        <v>0</v>
      </c>
      <c r="I21">
        <v>0</v>
      </c>
    </row>
    <row r="22" spans="1:9" x14ac:dyDescent="0.25">
      <c r="A22" s="1">
        <v>43100</v>
      </c>
      <c r="B22" t="s">
        <v>50</v>
      </c>
      <c r="C22" t="s">
        <v>386</v>
      </c>
      <c r="D22" t="s">
        <v>225</v>
      </c>
      <c r="E22" t="s">
        <v>21</v>
      </c>
      <c r="F22" t="s">
        <v>543</v>
      </c>
      <c r="G22">
        <v>14</v>
      </c>
      <c r="H22">
        <v>0</v>
      </c>
      <c r="I22">
        <v>0</v>
      </c>
    </row>
    <row r="23" spans="1:9" x14ac:dyDescent="0.25">
      <c r="A23" s="1">
        <v>43100</v>
      </c>
      <c r="B23" t="s">
        <v>128</v>
      </c>
      <c r="C23" t="s">
        <v>168</v>
      </c>
      <c r="D23" t="s">
        <v>225</v>
      </c>
      <c r="E23" t="s">
        <v>21</v>
      </c>
      <c r="F23" t="s">
        <v>547</v>
      </c>
      <c r="G23">
        <v>-750</v>
      </c>
      <c r="H23">
        <v>0</v>
      </c>
      <c r="I23">
        <v>0</v>
      </c>
    </row>
    <row r="24" spans="1:9" x14ac:dyDescent="0.25">
      <c r="A24" s="1">
        <v>43100</v>
      </c>
      <c r="B24" t="s">
        <v>129</v>
      </c>
      <c r="C24" t="s">
        <v>387</v>
      </c>
      <c r="D24" t="s">
        <v>225</v>
      </c>
      <c r="E24" t="s">
        <v>21</v>
      </c>
      <c r="F24" t="s">
        <v>547</v>
      </c>
      <c r="G24">
        <v>35</v>
      </c>
      <c r="H24">
        <v>0</v>
      </c>
      <c r="I24">
        <v>0</v>
      </c>
    </row>
    <row r="25" spans="1:9" x14ac:dyDescent="0.25">
      <c r="A25" s="1">
        <v>43100</v>
      </c>
      <c r="B25" t="s">
        <v>169</v>
      </c>
      <c r="C25" t="s">
        <v>388</v>
      </c>
      <c r="D25" t="s">
        <v>225</v>
      </c>
      <c r="E25" t="s">
        <v>21</v>
      </c>
      <c r="F25" t="s">
        <v>547</v>
      </c>
      <c r="G25">
        <v>36</v>
      </c>
      <c r="H25">
        <v>0</v>
      </c>
      <c r="I25">
        <v>0</v>
      </c>
    </row>
    <row r="26" spans="1:9" ht="90" x14ac:dyDescent="0.25">
      <c r="A26" s="1">
        <v>43100</v>
      </c>
      <c r="B26" t="s">
        <v>242</v>
      </c>
      <c r="C26" s="15" t="s">
        <v>389</v>
      </c>
      <c r="D26" t="s">
        <v>225</v>
      </c>
      <c r="E26" t="s">
        <v>21</v>
      </c>
      <c r="F26" t="s">
        <v>547</v>
      </c>
      <c r="G26">
        <v>-60.45</v>
      </c>
      <c r="H26">
        <v>0</v>
      </c>
      <c r="I26">
        <v>0</v>
      </c>
    </row>
    <row r="27" spans="1:9" x14ac:dyDescent="0.25">
      <c r="A27" s="1">
        <v>43100</v>
      </c>
      <c r="B27" t="s">
        <v>243</v>
      </c>
      <c r="C27" t="s">
        <v>390</v>
      </c>
      <c r="D27" t="s">
        <v>225</v>
      </c>
      <c r="E27" t="s">
        <v>21</v>
      </c>
      <c r="F27" t="s">
        <v>544</v>
      </c>
      <c r="G27">
        <v>39.9</v>
      </c>
      <c r="H27">
        <v>0</v>
      </c>
      <c r="I27">
        <v>0</v>
      </c>
    </row>
    <row r="28" spans="1:9" x14ac:dyDescent="0.25">
      <c r="A28" s="1">
        <v>43100</v>
      </c>
      <c r="B28" t="s">
        <v>244</v>
      </c>
      <c r="C28" t="s">
        <v>391</v>
      </c>
      <c r="D28" t="s">
        <v>225</v>
      </c>
      <c r="E28" t="s">
        <v>21</v>
      </c>
      <c r="F28" t="s">
        <v>543</v>
      </c>
      <c r="G28">
        <v>-1</v>
      </c>
      <c r="H28">
        <v>0</v>
      </c>
      <c r="I28">
        <v>0</v>
      </c>
    </row>
    <row r="29" spans="1:9" x14ac:dyDescent="0.25">
      <c r="A29" s="1">
        <v>43100</v>
      </c>
      <c r="B29" t="s">
        <v>245</v>
      </c>
      <c r="C29" t="s">
        <v>392</v>
      </c>
      <c r="D29" t="s">
        <v>225</v>
      </c>
      <c r="E29" t="s">
        <v>21</v>
      </c>
      <c r="F29" t="s">
        <v>543</v>
      </c>
      <c r="G29">
        <v>-1</v>
      </c>
      <c r="H29">
        <v>0</v>
      </c>
      <c r="I29">
        <v>0</v>
      </c>
    </row>
    <row r="30" spans="1:9" x14ac:dyDescent="0.25">
      <c r="A30" s="1">
        <v>43100</v>
      </c>
      <c r="B30" t="s">
        <v>246</v>
      </c>
      <c r="C30" t="s">
        <v>393</v>
      </c>
      <c r="D30" t="s">
        <v>225</v>
      </c>
      <c r="E30" t="s">
        <v>593</v>
      </c>
      <c r="F30" t="s">
        <v>598</v>
      </c>
      <c r="G30">
        <v>-115</v>
      </c>
      <c r="H30">
        <v>0</v>
      </c>
      <c r="I30">
        <v>0</v>
      </c>
    </row>
    <row r="31" spans="1:9" x14ac:dyDescent="0.25">
      <c r="A31" s="1">
        <v>43100</v>
      </c>
      <c r="B31" t="s">
        <v>130</v>
      </c>
      <c r="C31" t="s">
        <v>394</v>
      </c>
      <c r="D31" t="s">
        <v>225</v>
      </c>
      <c r="E31" t="s">
        <v>21</v>
      </c>
      <c r="F31" t="s">
        <v>543</v>
      </c>
      <c r="G31">
        <v>24</v>
      </c>
      <c r="H31">
        <v>0</v>
      </c>
      <c r="I31">
        <v>0</v>
      </c>
    </row>
    <row r="32" spans="1:9" x14ac:dyDescent="0.25">
      <c r="A32" s="1">
        <v>43100</v>
      </c>
      <c r="B32" t="s">
        <v>110</v>
      </c>
      <c r="C32" t="s">
        <v>395</v>
      </c>
      <c r="D32" t="s">
        <v>225</v>
      </c>
      <c r="E32" t="s">
        <v>599</v>
      </c>
      <c r="F32" t="s">
        <v>600</v>
      </c>
      <c r="G32">
        <v>-113</v>
      </c>
      <c r="H32">
        <v>0</v>
      </c>
      <c r="I32">
        <v>0</v>
      </c>
    </row>
    <row r="33" spans="1:9" x14ac:dyDescent="0.25">
      <c r="A33" s="1">
        <v>43100</v>
      </c>
      <c r="B33" t="s">
        <v>51</v>
      </c>
      <c r="C33" t="s">
        <v>145</v>
      </c>
      <c r="D33" t="s">
        <v>225</v>
      </c>
      <c r="E33" t="s">
        <v>21</v>
      </c>
      <c r="F33" t="s">
        <v>541</v>
      </c>
      <c r="G33">
        <v>-0.30000000000000004</v>
      </c>
      <c r="H33">
        <v>0</v>
      </c>
      <c r="I33">
        <v>0</v>
      </c>
    </row>
    <row r="34" spans="1:9" x14ac:dyDescent="0.25">
      <c r="A34" s="1">
        <v>43100</v>
      </c>
      <c r="B34" t="s">
        <v>247</v>
      </c>
      <c r="C34" t="s">
        <v>28</v>
      </c>
      <c r="D34" t="s">
        <v>225</v>
      </c>
      <c r="E34" t="s">
        <v>21</v>
      </c>
      <c r="F34" t="s">
        <v>541</v>
      </c>
      <c r="G34">
        <v>9</v>
      </c>
      <c r="H34">
        <v>0</v>
      </c>
      <c r="I34">
        <v>0</v>
      </c>
    </row>
    <row r="35" spans="1:9" x14ac:dyDescent="0.25">
      <c r="A35" s="1">
        <v>43100</v>
      </c>
      <c r="B35" t="s">
        <v>24</v>
      </c>
      <c r="C35" t="s">
        <v>28</v>
      </c>
      <c r="D35" t="s">
        <v>225</v>
      </c>
      <c r="E35" t="s">
        <v>601</v>
      </c>
      <c r="F35" t="s">
        <v>602</v>
      </c>
      <c r="G35">
        <v>-600</v>
      </c>
      <c r="H35">
        <v>1.2347759710626822</v>
      </c>
      <c r="I35">
        <v>-740.86558263760935</v>
      </c>
    </row>
    <row r="36" spans="1:9" x14ac:dyDescent="0.25">
      <c r="A36" s="1">
        <v>43100</v>
      </c>
      <c r="B36" t="s">
        <v>248</v>
      </c>
      <c r="C36" t="s">
        <v>116</v>
      </c>
      <c r="D36" t="s">
        <v>225</v>
      </c>
      <c r="E36" t="s">
        <v>21</v>
      </c>
      <c r="F36" t="s">
        <v>541</v>
      </c>
      <c r="G36">
        <v>22.400000000000002</v>
      </c>
      <c r="H36">
        <v>0</v>
      </c>
      <c r="I36">
        <v>0</v>
      </c>
    </row>
    <row r="37" spans="1:9" x14ac:dyDescent="0.25">
      <c r="A37" s="1">
        <v>43100</v>
      </c>
      <c r="B37" t="s">
        <v>25</v>
      </c>
      <c r="C37" t="s">
        <v>177</v>
      </c>
      <c r="D37" t="s">
        <v>225</v>
      </c>
      <c r="E37" t="s">
        <v>603</v>
      </c>
      <c r="F37" t="s">
        <v>546</v>
      </c>
      <c r="G37">
        <v>-14.999999999999998</v>
      </c>
      <c r="H37">
        <v>13.75298116904281</v>
      </c>
      <c r="I37">
        <v>-206.29471753564212</v>
      </c>
    </row>
    <row r="38" spans="1:9" x14ac:dyDescent="0.25">
      <c r="A38" s="1">
        <v>43100</v>
      </c>
      <c r="B38" t="s">
        <v>249</v>
      </c>
      <c r="C38" t="s">
        <v>396</v>
      </c>
      <c r="D38" t="s">
        <v>225</v>
      </c>
      <c r="E38" t="s">
        <v>215</v>
      </c>
      <c r="F38" t="s">
        <v>365</v>
      </c>
      <c r="G38">
        <v>-1</v>
      </c>
      <c r="H38">
        <v>0</v>
      </c>
      <c r="I38">
        <v>0</v>
      </c>
    </row>
    <row r="39" spans="1:9" x14ac:dyDescent="0.25">
      <c r="A39" s="1">
        <v>43100</v>
      </c>
      <c r="B39" t="s">
        <v>250</v>
      </c>
      <c r="C39" t="s">
        <v>397</v>
      </c>
      <c r="D39" t="s">
        <v>225</v>
      </c>
      <c r="E39" t="s">
        <v>21</v>
      </c>
      <c r="F39" t="s">
        <v>542</v>
      </c>
      <c r="G39">
        <v>-170</v>
      </c>
      <c r="H39">
        <v>0</v>
      </c>
      <c r="I39">
        <v>0</v>
      </c>
    </row>
    <row r="40" spans="1:9" x14ac:dyDescent="0.25">
      <c r="A40" s="1">
        <v>43100</v>
      </c>
      <c r="B40" t="s">
        <v>251</v>
      </c>
      <c r="C40" t="s">
        <v>398</v>
      </c>
      <c r="D40" t="s">
        <v>225</v>
      </c>
      <c r="E40" t="s">
        <v>21</v>
      </c>
      <c r="F40" t="s">
        <v>539</v>
      </c>
      <c r="G40">
        <v>-41</v>
      </c>
      <c r="H40">
        <v>0</v>
      </c>
      <c r="I40">
        <v>0</v>
      </c>
    </row>
    <row r="41" spans="1:9" x14ac:dyDescent="0.25">
      <c r="A41" s="1">
        <v>43100</v>
      </c>
      <c r="B41" t="s">
        <v>252</v>
      </c>
      <c r="C41" t="s">
        <v>399</v>
      </c>
      <c r="D41" t="s">
        <v>225</v>
      </c>
      <c r="E41" t="s">
        <v>604</v>
      </c>
      <c r="F41" t="s">
        <v>605</v>
      </c>
      <c r="G41">
        <v>-101</v>
      </c>
      <c r="H41">
        <v>0</v>
      </c>
      <c r="I41">
        <v>0</v>
      </c>
    </row>
    <row r="42" spans="1:9" x14ac:dyDescent="0.25">
      <c r="A42" s="1">
        <v>43100</v>
      </c>
      <c r="B42" t="s">
        <v>253</v>
      </c>
      <c r="C42" t="s">
        <v>400</v>
      </c>
      <c r="D42" t="s">
        <v>225</v>
      </c>
      <c r="E42" t="s">
        <v>21</v>
      </c>
      <c r="F42" t="s">
        <v>539</v>
      </c>
      <c r="G42">
        <v>-1</v>
      </c>
      <c r="H42">
        <v>0</v>
      </c>
      <c r="I42">
        <v>0</v>
      </c>
    </row>
    <row r="43" spans="1:9" x14ac:dyDescent="0.25">
      <c r="A43" s="1">
        <v>43100</v>
      </c>
      <c r="B43" t="s">
        <v>254</v>
      </c>
      <c r="C43" t="s">
        <v>401</v>
      </c>
      <c r="D43" t="s">
        <v>225</v>
      </c>
      <c r="E43" t="s">
        <v>21</v>
      </c>
      <c r="F43" t="s">
        <v>539</v>
      </c>
      <c r="G43">
        <v>-2</v>
      </c>
      <c r="H43">
        <v>0</v>
      </c>
      <c r="I43">
        <v>0</v>
      </c>
    </row>
    <row r="44" spans="1:9" x14ac:dyDescent="0.25">
      <c r="A44" s="1">
        <v>43100</v>
      </c>
      <c r="B44" t="s">
        <v>255</v>
      </c>
      <c r="C44" t="s">
        <v>402</v>
      </c>
      <c r="D44" t="s">
        <v>225</v>
      </c>
      <c r="E44" t="s">
        <v>21</v>
      </c>
      <c r="F44" t="s">
        <v>539</v>
      </c>
      <c r="G44">
        <v>32</v>
      </c>
      <c r="H44">
        <v>0</v>
      </c>
      <c r="I44">
        <v>0</v>
      </c>
    </row>
    <row r="45" spans="1:9" x14ac:dyDescent="0.25">
      <c r="A45" s="1">
        <v>43100</v>
      </c>
      <c r="B45" t="s">
        <v>256</v>
      </c>
      <c r="C45" t="s">
        <v>403</v>
      </c>
      <c r="D45" t="s">
        <v>225</v>
      </c>
      <c r="E45" t="s">
        <v>21</v>
      </c>
      <c r="F45" t="s">
        <v>539</v>
      </c>
      <c r="G45">
        <v>-12</v>
      </c>
      <c r="H45">
        <v>0</v>
      </c>
      <c r="I45">
        <v>0</v>
      </c>
    </row>
    <row r="46" spans="1:9" x14ac:dyDescent="0.25">
      <c r="A46" s="1">
        <v>43100</v>
      </c>
      <c r="B46" t="s">
        <v>257</v>
      </c>
      <c r="C46" t="s">
        <v>404</v>
      </c>
      <c r="D46" t="s">
        <v>225</v>
      </c>
      <c r="E46" t="s">
        <v>21</v>
      </c>
      <c r="F46" t="s">
        <v>539</v>
      </c>
      <c r="G46">
        <v>1</v>
      </c>
      <c r="H46">
        <v>0</v>
      </c>
      <c r="I46">
        <v>0</v>
      </c>
    </row>
    <row r="47" spans="1:9" x14ac:dyDescent="0.25">
      <c r="A47" s="1">
        <v>43100</v>
      </c>
      <c r="B47" t="s">
        <v>258</v>
      </c>
      <c r="C47" t="s">
        <v>405</v>
      </c>
      <c r="D47" t="s">
        <v>225</v>
      </c>
      <c r="E47" t="s">
        <v>21</v>
      </c>
      <c r="F47" t="s">
        <v>539</v>
      </c>
      <c r="G47">
        <v>-43</v>
      </c>
      <c r="H47">
        <v>0</v>
      </c>
      <c r="I47">
        <v>0</v>
      </c>
    </row>
    <row r="48" spans="1:9" x14ac:dyDescent="0.25">
      <c r="A48" s="1">
        <v>43100</v>
      </c>
      <c r="B48" t="s">
        <v>259</v>
      </c>
      <c r="C48" t="s">
        <v>406</v>
      </c>
      <c r="D48" t="s">
        <v>225</v>
      </c>
      <c r="E48" t="s">
        <v>21</v>
      </c>
      <c r="F48" t="s">
        <v>544</v>
      </c>
      <c r="G48">
        <v>688.43000000000006</v>
      </c>
      <c r="H48">
        <v>0</v>
      </c>
      <c r="I48">
        <v>0</v>
      </c>
    </row>
    <row r="49" spans="1:9" x14ac:dyDescent="0.25">
      <c r="A49" s="1">
        <v>43100</v>
      </c>
      <c r="B49" t="s">
        <v>260</v>
      </c>
      <c r="C49" t="s">
        <v>407</v>
      </c>
      <c r="D49" t="s">
        <v>225</v>
      </c>
      <c r="E49" t="s">
        <v>21</v>
      </c>
      <c r="F49" t="s">
        <v>543</v>
      </c>
      <c r="G49">
        <v>2</v>
      </c>
      <c r="H49">
        <v>0</v>
      </c>
      <c r="I49">
        <v>0</v>
      </c>
    </row>
    <row r="50" spans="1:9" x14ac:dyDescent="0.25">
      <c r="A50" s="1">
        <v>43100</v>
      </c>
      <c r="B50" t="s">
        <v>261</v>
      </c>
      <c r="C50" t="s">
        <v>408</v>
      </c>
      <c r="D50" t="s">
        <v>225</v>
      </c>
      <c r="E50" t="s">
        <v>21</v>
      </c>
      <c r="F50" t="s">
        <v>543</v>
      </c>
      <c r="G50">
        <v>3</v>
      </c>
      <c r="H50">
        <v>0</v>
      </c>
      <c r="I50">
        <v>0</v>
      </c>
    </row>
    <row r="51" spans="1:9" x14ac:dyDescent="0.25">
      <c r="A51" s="1">
        <v>43100</v>
      </c>
      <c r="B51" t="s">
        <v>262</v>
      </c>
      <c r="C51" t="s">
        <v>409</v>
      </c>
      <c r="D51" t="s">
        <v>225</v>
      </c>
      <c r="E51" t="s">
        <v>21</v>
      </c>
      <c r="F51" t="s">
        <v>539</v>
      </c>
      <c r="G51">
        <v>51</v>
      </c>
      <c r="H51">
        <v>0</v>
      </c>
      <c r="I51">
        <v>0</v>
      </c>
    </row>
    <row r="52" spans="1:9" x14ac:dyDescent="0.25">
      <c r="A52" s="1">
        <v>43100</v>
      </c>
      <c r="B52" t="s">
        <v>263</v>
      </c>
      <c r="C52" t="s">
        <v>410</v>
      </c>
      <c r="D52" t="s">
        <v>225</v>
      </c>
      <c r="E52" t="s">
        <v>21</v>
      </c>
      <c r="F52" t="s">
        <v>539</v>
      </c>
      <c r="G52">
        <v>-0.85</v>
      </c>
      <c r="H52">
        <v>0</v>
      </c>
      <c r="I52">
        <v>0</v>
      </c>
    </row>
    <row r="53" spans="1:9" x14ac:dyDescent="0.25">
      <c r="A53" s="1">
        <v>43100</v>
      </c>
      <c r="B53" t="s">
        <v>264</v>
      </c>
      <c r="C53" t="s">
        <v>411</v>
      </c>
      <c r="D53" t="s">
        <v>225</v>
      </c>
      <c r="E53" t="s">
        <v>21</v>
      </c>
      <c r="F53" t="s">
        <v>539</v>
      </c>
      <c r="G53">
        <v>-130</v>
      </c>
      <c r="H53">
        <v>0</v>
      </c>
      <c r="I53">
        <v>0</v>
      </c>
    </row>
    <row r="54" spans="1:9" x14ac:dyDescent="0.25">
      <c r="A54" s="1">
        <v>43100</v>
      </c>
      <c r="B54" t="s">
        <v>265</v>
      </c>
      <c r="C54" t="s">
        <v>412</v>
      </c>
      <c r="D54" t="s">
        <v>225</v>
      </c>
      <c r="E54" t="s">
        <v>21</v>
      </c>
      <c r="F54" t="s">
        <v>539</v>
      </c>
      <c r="G54">
        <v>-20</v>
      </c>
      <c r="H54">
        <v>0</v>
      </c>
      <c r="I54">
        <v>0</v>
      </c>
    </row>
    <row r="55" spans="1:9" x14ac:dyDescent="0.25">
      <c r="A55" s="1">
        <v>43100</v>
      </c>
      <c r="B55" t="s">
        <v>266</v>
      </c>
      <c r="C55" t="s">
        <v>413</v>
      </c>
      <c r="D55" t="s">
        <v>225</v>
      </c>
      <c r="E55" t="s">
        <v>21</v>
      </c>
      <c r="F55" t="s">
        <v>539</v>
      </c>
      <c r="G55">
        <v>-7</v>
      </c>
      <c r="H55">
        <v>0</v>
      </c>
      <c r="I55">
        <v>0</v>
      </c>
    </row>
    <row r="56" spans="1:9" x14ac:dyDescent="0.25">
      <c r="A56" s="1">
        <v>43100</v>
      </c>
      <c r="B56" t="s">
        <v>267</v>
      </c>
      <c r="C56" t="s">
        <v>414</v>
      </c>
      <c r="D56" t="s">
        <v>225</v>
      </c>
      <c r="E56" t="s">
        <v>21</v>
      </c>
      <c r="F56" t="s">
        <v>539</v>
      </c>
      <c r="G56">
        <v>-85</v>
      </c>
      <c r="H56">
        <v>0</v>
      </c>
      <c r="I56">
        <v>0</v>
      </c>
    </row>
    <row r="57" spans="1:9" x14ac:dyDescent="0.25">
      <c r="A57" s="1">
        <v>43100</v>
      </c>
      <c r="B57" t="s">
        <v>268</v>
      </c>
      <c r="C57" t="s">
        <v>415</v>
      </c>
      <c r="D57" t="s">
        <v>225</v>
      </c>
      <c r="E57" t="s">
        <v>21</v>
      </c>
      <c r="F57" t="s">
        <v>539</v>
      </c>
      <c r="G57">
        <v>-3</v>
      </c>
      <c r="H57">
        <v>0</v>
      </c>
      <c r="I57">
        <v>0</v>
      </c>
    </row>
    <row r="58" spans="1:9" x14ac:dyDescent="0.25">
      <c r="A58" s="1">
        <v>43100</v>
      </c>
      <c r="B58" t="s">
        <v>269</v>
      </c>
      <c r="C58" t="s">
        <v>416</v>
      </c>
      <c r="D58" t="s">
        <v>225</v>
      </c>
      <c r="E58" t="s">
        <v>21</v>
      </c>
      <c r="F58" t="s">
        <v>539</v>
      </c>
      <c r="G58">
        <v>-36</v>
      </c>
      <c r="H58">
        <v>0</v>
      </c>
      <c r="I58">
        <v>0</v>
      </c>
    </row>
    <row r="59" spans="1:9" x14ac:dyDescent="0.25">
      <c r="A59" s="1">
        <v>43100</v>
      </c>
      <c r="B59" t="s">
        <v>270</v>
      </c>
      <c r="C59" t="s">
        <v>417</v>
      </c>
      <c r="D59" t="s">
        <v>225</v>
      </c>
      <c r="E59" t="s">
        <v>21</v>
      </c>
      <c r="F59" t="s">
        <v>539</v>
      </c>
      <c r="G59">
        <v>212</v>
      </c>
      <c r="H59">
        <v>0</v>
      </c>
      <c r="I59">
        <v>0</v>
      </c>
    </row>
    <row r="60" spans="1:9" x14ac:dyDescent="0.25">
      <c r="A60" s="1">
        <v>43100</v>
      </c>
      <c r="B60" t="s">
        <v>271</v>
      </c>
      <c r="C60" t="s">
        <v>29</v>
      </c>
      <c r="D60" t="s">
        <v>241</v>
      </c>
      <c r="E60" t="s">
        <v>21</v>
      </c>
      <c r="F60" t="s">
        <v>538</v>
      </c>
      <c r="G60">
        <v>12.5</v>
      </c>
      <c r="H60">
        <v>0</v>
      </c>
      <c r="I60">
        <v>0</v>
      </c>
    </row>
    <row r="61" spans="1:9" x14ac:dyDescent="0.25">
      <c r="A61" s="1">
        <v>43100</v>
      </c>
      <c r="B61" t="s">
        <v>272</v>
      </c>
      <c r="C61" t="s">
        <v>29</v>
      </c>
      <c r="D61" t="s">
        <v>241</v>
      </c>
      <c r="E61" t="s">
        <v>21</v>
      </c>
      <c r="F61" t="s">
        <v>538</v>
      </c>
      <c r="G61">
        <v>-435</v>
      </c>
      <c r="H61">
        <v>0</v>
      </c>
      <c r="I61">
        <v>0</v>
      </c>
    </row>
    <row r="62" spans="1:9" x14ac:dyDescent="0.25">
      <c r="A62" s="1">
        <v>43100</v>
      </c>
      <c r="B62" t="s">
        <v>273</v>
      </c>
      <c r="C62" t="s">
        <v>418</v>
      </c>
      <c r="D62" t="s">
        <v>225</v>
      </c>
      <c r="E62" t="s">
        <v>21</v>
      </c>
      <c r="F62" t="s">
        <v>550</v>
      </c>
      <c r="G62">
        <v>-2</v>
      </c>
      <c r="H62">
        <v>0</v>
      </c>
      <c r="I62">
        <v>0</v>
      </c>
    </row>
    <row r="63" spans="1:9" x14ac:dyDescent="0.25">
      <c r="A63" s="1">
        <v>43100</v>
      </c>
      <c r="B63" t="s">
        <v>274</v>
      </c>
      <c r="C63" t="s">
        <v>419</v>
      </c>
      <c r="D63" t="s">
        <v>225</v>
      </c>
      <c r="E63" t="s">
        <v>21</v>
      </c>
      <c r="F63" t="s">
        <v>550</v>
      </c>
      <c r="G63">
        <v>-3217.5</v>
      </c>
      <c r="H63">
        <v>0</v>
      </c>
      <c r="I63">
        <v>0</v>
      </c>
    </row>
    <row r="64" spans="1:9" x14ac:dyDescent="0.25">
      <c r="A64" s="1">
        <v>43100</v>
      </c>
      <c r="B64" t="s">
        <v>135</v>
      </c>
      <c r="C64" t="s">
        <v>181</v>
      </c>
      <c r="D64" t="s">
        <v>225</v>
      </c>
      <c r="E64" t="s">
        <v>21</v>
      </c>
      <c r="F64" t="s">
        <v>540</v>
      </c>
      <c r="G64">
        <v>-204.84</v>
      </c>
      <c r="H64">
        <v>0</v>
      </c>
      <c r="I64">
        <v>0</v>
      </c>
    </row>
    <row r="65" spans="1:9" x14ac:dyDescent="0.25">
      <c r="A65" s="1">
        <v>43100</v>
      </c>
      <c r="B65" t="s">
        <v>67</v>
      </c>
      <c r="C65" t="s">
        <v>182</v>
      </c>
      <c r="D65" t="s">
        <v>223</v>
      </c>
      <c r="E65" t="s">
        <v>606</v>
      </c>
      <c r="F65" t="s">
        <v>607</v>
      </c>
      <c r="G65">
        <v>19650</v>
      </c>
      <c r="H65">
        <v>-0.13067166319685383</v>
      </c>
      <c r="I65">
        <v>-2567.698181818178</v>
      </c>
    </row>
    <row r="66" spans="1:9" x14ac:dyDescent="0.25">
      <c r="A66" s="1">
        <v>43100</v>
      </c>
      <c r="B66" t="s">
        <v>93</v>
      </c>
      <c r="C66" t="s">
        <v>94</v>
      </c>
      <c r="D66" t="s">
        <v>225</v>
      </c>
      <c r="E66" t="s">
        <v>603</v>
      </c>
      <c r="F66" t="s">
        <v>554</v>
      </c>
      <c r="G66">
        <v>8.8817841970012523E-16</v>
      </c>
      <c r="H66">
        <v>-1.503998875764063E+16</v>
      </c>
      <c r="I66">
        <v>-13.358193447068905</v>
      </c>
    </row>
    <row r="67" spans="1:9" x14ac:dyDescent="0.25">
      <c r="A67" s="1">
        <v>43100</v>
      </c>
      <c r="B67" t="s">
        <v>52</v>
      </c>
      <c r="C67" t="s">
        <v>149</v>
      </c>
      <c r="D67" t="s">
        <v>225</v>
      </c>
      <c r="E67" t="s">
        <v>603</v>
      </c>
      <c r="F67" t="s">
        <v>555</v>
      </c>
      <c r="G67">
        <v>-1.1368683772161603E-13</v>
      </c>
      <c r="H67">
        <v>1055385168723236.5</v>
      </c>
      <c r="I67">
        <v>-119.98340241043894</v>
      </c>
    </row>
    <row r="68" spans="1:9" x14ac:dyDescent="0.25">
      <c r="A68" s="1">
        <v>43100</v>
      </c>
      <c r="B68" t="s">
        <v>275</v>
      </c>
      <c r="C68" t="s">
        <v>420</v>
      </c>
      <c r="D68" t="s">
        <v>225</v>
      </c>
      <c r="E68" t="s">
        <v>21</v>
      </c>
      <c r="F68" t="s">
        <v>556</v>
      </c>
      <c r="G68">
        <v>-3.22</v>
      </c>
      <c r="H68">
        <v>0</v>
      </c>
      <c r="I68">
        <v>0</v>
      </c>
    </row>
    <row r="69" spans="1:9" x14ac:dyDescent="0.25">
      <c r="A69" s="1">
        <v>43100</v>
      </c>
      <c r="B69" t="s">
        <v>103</v>
      </c>
      <c r="C69" t="s">
        <v>104</v>
      </c>
      <c r="D69" t="s">
        <v>225</v>
      </c>
      <c r="E69" t="s">
        <v>603</v>
      </c>
      <c r="F69" t="s">
        <v>608</v>
      </c>
      <c r="G69">
        <v>1.7763568394002505E-15</v>
      </c>
      <c r="H69">
        <v>2962372451616319</v>
      </c>
      <c r="I69">
        <v>5.2622305652795358</v>
      </c>
    </row>
    <row r="70" spans="1:9" x14ac:dyDescent="0.25">
      <c r="A70" s="1">
        <v>43100</v>
      </c>
      <c r="B70" t="s">
        <v>53</v>
      </c>
      <c r="C70" t="s">
        <v>117</v>
      </c>
      <c r="D70" t="s">
        <v>225</v>
      </c>
      <c r="E70" t="s">
        <v>603</v>
      </c>
      <c r="F70" t="s">
        <v>552</v>
      </c>
      <c r="G70">
        <v>1.4210854715202004E-14</v>
      </c>
      <c r="H70">
        <v>-1686632128633585.5</v>
      </c>
      <c r="I70">
        <v>-23.968484138003781</v>
      </c>
    </row>
    <row r="71" spans="1:9" x14ac:dyDescent="0.25">
      <c r="A71" s="1">
        <v>43100</v>
      </c>
      <c r="B71" t="s">
        <v>54</v>
      </c>
      <c r="C71" t="s">
        <v>105</v>
      </c>
      <c r="D71" t="s">
        <v>225</v>
      </c>
      <c r="E71" t="s">
        <v>603</v>
      </c>
      <c r="F71" t="s">
        <v>561</v>
      </c>
      <c r="G71">
        <v>0</v>
      </c>
      <c r="H71">
        <v>0</v>
      </c>
      <c r="I71">
        <v>-14.57920628297539</v>
      </c>
    </row>
    <row r="72" spans="1:9" x14ac:dyDescent="0.25">
      <c r="A72" s="1">
        <v>43100</v>
      </c>
      <c r="B72" t="s">
        <v>89</v>
      </c>
      <c r="C72" t="s">
        <v>90</v>
      </c>
      <c r="D72" t="s">
        <v>225</v>
      </c>
      <c r="E72" t="s">
        <v>603</v>
      </c>
      <c r="F72" t="s">
        <v>560</v>
      </c>
      <c r="G72">
        <v>0</v>
      </c>
      <c r="H72">
        <v>0</v>
      </c>
      <c r="I72">
        <v>-33.673886181982695</v>
      </c>
    </row>
    <row r="73" spans="1:9" x14ac:dyDescent="0.25">
      <c r="A73" s="1">
        <v>43100</v>
      </c>
      <c r="B73" t="s">
        <v>112</v>
      </c>
      <c r="C73" t="s">
        <v>113</v>
      </c>
      <c r="D73" t="s">
        <v>225</v>
      </c>
      <c r="E73" t="s">
        <v>603</v>
      </c>
      <c r="F73" t="s">
        <v>557</v>
      </c>
      <c r="G73">
        <v>0</v>
      </c>
      <c r="H73">
        <v>0</v>
      </c>
      <c r="I73">
        <v>-98.515967107249423</v>
      </c>
    </row>
    <row r="74" spans="1:9" x14ac:dyDescent="0.25">
      <c r="A74" s="1">
        <v>43100</v>
      </c>
      <c r="B74" t="s">
        <v>98</v>
      </c>
      <c r="C74" t="s">
        <v>99</v>
      </c>
      <c r="D74" t="s">
        <v>225</v>
      </c>
      <c r="E74" t="s">
        <v>603</v>
      </c>
      <c r="F74" t="s">
        <v>559</v>
      </c>
      <c r="G74">
        <v>-1.5899999999999999</v>
      </c>
      <c r="H74">
        <v>12.638088924414181</v>
      </c>
      <c r="I74">
        <v>-20.094561389818544</v>
      </c>
    </row>
    <row r="75" spans="1:9" ht="75" x14ac:dyDescent="0.25">
      <c r="A75" s="1">
        <v>43100</v>
      </c>
      <c r="B75" t="s">
        <v>276</v>
      </c>
      <c r="C75" s="15" t="s">
        <v>421</v>
      </c>
      <c r="D75" t="s">
        <v>225</v>
      </c>
      <c r="E75" t="s">
        <v>21</v>
      </c>
      <c r="F75" t="s">
        <v>563</v>
      </c>
      <c r="G75">
        <v>-2.7700000000000005</v>
      </c>
      <c r="H75">
        <v>0</v>
      </c>
      <c r="I75">
        <v>0</v>
      </c>
    </row>
    <row r="76" spans="1:9" ht="75" x14ac:dyDescent="0.25">
      <c r="A76" s="1">
        <v>43100</v>
      </c>
      <c r="B76" t="s">
        <v>277</v>
      </c>
      <c r="C76" s="15" t="s">
        <v>364</v>
      </c>
      <c r="D76" t="s">
        <v>225</v>
      </c>
      <c r="E76" t="s">
        <v>603</v>
      </c>
      <c r="F76" t="s">
        <v>564</v>
      </c>
      <c r="G76">
        <v>-5.5511151231257827E-16</v>
      </c>
      <c r="H76">
        <v>4.8401159884172512E+16</v>
      </c>
      <c r="I76">
        <v>-26.868041060985899</v>
      </c>
    </row>
    <row r="77" spans="1:9" x14ac:dyDescent="0.25">
      <c r="A77" s="1">
        <v>43100</v>
      </c>
      <c r="B77" t="s">
        <v>56</v>
      </c>
      <c r="C77" t="s">
        <v>85</v>
      </c>
      <c r="D77" t="s">
        <v>225</v>
      </c>
      <c r="E77" t="s">
        <v>603</v>
      </c>
      <c r="F77" t="s">
        <v>609</v>
      </c>
      <c r="G77">
        <v>12.14</v>
      </c>
      <c r="H77">
        <v>-10.697485342452783</v>
      </c>
      <c r="I77">
        <v>-129.8674720573768</v>
      </c>
    </row>
    <row r="78" spans="1:9" x14ac:dyDescent="0.25">
      <c r="A78" s="1">
        <v>43100</v>
      </c>
      <c r="B78" t="s">
        <v>114</v>
      </c>
      <c r="C78" t="s">
        <v>115</v>
      </c>
      <c r="D78" t="s">
        <v>225</v>
      </c>
      <c r="E78" t="s">
        <v>603</v>
      </c>
      <c r="F78" t="s">
        <v>558</v>
      </c>
      <c r="G78">
        <v>4.4408920985006262E-16</v>
      </c>
      <c r="H78">
        <v>-1.673335301731573E+16</v>
      </c>
      <c r="I78">
        <v>-7.4311015196019037</v>
      </c>
    </row>
    <row r="79" spans="1:9" x14ac:dyDescent="0.25">
      <c r="A79" s="1">
        <v>43100</v>
      </c>
      <c r="B79" t="s">
        <v>69</v>
      </c>
      <c r="C79" t="s">
        <v>102</v>
      </c>
      <c r="D79" t="s">
        <v>225</v>
      </c>
      <c r="E79" t="s">
        <v>21</v>
      </c>
      <c r="F79" t="s">
        <v>562</v>
      </c>
      <c r="G79">
        <v>-9.5499999999999989</v>
      </c>
      <c r="H79">
        <v>5.8535363630099059E-6</v>
      </c>
      <c r="I79">
        <v>-5.5901272266744597E-5</v>
      </c>
    </row>
    <row r="80" spans="1:9" x14ac:dyDescent="0.25">
      <c r="A80" s="1">
        <v>43100</v>
      </c>
      <c r="B80" t="s">
        <v>57</v>
      </c>
      <c r="C80" t="s">
        <v>184</v>
      </c>
      <c r="D80" t="s">
        <v>225</v>
      </c>
      <c r="E80" t="s">
        <v>21</v>
      </c>
      <c r="F80" t="s">
        <v>551</v>
      </c>
      <c r="G80">
        <v>7</v>
      </c>
      <c r="H80">
        <v>0</v>
      </c>
      <c r="I80">
        <v>0</v>
      </c>
    </row>
    <row r="81" spans="1:9" x14ac:dyDescent="0.25">
      <c r="A81" s="1">
        <v>43100</v>
      </c>
      <c r="B81" t="s">
        <v>23</v>
      </c>
      <c r="C81" t="s">
        <v>31</v>
      </c>
      <c r="D81" t="s">
        <v>225</v>
      </c>
      <c r="E81" t="s">
        <v>603</v>
      </c>
      <c r="F81" t="s">
        <v>549</v>
      </c>
      <c r="G81">
        <v>-8.8817841970012523E-16</v>
      </c>
      <c r="H81">
        <v>2.1778524912503824E+16</v>
      </c>
      <c r="I81">
        <v>-19.343215840187455</v>
      </c>
    </row>
    <row r="82" spans="1:9" x14ac:dyDescent="0.25">
      <c r="A82" s="1">
        <v>43100</v>
      </c>
      <c r="B82" t="s">
        <v>70</v>
      </c>
      <c r="C82" t="s">
        <v>186</v>
      </c>
      <c r="D82" t="s">
        <v>225</v>
      </c>
      <c r="E82" t="s">
        <v>603</v>
      </c>
      <c r="F82" t="s">
        <v>548</v>
      </c>
      <c r="G82">
        <v>-178.93</v>
      </c>
      <c r="H82">
        <v>3.4522209607676571</v>
      </c>
      <c r="I82">
        <v>-617.70589651015689</v>
      </c>
    </row>
    <row r="83" spans="1:9" x14ac:dyDescent="0.25">
      <c r="A83" s="1">
        <v>43100</v>
      </c>
      <c r="B83" t="s">
        <v>60</v>
      </c>
      <c r="C83" t="s">
        <v>87</v>
      </c>
      <c r="D83" t="s">
        <v>225</v>
      </c>
      <c r="E83" t="s">
        <v>603</v>
      </c>
      <c r="F83" t="s">
        <v>610</v>
      </c>
      <c r="G83">
        <v>-4.4408920985006262E-16</v>
      </c>
      <c r="H83">
        <v>6.0604122889284056E+16</v>
      </c>
      <c r="I83">
        <v>-26.91363704755825</v>
      </c>
    </row>
    <row r="84" spans="1:9" x14ac:dyDescent="0.25">
      <c r="A84" s="1">
        <v>43100</v>
      </c>
      <c r="B84" t="s">
        <v>278</v>
      </c>
      <c r="C84" t="s">
        <v>422</v>
      </c>
      <c r="D84" t="s">
        <v>225</v>
      </c>
      <c r="E84" t="s">
        <v>21</v>
      </c>
      <c r="F84" t="s">
        <v>553</v>
      </c>
      <c r="G84">
        <v>-126</v>
      </c>
      <c r="H84">
        <v>0</v>
      </c>
      <c r="I84">
        <v>0</v>
      </c>
    </row>
    <row r="85" spans="1:9" x14ac:dyDescent="0.25">
      <c r="A85" s="1">
        <v>43100</v>
      </c>
      <c r="B85" t="s">
        <v>279</v>
      </c>
      <c r="C85" t="s">
        <v>423</v>
      </c>
      <c r="D85" t="s">
        <v>225</v>
      </c>
      <c r="E85" t="s">
        <v>21</v>
      </c>
      <c r="F85" t="s">
        <v>553</v>
      </c>
      <c r="G85">
        <v>-156</v>
      </c>
      <c r="H85">
        <v>0</v>
      </c>
      <c r="I85">
        <v>0</v>
      </c>
    </row>
    <row r="86" spans="1:9" x14ac:dyDescent="0.25">
      <c r="A86" s="1">
        <v>43100</v>
      </c>
      <c r="B86" t="s">
        <v>95</v>
      </c>
      <c r="C86" t="s">
        <v>96</v>
      </c>
      <c r="D86" t="s">
        <v>225</v>
      </c>
      <c r="E86" t="s">
        <v>611</v>
      </c>
      <c r="F86" t="s">
        <v>612</v>
      </c>
      <c r="G86">
        <v>-21</v>
      </c>
      <c r="H86">
        <v>0</v>
      </c>
      <c r="I86">
        <v>0</v>
      </c>
    </row>
    <row r="87" spans="1:9" x14ac:dyDescent="0.25">
      <c r="A87" s="1">
        <v>43100</v>
      </c>
      <c r="B87" t="s">
        <v>119</v>
      </c>
      <c r="C87" t="s">
        <v>120</v>
      </c>
      <c r="D87" t="s">
        <v>225</v>
      </c>
      <c r="E87" t="s">
        <v>613</v>
      </c>
      <c r="F87" t="s">
        <v>614</v>
      </c>
      <c r="G87">
        <v>-1</v>
      </c>
      <c r="H87">
        <v>0</v>
      </c>
      <c r="I87">
        <v>0</v>
      </c>
    </row>
    <row r="88" spans="1:9" x14ac:dyDescent="0.25">
      <c r="A88" s="1">
        <v>43100</v>
      </c>
      <c r="B88" t="s">
        <v>121</v>
      </c>
      <c r="C88" t="s">
        <v>122</v>
      </c>
      <c r="D88" t="s">
        <v>225</v>
      </c>
      <c r="E88" t="s">
        <v>593</v>
      </c>
      <c r="F88" t="s">
        <v>615</v>
      </c>
      <c r="G88">
        <v>-21</v>
      </c>
      <c r="H88">
        <v>0</v>
      </c>
      <c r="I88">
        <v>0</v>
      </c>
    </row>
    <row r="89" spans="1:9" x14ac:dyDescent="0.25">
      <c r="A89" s="1">
        <v>43100</v>
      </c>
      <c r="B89" t="s">
        <v>124</v>
      </c>
      <c r="C89" t="s">
        <v>125</v>
      </c>
      <c r="D89" t="s">
        <v>225</v>
      </c>
      <c r="E89" t="s">
        <v>593</v>
      </c>
      <c r="F89" t="s">
        <v>616</v>
      </c>
      <c r="G89">
        <v>-1</v>
      </c>
      <c r="H89">
        <v>0</v>
      </c>
      <c r="I89">
        <v>0</v>
      </c>
    </row>
    <row r="90" spans="1:9" x14ac:dyDescent="0.25">
      <c r="A90" s="1">
        <v>43100</v>
      </c>
      <c r="B90" t="s">
        <v>280</v>
      </c>
      <c r="C90" t="s">
        <v>428</v>
      </c>
      <c r="D90" t="s">
        <v>225</v>
      </c>
      <c r="E90" t="s">
        <v>21</v>
      </c>
      <c r="F90" t="s">
        <v>544</v>
      </c>
      <c r="G90">
        <v>-1</v>
      </c>
      <c r="H90">
        <v>0</v>
      </c>
      <c r="I90">
        <v>0</v>
      </c>
    </row>
    <row r="91" spans="1:9" x14ac:dyDescent="0.25">
      <c r="A91" s="1">
        <v>43100</v>
      </c>
      <c r="B91" t="s">
        <v>72</v>
      </c>
      <c r="C91" t="s">
        <v>187</v>
      </c>
      <c r="D91" t="s">
        <v>225</v>
      </c>
      <c r="E91" t="s">
        <v>617</v>
      </c>
      <c r="F91" t="s">
        <v>618</v>
      </c>
      <c r="G91">
        <v>1</v>
      </c>
      <c r="H91">
        <v>0</v>
      </c>
      <c r="I91">
        <v>0</v>
      </c>
    </row>
    <row r="92" spans="1:9" x14ac:dyDescent="0.25">
      <c r="A92" s="1">
        <v>43100</v>
      </c>
      <c r="B92" t="s">
        <v>100</v>
      </c>
      <c r="C92" t="s">
        <v>101</v>
      </c>
      <c r="D92" t="s">
        <v>225</v>
      </c>
      <c r="E92" t="s">
        <v>611</v>
      </c>
      <c r="F92" t="s">
        <v>619</v>
      </c>
      <c r="G92">
        <v>-1</v>
      </c>
      <c r="H92">
        <v>0</v>
      </c>
      <c r="I92">
        <v>0</v>
      </c>
    </row>
    <row r="93" spans="1:9" x14ac:dyDescent="0.25">
      <c r="A93" s="1">
        <v>43100</v>
      </c>
      <c r="B93" t="s">
        <v>281</v>
      </c>
      <c r="C93" t="s">
        <v>429</v>
      </c>
      <c r="D93" t="s">
        <v>225</v>
      </c>
      <c r="E93" t="s">
        <v>593</v>
      </c>
      <c r="F93" t="s">
        <v>620</v>
      </c>
      <c r="G93">
        <v>-90.5</v>
      </c>
      <c r="H93">
        <v>0</v>
      </c>
      <c r="I93">
        <v>0</v>
      </c>
    </row>
    <row r="94" spans="1:9" x14ac:dyDescent="0.25">
      <c r="A94" s="1">
        <v>43100</v>
      </c>
      <c r="B94" t="s">
        <v>282</v>
      </c>
      <c r="C94" t="s">
        <v>430</v>
      </c>
      <c r="D94" t="s">
        <v>225</v>
      </c>
      <c r="E94" t="s">
        <v>593</v>
      </c>
      <c r="F94" t="s">
        <v>598</v>
      </c>
      <c r="G94">
        <v>82</v>
      </c>
      <c r="H94">
        <v>0</v>
      </c>
      <c r="I94">
        <v>0</v>
      </c>
    </row>
    <row r="95" spans="1:9" x14ac:dyDescent="0.25">
      <c r="A95" s="1">
        <v>43100</v>
      </c>
      <c r="B95" t="s">
        <v>283</v>
      </c>
      <c r="C95" t="s">
        <v>431</v>
      </c>
      <c r="D95" t="s">
        <v>225</v>
      </c>
      <c r="E95" t="s">
        <v>21</v>
      </c>
      <c r="F95" t="s">
        <v>553</v>
      </c>
      <c r="G95">
        <v>202</v>
      </c>
      <c r="H95">
        <v>0</v>
      </c>
      <c r="I95">
        <v>0</v>
      </c>
    </row>
    <row r="96" spans="1:9" x14ac:dyDescent="0.25">
      <c r="A96" s="1">
        <v>43100</v>
      </c>
      <c r="B96" t="s">
        <v>284</v>
      </c>
      <c r="C96" t="s">
        <v>432</v>
      </c>
      <c r="D96" t="s">
        <v>225</v>
      </c>
      <c r="E96" t="s">
        <v>21</v>
      </c>
      <c r="F96" t="s">
        <v>553</v>
      </c>
      <c r="G96">
        <v>-4</v>
      </c>
      <c r="H96">
        <v>0</v>
      </c>
      <c r="I96">
        <v>0</v>
      </c>
    </row>
    <row r="97" spans="1:9" x14ac:dyDescent="0.25">
      <c r="A97" s="1">
        <v>43100</v>
      </c>
      <c r="B97" t="s">
        <v>285</v>
      </c>
      <c r="C97" t="s">
        <v>433</v>
      </c>
      <c r="D97" t="s">
        <v>225</v>
      </c>
      <c r="E97" t="s">
        <v>21</v>
      </c>
      <c r="F97" t="s">
        <v>553</v>
      </c>
      <c r="G97">
        <v>212</v>
      </c>
      <c r="H97">
        <v>0</v>
      </c>
      <c r="I97">
        <v>0</v>
      </c>
    </row>
    <row r="98" spans="1:9" x14ac:dyDescent="0.25">
      <c r="A98" s="1">
        <v>43100</v>
      </c>
      <c r="B98" t="s">
        <v>286</v>
      </c>
      <c r="C98" t="s">
        <v>434</v>
      </c>
      <c r="D98" t="s">
        <v>225</v>
      </c>
      <c r="E98" t="s">
        <v>21</v>
      </c>
      <c r="F98" t="s">
        <v>553</v>
      </c>
      <c r="G98">
        <v>275</v>
      </c>
      <c r="H98">
        <v>0</v>
      </c>
      <c r="I98">
        <v>0</v>
      </c>
    </row>
    <row r="99" spans="1:9" x14ac:dyDescent="0.25">
      <c r="A99" s="1">
        <v>43100</v>
      </c>
      <c r="B99" t="s">
        <v>287</v>
      </c>
      <c r="C99" t="s">
        <v>435</v>
      </c>
      <c r="D99" t="s">
        <v>225</v>
      </c>
      <c r="E99" t="s">
        <v>21</v>
      </c>
      <c r="F99" t="s">
        <v>553</v>
      </c>
      <c r="G99">
        <v>1</v>
      </c>
      <c r="H99">
        <v>0</v>
      </c>
      <c r="I99">
        <v>0</v>
      </c>
    </row>
    <row r="100" spans="1:9" x14ac:dyDescent="0.25">
      <c r="A100" s="1">
        <v>43100</v>
      </c>
      <c r="B100" t="s">
        <v>136</v>
      </c>
      <c r="C100" t="s">
        <v>436</v>
      </c>
      <c r="D100" t="s">
        <v>225</v>
      </c>
      <c r="E100" t="s">
        <v>611</v>
      </c>
      <c r="F100" t="s">
        <v>621</v>
      </c>
      <c r="G100">
        <v>-1</v>
      </c>
      <c r="H100">
        <v>0</v>
      </c>
      <c r="I100">
        <v>0</v>
      </c>
    </row>
    <row r="101" spans="1:9" x14ac:dyDescent="0.25">
      <c r="A101" s="1">
        <v>43100</v>
      </c>
      <c r="B101" t="s">
        <v>288</v>
      </c>
      <c r="C101" t="s">
        <v>437</v>
      </c>
      <c r="D101" t="s">
        <v>225</v>
      </c>
      <c r="E101" t="s">
        <v>21</v>
      </c>
      <c r="F101" t="s">
        <v>553</v>
      </c>
      <c r="G101">
        <v>-1</v>
      </c>
      <c r="H101">
        <v>0</v>
      </c>
      <c r="I101">
        <v>0</v>
      </c>
    </row>
    <row r="102" spans="1:9" x14ac:dyDescent="0.25">
      <c r="A102" s="1">
        <v>43100</v>
      </c>
      <c r="B102" t="s">
        <v>289</v>
      </c>
      <c r="C102" t="s">
        <v>438</v>
      </c>
      <c r="D102" t="s">
        <v>225</v>
      </c>
      <c r="E102" t="s">
        <v>593</v>
      </c>
      <c r="F102" t="s">
        <v>598</v>
      </c>
      <c r="G102">
        <v>28</v>
      </c>
      <c r="H102">
        <v>0</v>
      </c>
      <c r="I102">
        <v>0</v>
      </c>
    </row>
    <row r="103" spans="1:9" x14ac:dyDescent="0.25">
      <c r="A103" s="1">
        <v>43100</v>
      </c>
      <c r="B103" t="s">
        <v>290</v>
      </c>
      <c r="C103" t="s">
        <v>439</v>
      </c>
      <c r="D103" t="s">
        <v>225</v>
      </c>
      <c r="E103" t="s">
        <v>21</v>
      </c>
      <c r="F103" t="s">
        <v>553</v>
      </c>
      <c r="G103">
        <v>210</v>
      </c>
      <c r="H103">
        <v>0</v>
      </c>
      <c r="I103">
        <v>0</v>
      </c>
    </row>
    <row r="104" spans="1:9" x14ac:dyDescent="0.25">
      <c r="A104" s="1">
        <v>43100</v>
      </c>
      <c r="B104" t="s">
        <v>291</v>
      </c>
      <c r="C104" t="s">
        <v>440</v>
      </c>
      <c r="D104" t="s">
        <v>225</v>
      </c>
      <c r="E104" t="s">
        <v>21</v>
      </c>
      <c r="F104" t="s">
        <v>553</v>
      </c>
      <c r="G104">
        <v>-2</v>
      </c>
      <c r="H104">
        <v>0</v>
      </c>
      <c r="I104">
        <v>0</v>
      </c>
    </row>
    <row r="105" spans="1:9" x14ac:dyDescent="0.25">
      <c r="A105" s="1">
        <v>43100</v>
      </c>
      <c r="B105" t="s">
        <v>292</v>
      </c>
      <c r="C105" t="s">
        <v>441</v>
      </c>
      <c r="D105" t="s">
        <v>225</v>
      </c>
      <c r="E105" t="s">
        <v>21</v>
      </c>
      <c r="F105" t="s">
        <v>553</v>
      </c>
      <c r="G105">
        <v>129</v>
      </c>
      <c r="H105">
        <v>0</v>
      </c>
      <c r="I105">
        <v>0</v>
      </c>
    </row>
    <row r="106" spans="1:9" x14ac:dyDescent="0.25">
      <c r="A106" s="1">
        <v>43100</v>
      </c>
      <c r="B106" t="s">
        <v>293</v>
      </c>
      <c r="C106" t="s">
        <v>442</v>
      </c>
      <c r="D106" t="s">
        <v>225</v>
      </c>
      <c r="E106" t="s">
        <v>21</v>
      </c>
      <c r="F106" t="s">
        <v>553</v>
      </c>
      <c r="G106">
        <v>321</v>
      </c>
      <c r="H106">
        <v>0</v>
      </c>
      <c r="I106">
        <v>0</v>
      </c>
    </row>
    <row r="107" spans="1:9" x14ac:dyDescent="0.25">
      <c r="A107" s="1">
        <v>43100</v>
      </c>
      <c r="B107" t="s">
        <v>294</v>
      </c>
      <c r="C107" t="s">
        <v>443</v>
      </c>
      <c r="D107" t="s">
        <v>225</v>
      </c>
      <c r="E107" t="s">
        <v>21</v>
      </c>
      <c r="F107" t="s">
        <v>553</v>
      </c>
      <c r="G107">
        <v>-21</v>
      </c>
      <c r="H107">
        <v>0</v>
      </c>
      <c r="I107">
        <v>0</v>
      </c>
    </row>
    <row r="108" spans="1:9" x14ac:dyDescent="0.25">
      <c r="A108" s="1">
        <v>43100</v>
      </c>
      <c r="B108" t="s">
        <v>61</v>
      </c>
      <c r="C108" t="s">
        <v>444</v>
      </c>
      <c r="D108" t="s">
        <v>225</v>
      </c>
      <c r="E108" t="s">
        <v>595</v>
      </c>
      <c r="F108" t="s">
        <v>622</v>
      </c>
      <c r="G108">
        <v>4</v>
      </c>
      <c r="H108">
        <v>0</v>
      </c>
      <c r="I108">
        <v>0</v>
      </c>
    </row>
    <row r="109" spans="1:9" x14ac:dyDescent="0.25">
      <c r="A109" s="1">
        <v>43100</v>
      </c>
      <c r="B109" t="s">
        <v>295</v>
      </c>
      <c r="C109" t="s">
        <v>445</v>
      </c>
      <c r="D109" t="s">
        <v>225</v>
      </c>
      <c r="E109" t="s">
        <v>215</v>
      </c>
      <c r="F109" t="s">
        <v>531</v>
      </c>
      <c r="G109">
        <v>-1</v>
      </c>
      <c r="H109">
        <v>0</v>
      </c>
      <c r="I109">
        <v>0</v>
      </c>
    </row>
    <row r="110" spans="1:9" x14ac:dyDescent="0.25">
      <c r="A110" s="1">
        <v>43100</v>
      </c>
      <c r="B110" t="s">
        <v>62</v>
      </c>
      <c r="C110" t="s">
        <v>108</v>
      </c>
      <c r="D110" t="s">
        <v>240</v>
      </c>
      <c r="E110" t="s">
        <v>21</v>
      </c>
      <c r="F110" t="s">
        <v>537</v>
      </c>
      <c r="G110">
        <v>1</v>
      </c>
      <c r="H110">
        <v>0</v>
      </c>
      <c r="I110">
        <v>0</v>
      </c>
    </row>
    <row r="111" spans="1:9" x14ac:dyDescent="0.25">
      <c r="A111" s="1">
        <v>43100</v>
      </c>
      <c r="B111" t="s">
        <v>62</v>
      </c>
      <c r="C111" t="s">
        <v>108</v>
      </c>
      <c r="D111" t="s">
        <v>225</v>
      </c>
      <c r="E111" t="s">
        <v>599</v>
      </c>
      <c r="F111" t="s">
        <v>623</v>
      </c>
      <c r="G111">
        <v>4</v>
      </c>
      <c r="H111">
        <v>0</v>
      </c>
      <c r="I111">
        <v>0</v>
      </c>
    </row>
    <row r="112" spans="1:9" x14ac:dyDescent="0.25">
      <c r="A112" s="1">
        <v>43100</v>
      </c>
      <c r="B112" t="s">
        <v>296</v>
      </c>
      <c r="C112" t="s">
        <v>446</v>
      </c>
      <c r="D112" t="s">
        <v>225</v>
      </c>
      <c r="E112" t="s">
        <v>21</v>
      </c>
      <c r="F112" t="s">
        <v>543</v>
      </c>
      <c r="G112">
        <v>-9</v>
      </c>
      <c r="H112">
        <v>0</v>
      </c>
      <c r="I112">
        <v>0</v>
      </c>
    </row>
    <row r="113" spans="1:9" x14ac:dyDescent="0.25">
      <c r="A113" s="1">
        <v>43100</v>
      </c>
      <c r="B113" t="s">
        <v>297</v>
      </c>
      <c r="C113" t="s">
        <v>447</v>
      </c>
      <c r="D113" t="s">
        <v>225</v>
      </c>
      <c r="E113" t="s">
        <v>21</v>
      </c>
      <c r="F113" t="s">
        <v>543</v>
      </c>
      <c r="G113">
        <v>-1</v>
      </c>
      <c r="H113">
        <v>0</v>
      </c>
      <c r="I113">
        <v>0</v>
      </c>
    </row>
    <row r="114" spans="1:9" x14ac:dyDescent="0.25">
      <c r="A114" s="1">
        <v>43100</v>
      </c>
      <c r="B114" t="s">
        <v>298</v>
      </c>
      <c r="C114" t="s">
        <v>448</v>
      </c>
      <c r="D114" t="s">
        <v>225</v>
      </c>
      <c r="E114" t="s">
        <v>21</v>
      </c>
      <c r="F114" t="s">
        <v>545</v>
      </c>
      <c r="G114">
        <v>-4</v>
      </c>
      <c r="H114">
        <v>0</v>
      </c>
      <c r="I114">
        <v>0</v>
      </c>
    </row>
    <row r="115" spans="1:9" x14ac:dyDescent="0.25">
      <c r="A115" s="1">
        <v>43100</v>
      </c>
      <c r="B115" t="s">
        <v>299</v>
      </c>
      <c r="C115" t="s">
        <v>449</v>
      </c>
      <c r="D115" t="s">
        <v>225</v>
      </c>
      <c r="E115" t="s">
        <v>593</v>
      </c>
      <c r="F115" t="s">
        <v>598</v>
      </c>
      <c r="G115">
        <v>-154</v>
      </c>
      <c r="H115">
        <v>0</v>
      </c>
      <c r="I115">
        <v>0</v>
      </c>
    </row>
    <row r="116" spans="1:9" x14ac:dyDescent="0.25">
      <c r="A116" s="1">
        <v>43100</v>
      </c>
      <c r="B116" t="s">
        <v>300</v>
      </c>
      <c r="C116" t="s">
        <v>450</v>
      </c>
      <c r="D116" t="s">
        <v>225</v>
      </c>
      <c r="E116" t="s">
        <v>593</v>
      </c>
      <c r="F116" t="s">
        <v>598</v>
      </c>
      <c r="G116">
        <v>-50</v>
      </c>
      <c r="H116">
        <v>0</v>
      </c>
      <c r="I116">
        <v>0</v>
      </c>
    </row>
    <row r="117" spans="1:9" x14ac:dyDescent="0.25">
      <c r="A117" s="1">
        <v>43100</v>
      </c>
      <c r="B117" t="s">
        <v>301</v>
      </c>
      <c r="C117" t="s">
        <v>451</v>
      </c>
      <c r="D117" t="s">
        <v>225</v>
      </c>
      <c r="E117" t="s">
        <v>593</v>
      </c>
      <c r="F117" t="s">
        <v>598</v>
      </c>
      <c r="G117">
        <v>-95</v>
      </c>
      <c r="H117">
        <v>0</v>
      </c>
      <c r="I117">
        <v>0</v>
      </c>
    </row>
    <row r="118" spans="1:9" x14ac:dyDescent="0.25">
      <c r="A118" s="1">
        <v>43100</v>
      </c>
      <c r="B118" t="s">
        <v>302</v>
      </c>
      <c r="C118" t="s">
        <v>452</v>
      </c>
      <c r="D118" t="s">
        <v>225</v>
      </c>
      <c r="E118" t="s">
        <v>21</v>
      </c>
      <c r="F118" t="s">
        <v>543</v>
      </c>
      <c r="G118">
        <v>2</v>
      </c>
      <c r="H118">
        <v>0</v>
      </c>
      <c r="I118">
        <v>0</v>
      </c>
    </row>
    <row r="119" spans="1:9" ht="90" x14ac:dyDescent="0.25">
      <c r="A119" s="1">
        <v>43100</v>
      </c>
      <c r="B119" t="s">
        <v>303</v>
      </c>
      <c r="C119" s="15" t="s">
        <v>453</v>
      </c>
      <c r="D119" t="s">
        <v>225</v>
      </c>
      <c r="E119" t="s">
        <v>21</v>
      </c>
      <c r="F119" t="s">
        <v>543</v>
      </c>
      <c r="G119">
        <v>-3</v>
      </c>
      <c r="H119">
        <v>0</v>
      </c>
      <c r="I119">
        <v>0</v>
      </c>
    </row>
    <row r="120" spans="1:9" ht="75" x14ac:dyDescent="0.25">
      <c r="A120" s="1">
        <v>43100</v>
      </c>
      <c r="B120" t="s">
        <v>304</v>
      </c>
      <c r="C120" s="15" t="s">
        <v>454</v>
      </c>
      <c r="D120" t="s">
        <v>225</v>
      </c>
      <c r="E120" t="s">
        <v>21</v>
      </c>
      <c r="F120" t="s">
        <v>543</v>
      </c>
      <c r="G120">
        <v>-0.53</v>
      </c>
      <c r="H120">
        <v>0</v>
      </c>
      <c r="I120">
        <v>0</v>
      </c>
    </row>
    <row r="121" spans="1:9" x14ac:dyDescent="0.25">
      <c r="A121" s="1">
        <v>43100</v>
      </c>
      <c r="B121" t="s">
        <v>305</v>
      </c>
      <c r="C121" t="s">
        <v>455</v>
      </c>
      <c r="D121" t="s">
        <v>225</v>
      </c>
      <c r="E121" t="s">
        <v>21</v>
      </c>
      <c r="F121" t="s">
        <v>624</v>
      </c>
      <c r="G121">
        <v>-232</v>
      </c>
      <c r="H121">
        <v>0</v>
      </c>
      <c r="I121">
        <v>0</v>
      </c>
    </row>
    <row r="122" spans="1:9" x14ac:dyDescent="0.25">
      <c r="A122" s="1">
        <v>43100</v>
      </c>
      <c r="B122" t="s">
        <v>306</v>
      </c>
      <c r="C122" t="s">
        <v>456</v>
      </c>
      <c r="D122" t="s">
        <v>225</v>
      </c>
      <c r="E122" t="s">
        <v>21</v>
      </c>
      <c r="F122" t="s">
        <v>543</v>
      </c>
      <c r="G122">
        <v>-227</v>
      </c>
      <c r="H122">
        <v>0</v>
      </c>
      <c r="I122">
        <v>0</v>
      </c>
    </row>
    <row r="123" spans="1:9" x14ac:dyDescent="0.25">
      <c r="A123" s="1">
        <v>43100</v>
      </c>
      <c r="B123" t="s">
        <v>307</v>
      </c>
      <c r="C123" t="s">
        <v>457</v>
      </c>
      <c r="D123" t="s">
        <v>225</v>
      </c>
      <c r="E123" t="s">
        <v>21</v>
      </c>
      <c r="F123" t="s">
        <v>543</v>
      </c>
      <c r="G123">
        <v>-17</v>
      </c>
      <c r="H123">
        <v>0</v>
      </c>
      <c r="I123">
        <v>0</v>
      </c>
    </row>
    <row r="124" spans="1:9" x14ac:dyDescent="0.25">
      <c r="A124" s="1">
        <v>43100</v>
      </c>
      <c r="B124" t="s">
        <v>308</v>
      </c>
      <c r="C124" t="s">
        <v>458</v>
      </c>
      <c r="D124" t="s">
        <v>225</v>
      </c>
      <c r="E124" t="s">
        <v>21</v>
      </c>
      <c r="F124" t="s">
        <v>543</v>
      </c>
      <c r="G124">
        <v>-13</v>
      </c>
      <c r="H124">
        <v>0</v>
      </c>
      <c r="I124">
        <v>0</v>
      </c>
    </row>
    <row r="125" spans="1:9" x14ac:dyDescent="0.25">
      <c r="A125" s="1">
        <v>43100</v>
      </c>
      <c r="B125" t="s">
        <v>137</v>
      </c>
      <c r="C125" t="s">
        <v>188</v>
      </c>
      <c r="D125" t="s">
        <v>225</v>
      </c>
      <c r="E125" t="s">
        <v>21</v>
      </c>
      <c r="F125" t="s">
        <v>543</v>
      </c>
      <c r="G125">
        <v>-2</v>
      </c>
      <c r="H125">
        <v>0</v>
      </c>
      <c r="I125">
        <v>0</v>
      </c>
    </row>
    <row r="126" spans="1:9" x14ac:dyDescent="0.25">
      <c r="A126" s="1">
        <v>43100</v>
      </c>
      <c r="B126" t="s">
        <v>309</v>
      </c>
      <c r="C126" t="s">
        <v>459</v>
      </c>
      <c r="D126" t="s">
        <v>225</v>
      </c>
      <c r="E126" t="s">
        <v>21</v>
      </c>
      <c r="F126" t="s">
        <v>543</v>
      </c>
      <c r="G126">
        <v>1</v>
      </c>
      <c r="H126">
        <v>0</v>
      </c>
      <c r="I126">
        <v>0</v>
      </c>
    </row>
    <row r="127" spans="1:9" x14ac:dyDescent="0.25">
      <c r="A127" s="1">
        <v>43100</v>
      </c>
      <c r="B127" t="s">
        <v>310</v>
      </c>
      <c r="C127" t="s">
        <v>460</v>
      </c>
      <c r="D127" t="s">
        <v>225</v>
      </c>
      <c r="E127" t="s">
        <v>21</v>
      </c>
      <c r="F127" t="s">
        <v>543</v>
      </c>
      <c r="G127">
        <v>6</v>
      </c>
      <c r="H127">
        <v>0</v>
      </c>
      <c r="I127">
        <v>0</v>
      </c>
    </row>
    <row r="128" spans="1:9" x14ac:dyDescent="0.25">
      <c r="A128" s="1">
        <v>43100</v>
      </c>
      <c r="B128" t="s">
        <v>106</v>
      </c>
      <c r="C128" t="s">
        <v>107</v>
      </c>
      <c r="D128" t="s">
        <v>225</v>
      </c>
      <c r="E128" t="s">
        <v>625</v>
      </c>
      <c r="F128" t="s">
        <v>626</v>
      </c>
      <c r="G128">
        <v>-1</v>
      </c>
      <c r="H128">
        <v>0</v>
      </c>
      <c r="I128">
        <v>0</v>
      </c>
    </row>
    <row r="129" spans="1:9" x14ac:dyDescent="0.25">
      <c r="A129" s="1">
        <v>43100</v>
      </c>
      <c r="B129" t="s">
        <v>311</v>
      </c>
      <c r="C129" t="s">
        <v>461</v>
      </c>
      <c r="D129" t="s">
        <v>225</v>
      </c>
      <c r="E129" t="s">
        <v>599</v>
      </c>
      <c r="F129" t="s">
        <v>627</v>
      </c>
      <c r="G129">
        <v>6</v>
      </c>
      <c r="H129">
        <v>0</v>
      </c>
      <c r="I129">
        <v>0</v>
      </c>
    </row>
    <row r="130" spans="1:9" x14ac:dyDescent="0.25">
      <c r="A130" s="1">
        <v>43100</v>
      </c>
      <c r="B130" t="s">
        <v>312</v>
      </c>
      <c r="C130" t="s">
        <v>462</v>
      </c>
      <c r="D130" t="s">
        <v>225</v>
      </c>
      <c r="E130" t="s">
        <v>628</v>
      </c>
      <c r="F130" t="s">
        <v>629</v>
      </c>
      <c r="G130">
        <v>-1</v>
      </c>
      <c r="H130">
        <v>0</v>
      </c>
      <c r="I130">
        <v>0</v>
      </c>
    </row>
    <row r="131" spans="1:9" x14ac:dyDescent="0.25">
      <c r="A131" s="1">
        <v>43100</v>
      </c>
      <c r="B131" t="s">
        <v>22</v>
      </c>
      <c r="C131" t="s">
        <v>366</v>
      </c>
      <c r="D131" t="s">
        <v>225</v>
      </c>
      <c r="E131" t="s">
        <v>603</v>
      </c>
      <c r="F131" t="s">
        <v>630</v>
      </c>
      <c r="G131">
        <v>-10</v>
      </c>
      <c r="H131">
        <v>25.089953719880668</v>
      </c>
      <c r="I131">
        <v>-250.89953719880668</v>
      </c>
    </row>
    <row r="132" spans="1:9" x14ac:dyDescent="0.25">
      <c r="A132" s="1">
        <v>43100</v>
      </c>
      <c r="B132" t="s">
        <v>63</v>
      </c>
      <c r="C132" t="s">
        <v>367</v>
      </c>
      <c r="D132" t="s">
        <v>223</v>
      </c>
      <c r="E132" t="s">
        <v>631</v>
      </c>
      <c r="F132" t="s">
        <v>530</v>
      </c>
      <c r="G132">
        <v>1064</v>
      </c>
      <c r="H132">
        <v>-0.24062969924812033</v>
      </c>
      <c r="I132">
        <v>-256.03000000000003</v>
      </c>
    </row>
    <row r="133" spans="1:9" x14ac:dyDescent="0.25">
      <c r="A133" s="1">
        <v>43100</v>
      </c>
      <c r="B133" t="s">
        <v>313</v>
      </c>
      <c r="C133" t="s">
        <v>464</v>
      </c>
      <c r="D133" t="s">
        <v>225</v>
      </c>
      <c r="E133" t="s">
        <v>21</v>
      </c>
      <c r="F133" t="s">
        <v>539</v>
      </c>
      <c r="G133">
        <v>-1</v>
      </c>
      <c r="H133">
        <v>0</v>
      </c>
      <c r="I133">
        <v>0</v>
      </c>
    </row>
    <row r="134" spans="1:9" x14ac:dyDescent="0.25">
      <c r="A134" s="1">
        <v>43100</v>
      </c>
      <c r="B134" t="s">
        <v>314</v>
      </c>
      <c r="C134" t="s">
        <v>465</v>
      </c>
      <c r="D134" t="s">
        <v>225</v>
      </c>
      <c r="E134" t="s">
        <v>21</v>
      </c>
      <c r="F134" t="s">
        <v>547</v>
      </c>
      <c r="G134">
        <v>-31.9</v>
      </c>
      <c r="H134">
        <v>0</v>
      </c>
      <c r="I134">
        <v>0</v>
      </c>
    </row>
    <row r="135" spans="1:9" x14ac:dyDescent="0.25">
      <c r="A135" s="1">
        <v>43100</v>
      </c>
      <c r="B135" t="s">
        <v>315</v>
      </c>
      <c r="C135" t="s">
        <v>466</v>
      </c>
      <c r="D135" t="s">
        <v>225</v>
      </c>
      <c r="E135" t="s">
        <v>21</v>
      </c>
      <c r="F135" t="s">
        <v>539</v>
      </c>
      <c r="G135">
        <v>-2</v>
      </c>
      <c r="H135">
        <v>0</v>
      </c>
      <c r="I135">
        <v>0</v>
      </c>
    </row>
    <row r="136" spans="1:9" x14ac:dyDescent="0.25">
      <c r="A136" s="1">
        <v>43100</v>
      </c>
      <c r="B136" t="s">
        <v>316</v>
      </c>
      <c r="C136" t="s">
        <v>467</v>
      </c>
      <c r="D136" t="s">
        <v>225</v>
      </c>
      <c r="E136" t="s">
        <v>21</v>
      </c>
      <c r="F136" t="s">
        <v>539</v>
      </c>
      <c r="G136">
        <v>1</v>
      </c>
      <c r="H136">
        <v>0</v>
      </c>
      <c r="I136">
        <v>0</v>
      </c>
    </row>
    <row r="137" spans="1:9" x14ac:dyDescent="0.25">
      <c r="A137" s="1">
        <v>43100</v>
      </c>
      <c r="B137" t="s">
        <v>317</v>
      </c>
      <c r="C137" t="s">
        <v>468</v>
      </c>
      <c r="D137" t="s">
        <v>225</v>
      </c>
      <c r="E137" t="s">
        <v>21</v>
      </c>
      <c r="F137" t="s">
        <v>539</v>
      </c>
      <c r="G137">
        <v>50</v>
      </c>
      <c r="H137">
        <v>0</v>
      </c>
      <c r="I137">
        <v>0</v>
      </c>
    </row>
    <row r="138" spans="1:9" x14ac:dyDescent="0.25">
      <c r="A138" s="1">
        <v>43100</v>
      </c>
      <c r="B138" t="s">
        <v>318</v>
      </c>
      <c r="C138" t="s">
        <v>469</v>
      </c>
      <c r="D138" t="s">
        <v>225</v>
      </c>
      <c r="E138" t="s">
        <v>21</v>
      </c>
      <c r="F138" t="s">
        <v>544</v>
      </c>
      <c r="G138">
        <v>-3</v>
      </c>
      <c r="H138">
        <v>0</v>
      </c>
      <c r="I138">
        <v>0</v>
      </c>
    </row>
    <row r="139" spans="1:9" x14ac:dyDescent="0.25">
      <c r="A139" s="1">
        <v>43100</v>
      </c>
      <c r="B139" t="s">
        <v>319</v>
      </c>
      <c r="C139" t="s">
        <v>470</v>
      </c>
      <c r="D139" t="s">
        <v>225</v>
      </c>
      <c r="E139" t="s">
        <v>215</v>
      </c>
      <c r="F139" t="s">
        <v>632</v>
      </c>
      <c r="G139">
        <v>-2</v>
      </c>
      <c r="H139">
        <v>0</v>
      </c>
      <c r="I139">
        <v>0</v>
      </c>
    </row>
    <row r="140" spans="1:9" x14ac:dyDescent="0.25">
      <c r="A140" s="1">
        <v>43100</v>
      </c>
      <c r="B140" t="s">
        <v>320</v>
      </c>
      <c r="C140" t="s">
        <v>471</v>
      </c>
      <c r="D140" t="s">
        <v>225</v>
      </c>
      <c r="E140" t="s">
        <v>21</v>
      </c>
      <c r="F140" t="s">
        <v>553</v>
      </c>
      <c r="G140">
        <v>1</v>
      </c>
      <c r="H140">
        <v>0</v>
      </c>
      <c r="I140">
        <v>0</v>
      </c>
    </row>
    <row r="141" spans="1:9" x14ac:dyDescent="0.25">
      <c r="A141" s="1">
        <v>43100</v>
      </c>
      <c r="B141" t="s">
        <v>321</v>
      </c>
      <c r="C141" t="s">
        <v>472</v>
      </c>
      <c r="D141" t="s">
        <v>225</v>
      </c>
      <c r="E141" t="s">
        <v>21</v>
      </c>
      <c r="F141" t="s">
        <v>544</v>
      </c>
      <c r="G141">
        <v>-20</v>
      </c>
      <c r="H141">
        <v>0</v>
      </c>
      <c r="I141">
        <v>0</v>
      </c>
    </row>
    <row r="142" spans="1:9" ht="45" x14ac:dyDescent="0.25">
      <c r="A142" s="1">
        <v>43100</v>
      </c>
      <c r="B142" t="s">
        <v>208</v>
      </c>
      <c r="C142" s="15" t="s">
        <v>209</v>
      </c>
      <c r="D142" t="s">
        <v>225</v>
      </c>
      <c r="E142" t="s">
        <v>603</v>
      </c>
      <c r="F142" t="s">
        <v>630</v>
      </c>
      <c r="G142">
        <v>-4</v>
      </c>
      <c r="H142">
        <v>40.569660194174766</v>
      </c>
      <c r="I142">
        <v>-162.27864077669906</v>
      </c>
    </row>
    <row r="143" spans="1:9" x14ac:dyDescent="0.25">
      <c r="A143" s="1">
        <v>43100</v>
      </c>
      <c r="B143" t="s">
        <v>322</v>
      </c>
      <c r="C143" t="s">
        <v>473</v>
      </c>
      <c r="D143" t="s">
        <v>225</v>
      </c>
      <c r="E143" t="s">
        <v>21</v>
      </c>
      <c r="F143" t="s">
        <v>630</v>
      </c>
      <c r="G143">
        <v>6</v>
      </c>
      <c r="H143">
        <v>0</v>
      </c>
      <c r="I143">
        <v>0</v>
      </c>
    </row>
    <row r="144" spans="1:9" x14ac:dyDescent="0.25">
      <c r="A144" s="1">
        <v>43100</v>
      </c>
      <c r="B144" t="s">
        <v>323</v>
      </c>
      <c r="C144" t="s">
        <v>474</v>
      </c>
      <c r="D144" t="s">
        <v>225</v>
      </c>
      <c r="E144" t="s">
        <v>21</v>
      </c>
      <c r="F144" t="s">
        <v>553</v>
      </c>
      <c r="G144">
        <v>-12</v>
      </c>
      <c r="H144">
        <v>0</v>
      </c>
      <c r="I144">
        <v>0</v>
      </c>
    </row>
    <row r="145" spans="1:9" x14ac:dyDescent="0.25">
      <c r="A145" s="1">
        <v>43100</v>
      </c>
      <c r="B145" t="s">
        <v>324</v>
      </c>
      <c r="C145" t="s">
        <v>475</v>
      </c>
      <c r="D145" t="s">
        <v>225</v>
      </c>
      <c r="E145" t="s">
        <v>599</v>
      </c>
      <c r="F145" t="s">
        <v>633</v>
      </c>
      <c r="G145">
        <v>-11</v>
      </c>
      <c r="H145">
        <v>0</v>
      </c>
      <c r="I145">
        <v>0</v>
      </c>
    </row>
    <row r="146" spans="1:9" x14ac:dyDescent="0.25">
      <c r="A146" s="1">
        <v>43100</v>
      </c>
      <c r="B146" t="s">
        <v>97</v>
      </c>
      <c r="C146" t="s">
        <v>189</v>
      </c>
      <c r="D146" t="s">
        <v>225</v>
      </c>
      <c r="E146" t="s">
        <v>599</v>
      </c>
      <c r="F146" t="s">
        <v>634</v>
      </c>
      <c r="G146">
        <v>-16</v>
      </c>
      <c r="H146">
        <v>0</v>
      </c>
      <c r="I146">
        <v>0</v>
      </c>
    </row>
    <row r="147" spans="1:9" x14ac:dyDescent="0.25">
      <c r="A147" s="1">
        <v>43100</v>
      </c>
      <c r="B147" t="s">
        <v>325</v>
      </c>
      <c r="C147" t="s">
        <v>476</v>
      </c>
      <c r="D147" t="s">
        <v>225</v>
      </c>
      <c r="E147" t="s">
        <v>21</v>
      </c>
      <c r="F147" t="s">
        <v>547</v>
      </c>
      <c r="G147">
        <v>232</v>
      </c>
      <c r="H147">
        <v>0</v>
      </c>
      <c r="I147">
        <v>0</v>
      </c>
    </row>
    <row r="148" spans="1:9" x14ac:dyDescent="0.25">
      <c r="A148" s="1">
        <v>43100</v>
      </c>
      <c r="B148" t="s">
        <v>326</v>
      </c>
      <c r="C148" t="s">
        <v>477</v>
      </c>
      <c r="D148" t="s">
        <v>225</v>
      </c>
      <c r="E148" t="s">
        <v>21</v>
      </c>
      <c r="F148" t="s">
        <v>545</v>
      </c>
      <c r="G148">
        <v>-2</v>
      </c>
      <c r="H148">
        <v>0</v>
      </c>
      <c r="I148">
        <v>0</v>
      </c>
    </row>
    <row r="149" spans="1:9" x14ac:dyDescent="0.25">
      <c r="A149" s="1">
        <v>43100</v>
      </c>
      <c r="B149" t="s">
        <v>327</v>
      </c>
      <c r="C149" t="s">
        <v>478</v>
      </c>
      <c r="D149" t="s">
        <v>225</v>
      </c>
      <c r="E149" t="s">
        <v>21</v>
      </c>
      <c r="F149" t="s">
        <v>545</v>
      </c>
      <c r="G149">
        <v>-30</v>
      </c>
      <c r="H149">
        <v>0</v>
      </c>
      <c r="I149">
        <v>0</v>
      </c>
    </row>
    <row r="150" spans="1:9" x14ac:dyDescent="0.25">
      <c r="A150" s="1">
        <v>43100</v>
      </c>
      <c r="B150" t="s">
        <v>328</v>
      </c>
      <c r="C150" t="s">
        <v>479</v>
      </c>
      <c r="D150" t="s">
        <v>225</v>
      </c>
      <c r="E150" t="s">
        <v>21</v>
      </c>
      <c r="F150" t="s">
        <v>545</v>
      </c>
      <c r="G150">
        <v>-228</v>
      </c>
      <c r="H150">
        <v>0</v>
      </c>
      <c r="I150">
        <v>0</v>
      </c>
    </row>
    <row r="151" spans="1:9" x14ac:dyDescent="0.25">
      <c r="A151" s="1">
        <v>43100</v>
      </c>
      <c r="B151" t="s">
        <v>329</v>
      </c>
      <c r="C151" t="s">
        <v>480</v>
      </c>
      <c r="D151" t="s">
        <v>225</v>
      </c>
      <c r="E151" t="s">
        <v>21</v>
      </c>
      <c r="F151" t="s">
        <v>545</v>
      </c>
      <c r="G151">
        <v>-5</v>
      </c>
      <c r="H151">
        <v>0</v>
      </c>
      <c r="I151">
        <v>0</v>
      </c>
    </row>
    <row r="152" spans="1:9" x14ac:dyDescent="0.25">
      <c r="A152" s="1">
        <v>43100</v>
      </c>
      <c r="B152" t="s">
        <v>330</v>
      </c>
      <c r="C152" t="s">
        <v>481</v>
      </c>
      <c r="D152" t="s">
        <v>225</v>
      </c>
      <c r="E152" t="s">
        <v>21</v>
      </c>
      <c r="F152" t="s">
        <v>545</v>
      </c>
      <c r="G152">
        <v>-39</v>
      </c>
      <c r="H152">
        <v>0</v>
      </c>
      <c r="I152">
        <v>0</v>
      </c>
    </row>
    <row r="153" spans="1:9" x14ac:dyDescent="0.25">
      <c r="A153" s="1">
        <v>43100</v>
      </c>
      <c r="B153" t="s">
        <v>331</v>
      </c>
      <c r="C153" t="s">
        <v>482</v>
      </c>
      <c r="D153" t="s">
        <v>225</v>
      </c>
      <c r="E153" t="s">
        <v>21</v>
      </c>
      <c r="F153" t="s">
        <v>545</v>
      </c>
      <c r="G153">
        <v>-1</v>
      </c>
      <c r="H153">
        <v>0</v>
      </c>
      <c r="I153">
        <v>0</v>
      </c>
    </row>
    <row r="154" spans="1:9" x14ac:dyDescent="0.25">
      <c r="A154" s="1">
        <v>43100</v>
      </c>
      <c r="B154" t="s">
        <v>332</v>
      </c>
      <c r="C154" t="s">
        <v>483</v>
      </c>
      <c r="D154" t="s">
        <v>225</v>
      </c>
      <c r="E154" t="s">
        <v>21</v>
      </c>
      <c r="F154" t="s">
        <v>545</v>
      </c>
      <c r="G154">
        <v>78</v>
      </c>
      <c r="H154">
        <v>0</v>
      </c>
      <c r="I154">
        <v>0</v>
      </c>
    </row>
    <row r="155" spans="1:9" x14ac:dyDescent="0.25">
      <c r="A155" s="1">
        <v>43100</v>
      </c>
      <c r="B155" t="s">
        <v>333</v>
      </c>
      <c r="C155" t="s">
        <v>484</v>
      </c>
      <c r="D155" t="s">
        <v>225</v>
      </c>
      <c r="E155" t="s">
        <v>21</v>
      </c>
      <c r="F155" t="s">
        <v>545</v>
      </c>
      <c r="G155">
        <v>623</v>
      </c>
      <c r="H155">
        <v>0</v>
      </c>
      <c r="I155">
        <v>0</v>
      </c>
    </row>
    <row r="156" spans="1:9" x14ac:dyDescent="0.25">
      <c r="A156" s="1">
        <v>43100</v>
      </c>
      <c r="B156" t="s">
        <v>334</v>
      </c>
      <c r="C156" t="s">
        <v>485</v>
      </c>
      <c r="D156" t="s">
        <v>225</v>
      </c>
      <c r="E156" t="s">
        <v>21</v>
      </c>
      <c r="F156" t="s">
        <v>545</v>
      </c>
      <c r="G156">
        <v>33</v>
      </c>
      <c r="H156">
        <v>0</v>
      </c>
      <c r="I156">
        <v>0</v>
      </c>
    </row>
    <row r="157" spans="1:9" x14ac:dyDescent="0.25">
      <c r="A157" s="1">
        <v>43100</v>
      </c>
      <c r="B157" t="s">
        <v>335</v>
      </c>
      <c r="C157" t="s">
        <v>486</v>
      </c>
      <c r="D157" t="s">
        <v>225</v>
      </c>
      <c r="E157" t="s">
        <v>21</v>
      </c>
      <c r="F157" t="s">
        <v>545</v>
      </c>
      <c r="G157">
        <v>327</v>
      </c>
      <c r="H157">
        <v>0</v>
      </c>
      <c r="I157">
        <v>0</v>
      </c>
    </row>
    <row r="158" spans="1:9" x14ac:dyDescent="0.25">
      <c r="A158" s="1">
        <v>43100</v>
      </c>
      <c r="B158" t="s">
        <v>336</v>
      </c>
      <c r="C158" t="s">
        <v>487</v>
      </c>
      <c r="D158" t="s">
        <v>225</v>
      </c>
      <c r="E158" t="s">
        <v>21</v>
      </c>
      <c r="F158" t="s">
        <v>545</v>
      </c>
      <c r="G158">
        <v>159</v>
      </c>
      <c r="H158">
        <v>0</v>
      </c>
      <c r="I158">
        <v>0</v>
      </c>
    </row>
    <row r="159" spans="1:9" ht="75" x14ac:dyDescent="0.25">
      <c r="A159" s="1">
        <v>43100</v>
      </c>
      <c r="B159" t="s">
        <v>337</v>
      </c>
      <c r="C159" s="15" t="s">
        <v>488</v>
      </c>
      <c r="D159" t="s">
        <v>225</v>
      </c>
      <c r="E159" t="s">
        <v>21</v>
      </c>
      <c r="F159" t="s">
        <v>545</v>
      </c>
      <c r="G159">
        <v>-15</v>
      </c>
      <c r="H159">
        <v>0</v>
      </c>
      <c r="I159">
        <v>0</v>
      </c>
    </row>
    <row r="160" spans="1:9" x14ac:dyDescent="0.25">
      <c r="A160" s="1">
        <v>43100</v>
      </c>
      <c r="B160" t="s">
        <v>338</v>
      </c>
      <c r="C160" t="s">
        <v>489</v>
      </c>
      <c r="D160" t="s">
        <v>225</v>
      </c>
      <c r="E160" t="s">
        <v>21</v>
      </c>
      <c r="F160" t="s">
        <v>545</v>
      </c>
      <c r="G160">
        <v>-450</v>
      </c>
      <c r="H160">
        <v>0</v>
      </c>
      <c r="I160">
        <v>0</v>
      </c>
    </row>
    <row r="161" spans="1:9" x14ac:dyDescent="0.25">
      <c r="A161" s="1">
        <v>43100</v>
      </c>
      <c r="B161" t="s">
        <v>339</v>
      </c>
      <c r="C161" t="s">
        <v>490</v>
      </c>
      <c r="D161" t="s">
        <v>225</v>
      </c>
      <c r="E161" t="s">
        <v>21</v>
      </c>
      <c r="F161" t="s">
        <v>545</v>
      </c>
      <c r="G161">
        <v>999</v>
      </c>
      <c r="H161">
        <v>0</v>
      </c>
      <c r="I161">
        <v>0</v>
      </c>
    </row>
    <row r="162" spans="1:9" x14ac:dyDescent="0.25">
      <c r="A162" s="1">
        <v>43100</v>
      </c>
      <c r="B162" t="s">
        <v>340</v>
      </c>
      <c r="C162" t="s">
        <v>491</v>
      </c>
      <c r="D162" t="s">
        <v>225</v>
      </c>
      <c r="E162" t="s">
        <v>21</v>
      </c>
      <c r="F162" t="s">
        <v>545</v>
      </c>
      <c r="G162">
        <v>998</v>
      </c>
      <c r="H162">
        <v>0</v>
      </c>
      <c r="I162">
        <v>0</v>
      </c>
    </row>
    <row r="163" spans="1:9" x14ac:dyDescent="0.25">
      <c r="A163" s="1">
        <v>43100</v>
      </c>
      <c r="B163" t="s">
        <v>341</v>
      </c>
      <c r="C163" t="s">
        <v>492</v>
      </c>
      <c r="D163" t="s">
        <v>225</v>
      </c>
      <c r="E163" t="s">
        <v>21</v>
      </c>
      <c r="F163" t="s">
        <v>545</v>
      </c>
      <c r="G163">
        <v>999</v>
      </c>
      <c r="H163">
        <v>0</v>
      </c>
      <c r="I163">
        <v>0</v>
      </c>
    </row>
    <row r="164" spans="1:9" x14ac:dyDescent="0.25">
      <c r="A164" s="1">
        <v>43100</v>
      </c>
      <c r="B164" t="s">
        <v>342</v>
      </c>
      <c r="C164" t="s">
        <v>493</v>
      </c>
      <c r="D164" t="s">
        <v>225</v>
      </c>
      <c r="E164" t="s">
        <v>21</v>
      </c>
      <c r="F164" t="s">
        <v>545</v>
      </c>
      <c r="G164">
        <v>2497</v>
      </c>
      <c r="H164">
        <v>0</v>
      </c>
      <c r="I164">
        <v>0</v>
      </c>
    </row>
    <row r="165" spans="1:9" x14ac:dyDescent="0.25">
      <c r="A165" s="1">
        <v>43100</v>
      </c>
      <c r="B165" t="s">
        <v>343</v>
      </c>
      <c r="C165" t="s">
        <v>494</v>
      </c>
      <c r="D165" t="s">
        <v>225</v>
      </c>
      <c r="E165" t="s">
        <v>21</v>
      </c>
      <c r="F165" t="s">
        <v>545</v>
      </c>
      <c r="G165">
        <v>4479</v>
      </c>
      <c r="H165">
        <v>0</v>
      </c>
      <c r="I165">
        <v>0</v>
      </c>
    </row>
    <row r="166" spans="1:9" x14ac:dyDescent="0.25">
      <c r="A166" s="1">
        <v>43100</v>
      </c>
      <c r="B166" t="s">
        <v>344</v>
      </c>
      <c r="C166" t="s">
        <v>497</v>
      </c>
      <c r="D166" t="s">
        <v>225</v>
      </c>
      <c r="E166" t="s">
        <v>21</v>
      </c>
      <c r="F166" t="s">
        <v>545</v>
      </c>
      <c r="G166">
        <v>242</v>
      </c>
      <c r="H166">
        <v>0</v>
      </c>
      <c r="I166">
        <v>0</v>
      </c>
    </row>
    <row r="167" spans="1:9" x14ac:dyDescent="0.25">
      <c r="A167" s="1">
        <v>43100</v>
      </c>
      <c r="B167" t="s">
        <v>345</v>
      </c>
      <c r="C167" t="s">
        <v>498</v>
      </c>
      <c r="D167" t="s">
        <v>225</v>
      </c>
      <c r="E167" t="s">
        <v>21</v>
      </c>
      <c r="F167" t="s">
        <v>545</v>
      </c>
      <c r="G167">
        <v>-4</v>
      </c>
      <c r="H167">
        <v>0</v>
      </c>
      <c r="I167">
        <v>0</v>
      </c>
    </row>
    <row r="168" spans="1:9" x14ac:dyDescent="0.25">
      <c r="A168" s="1">
        <v>43100</v>
      </c>
      <c r="B168" t="s">
        <v>346</v>
      </c>
      <c r="C168" t="s">
        <v>499</v>
      </c>
      <c r="D168" t="s">
        <v>225</v>
      </c>
      <c r="E168" t="s">
        <v>21</v>
      </c>
      <c r="F168" t="s">
        <v>545</v>
      </c>
      <c r="G168">
        <v>-3</v>
      </c>
      <c r="H168">
        <v>0</v>
      </c>
      <c r="I168">
        <v>0</v>
      </c>
    </row>
    <row r="169" spans="1:9" x14ac:dyDescent="0.25">
      <c r="A169" s="1">
        <v>43100</v>
      </c>
      <c r="B169" t="s">
        <v>347</v>
      </c>
      <c r="C169" t="s">
        <v>500</v>
      </c>
      <c r="D169" t="s">
        <v>225</v>
      </c>
      <c r="E169" t="s">
        <v>21</v>
      </c>
      <c r="F169" t="s">
        <v>545</v>
      </c>
      <c r="G169">
        <v>-6</v>
      </c>
      <c r="H169">
        <v>0</v>
      </c>
      <c r="I169">
        <v>0</v>
      </c>
    </row>
    <row r="170" spans="1:9" x14ac:dyDescent="0.25">
      <c r="A170" s="1">
        <v>43100</v>
      </c>
      <c r="B170" t="s">
        <v>348</v>
      </c>
      <c r="C170" t="s">
        <v>501</v>
      </c>
      <c r="D170" t="s">
        <v>225</v>
      </c>
      <c r="E170" t="s">
        <v>595</v>
      </c>
      <c r="F170" t="s">
        <v>635</v>
      </c>
      <c r="G170">
        <v>46</v>
      </c>
      <c r="H170">
        <v>0</v>
      </c>
      <c r="I170">
        <v>0</v>
      </c>
    </row>
    <row r="171" spans="1:9" x14ac:dyDescent="0.25">
      <c r="A171" s="1">
        <v>43100</v>
      </c>
      <c r="B171" t="s">
        <v>349</v>
      </c>
      <c r="C171" t="s">
        <v>502</v>
      </c>
      <c r="D171" t="s">
        <v>225</v>
      </c>
      <c r="E171" t="s">
        <v>21</v>
      </c>
      <c r="F171" t="s">
        <v>545</v>
      </c>
      <c r="G171">
        <v>-1</v>
      </c>
      <c r="H171">
        <v>0</v>
      </c>
      <c r="I171">
        <v>0</v>
      </c>
    </row>
    <row r="172" spans="1:9" x14ac:dyDescent="0.25">
      <c r="A172" s="1">
        <v>43100</v>
      </c>
      <c r="B172" t="s">
        <v>350</v>
      </c>
      <c r="C172" t="s">
        <v>503</v>
      </c>
      <c r="D172" t="s">
        <v>225</v>
      </c>
      <c r="E172" t="s">
        <v>21</v>
      </c>
      <c r="F172" t="s">
        <v>545</v>
      </c>
      <c r="G172">
        <v>-4</v>
      </c>
      <c r="H172">
        <v>0</v>
      </c>
      <c r="I172">
        <v>0</v>
      </c>
    </row>
    <row r="173" spans="1:9" x14ac:dyDescent="0.25">
      <c r="A173" s="1">
        <v>43100</v>
      </c>
      <c r="B173" t="s">
        <v>351</v>
      </c>
      <c r="C173" t="s">
        <v>504</v>
      </c>
      <c r="D173" t="s">
        <v>225</v>
      </c>
      <c r="E173" t="s">
        <v>21</v>
      </c>
      <c r="F173" t="s">
        <v>545</v>
      </c>
      <c r="G173">
        <v>-1</v>
      </c>
      <c r="H173">
        <v>0</v>
      </c>
      <c r="I173">
        <v>0</v>
      </c>
    </row>
    <row r="174" spans="1:9" x14ac:dyDescent="0.25">
      <c r="A174" s="1">
        <v>43100</v>
      </c>
      <c r="B174" t="s">
        <v>352</v>
      </c>
      <c r="C174" t="s">
        <v>505</v>
      </c>
      <c r="D174" t="s">
        <v>225</v>
      </c>
      <c r="E174" t="s">
        <v>21</v>
      </c>
      <c r="F174" t="s">
        <v>545</v>
      </c>
      <c r="G174">
        <v>-217</v>
      </c>
      <c r="H174">
        <v>0</v>
      </c>
      <c r="I174">
        <v>0</v>
      </c>
    </row>
    <row r="175" spans="1:9" x14ac:dyDescent="0.25">
      <c r="A175" s="1">
        <v>43100</v>
      </c>
      <c r="B175" t="s">
        <v>353</v>
      </c>
      <c r="C175" t="s">
        <v>506</v>
      </c>
      <c r="D175" t="s">
        <v>225</v>
      </c>
      <c r="E175" t="s">
        <v>21</v>
      </c>
      <c r="F175" t="s">
        <v>545</v>
      </c>
      <c r="G175">
        <v>-50</v>
      </c>
      <c r="H175">
        <v>0</v>
      </c>
      <c r="I175">
        <v>0</v>
      </c>
    </row>
    <row r="176" spans="1:9" x14ac:dyDescent="0.25">
      <c r="A176" s="1">
        <v>43100</v>
      </c>
      <c r="B176" t="s">
        <v>354</v>
      </c>
      <c r="C176" t="s">
        <v>507</v>
      </c>
      <c r="D176" t="s">
        <v>225</v>
      </c>
      <c r="E176" t="s">
        <v>21</v>
      </c>
      <c r="F176" t="s">
        <v>545</v>
      </c>
      <c r="G176">
        <v>250</v>
      </c>
      <c r="H176">
        <v>0</v>
      </c>
      <c r="I176">
        <v>0</v>
      </c>
    </row>
    <row r="177" spans="1:9" x14ac:dyDescent="0.25">
      <c r="A177" s="1">
        <v>43100</v>
      </c>
      <c r="B177" t="s">
        <v>355</v>
      </c>
      <c r="C177" t="s">
        <v>508</v>
      </c>
      <c r="D177" t="s">
        <v>225</v>
      </c>
      <c r="E177" t="s">
        <v>21</v>
      </c>
      <c r="F177" t="s">
        <v>545</v>
      </c>
      <c r="G177">
        <v>620</v>
      </c>
      <c r="H177">
        <v>0</v>
      </c>
      <c r="I177">
        <v>0</v>
      </c>
    </row>
    <row r="178" spans="1:9" x14ac:dyDescent="0.25">
      <c r="A178" s="1">
        <v>43100</v>
      </c>
      <c r="B178" t="s">
        <v>356</v>
      </c>
      <c r="C178" t="s">
        <v>511</v>
      </c>
      <c r="D178" t="s">
        <v>225</v>
      </c>
      <c r="E178" t="s">
        <v>21</v>
      </c>
      <c r="F178" t="s">
        <v>545</v>
      </c>
      <c r="G178">
        <v>-10</v>
      </c>
      <c r="H178">
        <v>0</v>
      </c>
      <c r="I178">
        <v>0</v>
      </c>
    </row>
    <row r="179" spans="1:9" x14ac:dyDescent="0.25">
      <c r="A179" s="1">
        <v>43100</v>
      </c>
      <c r="B179" t="s">
        <v>357</v>
      </c>
      <c r="C179" t="s">
        <v>512</v>
      </c>
      <c r="D179" t="s">
        <v>225</v>
      </c>
      <c r="E179" t="s">
        <v>21</v>
      </c>
      <c r="F179" t="s">
        <v>545</v>
      </c>
      <c r="G179">
        <v>-7</v>
      </c>
      <c r="H179">
        <v>0</v>
      </c>
      <c r="I179">
        <v>0</v>
      </c>
    </row>
    <row r="180" spans="1:9" x14ac:dyDescent="0.25">
      <c r="A180" s="1">
        <v>43100</v>
      </c>
      <c r="B180" t="s">
        <v>358</v>
      </c>
      <c r="C180" t="s">
        <v>513</v>
      </c>
      <c r="D180" t="s">
        <v>225</v>
      </c>
      <c r="E180" t="s">
        <v>21</v>
      </c>
      <c r="F180" t="s">
        <v>545</v>
      </c>
      <c r="G180">
        <v>-10</v>
      </c>
      <c r="H180">
        <v>0</v>
      </c>
      <c r="I180">
        <v>0</v>
      </c>
    </row>
    <row r="181" spans="1:9" x14ac:dyDescent="0.25">
      <c r="A181" s="1">
        <v>43100</v>
      </c>
      <c r="B181" t="s">
        <v>359</v>
      </c>
      <c r="C181" t="s">
        <v>514</v>
      </c>
      <c r="D181" t="s">
        <v>225</v>
      </c>
      <c r="E181" t="s">
        <v>21</v>
      </c>
      <c r="F181" t="s">
        <v>545</v>
      </c>
      <c r="G181">
        <v>-1</v>
      </c>
      <c r="H181">
        <v>0</v>
      </c>
      <c r="I181">
        <v>0</v>
      </c>
    </row>
    <row r="182" spans="1:9" x14ac:dyDescent="0.25">
      <c r="A182" s="1">
        <v>43100</v>
      </c>
      <c r="B182" t="s">
        <v>360</v>
      </c>
      <c r="C182" t="s">
        <v>515</v>
      </c>
      <c r="D182" t="s">
        <v>225</v>
      </c>
      <c r="E182" t="s">
        <v>21</v>
      </c>
      <c r="F182" t="s">
        <v>545</v>
      </c>
      <c r="G182">
        <v>-24</v>
      </c>
      <c r="H182">
        <v>0</v>
      </c>
      <c r="I182">
        <v>0</v>
      </c>
    </row>
    <row r="183" spans="1:9" x14ac:dyDescent="0.25">
      <c r="A183" s="1">
        <v>43100</v>
      </c>
      <c r="B183" t="s">
        <v>361</v>
      </c>
      <c r="C183" t="s">
        <v>516</v>
      </c>
      <c r="D183" t="s">
        <v>225</v>
      </c>
      <c r="E183" t="s">
        <v>21</v>
      </c>
      <c r="F183" t="s">
        <v>545</v>
      </c>
      <c r="G183">
        <v>-1</v>
      </c>
      <c r="H183">
        <v>0</v>
      </c>
      <c r="I183">
        <v>0</v>
      </c>
    </row>
    <row r="184" spans="1:9" x14ac:dyDescent="0.25">
      <c r="A184" s="1">
        <v>43100</v>
      </c>
      <c r="B184" t="s">
        <v>362</v>
      </c>
      <c r="C184" t="s">
        <v>517</v>
      </c>
      <c r="D184" t="s">
        <v>225</v>
      </c>
      <c r="E184" t="s">
        <v>21</v>
      </c>
      <c r="F184" t="s">
        <v>545</v>
      </c>
      <c r="G184">
        <v>-54</v>
      </c>
      <c r="H184">
        <v>0</v>
      </c>
      <c r="I184">
        <v>0</v>
      </c>
    </row>
    <row r="185" spans="1:9" x14ac:dyDescent="0.25">
      <c r="A185" s="1">
        <v>43100</v>
      </c>
      <c r="B185" t="s">
        <v>19</v>
      </c>
      <c r="C185" t="s">
        <v>32</v>
      </c>
      <c r="D185" t="s">
        <v>225</v>
      </c>
      <c r="E185" t="s">
        <v>636</v>
      </c>
      <c r="F185" t="s">
        <v>637</v>
      </c>
      <c r="G185">
        <v>-24</v>
      </c>
      <c r="H185">
        <v>0</v>
      </c>
      <c r="I185">
        <v>0</v>
      </c>
    </row>
    <row r="186" spans="1:9" x14ac:dyDescent="0.25">
      <c r="A186" s="1">
        <v>43100</v>
      </c>
      <c r="B186" t="s">
        <v>495</v>
      </c>
      <c r="C186" t="s">
        <v>496</v>
      </c>
      <c r="D186" t="s">
        <v>225</v>
      </c>
      <c r="E186" t="s">
        <v>215</v>
      </c>
      <c r="F186" t="s">
        <v>638</v>
      </c>
      <c r="G186">
        <v>-8</v>
      </c>
      <c r="H186">
        <v>0</v>
      </c>
      <c r="I186">
        <v>0</v>
      </c>
    </row>
    <row r="187" spans="1:9" x14ac:dyDescent="0.25">
      <c r="A187" s="1">
        <v>43100</v>
      </c>
      <c r="B187" t="s">
        <v>524</v>
      </c>
      <c r="C187" t="s">
        <v>525</v>
      </c>
      <c r="D187" t="s">
        <v>225</v>
      </c>
      <c r="E187" t="s">
        <v>215</v>
      </c>
      <c r="F187" t="s">
        <v>532</v>
      </c>
      <c r="G187">
        <v>1</v>
      </c>
      <c r="H187">
        <v>0</v>
      </c>
      <c r="I187">
        <v>0</v>
      </c>
    </row>
    <row r="188" spans="1:9" x14ac:dyDescent="0.25">
      <c r="A188" s="1">
        <v>43100</v>
      </c>
      <c r="B188" t="s">
        <v>526</v>
      </c>
      <c r="C188" t="s">
        <v>527</v>
      </c>
      <c r="D188" t="s">
        <v>225</v>
      </c>
      <c r="E188" t="s">
        <v>215</v>
      </c>
      <c r="F188" t="s">
        <v>533</v>
      </c>
      <c r="G188">
        <v>-1</v>
      </c>
      <c r="H188">
        <v>0</v>
      </c>
      <c r="I188">
        <v>0</v>
      </c>
    </row>
    <row r="189" spans="1:9" x14ac:dyDescent="0.25">
      <c r="A189" s="1">
        <v>43100</v>
      </c>
      <c r="B189" t="s">
        <v>528</v>
      </c>
      <c r="C189" t="s">
        <v>529</v>
      </c>
      <c r="D189" t="s">
        <v>225</v>
      </c>
      <c r="E189" t="s">
        <v>215</v>
      </c>
      <c r="F189" t="s">
        <v>534</v>
      </c>
      <c r="G189">
        <v>-1</v>
      </c>
      <c r="H189">
        <v>0</v>
      </c>
      <c r="I189">
        <v>0</v>
      </c>
    </row>
    <row r="190" spans="1:9" x14ac:dyDescent="0.25">
      <c r="A190" s="1">
        <v>43100</v>
      </c>
      <c r="B190" t="s">
        <v>520</v>
      </c>
      <c r="C190" t="s">
        <v>521</v>
      </c>
      <c r="D190" t="s">
        <v>225</v>
      </c>
      <c r="E190" t="s">
        <v>215</v>
      </c>
      <c r="F190" t="s">
        <v>535</v>
      </c>
      <c r="G190">
        <v>-1</v>
      </c>
      <c r="H190">
        <v>0</v>
      </c>
      <c r="I190">
        <v>0</v>
      </c>
    </row>
    <row r="191" spans="1:9" x14ac:dyDescent="0.25">
      <c r="A191" s="1">
        <v>43100</v>
      </c>
      <c r="B191" t="s">
        <v>192</v>
      </c>
      <c r="C191" t="s">
        <v>193</v>
      </c>
      <c r="D191" t="s">
        <v>225</v>
      </c>
      <c r="E191" t="s">
        <v>215</v>
      </c>
      <c r="F191" t="s">
        <v>639</v>
      </c>
      <c r="G191">
        <v>-3</v>
      </c>
      <c r="H191">
        <v>0</v>
      </c>
      <c r="I191">
        <v>0</v>
      </c>
    </row>
    <row r="192" spans="1:9" x14ac:dyDescent="0.25">
      <c r="A192" s="1">
        <v>43100</v>
      </c>
      <c r="B192" t="s">
        <v>190</v>
      </c>
      <c r="C192" t="s">
        <v>191</v>
      </c>
      <c r="D192" t="s">
        <v>225</v>
      </c>
      <c r="E192" t="s">
        <v>215</v>
      </c>
      <c r="F192" t="s">
        <v>640</v>
      </c>
      <c r="G192">
        <v>-9</v>
      </c>
      <c r="H192">
        <v>0</v>
      </c>
      <c r="I192">
        <v>0</v>
      </c>
    </row>
    <row r="193" spans="1:9" x14ac:dyDescent="0.25">
      <c r="A193" s="1">
        <v>43100</v>
      </c>
      <c r="B193" t="s">
        <v>383</v>
      </c>
      <c r="C193" t="s">
        <v>384</v>
      </c>
      <c r="D193" t="s">
        <v>225</v>
      </c>
      <c r="E193" t="s">
        <v>215</v>
      </c>
      <c r="F193" t="s">
        <v>641</v>
      </c>
      <c r="G193">
        <v>-31760</v>
      </c>
      <c r="H193">
        <v>0</v>
      </c>
      <c r="I193">
        <v>0</v>
      </c>
    </row>
    <row r="194" spans="1:9" x14ac:dyDescent="0.25">
      <c r="A194" s="1">
        <v>43100</v>
      </c>
      <c r="B194" t="s">
        <v>170</v>
      </c>
      <c r="C194" t="s">
        <v>171</v>
      </c>
      <c r="D194" t="s">
        <v>241</v>
      </c>
      <c r="E194" t="s">
        <v>215</v>
      </c>
      <c r="F194" t="s">
        <v>642</v>
      </c>
      <c r="G194">
        <v>-3256</v>
      </c>
      <c r="H194">
        <v>0</v>
      </c>
      <c r="I194">
        <v>0</v>
      </c>
    </row>
    <row r="195" spans="1:9" x14ac:dyDescent="0.25">
      <c r="A195" s="1">
        <v>43100</v>
      </c>
      <c r="B195" t="s">
        <v>172</v>
      </c>
      <c r="C195" t="s">
        <v>173</v>
      </c>
      <c r="D195" t="s">
        <v>241</v>
      </c>
      <c r="E195" t="s">
        <v>215</v>
      </c>
      <c r="F195" t="s">
        <v>642</v>
      </c>
      <c r="G195">
        <v>-2</v>
      </c>
      <c r="H195">
        <v>0</v>
      </c>
      <c r="I195">
        <v>0</v>
      </c>
    </row>
    <row r="196" spans="1:9" x14ac:dyDescent="0.25">
      <c r="A196" s="1">
        <v>43100</v>
      </c>
      <c r="B196" t="s">
        <v>19</v>
      </c>
      <c r="C196" t="s">
        <v>32</v>
      </c>
      <c r="D196" t="s">
        <v>241</v>
      </c>
      <c r="E196" t="s">
        <v>215</v>
      </c>
      <c r="F196" t="s">
        <v>363</v>
      </c>
      <c r="G196">
        <v>-1</v>
      </c>
      <c r="H196">
        <v>0</v>
      </c>
      <c r="I196">
        <v>0</v>
      </c>
    </row>
    <row r="197" spans="1:9" x14ac:dyDescent="0.25">
      <c r="A197" s="1">
        <v>43100</v>
      </c>
      <c r="B197" t="s">
        <v>518</v>
      </c>
      <c r="C197" t="s">
        <v>519</v>
      </c>
      <c r="D197" t="s">
        <v>225</v>
      </c>
      <c r="E197" t="s">
        <v>215</v>
      </c>
      <c r="F197" t="s">
        <v>643</v>
      </c>
      <c r="G197">
        <v>-2</v>
      </c>
      <c r="H197">
        <v>0</v>
      </c>
      <c r="I197">
        <v>0</v>
      </c>
    </row>
    <row r="198" spans="1:9" x14ac:dyDescent="0.25">
      <c r="A198" s="1">
        <v>43100</v>
      </c>
      <c r="B198" t="s">
        <v>522</v>
      </c>
      <c r="C198" t="s">
        <v>523</v>
      </c>
      <c r="D198" t="s">
        <v>225</v>
      </c>
      <c r="E198" t="s">
        <v>215</v>
      </c>
      <c r="F198" t="s">
        <v>643</v>
      </c>
      <c r="G198">
        <v>-2</v>
      </c>
      <c r="H198">
        <v>0</v>
      </c>
      <c r="I198">
        <v>0</v>
      </c>
    </row>
    <row r="199" spans="1:9" x14ac:dyDescent="0.25">
      <c r="A199" s="1">
        <v>43100</v>
      </c>
      <c r="B199" t="s">
        <v>424</v>
      </c>
      <c r="C199" t="s">
        <v>425</v>
      </c>
      <c r="D199" t="s">
        <v>225</v>
      </c>
      <c r="E199" t="s">
        <v>613</v>
      </c>
      <c r="F199" t="s">
        <v>644</v>
      </c>
      <c r="G199">
        <v>25</v>
      </c>
      <c r="H199">
        <v>0</v>
      </c>
      <c r="I199">
        <v>0</v>
      </c>
    </row>
    <row r="200" spans="1:9" x14ac:dyDescent="0.25">
      <c r="A200" s="1">
        <v>43100</v>
      </c>
      <c r="B200" t="s">
        <v>463</v>
      </c>
      <c r="C200" t="s">
        <v>463</v>
      </c>
      <c r="D200" t="s">
        <v>225</v>
      </c>
      <c r="E200" t="s">
        <v>17</v>
      </c>
      <c r="F200" t="s">
        <v>645</v>
      </c>
      <c r="G200">
        <v>3</v>
      </c>
      <c r="H200">
        <v>0</v>
      </c>
      <c r="I200">
        <v>0</v>
      </c>
    </row>
    <row r="201" spans="1:9" x14ac:dyDescent="0.25">
      <c r="A201" s="1">
        <v>43100</v>
      </c>
      <c r="B201" t="s">
        <v>426</v>
      </c>
      <c r="C201" t="s">
        <v>427</v>
      </c>
      <c r="D201" t="s">
        <v>225</v>
      </c>
      <c r="E201" t="s">
        <v>368</v>
      </c>
      <c r="F201" t="s">
        <v>646</v>
      </c>
      <c r="G201">
        <v>-0.30019999999999997</v>
      </c>
      <c r="H201">
        <v>0</v>
      </c>
      <c r="I201">
        <v>0</v>
      </c>
    </row>
    <row r="202" spans="1:9" x14ac:dyDescent="0.25">
      <c r="A202" s="1">
        <v>43100</v>
      </c>
      <c r="B202" t="s">
        <v>509</v>
      </c>
      <c r="C202" t="s">
        <v>510</v>
      </c>
      <c r="D202" t="s">
        <v>225</v>
      </c>
      <c r="E202" t="s">
        <v>368</v>
      </c>
      <c r="F202" t="s">
        <v>647</v>
      </c>
      <c r="G202">
        <v>-1271</v>
      </c>
      <c r="H202">
        <v>0</v>
      </c>
      <c r="I20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0"/>
  <sheetViews>
    <sheetView topLeftCell="A2" workbookViewId="0">
      <selection activeCell="A2" sqref="A2"/>
    </sheetView>
  </sheetViews>
  <sheetFormatPr defaultRowHeight="15" x14ac:dyDescent="0.2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 x14ac:dyDescent="0.3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3" t="s">
        <v>8</v>
      </c>
      <c r="B2" s="3" t="s">
        <v>9</v>
      </c>
      <c r="C2" s="3" t="s">
        <v>6</v>
      </c>
      <c r="D2" s="3" t="s">
        <v>27</v>
      </c>
      <c r="E2" s="3" t="s">
        <v>46</v>
      </c>
      <c r="F2" s="3" t="s">
        <v>47</v>
      </c>
      <c r="G2" s="5" t="s">
        <v>10</v>
      </c>
      <c r="H2" s="5" t="s">
        <v>11</v>
      </c>
      <c r="I2" s="3" t="s">
        <v>12</v>
      </c>
      <c r="J2" s="3" t="s">
        <v>33</v>
      </c>
      <c r="K2" s="3" t="s">
        <v>7</v>
      </c>
      <c r="L2" s="3" t="s">
        <v>138</v>
      </c>
      <c r="M2" s="3" t="s">
        <v>42</v>
      </c>
      <c r="N2" s="3" t="s">
        <v>84</v>
      </c>
    </row>
    <row r="3" spans="1:14" x14ac:dyDescent="0.25">
      <c r="A3" s="8" t="s">
        <v>215</v>
      </c>
      <c r="B3" s="8" t="s">
        <v>885</v>
      </c>
      <c r="C3" s="8" t="s">
        <v>103</v>
      </c>
      <c r="D3" s="8" t="s">
        <v>104</v>
      </c>
      <c r="E3" s="8" t="s">
        <v>717</v>
      </c>
      <c r="F3" s="8" t="s">
        <v>718</v>
      </c>
      <c r="G3" s="6">
        <v>43125</v>
      </c>
      <c r="H3" s="6">
        <v>43129</v>
      </c>
      <c r="I3" s="4">
        <v>-2100</v>
      </c>
      <c r="J3" s="8" t="s">
        <v>36</v>
      </c>
      <c r="K3" s="8" t="s">
        <v>887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/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 t="str">
        <f>IF(AtlasReport_1_Table_1[[#This Row],[Reference]]="Purchase order",_xll.AtlasFormulas.AtlasFunctions.AtlasBalance("UAT",DataAreaId,"T.MarkupTrans","Sum|Posted|0","","","","","","","MarkupCode|TransTableId|TransRecId","TPP","492",$L3),"")</f>
        <v/>
      </c>
    </row>
    <row r="4" spans="1:14" x14ac:dyDescent="0.25">
      <c r="A4" s="8" t="s">
        <v>215</v>
      </c>
      <c r="B4" s="8" t="s">
        <v>885</v>
      </c>
      <c r="C4" s="8" t="s">
        <v>55</v>
      </c>
      <c r="D4" s="8" t="s">
        <v>118</v>
      </c>
      <c r="E4" s="8" t="s">
        <v>717</v>
      </c>
      <c r="F4" s="8" t="s">
        <v>718</v>
      </c>
      <c r="G4" s="6">
        <v>43125</v>
      </c>
      <c r="H4" s="6">
        <v>43129</v>
      </c>
      <c r="I4" s="4">
        <v>-1200</v>
      </c>
      <c r="J4" s="8" t="s">
        <v>36</v>
      </c>
      <c r="K4" s="8" t="s">
        <v>894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/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 t="str">
        <f>IF(AtlasReport_1_Table_1[[#This Row],[Reference]]="Purchase order",_xll.AtlasFormulas.AtlasFunctions.AtlasBalance("UAT",DataAreaId,"T.MarkupTrans","Sum|Posted|0","","","","","","","MarkupCode|TransTableId|TransRecId","TPP","492",$L4),"")</f>
        <v/>
      </c>
    </row>
    <row r="5" spans="1:14" x14ac:dyDescent="0.25">
      <c r="A5" s="8" t="s">
        <v>215</v>
      </c>
      <c r="B5" s="8" t="s">
        <v>885</v>
      </c>
      <c r="C5" s="8" t="s">
        <v>114</v>
      </c>
      <c r="D5" s="8" t="s">
        <v>115</v>
      </c>
      <c r="E5" s="8" t="s">
        <v>717</v>
      </c>
      <c r="F5" s="8" t="s">
        <v>718</v>
      </c>
      <c r="G5" s="6">
        <v>43125</v>
      </c>
      <c r="H5" s="6">
        <v>43129</v>
      </c>
      <c r="I5" s="4">
        <v>-100</v>
      </c>
      <c r="J5" s="8" t="s">
        <v>36</v>
      </c>
      <c r="K5" s="8" t="s">
        <v>895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/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/>
      </c>
      <c r="N5" s="4" t="str">
        <f>IF(AtlasReport_1_Table_1[[#This Row],[Reference]]="Purchase order",_xll.AtlasFormulas.AtlasFunctions.AtlasBalance("UAT",DataAreaId,"T.MarkupTrans","Sum|Posted|0","","","","","","","MarkupCode|TransTableId|TransRecId","TPP","492",$L5),"")</f>
        <v/>
      </c>
    </row>
    <row r="6" spans="1:14" x14ac:dyDescent="0.25">
      <c r="A6" s="8" t="s">
        <v>215</v>
      </c>
      <c r="B6" s="8" t="s">
        <v>885</v>
      </c>
      <c r="C6" s="8" t="s">
        <v>69</v>
      </c>
      <c r="D6" s="8" t="s">
        <v>102</v>
      </c>
      <c r="E6" s="8" t="s">
        <v>717</v>
      </c>
      <c r="F6" s="8" t="s">
        <v>718</v>
      </c>
      <c r="G6" s="6">
        <v>43125</v>
      </c>
      <c r="H6" s="6">
        <v>43129</v>
      </c>
      <c r="I6" s="4">
        <v>-200</v>
      </c>
      <c r="J6" s="8" t="s">
        <v>36</v>
      </c>
      <c r="K6" s="8" t="s">
        <v>896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/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 t="str">
        <f>IF(AtlasReport_1_Table_1[[#This Row],[Reference]]="Purchase order",_xll.AtlasFormulas.AtlasFunctions.AtlasBalance("UAT",DataAreaId,"T.MarkupTrans","Sum|Posted|0","","","","","","","MarkupCode|TransTableId|TransRecId","TPP","492",$L6),"")</f>
        <v/>
      </c>
    </row>
    <row r="7" spans="1:14" x14ac:dyDescent="0.25">
      <c r="A7" s="8" t="s">
        <v>215</v>
      </c>
      <c r="B7" s="8" t="s">
        <v>882</v>
      </c>
      <c r="C7" s="8" t="s">
        <v>103</v>
      </c>
      <c r="D7" s="8" t="s">
        <v>104</v>
      </c>
      <c r="E7" s="8" t="s">
        <v>717</v>
      </c>
      <c r="F7" s="8" t="s">
        <v>718</v>
      </c>
      <c r="G7" s="6">
        <v>43124</v>
      </c>
      <c r="H7" s="6">
        <v>43129</v>
      </c>
      <c r="I7" s="4">
        <v>-2000</v>
      </c>
      <c r="J7" s="8" t="s">
        <v>36</v>
      </c>
      <c r="K7" s="8" t="s">
        <v>884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 x14ac:dyDescent="0.25">
      <c r="A8" s="8" t="s">
        <v>215</v>
      </c>
      <c r="B8" s="8" t="s">
        <v>889</v>
      </c>
      <c r="C8" s="8" t="s">
        <v>89</v>
      </c>
      <c r="D8" s="8" t="s">
        <v>90</v>
      </c>
      <c r="E8" s="8" t="s">
        <v>717</v>
      </c>
      <c r="F8" s="8" t="s">
        <v>718</v>
      </c>
      <c r="G8" s="6">
        <v>43129</v>
      </c>
      <c r="H8" s="6">
        <v>43129</v>
      </c>
      <c r="I8" s="4">
        <v>-1050</v>
      </c>
      <c r="J8" s="8" t="s">
        <v>36</v>
      </c>
      <c r="K8" s="8" t="s">
        <v>891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 x14ac:dyDescent="0.25">
      <c r="A9" s="8" t="s">
        <v>215</v>
      </c>
      <c r="B9" s="8" t="s">
        <v>889</v>
      </c>
      <c r="C9" s="8" t="s">
        <v>112</v>
      </c>
      <c r="D9" s="8" t="s">
        <v>113</v>
      </c>
      <c r="E9" s="8" t="s">
        <v>717</v>
      </c>
      <c r="F9" s="8" t="s">
        <v>718</v>
      </c>
      <c r="G9" s="6">
        <v>43129</v>
      </c>
      <c r="H9" s="6">
        <v>43129</v>
      </c>
      <c r="I9" s="4">
        <v>-450</v>
      </c>
      <c r="J9" s="8" t="s">
        <v>36</v>
      </c>
      <c r="K9" s="8" t="s">
        <v>892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 x14ac:dyDescent="0.25">
      <c r="A10" s="8" t="s">
        <v>215</v>
      </c>
      <c r="B10" s="8" t="s">
        <v>889</v>
      </c>
      <c r="C10" s="8" t="s">
        <v>98</v>
      </c>
      <c r="D10" s="8" t="s">
        <v>99</v>
      </c>
      <c r="E10" s="8" t="s">
        <v>717</v>
      </c>
      <c r="F10" s="8" t="s">
        <v>718</v>
      </c>
      <c r="G10" s="6">
        <v>43129</v>
      </c>
      <c r="H10" s="6">
        <v>43129</v>
      </c>
      <c r="I10" s="4">
        <v>-900</v>
      </c>
      <c r="J10" s="8" t="s">
        <v>36</v>
      </c>
      <c r="K10" s="8" t="s">
        <v>893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 x14ac:dyDescent="0.25">
      <c r="A11" s="8" t="s">
        <v>215</v>
      </c>
      <c r="B11" s="8" t="s">
        <v>889</v>
      </c>
      <c r="C11" s="8" t="s">
        <v>60</v>
      </c>
      <c r="D11" s="8" t="s">
        <v>87</v>
      </c>
      <c r="E11" s="8" t="s">
        <v>717</v>
      </c>
      <c r="F11" s="8" t="s">
        <v>718</v>
      </c>
      <c r="G11" s="6">
        <v>43129</v>
      </c>
      <c r="H11" s="6">
        <v>43129</v>
      </c>
      <c r="I11" s="4">
        <v>-1000</v>
      </c>
      <c r="J11" s="8" t="s">
        <v>36</v>
      </c>
      <c r="K11" s="8" t="s">
        <v>897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 x14ac:dyDescent="0.25">
      <c r="A12" s="8" t="s">
        <v>215</v>
      </c>
      <c r="B12" s="8" t="s">
        <v>879</v>
      </c>
      <c r="C12" s="8" t="s">
        <v>731</v>
      </c>
      <c r="D12" s="8" t="s">
        <v>179</v>
      </c>
      <c r="E12" s="8" t="s">
        <v>717</v>
      </c>
      <c r="F12" s="8" t="s">
        <v>719</v>
      </c>
      <c r="G12" s="6">
        <v>43118</v>
      </c>
      <c r="H12" s="6">
        <v>43129</v>
      </c>
      <c r="I12" s="4">
        <v>-682.5</v>
      </c>
      <c r="J12" s="8" t="s">
        <v>35</v>
      </c>
      <c r="K12" s="8" t="s">
        <v>881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 x14ac:dyDescent="0.25">
      <c r="A13" s="8" t="s">
        <v>215</v>
      </c>
      <c r="B13" s="8" t="s">
        <v>879</v>
      </c>
      <c r="C13" s="8" t="s">
        <v>731</v>
      </c>
      <c r="D13" s="8" t="s">
        <v>179</v>
      </c>
      <c r="E13" s="8" t="s">
        <v>717</v>
      </c>
      <c r="F13" s="8" t="s">
        <v>719</v>
      </c>
      <c r="G13" s="6">
        <v>43129</v>
      </c>
      <c r="H13" s="6">
        <v>43129</v>
      </c>
      <c r="I13" s="4">
        <v>195</v>
      </c>
      <c r="J13" s="8" t="s">
        <v>35</v>
      </c>
      <c r="K13" s="8" t="s">
        <v>881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 x14ac:dyDescent="0.25">
      <c r="A14" s="8" t="s">
        <v>215</v>
      </c>
      <c r="B14" s="8" t="s">
        <v>911</v>
      </c>
      <c r="C14" s="8" t="s">
        <v>63</v>
      </c>
      <c r="D14" s="8" t="s">
        <v>367</v>
      </c>
      <c r="E14" s="8" t="s">
        <v>717</v>
      </c>
      <c r="F14" s="8" t="s">
        <v>719</v>
      </c>
      <c r="G14" s="6">
        <v>43130</v>
      </c>
      <c r="H14" s="6">
        <v>43130</v>
      </c>
      <c r="I14" s="4">
        <v>84</v>
      </c>
      <c r="J14" s="8" t="s">
        <v>34</v>
      </c>
      <c r="K14" s="8" t="s">
        <v>913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 x14ac:dyDescent="0.25">
      <c r="A15" s="8" t="s">
        <v>215</v>
      </c>
      <c r="B15" s="8" t="s">
        <v>914</v>
      </c>
      <c r="C15" s="8" t="s">
        <v>63</v>
      </c>
      <c r="D15" s="8" t="s">
        <v>367</v>
      </c>
      <c r="E15" s="8" t="s">
        <v>717</v>
      </c>
      <c r="F15" s="8" t="s">
        <v>719</v>
      </c>
      <c r="G15" s="6">
        <v>43130</v>
      </c>
      <c r="H15" s="6">
        <v>43130</v>
      </c>
      <c r="I15" s="4">
        <v>-84</v>
      </c>
      <c r="J15" s="8" t="s">
        <v>34</v>
      </c>
      <c r="K15" s="8" t="s">
        <v>916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 x14ac:dyDescent="0.25">
      <c r="A16" s="8" t="s">
        <v>215</v>
      </c>
      <c r="B16" s="8" t="s">
        <v>921</v>
      </c>
      <c r="C16" s="8" t="s">
        <v>98</v>
      </c>
      <c r="D16" s="8" t="s">
        <v>99</v>
      </c>
      <c r="E16" s="8" t="s">
        <v>717</v>
      </c>
      <c r="F16" s="8" t="s">
        <v>718</v>
      </c>
      <c r="G16" s="6">
        <v>43131</v>
      </c>
      <c r="H16" s="6">
        <v>43131</v>
      </c>
      <c r="I16" s="4">
        <v>3750</v>
      </c>
      <c r="J16" s="8" t="s">
        <v>36</v>
      </c>
      <c r="K16" s="8" t="s">
        <v>922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 x14ac:dyDescent="0.25">
      <c r="A17" s="8" t="s">
        <v>536</v>
      </c>
      <c r="B17" s="8" t="s">
        <v>863</v>
      </c>
      <c r="C17" s="8" t="s">
        <v>53</v>
      </c>
      <c r="D17" s="8" t="s">
        <v>117</v>
      </c>
      <c r="E17" s="8" t="s">
        <v>717</v>
      </c>
      <c r="F17" s="8" t="s">
        <v>718</v>
      </c>
      <c r="G17" s="6">
        <v>43123</v>
      </c>
      <c r="H17" s="6">
        <v>43130</v>
      </c>
      <c r="I17" s="4">
        <v>1160</v>
      </c>
      <c r="J17" s="8" t="s">
        <v>36</v>
      </c>
      <c r="K17" s="8" t="s">
        <v>888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 x14ac:dyDescent="0.25">
      <c r="A18" s="8" t="s">
        <v>536</v>
      </c>
      <c r="B18" s="8" t="s">
        <v>863</v>
      </c>
      <c r="C18" s="8" t="s">
        <v>53</v>
      </c>
      <c r="D18" s="8" t="s">
        <v>117</v>
      </c>
      <c r="E18" s="8" t="s">
        <v>717</v>
      </c>
      <c r="F18" s="8" t="s">
        <v>718</v>
      </c>
      <c r="G18" s="6">
        <v>43130</v>
      </c>
      <c r="H18" s="6">
        <v>43130</v>
      </c>
      <c r="I18" s="4">
        <v>2460</v>
      </c>
      <c r="J18" s="8" t="s">
        <v>36</v>
      </c>
      <c r="K18" s="8" t="s">
        <v>888</v>
      </c>
      <c r="L18" s="4" t="str">
        <f>IF(AtlasReport_1_Table_1[[#This Row],[Reference]]="Purchase order",_xll.AtlasFormulas.AtlasFunctions.AtlasTable("UAT",DataAreaId,"T.VendInvoiceTrans","%RecId","","","","","","","ItemId|PurchID|InventTransId",$C18,$B18,$K18),"")</f>
        <v/>
      </c>
      <c r="M18" s="4" t="str">
        <f>IF(AtlasReport_1_Table_1[[#This Row],[Reference]]="Purchase order",_xll.AtlasFormulas.AtlasFunctions.AtlasTable("UAT",DataAreaId,"T.MarkupTrans","%CurrencyCode","","","","","","","MarkupCode|TransRecId|TransTableId","TPP",$L18,"492"),"")</f>
        <v/>
      </c>
      <c r="N18" s="4" t="str">
        <f>IF(AtlasReport_1_Table_1[[#This Row],[Reference]]="Purchase order",_xll.AtlasFormulas.AtlasFunctions.AtlasBalance("UAT",DataAreaId,"T.MarkupTrans","Sum|Posted|0","","","","","","","MarkupCode|TransTableId|TransRecId","TPP","492",$L18),"")</f>
        <v/>
      </c>
    </row>
    <row r="19" spans="1:14" x14ac:dyDescent="0.25">
      <c r="A19" s="8" t="s">
        <v>17</v>
      </c>
      <c r="B19" s="8" t="s">
        <v>870</v>
      </c>
      <c r="C19" s="8" t="s">
        <v>720</v>
      </c>
      <c r="D19" s="8" t="s">
        <v>774</v>
      </c>
      <c r="E19" s="8" t="s">
        <v>717</v>
      </c>
      <c r="F19" s="8" t="s">
        <v>719</v>
      </c>
      <c r="G19" s="6">
        <v>43131</v>
      </c>
      <c r="H19" s="6">
        <v>43131</v>
      </c>
      <c r="I19" s="4">
        <v>955</v>
      </c>
      <c r="J19" s="8" t="s">
        <v>34</v>
      </c>
      <c r="K19" s="8" t="s">
        <v>872</v>
      </c>
      <c r="L19" s="4" t="str">
        <f>IF(AtlasReport_1_Table_1[[#This Row],[Reference]]="Purchase order",_xll.AtlasFormulas.AtlasFunctions.AtlasTable("UAT",DataAreaId,"T.VendInvoiceTrans","%RecId","","","","","","","ItemId|PurchID|InventTransId",$C19,$B19,$K19),"")</f>
        <v>5637299408</v>
      </c>
      <c r="M19" s="4" t="str">
        <f>IF(AtlasReport_1_Table_1[[#This Row],[Reference]]="Purchase order",_xll.AtlasFormulas.AtlasFunctions.AtlasTable("UAT",DataAreaId,"T.MarkupTrans","%CurrencyCode","","","","","","","MarkupCode|TransRecId|TransTableId","TPP",$L19,"492"),"")</f>
        <v/>
      </c>
      <c r="N19" s="4">
        <f>IF(AtlasReport_1_Table_1[[#This Row],[Reference]]="Purchase order",_xll.AtlasFormulas.AtlasFunctions.AtlasBalance("UAT",DataAreaId,"T.MarkupTrans","Sum|Posted|0","","","","","","","MarkupCode|TransTableId|TransRecId","TPP","492",$L19),"")</f>
        <v>0</v>
      </c>
    </row>
    <row r="20" spans="1:14" x14ac:dyDescent="0.25">
      <c r="A20" s="8" t="s">
        <v>17</v>
      </c>
      <c r="B20" s="8" t="s">
        <v>867</v>
      </c>
      <c r="C20" s="8" t="s">
        <v>716</v>
      </c>
      <c r="D20" s="8" t="s">
        <v>769</v>
      </c>
      <c r="E20" s="8" t="s">
        <v>717</v>
      </c>
      <c r="F20" s="8" t="s">
        <v>718</v>
      </c>
      <c r="G20" s="6">
        <v>43130</v>
      </c>
      <c r="H20" s="6">
        <v>43130</v>
      </c>
      <c r="I20" s="4">
        <v>310</v>
      </c>
      <c r="J20" s="8" t="s">
        <v>111</v>
      </c>
      <c r="K20" s="8" t="s">
        <v>869</v>
      </c>
      <c r="L20" s="4" t="str">
        <f>IF(AtlasReport_1_Table_1[[#This Row],[Reference]]="Purchase order",_xll.AtlasFormulas.AtlasFunctions.AtlasTable("UAT",DataAreaId,"T.VendInvoiceTrans","%RecId","","","","","","","ItemId|PurchID|InventTransId",$C20,$B20,$K20),"")</f>
        <v>5637299404</v>
      </c>
      <c r="M20" s="4" t="str">
        <f>IF(AtlasReport_1_Table_1[[#This Row],[Reference]]="Purchase order",_xll.AtlasFormulas.AtlasFunctions.AtlasTable("UAT",DataAreaId,"T.MarkupTrans","%CurrencyCode","","","","","","","MarkupCode|TransRecId|TransTableId","TPP",$L20,"492"),"")</f>
        <v/>
      </c>
      <c r="N20" s="4">
        <f>IF(AtlasReport_1_Table_1[[#This Row],[Reference]]="Purchase order",_xll.AtlasFormulas.AtlasFunctions.AtlasBalance("UAT",DataAreaId,"T.MarkupTrans","Sum|Posted|0","","","","","","","MarkupCode|TransTableId|TransRecId","TPP","492",$L20),"")</f>
        <v>0</v>
      </c>
    </row>
    <row r="21" spans="1:14" x14ac:dyDescent="0.25">
      <c r="A21" s="8" t="s">
        <v>17</v>
      </c>
      <c r="B21" s="8" t="s">
        <v>904</v>
      </c>
      <c r="C21" s="8" t="s">
        <v>737</v>
      </c>
      <c r="D21" s="8" t="s">
        <v>812</v>
      </c>
      <c r="E21" s="8" t="s">
        <v>717</v>
      </c>
      <c r="F21" s="8" t="s">
        <v>718</v>
      </c>
      <c r="G21" s="6">
        <v>43130</v>
      </c>
      <c r="H21" s="6">
        <v>43130</v>
      </c>
      <c r="I21" s="4">
        <v>17</v>
      </c>
      <c r="J21" s="8" t="s">
        <v>111</v>
      </c>
      <c r="K21" s="8" t="s">
        <v>906</v>
      </c>
      <c r="L21" s="4" t="str">
        <f>IF(AtlasReport_1_Table_1[[#This Row],[Reference]]="Purchase order",_xll.AtlasFormulas.AtlasFunctions.AtlasTable("UAT",DataAreaId,"T.VendInvoiceTrans","%RecId","","","","","","","ItemId|PurchID|InventTransId",$C21,$B21,$K21),"")</f>
        <v>5637299405</v>
      </c>
      <c r="M21" s="4" t="str">
        <f>IF(AtlasReport_1_Table_1[[#This Row],[Reference]]="Purchase order",_xll.AtlasFormulas.AtlasFunctions.AtlasTable("UAT",DataAreaId,"T.MarkupTrans","%CurrencyCode","","","","","","","MarkupCode|TransRecId|TransTableId","TPP",$L21,"492"),"")</f>
        <v/>
      </c>
      <c r="N21" s="4">
        <f>IF(AtlasReport_1_Table_1[[#This Row],[Reference]]="Purchase order",_xll.AtlasFormulas.AtlasFunctions.AtlasBalance("UAT",DataAreaId,"T.MarkupTrans","Sum|Posted|0","","","","","","","MarkupCode|TransTableId|TransRecId","TPP","492",$L21),"")</f>
        <v>0</v>
      </c>
    </row>
    <row r="22" spans="1:14" x14ac:dyDescent="0.25">
      <c r="A22" s="8" t="s">
        <v>17</v>
      </c>
      <c r="B22" s="8" t="s">
        <v>898</v>
      </c>
      <c r="C22" s="8" t="s">
        <v>734</v>
      </c>
      <c r="D22" s="8" t="s">
        <v>803</v>
      </c>
      <c r="E22" s="8" t="s">
        <v>717</v>
      </c>
      <c r="F22" s="8" t="s">
        <v>718</v>
      </c>
      <c r="G22" s="6">
        <v>43130</v>
      </c>
      <c r="H22" s="6">
        <v>43130</v>
      </c>
      <c r="I22" s="4">
        <v>25</v>
      </c>
      <c r="J22" s="8" t="s">
        <v>111</v>
      </c>
      <c r="K22" s="8" t="s">
        <v>900</v>
      </c>
      <c r="L22" s="4" t="str">
        <f>IF(AtlasReport_1_Table_1[[#This Row],[Reference]]="Purchase order",_xll.AtlasFormulas.AtlasFunctions.AtlasTable("UAT",DataAreaId,"T.VendInvoiceTrans","%RecId","","","","","","","ItemId|PurchID|InventTransId",$C22,$B22,$K22),"")</f>
        <v>5637299406</v>
      </c>
      <c r="M22" s="4" t="str">
        <f>IF(AtlasReport_1_Table_1[[#This Row],[Reference]]="Purchase order",_xll.AtlasFormulas.AtlasFunctions.AtlasTable("UAT",DataAreaId,"T.MarkupTrans","%CurrencyCode","","","","","","","MarkupCode|TransRecId|TransTableId","TPP",$L22,"492"),"")</f>
        <v/>
      </c>
      <c r="N22" s="4">
        <f>IF(AtlasReport_1_Table_1[[#This Row],[Reference]]="Purchase order",_xll.AtlasFormulas.AtlasFunctions.AtlasBalance("UAT",DataAreaId,"T.MarkupTrans","Sum|Posted|0","","","","","","","MarkupCode|TransTableId|TransRecId","TPP","492",$L22),"")</f>
        <v>0</v>
      </c>
    </row>
    <row r="23" spans="1:14" x14ac:dyDescent="0.25">
      <c r="A23" s="8" t="s">
        <v>17</v>
      </c>
      <c r="B23" s="8" t="s">
        <v>898</v>
      </c>
      <c r="C23" s="8" t="s">
        <v>738</v>
      </c>
      <c r="D23" s="8" t="s">
        <v>813</v>
      </c>
      <c r="E23" s="8" t="s">
        <v>717</v>
      </c>
      <c r="F23" s="8" t="s">
        <v>718</v>
      </c>
      <c r="G23" s="6">
        <v>43130</v>
      </c>
      <c r="H23" s="6">
        <v>43130</v>
      </c>
      <c r="I23" s="4">
        <v>50</v>
      </c>
      <c r="J23" s="8" t="s">
        <v>111</v>
      </c>
      <c r="K23" s="8" t="s">
        <v>908</v>
      </c>
      <c r="L23" s="4" t="str">
        <f>IF(AtlasReport_1_Table_1[[#This Row],[Reference]]="Purchase order",_xll.AtlasFormulas.AtlasFunctions.AtlasTable("UAT",DataAreaId,"T.VendInvoiceTrans","%RecId","","","","","","","ItemId|PurchID|InventTransId",$C23,$B23,$K23),"")</f>
        <v>5637299407</v>
      </c>
      <c r="M23" s="4" t="str">
        <f>IF(AtlasReport_1_Table_1[[#This Row],[Reference]]="Purchase order",_xll.AtlasFormulas.AtlasFunctions.AtlasTable("UAT",DataAreaId,"T.MarkupTrans","%CurrencyCode","","","","","","","MarkupCode|TransRecId|TransTableId","TPP",$L23,"492"),"")</f>
        <v/>
      </c>
      <c r="N23" s="4">
        <f>IF(AtlasReport_1_Table_1[[#This Row],[Reference]]="Purchase order",_xll.AtlasFormulas.AtlasFunctions.AtlasBalance("UAT",DataAreaId,"T.MarkupTrans","Sum|Posted|0","","","","","","","MarkupCode|TransTableId|TransRecId","TPP","492",$L23),"")</f>
        <v>0</v>
      </c>
    </row>
    <row r="24" spans="1:14" x14ac:dyDescent="0.25">
      <c r="A24" s="8" t="s">
        <v>17</v>
      </c>
      <c r="B24" s="8" t="s">
        <v>918</v>
      </c>
      <c r="C24" s="8" t="s">
        <v>747</v>
      </c>
      <c r="D24" s="8" t="s">
        <v>835</v>
      </c>
      <c r="E24" s="8" t="s">
        <v>717</v>
      </c>
      <c r="F24" s="8" t="s">
        <v>718</v>
      </c>
      <c r="G24" s="6">
        <v>43131</v>
      </c>
      <c r="H24" s="6">
        <v>43131</v>
      </c>
      <c r="I24" s="4">
        <v>2070</v>
      </c>
      <c r="J24" s="8" t="s">
        <v>111</v>
      </c>
      <c r="K24" s="8" t="s">
        <v>920</v>
      </c>
      <c r="L24" s="4" t="str">
        <f>IF(AtlasReport_1_Table_1[[#This Row],[Reference]]="Purchase order",_xll.AtlasFormulas.AtlasFunctions.AtlasTable("UAT",DataAreaId,"T.VendInvoiceTrans","%RecId","","","","","","","ItemId|PurchID|InventTransId",$C24,$B24,$K24),"")</f>
        <v>5637299409</v>
      </c>
      <c r="M24" s="4" t="str">
        <f>IF(AtlasReport_1_Table_1[[#This Row],[Reference]]="Purchase order",_xll.AtlasFormulas.AtlasFunctions.AtlasTable("UAT",DataAreaId,"T.MarkupTrans","%CurrencyCode","","","","","","","MarkupCode|TransRecId|TransTableId","TPP",$L24,"492"),"")</f>
        <v/>
      </c>
      <c r="N24" s="4">
        <f>IF(AtlasReport_1_Table_1[[#This Row],[Reference]]="Purchase order",_xll.AtlasFormulas.AtlasFunctions.AtlasBalance("UAT",DataAreaId,"T.MarkupTrans","Sum|Posted|0","","","","","","","MarkupCode|TransTableId|TransRecId","TPP","492",$L24),"")</f>
        <v>0</v>
      </c>
    </row>
    <row r="25" spans="1:14" x14ac:dyDescent="0.25">
      <c r="A25" s="8" t="s">
        <v>672</v>
      </c>
      <c r="B25" s="8" t="s">
        <v>73</v>
      </c>
      <c r="C25" s="8" t="s">
        <v>716</v>
      </c>
      <c r="D25" s="8" t="s">
        <v>769</v>
      </c>
      <c r="E25" s="8" t="s">
        <v>717</v>
      </c>
      <c r="F25" s="8" t="s">
        <v>73</v>
      </c>
      <c r="G25" s="6">
        <v>43130</v>
      </c>
      <c r="H25" s="6">
        <v>43130</v>
      </c>
      <c r="I25" s="4">
        <v>0</v>
      </c>
      <c r="J25" s="8" t="s">
        <v>111</v>
      </c>
      <c r="K25" s="8" t="s">
        <v>923</v>
      </c>
      <c r="L25" s="4" t="str">
        <f>IF(AtlasReport_1_Table_1[[#This Row],[Reference]]="Purchase order",_xll.AtlasFormulas.AtlasFunctions.AtlasTable("UAT",DataAreaId,"T.VendInvoiceTrans","%RecId","","","","","","","ItemId|PurchID|InventTransId",$C25,$B25,$K25),"")</f>
        <v/>
      </c>
      <c r="M25" s="4" t="str">
        <f>IF(AtlasReport_1_Table_1[[#This Row],[Reference]]="Purchase order",_xll.AtlasFormulas.AtlasFunctions.AtlasTable("UAT",DataAreaId,"T.MarkupTrans","%CurrencyCode","","","","","","","MarkupCode|TransRecId|TransTableId","TPP",$L25,"492"),"")</f>
        <v/>
      </c>
      <c r="N25" s="4" t="str">
        <f>IF(AtlasReport_1_Table_1[[#This Row],[Reference]]="Purchase order",_xll.AtlasFormulas.AtlasFunctions.AtlasBalance("UAT",DataAreaId,"T.MarkupTrans","Sum|Posted|0","","","","","","","MarkupCode|TransTableId|TransRecId","TPP","492",$L25),"")</f>
        <v/>
      </c>
    </row>
    <row r="26" spans="1:14" x14ac:dyDescent="0.25">
      <c r="A26" s="8" t="s">
        <v>672</v>
      </c>
      <c r="B26" s="8" t="s">
        <v>73</v>
      </c>
      <c r="C26" s="8" t="s">
        <v>18</v>
      </c>
      <c r="D26" s="8" t="s">
        <v>174</v>
      </c>
      <c r="E26" s="8" t="s">
        <v>717</v>
      </c>
      <c r="F26" s="8" t="s">
        <v>73</v>
      </c>
      <c r="G26" s="6">
        <v>43131</v>
      </c>
      <c r="H26" s="6">
        <v>43131</v>
      </c>
      <c r="I26" s="4">
        <v>0</v>
      </c>
      <c r="J26" s="8" t="s">
        <v>35</v>
      </c>
      <c r="K26" s="8" t="s">
        <v>924</v>
      </c>
      <c r="L26" s="4" t="str">
        <f>IF(AtlasReport_1_Table_1[[#This Row],[Reference]]="Purchase order",_xll.AtlasFormulas.AtlasFunctions.AtlasTable("UAT",DataAreaId,"T.VendInvoiceTrans","%RecId","","","","","","","ItemId|PurchID|InventTransId",$C26,$B26,$K26),"")</f>
        <v/>
      </c>
      <c r="M26" s="4" t="str">
        <f>IF(AtlasReport_1_Table_1[[#This Row],[Reference]]="Purchase order",_xll.AtlasFormulas.AtlasFunctions.AtlasTable("UAT",DataAreaId,"T.MarkupTrans","%CurrencyCode","","","","","","","MarkupCode|TransRecId|TransTableId","TPP",$L26,"492"),"")</f>
        <v/>
      </c>
      <c r="N26" s="4" t="str">
        <f>IF(AtlasReport_1_Table_1[[#This Row],[Reference]]="Purchase order",_xll.AtlasFormulas.AtlasFunctions.AtlasBalance("UAT",DataAreaId,"T.MarkupTrans","Sum|Posted|0","","","","","","","MarkupCode|TransTableId|TransRecId","TPP","492",$L26),"")</f>
        <v/>
      </c>
    </row>
    <row r="27" spans="1:14" x14ac:dyDescent="0.25">
      <c r="A27" s="8" t="s">
        <v>672</v>
      </c>
      <c r="B27" s="8" t="s">
        <v>73</v>
      </c>
      <c r="C27" s="8" t="s">
        <v>734</v>
      </c>
      <c r="D27" s="8" t="s">
        <v>803</v>
      </c>
      <c r="E27" s="8" t="s">
        <v>717</v>
      </c>
      <c r="F27" s="8" t="s">
        <v>73</v>
      </c>
      <c r="G27" s="6">
        <v>43130</v>
      </c>
      <c r="H27" s="6">
        <v>43130</v>
      </c>
      <c r="I27" s="4">
        <v>0</v>
      </c>
      <c r="J27" s="8" t="s">
        <v>111</v>
      </c>
      <c r="K27" s="8" t="s">
        <v>925</v>
      </c>
      <c r="L27" s="4" t="str">
        <f>IF(AtlasReport_1_Table_1[[#This Row],[Reference]]="Purchase order",_xll.AtlasFormulas.AtlasFunctions.AtlasTable("UAT",DataAreaId,"T.VendInvoiceTrans","%RecId","","","","","","","ItemId|PurchID|InventTransId",$C27,$B27,$K27),"")</f>
        <v/>
      </c>
      <c r="M27" s="4" t="str">
        <f>IF(AtlasReport_1_Table_1[[#This Row],[Reference]]="Purchase order",_xll.AtlasFormulas.AtlasFunctions.AtlasTable("UAT",DataAreaId,"T.MarkupTrans","%CurrencyCode","","","","","","","MarkupCode|TransRecId|TransTableId","TPP",$L27,"492"),"")</f>
        <v/>
      </c>
      <c r="N27" s="4" t="str">
        <f>IF(AtlasReport_1_Table_1[[#This Row],[Reference]]="Purchase order",_xll.AtlasFormulas.AtlasFunctions.AtlasBalance("UAT",DataAreaId,"T.MarkupTrans","Sum|Posted|0","","","","","","","MarkupCode|TransTableId|TransRecId","TPP","492",$L27),"")</f>
        <v/>
      </c>
    </row>
    <row r="28" spans="1:14" x14ac:dyDescent="0.25">
      <c r="A28" s="8" t="s">
        <v>672</v>
      </c>
      <c r="B28" s="8" t="s">
        <v>73</v>
      </c>
      <c r="C28" s="8" t="s">
        <v>737</v>
      </c>
      <c r="D28" s="8" t="s">
        <v>812</v>
      </c>
      <c r="E28" s="8" t="s">
        <v>717</v>
      </c>
      <c r="F28" s="8" t="s">
        <v>73</v>
      </c>
      <c r="G28" s="6">
        <v>43130</v>
      </c>
      <c r="H28" s="6">
        <v>43130</v>
      </c>
      <c r="I28" s="4">
        <v>0</v>
      </c>
      <c r="J28" s="8" t="s">
        <v>111</v>
      </c>
      <c r="K28" s="8" t="s">
        <v>926</v>
      </c>
      <c r="L28" s="4" t="str">
        <f>IF(AtlasReport_1_Table_1[[#This Row],[Reference]]="Purchase order",_xll.AtlasFormulas.AtlasFunctions.AtlasTable("UAT",DataAreaId,"T.VendInvoiceTrans","%RecId","","","","","","","ItemId|PurchID|InventTransId",$C28,$B28,$K28),"")</f>
        <v/>
      </c>
      <c r="M28" s="4" t="str">
        <f>IF(AtlasReport_1_Table_1[[#This Row],[Reference]]="Purchase order",_xll.AtlasFormulas.AtlasFunctions.AtlasTable("UAT",DataAreaId,"T.MarkupTrans","%CurrencyCode","","","","","","","MarkupCode|TransRecId|TransTableId","TPP",$L28,"492"),"")</f>
        <v/>
      </c>
      <c r="N28" s="4" t="str">
        <f>IF(AtlasReport_1_Table_1[[#This Row],[Reference]]="Purchase order",_xll.AtlasFormulas.AtlasFunctions.AtlasBalance("UAT",DataAreaId,"T.MarkupTrans","Sum|Posted|0","","","","","","","MarkupCode|TransTableId|TransRecId","TPP","492",$L28),"")</f>
        <v/>
      </c>
    </row>
    <row r="29" spans="1:14" x14ac:dyDescent="0.25">
      <c r="A29" s="8" t="s">
        <v>672</v>
      </c>
      <c r="B29" s="8" t="s">
        <v>73</v>
      </c>
      <c r="C29" s="8" t="s">
        <v>738</v>
      </c>
      <c r="D29" s="8" t="s">
        <v>813</v>
      </c>
      <c r="E29" s="8" t="s">
        <v>717</v>
      </c>
      <c r="F29" s="8" t="s">
        <v>73</v>
      </c>
      <c r="G29" s="6">
        <v>43130</v>
      </c>
      <c r="H29" s="6">
        <v>43130</v>
      </c>
      <c r="I29" s="4">
        <v>0</v>
      </c>
      <c r="J29" s="8" t="s">
        <v>111</v>
      </c>
      <c r="K29" s="8" t="s">
        <v>927</v>
      </c>
      <c r="L29" s="4" t="str">
        <f>IF(AtlasReport_1_Table_1[[#This Row],[Reference]]="Purchase order",_xll.AtlasFormulas.AtlasFunctions.AtlasTable("UAT",DataAreaId,"T.VendInvoiceTrans","%RecId","","","","","","","ItemId|PurchID|InventTransId",$C29,$B29,$K29),"")</f>
        <v/>
      </c>
      <c r="M29" s="4" t="str">
        <f>IF(AtlasReport_1_Table_1[[#This Row],[Reference]]="Purchase order",_xll.AtlasFormulas.AtlasFunctions.AtlasTable("UAT",DataAreaId,"T.MarkupTrans","%CurrencyCode","","","","","","","MarkupCode|TransRecId|TransTableId","TPP",$L29,"492"),"")</f>
        <v/>
      </c>
      <c r="N29" s="4" t="str">
        <f>IF(AtlasReport_1_Table_1[[#This Row],[Reference]]="Purchase order",_xll.AtlasFormulas.AtlasFunctions.AtlasBalance("UAT",DataAreaId,"T.MarkupTrans","Sum|Posted|0","","","","","","","MarkupCode|TransTableId|TransRecId","TPP","492",$L29),"")</f>
        <v/>
      </c>
    </row>
    <row r="30" spans="1:14" x14ac:dyDescent="0.25">
      <c r="A30" s="8" t="s">
        <v>672</v>
      </c>
      <c r="B30" s="8" t="s">
        <v>73</v>
      </c>
      <c r="C30" s="8" t="s">
        <v>63</v>
      </c>
      <c r="D30" s="8" t="s">
        <v>367</v>
      </c>
      <c r="E30" s="8" t="s">
        <v>717</v>
      </c>
      <c r="F30" s="8" t="s">
        <v>73</v>
      </c>
      <c r="G30" s="6">
        <v>43130</v>
      </c>
      <c r="H30" s="6">
        <v>43130</v>
      </c>
      <c r="I30" s="4">
        <v>0</v>
      </c>
      <c r="J30" s="8" t="s">
        <v>34</v>
      </c>
      <c r="K30" s="8" t="s">
        <v>928</v>
      </c>
      <c r="L30" s="4" t="str">
        <f>IF(AtlasReport_1_Table_1[[#This Row],[Reference]]="Purchase order",_xll.AtlasFormulas.AtlasFunctions.AtlasTable("UAT",DataAreaId,"T.VendInvoiceTrans","%RecId","","","","","","","ItemId|PurchID|InventTransId",$C30,$B30,$K30),"")</f>
        <v/>
      </c>
      <c r="M30" s="4" t="str">
        <f>IF(AtlasReport_1_Table_1[[#This Row],[Reference]]="Purchase order",_xll.AtlasFormulas.AtlasFunctions.AtlasTable("UAT",DataAreaId,"T.MarkupTrans","%CurrencyCode","","","","","","","MarkupCode|TransRecId|TransTableId","TPP",$L30,"492"),"")</f>
        <v/>
      </c>
      <c r="N30" s="4" t="str">
        <f>IF(AtlasReport_1_Table_1[[#This Row],[Reference]]="Purchase order",_xll.AtlasFormulas.AtlasFunctions.AtlasBalance("UAT",DataAreaId,"T.MarkupTrans","Sum|Posted|0","","","","","","","MarkupCode|TransTableId|TransRecId","TPP","492",$L30),"")</f>
        <v/>
      </c>
    </row>
    <row r="31" spans="1:14" x14ac:dyDescent="0.25">
      <c r="A31" s="8" t="s">
        <v>368</v>
      </c>
      <c r="B31" s="8" t="s">
        <v>863</v>
      </c>
      <c r="C31" s="8" t="s">
        <v>716</v>
      </c>
      <c r="D31" s="8" t="s">
        <v>769</v>
      </c>
      <c r="E31" s="8" t="s">
        <v>717</v>
      </c>
      <c r="F31" s="8" t="s">
        <v>718</v>
      </c>
      <c r="G31" s="6">
        <v>43130</v>
      </c>
      <c r="H31" s="6">
        <v>43130</v>
      </c>
      <c r="I31" s="4">
        <v>-25</v>
      </c>
      <c r="J31" s="8" t="s">
        <v>111</v>
      </c>
      <c r="K31" s="8" t="s">
        <v>865</v>
      </c>
      <c r="L31" s="4" t="str">
        <f>IF(AtlasReport_1_Table_1[[#This Row],[Reference]]="Purchase order",_xll.AtlasFormulas.AtlasFunctions.AtlasTable("UAT",DataAreaId,"T.VendInvoiceTrans","%RecId","","","","","","","ItemId|PurchID|InventTransId",$C31,$B31,$K31),"")</f>
        <v/>
      </c>
      <c r="M31" s="4" t="str">
        <f>IF(AtlasReport_1_Table_1[[#This Row],[Reference]]="Purchase order",_xll.AtlasFormulas.AtlasFunctions.AtlasTable("UAT",DataAreaId,"T.MarkupTrans","%CurrencyCode","","","","","","","MarkupCode|TransRecId|TransTableId","TPP",$L31,"492"),"")</f>
        <v/>
      </c>
      <c r="N31" s="4" t="str">
        <f>IF(AtlasReport_1_Table_1[[#This Row],[Reference]]="Purchase order",_xll.AtlasFormulas.AtlasFunctions.AtlasBalance("UAT",DataAreaId,"T.MarkupTrans","Sum|Posted|0","","","","","","","MarkupCode|TransTableId|TransRecId","TPP","492",$L31),"")</f>
        <v/>
      </c>
    </row>
    <row r="32" spans="1:14" x14ac:dyDescent="0.25">
      <c r="A32" s="8" t="s">
        <v>368</v>
      </c>
      <c r="B32" s="8" t="s">
        <v>863</v>
      </c>
      <c r="C32" s="8" t="s">
        <v>734</v>
      </c>
      <c r="D32" s="8" t="s">
        <v>803</v>
      </c>
      <c r="E32" s="8" t="s">
        <v>717</v>
      </c>
      <c r="F32" s="8" t="s">
        <v>718</v>
      </c>
      <c r="G32" s="6">
        <v>43123</v>
      </c>
      <c r="H32" s="6">
        <v>43130</v>
      </c>
      <c r="I32" s="4">
        <v>-0.15</v>
      </c>
      <c r="J32" s="8" t="s">
        <v>111</v>
      </c>
      <c r="K32" s="8" t="s">
        <v>901</v>
      </c>
      <c r="L32" s="4" t="str">
        <f>IF(AtlasReport_1_Table_1[[#This Row],[Reference]]="Purchase order",_xll.AtlasFormulas.AtlasFunctions.AtlasTable("UAT",DataAreaId,"T.VendInvoiceTrans","%RecId","","","","","","","ItemId|PurchID|InventTransId",$C32,$B32,$K32),"")</f>
        <v/>
      </c>
      <c r="M32" s="4" t="str">
        <f>IF(AtlasReport_1_Table_1[[#This Row],[Reference]]="Purchase order",_xll.AtlasFormulas.AtlasFunctions.AtlasTable("UAT",DataAreaId,"T.MarkupTrans","%CurrencyCode","","","","","","","MarkupCode|TransRecId|TransTableId","TPP",$L32,"492"),"")</f>
        <v/>
      </c>
      <c r="N32" s="4" t="str">
        <f>IF(AtlasReport_1_Table_1[[#This Row],[Reference]]="Purchase order",_xll.AtlasFormulas.AtlasFunctions.AtlasBalance("UAT",DataAreaId,"T.MarkupTrans","Sum|Posted|0","","","","","","","MarkupCode|TransTableId|TransRecId","TPP","492",$L32),"")</f>
        <v/>
      </c>
    </row>
    <row r="33" spans="1:14" x14ac:dyDescent="0.25">
      <c r="A33" s="8" t="s">
        <v>368</v>
      </c>
      <c r="B33" s="8" t="s">
        <v>863</v>
      </c>
      <c r="C33" s="8" t="s">
        <v>734</v>
      </c>
      <c r="D33" s="8" t="s">
        <v>803</v>
      </c>
      <c r="E33" s="8" t="s">
        <v>717</v>
      </c>
      <c r="F33" s="8" t="s">
        <v>718</v>
      </c>
      <c r="G33" s="6">
        <v>43130</v>
      </c>
      <c r="H33" s="6">
        <v>43130</v>
      </c>
      <c r="I33" s="4">
        <v>-0.43</v>
      </c>
      <c r="J33" s="8" t="s">
        <v>111</v>
      </c>
      <c r="K33" s="8" t="s">
        <v>901</v>
      </c>
      <c r="L33" s="4" t="str">
        <f>IF(AtlasReport_1_Table_1[[#This Row],[Reference]]="Purchase order",_xll.AtlasFormulas.AtlasFunctions.AtlasTable("UAT",DataAreaId,"T.VendInvoiceTrans","%RecId","","","","","","","ItemId|PurchID|InventTransId",$C33,$B33,$K33),"")</f>
        <v/>
      </c>
      <c r="M33" s="4" t="str">
        <f>IF(AtlasReport_1_Table_1[[#This Row],[Reference]]="Purchase order",_xll.AtlasFormulas.AtlasFunctions.AtlasTable("UAT",DataAreaId,"T.MarkupTrans","%CurrencyCode","","","","","","","MarkupCode|TransRecId|TransTableId","TPP",$L33,"492"),"")</f>
        <v/>
      </c>
      <c r="N33" s="4" t="str">
        <f>IF(AtlasReport_1_Table_1[[#This Row],[Reference]]="Purchase order",_xll.AtlasFormulas.AtlasFunctions.AtlasBalance("UAT",DataAreaId,"T.MarkupTrans","Sum|Posted|0","","","","","","","MarkupCode|TransTableId|TransRecId","TPP","492",$L33),"")</f>
        <v/>
      </c>
    </row>
    <row r="34" spans="1:14" x14ac:dyDescent="0.25">
      <c r="A34" s="8" t="s">
        <v>368</v>
      </c>
      <c r="B34" s="8" t="s">
        <v>863</v>
      </c>
      <c r="C34" s="8" t="s">
        <v>735</v>
      </c>
      <c r="D34" s="8" t="s">
        <v>804</v>
      </c>
      <c r="E34" s="8" t="s">
        <v>717</v>
      </c>
      <c r="F34" s="8" t="s">
        <v>718</v>
      </c>
      <c r="G34" s="6">
        <v>43123</v>
      </c>
      <c r="H34" s="6">
        <v>43130</v>
      </c>
      <c r="I34" s="4">
        <v>-0.39</v>
      </c>
      <c r="J34" s="8" t="s">
        <v>111</v>
      </c>
      <c r="K34" s="8" t="s">
        <v>902</v>
      </c>
      <c r="L34" s="4" t="str">
        <f>IF(AtlasReport_1_Table_1[[#This Row],[Reference]]="Purchase order",_xll.AtlasFormulas.AtlasFunctions.AtlasTable("UAT",DataAreaId,"T.VendInvoiceTrans","%RecId","","","","","","","ItemId|PurchID|InventTransId",$C34,$B34,$K34),"")</f>
        <v/>
      </c>
      <c r="M34" s="4" t="str">
        <f>IF(AtlasReport_1_Table_1[[#This Row],[Reference]]="Purchase order",_xll.AtlasFormulas.AtlasFunctions.AtlasTable("UAT",DataAreaId,"T.MarkupTrans","%CurrencyCode","","","","","","","MarkupCode|TransRecId|TransTableId","TPP",$L34,"492"),"")</f>
        <v/>
      </c>
      <c r="N34" s="4" t="str">
        <f>IF(AtlasReport_1_Table_1[[#This Row],[Reference]]="Purchase order",_xll.AtlasFormulas.AtlasFunctions.AtlasBalance("UAT",DataAreaId,"T.MarkupTrans","Sum|Posted|0","","","","","","","MarkupCode|TransTableId|TransRecId","TPP","492",$L34),"")</f>
        <v/>
      </c>
    </row>
    <row r="35" spans="1:14" x14ac:dyDescent="0.25">
      <c r="A35" s="8" t="s">
        <v>368</v>
      </c>
      <c r="B35" s="8" t="s">
        <v>863</v>
      </c>
      <c r="C35" s="8" t="s">
        <v>735</v>
      </c>
      <c r="D35" s="8" t="s">
        <v>804</v>
      </c>
      <c r="E35" s="8" t="s">
        <v>717</v>
      </c>
      <c r="F35" s="8" t="s">
        <v>718</v>
      </c>
      <c r="G35" s="6">
        <v>43130</v>
      </c>
      <c r="H35" s="6">
        <v>43130</v>
      </c>
      <c r="I35" s="4">
        <v>-0.63</v>
      </c>
      <c r="J35" s="8" t="s">
        <v>111</v>
      </c>
      <c r="K35" s="8" t="s">
        <v>902</v>
      </c>
      <c r="L35" s="4" t="str">
        <f>IF(AtlasReport_1_Table_1[[#This Row],[Reference]]="Purchase order",_xll.AtlasFormulas.AtlasFunctions.AtlasTable("UAT",DataAreaId,"T.VendInvoiceTrans","%RecId","","","","","","","ItemId|PurchID|InventTransId",$C35,$B35,$K35),"")</f>
        <v/>
      </c>
      <c r="M35" s="4" t="str">
        <f>IF(AtlasReport_1_Table_1[[#This Row],[Reference]]="Purchase order",_xll.AtlasFormulas.AtlasFunctions.AtlasTable("UAT",DataAreaId,"T.MarkupTrans","%CurrencyCode","","","","","","","MarkupCode|TransRecId|TransTableId","TPP",$L35,"492"),"")</f>
        <v/>
      </c>
      <c r="N35" s="4" t="str">
        <f>IF(AtlasReport_1_Table_1[[#This Row],[Reference]]="Purchase order",_xll.AtlasFormulas.AtlasFunctions.AtlasBalance("UAT",DataAreaId,"T.MarkupTrans","Sum|Posted|0","","","","","","","MarkupCode|TransTableId|TransRecId","TPP","492",$L35),"")</f>
        <v/>
      </c>
    </row>
    <row r="36" spans="1:14" x14ac:dyDescent="0.25">
      <c r="A36" s="8" t="s">
        <v>368</v>
      </c>
      <c r="B36" s="8" t="s">
        <v>863</v>
      </c>
      <c r="C36" s="8" t="s">
        <v>736</v>
      </c>
      <c r="D36" s="8" t="s">
        <v>811</v>
      </c>
      <c r="E36" s="8" t="s">
        <v>717</v>
      </c>
      <c r="F36" s="8" t="s">
        <v>718</v>
      </c>
      <c r="G36" s="6">
        <v>43123</v>
      </c>
      <c r="H36" s="6">
        <v>43130</v>
      </c>
      <c r="I36" s="4">
        <v>-0.23</v>
      </c>
      <c r="J36" s="8" t="s">
        <v>111</v>
      </c>
      <c r="K36" s="8" t="s">
        <v>903</v>
      </c>
      <c r="L36" s="4" t="str">
        <f>IF(AtlasReport_1_Table_1[[#This Row],[Reference]]="Purchase order",_xll.AtlasFormulas.AtlasFunctions.AtlasTable("UAT",DataAreaId,"T.VendInvoiceTrans","%RecId","","","","","","","ItemId|PurchID|InventTransId",$C36,$B36,$K36),"")</f>
        <v/>
      </c>
      <c r="M36" s="4" t="str">
        <f>IF(AtlasReport_1_Table_1[[#This Row],[Reference]]="Purchase order",_xll.AtlasFormulas.AtlasFunctions.AtlasTable("UAT",DataAreaId,"T.MarkupTrans","%CurrencyCode","","","","","","","MarkupCode|TransRecId|TransTableId","TPP",$L36,"492"),"")</f>
        <v/>
      </c>
      <c r="N36" s="4" t="str">
        <f>IF(AtlasReport_1_Table_1[[#This Row],[Reference]]="Purchase order",_xll.AtlasFormulas.AtlasFunctions.AtlasBalance("UAT",DataAreaId,"T.MarkupTrans","Sum|Posted|0","","","","","","","MarkupCode|TransTableId|TransRecId","TPP","492",$L36),"")</f>
        <v/>
      </c>
    </row>
    <row r="37" spans="1:14" x14ac:dyDescent="0.25">
      <c r="A37" s="8" t="s">
        <v>368</v>
      </c>
      <c r="B37" s="8" t="s">
        <v>863</v>
      </c>
      <c r="C37" s="8" t="s">
        <v>736</v>
      </c>
      <c r="D37" s="8" t="s">
        <v>811</v>
      </c>
      <c r="E37" s="8" t="s">
        <v>717</v>
      </c>
      <c r="F37" s="8" t="s">
        <v>718</v>
      </c>
      <c r="G37" s="6">
        <v>43130</v>
      </c>
      <c r="H37" s="6">
        <v>43130</v>
      </c>
      <c r="I37" s="4">
        <v>-1.8</v>
      </c>
      <c r="J37" s="8" t="s">
        <v>111</v>
      </c>
      <c r="K37" s="8" t="s">
        <v>903</v>
      </c>
      <c r="L37" s="4" t="str">
        <f>IF(AtlasReport_1_Table_1[[#This Row],[Reference]]="Purchase order",_xll.AtlasFormulas.AtlasFunctions.AtlasTable("UAT",DataAreaId,"T.VendInvoiceTrans","%RecId","","","","","","","ItemId|PurchID|InventTransId",$C37,$B37,$K37),"")</f>
        <v/>
      </c>
      <c r="M37" s="4" t="str">
        <f>IF(AtlasReport_1_Table_1[[#This Row],[Reference]]="Purchase order",_xll.AtlasFormulas.AtlasFunctions.AtlasTable("UAT",DataAreaId,"T.MarkupTrans","%CurrencyCode","","","","","","","MarkupCode|TransRecId|TransTableId","TPP",$L37,"492"),"")</f>
        <v/>
      </c>
      <c r="N37" s="4" t="str">
        <f>IF(AtlasReport_1_Table_1[[#This Row],[Reference]]="Purchase order",_xll.AtlasFormulas.AtlasFunctions.AtlasBalance("UAT",DataAreaId,"T.MarkupTrans","Sum|Posted|0","","","","","","","MarkupCode|TransTableId|TransRecId","TPP","492",$L37),"")</f>
        <v/>
      </c>
    </row>
    <row r="38" spans="1:14" x14ac:dyDescent="0.25">
      <c r="A38" s="8" t="s">
        <v>368</v>
      </c>
      <c r="B38" s="8" t="s">
        <v>863</v>
      </c>
      <c r="C38" s="8" t="s">
        <v>737</v>
      </c>
      <c r="D38" s="8" t="s">
        <v>812</v>
      </c>
      <c r="E38" s="8" t="s">
        <v>717</v>
      </c>
      <c r="F38" s="8" t="s">
        <v>718</v>
      </c>
      <c r="G38" s="6">
        <v>43130</v>
      </c>
      <c r="H38" s="6">
        <v>43130</v>
      </c>
      <c r="I38" s="4">
        <v>-0.5</v>
      </c>
      <c r="J38" s="8" t="s">
        <v>111</v>
      </c>
      <c r="K38" s="8" t="s">
        <v>907</v>
      </c>
      <c r="L38" s="4" t="str">
        <f>IF(AtlasReport_1_Table_1[[#This Row],[Reference]]="Purchase order",_xll.AtlasFormulas.AtlasFunctions.AtlasTable("UAT",DataAreaId,"T.VendInvoiceTrans","%RecId","","","","","","","ItemId|PurchID|InventTransId",$C38,$B38,$K38),"")</f>
        <v/>
      </c>
      <c r="M38" s="4" t="str">
        <f>IF(AtlasReport_1_Table_1[[#This Row],[Reference]]="Purchase order",_xll.AtlasFormulas.AtlasFunctions.AtlasTable("UAT",DataAreaId,"T.MarkupTrans","%CurrencyCode","","","","","","","MarkupCode|TransRecId|TransTableId","TPP",$L38,"492"),"")</f>
        <v/>
      </c>
      <c r="N38" s="4" t="str">
        <f>IF(AtlasReport_1_Table_1[[#This Row],[Reference]]="Purchase order",_xll.AtlasFormulas.AtlasFunctions.AtlasBalance("UAT",DataAreaId,"T.MarkupTrans","Sum|Posted|0","","","","","","","MarkupCode|TransTableId|TransRecId","TPP","492",$L38),"")</f>
        <v/>
      </c>
    </row>
    <row r="39" spans="1:14" x14ac:dyDescent="0.25">
      <c r="A39" s="8" t="s">
        <v>368</v>
      </c>
      <c r="B39" s="8" t="s">
        <v>863</v>
      </c>
      <c r="C39" s="8" t="s">
        <v>738</v>
      </c>
      <c r="D39" s="8" t="s">
        <v>813</v>
      </c>
      <c r="E39" s="8" t="s">
        <v>717</v>
      </c>
      <c r="F39" s="8" t="s">
        <v>718</v>
      </c>
      <c r="G39" s="6">
        <v>43123</v>
      </c>
      <c r="H39" s="6">
        <v>43130</v>
      </c>
      <c r="I39" s="4">
        <v>-0.39</v>
      </c>
      <c r="J39" s="8" t="s">
        <v>111</v>
      </c>
      <c r="K39" s="8" t="s">
        <v>909</v>
      </c>
      <c r="L39" s="4" t="str">
        <f>IF(AtlasReport_1_Table_1[[#This Row],[Reference]]="Purchase order",_xll.AtlasFormulas.AtlasFunctions.AtlasTable("UAT",DataAreaId,"T.VendInvoiceTrans","%RecId","","","","","","","ItemId|PurchID|InventTransId",$C39,$B39,$K39),"")</f>
        <v/>
      </c>
      <c r="M39" s="4" t="str">
        <f>IF(AtlasReport_1_Table_1[[#This Row],[Reference]]="Purchase order",_xll.AtlasFormulas.AtlasFunctions.AtlasTable("UAT",DataAreaId,"T.MarkupTrans","%CurrencyCode","","","","","","","MarkupCode|TransRecId|TransTableId","TPP",$L39,"492"),"")</f>
        <v/>
      </c>
      <c r="N39" s="4" t="str">
        <f>IF(AtlasReport_1_Table_1[[#This Row],[Reference]]="Purchase order",_xll.AtlasFormulas.AtlasFunctions.AtlasBalance("UAT",DataAreaId,"T.MarkupTrans","Sum|Posted|0","","","","","","","MarkupCode|TransTableId|TransRecId","TPP","492",$L39),"")</f>
        <v/>
      </c>
    </row>
    <row r="40" spans="1:14" x14ac:dyDescent="0.25">
      <c r="A40" s="8" t="s">
        <v>368</v>
      </c>
      <c r="B40" s="8" t="s">
        <v>863</v>
      </c>
      <c r="C40" s="8" t="s">
        <v>738</v>
      </c>
      <c r="D40" s="8" t="s">
        <v>813</v>
      </c>
      <c r="E40" s="8" t="s">
        <v>717</v>
      </c>
      <c r="F40" s="8" t="s">
        <v>718</v>
      </c>
      <c r="G40" s="6">
        <v>43130</v>
      </c>
      <c r="H40" s="6">
        <v>43130</v>
      </c>
      <c r="I40" s="4">
        <v>-1.06</v>
      </c>
      <c r="J40" s="8" t="s">
        <v>111</v>
      </c>
      <c r="K40" s="8" t="s">
        <v>909</v>
      </c>
      <c r="L40" s="4" t="str">
        <f>IF(AtlasReport_1_Table_1[[#This Row],[Reference]]="Purchase order",_xll.AtlasFormulas.AtlasFunctions.AtlasTable("UAT",DataAreaId,"T.VendInvoiceTrans","%RecId","","","","","","","ItemId|PurchID|InventTransId",$C40,$B40,$K40),"")</f>
        <v/>
      </c>
      <c r="M40" s="4" t="str">
        <f>IF(AtlasReport_1_Table_1[[#This Row],[Reference]]="Purchase order",_xll.AtlasFormulas.AtlasFunctions.AtlasTable("UAT",DataAreaId,"T.MarkupTrans","%CurrencyCode","","","","","","","MarkupCode|TransRecId|TransTableId","TPP",$L40,"492"),"")</f>
        <v/>
      </c>
      <c r="N40" s="4" t="str">
        <f>IF(AtlasReport_1_Table_1[[#This Row],[Reference]]="Purchase order",_xll.AtlasFormulas.AtlasFunctions.AtlasBalance("UAT",DataAreaId,"T.MarkupTrans","Sum|Posted|0","","","","","","","MarkupCode|TransTableId|TransRecId","TPP","492",$L40),"")</f>
        <v/>
      </c>
    </row>
    <row r="41" spans="1:14" x14ac:dyDescent="0.25">
      <c r="A41" s="8" t="s">
        <v>368</v>
      </c>
      <c r="B41" s="8" t="s">
        <v>863</v>
      </c>
      <c r="C41" s="8" t="s">
        <v>745</v>
      </c>
      <c r="D41" s="8" t="s">
        <v>824</v>
      </c>
      <c r="E41" s="8" t="s">
        <v>717</v>
      </c>
      <c r="F41" s="8" t="s">
        <v>718</v>
      </c>
      <c r="G41" s="6">
        <v>43123</v>
      </c>
      <c r="H41" s="6">
        <v>43130</v>
      </c>
      <c r="I41" s="4">
        <v>-40.19</v>
      </c>
      <c r="J41" s="8" t="s">
        <v>111</v>
      </c>
      <c r="K41" s="8" t="s">
        <v>910</v>
      </c>
      <c r="L41" s="4" t="str">
        <f>IF(AtlasReport_1_Table_1[[#This Row],[Reference]]="Purchase order",_xll.AtlasFormulas.AtlasFunctions.AtlasTable("UAT",DataAreaId,"T.VendInvoiceTrans","%RecId","","","","","","","ItemId|PurchID|InventTransId",$C41,$B41,$K41),"")</f>
        <v/>
      </c>
      <c r="M41" s="4" t="str">
        <f>IF(AtlasReport_1_Table_1[[#This Row],[Reference]]="Purchase order",_xll.AtlasFormulas.AtlasFunctions.AtlasTable("UAT",DataAreaId,"T.MarkupTrans","%CurrencyCode","","","","","","","MarkupCode|TransRecId|TransTableId","TPP",$L41,"492"),"")</f>
        <v/>
      </c>
      <c r="N41" s="4" t="str">
        <f>IF(AtlasReport_1_Table_1[[#This Row],[Reference]]="Purchase order",_xll.AtlasFormulas.AtlasFunctions.AtlasBalance("UAT",DataAreaId,"T.MarkupTrans","Sum|Posted|0","","","","","","","MarkupCode|TransTableId|TransRecId","TPP","492",$L41),"")</f>
        <v/>
      </c>
    </row>
    <row r="42" spans="1:14" x14ac:dyDescent="0.25">
      <c r="A42" s="8" t="s">
        <v>368</v>
      </c>
      <c r="B42" s="8" t="s">
        <v>863</v>
      </c>
      <c r="C42" s="8" t="s">
        <v>745</v>
      </c>
      <c r="D42" s="8" t="s">
        <v>824</v>
      </c>
      <c r="E42" s="8" t="s">
        <v>717</v>
      </c>
      <c r="F42" s="8" t="s">
        <v>718</v>
      </c>
      <c r="G42" s="6">
        <v>43130</v>
      </c>
      <c r="H42" s="6">
        <v>43130</v>
      </c>
      <c r="I42" s="4">
        <v>-104.80999999999999</v>
      </c>
      <c r="J42" s="8" t="s">
        <v>111</v>
      </c>
      <c r="K42" s="8" t="s">
        <v>910</v>
      </c>
      <c r="L42" s="4" t="str">
        <f>IF(AtlasReport_1_Table_1[[#This Row],[Reference]]="Purchase order",_xll.AtlasFormulas.AtlasFunctions.AtlasTable("UAT",DataAreaId,"T.VendInvoiceTrans","%RecId","","","","","","","ItemId|PurchID|InventTransId",$C42,$B42,$K42),"")</f>
        <v/>
      </c>
      <c r="M42" s="4" t="str">
        <f>IF(AtlasReport_1_Table_1[[#This Row],[Reference]]="Purchase order",_xll.AtlasFormulas.AtlasFunctions.AtlasTable("UAT",DataAreaId,"T.MarkupTrans","%CurrencyCode","","","","","","","MarkupCode|TransRecId|TransTableId","TPP",$L42,"492"),"")</f>
        <v/>
      </c>
      <c r="N42" s="4" t="str">
        <f>IF(AtlasReport_1_Table_1[[#This Row],[Reference]]="Purchase order",_xll.AtlasFormulas.AtlasFunctions.AtlasBalance("UAT",DataAreaId,"T.MarkupTrans","Sum|Posted|0","","","","","","","MarkupCode|TransTableId|TransRecId","TPP","492",$L42),"")</f>
        <v/>
      </c>
    </row>
    <row r="43" spans="1:14" x14ac:dyDescent="0.25">
      <c r="A43" s="8" t="s">
        <v>368</v>
      </c>
      <c r="B43" s="8" t="s">
        <v>863</v>
      </c>
      <c r="C43" s="8" t="s">
        <v>747</v>
      </c>
      <c r="D43" s="8" t="s">
        <v>835</v>
      </c>
      <c r="E43" s="8" t="s">
        <v>717</v>
      </c>
      <c r="F43" s="8" t="s">
        <v>718</v>
      </c>
      <c r="G43" s="6">
        <v>43130</v>
      </c>
      <c r="H43" s="6">
        <v>43130</v>
      </c>
      <c r="I43" s="4">
        <v>-330</v>
      </c>
      <c r="J43" s="8" t="s">
        <v>111</v>
      </c>
      <c r="K43" s="8" t="s">
        <v>917</v>
      </c>
      <c r="L43" s="4" t="str">
        <f>IF(AtlasReport_1_Table_1[[#This Row],[Reference]]="Purchase order",_xll.AtlasFormulas.AtlasFunctions.AtlasTable("UAT",DataAreaId,"T.VendInvoiceTrans","%RecId","","","","","","","ItemId|PurchID|InventTransId",$C43,$B43,$K43),"")</f>
        <v/>
      </c>
      <c r="M43" s="4" t="str">
        <f>IF(AtlasReport_1_Table_1[[#This Row],[Reference]]="Purchase order",_xll.AtlasFormulas.AtlasFunctions.AtlasTable("UAT",DataAreaId,"T.MarkupTrans","%CurrencyCode","","","","","","","MarkupCode|TransRecId|TransTableId","TPP",$L43,"492"),"")</f>
        <v/>
      </c>
      <c r="N43" s="4" t="str">
        <f>IF(AtlasReport_1_Table_1[[#This Row],[Reference]]="Purchase order",_xll.AtlasFormulas.AtlasFunctions.AtlasBalance("UAT",DataAreaId,"T.MarkupTrans","Sum|Posted|0","","","","","","","MarkupCode|TransTableId|TransRecId","TPP","492",$L43),"")</f>
        <v/>
      </c>
    </row>
    <row r="44" spans="1:14" x14ac:dyDescent="0.25">
      <c r="A44" s="8" t="s">
        <v>873</v>
      </c>
      <c r="B44" s="8" t="s">
        <v>874</v>
      </c>
      <c r="C44" s="8" t="s">
        <v>18</v>
      </c>
      <c r="D44" s="8" t="s">
        <v>174</v>
      </c>
      <c r="E44" s="8" t="s">
        <v>717</v>
      </c>
      <c r="F44" s="8" t="s">
        <v>719</v>
      </c>
      <c r="G44" s="6">
        <v>43131</v>
      </c>
      <c r="H44" s="6">
        <v>43131</v>
      </c>
      <c r="I44" s="4">
        <v>-4290</v>
      </c>
      <c r="J44" s="8" t="s">
        <v>35</v>
      </c>
      <c r="K44" s="8" t="s">
        <v>876</v>
      </c>
      <c r="L44" s="4" t="str">
        <f>IF(AtlasReport_1_Table_1[[#This Row],[Reference]]="Purchase order",_xll.AtlasFormulas.AtlasFunctions.AtlasTable("UAT",DataAreaId,"T.VendInvoiceTrans","%RecId","","","","","","","ItemId|PurchID|InventTransId",$C44,$B44,$K44),"")</f>
        <v/>
      </c>
      <c r="M44" s="4" t="str">
        <f>IF(AtlasReport_1_Table_1[[#This Row],[Reference]]="Purchase order",_xll.AtlasFormulas.AtlasFunctions.AtlasTable("UAT",DataAreaId,"T.MarkupTrans","%CurrencyCode","","","","","","","MarkupCode|TransRecId|TransTableId","TPP",$L44,"492"),"")</f>
        <v/>
      </c>
      <c r="N44" s="4" t="str">
        <f>IF(AtlasReport_1_Table_1[[#This Row],[Reference]]="Purchase order",_xll.AtlasFormulas.AtlasFunctions.AtlasBalance("UAT",DataAreaId,"T.MarkupTrans","Sum|Posted|0","","","","","","","MarkupCode|TransTableId|TransRecId","TPP","492",$L44),"")</f>
        <v/>
      </c>
    </row>
    <row r="45" spans="1:14" x14ac:dyDescent="0.25">
      <c r="A45" s="8" t="s">
        <v>873</v>
      </c>
      <c r="B45" s="8" t="s">
        <v>874</v>
      </c>
      <c r="C45" s="8" t="s">
        <v>18</v>
      </c>
      <c r="D45" s="8" t="s">
        <v>174</v>
      </c>
      <c r="E45" s="8" t="s">
        <v>717</v>
      </c>
      <c r="F45" s="8" t="s">
        <v>756</v>
      </c>
      <c r="G45" s="6">
        <v>43131</v>
      </c>
      <c r="H45" s="6">
        <v>43131</v>
      </c>
      <c r="I45" s="4">
        <v>4290</v>
      </c>
      <c r="J45" s="8" t="s">
        <v>35</v>
      </c>
      <c r="K45" s="8" t="s">
        <v>929</v>
      </c>
      <c r="L45" s="4" t="str">
        <f>IF(AtlasReport_1_Table_1[[#This Row],[Reference]]="Purchase order",_xll.AtlasFormulas.AtlasFunctions.AtlasTable("UAT",DataAreaId,"T.VendInvoiceTrans","%RecId","","","","","","","ItemId|PurchID|InventTransId",$C45,$B45,$K45),"")</f>
        <v/>
      </c>
      <c r="M45" s="4" t="str">
        <f>IF(AtlasReport_1_Table_1[[#This Row],[Reference]]="Purchase order",_xll.AtlasFormulas.AtlasFunctions.AtlasTable("UAT",DataAreaId,"T.MarkupTrans","%CurrencyCode","","","","","","","MarkupCode|TransRecId|TransTableId","TPP",$L45,"492"),"")</f>
        <v/>
      </c>
      <c r="N45" s="4" t="str">
        <f>IF(AtlasReport_1_Table_1[[#This Row],[Reference]]="Purchase order",_xll.AtlasFormulas.AtlasFunctions.AtlasBalance("UAT",DataAreaId,"T.MarkupTrans","Sum|Posted|0","","","","","","","MarkupCode|TransTableId|TransRecId","TPP","492",$L45),"")</f>
        <v/>
      </c>
    </row>
    <row r="46" spans="1:14" x14ac:dyDescent="0.25">
      <c r="A46" s="8" t="s">
        <v>877</v>
      </c>
      <c r="B46" s="8" t="s">
        <v>874</v>
      </c>
      <c r="C46" s="8" t="s">
        <v>18</v>
      </c>
      <c r="D46" s="8" t="s">
        <v>174</v>
      </c>
      <c r="E46" s="8" t="s">
        <v>717</v>
      </c>
      <c r="F46" s="8" t="s">
        <v>756</v>
      </c>
      <c r="G46" s="6">
        <v>43131</v>
      </c>
      <c r="H46" s="6">
        <v>43131</v>
      </c>
      <c r="I46" s="4">
        <v>-4290</v>
      </c>
      <c r="J46" s="8" t="s">
        <v>35</v>
      </c>
      <c r="K46" s="8" t="s">
        <v>930</v>
      </c>
      <c r="L46" s="4" t="str">
        <f>IF(AtlasReport_1_Table_1[[#This Row],[Reference]]="Purchase order",_xll.AtlasFormulas.AtlasFunctions.AtlasTable("UAT",DataAreaId,"T.VendInvoiceTrans","%RecId","","","","","","","ItemId|PurchID|InventTransId",$C46,$B46,$K46),"")</f>
        <v/>
      </c>
      <c r="M46" s="4" t="str">
        <f>IF(AtlasReport_1_Table_1[[#This Row],[Reference]]="Purchase order",_xll.AtlasFormulas.AtlasFunctions.AtlasTable("UAT",DataAreaId,"T.MarkupTrans","%CurrencyCode","","","","","","","MarkupCode|TransRecId|TransTableId","TPP",$L46,"492"),"")</f>
        <v/>
      </c>
      <c r="N46" s="4" t="str">
        <f>IF(AtlasReport_1_Table_1[[#This Row],[Reference]]="Purchase order",_xll.AtlasFormulas.AtlasFunctions.AtlasBalance("UAT",DataAreaId,"T.MarkupTrans","Sum|Posted|0","","","","","","","MarkupCode|TransTableId|TransRecId","TPP","492",$L46),"")</f>
        <v/>
      </c>
    </row>
    <row r="47" spans="1:14" x14ac:dyDescent="0.25">
      <c r="A47" s="8" t="s">
        <v>877</v>
      </c>
      <c r="B47" s="8" t="s">
        <v>874</v>
      </c>
      <c r="C47" s="8" t="s">
        <v>18</v>
      </c>
      <c r="D47" s="8" t="s">
        <v>174</v>
      </c>
      <c r="E47" s="8" t="s">
        <v>717</v>
      </c>
      <c r="F47" s="8" t="s">
        <v>721</v>
      </c>
      <c r="G47" s="6">
        <v>43131</v>
      </c>
      <c r="H47" s="6">
        <v>43131</v>
      </c>
      <c r="I47" s="4">
        <v>4290</v>
      </c>
      <c r="J47" s="8" t="s">
        <v>35</v>
      </c>
      <c r="K47" s="8" t="s">
        <v>878</v>
      </c>
      <c r="L47" s="4" t="str">
        <f>IF(AtlasReport_1_Table_1[[#This Row],[Reference]]="Purchase order",_xll.AtlasFormulas.AtlasFunctions.AtlasTable("UAT",DataAreaId,"T.VendInvoiceTrans","%RecId","","","","","","","ItemId|PurchID|InventTransId",$C47,$B47,$K47),"")</f>
        <v/>
      </c>
      <c r="M47" s="4" t="str">
        <f>IF(AtlasReport_1_Table_1[[#This Row],[Reference]]="Purchase order",_xll.AtlasFormulas.AtlasFunctions.AtlasTable("UAT",DataAreaId,"T.MarkupTrans","%CurrencyCode","","","","","","","MarkupCode|TransRecId|TransTableId","TPP",$L47,"492"),"")</f>
        <v/>
      </c>
      <c r="N47" s="4" t="str">
        <f>IF(AtlasReport_1_Table_1[[#This Row],[Reference]]="Purchase order",_xll.AtlasFormulas.AtlasFunctions.AtlasBalance("UAT",DataAreaId,"T.MarkupTrans","Sum|Posted|0","","","","","","","MarkupCode|TransTableId|TransRecId","TPP","492",$L47),"")</f>
        <v/>
      </c>
    </row>
    <row r="48" spans="1:14" x14ac:dyDescent="0.25">
      <c r="A48" s="3" t="s">
        <v>13</v>
      </c>
      <c r="B48" s="7"/>
      <c r="C48" s="7" t="s">
        <v>13</v>
      </c>
      <c r="D48" s="7"/>
      <c r="E48" s="7"/>
      <c r="F48" s="7"/>
      <c r="G48" s="5"/>
      <c r="H48" s="5"/>
      <c r="I48" s="3">
        <f>SUBTOTAL(109,AtlasReport_1_Table_1[Quantity])</f>
        <v>803.91999999999962</v>
      </c>
      <c r="J48" s="7"/>
      <c r="K48" s="7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5"/>
      <c r="H49" s="5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5"/>
      <c r="H50" s="5"/>
      <c r="I50" s="3"/>
      <c r="J50" s="3"/>
      <c r="K50" s="3"/>
      <c r="L50" s="3"/>
      <c r="M50" s="3"/>
      <c r="N50" s="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27"/>
  <sheetViews>
    <sheetView workbookViewId="0">
      <selection activeCell="C9" sqref="C9"/>
    </sheetView>
  </sheetViews>
  <sheetFormatPr defaultRowHeight="15" x14ac:dyDescent="0.2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 x14ac:dyDescent="0.3">
      <c r="A1" s="2" t="s">
        <v>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3" t="s">
        <v>8</v>
      </c>
      <c r="B2" s="3" t="s">
        <v>9</v>
      </c>
      <c r="C2" s="3" t="s">
        <v>6</v>
      </c>
      <c r="D2" s="3" t="s">
        <v>27</v>
      </c>
      <c r="E2" s="5" t="s">
        <v>44</v>
      </c>
      <c r="F2" s="3" t="s">
        <v>46</v>
      </c>
      <c r="G2" s="3" t="s">
        <v>47</v>
      </c>
      <c r="H2" s="3" t="s">
        <v>12</v>
      </c>
      <c r="I2" s="3" t="s">
        <v>33</v>
      </c>
      <c r="J2" s="3" t="s">
        <v>38</v>
      </c>
      <c r="K2" s="3" t="s">
        <v>39</v>
      </c>
      <c r="L2" s="3" t="s">
        <v>42</v>
      </c>
      <c r="M2" s="3" t="s">
        <v>40</v>
      </c>
      <c r="N2" s="3" t="s">
        <v>41</v>
      </c>
      <c r="O2" s="3" t="s">
        <v>7</v>
      </c>
      <c r="P2" s="3" t="s">
        <v>43</v>
      </c>
      <c r="Q2" s="3" t="s">
        <v>45</v>
      </c>
    </row>
    <row r="3" spans="1:17" x14ac:dyDescent="0.25">
      <c r="A3" s="8" t="s">
        <v>368</v>
      </c>
      <c r="B3" s="8" t="s">
        <v>863</v>
      </c>
      <c r="C3" s="8" t="s">
        <v>716</v>
      </c>
      <c r="D3" s="8" t="s">
        <v>769</v>
      </c>
      <c r="E3" s="6">
        <v>43130</v>
      </c>
      <c r="F3" s="8" t="s">
        <v>717</v>
      </c>
      <c r="G3" s="8" t="s">
        <v>718</v>
      </c>
      <c r="H3" s="4">
        <v>-25</v>
      </c>
      <c r="I3" s="8" t="s">
        <v>111</v>
      </c>
      <c r="J3" s="4">
        <v>0</v>
      </c>
      <c r="K3" s="4">
        <v>0</v>
      </c>
      <c r="L3" s="8" t="s">
        <v>210</v>
      </c>
      <c r="M3" s="4">
        <v>0</v>
      </c>
      <c r="N3" s="8" t="s">
        <v>864</v>
      </c>
      <c r="O3" s="8" t="s">
        <v>865</v>
      </c>
      <c r="P3" s="8" t="s">
        <v>866</v>
      </c>
      <c r="Q3" s="4">
        <v>5637705744</v>
      </c>
    </row>
    <row r="4" spans="1:17" x14ac:dyDescent="0.25">
      <c r="A4" s="8" t="s">
        <v>17</v>
      </c>
      <c r="B4" s="8" t="s">
        <v>867</v>
      </c>
      <c r="C4" s="8" t="s">
        <v>716</v>
      </c>
      <c r="D4" s="8" t="s">
        <v>769</v>
      </c>
      <c r="E4" s="6">
        <v>43130</v>
      </c>
      <c r="F4" s="8" t="s">
        <v>717</v>
      </c>
      <c r="G4" s="8" t="s">
        <v>718</v>
      </c>
      <c r="H4" s="4">
        <v>310</v>
      </c>
      <c r="I4" s="8" t="s">
        <v>111</v>
      </c>
      <c r="J4" s="4">
        <v>0</v>
      </c>
      <c r="K4" s="4">
        <v>0</v>
      </c>
      <c r="L4" s="8" t="s">
        <v>210</v>
      </c>
      <c r="M4" s="4">
        <v>0</v>
      </c>
      <c r="N4" s="8" t="s">
        <v>868</v>
      </c>
      <c r="O4" s="8" t="s">
        <v>869</v>
      </c>
      <c r="P4" s="8" t="s">
        <v>866</v>
      </c>
      <c r="Q4" s="4">
        <v>5637705746</v>
      </c>
    </row>
    <row r="5" spans="1:17" x14ac:dyDescent="0.25">
      <c r="A5" s="8" t="s">
        <v>17</v>
      </c>
      <c r="B5" s="8" t="s">
        <v>870</v>
      </c>
      <c r="C5" s="8" t="s">
        <v>720</v>
      </c>
      <c r="D5" s="8" t="s">
        <v>774</v>
      </c>
      <c r="E5" s="6">
        <v>43131</v>
      </c>
      <c r="F5" s="8" t="s">
        <v>717</v>
      </c>
      <c r="G5" s="8" t="s">
        <v>719</v>
      </c>
      <c r="H5" s="4">
        <v>955</v>
      </c>
      <c r="I5" s="8" t="s">
        <v>34</v>
      </c>
      <c r="J5" s="4">
        <v>0</v>
      </c>
      <c r="K5" s="4">
        <v>0</v>
      </c>
      <c r="L5" s="8" t="s">
        <v>210</v>
      </c>
      <c r="M5" s="4">
        <v>0</v>
      </c>
      <c r="N5" s="8" t="s">
        <v>871</v>
      </c>
      <c r="O5" s="8" t="s">
        <v>872</v>
      </c>
      <c r="P5" s="8" t="s">
        <v>866</v>
      </c>
      <c r="Q5" s="4">
        <v>5637702828</v>
      </c>
    </row>
    <row r="6" spans="1:17" x14ac:dyDescent="0.25">
      <c r="A6" s="8" t="s">
        <v>873</v>
      </c>
      <c r="B6" s="8" t="s">
        <v>874</v>
      </c>
      <c r="C6" s="8" t="s">
        <v>18</v>
      </c>
      <c r="D6" s="8" t="s">
        <v>174</v>
      </c>
      <c r="E6" s="6">
        <v>43131</v>
      </c>
      <c r="F6" s="8" t="s">
        <v>717</v>
      </c>
      <c r="G6" s="8" t="s">
        <v>719</v>
      </c>
      <c r="H6" s="4">
        <v>-4290</v>
      </c>
      <c r="I6" s="8" t="s">
        <v>35</v>
      </c>
      <c r="J6" s="4">
        <v>0.71867727674600002</v>
      </c>
      <c r="K6" s="4">
        <v>-3083.13</v>
      </c>
      <c r="L6" s="8" t="s">
        <v>210</v>
      </c>
      <c r="M6" s="4">
        <v>-3083.13</v>
      </c>
      <c r="N6" s="8" t="s">
        <v>875</v>
      </c>
      <c r="O6" s="8" t="s">
        <v>876</v>
      </c>
      <c r="P6" s="8" t="s">
        <v>866</v>
      </c>
      <c r="Q6" s="4">
        <v>5637705803</v>
      </c>
    </row>
    <row r="7" spans="1:17" x14ac:dyDescent="0.25">
      <c r="A7" s="8" t="s">
        <v>877</v>
      </c>
      <c r="B7" s="8" t="s">
        <v>874</v>
      </c>
      <c r="C7" s="8" t="s">
        <v>18</v>
      </c>
      <c r="D7" s="8" t="s">
        <v>174</v>
      </c>
      <c r="E7" s="6">
        <v>43131</v>
      </c>
      <c r="F7" s="8" t="s">
        <v>717</v>
      </c>
      <c r="G7" s="8" t="s">
        <v>721</v>
      </c>
      <c r="H7" s="4">
        <v>4290</v>
      </c>
      <c r="I7" s="8" t="s">
        <v>35</v>
      </c>
      <c r="J7" s="4">
        <v>0.71867832167800005</v>
      </c>
      <c r="K7" s="4">
        <v>3083.13</v>
      </c>
      <c r="L7" s="8" t="s">
        <v>210</v>
      </c>
      <c r="M7" s="4">
        <v>3083.13</v>
      </c>
      <c r="N7" s="8" t="s">
        <v>875</v>
      </c>
      <c r="O7" s="8" t="s">
        <v>878</v>
      </c>
      <c r="P7" s="8" t="s">
        <v>866</v>
      </c>
      <c r="Q7" s="4">
        <v>5637705806</v>
      </c>
    </row>
    <row r="8" spans="1:17" x14ac:dyDescent="0.25">
      <c r="A8" s="8" t="s">
        <v>215</v>
      </c>
      <c r="B8" s="8" t="s">
        <v>879</v>
      </c>
      <c r="C8" s="8" t="s">
        <v>731</v>
      </c>
      <c r="D8" s="8" t="s">
        <v>179</v>
      </c>
      <c r="E8" s="6">
        <v>43129</v>
      </c>
      <c r="F8" s="8" t="s">
        <v>717</v>
      </c>
      <c r="G8" s="8" t="s">
        <v>719</v>
      </c>
      <c r="H8" s="4">
        <v>-487.5</v>
      </c>
      <c r="I8" s="8" t="s">
        <v>35</v>
      </c>
      <c r="J8" s="4">
        <v>-2.7302521367520005</v>
      </c>
      <c r="K8" s="4">
        <v>1331</v>
      </c>
      <c r="L8" s="8" t="s">
        <v>210</v>
      </c>
      <c r="M8" s="4">
        <v>1331</v>
      </c>
      <c r="N8" s="8" t="s">
        <v>880</v>
      </c>
      <c r="O8" s="8" t="s">
        <v>881</v>
      </c>
      <c r="P8" s="8" t="s">
        <v>866</v>
      </c>
      <c r="Q8" s="4">
        <v>5637705681</v>
      </c>
    </row>
    <row r="9" spans="1:17" x14ac:dyDescent="0.25">
      <c r="A9" s="8" t="s">
        <v>215</v>
      </c>
      <c r="B9" s="8" t="s">
        <v>882</v>
      </c>
      <c r="C9" s="8" t="s">
        <v>103</v>
      </c>
      <c r="D9" s="8" t="s">
        <v>104</v>
      </c>
      <c r="E9" s="6">
        <v>43129</v>
      </c>
      <c r="F9" s="8" t="s">
        <v>717</v>
      </c>
      <c r="G9" s="8" t="s">
        <v>718</v>
      </c>
      <c r="H9" s="4">
        <v>-100</v>
      </c>
      <c r="I9" s="8" t="s">
        <v>36</v>
      </c>
      <c r="J9" s="4">
        <v>0</v>
      </c>
      <c r="K9" s="4">
        <v>0</v>
      </c>
      <c r="L9" s="8" t="s">
        <v>210</v>
      </c>
      <c r="M9" s="4">
        <v>0</v>
      </c>
      <c r="N9" s="8" t="s">
        <v>883</v>
      </c>
      <c r="O9" s="8" t="s">
        <v>884</v>
      </c>
      <c r="P9" s="8" t="s">
        <v>866</v>
      </c>
      <c r="Q9" s="4">
        <v>5637703034</v>
      </c>
    </row>
    <row r="10" spans="1:17" x14ac:dyDescent="0.25">
      <c r="A10" s="8" t="s">
        <v>215</v>
      </c>
      <c r="B10" s="8" t="s">
        <v>882</v>
      </c>
      <c r="C10" s="8" t="s">
        <v>103</v>
      </c>
      <c r="D10" s="8" t="s">
        <v>104</v>
      </c>
      <c r="E10" s="6">
        <v>43129</v>
      </c>
      <c r="F10" s="8" t="s">
        <v>717</v>
      </c>
      <c r="G10" s="8" t="s">
        <v>718</v>
      </c>
      <c r="H10" s="4">
        <v>-150</v>
      </c>
      <c r="I10" s="8" t="s">
        <v>36</v>
      </c>
      <c r="J10" s="4">
        <v>0</v>
      </c>
      <c r="K10" s="4">
        <v>0</v>
      </c>
      <c r="L10" s="8" t="s">
        <v>210</v>
      </c>
      <c r="M10" s="4">
        <v>0</v>
      </c>
      <c r="N10" s="8" t="s">
        <v>883</v>
      </c>
      <c r="O10" s="8" t="s">
        <v>884</v>
      </c>
      <c r="P10" s="8" t="s">
        <v>866</v>
      </c>
      <c r="Q10" s="4">
        <v>5637703037</v>
      </c>
    </row>
    <row r="11" spans="1:17" x14ac:dyDescent="0.25">
      <c r="A11" s="8" t="s">
        <v>215</v>
      </c>
      <c r="B11" s="8" t="s">
        <v>882</v>
      </c>
      <c r="C11" s="8" t="s">
        <v>103</v>
      </c>
      <c r="D11" s="8" t="s">
        <v>104</v>
      </c>
      <c r="E11" s="6">
        <v>43129</v>
      </c>
      <c r="F11" s="8" t="s">
        <v>717</v>
      </c>
      <c r="G11" s="8" t="s">
        <v>718</v>
      </c>
      <c r="H11" s="4">
        <v>-150</v>
      </c>
      <c r="I11" s="8" t="s">
        <v>36</v>
      </c>
      <c r="J11" s="4">
        <v>0</v>
      </c>
      <c r="K11" s="4">
        <v>0</v>
      </c>
      <c r="L11" s="8" t="s">
        <v>210</v>
      </c>
      <c r="M11" s="4">
        <v>0</v>
      </c>
      <c r="N11" s="8" t="s">
        <v>883</v>
      </c>
      <c r="O11" s="8" t="s">
        <v>884</v>
      </c>
      <c r="P11" s="8" t="s">
        <v>866</v>
      </c>
      <c r="Q11" s="4">
        <v>5637703038</v>
      </c>
    </row>
    <row r="12" spans="1:17" x14ac:dyDescent="0.25">
      <c r="A12" s="8" t="s">
        <v>215</v>
      </c>
      <c r="B12" s="8" t="s">
        <v>882</v>
      </c>
      <c r="C12" s="8" t="s">
        <v>103</v>
      </c>
      <c r="D12" s="8" t="s">
        <v>104</v>
      </c>
      <c r="E12" s="6">
        <v>43129</v>
      </c>
      <c r="F12" s="8" t="s">
        <v>717</v>
      </c>
      <c r="G12" s="8" t="s">
        <v>718</v>
      </c>
      <c r="H12" s="4">
        <v>-100</v>
      </c>
      <c r="I12" s="8" t="s">
        <v>36</v>
      </c>
      <c r="J12" s="4">
        <v>0</v>
      </c>
      <c r="K12" s="4">
        <v>0</v>
      </c>
      <c r="L12" s="8" t="s">
        <v>210</v>
      </c>
      <c r="M12" s="4">
        <v>0</v>
      </c>
      <c r="N12" s="8" t="s">
        <v>883</v>
      </c>
      <c r="O12" s="8" t="s">
        <v>884</v>
      </c>
      <c r="P12" s="8" t="s">
        <v>866</v>
      </c>
      <c r="Q12" s="4">
        <v>5637703033</v>
      </c>
    </row>
    <row r="13" spans="1:17" x14ac:dyDescent="0.25">
      <c r="A13" s="8" t="s">
        <v>215</v>
      </c>
      <c r="B13" s="8" t="s">
        <v>882</v>
      </c>
      <c r="C13" s="8" t="s">
        <v>103</v>
      </c>
      <c r="D13" s="8" t="s">
        <v>104</v>
      </c>
      <c r="E13" s="6">
        <v>43129</v>
      </c>
      <c r="F13" s="8" t="s">
        <v>717</v>
      </c>
      <c r="G13" s="8" t="s">
        <v>718</v>
      </c>
      <c r="H13" s="4">
        <v>-150</v>
      </c>
      <c r="I13" s="8" t="s">
        <v>36</v>
      </c>
      <c r="J13" s="4">
        <v>0</v>
      </c>
      <c r="K13" s="4">
        <v>0</v>
      </c>
      <c r="L13" s="8" t="s">
        <v>210</v>
      </c>
      <c r="M13" s="4">
        <v>0</v>
      </c>
      <c r="N13" s="8" t="s">
        <v>883</v>
      </c>
      <c r="O13" s="8" t="s">
        <v>884</v>
      </c>
      <c r="P13" s="8" t="s">
        <v>866</v>
      </c>
      <c r="Q13" s="4">
        <v>5637703035</v>
      </c>
    </row>
    <row r="14" spans="1:17" x14ac:dyDescent="0.25">
      <c r="A14" s="8" t="s">
        <v>215</v>
      </c>
      <c r="B14" s="8" t="s">
        <v>882</v>
      </c>
      <c r="C14" s="8" t="s">
        <v>103</v>
      </c>
      <c r="D14" s="8" t="s">
        <v>104</v>
      </c>
      <c r="E14" s="6">
        <v>43129</v>
      </c>
      <c r="F14" s="8" t="s">
        <v>717</v>
      </c>
      <c r="G14" s="8" t="s">
        <v>718</v>
      </c>
      <c r="H14" s="4">
        <v>-100</v>
      </c>
      <c r="I14" s="8" t="s">
        <v>36</v>
      </c>
      <c r="J14" s="4">
        <v>0</v>
      </c>
      <c r="K14" s="4">
        <v>0</v>
      </c>
      <c r="L14" s="8" t="s">
        <v>210</v>
      </c>
      <c r="M14" s="4">
        <v>0</v>
      </c>
      <c r="N14" s="8" t="s">
        <v>883</v>
      </c>
      <c r="O14" s="8" t="s">
        <v>884</v>
      </c>
      <c r="P14" s="8" t="s">
        <v>866</v>
      </c>
      <c r="Q14" s="4">
        <v>5637703032</v>
      </c>
    </row>
    <row r="15" spans="1:17" x14ac:dyDescent="0.25">
      <c r="A15" s="8" t="s">
        <v>215</v>
      </c>
      <c r="B15" s="8" t="s">
        <v>882</v>
      </c>
      <c r="C15" s="8" t="s">
        <v>103</v>
      </c>
      <c r="D15" s="8" t="s">
        <v>104</v>
      </c>
      <c r="E15" s="6">
        <v>43129</v>
      </c>
      <c r="F15" s="8" t="s">
        <v>717</v>
      </c>
      <c r="G15" s="8" t="s">
        <v>718</v>
      </c>
      <c r="H15" s="4">
        <v>-150</v>
      </c>
      <c r="I15" s="8" t="s">
        <v>36</v>
      </c>
      <c r="J15" s="4">
        <v>0</v>
      </c>
      <c r="K15" s="4">
        <v>0</v>
      </c>
      <c r="L15" s="8" t="s">
        <v>210</v>
      </c>
      <c r="M15" s="4">
        <v>0</v>
      </c>
      <c r="N15" s="8" t="s">
        <v>883</v>
      </c>
      <c r="O15" s="8" t="s">
        <v>884</v>
      </c>
      <c r="P15" s="8" t="s">
        <v>866</v>
      </c>
      <c r="Q15" s="4">
        <v>5637703036</v>
      </c>
    </row>
    <row r="16" spans="1:17" x14ac:dyDescent="0.25">
      <c r="A16" s="8" t="s">
        <v>215</v>
      </c>
      <c r="B16" s="8" t="s">
        <v>882</v>
      </c>
      <c r="C16" s="8" t="s">
        <v>103</v>
      </c>
      <c r="D16" s="8" t="s">
        <v>104</v>
      </c>
      <c r="E16" s="6">
        <v>43129</v>
      </c>
      <c r="F16" s="8" t="s">
        <v>717</v>
      </c>
      <c r="G16" s="8" t="s">
        <v>718</v>
      </c>
      <c r="H16" s="4">
        <v>-100</v>
      </c>
      <c r="I16" s="8" t="s">
        <v>36</v>
      </c>
      <c r="J16" s="4">
        <v>0</v>
      </c>
      <c r="K16" s="4">
        <v>0</v>
      </c>
      <c r="L16" s="8" t="s">
        <v>210</v>
      </c>
      <c r="M16" s="4">
        <v>0</v>
      </c>
      <c r="N16" s="8" t="s">
        <v>883</v>
      </c>
      <c r="O16" s="8" t="s">
        <v>884</v>
      </c>
      <c r="P16" s="8" t="s">
        <v>866</v>
      </c>
      <c r="Q16" s="4">
        <v>5637703030</v>
      </c>
    </row>
    <row r="17" spans="1:17" x14ac:dyDescent="0.25">
      <c r="A17" s="8" t="s">
        <v>215</v>
      </c>
      <c r="B17" s="8" t="s">
        <v>882</v>
      </c>
      <c r="C17" s="8" t="s">
        <v>103</v>
      </c>
      <c r="D17" s="8" t="s">
        <v>104</v>
      </c>
      <c r="E17" s="6">
        <v>43129</v>
      </c>
      <c r="F17" s="8" t="s">
        <v>717</v>
      </c>
      <c r="G17" s="8" t="s">
        <v>718</v>
      </c>
      <c r="H17" s="4">
        <v>-150</v>
      </c>
      <c r="I17" s="8" t="s">
        <v>36</v>
      </c>
      <c r="J17" s="4">
        <v>0</v>
      </c>
      <c r="K17" s="4">
        <v>0</v>
      </c>
      <c r="L17" s="8" t="s">
        <v>210</v>
      </c>
      <c r="M17" s="4">
        <v>0</v>
      </c>
      <c r="N17" s="8" t="s">
        <v>883</v>
      </c>
      <c r="O17" s="8" t="s">
        <v>884</v>
      </c>
      <c r="P17" s="8" t="s">
        <v>866</v>
      </c>
      <c r="Q17" s="4">
        <v>5637703048</v>
      </c>
    </row>
    <row r="18" spans="1:17" x14ac:dyDescent="0.25">
      <c r="A18" s="8" t="s">
        <v>215</v>
      </c>
      <c r="B18" s="8" t="s">
        <v>882</v>
      </c>
      <c r="C18" s="8" t="s">
        <v>103</v>
      </c>
      <c r="D18" s="8" t="s">
        <v>104</v>
      </c>
      <c r="E18" s="6">
        <v>43129</v>
      </c>
      <c r="F18" s="8" t="s">
        <v>717</v>
      </c>
      <c r="G18" s="8" t="s">
        <v>718</v>
      </c>
      <c r="H18" s="4">
        <v>-150</v>
      </c>
      <c r="I18" s="8" t="s">
        <v>36</v>
      </c>
      <c r="J18" s="4">
        <v>0</v>
      </c>
      <c r="K18" s="4">
        <v>0</v>
      </c>
      <c r="L18" s="8" t="s">
        <v>210</v>
      </c>
      <c r="M18" s="4">
        <v>0</v>
      </c>
      <c r="N18" s="8" t="s">
        <v>883</v>
      </c>
      <c r="O18" s="8" t="s">
        <v>884</v>
      </c>
      <c r="P18" s="8" t="s">
        <v>866</v>
      </c>
      <c r="Q18" s="4">
        <v>5637703049</v>
      </c>
    </row>
    <row r="19" spans="1:17" x14ac:dyDescent="0.25">
      <c r="A19" s="8" t="s">
        <v>215</v>
      </c>
      <c r="B19" s="8" t="s">
        <v>882</v>
      </c>
      <c r="C19" s="8" t="s">
        <v>103</v>
      </c>
      <c r="D19" s="8" t="s">
        <v>104</v>
      </c>
      <c r="E19" s="6">
        <v>43129</v>
      </c>
      <c r="F19" s="8" t="s">
        <v>717</v>
      </c>
      <c r="G19" s="8" t="s">
        <v>718</v>
      </c>
      <c r="H19" s="4">
        <v>-150</v>
      </c>
      <c r="I19" s="8" t="s">
        <v>36</v>
      </c>
      <c r="J19" s="4">
        <v>0</v>
      </c>
      <c r="K19" s="4">
        <v>0</v>
      </c>
      <c r="L19" s="8" t="s">
        <v>210</v>
      </c>
      <c r="M19" s="4">
        <v>0</v>
      </c>
      <c r="N19" s="8" t="s">
        <v>883</v>
      </c>
      <c r="O19" s="8" t="s">
        <v>884</v>
      </c>
      <c r="P19" s="8" t="s">
        <v>866</v>
      </c>
      <c r="Q19" s="4">
        <v>5637703480</v>
      </c>
    </row>
    <row r="20" spans="1:17" x14ac:dyDescent="0.25">
      <c r="A20" s="8" t="s">
        <v>215</v>
      </c>
      <c r="B20" s="8" t="s">
        <v>882</v>
      </c>
      <c r="C20" s="8" t="s">
        <v>103</v>
      </c>
      <c r="D20" s="8" t="s">
        <v>104</v>
      </c>
      <c r="E20" s="6">
        <v>43129</v>
      </c>
      <c r="F20" s="8" t="s">
        <v>717</v>
      </c>
      <c r="G20" s="8" t="s">
        <v>718</v>
      </c>
      <c r="H20" s="4">
        <v>-150</v>
      </c>
      <c r="I20" s="8" t="s">
        <v>36</v>
      </c>
      <c r="J20" s="4">
        <v>0</v>
      </c>
      <c r="K20" s="4">
        <v>0</v>
      </c>
      <c r="L20" s="8" t="s">
        <v>210</v>
      </c>
      <c r="M20" s="4">
        <v>0</v>
      </c>
      <c r="N20" s="8" t="s">
        <v>883</v>
      </c>
      <c r="O20" s="8" t="s">
        <v>884</v>
      </c>
      <c r="P20" s="8" t="s">
        <v>866</v>
      </c>
      <c r="Q20" s="4">
        <v>5637703041</v>
      </c>
    </row>
    <row r="21" spans="1:17" x14ac:dyDescent="0.25">
      <c r="A21" s="8" t="s">
        <v>215</v>
      </c>
      <c r="B21" s="8" t="s">
        <v>882</v>
      </c>
      <c r="C21" s="8" t="s">
        <v>103</v>
      </c>
      <c r="D21" s="8" t="s">
        <v>104</v>
      </c>
      <c r="E21" s="6">
        <v>43129</v>
      </c>
      <c r="F21" s="8" t="s">
        <v>717</v>
      </c>
      <c r="G21" s="8" t="s">
        <v>718</v>
      </c>
      <c r="H21" s="4">
        <v>-150</v>
      </c>
      <c r="I21" s="8" t="s">
        <v>36</v>
      </c>
      <c r="J21" s="4">
        <v>0</v>
      </c>
      <c r="K21" s="4">
        <v>0</v>
      </c>
      <c r="L21" s="8" t="s">
        <v>210</v>
      </c>
      <c r="M21" s="4">
        <v>0</v>
      </c>
      <c r="N21" s="8" t="s">
        <v>883</v>
      </c>
      <c r="O21" s="8" t="s">
        <v>884</v>
      </c>
      <c r="P21" s="8" t="s">
        <v>866</v>
      </c>
      <c r="Q21" s="4">
        <v>5637703040</v>
      </c>
    </row>
    <row r="22" spans="1:17" x14ac:dyDescent="0.25">
      <c r="A22" s="8" t="s">
        <v>215</v>
      </c>
      <c r="B22" s="8" t="s">
        <v>882</v>
      </c>
      <c r="C22" s="8" t="s">
        <v>103</v>
      </c>
      <c r="D22" s="8" t="s">
        <v>104</v>
      </c>
      <c r="E22" s="6">
        <v>43129</v>
      </c>
      <c r="F22" s="8" t="s">
        <v>717</v>
      </c>
      <c r="G22" s="8" t="s">
        <v>718</v>
      </c>
      <c r="H22" s="4">
        <v>-150</v>
      </c>
      <c r="I22" s="8" t="s">
        <v>36</v>
      </c>
      <c r="J22" s="4">
        <v>0</v>
      </c>
      <c r="K22" s="4">
        <v>0</v>
      </c>
      <c r="L22" s="8" t="s">
        <v>210</v>
      </c>
      <c r="M22" s="4">
        <v>0</v>
      </c>
      <c r="N22" s="8" t="s">
        <v>883</v>
      </c>
      <c r="O22" s="8" t="s">
        <v>884</v>
      </c>
      <c r="P22" s="8" t="s">
        <v>866</v>
      </c>
      <c r="Q22" s="4">
        <v>5637703039</v>
      </c>
    </row>
    <row r="23" spans="1:17" x14ac:dyDescent="0.25">
      <c r="A23" s="8" t="s">
        <v>215</v>
      </c>
      <c r="B23" s="8" t="s">
        <v>882</v>
      </c>
      <c r="C23" s="8" t="s">
        <v>103</v>
      </c>
      <c r="D23" s="8" t="s">
        <v>104</v>
      </c>
      <c r="E23" s="6">
        <v>43129</v>
      </c>
      <c r="F23" s="8" t="s">
        <v>717</v>
      </c>
      <c r="G23" s="8" t="s">
        <v>718</v>
      </c>
      <c r="H23" s="4">
        <v>-100</v>
      </c>
      <c r="I23" s="8" t="s">
        <v>36</v>
      </c>
      <c r="J23" s="4">
        <v>0</v>
      </c>
      <c r="K23" s="4">
        <v>0</v>
      </c>
      <c r="L23" s="8" t="s">
        <v>210</v>
      </c>
      <c r="M23" s="4">
        <v>0</v>
      </c>
      <c r="N23" s="8" t="s">
        <v>883</v>
      </c>
      <c r="O23" s="8" t="s">
        <v>884</v>
      </c>
      <c r="P23" s="8" t="s">
        <v>866</v>
      </c>
      <c r="Q23" s="4">
        <v>5637703031</v>
      </c>
    </row>
    <row r="24" spans="1:17" x14ac:dyDescent="0.25">
      <c r="A24" s="8" t="s">
        <v>215</v>
      </c>
      <c r="B24" s="8" t="s">
        <v>885</v>
      </c>
      <c r="C24" s="8" t="s">
        <v>103</v>
      </c>
      <c r="D24" s="8" t="s">
        <v>104</v>
      </c>
      <c r="E24" s="6">
        <v>43129</v>
      </c>
      <c r="F24" s="8" t="s">
        <v>717</v>
      </c>
      <c r="G24" s="8" t="s">
        <v>718</v>
      </c>
      <c r="H24" s="4">
        <v>-150</v>
      </c>
      <c r="I24" s="8" t="s">
        <v>36</v>
      </c>
      <c r="J24" s="4">
        <v>0</v>
      </c>
      <c r="K24" s="4">
        <v>0</v>
      </c>
      <c r="L24" s="8" t="s">
        <v>210</v>
      </c>
      <c r="M24" s="4">
        <v>0</v>
      </c>
      <c r="N24" s="8" t="s">
        <v>886</v>
      </c>
      <c r="O24" s="8" t="s">
        <v>887</v>
      </c>
      <c r="P24" s="8" t="s">
        <v>866</v>
      </c>
      <c r="Q24" s="4">
        <v>5637703819</v>
      </c>
    </row>
    <row r="25" spans="1:17" x14ac:dyDescent="0.25">
      <c r="A25" s="8" t="s">
        <v>215</v>
      </c>
      <c r="B25" s="8" t="s">
        <v>885</v>
      </c>
      <c r="C25" s="8" t="s">
        <v>103</v>
      </c>
      <c r="D25" s="8" t="s">
        <v>104</v>
      </c>
      <c r="E25" s="6">
        <v>43129</v>
      </c>
      <c r="F25" s="8" t="s">
        <v>717</v>
      </c>
      <c r="G25" s="8" t="s">
        <v>718</v>
      </c>
      <c r="H25" s="4">
        <v>-150</v>
      </c>
      <c r="I25" s="8" t="s">
        <v>36</v>
      </c>
      <c r="J25" s="4">
        <v>0</v>
      </c>
      <c r="K25" s="4">
        <v>0</v>
      </c>
      <c r="L25" s="8" t="s">
        <v>210</v>
      </c>
      <c r="M25" s="4">
        <v>0</v>
      </c>
      <c r="N25" s="8" t="s">
        <v>886</v>
      </c>
      <c r="O25" s="8" t="s">
        <v>887</v>
      </c>
      <c r="P25" s="8" t="s">
        <v>866</v>
      </c>
      <c r="Q25" s="4">
        <v>5637704100</v>
      </c>
    </row>
    <row r="26" spans="1:17" x14ac:dyDescent="0.25">
      <c r="A26" s="8" t="s">
        <v>215</v>
      </c>
      <c r="B26" s="8" t="s">
        <v>885</v>
      </c>
      <c r="C26" s="8" t="s">
        <v>103</v>
      </c>
      <c r="D26" s="8" t="s">
        <v>104</v>
      </c>
      <c r="E26" s="6">
        <v>43129</v>
      </c>
      <c r="F26" s="8" t="s">
        <v>717</v>
      </c>
      <c r="G26" s="8" t="s">
        <v>718</v>
      </c>
      <c r="H26" s="4">
        <v>-150</v>
      </c>
      <c r="I26" s="8" t="s">
        <v>36</v>
      </c>
      <c r="J26" s="4">
        <v>0</v>
      </c>
      <c r="K26" s="4">
        <v>0</v>
      </c>
      <c r="L26" s="8" t="s">
        <v>210</v>
      </c>
      <c r="M26" s="4">
        <v>0</v>
      </c>
      <c r="N26" s="8" t="s">
        <v>886</v>
      </c>
      <c r="O26" s="8" t="s">
        <v>887</v>
      </c>
      <c r="P26" s="8" t="s">
        <v>866</v>
      </c>
      <c r="Q26" s="4">
        <v>5637704099</v>
      </c>
    </row>
    <row r="27" spans="1:17" x14ac:dyDescent="0.25">
      <c r="A27" s="8" t="s">
        <v>215</v>
      </c>
      <c r="B27" s="8" t="s">
        <v>885</v>
      </c>
      <c r="C27" s="8" t="s">
        <v>103</v>
      </c>
      <c r="D27" s="8" t="s">
        <v>104</v>
      </c>
      <c r="E27" s="6">
        <v>43129</v>
      </c>
      <c r="F27" s="8" t="s">
        <v>717</v>
      </c>
      <c r="G27" s="8" t="s">
        <v>718</v>
      </c>
      <c r="H27" s="4">
        <v>-150</v>
      </c>
      <c r="I27" s="8" t="s">
        <v>36</v>
      </c>
      <c r="J27" s="4">
        <v>0</v>
      </c>
      <c r="K27" s="4">
        <v>0</v>
      </c>
      <c r="L27" s="8" t="s">
        <v>210</v>
      </c>
      <c r="M27" s="4">
        <v>0</v>
      </c>
      <c r="N27" s="8" t="s">
        <v>886</v>
      </c>
      <c r="O27" s="8" t="s">
        <v>887</v>
      </c>
      <c r="P27" s="8" t="s">
        <v>866</v>
      </c>
      <c r="Q27" s="4">
        <v>5637704098</v>
      </c>
    </row>
    <row r="28" spans="1:17" x14ac:dyDescent="0.25">
      <c r="A28" s="8" t="s">
        <v>215</v>
      </c>
      <c r="B28" s="8" t="s">
        <v>885</v>
      </c>
      <c r="C28" s="8" t="s">
        <v>103</v>
      </c>
      <c r="D28" s="8" t="s">
        <v>104</v>
      </c>
      <c r="E28" s="6">
        <v>43129</v>
      </c>
      <c r="F28" s="8" t="s">
        <v>717</v>
      </c>
      <c r="G28" s="8" t="s">
        <v>718</v>
      </c>
      <c r="H28" s="4">
        <v>-150</v>
      </c>
      <c r="I28" s="8" t="s">
        <v>36</v>
      </c>
      <c r="J28" s="4">
        <v>0</v>
      </c>
      <c r="K28" s="4">
        <v>0</v>
      </c>
      <c r="L28" s="8" t="s">
        <v>210</v>
      </c>
      <c r="M28" s="4">
        <v>0</v>
      </c>
      <c r="N28" s="8" t="s">
        <v>886</v>
      </c>
      <c r="O28" s="8" t="s">
        <v>887</v>
      </c>
      <c r="P28" s="8" t="s">
        <v>866</v>
      </c>
      <c r="Q28" s="4">
        <v>5637704097</v>
      </c>
    </row>
    <row r="29" spans="1:17" x14ac:dyDescent="0.25">
      <c r="A29" s="8" t="s">
        <v>215</v>
      </c>
      <c r="B29" s="8" t="s">
        <v>885</v>
      </c>
      <c r="C29" s="8" t="s">
        <v>103</v>
      </c>
      <c r="D29" s="8" t="s">
        <v>104</v>
      </c>
      <c r="E29" s="6">
        <v>43129</v>
      </c>
      <c r="F29" s="8" t="s">
        <v>717</v>
      </c>
      <c r="G29" s="8" t="s">
        <v>718</v>
      </c>
      <c r="H29" s="4">
        <v>-150</v>
      </c>
      <c r="I29" s="8" t="s">
        <v>36</v>
      </c>
      <c r="J29" s="4">
        <v>0</v>
      </c>
      <c r="K29" s="4">
        <v>0</v>
      </c>
      <c r="L29" s="8" t="s">
        <v>210</v>
      </c>
      <c r="M29" s="4">
        <v>0</v>
      </c>
      <c r="N29" s="8" t="s">
        <v>886</v>
      </c>
      <c r="O29" s="8" t="s">
        <v>887</v>
      </c>
      <c r="P29" s="8" t="s">
        <v>866</v>
      </c>
      <c r="Q29" s="4">
        <v>5637704096</v>
      </c>
    </row>
    <row r="30" spans="1:17" x14ac:dyDescent="0.25">
      <c r="A30" s="8" t="s">
        <v>215</v>
      </c>
      <c r="B30" s="8" t="s">
        <v>885</v>
      </c>
      <c r="C30" s="8" t="s">
        <v>103</v>
      </c>
      <c r="D30" s="8" t="s">
        <v>104</v>
      </c>
      <c r="E30" s="6">
        <v>43129</v>
      </c>
      <c r="F30" s="8" t="s">
        <v>717</v>
      </c>
      <c r="G30" s="8" t="s">
        <v>718</v>
      </c>
      <c r="H30" s="4">
        <v>-150</v>
      </c>
      <c r="I30" s="8" t="s">
        <v>36</v>
      </c>
      <c r="J30" s="4">
        <v>0</v>
      </c>
      <c r="K30" s="4">
        <v>0</v>
      </c>
      <c r="L30" s="8" t="s">
        <v>210</v>
      </c>
      <c r="M30" s="4">
        <v>0</v>
      </c>
      <c r="N30" s="8" t="s">
        <v>886</v>
      </c>
      <c r="O30" s="8" t="s">
        <v>887</v>
      </c>
      <c r="P30" s="8" t="s">
        <v>866</v>
      </c>
      <c r="Q30" s="4">
        <v>5637704095</v>
      </c>
    </row>
    <row r="31" spans="1:17" x14ac:dyDescent="0.25">
      <c r="A31" s="8" t="s">
        <v>215</v>
      </c>
      <c r="B31" s="8" t="s">
        <v>885</v>
      </c>
      <c r="C31" s="8" t="s">
        <v>103</v>
      </c>
      <c r="D31" s="8" t="s">
        <v>104</v>
      </c>
      <c r="E31" s="6">
        <v>43129</v>
      </c>
      <c r="F31" s="8" t="s">
        <v>717</v>
      </c>
      <c r="G31" s="8" t="s">
        <v>718</v>
      </c>
      <c r="H31" s="4">
        <v>-150</v>
      </c>
      <c r="I31" s="8" t="s">
        <v>36</v>
      </c>
      <c r="J31" s="4">
        <v>0</v>
      </c>
      <c r="K31" s="4">
        <v>0</v>
      </c>
      <c r="L31" s="8" t="s">
        <v>210</v>
      </c>
      <c r="M31" s="4">
        <v>0</v>
      </c>
      <c r="N31" s="8" t="s">
        <v>886</v>
      </c>
      <c r="O31" s="8" t="s">
        <v>887</v>
      </c>
      <c r="P31" s="8" t="s">
        <v>866</v>
      </c>
      <c r="Q31" s="4">
        <v>5637704094</v>
      </c>
    </row>
    <row r="32" spans="1:17" x14ac:dyDescent="0.25">
      <c r="A32" s="8" t="s">
        <v>215</v>
      </c>
      <c r="B32" s="8" t="s">
        <v>885</v>
      </c>
      <c r="C32" s="8" t="s">
        <v>103</v>
      </c>
      <c r="D32" s="8" t="s">
        <v>104</v>
      </c>
      <c r="E32" s="6">
        <v>43129</v>
      </c>
      <c r="F32" s="8" t="s">
        <v>717</v>
      </c>
      <c r="G32" s="8" t="s">
        <v>718</v>
      </c>
      <c r="H32" s="4">
        <v>-150</v>
      </c>
      <c r="I32" s="8" t="s">
        <v>36</v>
      </c>
      <c r="J32" s="4">
        <v>0</v>
      </c>
      <c r="K32" s="4">
        <v>0</v>
      </c>
      <c r="L32" s="8" t="s">
        <v>210</v>
      </c>
      <c r="M32" s="4">
        <v>0</v>
      </c>
      <c r="N32" s="8" t="s">
        <v>886</v>
      </c>
      <c r="O32" s="8" t="s">
        <v>887</v>
      </c>
      <c r="P32" s="8" t="s">
        <v>866</v>
      </c>
      <c r="Q32" s="4">
        <v>5637704093</v>
      </c>
    </row>
    <row r="33" spans="1:17" x14ac:dyDescent="0.25">
      <c r="A33" s="8" t="s">
        <v>215</v>
      </c>
      <c r="B33" s="8" t="s">
        <v>885</v>
      </c>
      <c r="C33" s="8" t="s">
        <v>103</v>
      </c>
      <c r="D33" s="8" t="s">
        <v>104</v>
      </c>
      <c r="E33" s="6">
        <v>43129</v>
      </c>
      <c r="F33" s="8" t="s">
        <v>717</v>
      </c>
      <c r="G33" s="8" t="s">
        <v>718</v>
      </c>
      <c r="H33" s="4">
        <v>-150</v>
      </c>
      <c r="I33" s="8" t="s">
        <v>36</v>
      </c>
      <c r="J33" s="4">
        <v>0</v>
      </c>
      <c r="K33" s="4">
        <v>0</v>
      </c>
      <c r="L33" s="8" t="s">
        <v>210</v>
      </c>
      <c r="M33" s="4">
        <v>0</v>
      </c>
      <c r="N33" s="8" t="s">
        <v>886</v>
      </c>
      <c r="O33" s="8" t="s">
        <v>887</v>
      </c>
      <c r="P33" s="8" t="s">
        <v>866</v>
      </c>
      <c r="Q33" s="4">
        <v>5637704092</v>
      </c>
    </row>
    <row r="34" spans="1:17" x14ac:dyDescent="0.25">
      <c r="A34" s="8" t="s">
        <v>215</v>
      </c>
      <c r="B34" s="8" t="s">
        <v>885</v>
      </c>
      <c r="C34" s="8" t="s">
        <v>103</v>
      </c>
      <c r="D34" s="8" t="s">
        <v>104</v>
      </c>
      <c r="E34" s="6">
        <v>43129</v>
      </c>
      <c r="F34" s="8" t="s">
        <v>717</v>
      </c>
      <c r="G34" s="8" t="s">
        <v>718</v>
      </c>
      <c r="H34" s="4">
        <v>-150</v>
      </c>
      <c r="I34" s="8" t="s">
        <v>36</v>
      </c>
      <c r="J34" s="4">
        <v>0</v>
      </c>
      <c r="K34" s="4">
        <v>0</v>
      </c>
      <c r="L34" s="8" t="s">
        <v>210</v>
      </c>
      <c r="M34" s="4">
        <v>0</v>
      </c>
      <c r="N34" s="8" t="s">
        <v>886</v>
      </c>
      <c r="O34" s="8" t="s">
        <v>887</v>
      </c>
      <c r="P34" s="8" t="s">
        <v>866</v>
      </c>
      <c r="Q34" s="4">
        <v>5637704091</v>
      </c>
    </row>
    <row r="35" spans="1:17" x14ac:dyDescent="0.25">
      <c r="A35" s="8" t="s">
        <v>215</v>
      </c>
      <c r="B35" s="8" t="s">
        <v>885</v>
      </c>
      <c r="C35" s="8" t="s">
        <v>103</v>
      </c>
      <c r="D35" s="8" t="s">
        <v>104</v>
      </c>
      <c r="E35" s="6">
        <v>43129</v>
      </c>
      <c r="F35" s="8" t="s">
        <v>717</v>
      </c>
      <c r="G35" s="8" t="s">
        <v>718</v>
      </c>
      <c r="H35" s="4">
        <v>-150</v>
      </c>
      <c r="I35" s="8" t="s">
        <v>36</v>
      </c>
      <c r="J35" s="4">
        <v>0</v>
      </c>
      <c r="K35" s="4">
        <v>0</v>
      </c>
      <c r="L35" s="8" t="s">
        <v>210</v>
      </c>
      <c r="M35" s="4">
        <v>0</v>
      </c>
      <c r="N35" s="8" t="s">
        <v>886</v>
      </c>
      <c r="O35" s="8" t="s">
        <v>887</v>
      </c>
      <c r="P35" s="8" t="s">
        <v>866</v>
      </c>
      <c r="Q35" s="4">
        <v>5637704090</v>
      </c>
    </row>
    <row r="36" spans="1:17" x14ac:dyDescent="0.25">
      <c r="A36" s="8" t="s">
        <v>215</v>
      </c>
      <c r="B36" s="8" t="s">
        <v>885</v>
      </c>
      <c r="C36" s="8" t="s">
        <v>103</v>
      </c>
      <c r="D36" s="8" t="s">
        <v>104</v>
      </c>
      <c r="E36" s="6">
        <v>43129</v>
      </c>
      <c r="F36" s="8" t="s">
        <v>717</v>
      </c>
      <c r="G36" s="8" t="s">
        <v>718</v>
      </c>
      <c r="H36" s="4">
        <v>-150</v>
      </c>
      <c r="I36" s="8" t="s">
        <v>36</v>
      </c>
      <c r="J36" s="4">
        <v>0</v>
      </c>
      <c r="K36" s="4">
        <v>0</v>
      </c>
      <c r="L36" s="8" t="s">
        <v>210</v>
      </c>
      <c r="M36" s="4">
        <v>0</v>
      </c>
      <c r="N36" s="8" t="s">
        <v>886</v>
      </c>
      <c r="O36" s="8" t="s">
        <v>887</v>
      </c>
      <c r="P36" s="8" t="s">
        <v>866</v>
      </c>
      <c r="Q36" s="4">
        <v>5637703074</v>
      </c>
    </row>
    <row r="37" spans="1:17" x14ac:dyDescent="0.25">
      <c r="A37" s="8" t="s">
        <v>215</v>
      </c>
      <c r="B37" s="8" t="s">
        <v>885</v>
      </c>
      <c r="C37" s="8" t="s">
        <v>103</v>
      </c>
      <c r="D37" s="8" t="s">
        <v>104</v>
      </c>
      <c r="E37" s="6">
        <v>43129</v>
      </c>
      <c r="F37" s="8" t="s">
        <v>717</v>
      </c>
      <c r="G37" s="8" t="s">
        <v>718</v>
      </c>
      <c r="H37" s="4">
        <v>-150</v>
      </c>
      <c r="I37" s="8" t="s">
        <v>36</v>
      </c>
      <c r="J37" s="4">
        <v>0</v>
      </c>
      <c r="K37" s="4">
        <v>0</v>
      </c>
      <c r="L37" s="8" t="s">
        <v>210</v>
      </c>
      <c r="M37" s="4">
        <v>0</v>
      </c>
      <c r="N37" s="8" t="s">
        <v>886</v>
      </c>
      <c r="O37" s="8" t="s">
        <v>887</v>
      </c>
      <c r="P37" s="8" t="s">
        <v>866</v>
      </c>
      <c r="Q37" s="4">
        <v>5637703073</v>
      </c>
    </row>
    <row r="38" spans="1:17" x14ac:dyDescent="0.25">
      <c r="A38" s="8" t="s">
        <v>536</v>
      </c>
      <c r="B38" s="8" t="s">
        <v>863</v>
      </c>
      <c r="C38" s="8" t="s">
        <v>53</v>
      </c>
      <c r="D38" s="8" t="s">
        <v>117</v>
      </c>
      <c r="E38" s="6">
        <v>43130</v>
      </c>
      <c r="F38" s="8" t="s">
        <v>717</v>
      </c>
      <c r="G38" s="8" t="s">
        <v>718</v>
      </c>
      <c r="H38" s="4">
        <v>10</v>
      </c>
      <c r="I38" s="8" t="s">
        <v>36</v>
      </c>
      <c r="J38" s="4">
        <v>0</v>
      </c>
      <c r="K38" s="4">
        <v>0</v>
      </c>
      <c r="L38" s="8" t="s">
        <v>210</v>
      </c>
      <c r="M38" s="4">
        <v>0</v>
      </c>
      <c r="N38" s="8" t="s">
        <v>864</v>
      </c>
      <c r="O38" s="8" t="s">
        <v>888</v>
      </c>
      <c r="P38" s="8" t="s">
        <v>866</v>
      </c>
      <c r="Q38" s="4">
        <v>5637702953</v>
      </c>
    </row>
    <row r="39" spans="1:17" x14ac:dyDescent="0.25">
      <c r="A39" s="8" t="s">
        <v>536</v>
      </c>
      <c r="B39" s="8" t="s">
        <v>863</v>
      </c>
      <c r="C39" s="8" t="s">
        <v>53</v>
      </c>
      <c r="D39" s="8" t="s">
        <v>117</v>
      </c>
      <c r="E39" s="6">
        <v>43130</v>
      </c>
      <c r="F39" s="8" t="s">
        <v>717</v>
      </c>
      <c r="G39" s="8" t="s">
        <v>718</v>
      </c>
      <c r="H39" s="4">
        <v>100</v>
      </c>
      <c r="I39" s="8" t="s">
        <v>36</v>
      </c>
      <c r="J39" s="4">
        <v>0</v>
      </c>
      <c r="K39" s="4">
        <v>0</v>
      </c>
      <c r="L39" s="8" t="s">
        <v>210</v>
      </c>
      <c r="M39" s="4">
        <v>0</v>
      </c>
      <c r="N39" s="8" t="s">
        <v>864</v>
      </c>
      <c r="O39" s="8" t="s">
        <v>888</v>
      </c>
      <c r="P39" s="8" t="s">
        <v>866</v>
      </c>
      <c r="Q39" s="4">
        <v>5637702954</v>
      </c>
    </row>
    <row r="40" spans="1:17" x14ac:dyDescent="0.25">
      <c r="A40" s="8" t="s">
        <v>536</v>
      </c>
      <c r="B40" s="8" t="s">
        <v>863</v>
      </c>
      <c r="C40" s="8" t="s">
        <v>53</v>
      </c>
      <c r="D40" s="8" t="s">
        <v>117</v>
      </c>
      <c r="E40" s="6">
        <v>43130</v>
      </c>
      <c r="F40" s="8" t="s">
        <v>717</v>
      </c>
      <c r="G40" s="8" t="s">
        <v>718</v>
      </c>
      <c r="H40" s="4">
        <v>150</v>
      </c>
      <c r="I40" s="8" t="s">
        <v>36</v>
      </c>
      <c r="J40" s="4">
        <v>0</v>
      </c>
      <c r="K40" s="4">
        <v>0</v>
      </c>
      <c r="L40" s="8" t="s">
        <v>210</v>
      </c>
      <c r="M40" s="4">
        <v>0</v>
      </c>
      <c r="N40" s="8" t="s">
        <v>864</v>
      </c>
      <c r="O40" s="8" t="s">
        <v>888</v>
      </c>
      <c r="P40" s="8" t="s">
        <v>866</v>
      </c>
      <c r="Q40" s="4">
        <v>5637702956</v>
      </c>
    </row>
    <row r="41" spans="1:17" x14ac:dyDescent="0.25">
      <c r="A41" s="8" t="s">
        <v>536</v>
      </c>
      <c r="B41" s="8" t="s">
        <v>863</v>
      </c>
      <c r="C41" s="8" t="s">
        <v>53</v>
      </c>
      <c r="D41" s="8" t="s">
        <v>117</v>
      </c>
      <c r="E41" s="6">
        <v>43130</v>
      </c>
      <c r="F41" s="8" t="s">
        <v>717</v>
      </c>
      <c r="G41" s="8" t="s">
        <v>718</v>
      </c>
      <c r="H41" s="4">
        <v>150</v>
      </c>
      <c r="I41" s="8" t="s">
        <v>36</v>
      </c>
      <c r="J41" s="4">
        <v>0</v>
      </c>
      <c r="K41" s="4">
        <v>0</v>
      </c>
      <c r="L41" s="8" t="s">
        <v>210</v>
      </c>
      <c r="M41" s="4">
        <v>0</v>
      </c>
      <c r="N41" s="8" t="s">
        <v>864</v>
      </c>
      <c r="O41" s="8" t="s">
        <v>888</v>
      </c>
      <c r="P41" s="8" t="s">
        <v>866</v>
      </c>
      <c r="Q41" s="4">
        <v>5637702957</v>
      </c>
    </row>
    <row r="42" spans="1:17" x14ac:dyDescent="0.25">
      <c r="A42" s="8" t="s">
        <v>536</v>
      </c>
      <c r="B42" s="8" t="s">
        <v>863</v>
      </c>
      <c r="C42" s="8" t="s">
        <v>53</v>
      </c>
      <c r="D42" s="8" t="s">
        <v>117</v>
      </c>
      <c r="E42" s="6">
        <v>43130</v>
      </c>
      <c r="F42" s="8" t="s">
        <v>717</v>
      </c>
      <c r="G42" s="8" t="s">
        <v>718</v>
      </c>
      <c r="H42" s="4">
        <v>150</v>
      </c>
      <c r="I42" s="8" t="s">
        <v>36</v>
      </c>
      <c r="J42" s="4">
        <v>0</v>
      </c>
      <c r="K42" s="4">
        <v>0</v>
      </c>
      <c r="L42" s="8" t="s">
        <v>210</v>
      </c>
      <c r="M42" s="4">
        <v>0</v>
      </c>
      <c r="N42" s="8" t="s">
        <v>864</v>
      </c>
      <c r="O42" s="8" t="s">
        <v>888</v>
      </c>
      <c r="P42" s="8" t="s">
        <v>866</v>
      </c>
      <c r="Q42" s="4">
        <v>5637702958</v>
      </c>
    </row>
    <row r="43" spans="1:17" x14ac:dyDescent="0.25">
      <c r="A43" s="8" t="s">
        <v>536</v>
      </c>
      <c r="B43" s="8" t="s">
        <v>863</v>
      </c>
      <c r="C43" s="8" t="s">
        <v>53</v>
      </c>
      <c r="D43" s="8" t="s">
        <v>117</v>
      </c>
      <c r="E43" s="6">
        <v>43130</v>
      </c>
      <c r="F43" s="8" t="s">
        <v>717</v>
      </c>
      <c r="G43" s="8" t="s">
        <v>718</v>
      </c>
      <c r="H43" s="4">
        <v>150</v>
      </c>
      <c r="I43" s="8" t="s">
        <v>36</v>
      </c>
      <c r="J43" s="4">
        <v>0</v>
      </c>
      <c r="K43" s="4">
        <v>0</v>
      </c>
      <c r="L43" s="8" t="s">
        <v>210</v>
      </c>
      <c r="M43" s="4">
        <v>0</v>
      </c>
      <c r="N43" s="8" t="s">
        <v>864</v>
      </c>
      <c r="O43" s="8" t="s">
        <v>888</v>
      </c>
      <c r="P43" s="8" t="s">
        <v>866</v>
      </c>
      <c r="Q43" s="4">
        <v>5637702959</v>
      </c>
    </row>
    <row r="44" spans="1:17" x14ac:dyDescent="0.25">
      <c r="A44" s="8" t="s">
        <v>536</v>
      </c>
      <c r="B44" s="8" t="s">
        <v>863</v>
      </c>
      <c r="C44" s="8" t="s">
        <v>53</v>
      </c>
      <c r="D44" s="8" t="s">
        <v>117</v>
      </c>
      <c r="E44" s="6">
        <v>43130</v>
      </c>
      <c r="F44" s="8" t="s">
        <v>717</v>
      </c>
      <c r="G44" s="8" t="s">
        <v>718</v>
      </c>
      <c r="H44" s="4">
        <v>150</v>
      </c>
      <c r="I44" s="8" t="s">
        <v>36</v>
      </c>
      <c r="J44" s="4">
        <v>0</v>
      </c>
      <c r="K44" s="4">
        <v>0</v>
      </c>
      <c r="L44" s="8" t="s">
        <v>210</v>
      </c>
      <c r="M44" s="4">
        <v>0</v>
      </c>
      <c r="N44" s="8" t="s">
        <v>864</v>
      </c>
      <c r="O44" s="8" t="s">
        <v>888</v>
      </c>
      <c r="P44" s="8" t="s">
        <v>866</v>
      </c>
      <c r="Q44" s="4">
        <v>5637702960</v>
      </c>
    </row>
    <row r="45" spans="1:17" x14ac:dyDescent="0.25">
      <c r="A45" s="8" t="s">
        <v>536</v>
      </c>
      <c r="B45" s="8" t="s">
        <v>863</v>
      </c>
      <c r="C45" s="8" t="s">
        <v>53</v>
      </c>
      <c r="D45" s="8" t="s">
        <v>117</v>
      </c>
      <c r="E45" s="6">
        <v>43130</v>
      </c>
      <c r="F45" s="8" t="s">
        <v>717</v>
      </c>
      <c r="G45" s="8" t="s">
        <v>718</v>
      </c>
      <c r="H45" s="4">
        <v>150</v>
      </c>
      <c r="I45" s="8" t="s">
        <v>36</v>
      </c>
      <c r="J45" s="4">
        <v>0</v>
      </c>
      <c r="K45" s="4">
        <v>0</v>
      </c>
      <c r="L45" s="8" t="s">
        <v>210</v>
      </c>
      <c r="M45" s="4">
        <v>0</v>
      </c>
      <c r="N45" s="8" t="s">
        <v>864</v>
      </c>
      <c r="O45" s="8" t="s">
        <v>888</v>
      </c>
      <c r="P45" s="8" t="s">
        <v>866</v>
      </c>
      <c r="Q45" s="4">
        <v>5637702961</v>
      </c>
    </row>
    <row r="46" spans="1:17" x14ac:dyDescent="0.25">
      <c r="A46" s="8" t="s">
        <v>536</v>
      </c>
      <c r="B46" s="8" t="s">
        <v>863</v>
      </c>
      <c r="C46" s="8" t="s">
        <v>53</v>
      </c>
      <c r="D46" s="8" t="s">
        <v>117</v>
      </c>
      <c r="E46" s="6">
        <v>43130</v>
      </c>
      <c r="F46" s="8" t="s">
        <v>717</v>
      </c>
      <c r="G46" s="8" t="s">
        <v>718</v>
      </c>
      <c r="H46" s="4">
        <v>150</v>
      </c>
      <c r="I46" s="8" t="s">
        <v>36</v>
      </c>
      <c r="J46" s="4">
        <v>0</v>
      </c>
      <c r="K46" s="4">
        <v>0</v>
      </c>
      <c r="L46" s="8" t="s">
        <v>210</v>
      </c>
      <c r="M46" s="4">
        <v>0</v>
      </c>
      <c r="N46" s="8" t="s">
        <v>864</v>
      </c>
      <c r="O46" s="8" t="s">
        <v>888</v>
      </c>
      <c r="P46" s="8" t="s">
        <v>866</v>
      </c>
      <c r="Q46" s="4">
        <v>5637702955</v>
      </c>
    </row>
    <row r="47" spans="1:17" x14ac:dyDescent="0.25">
      <c r="A47" s="8" t="s">
        <v>536</v>
      </c>
      <c r="B47" s="8" t="s">
        <v>863</v>
      </c>
      <c r="C47" s="8" t="s">
        <v>53</v>
      </c>
      <c r="D47" s="8" t="s">
        <v>117</v>
      </c>
      <c r="E47" s="6">
        <v>43130</v>
      </c>
      <c r="F47" s="8" t="s">
        <v>717</v>
      </c>
      <c r="G47" s="8" t="s">
        <v>718</v>
      </c>
      <c r="H47" s="4">
        <v>150</v>
      </c>
      <c r="I47" s="8" t="s">
        <v>36</v>
      </c>
      <c r="J47" s="4">
        <v>0</v>
      </c>
      <c r="K47" s="4">
        <v>0</v>
      </c>
      <c r="L47" s="8" t="s">
        <v>210</v>
      </c>
      <c r="M47" s="4">
        <v>0</v>
      </c>
      <c r="N47" s="8" t="s">
        <v>864</v>
      </c>
      <c r="O47" s="8" t="s">
        <v>888</v>
      </c>
      <c r="P47" s="8" t="s">
        <v>866</v>
      </c>
      <c r="Q47" s="4">
        <v>5637705717</v>
      </c>
    </row>
    <row r="48" spans="1:17" x14ac:dyDescent="0.25">
      <c r="A48" s="8" t="s">
        <v>536</v>
      </c>
      <c r="B48" s="8" t="s">
        <v>863</v>
      </c>
      <c r="C48" s="8" t="s">
        <v>53</v>
      </c>
      <c r="D48" s="8" t="s">
        <v>117</v>
      </c>
      <c r="E48" s="6">
        <v>43130</v>
      </c>
      <c r="F48" s="8" t="s">
        <v>717</v>
      </c>
      <c r="G48" s="8" t="s">
        <v>718</v>
      </c>
      <c r="H48" s="4">
        <v>150</v>
      </c>
      <c r="I48" s="8" t="s">
        <v>36</v>
      </c>
      <c r="J48" s="4">
        <v>0</v>
      </c>
      <c r="K48" s="4">
        <v>0</v>
      </c>
      <c r="L48" s="8" t="s">
        <v>210</v>
      </c>
      <c r="M48" s="4">
        <v>0</v>
      </c>
      <c r="N48" s="8" t="s">
        <v>864</v>
      </c>
      <c r="O48" s="8" t="s">
        <v>888</v>
      </c>
      <c r="P48" s="8" t="s">
        <v>866</v>
      </c>
      <c r="Q48" s="4">
        <v>5637705718</v>
      </c>
    </row>
    <row r="49" spans="1:17" x14ac:dyDescent="0.25">
      <c r="A49" s="8" t="s">
        <v>536</v>
      </c>
      <c r="B49" s="8" t="s">
        <v>863</v>
      </c>
      <c r="C49" s="8" t="s">
        <v>53</v>
      </c>
      <c r="D49" s="8" t="s">
        <v>117</v>
      </c>
      <c r="E49" s="6">
        <v>43130</v>
      </c>
      <c r="F49" s="8" t="s">
        <v>717</v>
      </c>
      <c r="G49" s="8" t="s">
        <v>718</v>
      </c>
      <c r="H49" s="4">
        <v>150</v>
      </c>
      <c r="I49" s="8" t="s">
        <v>36</v>
      </c>
      <c r="J49" s="4">
        <v>0</v>
      </c>
      <c r="K49" s="4">
        <v>0</v>
      </c>
      <c r="L49" s="8" t="s">
        <v>210</v>
      </c>
      <c r="M49" s="4">
        <v>0</v>
      </c>
      <c r="N49" s="8" t="s">
        <v>864</v>
      </c>
      <c r="O49" s="8" t="s">
        <v>888</v>
      </c>
      <c r="P49" s="8" t="s">
        <v>866</v>
      </c>
      <c r="Q49" s="4">
        <v>5637705719</v>
      </c>
    </row>
    <row r="50" spans="1:17" x14ac:dyDescent="0.25">
      <c r="A50" s="8" t="s">
        <v>536</v>
      </c>
      <c r="B50" s="8" t="s">
        <v>863</v>
      </c>
      <c r="C50" s="8" t="s">
        <v>53</v>
      </c>
      <c r="D50" s="8" t="s">
        <v>117</v>
      </c>
      <c r="E50" s="6">
        <v>43130</v>
      </c>
      <c r="F50" s="8" t="s">
        <v>717</v>
      </c>
      <c r="G50" s="8" t="s">
        <v>718</v>
      </c>
      <c r="H50" s="4">
        <v>150</v>
      </c>
      <c r="I50" s="8" t="s">
        <v>36</v>
      </c>
      <c r="J50" s="4">
        <v>0</v>
      </c>
      <c r="K50" s="4">
        <v>0</v>
      </c>
      <c r="L50" s="8" t="s">
        <v>210</v>
      </c>
      <c r="M50" s="4">
        <v>0</v>
      </c>
      <c r="N50" s="8" t="s">
        <v>864</v>
      </c>
      <c r="O50" s="8" t="s">
        <v>888</v>
      </c>
      <c r="P50" s="8" t="s">
        <v>866</v>
      </c>
      <c r="Q50" s="4">
        <v>5637705721</v>
      </c>
    </row>
    <row r="51" spans="1:17" x14ac:dyDescent="0.25">
      <c r="A51" s="8" t="s">
        <v>536</v>
      </c>
      <c r="B51" s="8" t="s">
        <v>863</v>
      </c>
      <c r="C51" s="8" t="s">
        <v>53</v>
      </c>
      <c r="D51" s="8" t="s">
        <v>117</v>
      </c>
      <c r="E51" s="6">
        <v>43130</v>
      </c>
      <c r="F51" s="8" t="s">
        <v>717</v>
      </c>
      <c r="G51" s="8" t="s">
        <v>718</v>
      </c>
      <c r="H51" s="4">
        <v>150</v>
      </c>
      <c r="I51" s="8" t="s">
        <v>36</v>
      </c>
      <c r="J51" s="4">
        <v>0</v>
      </c>
      <c r="K51" s="4">
        <v>0</v>
      </c>
      <c r="L51" s="8" t="s">
        <v>210</v>
      </c>
      <c r="M51" s="4">
        <v>0</v>
      </c>
      <c r="N51" s="8" t="s">
        <v>864</v>
      </c>
      <c r="O51" s="8" t="s">
        <v>888</v>
      </c>
      <c r="P51" s="8" t="s">
        <v>866</v>
      </c>
      <c r="Q51" s="4">
        <v>5637705722</v>
      </c>
    </row>
    <row r="52" spans="1:17" x14ac:dyDescent="0.25">
      <c r="A52" s="8" t="s">
        <v>536</v>
      </c>
      <c r="B52" s="8" t="s">
        <v>863</v>
      </c>
      <c r="C52" s="8" t="s">
        <v>53</v>
      </c>
      <c r="D52" s="8" t="s">
        <v>117</v>
      </c>
      <c r="E52" s="6">
        <v>43130</v>
      </c>
      <c r="F52" s="8" t="s">
        <v>717</v>
      </c>
      <c r="G52" s="8" t="s">
        <v>718</v>
      </c>
      <c r="H52" s="4">
        <v>150</v>
      </c>
      <c r="I52" s="8" t="s">
        <v>36</v>
      </c>
      <c r="J52" s="4">
        <v>0</v>
      </c>
      <c r="K52" s="4">
        <v>0</v>
      </c>
      <c r="L52" s="8" t="s">
        <v>210</v>
      </c>
      <c r="M52" s="4">
        <v>0</v>
      </c>
      <c r="N52" s="8" t="s">
        <v>864</v>
      </c>
      <c r="O52" s="8" t="s">
        <v>888</v>
      </c>
      <c r="P52" s="8" t="s">
        <v>866</v>
      </c>
      <c r="Q52" s="4">
        <v>5637705723</v>
      </c>
    </row>
    <row r="53" spans="1:17" x14ac:dyDescent="0.25">
      <c r="A53" s="8" t="s">
        <v>536</v>
      </c>
      <c r="B53" s="8" t="s">
        <v>863</v>
      </c>
      <c r="C53" s="8" t="s">
        <v>53</v>
      </c>
      <c r="D53" s="8" t="s">
        <v>117</v>
      </c>
      <c r="E53" s="6">
        <v>43130</v>
      </c>
      <c r="F53" s="8" t="s">
        <v>717</v>
      </c>
      <c r="G53" s="8" t="s">
        <v>718</v>
      </c>
      <c r="H53" s="4">
        <v>150</v>
      </c>
      <c r="I53" s="8" t="s">
        <v>36</v>
      </c>
      <c r="J53" s="4">
        <v>0</v>
      </c>
      <c r="K53" s="4">
        <v>0</v>
      </c>
      <c r="L53" s="8" t="s">
        <v>210</v>
      </c>
      <c r="M53" s="4">
        <v>0</v>
      </c>
      <c r="N53" s="8" t="s">
        <v>864</v>
      </c>
      <c r="O53" s="8" t="s">
        <v>888</v>
      </c>
      <c r="P53" s="8" t="s">
        <v>866</v>
      </c>
      <c r="Q53" s="4">
        <v>5637705724</v>
      </c>
    </row>
    <row r="54" spans="1:17" x14ac:dyDescent="0.25">
      <c r="A54" s="8" t="s">
        <v>536</v>
      </c>
      <c r="B54" s="8" t="s">
        <v>863</v>
      </c>
      <c r="C54" s="8" t="s">
        <v>53</v>
      </c>
      <c r="D54" s="8" t="s">
        <v>117</v>
      </c>
      <c r="E54" s="6">
        <v>43130</v>
      </c>
      <c r="F54" s="8" t="s">
        <v>717</v>
      </c>
      <c r="G54" s="8" t="s">
        <v>718</v>
      </c>
      <c r="H54" s="4">
        <v>150</v>
      </c>
      <c r="I54" s="8" t="s">
        <v>36</v>
      </c>
      <c r="J54" s="4">
        <v>0</v>
      </c>
      <c r="K54" s="4">
        <v>0</v>
      </c>
      <c r="L54" s="8" t="s">
        <v>210</v>
      </c>
      <c r="M54" s="4">
        <v>0</v>
      </c>
      <c r="N54" s="8" t="s">
        <v>864</v>
      </c>
      <c r="O54" s="8" t="s">
        <v>888</v>
      </c>
      <c r="P54" s="8" t="s">
        <v>866</v>
      </c>
      <c r="Q54" s="4">
        <v>5637705725</v>
      </c>
    </row>
    <row r="55" spans="1:17" x14ac:dyDescent="0.25">
      <c r="A55" s="8" t="s">
        <v>536</v>
      </c>
      <c r="B55" s="8" t="s">
        <v>863</v>
      </c>
      <c r="C55" s="8" t="s">
        <v>53</v>
      </c>
      <c r="D55" s="8" t="s">
        <v>117</v>
      </c>
      <c r="E55" s="6">
        <v>43130</v>
      </c>
      <c r="F55" s="8" t="s">
        <v>717</v>
      </c>
      <c r="G55" s="8" t="s">
        <v>718</v>
      </c>
      <c r="H55" s="4">
        <v>150</v>
      </c>
      <c r="I55" s="8" t="s">
        <v>36</v>
      </c>
      <c r="J55" s="4">
        <v>0</v>
      </c>
      <c r="K55" s="4">
        <v>0</v>
      </c>
      <c r="L55" s="8" t="s">
        <v>210</v>
      </c>
      <c r="M55" s="4">
        <v>0</v>
      </c>
      <c r="N55" s="8" t="s">
        <v>864</v>
      </c>
      <c r="O55" s="8" t="s">
        <v>888</v>
      </c>
      <c r="P55" s="8" t="s">
        <v>866</v>
      </c>
      <c r="Q55" s="4">
        <v>5637705726</v>
      </c>
    </row>
    <row r="56" spans="1:17" x14ac:dyDescent="0.25">
      <c r="A56" s="8" t="s">
        <v>536</v>
      </c>
      <c r="B56" s="8" t="s">
        <v>863</v>
      </c>
      <c r="C56" s="8" t="s">
        <v>53</v>
      </c>
      <c r="D56" s="8" t="s">
        <v>117</v>
      </c>
      <c r="E56" s="6">
        <v>43130</v>
      </c>
      <c r="F56" s="8" t="s">
        <v>717</v>
      </c>
      <c r="G56" s="8" t="s">
        <v>718</v>
      </c>
      <c r="H56" s="4">
        <v>10</v>
      </c>
      <c r="I56" s="8" t="s">
        <v>36</v>
      </c>
      <c r="J56" s="4">
        <v>0</v>
      </c>
      <c r="K56" s="4">
        <v>0</v>
      </c>
      <c r="L56" s="8" t="s">
        <v>210</v>
      </c>
      <c r="M56" s="4">
        <v>0</v>
      </c>
      <c r="N56" s="8" t="s">
        <v>864</v>
      </c>
      <c r="O56" s="8" t="s">
        <v>888</v>
      </c>
      <c r="P56" s="8" t="s">
        <v>866</v>
      </c>
      <c r="Q56" s="4">
        <v>5637705727</v>
      </c>
    </row>
    <row r="57" spans="1:17" x14ac:dyDescent="0.25">
      <c r="A57" s="8" t="s">
        <v>536</v>
      </c>
      <c r="B57" s="8" t="s">
        <v>863</v>
      </c>
      <c r="C57" s="8" t="s">
        <v>53</v>
      </c>
      <c r="D57" s="8" t="s">
        <v>117</v>
      </c>
      <c r="E57" s="6">
        <v>43130</v>
      </c>
      <c r="F57" s="8" t="s">
        <v>717</v>
      </c>
      <c r="G57" s="8" t="s">
        <v>718</v>
      </c>
      <c r="H57" s="4">
        <v>100</v>
      </c>
      <c r="I57" s="8" t="s">
        <v>36</v>
      </c>
      <c r="J57" s="4">
        <v>0</v>
      </c>
      <c r="K57" s="4">
        <v>0</v>
      </c>
      <c r="L57" s="8" t="s">
        <v>210</v>
      </c>
      <c r="M57" s="4">
        <v>0</v>
      </c>
      <c r="N57" s="8" t="s">
        <v>864</v>
      </c>
      <c r="O57" s="8" t="s">
        <v>888</v>
      </c>
      <c r="P57" s="8" t="s">
        <v>866</v>
      </c>
      <c r="Q57" s="4">
        <v>5637705728</v>
      </c>
    </row>
    <row r="58" spans="1:17" x14ac:dyDescent="0.25">
      <c r="A58" s="8" t="s">
        <v>536</v>
      </c>
      <c r="B58" s="8" t="s">
        <v>863</v>
      </c>
      <c r="C58" s="8" t="s">
        <v>53</v>
      </c>
      <c r="D58" s="8" t="s">
        <v>117</v>
      </c>
      <c r="E58" s="6">
        <v>43130</v>
      </c>
      <c r="F58" s="8" t="s">
        <v>717</v>
      </c>
      <c r="G58" s="8" t="s">
        <v>718</v>
      </c>
      <c r="H58" s="4">
        <v>100</v>
      </c>
      <c r="I58" s="8" t="s">
        <v>36</v>
      </c>
      <c r="J58" s="4">
        <v>0</v>
      </c>
      <c r="K58" s="4">
        <v>0</v>
      </c>
      <c r="L58" s="8" t="s">
        <v>210</v>
      </c>
      <c r="M58" s="4">
        <v>0</v>
      </c>
      <c r="N58" s="8" t="s">
        <v>864</v>
      </c>
      <c r="O58" s="8" t="s">
        <v>888</v>
      </c>
      <c r="P58" s="8" t="s">
        <v>866</v>
      </c>
      <c r="Q58" s="4">
        <v>5637705729</v>
      </c>
    </row>
    <row r="59" spans="1:17" x14ac:dyDescent="0.25">
      <c r="A59" s="8" t="s">
        <v>536</v>
      </c>
      <c r="B59" s="8" t="s">
        <v>863</v>
      </c>
      <c r="C59" s="8" t="s">
        <v>53</v>
      </c>
      <c r="D59" s="8" t="s">
        <v>117</v>
      </c>
      <c r="E59" s="6">
        <v>43130</v>
      </c>
      <c r="F59" s="8" t="s">
        <v>717</v>
      </c>
      <c r="G59" s="8" t="s">
        <v>718</v>
      </c>
      <c r="H59" s="4">
        <v>150</v>
      </c>
      <c r="I59" s="8" t="s">
        <v>36</v>
      </c>
      <c r="J59" s="4">
        <v>0</v>
      </c>
      <c r="K59" s="4">
        <v>0</v>
      </c>
      <c r="L59" s="8" t="s">
        <v>210</v>
      </c>
      <c r="M59" s="4">
        <v>0</v>
      </c>
      <c r="N59" s="8" t="s">
        <v>864</v>
      </c>
      <c r="O59" s="8" t="s">
        <v>888</v>
      </c>
      <c r="P59" s="8" t="s">
        <v>866</v>
      </c>
      <c r="Q59" s="4">
        <v>5637705730</v>
      </c>
    </row>
    <row r="60" spans="1:17" x14ac:dyDescent="0.25">
      <c r="A60" s="8" t="s">
        <v>536</v>
      </c>
      <c r="B60" s="8" t="s">
        <v>863</v>
      </c>
      <c r="C60" s="8" t="s">
        <v>53</v>
      </c>
      <c r="D60" s="8" t="s">
        <v>117</v>
      </c>
      <c r="E60" s="6">
        <v>43130</v>
      </c>
      <c r="F60" s="8" t="s">
        <v>717</v>
      </c>
      <c r="G60" s="8" t="s">
        <v>718</v>
      </c>
      <c r="H60" s="4">
        <v>150</v>
      </c>
      <c r="I60" s="8" t="s">
        <v>36</v>
      </c>
      <c r="J60" s="4">
        <v>0</v>
      </c>
      <c r="K60" s="4">
        <v>0</v>
      </c>
      <c r="L60" s="8" t="s">
        <v>210</v>
      </c>
      <c r="M60" s="4">
        <v>0</v>
      </c>
      <c r="N60" s="8" t="s">
        <v>864</v>
      </c>
      <c r="O60" s="8" t="s">
        <v>888</v>
      </c>
      <c r="P60" s="8" t="s">
        <v>866</v>
      </c>
      <c r="Q60" s="4">
        <v>5637705731</v>
      </c>
    </row>
    <row r="61" spans="1:17" x14ac:dyDescent="0.25">
      <c r="A61" s="8" t="s">
        <v>536</v>
      </c>
      <c r="B61" s="8" t="s">
        <v>863</v>
      </c>
      <c r="C61" s="8" t="s">
        <v>53</v>
      </c>
      <c r="D61" s="8" t="s">
        <v>117</v>
      </c>
      <c r="E61" s="6">
        <v>43130</v>
      </c>
      <c r="F61" s="8" t="s">
        <v>717</v>
      </c>
      <c r="G61" s="8" t="s">
        <v>718</v>
      </c>
      <c r="H61" s="4">
        <v>150</v>
      </c>
      <c r="I61" s="8" t="s">
        <v>36</v>
      </c>
      <c r="J61" s="4">
        <v>0</v>
      </c>
      <c r="K61" s="4">
        <v>0</v>
      </c>
      <c r="L61" s="8" t="s">
        <v>210</v>
      </c>
      <c r="M61" s="4">
        <v>0</v>
      </c>
      <c r="N61" s="8" t="s">
        <v>864</v>
      </c>
      <c r="O61" s="8" t="s">
        <v>888</v>
      </c>
      <c r="P61" s="8" t="s">
        <v>866</v>
      </c>
      <c r="Q61" s="4">
        <v>5637705732</v>
      </c>
    </row>
    <row r="62" spans="1:17" x14ac:dyDescent="0.25">
      <c r="A62" s="8" t="s">
        <v>536</v>
      </c>
      <c r="B62" s="8" t="s">
        <v>863</v>
      </c>
      <c r="C62" s="8" t="s">
        <v>53</v>
      </c>
      <c r="D62" s="8" t="s">
        <v>117</v>
      </c>
      <c r="E62" s="6">
        <v>43130</v>
      </c>
      <c r="F62" s="8" t="s">
        <v>717</v>
      </c>
      <c r="G62" s="8" t="s">
        <v>718</v>
      </c>
      <c r="H62" s="4">
        <v>150</v>
      </c>
      <c r="I62" s="8" t="s">
        <v>36</v>
      </c>
      <c r="J62" s="4">
        <v>0</v>
      </c>
      <c r="K62" s="4">
        <v>0</v>
      </c>
      <c r="L62" s="8" t="s">
        <v>210</v>
      </c>
      <c r="M62" s="4">
        <v>0</v>
      </c>
      <c r="N62" s="8" t="s">
        <v>864</v>
      </c>
      <c r="O62" s="8" t="s">
        <v>888</v>
      </c>
      <c r="P62" s="8" t="s">
        <v>866</v>
      </c>
      <c r="Q62" s="4">
        <v>5637705733</v>
      </c>
    </row>
    <row r="63" spans="1:17" x14ac:dyDescent="0.25">
      <c r="A63" s="8" t="s">
        <v>536</v>
      </c>
      <c r="B63" s="8" t="s">
        <v>863</v>
      </c>
      <c r="C63" s="8" t="s">
        <v>53</v>
      </c>
      <c r="D63" s="8" t="s">
        <v>117</v>
      </c>
      <c r="E63" s="6">
        <v>43130</v>
      </c>
      <c r="F63" s="8" t="s">
        <v>717</v>
      </c>
      <c r="G63" s="8" t="s">
        <v>718</v>
      </c>
      <c r="H63" s="4">
        <v>150</v>
      </c>
      <c r="I63" s="8" t="s">
        <v>36</v>
      </c>
      <c r="J63" s="4">
        <v>0</v>
      </c>
      <c r="K63" s="4">
        <v>0</v>
      </c>
      <c r="L63" s="8" t="s">
        <v>210</v>
      </c>
      <c r="M63" s="4">
        <v>0</v>
      </c>
      <c r="N63" s="8" t="s">
        <v>864</v>
      </c>
      <c r="O63" s="8" t="s">
        <v>888</v>
      </c>
      <c r="P63" s="8" t="s">
        <v>866</v>
      </c>
      <c r="Q63" s="4">
        <v>5637705734</v>
      </c>
    </row>
    <row r="64" spans="1:17" x14ac:dyDescent="0.25">
      <c r="A64" s="8" t="s">
        <v>536</v>
      </c>
      <c r="B64" s="8" t="s">
        <v>863</v>
      </c>
      <c r="C64" s="8" t="s">
        <v>53</v>
      </c>
      <c r="D64" s="8" t="s">
        <v>117</v>
      </c>
      <c r="E64" s="6">
        <v>43130</v>
      </c>
      <c r="F64" s="8" t="s">
        <v>717</v>
      </c>
      <c r="G64" s="8" t="s">
        <v>718</v>
      </c>
      <c r="H64" s="4">
        <v>150</v>
      </c>
      <c r="I64" s="8" t="s">
        <v>36</v>
      </c>
      <c r="J64" s="4">
        <v>0</v>
      </c>
      <c r="K64" s="4">
        <v>0</v>
      </c>
      <c r="L64" s="8" t="s">
        <v>210</v>
      </c>
      <c r="M64" s="4">
        <v>0</v>
      </c>
      <c r="N64" s="8" t="s">
        <v>864</v>
      </c>
      <c r="O64" s="8" t="s">
        <v>888</v>
      </c>
      <c r="P64" s="8" t="s">
        <v>866</v>
      </c>
      <c r="Q64" s="4">
        <v>5637705720</v>
      </c>
    </row>
    <row r="65" spans="1:17" x14ac:dyDescent="0.25">
      <c r="A65" s="8" t="s">
        <v>215</v>
      </c>
      <c r="B65" s="8" t="s">
        <v>889</v>
      </c>
      <c r="C65" s="8" t="s">
        <v>89</v>
      </c>
      <c r="D65" s="8" t="s">
        <v>90</v>
      </c>
      <c r="E65" s="6">
        <v>43129</v>
      </c>
      <c r="F65" s="8" t="s">
        <v>717</v>
      </c>
      <c r="G65" s="8" t="s">
        <v>718</v>
      </c>
      <c r="H65" s="4">
        <v>-150</v>
      </c>
      <c r="I65" s="8" t="s">
        <v>36</v>
      </c>
      <c r="J65" s="4">
        <v>0</v>
      </c>
      <c r="K65" s="4">
        <v>0</v>
      </c>
      <c r="L65" s="8" t="s">
        <v>210</v>
      </c>
      <c r="M65" s="4">
        <v>0</v>
      </c>
      <c r="N65" s="8" t="s">
        <v>890</v>
      </c>
      <c r="O65" s="8" t="s">
        <v>891</v>
      </c>
      <c r="P65" s="8" t="s">
        <v>866</v>
      </c>
      <c r="Q65" s="4">
        <v>5637705655</v>
      </c>
    </row>
    <row r="66" spans="1:17" x14ac:dyDescent="0.25">
      <c r="A66" s="8" t="s">
        <v>215</v>
      </c>
      <c r="B66" s="8" t="s">
        <v>889</v>
      </c>
      <c r="C66" s="8" t="s">
        <v>89</v>
      </c>
      <c r="D66" s="8" t="s">
        <v>90</v>
      </c>
      <c r="E66" s="6">
        <v>43129</v>
      </c>
      <c r="F66" s="8" t="s">
        <v>717</v>
      </c>
      <c r="G66" s="8" t="s">
        <v>718</v>
      </c>
      <c r="H66" s="4">
        <v>-150</v>
      </c>
      <c r="I66" s="8" t="s">
        <v>36</v>
      </c>
      <c r="J66" s="4">
        <v>0</v>
      </c>
      <c r="K66" s="4">
        <v>0</v>
      </c>
      <c r="L66" s="8" t="s">
        <v>210</v>
      </c>
      <c r="M66" s="4">
        <v>0</v>
      </c>
      <c r="N66" s="8" t="s">
        <v>890</v>
      </c>
      <c r="O66" s="8" t="s">
        <v>891</v>
      </c>
      <c r="P66" s="8" t="s">
        <v>866</v>
      </c>
      <c r="Q66" s="4">
        <v>5637705656</v>
      </c>
    </row>
    <row r="67" spans="1:17" x14ac:dyDescent="0.25">
      <c r="A67" s="8" t="s">
        <v>215</v>
      </c>
      <c r="B67" s="8" t="s">
        <v>889</v>
      </c>
      <c r="C67" s="8" t="s">
        <v>89</v>
      </c>
      <c r="D67" s="8" t="s">
        <v>90</v>
      </c>
      <c r="E67" s="6">
        <v>43129</v>
      </c>
      <c r="F67" s="8" t="s">
        <v>717</v>
      </c>
      <c r="G67" s="8" t="s">
        <v>718</v>
      </c>
      <c r="H67" s="4">
        <v>-150</v>
      </c>
      <c r="I67" s="8" t="s">
        <v>36</v>
      </c>
      <c r="J67" s="4">
        <v>0</v>
      </c>
      <c r="K67" s="4">
        <v>0</v>
      </c>
      <c r="L67" s="8" t="s">
        <v>210</v>
      </c>
      <c r="M67" s="4">
        <v>0</v>
      </c>
      <c r="N67" s="8" t="s">
        <v>890</v>
      </c>
      <c r="O67" s="8" t="s">
        <v>891</v>
      </c>
      <c r="P67" s="8" t="s">
        <v>866</v>
      </c>
      <c r="Q67" s="4">
        <v>5637704453</v>
      </c>
    </row>
    <row r="68" spans="1:17" x14ac:dyDescent="0.25">
      <c r="A68" s="8" t="s">
        <v>215</v>
      </c>
      <c r="B68" s="8" t="s">
        <v>889</v>
      </c>
      <c r="C68" s="8" t="s">
        <v>89</v>
      </c>
      <c r="D68" s="8" t="s">
        <v>90</v>
      </c>
      <c r="E68" s="6">
        <v>43129</v>
      </c>
      <c r="F68" s="8" t="s">
        <v>717</v>
      </c>
      <c r="G68" s="8" t="s">
        <v>718</v>
      </c>
      <c r="H68" s="4">
        <v>-150</v>
      </c>
      <c r="I68" s="8" t="s">
        <v>36</v>
      </c>
      <c r="J68" s="4">
        <v>0</v>
      </c>
      <c r="K68" s="4">
        <v>0</v>
      </c>
      <c r="L68" s="8" t="s">
        <v>210</v>
      </c>
      <c r="M68" s="4">
        <v>0</v>
      </c>
      <c r="N68" s="8" t="s">
        <v>890</v>
      </c>
      <c r="O68" s="8" t="s">
        <v>891</v>
      </c>
      <c r="P68" s="8" t="s">
        <v>866</v>
      </c>
      <c r="Q68" s="4">
        <v>5637705654</v>
      </c>
    </row>
    <row r="69" spans="1:17" x14ac:dyDescent="0.25">
      <c r="A69" s="8" t="s">
        <v>215</v>
      </c>
      <c r="B69" s="8" t="s">
        <v>889</v>
      </c>
      <c r="C69" s="8" t="s">
        <v>89</v>
      </c>
      <c r="D69" s="8" t="s">
        <v>90</v>
      </c>
      <c r="E69" s="6">
        <v>43129</v>
      </c>
      <c r="F69" s="8" t="s">
        <v>717</v>
      </c>
      <c r="G69" s="8" t="s">
        <v>718</v>
      </c>
      <c r="H69" s="4">
        <v>-150</v>
      </c>
      <c r="I69" s="8" t="s">
        <v>36</v>
      </c>
      <c r="J69" s="4">
        <v>0</v>
      </c>
      <c r="K69" s="4">
        <v>0</v>
      </c>
      <c r="L69" s="8" t="s">
        <v>210</v>
      </c>
      <c r="M69" s="4">
        <v>0</v>
      </c>
      <c r="N69" s="8" t="s">
        <v>890</v>
      </c>
      <c r="O69" s="8" t="s">
        <v>891</v>
      </c>
      <c r="P69" s="8" t="s">
        <v>866</v>
      </c>
      <c r="Q69" s="4">
        <v>5637705651</v>
      </c>
    </row>
    <row r="70" spans="1:17" x14ac:dyDescent="0.25">
      <c r="A70" s="8" t="s">
        <v>215</v>
      </c>
      <c r="B70" s="8" t="s">
        <v>889</v>
      </c>
      <c r="C70" s="8" t="s">
        <v>89</v>
      </c>
      <c r="D70" s="8" t="s">
        <v>90</v>
      </c>
      <c r="E70" s="6">
        <v>43129</v>
      </c>
      <c r="F70" s="8" t="s">
        <v>717</v>
      </c>
      <c r="G70" s="8" t="s">
        <v>718</v>
      </c>
      <c r="H70" s="4">
        <v>-150</v>
      </c>
      <c r="I70" s="8" t="s">
        <v>36</v>
      </c>
      <c r="J70" s="4">
        <v>0</v>
      </c>
      <c r="K70" s="4">
        <v>0</v>
      </c>
      <c r="L70" s="8" t="s">
        <v>210</v>
      </c>
      <c r="M70" s="4">
        <v>0</v>
      </c>
      <c r="N70" s="8" t="s">
        <v>890</v>
      </c>
      <c r="O70" s="8" t="s">
        <v>891</v>
      </c>
      <c r="P70" s="8" t="s">
        <v>866</v>
      </c>
      <c r="Q70" s="4">
        <v>5637705652</v>
      </c>
    </row>
    <row r="71" spans="1:17" x14ac:dyDescent="0.25">
      <c r="A71" s="8" t="s">
        <v>215</v>
      </c>
      <c r="B71" s="8" t="s">
        <v>889</v>
      </c>
      <c r="C71" s="8" t="s">
        <v>89</v>
      </c>
      <c r="D71" s="8" t="s">
        <v>90</v>
      </c>
      <c r="E71" s="6">
        <v>43129</v>
      </c>
      <c r="F71" s="8" t="s">
        <v>717</v>
      </c>
      <c r="G71" s="8" t="s">
        <v>718</v>
      </c>
      <c r="H71" s="4">
        <v>-150</v>
      </c>
      <c r="I71" s="8" t="s">
        <v>36</v>
      </c>
      <c r="J71" s="4">
        <v>0</v>
      </c>
      <c r="K71" s="4">
        <v>0</v>
      </c>
      <c r="L71" s="8" t="s">
        <v>210</v>
      </c>
      <c r="M71" s="4">
        <v>0</v>
      </c>
      <c r="N71" s="8" t="s">
        <v>890</v>
      </c>
      <c r="O71" s="8" t="s">
        <v>891</v>
      </c>
      <c r="P71" s="8" t="s">
        <v>866</v>
      </c>
      <c r="Q71" s="4">
        <v>5637705653</v>
      </c>
    </row>
    <row r="72" spans="1:17" x14ac:dyDescent="0.25">
      <c r="A72" s="8" t="s">
        <v>215</v>
      </c>
      <c r="B72" s="8" t="s">
        <v>889</v>
      </c>
      <c r="C72" s="8" t="s">
        <v>112</v>
      </c>
      <c r="D72" s="8" t="s">
        <v>113</v>
      </c>
      <c r="E72" s="6">
        <v>43129</v>
      </c>
      <c r="F72" s="8" t="s">
        <v>717</v>
      </c>
      <c r="G72" s="8" t="s">
        <v>718</v>
      </c>
      <c r="H72" s="4">
        <v>-150</v>
      </c>
      <c r="I72" s="8" t="s">
        <v>36</v>
      </c>
      <c r="J72" s="4">
        <v>0</v>
      </c>
      <c r="K72" s="4">
        <v>0</v>
      </c>
      <c r="L72" s="8" t="s">
        <v>210</v>
      </c>
      <c r="M72" s="4">
        <v>0</v>
      </c>
      <c r="N72" s="8" t="s">
        <v>890</v>
      </c>
      <c r="O72" s="8" t="s">
        <v>892</v>
      </c>
      <c r="P72" s="8" t="s">
        <v>866</v>
      </c>
      <c r="Q72" s="4">
        <v>5637704455</v>
      </c>
    </row>
    <row r="73" spans="1:17" x14ac:dyDescent="0.25">
      <c r="A73" s="8" t="s">
        <v>215</v>
      </c>
      <c r="B73" s="8" t="s">
        <v>889</v>
      </c>
      <c r="C73" s="8" t="s">
        <v>112</v>
      </c>
      <c r="D73" s="8" t="s">
        <v>113</v>
      </c>
      <c r="E73" s="6">
        <v>43129</v>
      </c>
      <c r="F73" s="8" t="s">
        <v>717</v>
      </c>
      <c r="G73" s="8" t="s">
        <v>718</v>
      </c>
      <c r="H73" s="4">
        <v>-150</v>
      </c>
      <c r="I73" s="8" t="s">
        <v>36</v>
      </c>
      <c r="J73" s="4">
        <v>0</v>
      </c>
      <c r="K73" s="4">
        <v>0</v>
      </c>
      <c r="L73" s="8" t="s">
        <v>210</v>
      </c>
      <c r="M73" s="4">
        <v>0</v>
      </c>
      <c r="N73" s="8" t="s">
        <v>890</v>
      </c>
      <c r="O73" s="8" t="s">
        <v>892</v>
      </c>
      <c r="P73" s="8" t="s">
        <v>866</v>
      </c>
      <c r="Q73" s="4">
        <v>5637705618</v>
      </c>
    </row>
    <row r="74" spans="1:17" x14ac:dyDescent="0.25">
      <c r="A74" s="8" t="s">
        <v>215</v>
      </c>
      <c r="B74" s="8" t="s">
        <v>889</v>
      </c>
      <c r="C74" s="8" t="s">
        <v>112</v>
      </c>
      <c r="D74" s="8" t="s">
        <v>113</v>
      </c>
      <c r="E74" s="6">
        <v>43129</v>
      </c>
      <c r="F74" s="8" t="s">
        <v>717</v>
      </c>
      <c r="G74" s="8" t="s">
        <v>718</v>
      </c>
      <c r="H74" s="4">
        <v>-150</v>
      </c>
      <c r="I74" s="8" t="s">
        <v>36</v>
      </c>
      <c r="J74" s="4">
        <v>0</v>
      </c>
      <c r="K74" s="4">
        <v>0</v>
      </c>
      <c r="L74" s="8" t="s">
        <v>210</v>
      </c>
      <c r="M74" s="4">
        <v>0</v>
      </c>
      <c r="N74" s="8" t="s">
        <v>890</v>
      </c>
      <c r="O74" s="8" t="s">
        <v>892</v>
      </c>
      <c r="P74" s="8" t="s">
        <v>866</v>
      </c>
      <c r="Q74" s="4">
        <v>5637705617</v>
      </c>
    </row>
    <row r="75" spans="1:17" x14ac:dyDescent="0.25">
      <c r="A75" s="8" t="s">
        <v>215</v>
      </c>
      <c r="B75" s="8" t="s">
        <v>889</v>
      </c>
      <c r="C75" s="8" t="s">
        <v>98</v>
      </c>
      <c r="D75" s="8" t="s">
        <v>99</v>
      </c>
      <c r="E75" s="6">
        <v>43129</v>
      </c>
      <c r="F75" s="8" t="s">
        <v>717</v>
      </c>
      <c r="G75" s="8" t="s">
        <v>718</v>
      </c>
      <c r="H75" s="4">
        <v>-100</v>
      </c>
      <c r="I75" s="8" t="s">
        <v>36</v>
      </c>
      <c r="J75" s="4">
        <v>0</v>
      </c>
      <c r="K75" s="4">
        <v>0</v>
      </c>
      <c r="L75" s="8" t="s">
        <v>210</v>
      </c>
      <c r="M75" s="4">
        <v>0</v>
      </c>
      <c r="N75" s="8" t="s">
        <v>890</v>
      </c>
      <c r="O75" s="8" t="s">
        <v>893</v>
      </c>
      <c r="P75" s="8" t="s">
        <v>866</v>
      </c>
      <c r="Q75" s="4">
        <v>5637705619</v>
      </c>
    </row>
    <row r="76" spans="1:17" x14ac:dyDescent="0.25">
      <c r="A76" s="8" t="s">
        <v>215</v>
      </c>
      <c r="B76" s="8" t="s">
        <v>889</v>
      </c>
      <c r="C76" s="8" t="s">
        <v>98</v>
      </c>
      <c r="D76" s="8" t="s">
        <v>99</v>
      </c>
      <c r="E76" s="6">
        <v>43129</v>
      </c>
      <c r="F76" s="8" t="s">
        <v>717</v>
      </c>
      <c r="G76" s="8" t="s">
        <v>718</v>
      </c>
      <c r="H76" s="4">
        <v>-150</v>
      </c>
      <c r="I76" s="8" t="s">
        <v>36</v>
      </c>
      <c r="J76" s="4">
        <v>0</v>
      </c>
      <c r="K76" s="4">
        <v>0</v>
      </c>
      <c r="L76" s="8" t="s">
        <v>210</v>
      </c>
      <c r="M76" s="4">
        <v>0</v>
      </c>
      <c r="N76" s="8" t="s">
        <v>890</v>
      </c>
      <c r="O76" s="8" t="s">
        <v>893</v>
      </c>
      <c r="P76" s="8" t="s">
        <v>866</v>
      </c>
      <c r="Q76" s="4">
        <v>5637704457</v>
      </c>
    </row>
    <row r="77" spans="1:17" x14ac:dyDescent="0.25">
      <c r="A77" s="8" t="s">
        <v>215</v>
      </c>
      <c r="B77" s="8" t="s">
        <v>889</v>
      </c>
      <c r="C77" s="8" t="s">
        <v>98</v>
      </c>
      <c r="D77" s="8" t="s">
        <v>99</v>
      </c>
      <c r="E77" s="6">
        <v>43129</v>
      </c>
      <c r="F77" s="8" t="s">
        <v>717</v>
      </c>
      <c r="G77" s="8" t="s">
        <v>718</v>
      </c>
      <c r="H77" s="4">
        <v>-150</v>
      </c>
      <c r="I77" s="8" t="s">
        <v>36</v>
      </c>
      <c r="J77" s="4">
        <v>0</v>
      </c>
      <c r="K77" s="4">
        <v>0</v>
      </c>
      <c r="L77" s="8" t="s">
        <v>210</v>
      </c>
      <c r="M77" s="4">
        <v>0</v>
      </c>
      <c r="N77" s="8" t="s">
        <v>890</v>
      </c>
      <c r="O77" s="8" t="s">
        <v>893</v>
      </c>
      <c r="P77" s="8" t="s">
        <v>866</v>
      </c>
      <c r="Q77" s="4">
        <v>5637705636</v>
      </c>
    </row>
    <row r="78" spans="1:17" x14ac:dyDescent="0.25">
      <c r="A78" s="8" t="s">
        <v>215</v>
      </c>
      <c r="B78" s="8" t="s">
        <v>889</v>
      </c>
      <c r="C78" s="8" t="s">
        <v>98</v>
      </c>
      <c r="D78" s="8" t="s">
        <v>99</v>
      </c>
      <c r="E78" s="6">
        <v>43129</v>
      </c>
      <c r="F78" s="8" t="s">
        <v>717</v>
      </c>
      <c r="G78" s="8" t="s">
        <v>718</v>
      </c>
      <c r="H78" s="4">
        <v>-100</v>
      </c>
      <c r="I78" s="8" t="s">
        <v>36</v>
      </c>
      <c r="J78" s="4">
        <v>0</v>
      </c>
      <c r="K78" s="4">
        <v>0</v>
      </c>
      <c r="L78" s="8" t="s">
        <v>210</v>
      </c>
      <c r="M78" s="4">
        <v>0</v>
      </c>
      <c r="N78" s="8" t="s">
        <v>890</v>
      </c>
      <c r="O78" s="8" t="s">
        <v>893</v>
      </c>
      <c r="P78" s="8" t="s">
        <v>866</v>
      </c>
      <c r="Q78" s="4">
        <v>5637705631</v>
      </c>
    </row>
    <row r="79" spans="1:17" x14ac:dyDescent="0.25">
      <c r="A79" s="8" t="s">
        <v>215</v>
      </c>
      <c r="B79" s="8" t="s">
        <v>889</v>
      </c>
      <c r="C79" s="8" t="s">
        <v>98</v>
      </c>
      <c r="D79" s="8" t="s">
        <v>99</v>
      </c>
      <c r="E79" s="6">
        <v>43129</v>
      </c>
      <c r="F79" s="8" t="s">
        <v>717</v>
      </c>
      <c r="G79" s="8" t="s">
        <v>718</v>
      </c>
      <c r="H79" s="4">
        <v>-100</v>
      </c>
      <c r="I79" s="8" t="s">
        <v>36</v>
      </c>
      <c r="J79" s="4">
        <v>0</v>
      </c>
      <c r="K79" s="4">
        <v>0</v>
      </c>
      <c r="L79" s="8" t="s">
        <v>210</v>
      </c>
      <c r="M79" s="4">
        <v>0</v>
      </c>
      <c r="N79" s="8" t="s">
        <v>890</v>
      </c>
      <c r="O79" s="8" t="s">
        <v>893</v>
      </c>
      <c r="P79" s="8" t="s">
        <v>866</v>
      </c>
      <c r="Q79" s="4">
        <v>5637705630</v>
      </c>
    </row>
    <row r="80" spans="1:17" x14ac:dyDescent="0.25">
      <c r="A80" s="8" t="s">
        <v>215</v>
      </c>
      <c r="B80" s="8" t="s">
        <v>889</v>
      </c>
      <c r="C80" s="8" t="s">
        <v>98</v>
      </c>
      <c r="D80" s="8" t="s">
        <v>99</v>
      </c>
      <c r="E80" s="6">
        <v>43129</v>
      </c>
      <c r="F80" s="8" t="s">
        <v>717</v>
      </c>
      <c r="G80" s="8" t="s">
        <v>718</v>
      </c>
      <c r="H80" s="4">
        <v>-150</v>
      </c>
      <c r="I80" s="8" t="s">
        <v>36</v>
      </c>
      <c r="J80" s="4">
        <v>0</v>
      </c>
      <c r="K80" s="4">
        <v>0</v>
      </c>
      <c r="L80" s="8" t="s">
        <v>210</v>
      </c>
      <c r="M80" s="4">
        <v>0</v>
      </c>
      <c r="N80" s="8" t="s">
        <v>890</v>
      </c>
      <c r="O80" s="8" t="s">
        <v>893</v>
      </c>
      <c r="P80" s="8" t="s">
        <v>866</v>
      </c>
      <c r="Q80" s="4">
        <v>5637705625</v>
      </c>
    </row>
    <row r="81" spans="1:17" x14ac:dyDescent="0.25">
      <c r="A81" s="8" t="s">
        <v>215</v>
      </c>
      <c r="B81" s="8" t="s">
        <v>889</v>
      </c>
      <c r="C81" s="8" t="s">
        <v>98</v>
      </c>
      <c r="D81" s="8" t="s">
        <v>99</v>
      </c>
      <c r="E81" s="6">
        <v>43129</v>
      </c>
      <c r="F81" s="8" t="s">
        <v>717</v>
      </c>
      <c r="G81" s="8" t="s">
        <v>718</v>
      </c>
      <c r="H81" s="4">
        <v>-150</v>
      </c>
      <c r="I81" s="8" t="s">
        <v>36</v>
      </c>
      <c r="J81" s="4">
        <v>0</v>
      </c>
      <c r="K81" s="4">
        <v>0</v>
      </c>
      <c r="L81" s="8" t="s">
        <v>210</v>
      </c>
      <c r="M81" s="4">
        <v>0</v>
      </c>
      <c r="N81" s="8" t="s">
        <v>890</v>
      </c>
      <c r="O81" s="8" t="s">
        <v>893</v>
      </c>
      <c r="P81" s="8" t="s">
        <v>866</v>
      </c>
      <c r="Q81" s="4">
        <v>5637705624</v>
      </c>
    </row>
    <row r="82" spans="1:17" x14ac:dyDescent="0.25">
      <c r="A82" s="8" t="s">
        <v>215</v>
      </c>
      <c r="B82" s="8" t="s">
        <v>885</v>
      </c>
      <c r="C82" s="8" t="s">
        <v>55</v>
      </c>
      <c r="D82" s="8" t="s">
        <v>118</v>
      </c>
      <c r="E82" s="6">
        <v>43129</v>
      </c>
      <c r="F82" s="8" t="s">
        <v>717</v>
      </c>
      <c r="G82" s="8" t="s">
        <v>718</v>
      </c>
      <c r="H82" s="4">
        <v>-150</v>
      </c>
      <c r="I82" s="8" t="s">
        <v>36</v>
      </c>
      <c r="J82" s="4">
        <v>0</v>
      </c>
      <c r="K82" s="4">
        <v>0</v>
      </c>
      <c r="L82" s="8" t="s">
        <v>210</v>
      </c>
      <c r="M82" s="4">
        <v>0</v>
      </c>
      <c r="N82" s="8" t="s">
        <v>886</v>
      </c>
      <c r="O82" s="8" t="s">
        <v>894</v>
      </c>
      <c r="P82" s="8" t="s">
        <v>866</v>
      </c>
      <c r="Q82" s="4">
        <v>5637703821</v>
      </c>
    </row>
    <row r="83" spans="1:17" x14ac:dyDescent="0.25">
      <c r="A83" s="8" t="s">
        <v>215</v>
      </c>
      <c r="B83" s="8" t="s">
        <v>885</v>
      </c>
      <c r="C83" s="8" t="s">
        <v>55</v>
      </c>
      <c r="D83" s="8" t="s">
        <v>118</v>
      </c>
      <c r="E83" s="6">
        <v>43129</v>
      </c>
      <c r="F83" s="8" t="s">
        <v>717</v>
      </c>
      <c r="G83" s="8" t="s">
        <v>718</v>
      </c>
      <c r="H83" s="4">
        <v>-150</v>
      </c>
      <c r="I83" s="8" t="s">
        <v>36</v>
      </c>
      <c r="J83" s="4">
        <v>0</v>
      </c>
      <c r="K83" s="4">
        <v>0</v>
      </c>
      <c r="L83" s="8" t="s">
        <v>210</v>
      </c>
      <c r="M83" s="4">
        <v>0</v>
      </c>
      <c r="N83" s="8" t="s">
        <v>886</v>
      </c>
      <c r="O83" s="8" t="s">
        <v>894</v>
      </c>
      <c r="P83" s="8" t="s">
        <v>866</v>
      </c>
      <c r="Q83" s="4">
        <v>5637704123</v>
      </c>
    </row>
    <row r="84" spans="1:17" x14ac:dyDescent="0.25">
      <c r="A84" s="8" t="s">
        <v>215</v>
      </c>
      <c r="B84" s="8" t="s">
        <v>885</v>
      </c>
      <c r="C84" s="8" t="s">
        <v>55</v>
      </c>
      <c r="D84" s="8" t="s">
        <v>118</v>
      </c>
      <c r="E84" s="6">
        <v>43129</v>
      </c>
      <c r="F84" s="8" t="s">
        <v>717</v>
      </c>
      <c r="G84" s="8" t="s">
        <v>718</v>
      </c>
      <c r="H84" s="4">
        <v>-150</v>
      </c>
      <c r="I84" s="8" t="s">
        <v>36</v>
      </c>
      <c r="J84" s="4">
        <v>0</v>
      </c>
      <c r="K84" s="4">
        <v>0</v>
      </c>
      <c r="L84" s="8" t="s">
        <v>210</v>
      </c>
      <c r="M84" s="4">
        <v>0</v>
      </c>
      <c r="N84" s="8" t="s">
        <v>886</v>
      </c>
      <c r="O84" s="8" t="s">
        <v>894</v>
      </c>
      <c r="P84" s="8" t="s">
        <v>866</v>
      </c>
      <c r="Q84" s="4">
        <v>5637704122</v>
      </c>
    </row>
    <row r="85" spans="1:17" x14ac:dyDescent="0.25">
      <c r="A85" s="8" t="s">
        <v>215</v>
      </c>
      <c r="B85" s="8" t="s">
        <v>885</v>
      </c>
      <c r="C85" s="8" t="s">
        <v>55</v>
      </c>
      <c r="D85" s="8" t="s">
        <v>118</v>
      </c>
      <c r="E85" s="6">
        <v>43129</v>
      </c>
      <c r="F85" s="8" t="s">
        <v>717</v>
      </c>
      <c r="G85" s="8" t="s">
        <v>718</v>
      </c>
      <c r="H85" s="4">
        <v>-150</v>
      </c>
      <c r="I85" s="8" t="s">
        <v>36</v>
      </c>
      <c r="J85" s="4">
        <v>0</v>
      </c>
      <c r="K85" s="4">
        <v>0</v>
      </c>
      <c r="L85" s="8" t="s">
        <v>210</v>
      </c>
      <c r="M85" s="4">
        <v>0</v>
      </c>
      <c r="N85" s="8" t="s">
        <v>886</v>
      </c>
      <c r="O85" s="8" t="s">
        <v>894</v>
      </c>
      <c r="P85" s="8" t="s">
        <v>866</v>
      </c>
      <c r="Q85" s="4">
        <v>5637704121</v>
      </c>
    </row>
    <row r="86" spans="1:17" x14ac:dyDescent="0.25">
      <c r="A86" s="8" t="s">
        <v>215</v>
      </c>
      <c r="B86" s="8" t="s">
        <v>885</v>
      </c>
      <c r="C86" s="8" t="s">
        <v>55</v>
      </c>
      <c r="D86" s="8" t="s">
        <v>118</v>
      </c>
      <c r="E86" s="6">
        <v>43129</v>
      </c>
      <c r="F86" s="8" t="s">
        <v>717</v>
      </c>
      <c r="G86" s="8" t="s">
        <v>718</v>
      </c>
      <c r="H86" s="4">
        <v>-150</v>
      </c>
      <c r="I86" s="8" t="s">
        <v>36</v>
      </c>
      <c r="J86" s="4">
        <v>0</v>
      </c>
      <c r="K86" s="4">
        <v>0</v>
      </c>
      <c r="L86" s="8" t="s">
        <v>210</v>
      </c>
      <c r="M86" s="4">
        <v>0</v>
      </c>
      <c r="N86" s="8" t="s">
        <v>886</v>
      </c>
      <c r="O86" s="8" t="s">
        <v>894</v>
      </c>
      <c r="P86" s="8" t="s">
        <v>866</v>
      </c>
      <c r="Q86" s="4">
        <v>5637704120</v>
      </c>
    </row>
    <row r="87" spans="1:17" x14ac:dyDescent="0.25">
      <c r="A87" s="8" t="s">
        <v>215</v>
      </c>
      <c r="B87" s="8" t="s">
        <v>885</v>
      </c>
      <c r="C87" s="8" t="s">
        <v>55</v>
      </c>
      <c r="D87" s="8" t="s">
        <v>118</v>
      </c>
      <c r="E87" s="6">
        <v>43129</v>
      </c>
      <c r="F87" s="8" t="s">
        <v>717</v>
      </c>
      <c r="G87" s="8" t="s">
        <v>718</v>
      </c>
      <c r="H87" s="4">
        <v>-150</v>
      </c>
      <c r="I87" s="8" t="s">
        <v>36</v>
      </c>
      <c r="J87" s="4">
        <v>0</v>
      </c>
      <c r="K87" s="4">
        <v>0</v>
      </c>
      <c r="L87" s="8" t="s">
        <v>210</v>
      </c>
      <c r="M87" s="4">
        <v>0</v>
      </c>
      <c r="N87" s="8" t="s">
        <v>886</v>
      </c>
      <c r="O87" s="8" t="s">
        <v>894</v>
      </c>
      <c r="P87" s="8" t="s">
        <v>866</v>
      </c>
      <c r="Q87" s="4">
        <v>5637704119</v>
      </c>
    </row>
    <row r="88" spans="1:17" x14ac:dyDescent="0.25">
      <c r="A88" s="8" t="s">
        <v>215</v>
      </c>
      <c r="B88" s="8" t="s">
        <v>885</v>
      </c>
      <c r="C88" s="8" t="s">
        <v>55</v>
      </c>
      <c r="D88" s="8" t="s">
        <v>118</v>
      </c>
      <c r="E88" s="6">
        <v>43129</v>
      </c>
      <c r="F88" s="8" t="s">
        <v>717</v>
      </c>
      <c r="G88" s="8" t="s">
        <v>718</v>
      </c>
      <c r="H88" s="4">
        <v>-150</v>
      </c>
      <c r="I88" s="8" t="s">
        <v>36</v>
      </c>
      <c r="J88" s="4">
        <v>0</v>
      </c>
      <c r="K88" s="4">
        <v>0</v>
      </c>
      <c r="L88" s="8" t="s">
        <v>210</v>
      </c>
      <c r="M88" s="4">
        <v>0</v>
      </c>
      <c r="N88" s="8" t="s">
        <v>886</v>
      </c>
      <c r="O88" s="8" t="s">
        <v>894</v>
      </c>
      <c r="P88" s="8" t="s">
        <v>866</v>
      </c>
      <c r="Q88" s="4">
        <v>5637704118</v>
      </c>
    </row>
    <row r="89" spans="1:17" x14ac:dyDescent="0.25">
      <c r="A89" s="8" t="s">
        <v>215</v>
      </c>
      <c r="B89" s="8" t="s">
        <v>885</v>
      </c>
      <c r="C89" s="8" t="s">
        <v>55</v>
      </c>
      <c r="D89" s="8" t="s">
        <v>118</v>
      </c>
      <c r="E89" s="6">
        <v>43129</v>
      </c>
      <c r="F89" s="8" t="s">
        <v>717</v>
      </c>
      <c r="G89" s="8" t="s">
        <v>718</v>
      </c>
      <c r="H89" s="4">
        <v>-150</v>
      </c>
      <c r="I89" s="8" t="s">
        <v>36</v>
      </c>
      <c r="J89" s="4">
        <v>0</v>
      </c>
      <c r="K89" s="4">
        <v>0</v>
      </c>
      <c r="L89" s="8" t="s">
        <v>210</v>
      </c>
      <c r="M89" s="4">
        <v>0</v>
      </c>
      <c r="N89" s="8" t="s">
        <v>886</v>
      </c>
      <c r="O89" s="8" t="s">
        <v>894</v>
      </c>
      <c r="P89" s="8" t="s">
        <v>866</v>
      </c>
      <c r="Q89" s="4">
        <v>5637704117</v>
      </c>
    </row>
    <row r="90" spans="1:17" x14ac:dyDescent="0.25">
      <c r="A90" s="8" t="s">
        <v>215</v>
      </c>
      <c r="B90" s="8" t="s">
        <v>885</v>
      </c>
      <c r="C90" s="8" t="s">
        <v>114</v>
      </c>
      <c r="D90" s="8" t="s">
        <v>115</v>
      </c>
      <c r="E90" s="6">
        <v>43129</v>
      </c>
      <c r="F90" s="8" t="s">
        <v>717</v>
      </c>
      <c r="G90" s="8" t="s">
        <v>718</v>
      </c>
      <c r="H90" s="4">
        <v>-100</v>
      </c>
      <c r="I90" s="8" t="s">
        <v>36</v>
      </c>
      <c r="J90" s="4">
        <v>0</v>
      </c>
      <c r="K90" s="4">
        <v>0</v>
      </c>
      <c r="L90" s="8" t="s">
        <v>210</v>
      </c>
      <c r="M90" s="4">
        <v>0</v>
      </c>
      <c r="N90" s="8" t="s">
        <v>886</v>
      </c>
      <c r="O90" s="8" t="s">
        <v>895</v>
      </c>
      <c r="P90" s="8" t="s">
        <v>866</v>
      </c>
      <c r="Q90" s="4">
        <v>5637703823</v>
      </c>
    </row>
    <row r="91" spans="1:17" x14ac:dyDescent="0.25">
      <c r="A91" s="8" t="s">
        <v>215</v>
      </c>
      <c r="B91" s="8" t="s">
        <v>885</v>
      </c>
      <c r="C91" s="8" t="s">
        <v>69</v>
      </c>
      <c r="D91" s="8" t="s">
        <v>102</v>
      </c>
      <c r="E91" s="6">
        <v>43129</v>
      </c>
      <c r="F91" s="8" t="s">
        <v>717</v>
      </c>
      <c r="G91" s="8" t="s">
        <v>718</v>
      </c>
      <c r="H91" s="4">
        <v>-100</v>
      </c>
      <c r="I91" s="8" t="s">
        <v>36</v>
      </c>
      <c r="J91" s="4">
        <v>0</v>
      </c>
      <c r="K91" s="4">
        <v>0</v>
      </c>
      <c r="L91" s="8" t="s">
        <v>210</v>
      </c>
      <c r="M91" s="4">
        <v>0</v>
      </c>
      <c r="N91" s="8" t="s">
        <v>886</v>
      </c>
      <c r="O91" s="8" t="s">
        <v>896</v>
      </c>
      <c r="P91" s="8" t="s">
        <v>866</v>
      </c>
      <c r="Q91" s="4">
        <v>5637703068</v>
      </c>
    </row>
    <row r="92" spans="1:17" x14ac:dyDescent="0.25">
      <c r="A92" s="8" t="s">
        <v>215</v>
      </c>
      <c r="B92" s="8" t="s">
        <v>885</v>
      </c>
      <c r="C92" s="8" t="s">
        <v>69</v>
      </c>
      <c r="D92" s="8" t="s">
        <v>102</v>
      </c>
      <c r="E92" s="6">
        <v>43129</v>
      </c>
      <c r="F92" s="8" t="s">
        <v>717</v>
      </c>
      <c r="G92" s="8" t="s">
        <v>718</v>
      </c>
      <c r="H92" s="4">
        <v>-100</v>
      </c>
      <c r="I92" s="8" t="s">
        <v>36</v>
      </c>
      <c r="J92" s="4">
        <v>0</v>
      </c>
      <c r="K92" s="4">
        <v>0</v>
      </c>
      <c r="L92" s="8" t="s">
        <v>210</v>
      </c>
      <c r="M92" s="4">
        <v>0</v>
      </c>
      <c r="N92" s="8" t="s">
        <v>886</v>
      </c>
      <c r="O92" s="8" t="s">
        <v>896</v>
      </c>
      <c r="P92" s="8" t="s">
        <v>866</v>
      </c>
      <c r="Q92" s="4">
        <v>5637703825</v>
      </c>
    </row>
    <row r="93" spans="1:17" x14ac:dyDescent="0.25">
      <c r="A93" s="8" t="s">
        <v>215</v>
      </c>
      <c r="B93" s="8" t="s">
        <v>889</v>
      </c>
      <c r="C93" s="8" t="s">
        <v>60</v>
      </c>
      <c r="D93" s="8" t="s">
        <v>87</v>
      </c>
      <c r="E93" s="6">
        <v>43129</v>
      </c>
      <c r="F93" s="8" t="s">
        <v>717</v>
      </c>
      <c r="G93" s="8" t="s">
        <v>718</v>
      </c>
      <c r="H93" s="4">
        <v>-100</v>
      </c>
      <c r="I93" s="8" t="s">
        <v>36</v>
      </c>
      <c r="J93" s="4">
        <v>0</v>
      </c>
      <c r="K93" s="4">
        <v>0</v>
      </c>
      <c r="L93" s="8" t="s">
        <v>210</v>
      </c>
      <c r="M93" s="4">
        <v>0</v>
      </c>
      <c r="N93" s="8" t="s">
        <v>890</v>
      </c>
      <c r="O93" s="8" t="s">
        <v>897</v>
      </c>
      <c r="P93" s="8" t="s">
        <v>866</v>
      </c>
      <c r="Q93" s="4">
        <v>5637705609</v>
      </c>
    </row>
    <row r="94" spans="1:17" x14ac:dyDescent="0.25">
      <c r="A94" s="8" t="s">
        <v>215</v>
      </c>
      <c r="B94" s="8" t="s">
        <v>889</v>
      </c>
      <c r="C94" s="8" t="s">
        <v>60</v>
      </c>
      <c r="D94" s="8" t="s">
        <v>87</v>
      </c>
      <c r="E94" s="6">
        <v>43129</v>
      </c>
      <c r="F94" s="8" t="s">
        <v>717</v>
      </c>
      <c r="G94" s="8" t="s">
        <v>718</v>
      </c>
      <c r="H94" s="4">
        <v>-100</v>
      </c>
      <c r="I94" s="8" t="s">
        <v>36</v>
      </c>
      <c r="J94" s="4">
        <v>0</v>
      </c>
      <c r="K94" s="4">
        <v>0</v>
      </c>
      <c r="L94" s="8" t="s">
        <v>210</v>
      </c>
      <c r="M94" s="4">
        <v>0</v>
      </c>
      <c r="N94" s="8" t="s">
        <v>890</v>
      </c>
      <c r="O94" s="8" t="s">
        <v>897</v>
      </c>
      <c r="P94" s="8" t="s">
        <v>866</v>
      </c>
      <c r="Q94" s="4">
        <v>5637705610</v>
      </c>
    </row>
    <row r="95" spans="1:17" x14ac:dyDescent="0.25">
      <c r="A95" s="8" t="s">
        <v>215</v>
      </c>
      <c r="B95" s="8" t="s">
        <v>889</v>
      </c>
      <c r="C95" s="8" t="s">
        <v>60</v>
      </c>
      <c r="D95" s="8" t="s">
        <v>87</v>
      </c>
      <c r="E95" s="6">
        <v>43129</v>
      </c>
      <c r="F95" s="8" t="s">
        <v>717</v>
      </c>
      <c r="G95" s="8" t="s">
        <v>718</v>
      </c>
      <c r="H95" s="4">
        <v>-100</v>
      </c>
      <c r="I95" s="8" t="s">
        <v>36</v>
      </c>
      <c r="J95" s="4">
        <v>0</v>
      </c>
      <c r="K95" s="4">
        <v>0</v>
      </c>
      <c r="L95" s="8" t="s">
        <v>210</v>
      </c>
      <c r="M95" s="4">
        <v>0</v>
      </c>
      <c r="N95" s="8" t="s">
        <v>890</v>
      </c>
      <c r="O95" s="8" t="s">
        <v>897</v>
      </c>
      <c r="P95" s="8" t="s">
        <v>866</v>
      </c>
      <c r="Q95" s="4">
        <v>5637704451</v>
      </c>
    </row>
    <row r="96" spans="1:17" x14ac:dyDescent="0.25">
      <c r="A96" s="8" t="s">
        <v>215</v>
      </c>
      <c r="B96" s="8" t="s">
        <v>889</v>
      </c>
      <c r="C96" s="8" t="s">
        <v>60</v>
      </c>
      <c r="D96" s="8" t="s">
        <v>87</v>
      </c>
      <c r="E96" s="6">
        <v>43129</v>
      </c>
      <c r="F96" s="8" t="s">
        <v>717</v>
      </c>
      <c r="G96" s="8" t="s">
        <v>718</v>
      </c>
      <c r="H96" s="4">
        <v>-100</v>
      </c>
      <c r="I96" s="8" t="s">
        <v>36</v>
      </c>
      <c r="J96" s="4">
        <v>0</v>
      </c>
      <c r="K96" s="4">
        <v>0</v>
      </c>
      <c r="L96" s="8" t="s">
        <v>210</v>
      </c>
      <c r="M96" s="4">
        <v>0</v>
      </c>
      <c r="N96" s="8" t="s">
        <v>890</v>
      </c>
      <c r="O96" s="8" t="s">
        <v>897</v>
      </c>
      <c r="P96" s="8" t="s">
        <v>866</v>
      </c>
      <c r="Q96" s="4">
        <v>5637705602</v>
      </c>
    </row>
    <row r="97" spans="1:17" x14ac:dyDescent="0.25">
      <c r="A97" s="8" t="s">
        <v>215</v>
      </c>
      <c r="B97" s="8" t="s">
        <v>889</v>
      </c>
      <c r="C97" s="8" t="s">
        <v>60</v>
      </c>
      <c r="D97" s="8" t="s">
        <v>87</v>
      </c>
      <c r="E97" s="6">
        <v>43129</v>
      </c>
      <c r="F97" s="8" t="s">
        <v>717</v>
      </c>
      <c r="G97" s="8" t="s">
        <v>718</v>
      </c>
      <c r="H97" s="4">
        <v>-100</v>
      </c>
      <c r="I97" s="8" t="s">
        <v>36</v>
      </c>
      <c r="J97" s="4">
        <v>0</v>
      </c>
      <c r="K97" s="4">
        <v>0</v>
      </c>
      <c r="L97" s="8" t="s">
        <v>210</v>
      </c>
      <c r="M97" s="4">
        <v>0</v>
      </c>
      <c r="N97" s="8" t="s">
        <v>890</v>
      </c>
      <c r="O97" s="8" t="s">
        <v>897</v>
      </c>
      <c r="P97" s="8" t="s">
        <v>866</v>
      </c>
      <c r="Q97" s="4">
        <v>5637705603</v>
      </c>
    </row>
    <row r="98" spans="1:17" x14ac:dyDescent="0.25">
      <c r="A98" s="8" t="s">
        <v>215</v>
      </c>
      <c r="B98" s="8" t="s">
        <v>889</v>
      </c>
      <c r="C98" s="8" t="s">
        <v>60</v>
      </c>
      <c r="D98" s="8" t="s">
        <v>87</v>
      </c>
      <c r="E98" s="6">
        <v>43129</v>
      </c>
      <c r="F98" s="8" t="s">
        <v>717</v>
      </c>
      <c r="G98" s="8" t="s">
        <v>718</v>
      </c>
      <c r="H98" s="4">
        <v>-100</v>
      </c>
      <c r="I98" s="8" t="s">
        <v>36</v>
      </c>
      <c r="J98" s="4">
        <v>0</v>
      </c>
      <c r="K98" s="4">
        <v>0</v>
      </c>
      <c r="L98" s="8" t="s">
        <v>210</v>
      </c>
      <c r="M98" s="4">
        <v>0</v>
      </c>
      <c r="N98" s="8" t="s">
        <v>890</v>
      </c>
      <c r="O98" s="8" t="s">
        <v>897</v>
      </c>
      <c r="P98" s="8" t="s">
        <v>866</v>
      </c>
      <c r="Q98" s="4">
        <v>5637705604</v>
      </c>
    </row>
    <row r="99" spans="1:17" x14ac:dyDescent="0.25">
      <c r="A99" s="8" t="s">
        <v>215</v>
      </c>
      <c r="B99" s="8" t="s">
        <v>889</v>
      </c>
      <c r="C99" s="8" t="s">
        <v>60</v>
      </c>
      <c r="D99" s="8" t="s">
        <v>87</v>
      </c>
      <c r="E99" s="6">
        <v>43129</v>
      </c>
      <c r="F99" s="8" t="s">
        <v>717</v>
      </c>
      <c r="G99" s="8" t="s">
        <v>718</v>
      </c>
      <c r="H99" s="4">
        <v>-100</v>
      </c>
      <c r="I99" s="8" t="s">
        <v>36</v>
      </c>
      <c r="J99" s="4">
        <v>0</v>
      </c>
      <c r="K99" s="4">
        <v>0</v>
      </c>
      <c r="L99" s="8" t="s">
        <v>210</v>
      </c>
      <c r="M99" s="4">
        <v>0</v>
      </c>
      <c r="N99" s="8" t="s">
        <v>890</v>
      </c>
      <c r="O99" s="8" t="s">
        <v>897</v>
      </c>
      <c r="P99" s="8" t="s">
        <v>866</v>
      </c>
      <c r="Q99" s="4">
        <v>5637705605</v>
      </c>
    </row>
    <row r="100" spans="1:17" x14ac:dyDescent="0.25">
      <c r="A100" s="8" t="s">
        <v>215</v>
      </c>
      <c r="B100" s="8" t="s">
        <v>889</v>
      </c>
      <c r="C100" s="8" t="s">
        <v>60</v>
      </c>
      <c r="D100" s="8" t="s">
        <v>87</v>
      </c>
      <c r="E100" s="6">
        <v>43129</v>
      </c>
      <c r="F100" s="8" t="s">
        <v>717</v>
      </c>
      <c r="G100" s="8" t="s">
        <v>718</v>
      </c>
      <c r="H100" s="4">
        <v>-100</v>
      </c>
      <c r="I100" s="8" t="s">
        <v>36</v>
      </c>
      <c r="J100" s="4">
        <v>0</v>
      </c>
      <c r="K100" s="4">
        <v>0</v>
      </c>
      <c r="L100" s="8" t="s">
        <v>210</v>
      </c>
      <c r="M100" s="4">
        <v>0</v>
      </c>
      <c r="N100" s="8" t="s">
        <v>890</v>
      </c>
      <c r="O100" s="8" t="s">
        <v>897</v>
      </c>
      <c r="P100" s="8" t="s">
        <v>866</v>
      </c>
      <c r="Q100" s="4">
        <v>5637705606</v>
      </c>
    </row>
    <row r="101" spans="1:17" x14ac:dyDescent="0.25">
      <c r="A101" s="8" t="s">
        <v>215</v>
      </c>
      <c r="B101" s="8" t="s">
        <v>889</v>
      </c>
      <c r="C101" s="8" t="s">
        <v>60</v>
      </c>
      <c r="D101" s="8" t="s">
        <v>87</v>
      </c>
      <c r="E101" s="6">
        <v>43129</v>
      </c>
      <c r="F101" s="8" t="s">
        <v>717</v>
      </c>
      <c r="G101" s="8" t="s">
        <v>718</v>
      </c>
      <c r="H101" s="4">
        <v>-100</v>
      </c>
      <c r="I101" s="8" t="s">
        <v>36</v>
      </c>
      <c r="J101" s="4">
        <v>0</v>
      </c>
      <c r="K101" s="4">
        <v>0</v>
      </c>
      <c r="L101" s="8" t="s">
        <v>210</v>
      </c>
      <c r="M101" s="4">
        <v>0</v>
      </c>
      <c r="N101" s="8" t="s">
        <v>890</v>
      </c>
      <c r="O101" s="8" t="s">
        <v>897</v>
      </c>
      <c r="P101" s="8" t="s">
        <v>866</v>
      </c>
      <c r="Q101" s="4">
        <v>5637705607</v>
      </c>
    </row>
    <row r="102" spans="1:17" x14ac:dyDescent="0.25">
      <c r="A102" s="8" t="s">
        <v>215</v>
      </c>
      <c r="B102" s="8" t="s">
        <v>889</v>
      </c>
      <c r="C102" s="8" t="s">
        <v>60</v>
      </c>
      <c r="D102" s="8" t="s">
        <v>87</v>
      </c>
      <c r="E102" s="6">
        <v>43129</v>
      </c>
      <c r="F102" s="8" t="s">
        <v>717</v>
      </c>
      <c r="G102" s="8" t="s">
        <v>718</v>
      </c>
      <c r="H102" s="4">
        <v>-100</v>
      </c>
      <c r="I102" s="8" t="s">
        <v>36</v>
      </c>
      <c r="J102" s="4">
        <v>0</v>
      </c>
      <c r="K102" s="4">
        <v>0</v>
      </c>
      <c r="L102" s="8" t="s">
        <v>210</v>
      </c>
      <c r="M102" s="4">
        <v>0</v>
      </c>
      <c r="N102" s="8" t="s">
        <v>890</v>
      </c>
      <c r="O102" s="8" t="s">
        <v>897</v>
      </c>
      <c r="P102" s="8" t="s">
        <v>866</v>
      </c>
      <c r="Q102" s="4">
        <v>5637705608</v>
      </c>
    </row>
    <row r="103" spans="1:17" x14ac:dyDescent="0.25">
      <c r="A103" s="8" t="s">
        <v>17</v>
      </c>
      <c r="B103" s="8" t="s">
        <v>898</v>
      </c>
      <c r="C103" s="8" t="s">
        <v>734</v>
      </c>
      <c r="D103" s="8" t="s">
        <v>803</v>
      </c>
      <c r="E103" s="6">
        <v>43130</v>
      </c>
      <c r="F103" s="8" t="s">
        <v>717</v>
      </c>
      <c r="G103" s="8" t="s">
        <v>718</v>
      </c>
      <c r="H103" s="4">
        <v>25</v>
      </c>
      <c r="I103" s="8" t="s">
        <v>111</v>
      </c>
      <c r="J103" s="4">
        <v>0</v>
      </c>
      <c r="K103" s="4">
        <v>0</v>
      </c>
      <c r="L103" s="8" t="s">
        <v>210</v>
      </c>
      <c r="M103" s="4">
        <v>0</v>
      </c>
      <c r="N103" s="8" t="s">
        <v>899</v>
      </c>
      <c r="O103" s="8" t="s">
        <v>900</v>
      </c>
      <c r="P103" s="8" t="s">
        <v>866</v>
      </c>
      <c r="Q103" s="4">
        <v>5637705758</v>
      </c>
    </row>
    <row r="104" spans="1:17" x14ac:dyDescent="0.25">
      <c r="A104" s="8" t="s">
        <v>368</v>
      </c>
      <c r="B104" s="8" t="s">
        <v>863</v>
      </c>
      <c r="C104" s="8" t="s">
        <v>734</v>
      </c>
      <c r="D104" s="8" t="s">
        <v>803</v>
      </c>
      <c r="E104" s="6">
        <v>43130</v>
      </c>
      <c r="F104" s="8" t="s">
        <v>717</v>
      </c>
      <c r="G104" s="8" t="s">
        <v>718</v>
      </c>
      <c r="H104" s="4">
        <v>-0.15</v>
      </c>
      <c r="I104" s="8" t="s">
        <v>111</v>
      </c>
      <c r="J104" s="4">
        <v>0</v>
      </c>
      <c r="K104" s="4">
        <v>0</v>
      </c>
      <c r="L104" s="8" t="s">
        <v>210</v>
      </c>
      <c r="M104" s="4">
        <v>0</v>
      </c>
      <c r="N104" s="8" t="s">
        <v>864</v>
      </c>
      <c r="O104" s="8" t="s">
        <v>901</v>
      </c>
      <c r="P104" s="8" t="s">
        <v>866</v>
      </c>
      <c r="Q104" s="4">
        <v>5637702964</v>
      </c>
    </row>
    <row r="105" spans="1:17" x14ac:dyDescent="0.25">
      <c r="A105" s="8" t="s">
        <v>368</v>
      </c>
      <c r="B105" s="8" t="s">
        <v>863</v>
      </c>
      <c r="C105" s="8" t="s">
        <v>734</v>
      </c>
      <c r="D105" s="8" t="s">
        <v>803</v>
      </c>
      <c r="E105" s="6">
        <v>43130</v>
      </c>
      <c r="F105" s="8" t="s">
        <v>717</v>
      </c>
      <c r="G105" s="8" t="s">
        <v>718</v>
      </c>
      <c r="H105" s="4">
        <v>-0.33</v>
      </c>
      <c r="I105" s="8" t="s">
        <v>111</v>
      </c>
      <c r="J105" s="4">
        <v>0</v>
      </c>
      <c r="K105" s="4">
        <v>0</v>
      </c>
      <c r="L105" s="8" t="s">
        <v>210</v>
      </c>
      <c r="M105" s="4">
        <v>0</v>
      </c>
      <c r="N105" s="8" t="s">
        <v>864</v>
      </c>
      <c r="O105" s="8" t="s">
        <v>901</v>
      </c>
      <c r="P105" s="8" t="s">
        <v>866</v>
      </c>
      <c r="Q105" s="4">
        <v>5637705736</v>
      </c>
    </row>
    <row r="106" spans="1:17" x14ac:dyDescent="0.25">
      <c r="A106" s="8" t="s">
        <v>368</v>
      </c>
      <c r="B106" s="8" t="s">
        <v>863</v>
      </c>
      <c r="C106" s="8" t="s">
        <v>734</v>
      </c>
      <c r="D106" s="8" t="s">
        <v>803</v>
      </c>
      <c r="E106" s="6">
        <v>43130</v>
      </c>
      <c r="F106" s="8" t="s">
        <v>717</v>
      </c>
      <c r="G106" s="8" t="s">
        <v>718</v>
      </c>
      <c r="H106" s="4">
        <v>-0.1</v>
      </c>
      <c r="I106" s="8" t="s">
        <v>111</v>
      </c>
      <c r="J106" s="4">
        <v>0</v>
      </c>
      <c r="K106" s="4">
        <v>0</v>
      </c>
      <c r="L106" s="8" t="s">
        <v>210</v>
      </c>
      <c r="M106" s="4">
        <v>0</v>
      </c>
      <c r="N106" s="8" t="s">
        <v>864</v>
      </c>
      <c r="O106" s="8" t="s">
        <v>901</v>
      </c>
      <c r="P106" s="8" t="s">
        <v>866</v>
      </c>
      <c r="Q106" s="4">
        <v>5637705741</v>
      </c>
    </row>
    <row r="107" spans="1:17" x14ac:dyDescent="0.25">
      <c r="A107" s="8" t="s">
        <v>368</v>
      </c>
      <c r="B107" s="8" t="s">
        <v>863</v>
      </c>
      <c r="C107" s="8" t="s">
        <v>735</v>
      </c>
      <c r="D107" s="8" t="s">
        <v>804</v>
      </c>
      <c r="E107" s="6">
        <v>43130</v>
      </c>
      <c r="F107" s="8" t="s">
        <v>717</v>
      </c>
      <c r="G107" s="8" t="s">
        <v>718</v>
      </c>
      <c r="H107" s="4">
        <v>-0.19</v>
      </c>
      <c r="I107" s="8" t="s">
        <v>111</v>
      </c>
      <c r="J107" s="4">
        <v>0</v>
      </c>
      <c r="K107" s="4">
        <v>0</v>
      </c>
      <c r="L107" s="8" t="s">
        <v>210</v>
      </c>
      <c r="M107" s="4">
        <v>0</v>
      </c>
      <c r="N107" s="8" t="s">
        <v>864</v>
      </c>
      <c r="O107" s="8" t="s">
        <v>902</v>
      </c>
      <c r="P107" s="8" t="s">
        <v>866</v>
      </c>
      <c r="Q107" s="4">
        <v>5637702966</v>
      </c>
    </row>
    <row r="108" spans="1:17" x14ac:dyDescent="0.25">
      <c r="A108" s="8" t="s">
        <v>368</v>
      </c>
      <c r="B108" s="8" t="s">
        <v>863</v>
      </c>
      <c r="C108" s="8" t="s">
        <v>735</v>
      </c>
      <c r="D108" s="8" t="s">
        <v>804</v>
      </c>
      <c r="E108" s="6">
        <v>43130</v>
      </c>
      <c r="F108" s="8" t="s">
        <v>717</v>
      </c>
      <c r="G108" s="8" t="s">
        <v>718</v>
      </c>
      <c r="H108" s="4">
        <v>-0.83</v>
      </c>
      <c r="I108" s="8" t="s">
        <v>111</v>
      </c>
      <c r="J108" s="4">
        <v>0</v>
      </c>
      <c r="K108" s="4">
        <v>0</v>
      </c>
      <c r="L108" s="8" t="s">
        <v>210</v>
      </c>
      <c r="M108" s="4">
        <v>0</v>
      </c>
      <c r="N108" s="8" t="s">
        <v>864</v>
      </c>
      <c r="O108" s="8" t="s">
        <v>902</v>
      </c>
      <c r="P108" s="8" t="s">
        <v>866</v>
      </c>
      <c r="Q108" s="4">
        <v>5637705738</v>
      </c>
    </row>
    <row r="109" spans="1:17" x14ac:dyDescent="0.25">
      <c r="A109" s="8" t="s">
        <v>368</v>
      </c>
      <c r="B109" s="8" t="s">
        <v>863</v>
      </c>
      <c r="C109" s="8" t="s">
        <v>736</v>
      </c>
      <c r="D109" s="8" t="s">
        <v>811</v>
      </c>
      <c r="E109" s="6">
        <v>43130</v>
      </c>
      <c r="F109" s="8" t="s">
        <v>717</v>
      </c>
      <c r="G109" s="8" t="s">
        <v>718</v>
      </c>
      <c r="H109" s="4">
        <v>-0.5</v>
      </c>
      <c r="I109" s="8" t="s">
        <v>111</v>
      </c>
      <c r="J109" s="4">
        <v>0</v>
      </c>
      <c r="K109" s="4">
        <v>0</v>
      </c>
      <c r="L109" s="8" t="s">
        <v>210</v>
      </c>
      <c r="M109" s="4">
        <v>0</v>
      </c>
      <c r="N109" s="8" t="s">
        <v>864</v>
      </c>
      <c r="O109" s="8" t="s">
        <v>903</v>
      </c>
      <c r="P109" s="8" t="s">
        <v>866</v>
      </c>
      <c r="Q109" s="4">
        <v>5637702951</v>
      </c>
    </row>
    <row r="110" spans="1:17" x14ac:dyDescent="0.25">
      <c r="A110" s="8" t="s">
        <v>368</v>
      </c>
      <c r="B110" s="8" t="s">
        <v>863</v>
      </c>
      <c r="C110" s="8" t="s">
        <v>736</v>
      </c>
      <c r="D110" s="8" t="s">
        <v>811</v>
      </c>
      <c r="E110" s="6">
        <v>43130</v>
      </c>
      <c r="F110" s="8" t="s">
        <v>717</v>
      </c>
      <c r="G110" s="8" t="s">
        <v>718</v>
      </c>
      <c r="H110" s="4">
        <v>-0.23</v>
      </c>
      <c r="I110" s="8" t="s">
        <v>111</v>
      </c>
      <c r="J110" s="4">
        <v>0</v>
      </c>
      <c r="K110" s="4">
        <v>0</v>
      </c>
      <c r="L110" s="8" t="s">
        <v>210</v>
      </c>
      <c r="M110" s="4">
        <v>0</v>
      </c>
      <c r="N110" s="8" t="s">
        <v>864</v>
      </c>
      <c r="O110" s="8" t="s">
        <v>903</v>
      </c>
      <c r="P110" s="8" t="s">
        <v>866</v>
      </c>
      <c r="Q110" s="4">
        <v>5637702967</v>
      </c>
    </row>
    <row r="111" spans="1:17" x14ac:dyDescent="0.25">
      <c r="A111" s="8" t="s">
        <v>368</v>
      </c>
      <c r="B111" s="8" t="s">
        <v>863</v>
      </c>
      <c r="C111" s="8" t="s">
        <v>736</v>
      </c>
      <c r="D111" s="8" t="s">
        <v>811</v>
      </c>
      <c r="E111" s="6">
        <v>43130</v>
      </c>
      <c r="F111" s="8" t="s">
        <v>717</v>
      </c>
      <c r="G111" s="8" t="s">
        <v>718</v>
      </c>
      <c r="H111" s="4">
        <v>-1.3</v>
      </c>
      <c r="I111" s="8" t="s">
        <v>111</v>
      </c>
      <c r="J111" s="4">
        <v>0</v>
      </c>
      <c r="K111" s="4">
        <v>0</v>
      </c>
      <c r="L111" s="8" t="s">
        <v>210</v>
      </c>
      <c r="M111" s="4">
        <v>0</v>
      </c>
      <c r="N111" s="8" t="s">
        <v>864</v>
      </c>
      <c r="O111" s="8" t="s">
        <v>903</v>
      </c>
      <c r="P111" s="8" t="s">
        <v>866</v>
      </c>
      <c r="Q111" s="4">
        <v>5637705743</v>
      </c>
    </row>
    <row r="112" spans="1:17" x14ac:dyDescent="0.25">
      <c r="A112" s="8" t="s">
        <v>17</v>
      </c>
      <c r="B112" s="8" t="s">
        <v>904</v>
      </c>
      <c r="C112" s="8" t="s">
        <v>737</v>
      </c>
      <c r="D112" s="8" t="s">
        <v>812</v>
      </c>
      <c r="E112" s="6">
        <v>43130</v>
      </c>
      <c r="F112" s="8" t="s">
        <v>717</v>
      </c>
      <c r="G112" s="8" t="s">
        <v>718</v>
      </c>
      <c r="H112" s="4">
        <v>17</v>
      </c>
      <c r="I112" s="8" t="s">
        <v>111</v>
      </c>
      <c r="J112" s="4">
        <v>0</v>
      </c>
      <c r="K112" s="4">
        <v>0</v>
      </c>
      <c r="L112" s="8" t="s">
        <v>210</v>
      </c>
      <c r="M112" s="4">
        <v>0</v>
      </c>
      <c r="N112" s="8" t="s">
        <v>905</v>
      </c>
      <c r="O112" s="8" t="s">
        <v>906</v>
      </c>
      <c r="P112" s="8" t="s">
        <v>866</v>
      </c>
      <c r="Q112" s="4">
        <v>5637705747</v>
      </c>
    </row>
    <row r="113" spans="1:17" x14ac:dyDescent="0.25">
      <c r="A113" s="8" t="s">
        <v>368</v>
      </c>
      <c r="B113" s="8" t="s">
        <v>863</v>
      </c>
      <c r="C113" s="8" t="s">
        <v>737</v>
      </c>
      <c r="D113" s="8" t="s">
        <v>812</v>
      </c>
      <c r="E113" s="6">
        <v>43130</v>
      </c>
      <c r="F113" s="8" t="s">
        <v>717</v>
      </c>
      <c r="G113" s="8" t="s">
        <v>718</v>
      </c>
      <c r="H113" s="4">
        <v>-0.5</v>
      </c>
      <c r="I113" s="8" t="s">
        <v>111</v>
      </c>
      <c r="J113" s="4">
        <v>0</v>
      </c>
      <c r="K113" s="4">
        <v>0</v>
      </c>
      <c r="L113" s="8" t="s">
        <v>210</v>
      </c>
      <c r="M113" s="4">
        <v>0</v>
      </c>
      <c r="N113" s="8" t="s">
        <v>864</v>
      </c>
      <c r="O113" s="8" t="s">
        <v>907</v>
      </c>
      <c r="P113" s="8" t="s">
        <v>866</v>
      </c>
      <c r="Q113" s="4">
        <v>5637705745</v>
      </c>
    </row>
    <row r="114" spans="1:17" x14ac:dyDescent="0.25">
      <c r="A114" s="8" t="s">
        <v>17</v>
      </c>
      <c r="B114" s="8" t="s">
        <v>898</v>
      </c>
      <c r="C114" s="8" t="s">
        <v>738</v>
      </c>
      <c r="D114" s="8" t="s">
        <v>813</v>
      </c>
      <c r="E114" s="6">
        <v>43130</v>
      </c>
      <c r="F114" s="8" t="s">
        <v>717</v>
      </c>
      <c r="G114" s="8" t="s">
        <v>718</v>
      </c>
      <c r="H114" s="4">
        <v>50</v>
      </c>
      <c r="I114" s="8" t="s">
        <v>111</v>
      </c>
      <c r="J114" s="4">
        <v>0</v>
      </c>
      <c r="K114" s="4">
        <v>0</v>
      </c>
      <c r="L114" s="8" t="s">
        <v>210</v>
      </c>
      <c r="M114" s="4">
        <v>0</v>
      </c>
      <c r="N114" s="8" t="s">
        <v>899</v>
      </c>
      <c r="O114" s="8" t="s">
        <v>908</v>
      </c>
      <c r="P114" s="8" t="s">
        <v>866</v>
      </c>
      <c r="Q114" s="4">
        <v>5637705759</v>
      </c>
    </row>
    <row r="115" spans="1:17" x14ac:dyDescent="0.25">
      <c r="A115" s="8" t="s">
        <v>368</v>
      </c>
      <c r="B115" s="8" t="s">
        <v>863</v>
      </c>
      <c r="C115" s="8" t="s">
        <v>738</v>
      </c>
      <c r="D115" s="8" t="s">
        <v>813</v>
      </c>
      <c r="E115" s="6">
        <v>43130</v>
      </c>
      <c r="F115" s="8" t="s">
        <v>717</v>
      </c>
      <c r="G115" s="8" t="s">
        <v>718</v>
      </c>
      <c r="H115" s="4">
        <v>-0.39</v>
      </c>
      <c r="I115" s="8" t="s">
        <v>111</v>
      </c>
      <c r="J115" s="4">
        <v>0</v>
      </c>
      <c r="K115" s="4">
        <v>0</v>
      </c>
      <c r="L115" s="8" t="s">
        <v>210</v>
      </c>
      <c r="M115" s="4">
        <v>0</v>
      </c>
      <c r="N115" s="8" t="s">
        <v>864</v>
      </c>
      <c r="O115" s="8" t="s">
        <v>909</v>
      </c>
      <c r="P115" s="8" t="s">
        <v>866</v>
      </c>
      <c r="Q115" s="4">
        <v>5637702965</v>
      </c>
    </row>
    <row r="116" spans="1:17" x14ac:dyDescent="0.25">
      <c r="A116" s="8" t="s">
        <v>368</v>
      </c>
      <c r="B116" s="8" t="s">
        <v>863</v>
      </c>
      <c r="C116" s="8" t="s">
        <v>738</v>
      </c>
      <c r="D116" s="8" t="s">
        <v>813</v>
      </c>
      <c r="E116" s="6">
        <v>43130</v>
      </c>
      <c r="F116" s="8" t="s">
        <v>717</v>
      </c>
      <c r="G116" s="8" t="s">
        <v>718</v>
      </c>
      <c r="H116" s="4">
        <v>-0.83</v>
      </c>
      <c r="I116" s="8" t="s">
        <v>111</v>
      </c>
      <c r="J116" s="4">
        <v>0</v>
      </c>
      <c r="K116" s="4">
        <v>0</v>
      </c>
      <c r="L116" s="8" t="s">
        <v>210</v>
      </c>
      <c r="M116" s="4">
        <v>0</v>
      </c>
      <c r="N116" s="8" t="s">
        <v>864</v>
      </c>
      <c r="O116" s="8" t="s">
        <v>909</v>
      </c>
      <c r="P116" s="8" t="s">
        <v>866</v>
      </c>
      <c r="Q116" s="4">
        <v>5637705737</v>
      </c>
    </row>
    <row r="117" spans="1:17" x14ac:dyDescent="0.25">
      <c r="A117" s="8" t="s">
        <v>368</v>
      </c>
      <c r="B117" s="8" t="s">
        <v>863</v>
      </c>
      <c r="C117" s="8" t="s">
        <v>738</v>
      </c>
      <c r="D117" s="8" t="s">
        <v>813</v>
      </c>
      <c r="E117" s="6">
        <v>43130</v>
      </c>
      <c r="F117" s="8" t="s">
        <v>717</v>
      </c>
      <c r="G117" s="8" t="s">
        <v>718</v>
      </c>
      <c r="H117" s="4">
        <v>-0.23</v>
      </c>
      <c r="I117" s="8" t="s">
        <v>111</v>
      </c>
      <c r="J117" s="4">
        <v>0</v>
      </c>
      <c r="K117" s="4">
        <v>0</v>
      </c>
      <c r="L117" s="8" t="s">
        <v>210</v>
      </c>
      <c r="M117" s="4">
        <v>0</v>
      </c>
      <c r="N117" s="8" t="s">
        <v>864</v>
      </c>
      <c r="O117" s="8" t="s">
        <v>909</v>
      </c>
      <c r="P117" s="8" t="s">
        <v>866</v>
      </c>
      <c r="Q117" s="4">
        <v>5637705742</v>
      </c>
    </row>
    <row r="118" spans="1:17" x14ac:dyDescent="0.25">
      <c r="A118" s="8" t="s">
        <v>368</v>
      </c>
      <c r="B118" s="8" t="s">
        <v>863</v>
      </c>
      <c r="C118" s="8" t="s">
        <v>745</v>
      </c>
      <c r="D118" s="8" t="s">
        <v>824</v>
      </c>
      <c r="E118" s="6">
        <v>43130</v>
      </c>
      <c r="F118" s="8" t="s">
        <v>717</v>
      </c>
      <c r="G118" s="8" t="s">
        <v>718</v>
      </c>
      <c r="H118" s="4">
        <v>-40.19</v>
      </c>
      <c r="I118" s="8" t="s">
        <v>111</v>
      </c>
      <c r="J118" s="4">
        <v>0</v>
      </c>
      <c r="K118" s="4">
        <v>0</v>
      </c>
      <c r="L118" s="8" t="s">
        <v>210</v>
      </c>
      <c r="M118" s="4">
        <v>0</v>
      </c>
      <c r="N118" s="8" t="s">
        <v>864</v>
      </c>
      <c r="O118" s="8" t="s">
        <v>910</v>
      </c>
      <c r="P118" s="8" t="s">
        <v>866</v>
      </c>
      <c r="Q118" s="4">
        <v>5637702963</v>
      </c>
    </row>
    <row r="119" spans="1:17" x14ac:dyDescent="0.25">
      <c r="A119" s="8" t="s">
        <v>368</v>
      </c>
      <c r="B119" s="8" t="s">
        <v>863</v>
      </c>
      <c r="C119" s="8" t="s">
        <v>745</v>
      </c>
      <c r="D119" s="8" t="s">
        <v>824</v>
      </c>
      <c r="E119" s="6">
        <v>43130</v>
      </c>
      <c r="F119" s="8" t="s">
        <v>717</v>
      </c>
      <c r="G119" s="8" t="s">
        <v>718</v>
      </c>
      <c r="H119" s="4">
        <v>-86</v>
      </c>
      <c r="I119" s="8" t="s">
        <v>111</v>
      </c>
      <c r="J119" s="4">
        <v>0</v>
      </c>
      <c r="K119" s="4">
        <v>0</v>
      </c>
      <c r="L119" s="8" t="s">
        <v>210</v>
      </c>
      <c r="M119" s="4">
        <v>0</v>
      </c>
      <c r="N119" s="8" t="s">
        <v>864</v>
      </c>
      <c r="O119" s="8" t="s">
        <v>910</v>
      </c>
      <c r="P119" s="8" t="s">
        <v>866</v>
      </c>
      <c r="Q119" s="4">
        <v>5637705735</v>
      </c>
    </row>
    <row r="120" spans="1:17" x14ac:dyDescent="0.25">
      <c r="A120" s="8" t="s">
        <v>368</v>
      </c>
      <c r="B120" s="8" t="s">
        <v>863</v>
      </c>
      <c r="C120" s="8" t="s">
        <v>745</v>
      </c>
      <c r="D120" s="8" t="s">
        <v>824</v>
      </c>
      <c r="E120" s="6">
        <v>43130</v>
      </c>
      <c r="F120" s="8" t="s">
        <v>717</v>
      </c>
      <c r="G120" s="8" t="s">
        <v>718</v>
      </c>
      <c r="H120" s="4">
        <v>-18.809999999999999</v>
      </c>
      <c r="I120" s="8" t="s">
        <v>111</v>
      </c>
      <c r="J120" s="4">
        <v>0</v>
      </c>
      <c r="K120" s="4">
        <v>0</v>
      </c>
      <c r="L120" s="8" t="s">
        <v>210</v>
      </c>
      <c r="M120" s="4">
        <v>0</v>
      </c>
      <c r="N120" s="8" t="s">
        <v>864</v>
      </c>
      <c r="O120" s="8" t="s">
        <v>910</v>
      </c>
      <c r="P120" s="8" t="s">
        <v>866</v>
      </c>
      <c r="Q120" s="4">
        <v>5637705740</v>
      </c>
    </row>
    <row r="121" spans="1:17" x14ac:dyDescent="0.25">
      <c r="A121" s="8" t="s">
        <v>215</v>
      </c>
      <c r="B121" s="8" t="s">
        <v>911</v>
      </c>
      <c r="C121" s="8" t="s">
        <v>63</v>
      </c>
      <c r="D121" s="8" t="s">
        <v>367</v>
      </c>
      <c r="E121" s="6">
        <v>43130</v>
      </c>
      <c r="F121" s="8" t="s">
        <v>717</v>
      </c>
      <c r="G121" s="8" t="s">
        <v>719</v>
      </c>
      <c r="H121" s="4">
        <v>84</v>
      </c>
      <c r="I121" s="8" t="s">
        <v>34</v>
      </c>
      <c r="J121" s="4">
        <v>3.9262573099420002</v>
      </c>
      <c r="K121" s="4">
        <v>329.81</v>
      </c>
      <c r="L121" s="8" t="s">
        <v>210</v>
      </c>
      <c r="M121" s="4">
        <v>329.81</v>
      </c>
      <c r="N121" s="8" t="s">
        <v>912</v>
      </c>
      <c r="O121" s="8" t="s">
        <v>913</v>
      </c>
      <c r="P121" s="8" t="s">
        <v>866</v>
      </c>
      <c r="Q121" s="4">
        <v>5637705751</v>
      </c>
    </row>
    <row r="122" spans="1:17" x14ac:dyDescent="0.25">
      <c r="A122" s="8" t="s">
        <v>215</v>
      </c>
      <c r="B122" s="8" t="s">
        <v>914</v>
      </c>
      <c r="C122" s="8" t="s">
        <v>63</v>
      </c>
      <c r="D122" s="8" t="s">
        <v>367</v>
      </c>
      <c r="E122" s="6">
        <v>43130</v>
      </c>
      <c r="F122" s="8" t="s">
        <v>717</v>
      </c>
      <c r="G122" s="8" t="s">
        <v>719</v>
      </c>
      <c r="H122" s="4">
        <v>-84</v>
      </c>
      <c r="I122" s="8" t="s">
        <v>34</v>
      </c>
      <c r="J122" s="4">
        <v>3.9262573099420002</v>
      </c>
      <c r="K122" s="4">
        <v>-329.81</v>
      </c>
      <c r="L122" s="8" t="s">
        <v>210</v>
      </c>
      <c r="M122" s="4">
        <v>-329.81</v>
      </c>
      <c r="N122" s="8" t="s">
        <v>915</v>
      </c>
      <c r="O122" s="8" t="s">
        <v>916</v>
      </c>
      <c r="P122" s="8" t="s">
        <v>866</v>
      </c>
      <c r="Q122" s="4">
        <v>5637705753</v>
      </c>
    </row>
    <row r="123" spans="1:17" x14ac:dyDescent="0.25">
      <c r="A123" s="8" t="s">
        <v>368</v>
      </c>
      <c r="B123" s="8" t="s">
        <v>863</v>
      </c>
      <c r="C123" s="8" t="s">
        <v>747</v>
      </c>
      <c r="D123" s="8" t="s">
        <v>835</v>
      </c>
      <c r="E123" s="6">
        <v>43130</v>
      </c>
      <c r="F123" s="8" t="s">
        <v>717</v>
      </c>
      <c r="G123" s="8" t="s">
        <v>718</v>
      </c>
      <c r="H123" s="4">
        <v>-330</v>
      </c>
      <c r="I123" s="8" t="s">
        <v>111</v>
      </c>
      <c r="J123" s="4">
        <v>0</v>
      </c>
      <c r="K123" s="4">
        <v>0</v>
      </c>
      <c r="L123" s="8" t="s">
        <v>210</v>
      </c>
      <c r="M123" s="4">
        <v>0</v>
      </c>
      <c r="N123" s="8" t="s">
        <v>864</v>
      </c>
      <c r="O123" s="8" t="s">
        <v>917</v>
      </c>
      <c r="P123" s="8" t="s">
        <v>866</v>
      </c>
      <c r="Q123" s="4">
        <v>5637705739</v>
      </c>
    </row>
    <row r="124" spans="1:17" x14ac:dyDescent="0.25">
      <c r="A124" s="8" t="s">
        <v>17</v>
      </c>
      <c r="B124" s="8" t="s">
        <v>918</v>
      </c>
      <c r="C124" s="8" t="s">
        <v>747</v>
      </c>
      <c r="D124" s="8" t="s">
        <v>835</v>
      </c>
      <c r="E124" s="6">
        <v>43131</v>
      </c>
      <c r="F124" s="8" t="s">
        <v>717</v>
      </c>
      <c r="G124" s="8" t="s">
        <v>718</v>
      </c>
      <c r="H124" s="4">
        <v>2070</v>
      </c>
      <c r="I124" s="8" t="s">
        <v>111</v>
      </c>
      <c r="J124" s="4">
        <v>0</v>
      </c>
      <c r="K124" s="4">
        <v>0</v>
      </c>
      <c r="L124" s="8" t="s">
        <v>210</v>
      </c>
      <c r="M124" s="4">
        <v>0</v>
      </c>
      <c r="N124" s="8" t="s">
        <v>919</v>
      </c>
      <c r="O124" s="8" t="s">
        <v>920</v>
      </c>
      <c r="P124" s="8" t="s">
        <v>866</v>
      </c>
      <c r="Q124" s="4">
        <v>5637705823</v>
      </c>
    </row>
    <row r="125" spans="1:17" x14ac:dyDescent="0.25">
      <c r="A125" s="3" t="s">
        <v>13</v>
      </c>
      <c r="B125" s="7"/>
      <c r="C125" s="7"/>
      <c r="D125" s="7"/>
      <c r="E125" s="5"/>
      <c r="F125" s="7"/>
      <c r="G125" s="7"/>
      <c r="H125" s="3">
        <f>SUBTOTAL(109,AtlasReport_2_Table_1[Quantity])</f>
        <v>-2946.079999999999</v>
      </c>
      <c r="I125" s="7"/>
      <c r="J125" s="3">
        <f>SUBTOTAL(109,AtlasReport_2_Table_1[TPP cost price])</f>
        <v>6.5596180815559997</v>
      </c>
      <c r="K125" s="3">
        <f>SUBTOTAL(109,AtlasReport_2_Table_1[TPP cost amount])</f>
        <v>1331</v>
      </c>
      <c r="L125" s="7"/>
      <c r="M125" s="3">
        <f>SUBTOTAL(109,AtlasReport_2_Table_1[TPP cost amount currency])</f>
        <v>1331</v>
      </c>
      <c r="N125" s="7"/>
      <c r="O125" s="7"/>
      <c r="P125" s="7"/>
      <c r="Q125" s="3">
        <f>SUBTOTAL(109,AtlasReport_2_Table_1[InventTransRecId])</f>
        <v>687799962625</v>
      </c>
    </row>
    <row r="126" spans="1:17" x14ac:dyDescent="0.25">
      <c r="A126" s="3"/>
      <c r="B126" s="3"/>
      <c r="C126" s="3"/>
      <c r="D126" s="3"/>
      <c r="E126" s="5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</row>
    <row r="127" spans="1:17" x14ac:dyDescent="0.25">
      <c r="A127" s="3"/>
      <c r="B127" s="3"/>
      <c r="C127" s="3"/>
      <c r="D127" s="3"/>
      <c r="E127" s="5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99"/>
  <sheetViews>
    <sheetView workbookViewId="0">
      <selection activeCell="A7" sqref="A7"/>
    </sheetView>
  </sheetViews>
  <sheetFormatPr defaultRowHeight="15" x14ac:dyDescent="0.2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 x14ac:dyDescent="0.3">
      <c r="A1" s="2" t="s">
        <v>48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6</v>
      </c>
      <c r="B2" s="3" t="s">
        <v>46</v>
      </c>
      <c r="C2" s="3" t="s">
        <v>47</v>
      </c>
      <c r="D2" s="9" t="s">
        <v>74</v>
      </c>
      <c r="E2" s="9" t="s">
        <v>79</v>
      </c>
      <c r="F2" s="9" t="s">
        <v>80</v>
      </c>
      <c r="G2" s="9" t="s">
        <v>75</v>
      </c>
      <c r="H2" s="9" t="s">
        <v>76</v>
      </c>
    </row>
    <row r="3" spans="1:8" x14ac:dyDescent="0.25">
      <c r="A3" s="8" t="s">
        <v>716</v>
      </c>
      <c r="B3" s="8" t="s">
        <v>717</v>
      </c>
      <c r="C3" s="8" t="s">
        <v>73</v>
      </c>
      <c r="D3" s="10">
        <v>0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0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25">
      <c r="A4" s="8" t="s">
        <v>716</v>
      </c>
      <c r="B4" s="8" t="s">
        <v>717</v>
      </c>
      <c r="C4" s="8" t="s">
        <v>719</v>
      </c>
      <c r="D4" s="10">
        <v>0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0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 x14ac:dyDescent="0.25">
      <c r="A5" s="8" t="s">
        <v>716</v>
      </c>
      <c r="B5" s="8" t="s">
        <v>717</v>
      </c>
      <c r="C5" s="8" t="s">
        <v>718</v>
      </c>
      <c r="D5" s="10">
        <v>302.5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285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17.5</v>
      </c>
      <c r="H5" s="10">
        <f>AtlasReport_3_Table_1[[#This Row],[Current On-hand]]-AtlasReport_3_Table_1[[#This Row],[Trans backwords (Ending)]]</f>
        <v>302.5</v>
      </c>
    </row>
    <row r="6" spans="1:8" x14ac:dyDescent="0.25">
      <c r="A6" s="8" t="s">
        <v>222</v>
      </c>
      <c r="B6" s="8" t="s">
        <v>717</v>
      </c>
      <c r="C6" s="8" t="s">
        <v>73</v>
      </c>
      <c r="D6" s="10">
        <v>0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0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0</v>
      </c>
    </row>
    <row r="7" spans="1:8" x14ac:dyDescent="0.25">
      <c r="A7" s="8" t="s">
        <v>222</v>
      </c>
      <c r="B7" s="8" t="s">
        <v>717</v>
      </c>
      <c r="C7" s="8" t="s">
        <v>719</v>
      </c>
      <c r="D7" s="10">
        <v>0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0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25">
      <c r="A8" s="8" t="s">
        <v>222</v>
      </c>
      <c r="B8" s="8" t="s">
        <v>717</v>
      </c>
      <c r="C8" s="8" t="s">
        <v>718</v>
      </c>
      <c r="D8" s="10">
        <v>0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0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 x14ac:dyDescent="0.25">
      <c r="A9" s="8" t="s">
        <v>49</v>
      </c>
      <c r="B9" s="8" t="s">
        <v>717</v>
      </c>
      <c r="C9" s="8" t="s">
        <v>73</v>
      </c>
      <c r="D9" s="10">
        <v>0</v>
      </c>
      <c r="E9" s="10">
        <f>_xll.AtlasFormulas.AtlasFunctions.AtlasBalance("PROD",DataAreaId,"T.InventTrans|inventDimId~inventDimId@T.InventDim","Sum|Qty|0","","","","","","","DateFinancial|ItemId|T2.InventSiteId|T2.InventLocationId",PeriodBeginning,$A9,$B9,$C9)</f>
        <v>0</v>
      </c>
      <c r="F9" s="10">
        <f>_xll.AtlasFormulas.AtlasFunctions.AtlasBalance("PROD",DataAreaId,"T.InventTrans|inventDimId~inventDimId@T.InventDim","Sum|Qty|0","","","","","","","DateFinancial|ItemId|T2.InventSiteId|T2.InventLocationId",PeriodEnding,$A9,$B9,$C9)</f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25">
      <c r="A10" s="8" t="s">
        <v>49</v>
      </c>
      <c r="B10" s="8" t="s">
        <v>717</v>
      </c>
      <c r="C10" s="8" t="s">
        <v>719</v>
      </c>
      <c r="D10" s="10">
        <v>769</v>
      </c>
      <c r="E10" s="10">
        <f>_xll.AtlasFormulas.AtlasFunctions.AtlasBalance("PROD",DataAreaId,"T.InventTrans|inventDimId~inventDimId@T.InventDim","Sum|Qty|0","","","","","","","DateFinancial|ItemId|T2.InventSiteId|T2.InventLocationId",PeriodBeginning,$A10,$B10,$C10)</f>
        <v>0</v>
      </c>
      <c r="F10" s="10">
        <f>_xll.AtlasFormulas.AtlasFunctions.AtlasBalance("PROD",DataAreaId,"T.InventTrans|inventDimId~inventDimId@T.InventDim","Sum|Qty|0","","","","","","","DateFinancial|ItemId|T2.InventSiteId|T2.InventLocationId",PeriodEnding,$A10,$B10,$C10)</f>
        <v>0</v>
      </c>
      <c r="G10" s="10">
        <f>AtlasReport_3_Table_1[[#This Row],[Current On-hand]]-AtlasReport_3_Table_1[[#This Row],[Trans backwords (Beginning)]]</f>
        <v>769</v>
      </c>
      <c r="H10" s="10">
        <f>AtlasReport_3_Table_1[[#This Row],[Current On-hand]]-AtlasReport_3_Table_1[[#This Row],[Trans backwords (Ending)]]</f>
        <v>769</v>
      </c>
    </row>
    <row r="11" spans="1:8" x14ac:dyDescent="0.25">
      <c r="A11" s="8" t="s">
        <v>49</v>
      </c>
      <c r="B11" s="8" t="s">
        <v>717</v>
      </c>
      <c r="C11" s="8" t="s">
        <v>718</v>
      </c>
      <c r="D11" s="10">
        <v>0</v>
      </c>
      <c r="E11" s="10">
        <f>_xll.AtlasFormulas.AtlasFunctions.AtlasBalance("PROD",DataAreaId,"T.InventTrans|inventDimId~inventDimId@T.InventDim","Sum|Qty|0","","","","","","","DateFinancial|ItemId|T2.InventSiteId|T2.InventLocationId",PeriodBeginning,$A11,$B11,$C11)</f>
        <v>0</v>
      </c>
      <c r="F11" s="10">
        <f>_xll.AtlasFormulas.AtlasFunctions.AtlasBalance("PROD",DataAreaId,"T.InventTrans|inventDimId~inventDimId@T.InventDim","Sum|Qty|0","","","","","","","DateFinancial|ItemId|T2.InventSiteId|T2.InventLocationId",PeriodEnding,$A11,$B11,$C11)</f>
        <v>0</v>
      </c>
      <c r="G11" s="10">
        <f>AtlasReport_3_Table_1[[#This Row],[Current On-hand]]-AtlasReport_3_Table_1[[#This Row],[Trans backwords (Beginning)]]</f>
        <v>0</v>
      </c>
      <c r="H11" s="10">
        <f>AtlasReport_3_Table_1[[#This Row],[Current On-hand]]-AtlasReport_3_Table_1[[#This Row],[Trans backwords (Ending)]]</f>
        <v>0</v>
      </c>
    </row>
    <row r="12" spans="1:8" x14ac:dyDescent="0.25">
      <c r="A12" s="8" t="s">
        <v>49</v>
      </c>
      <c r="B12" s="8" t="s">
        <v>717</v>
      </c>
      <c r="C12" s="8" t="s">
        <v>756</v>
      </c>
      <c r="D12" s="10">
        <v>0</v>
      </c>
      <c r="E12" s="10">
        <f>_xll.AtlasFormulas.AtlasFunctions.AtlasBalance("PROD",DataAreaId,"T.InventTrans|inventDimId~inventDimId@T.InventDim","Sum|Qty|0","","","","","","","DateFinancial|ItemId|T2.InventSiteId|T2.InventLocationId",PeriodBeginning,$A12,$B12,$C12)</f>
        <v>0</v>
      </c>
      <c r="F12" s="10">
        <f>_xll.AtlasFormulas.AtlasFunctions.AtlasBalance("PROD",DataAreaId,"T.InventTrans|inventDimId~inventDimId@T.InventDim","Sum|Qty|0","","","","","","","DateFinancial|ItemId|T2.InventSiteId|T2.InventLocationId",PeriodEnding,$A12,$B12,$C12)</f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0</v>
      </c>
    </row>
    <row r="13" spans="1:8" x14ac:dyDescent="0.25">
      <c r="A13" s="8" t="s">
        <v>126</v>
      </c>
      <c r="B13" s="8" t="s">
        <v>717</v>
      </c>
      <c r="C13" s="8" t="s">
        <v>719</v>
      </c>
      <c r="D13" s="10">
        <v>487.5</v>
      </c>
      <c r="E13" s="10">
        <f>_xll.AtlasFormulas.AtlasFunctions.AtlasBalance("PROD",DataAreaId,"T.InventTrans|inventDimId~inventDimId@T.InventDim","Sum|Qty|0","","","","","","","DateFinancial|ItemId|T2.InventSiteId|T2.InventLocationId",PeriodBeginning,$A13,$B13,$C13)</f>
        <v>0</v>
      </c>
      <c r="F13" s="10">
        <f>_xll.AtlasFormulas.AtlasFunctions.AtlasBalance("PROD",DataAreaId,"T.InventTrans|inventDimId~inventDimId@T.InventDim","Sum|Qty|0","","","","","","","DateFinancial|ItemId|T2.InventSiteId|T2.InventLocationId",PeriodEnding,$A13,$B13,$C13)</f>
        <v>0</v>
      </c>
      <c r="G13" s="10">
        <f>AtlasReport_3_Table_1[[#This Row],[Current On-hand]]-AtlasReport_3_Table_1[[#This Row],[Trans backwords (Beginning)]]</f>
        <v>487.5</v>
      </c>
      <c r="H13" s="10">
        <f>AtlasReport_3_Table_1[[#This Row],[Current On-hand]]-AtlasReport_3_Table_1[[#This Row],[Trans backwords (Ending)]]</f>
        <v>487.5</v>
      </c>
    </row>
    <row r="14" spans="1:8" x14ac:dyDescent="0.25">
      <c r="A14" s="8" t="s">
        <v>237</v>
      </c>
      <c r="B14" s="8" t="s">
        <v>717</v>
      </c>
      <c r="C14" s="8" t="s">
        <v>719</v>
      </c>
      <c r="D14" s="10">
        <v>0</v>
      </c>
      <c r="E14" s="10">
        <f>_xll.AtlasFormulas.AtlasFunctions.AtlasBalance("PROD",DataAreaId,"T.InventTrans|inventDimId~inventDimId@T.InventDim","Sum|Qty|0","","","","","","","DateFinancial|ItemId|T2.InventSiteId|T2.InventLocationId",PeriodBeginning,$A14,$B14,$C14)</f>
        <v>0</v>
      </c>
      <c r="F14" s="10">
        <f>_xll.AtlasFormulas.AtlasFunctions.AtlasBalance("PROD",DataAreaId,"T.InventTrans|inventDimId~inventDimId@T.InventDim","Sum|Qty|0","","","","","","","DateFinancial|ItemId|T2.InventSiteId|T2.InventLocationId",PeriodEnding,$A14,$B14,$C14)</f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0</v>
      </c>
    </row>
    <row r="15" spans="1:8" x14ac:dyDescent="0.25">
      <c r="A15" s="8" t="s">
        <v>237</v>
      </c>
      <c r="B15" s="8" t="s">
        <v>717</v>
      </c>
      <c r="C15" s="8" t="s">
        <v>718</v>
      </c>
      <c r="D15" s="10">
        <v>0</v>
      </c>
      <c r="E15" s="10">
        <f>_xll.AtlasFormulas.AtlasFunctions.AtlasBalance("PROD",DataAreaId,"T.InventTrans|inventDimId~inventDimId@T.InventDim","Sum|Qty|0","","","","","","","DateFinancial|ItemId|T2.InventSiteId|T2.InventLocationId",PeriodBeginning,$A15,$B15,$C15)</f>
        <v>0</v>
      </c>
      <c r="F15" s="10">
        <f>_xll.AtlasFormulas.AtlasFunctions.AtlasBalance("PROD",DataAreaId,"T.InventTrans|inventDimId~inventDimId@T.InventDim","Sum|Qty|0","","","","","","","DateFinancial|ItemId|T2.InventSiteId|T2.InventLocationId",PeriodEnding,$A15,$B15,$C15)</f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 x14ac:dyDescent="0.25">
      <c r="A16" s="8" t="s">
        <v>127</v>
      </c>
      <c r="B16" s="8" t="s">
        <v>717</v>
      </c>
      <c r="C16" s="8" t="s">
        <v>73</v>
      </c>
      <c r="D16" s="10">
        <v>0</v>
      </c>
      <c r="E16" s="10">
        <f>_xll.AtlasFormulas.AtlasFunctions.AtlasBalance("PROD",DataAreaId,"T.InventTrans|inventDimId~inventDimId@T.InventDim","Sum|Qty|0","","","","","","","DateFinancial|ItemId|T2.InventSiteId|T2.InventLocationId",PeriodBeginning,$A16,$B16,$C16)</f>
        <v>0</v>
      </c>
      <c r="F16" s="10">
        <f>_xll.AtlasFormulas.AtlasFunctions.AtlasBalance("PROD",DataAreaId,"T.InventTrans|inventDimId~inventDimId@T.InventDim","Sum|Qty|0","","","","","","","DateFinancial|ItemId|T2.InventSiteId|T2.InventLocationId",PeriodEnding,$A16,$B16,$C16)</f>
        <v>0</v>
      </c>
      <c r="G16" s="10">
        <f>AtlasReport_3_Table_1[[#This Row],[Current On-hand]]-AtlasReport_3_Table_1[[#This Row],[Trans backwords (Beginning)]]</f>
        <v>0</v>
      </c>
      <c r="H16" s="10">
        <f>AtlasReport_3_Table_1[[#This Row],[Current On-hand]]-AtlasReport_3_Table_1[[#This Row],[Trans backwords (Ending)]]</f>
        <v>0</v>
      </c>
    </row>
    <row r="17" spans="1:8" x14ac:dyDescent="0.25">
      <c r="A17" s="8" t="s">
        <v>127</v>
      </c>
      <c r="B17" s="8" t="s">
        <v>717</v>
      </c>
      <c r="C17" s="8" t="s">
        <v>719</v>
      </c>
      <c r="D17" s="10">
        <v>472.75</v>
      </c>
      <c r="E17" s="10">
        <f>_xll.AtlasFormulas.AtlasFunctions.AtlasBalance("PROD",DataAreaId,"T.InventTrans|inventDimId~inventDimId@T.InventDim","Sum|Qty|0","","","","","","","DateFinancial|ItemId|T2.InventSiteId|T2.InventLocationId",PeriodBeginning,$A17,$B17,$C17)</f>
        <v>0</v>
      </c>
      <c r="F17" s="10">
        <f>_xll.AtlasFormulas.AtlasFunctions.AtlasBalance("PROD",DataAreaId,"T.InventTrans|inventDimId~inventDimId@T.InventDim","Sum|Qty|0","","","","","","","DateFinancial|ItemId|T2.InventSiteId|T2.InventLocationId",PeriodEnding,$A17,$B17,$C17)</f>
        <v>0</v>
      </c>
      <c r="G17" s="10">
        <f>AtlasReport_3_Table_1[[#This Row],[Current On-hand]]-AtlasReport_3_Table_1[[#This Row],[Trans backwords (Beginning)]]</f>
        <v>472.75</v>
      </c>
      <c r="H17" s="10">
        <f>AtlasReport_3_Table_1[[#This Row],[Current On-hand]]-AtlasReport_3_Table_1[[#This Row],[Trans backwords (Ending)]]</f>
        <v>472.75</v>
      </c>
    </row>
    <row r="18" spans="1:8" x14ac:dyDescent="0.25">
      <c r="A18" s="8" t="s">
        <v>127</v>
      </c>
      <c r="B18" s="8" t="s">
        <v>717</v>
      </c>
      <c r="C18" s="8" t="s">
        <v>718</v>
      </c>
      <c r="D18" s="10">
        <v>0</v>
      </c>
      <c r="E18" s="10">
        <f>_xll.AtlasFormulas.AtlasFunctions.AtlasBalance("PROD",DataAreaId,"T.InventTrans|inventDimId~inventDimId@T.InventDim","Sum|Qty|0","","","","","","","DateFinancial|ItemId|T2.InventSiteId|T2.InventLocationId",PeriodBeginning,$A18,$B18,$C18)</f>
        <v>0</v>
      </c>
      <c r="F18" s="10">
        <f>_xll.AtlasFormulas.AtlasFunctions.AtlasBalance("PROD",DataAreaId,"T.InventTrans|inventDimId~inventDimId@T.InventDim","Sum|Qty|0","","","","","","","DateFinancial|ItemId|T2.InventSiteId|T2.InventLocationId",PeriodEnding,$A18,$B18,$C18)</f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25">
      <c r="A19" s="8" t="s">
        <v>127</v>
      </c>
      <c r="B19" s="8" t="s">
        <v>717</v>
      </c>
      <c r="C19" s="8" t="s">
        <v>756</v>
      </c>
      <c r="D19" s="10">
        <v>0</v>
      </c>
      <c r="E19" s="10">
        <f>_xll.AtlasFormulas.AtlasFunctions.AtlasBalance("PROD",DataAreaId,"T.InventTrans|inventDimId~inventDimId@T.InventDim","Sum|Qty|0","","","","","","","DateFinancial|ItemId|T2.InventSiteId|T2.InventLocationId",PeriodBeginning,$A19,$B19,$C19)</f>
        <v>0</v>
      </c>
      <c r="F19" s="10">
        <f>_xll.AtlasFormulas.AtlasFunctions.AtlasBalance("PROD",DataAreaId,"T.InventTrans|inventDimId~inventDimId@T.InventDim","Sum|Qty|0","","","","","","","DateFinancial|ItemId|T2.InventSiteId|T2.InventLocationId",PeriodEnding,$A19,$B19,$C19)</f>
        <v>0</v>
      </c>
      <c r="G19" s="10">
        <f>AtlasReport_3_Table_1[[#This Row],[Current On-hand]]-AtlasReport_3_Table_1[[#This Row],[Trans backwords (Beginning)]]</f>
        <v>0</v>
      </c>
      <c r="H19" s="10">
        <f>AtlasReport_3_Table_1[[#This Row],[Current On-hand]]-AtlasReport_3_Table_1[[#This Row],[Trans backwords (Ending)]]</f>
        <v>0</v>
      </c>
    </row>
    <row r="20" spans="1:8" x14ac:dyDescent="0.25">
      <c r="A20" s="8" t="s">
        <v>238</v>
      </c>
      <c r="B20" s="8" t="s">
        <v>717</v>
      </c>
      <c r="C20" s="8" t="s">
        <v>719</v>
      </c>
      <c r="D20" s="10">
        <v>0</v>
      </c>
      <c r="E20" s="10">
        <f>_xll.AtlasFormulas.AtlasFunctions.AtlasBalance("PROD",DataAreaId,"T.InventTrans|inventDimId~inventDimId@T.InventDim","Sum|Qty|0","","","","","","","DateFinancial|ItemId|T2.InventSiteId|T2.InventLocationId",PeriodBeginning,$A20,$B20,$C20)</f>
        <v>0</v>
      </c>
      <c r="F20" s="10">
        <f>_xll.AtlasFormulas.AtlasFunctions.AtlasBalance("PROD",DataAreaId,"T.InventTrans|inventDimId~inventDimId@T.InventDim","Sum|Qty|0","","","","","","","DateFinancial|ItemId|T2.InventSiteId|T2.InventLocationId",PeriodEnding,$A20,$B20,$C20)</f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25">
      <c r="A21" s="8" t="s">
        <v>238</v>
      </c>
      <c r="B21" s="8" t="s">
        <v>717</v>
      </c>
      <c r="C21" s="8" t="s">
        <v>718</v>
      </c>
      <c r="D21" s="10">
        <v>0</v>
      </c>
      <c r="E21" s="10">
        <f>_xll.AtlasFormulas.AtlasFunctions.AtlasBalance("PROD",DataAreaId,"T.InventTrans|inventDimId~inventDimId@T.InventDim","Sum|Qty|0","","","","","","","DateFinancial|ItemId|T2.InventSiteId|T2.InventLocationId",PeriodBeginning,$A21,$B21,$C21)</f>
        <v>0</v>
      </c>
      <c r="F21" s="10">
        <f>_xll.AtlasFormulas.AtlasFunctions.AtlasBalance("PROD",DataAreaId,"T.InventTrans|inventDimId~inventDimId@T.InventDim","Sum|Qty|0","","","","","","","DateFinancial|ItemId|T2.InventSiteId|T2.InventLocationId",PeriodEnding,$A21,$B21,$C21)</f>
        <v>0</v>
      </c>
      <c r="G21" s="10">
        <f>AtlasReport_3_Table_1[[#This Row],[Current On-hand]]-AtlasReport_3_Table_1[[#This Row],[Trans backwords (Beginning)]]</f>
        <v>0</v>
      </c>
      <c r="H21" s="10">
        <f>AtlasReport_3_Table_1[[#This Row],[Current On-hand]]-AtlasReport_3_Table_1[[#This Row],[Trans backwords (Ending)]]</f>
        <v>0</v>
      </c>
    </row>
    <row r="22" spans="1:8" x14ac:dyDescent="0.25">
      <c r="A22" s="8" t="s">
        <v>757</v>
      </c>
      <c r="B22" s="8" t="s">
        <v>717</v>
      </c>
      <c r="C22" s="8" t="s">
        <v>719</v>
      </c>
      <c r="D22" s="10">
        <v>0</v>
      </c>
      <c r="E22" s="10">
        <f>_xll.AtlasFormulas.AtlasFunctions.AtlasBalance("PROD",DataAreaId,"T.InventTrans|inventDimId~inventDimId@T.InventDim","Sum|Qty|0","","","","","","","DateFinancial|ItemId|T2.InventSiteId|T2.InventLocationId",PeriodBeginning,$A22,$B22,$C22)</f>
        <v>0</v>
      </c>
      <c r="F22" s="10">
        <f>_xll.AtlasFormulas.AtlasFunctions.AtlasBalance("PROD",DataAreaId,"T.InventTrans|inventDimId~inventDimId@T.InventDim","Sum|Qty|0","","","","","","","DateFinancial|ItemId|T2.InventSiteId|T2.InventLocationId",PeriodEnding,$A22,$B22,$C22)</f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0</v>
      </c>
    </row>
    <row r="23" spans="1:8" x14ac:dyDescent="0.25">
      <c r="A23" s="8" t="s">
        <v>128</v>
      </c>
      <c r="B23" s="8" t="s">
        <v>717</v>
      </c>
      <c r="C23" s="8" t="s">
        <v>73</v>
      </c>
      <c r="D23" s="10">
        <v>0</v>
      </c>
      <c r="E23" s="10">
        <f>_xll.AtlasFormulas.AtlasFunctions.AtlasBalance("PROD",DataAreaId,"T.InventTrans|inventDimId~inventDimId@T.InventDim","Sum|Qty|0","","","","","","","DateFinancial|ItemId|T2.InventSiteId|T2.InventLocationId",PeriodBeginning,$A23,$B23,$C23)</f>
        <v>0</v>
      </c>
      <c r="F23" s="10">
        <f>_xll.AtlasFormulas.AtlasFunctions.AtlasBalance("PROD",DataAreaId,"T.InventTrans|inventDimId~inventDimId@T.InventDim","Sum|Qty|0","","","","","","","DateFinancial|ItemId|T2.InventSiteId|T2.InventLocationId",PeriodEnding,$A23,$B23,$C23)</f>
        <v>0</v>
      </c>
      <c r="G23" s="10">
        <f>AtlasReport_3_Table_1[[#This Row],[Current On-hand]]-AtlasReport_3_Table_1[[#This Row],[Trans backwords (Beginning)]]</f>
        <v>0</v>
      </c>
      <c r="H23" s="10">
        <f>AtlasReport_3_Table_1[[#This Row],[Current On-hand]]-AtlasReport_3_Table_1[[#This Row],[Trans backwords (Ending)]]</f>
        <v>0</v>
      </c>
    </row>
    <row r="24" spans="1:8" x14ac:dyDescent="0.25">
      <c r="A24" s="8" t="s">
        <v>128</v>
      </c>
      <c r="B24" s="8" t="s">
        <v>717</v>
      </c>
      <c r="C24" s="8" t="s">
        <v>719</v>
      </c>
      <c r="D24" s="10">
        <v>172</v>
      </c>
      <c r="E24" s="10">
        <f>_xll.AtlasFormulas.AtlasFunctions.AtlasBalance("PROD",DataAreaId,"T.InventTrans|inventDimId~inventDimId@T.InventDim","Sum|Qty|0","","","","","","","DateFinancial|ItemId|T2.InventSiteId|T2.InventLocationId",PeriodBeginning,$A24,$B24,$C24)</f>
        <v>0</v>
      </c>
      <c r="F24" s="10">
        <f>_xll.AtlasFormulas.AtlasFunctions.AtlasBalance("PROD",DataAreaId,"T.InventTrans|inventDimId~inventDimId@T.InventDim","Sum|Qty|0","","","","","","","DateFinancial|ItemId|T2.InventSiteId|T2.InventLocationId",PeriodEnding,$A24,$B24,$C24)</f>
        <v>0</v>
      </c>
      <c r="G24" s="10">
        <f>AtlasReport_3_Table_1[[#This Row],[Current On-hand]]-AtlasReport_3_Table_1[[#This Row],[Trans backwords (Beginning)]]</f>
        <v>172</v>
      </c>
      <c r="H24" s="10">
        <f>AtlasReport_3_Table_1[[#This Row],[Current On-hand]]-AtlasReport_3_Table_1[[#This Row],[Trans backwords (Ending)]]</f>
        <v>172</v>
      </c>
    </row>
    <row r="25" spans="1:8" x14ac:dyDescent="0.25">
      <c r="A25" s="8" t="s">
        <v>720</v>
      </c>
      <c r="B25" s="8" t="s">
        <v>717</v>
      </c>
      <c r="C25" s="8" t="s">
        <v>719</v>
      </c>
      <c r="D25" s="10">
        <v>1211</v>
      </c>
      <c r="E25" s="10">
        <f>_xll.AtlasFormulas.AtlasFunctions.AtlasBalance("PROD",DataAreaId,"T.InventTrans|inventDimId~inventDimId@T.InventDim","Sum|Qty|0","","","","","","","DateFinancial|ItemId|T2.InventSiteId|T2.InventLocationId",PeriodBeginning,$A25,$B25,$C25)</f>
        <v>955</v>
      </c>
      <c r="F25" s="10">
        <f>_xll.AtlasFormulas.AtlasFunctions.AtlasBalance("PROD",DataAreaId,"T.InventTrans|inventDimId~inventDimId@T.InventDim","Sum|Qty|0","","","","","","","DateFinancial|ItemId|T2.InventSiteId|T2.InventLocationId",PeriodEnding,$A25,$B25,$C25)</f>
        <v>0</v>
      </c>
      <c r="G25" s="10">
        <f>AtlasReport_3_Table_1[[#This Row],[Current On-hand]]-AtlasReport_3_Table_1[[#This Row],[Trans backwords (Beginning)]]</f>
        <v>256</v>
      </c>
      <c r="H25" s="10">
        <f>AtlasReport_3_Table_1[[#This Row],[Current On-hand]]-AtlasReport_3_Table_1[[#This Row],[Trans backwords (Ending)]]</f>
        <v>1211</v>
      </c>
    </row>
    <row r="26" spans="1:8" x14ac:dyDescent="0.25">
      <c r="A26" s="8" t="s">
        <v>676</v>
      </c>
      <c r="B26" s="8" t="s">
        <v>717</v>
      </c>
      <c r="C26" s="8" t="s">
        <v>719</v>
      </c>
      <c r="D26" s="10">
        <v>98</v>
      </c>
      <c r="E26" s="10">
        <f>_xll.AtlasFormulas.AtlasFunctions.AtlasBalance("PROD",DataAreaId,"T.InventTrans|inventDimId~inventDimId@T.InventDim","Sum|Qty|0","","","","","","","DateFinancial|ItemId|T2.InventSiteId|T2.InventLocationId",PeriodBeginning,$A26,$B26,$C26)</f>
        <v>0</v>
      </c>
      <c r="F26" s="10">
        <f>_xll.AtlasFormulas.AtlasFunctions.AtlasBalance("PROD",DataAreaId,"T.InventTrans|inventDimId~inventDimId@T.InventDim","Sum|Qty|0","","","","","","","DateFinancial|ItemId|T2.InventSiteId|T2.InventLocationId",PeriodEnding,$A26,$B26,$C26)</f>
        <v>0</v>
      </c>
      <c r="G26" s="10">
        <f>AtlasReport_3_Table_1[[#This Row],[Current On-hand]]-AtlasReport_3_Table_1[[#This Row],[Trans backwords (Beginning)]]</f>
        <v>98</v>
      </c>
      <c r="H26" s="10">
        <f>AtlasReport_3_Table_1[[#This Row],[Current On-hand]]-AtlasReport_3_Table_1[[#This Row],[Trans backwords (Ending)]]</f>
        <v>98</v>
      </c>
    </row>
    <row r="27" spans="1:8" x14ac:dyDescent="0.25">
      <c r="A27" s="8" t="s">
        <v>129</v>
      </c>
      <c r="B27" s="8" t="s">
        <v>717</v>
      </c>
      <c r="C27" s="8" t="s">
        <v>73</v>
      </c>
      <c r="D27" s="10">
        <v>0</v>
      </c>
      <c r="E27" s="10">
        <f>_xll.AtlasFormulas.AtlasFunctions.AtlasBalance("PROD",DataAreaId,"T.InventTrans|inventDimId~inventDimId@T.InventDim","Sum|Qty|0","","","","","","","DateFinancial|ItemId|T2.InventSiteId|T2.InventLocationId",PeriodBeginning,$A27,$B27,$C27)</f>
        <v>0</v>
      </c>
      <c r="F27" s="10">
        <f>_xll.AtlasFormulas.AtlasFunctions.AtlasBalance("PROD",DataAreaId,"T.InventTrans|inventDimId~inventDimId@T.InventDim","Sum|Qty|0","","","","","","","DateFinancial|ItemId|T2.InventSiteId|T2.InventLocationId",PeriodEnding,$A27,$B27,$C27)</f>
        <v>0</v>
      </c>
      <c r="G27" s="10">
        <f>AtlasReport_3_Table_1[[#This Row],[Current On-hand]]-AtlasReport_3_Table_1[[#This Row],[Trans backwords (Beginning)]]</f>
        <v>0</v>
      </c>
      <c r="H27" s="10">
        <f>AtlasReport_3_Table_1[[#This Row],[Current On-hand]]-AtlasReport_3_Table_1[[#This Row],[Trans backwords (Ending)]]</f>
        <v>0</v>
      </c>
    </row>
    <row r="28" spans="1:8" x14ac:dyDescent="0.25">
      <c r="A28" s="8" t="s">
        <v>129</v>
      </c>
      <c r="B28" s="8" t="s">
        <v>717</v>
      </c>
      <c r="C28" s="8" t="s">
        <v>719</v>
      </c>
      <c r="D28" s="10">
        <v>0</v>
      </c>
      <c r="E28" s="10">
        <f>_xll.AtlasFormulas.AtlasFunctions.AtlasBalance("PROD",DataAreaId,"T.InventTrans|inventDimId~inventDimId@T.InventDim","Sum|Qty|0","","","","","","","DateFinancial|ItemId|T2.InventSiteId|T2.InventLocationId",PeriodBeginning,$A28,$B28,$C28)</f>
        <v>0</v>
      </c>
      <c r="F28" s="10">
        <f>_xll.AtlasFormulas.AtlasFunctions.AtlasBalance("PROD",DataAreaId,"T.InventTrans|inventDimId~inventDimId@T.InventDim","Sum|Qty|0","","","","","","","DateFinancial|ItemId|T2.InventSiteId|T2.InventLocationId",PeriodEnding,$A28,$B28,$C28)</f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 x14ac:dyDescent="0.25">
      <c r="A29" s="8" t="s">
        <v>129</v>
      </c>
      <c r="B29" s="8" t="s">
        <v>717</v>
      </c>
      <c r="C29" s="8" t="s">
        <v>718</v>
      </c>
      <c r="D29" s="10">
        <v>0</v>
      </c>
      <c r="E29" s="10">
        <f>_xll.AtlasFormulas.AtlasFunctions.AtlasBalance("PROD",DataAreaId,"T.InventTrans|inventDimId~inventDimId@T.InventDim","Sum|Qty|0","","","","","","","DateFinancial|ItemId|T2.InventSiteId|T2.InventLocationId",PeriodBeginning,$A29,$B29,$C29)</f>
        <v>0</v>
      </c>
      <c r="F29" s="10">
        <f>_xll.AtlasFormulas.AtlasFunctions.AtlasBalance("PROD",DataAreaId,"T.InventTrans|inventDimId~inventDimId@T.InventDim","Sum|Qty|0","","","","","","","DateFinancial|ItemId|T2.InventSiteId|T2.InventLocationId",PeriodEnding,$A29,$B29,$C29)</f>
        <v>0</v>
      </c>
      <c r="G29" s="10">
        <f>AtlasReport_3_Table_1[[#This Row],[Current On-hand]]-AtlasReport_3_Table_1[[#This Row],[Trans backwords (Beginning)]]</f>
        <v>0</v>
      </c>
      <c r="H29" s="10">
        <f>AtlasReport_3_Table_1[[#This Row],[Current On-hand]]-AtlasReport_3_Table_1[[#This Row],[Trans backwords (Ending)]]</f>
        <v>0</v>
      </c>
    </row>
    <row r="30" spans="1:8" x14ac:dyDescent="0.25">
      <c r="A30" s="8" t="s">
        <v>758</v>
      </c>
      <c r="B30" s="8" t="s">
        <v>717</v>
      </c>
      <c r="C30" s="8" t="s">
        <v>719</v>
      </c>
      <c r="D30" s="10">
        <v>0</v>
      </c>
      <c r="E30" s="10">
        <f>_xll.AtlasFormulas.AtlasFunctions.AtlasBalance("PROD",DataAreaId,"T.InventTrans|inventDimId~inventDimId@T.InventDim","Sum|Qty|0","","","","","","","DateFinancial|ItemId|T2.InventSiteId|T2.InventLocationId",PeriodBeginning,$A30,$B30,$C30)</f>
        <v>0</v>
      </c>
      <c r="F30" s="10">
        <f>_xll.AtlasFormulas.AtlasFunctions.AtlasBalance("PROD",DataAreaId,"T.InventTrans|inventDimId~inventDimId@T.InventDim","Sum|Qty|0","","","","","","","DateFinancial|ItemId|T2.InventSiteId|T2.InventLocationId",PeriodEnding,$A30,$B30,$C30)</f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 x14ac:dyDescent="0.25">
      <c r="A31" s="8" t="s">
        <v>758</v>
      </c>
      <c r="B31" s="8" t="s">
        <v>717</v>
      </c>
      <c r="C31" s="8" t="s">
        <v>718</v>
      </c>
      <c r="D31" s="10">
        <v>0</v>
      </c>
      <c r="E31" s="10">
        <f>_xll.AtlasFormulas.AtlasFunctions.AtlasBalance("PROD",DataAreaId,"T.InventTrans|inventDimId~inventDimId@T.InventDim","Sum|Qty|0","","","","","","","DateFinancial|ItemId|T2.InventSiteId|T2.InventLocationId",PeriodBeginning,$A31,$B31,$C31)</f>
        <v>0</v>
      </c>
      <c r="F31" s="10">
        <f>_xll.AtlasFormulas.AtlasFunctions.AtlasBalance("PROD",DataAreaId,"T.InventTrans|inventDimId~inventDimId@T.InventDim","Sum|Qty|0","","","","","","","DateFinancial|ItemId|T2.InventSiteId|T2.InventLocationId",PeriodEnding,$A31,$B31,$C31)</f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25">
      <c r="A32" s="8" t="s">
        <v>246</v>
      </c>
      <c r="B32" s="8" t="s">
        <v>717</v>
      </c>
      <c r="C32" s="8" t="s">
        <v>73</v>
      </c>
      <c r="D32" s="10">
        <v>0</v>
      </c>
      <c r="E32" s="10">
        <f>_xll.AtlasFormulas.AtlasFunctions.AtlasBalance("PROD",DataAreaId,"T.InventTrans|inventDimId~inventDimId@T.InventDim","Sum|Qty|0","","","","","","","DateFinancial|ItemId|T2.InventSiteId|T2.InventLocationId",PeriodBeginning,$A32,$B32,$C32)</f>
        <v>0</v>
      </c>
      <c r="F32" s="10">
        <f>_xll.AtlasFormulas.AtlasFunctions.AtlasBalance("PROD",DataAreaId,"T.InventTrans|inventDimId~inventDimId@T.InventDim","Sum|Qty|0","","","","","","","DateFinancial|ItemId|T2.InventSiteId|T2.InventLocationId",PeriodEnding,$A32,$B32,$C32)</f>
        <v>0</v>
      </c>
      <c r="G32" s="10">
        <f>AtlasReport_3_Table_1[[#This Row],[Current On-hand]]-AtlasReport_3_Table_1[[#This Row],[Trans backwords (Beginning)]]</f>
        <v>0</v>
      </c>
      <c r="H32" s="10">
        <f>AtlasReport_3_Table_1[[#This Row],[Current On-hand]]-AtlasReport_3_Table_1[[#This Row],[Trans backwords (Ending)]]</f>
        <v>0</v>
      </c>
    </row>
    <row r="33" spans="1:8" x14ac:dyDescent="0.25">
      <c r="A33" s="8" t="s">
        <v>246</v>
      </c>
      <c r="B33" s="8" t="s">
        <v>717</v>
      </c>
      <c r="C33" s="8" t="s">
        <v>719</v>
      </c>
      <c r="D33" s="10">
        <v>0</v>
      </c>
      <c r="E33" s="10">
        <f>_xll.AtlasFormulas.AtlasFunctions.AtlasBalance("PROD",DataAreaId,"T.InventTrans|inventDimId~inventDimId@T.InventDim","Sum|Qty|0","","","","","","","DateFinancial|ItemId|T2.InventSiteId|T2.InventLocationId",PeriodBeginning,$A33,$B33,$C33)</f>
        <v>0</v>
      </c>
      <c r="F33" s="10">
        <f>_xll.AtlasFormulas.AtlasFunctions.AtlasBalance("PROD",DataAreaId,"T.InventTrans|inventDimId~inventDimId@T.InventDim","Sum|Qty|0","","","","","","","DateFinancial|ItemId|T2.InventSiteId|T2.InventLocationId",PeriodEnding,$A33,$B33,$C33)</f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25">
      <c r="A34" s="8" t="s">
        <v>246</v>
      </c>
      <c r="B34" s="8" t="s">
        <v>717</v>
      </c>
      <c r="C34" s="8" t="s">
        <v>718</v>
      </c>
      <c r="D34" s="10">
        <v>0</v>
      </c>
      <c r="E34" s="10">
        <f>_xll.AtlasFormulas.AtlasFunctions.AtlasBalance("PROD",DataAreaId,"T.InventTrans|inventDimId~inventDimId@T.InventDim","Sum|Qty|0","","","","","","","DateFinancial|ItemId|T2.InventSiteId|T2.InventLocationId",PeriodBeginning,$A34,$B34,$C34)</f>
        <v>0</v>
      </c>
      <c r="F34" s="10">
        <f>_xll.AtlasFormulas.AtlasFunctions.AtlasBalance("PROD",DataAreaId,"T.InventTrans|inventDimId~inventDimId@T.InventDim","Sum|Qty|0","","","","","","","DateFinancial|ItemId|T2.InventSiteId|T2.InventLocationId",PeriodEnding,$A34,$B34,$C34)</f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0</v>
      </c>
    </row>
    <row r="35" spans="1:8" x14ac:dyDescent="0.25">
      <c r="A35" s="8" t="s">
        <v>246</v>
      </c>
      <c r="B35" s="8" t="s">
        <v>717</v>
      </c>
      <c r="C35" s="8" t="s">
        <v>756</v>
      </c>
      <c r="D35" s="10">
        <v>0</v>
      </c>
      <c r="E35" s="10">
        <f>_xll.AtlasFormulas.AtlasFunctions.AtlasBalance("PROD",DataAreaId,"T.InventTrans|inventDimId~inventDimId@T.InventDim","Sum|Qty|0","","","","","","","DateFinancial|ItemId|T2.InventSiteId|T2.InventLocationId",PeriodBeginning,$A35,$B35,$C35)</f>
        <v>0</v>
      </c>
      <c r="F35" s="10">
        <f>_xll.AtlasFormulas.AtlasFunctions.AtlasBalance("PROD",DataAreaId,"T.InventTrans|inventDimId~inventDimId@T.InventDim","Sum|Qty|0","","","","","","","DateFinancial|ItemId|T2.InventSiteId|T2.InventLocationId",PeriodEnding,$A35,$B35,$C35)</f>
        <v>0</v>
      </c>
      <c r="G35" s="10">
        <f>AtlasReport_3_Table_1[[#This Row],[Current On-hand]]-AtlasReport_3_Table_1[[#This Row],[Trans backwords (Beginning)]]</f>
        <v>0</v>
      </c>
      <c r="H35" s="10">
        <f>AtlasReport_3_Table_1[[#This Row],[Current On-hand]]-AtlasReport_3_Table_1[[#This Row],[Trans backwords (Ending)]]</f>
        <v>0</v>
      </c>
    </row>
    <row r="36" spans="1:8" x14ac:dyDescent="0.25">
      <c r="A36" s="8" t="s">
        <v>20</v>
      </c>
      <c r="B36" s="8" t="s">
        <v>717</v>
      </c>
      <c r="C36" s="8" t="s">
        <v>73</v>
      </c>
      <c r="D36" s="10">
        <v>0</v>
      </c>
      <c r="E36" s="10">
        <f>_xll.AtlasFormulas.AtlasFunctions.AtlasBalance("PROD",DataAreaId,"T.InventTrans|inventDimId~inventDimId@T.InventDim","Sum|Qty|0","","","","","","","DateFinancial|ItemId|T2.InventSiteId|T2.InventLocationId",PeriodBeginning,$A36,$B36,$C36)</f>
        <v>0</v>
      </c>
      <c r="F36" s="10">
        <f>_xll.AtlasFormulas.AtlasFunctions.AtlasBalance("PROD",DataAreaId,"T.InventTrans|inventDimId~inventDimId@T.InventDim","Sum|Qty|0","","","","","","","DateFinancial|ItemId|T2.InventSiteId|T2.InventLocationId",PeriodEnding,$A36,$B36,$C36)</f>
        <v>0</v>
      </c>
      <c r="G36" s="10">
        <f>AtlasReport_3_Table_1[[#This Row],[Current On-hand]]-AtlasReport_3_Table_1[[#This Row],[Trans backwords (Beginning)]]</f>
        <v>0</v>
      </c>
      <c r="H36" s="10">
        <f>AtlasReport_3_Table_1[[#This Row],[Current On-hand]]-AtlasReport_3_Table_1[[#This Row],[Trans backwords (Ending)]]</f>
        <v>0</v>
      </c>
    </row>
    <row r="37" spans="1:8" x14ac:dyDescent="0.25">
      <c r="A37" s="8" t="s">
        <v>20</v>
      </c>
      <c r="B37" s="8" t="s">
        <v>717</v>
      </c>
      <c r="C37" s="8" t="s">
        <v>719</v>
      </c>
      <c r="D37" s="10">
        <v>0</v>
      </c>
      <c r="E37" s="10">
        <f>_xll.AtlasFormulas.AtlasFunctions.AtlasBalance("PROD",DataAreaId,"T.InventTrans|inventDimId~inventDimId@T.InventDim","Sum|Qty|0","","","","","","","DateFinancial|ItemId|T2.InventSiteId|T2.InventLocationId",PeriodBeginning,$A37,$B37,$C37)</f>
        <v>0</v>
      </c>
      <c r="F37" s="10">
        <f>_xll.AtlasFormulas.AtlasFunctions.AtlasBalance("PROD",DataAreaId,"T.InventTrans|inventDimId~inventDimId@T.InventDim","Sum|Qty|0","","","","","","","DateFinancial|ItemId|T2.InventSiteId|T2.InventLocationId",PeriodEnding,$A37,$B37,$C37)</f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25">
      <c r="A38" s="8" t="s">
        <v>20</v>
      </c>
      <c r="B38" s="8" t="s">
        <v>717</v>
      </c>
      <c r="C38" s="8" t="s">
        <v>718</v>
      </c>
      <c r="D38" s="10">
        <v>0</v>
      </c>
      <c r="E38" s="10">
        <f>_xll.AtlasFormulas.AtlasFunctions.AtlasBalance("PROD",DataAreaId,"T.InventTrans|inventDimId~inventDimId@T.InventDim","Sum|Qty|0","","","","","","","DateFinancial|ItemId|T2.InventSiteId|T2.InventLocationId",PeriodBeginning,$A38,$B38,$C38)</f>
        <v>0</v>
      </c>
      <c r="F38" s="10">
        <f>_xll.AtlasFormulas.AtlasFunctions.AtlasBalance("PROD",DataAreaId,"T.InventTrans|inventDimId~inventDimId@T.InventDim","Sum|Qty|0","","","","","","","DateFinancial|ItemId|T2.InventSiteId|T2.InventLocationId",PeriodEnding,$A38,$B38,$C38)</f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 x14ac:dyDescent="0.25">
      <c r="A39" s="8" t="s">
        <v>18</v>
      </c>
      <c r="B39" s="8" t="s">
        <v>717</v>
      </c>
      <c r="C39" s="8" t="s">
        <v>73</v>
      </c>
      <c r="D39" s="10">
        <v>0</v>
      </c>
      <c r="E39" s="10">
        <f>_xll.AtlasFormulas.AtlasFunctions.AtlasBalance("PROD",DataAreaId,"T.InventTrans|inventDimId~inventDimId@T.InventDim","Sum|Qty|0","","","","","","","DateFinancial|ItemId|T2.InventSiteId|T2.InventLocationId",PeriodBeginning,$A39,$B39,$C39)</f>
        <v>0</v>
      </c>
      <c r="F39" s="10">
        <f>_xll.AtlasFormulas.AtlasFunctions.AtlasBalance("PROD",DataAreaId,"T.InventTrans|inventDimId~inventDimId@T.InventDim","Sum|Qty|0","","","","","","","DateFinancial|ItemId|T2.InventSiteId|T2.InventLocationId",PeriodEnding,$A39,$B39,$C39)</f>
        <v>0</v>
      </c>
      <c r="G39" s="10">
        <f>AtlasReport_3_Table_1[[#This Row],[Current On-hand]]-AtlasReport_3_Table_1[[#This Row],[Trans backwords (Beginning)]]</f>
        <v>0</v>
      </c>
      <c r="H39" s="10">
        <f>AtlasReport_3_Table_1[[#This Row],[Current On-hand]]-AtlasReport_3_Table_1[[#This Row],[Trans backwords (Ending)]]</f>
        <v>0</v>
      </c>
    </row>
    <row r="40" spans="1:8" x14ac:dyDescent="0.25">
      <c r="A40" s="8" t="s">
        <v>18</v>
      </c>
      <c r="B40" s="8" t="s">
        <v>717</v>
      </c>
      <c r="C40" s="8" t="s">
        <v>719</v>
      </c>
      <c r="D40" s="10">
        <v>7020</v>
      </c>
      <c r="E40" s="10">
        <f>_xll.AtlasFormulas.AtlasFunctions.AtlasBalance("PROD",DataAreaId,"T.InventTrans|inventDimId~inventDimId@T.InventDim","Sum|Qty|0","","","","","","","DateFinancial|ItemId|T2.InventSiteId|T2.InventLocationId",PeriodBeginning,$A40,$B40,$C40)</f>
        <v>-4290</v>
      </c>
      <c r="F40" s="10">
        <f>_xll.AtlasFormulas.AtlasFunctions.AtlasBalance("PROD",DataAreaId,"T.InventTrans|inventDimId~inventDimId@T.InventDim","Sum|Qty|0","","","","","","","DateFinancial|ItemId|T2.InventSiteId|T2.InventLocationId",PeriodEnding,$A40,$B40,$C40)</f>
        <v>0</v>
      </c>
      <c r="G40" s="10">
        <f>AtlasReport_3_Table_1[[#This Row],[Current On-hand]]-AtlasReport_3_Table_1[[#This Row],[Trans backwords (Beginning)]]</f>
        <v>11310</v>
      </c>
      <c r="H40" s="10">
        <f>AtlasReport_3_Table_1[[#This Row],[Current On-hand]]-AtlasReport_3_Table_1[[#This Row],[Trans backwords (Ending)]]</f>
        <v>7020</v>
      </c>
    </row>
    <row r="41" spans="1:8" x14ac:dyDescent="0.25">
      <c r="A41" s="8" t="s">
        <v>18</v>
      </c>
      <c r="B41" s="8" t="s">
        <v>717</v>
      </c>
      <c r="C41" s="8" t="s">
        <v>718</v>
      </c>
      <c r="D41" s="10">
        <v>0</v>
      </c>
      <c r="E41" s="10">
        <f>_xll.AtlasFormulas.AtlasFunctions.AtlasBalance("PROD",DataAreaId,"T.InventTrans|inventDimId~inventDimId@T.InventDim","Sum|Qty|0","","","","","","","DateFinancial|ItemId|T2.InventSiteId|T2.InventLocationId",PeriodBeginning,$A41,$B41,$C41)</f>
        <v>0</v>
      </c>
      <c r="F41" s="10">
        <f>_xll.AtlasFormulas.AtlasFunctions.AtlasBalance("PROD",DataAreaId,"T.InventTrans|inventDimId~inventDimId@T.InventDim","Sum|Qty|0","","","","","","","DateFinancial|ItemId|T2.InventSiteId|T2.InventLocationId",PeriodEnding,$A41,$B41,$C41)</f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0</v>
      </c>
    </row>
    <row r="42" spans="1:8" x14ac:dyDescent="0.25">
      <c r="A42" s="8" t="s">
        <v>18</v>
      </c>
      <c r="B42" s="8" t="s">
        <v>717</v>
      </c>
      <c r="C42" s="8" t="s">
        <v>721</v>
      </c>
      <c r="D42" s="10">
        <v>4290</v>
      </c>
      <c r="E42" s="10">
        <f>_xll.AtlasFormulas.AtlasFunctions.AtlasBalance("PROD",DataAreaId,"T.InventTrans|inventDimId~inventDimId@T.InventDim","Sum|Qty|0","","","","","","","DateFinancial|ItemId|T2.InventSiteId|T2.InventLocationId",PeriodBeginning,$A42,$B42,$C42)</f>
        <v>4290</v>
      </c>
      <c r="F42" s="10">
        <f>_xll.AtlasFormulas.AtlasFunctions.AtlasBalance("PROD",DataAreaId,"T.InventTrans|inventDimId~inventDimId@T.InventDim","Sum|Qty|0","","","","","","","DateFinancial|ItemId|T2.InventSiteId|T2.InventLocationId",PeriodEnding,$A42,$B42,$C42)</f>
        <v>0</v>
      </c>
      <c r="G42" s="10">
        <f>AtlasReport_3_Table_1[[#This Row],[Current On-hand]]-AtlasReport_3_Table_1[[#This Row],[Trans backwords (Beginning)]]</f>
        <v>0</v>
      </c>
      <c r="H42" s="10">
        <f>AtlasReport_3_Table_1[[#This Row],[Current On-hand]]-AtlasReport_3_Table_1[[#This Row],[Trans backwords (Ending)]]</f>
        <v>4290</v>
      </c>
    </row>
    <row r="43" spans="1:8" x14ac:dyDescent="0.25">
      <c r="A43" s="8" t="s">
        <v>18</v>
      </c>
      <c r="B43" s="8" t="s">
        <v>717</v>
      </c>
      <c r="C43" s="8" t="s">
        <v>756</v>
      </c>
      <c r="D43" s="10">
        <v>0</v>
      </c>
      <c r="E43" s="10">
        <f>_xll.AtlasFormulas.AtlasFunctions.AtlasBalance("PROD",DataAreaId,"T.InventTrans|inventDimId~inventDimId@T.InventDim","Sum|Qty|0","","","","","","","DateFinancial|ItemId|T2.InventSiteId|T2.InventLocationId",PeriodBeginning,$A43,$B43,$C43)</f>
        <v>0</v>
      </c>
      <c r="F43" s="10">
        <f>_xll.AtlasFormulas.AtlasFunctions.AtlasBalance("PROD",DataAreaId,"T.InventTrans|inventDimId~inventDimId@T.InventDim","Sum|Qty|0","","","","","","","DateFinancial|ItemId|T2.InventSiteId|T2.InventLocationId",PeriodEnding,$A43,$B43,$C43)</f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0</v>
      </c>
    </row>
    <row r="44" spans="1:8" x14ac:dyDescent="0.25">
      <c r="A44" s="8" t="s">
        <v>722</v>
      </c>
      <c r="B44" s="8" t="s">
        <v>717</v>
      </c>
      <c r="C44" s="8" t="s">
        <v>73</v>
      </c>
      <c r="D44" s="10">
        <v>0</v>
      </c>
      <c r="E44" s="10">
        <f>_xll.AtlasFormulas.AtlasFunctions.AtlasBalance("PROD",DataAreaId,"T.InventTrans|inventDimId~inventDimId@T.InventDim","Sum|Qty|0","","","","","","","DateFinancial|ItemId|T2.InventSiteId|T2.InventLocationId",PeriodBeginning,$A44,$B44,$C44)</f>
        <v>0</v>
      </c>
      <c r="F44" s="10">
        <f>_xll.AtlasFormulas.AtlasFunctions.AtlasBalance("PROD",DataAreaId,"T.InventTrans|inventDimId~inventDimId@T.InventDim","Sum|Qty|0","","","","","","","DateFinancial|ItemId|T2.InventSiteId|T2.InventLocationId",PeriodEnding,$A44,$B44,$C44)</f>
        <v>0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0</v>
      </c>
    </row>
    <row r="45" spans="1:8" x14ac:dyDescent="0.25">
      <c r="A45" s="8" t="s">
        <v>722</v>
      </c>
      <c r="B45" s="8" t="s">
        <v>717</v>
      </c>
      <c r="C45" s="8" t="s">
        <v>719</v>
      </c>
      <c r="D45" s="10">
        <v>5070</v>
      </c>
      <c r="E45" s="10">
        <f>_xll.AtlasFormulas.AtlasFunctions.AtlasBalance("PROD",DataAreaId,"T.InventTrans|inventDimId~inventDimId@T.InventDim","Sum|Qty|0","","","","","","","DateFinancial|ItemId|T2.InventSiteId|T2.InventLocationId",PeriodBeginning,$A45,$B45,$C45)</f>
        <v>0</v>
      </c>
      <c r="F45" s="10">
        <f>_xll.AtlasFormulas.AtlasFunctions.AtlasBalance("PROD",DataAreaId,"T.InventTrans|inventDimId~inventDimId@T.InventDim","Sum|Qty|0","","","","","","","DateFinancial|ItemId|T2.InventSiteId|T2.InventLocationId",PeriodEnding,$A45,$B45,$C45)</f>
        <v>0</v>
      </c>
      <c r="G45" s="10">
        <f>AtlasReport_3_Table_1[[#This Row],[Current On-hand]]-AtlasReport_3_Table_1[[#This Row],[Trans backwords (Beginning)]]</f>
        <v>5070</v>
      </c>
      <c r="H45" s="10">
        <f>AtlasReport_3_Table_1[[#This Row],[Current On-hand]]-AtlasReport_3_Table_1[[#This Row],[Trans backwords (Ending)]]</f>
        <v>5070</v>
      </c>
    </row>
    <row r="46" spans="1:8" x14ac:dyDescent="0.25">
      <c r="A46" s="8" t="s">
        <v>723</v>
      </c>
      <c r="B46" s="8" t="s">
        <v>717</v>
      </c>
      <c r="C46" s="8" t="s">
        <v>719</v>
      </c>
      <c r="D46" s="10">
        <v>0</v>
      </c>
      <c r="E46" s="10">
        <f>_xll.AtlasFormulas.AtlasFunctions.AtlasBalance("PROD",DataAreaId,"T.InventTrans|inventDimId~inventDimId@T.InventDim","Sum|Qty|0","","","","","","","DateFinancial|ItemId|T2.InventSiteId|T2.InventLocationId",PeriodBeginning,$A46,$B46,$C46)</f>
        <v>0</v>
      </c>
      <c r="F46" s="10">
        <f>_xll.AtlasFormulas.AtlasFunctions.AtlasBalance("PROD",DataAreaId,"T.InventTrans|inventDimId~inventDimId@T.InventDim","Sum|Qty|0","","","","","","","DateFinancial|ItemId|T2.InventSiteId|T2.InventLocationId",PeriodEnding,$A46,$B46,$C46)</f>
        <v>0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0</v>
      </c>
    </row>
    <row r="47" spans="1:8" x14ac:dyDescent="0.25">
      <c r="A47" s="8" t="s">
        <v>723</v>
      </c>
      <c r="B47" s="8" t="s">
        <v>717</v>
      </c>
      <c r="C47" s="8" t="s">
        <v>718</v>
      </c>
      <c r="D47" s="10">
        <v>0</v>
      </c>
      <c r="E47" s="10">
        <f>_xll.AtlasFormulas.AtlasFunctions.AtlasBalance("PROD",DataAreaId,"T.InventTrans|inventDimId~inventDimId@T.InventDim","Sum|Qty|0","","","","","","","DateFinancial|ItemId|T2.InventSiteId|T2.InventLocationId",PeriodBeginning,$A47,$B47,$C47)</f>
        <v>0</v>
      </c>
      <c r="F47" s="10">
        <f>_xll.AtlasFormulas.AtlasFunctions.AtlasBalance("PROD",DataAreaId,"T.InventTrans|inventDimId~inventDimId@T.InventDim","Sum|Qty|0","","","","","","","DateFinancial|ItemId|T2.InventSiteId|T2.InventLocationId",PeriodEnding,$A47,$B47,$C47)</f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25">
      <c r="A48" s="8" t="s">
        <v>51</v>
      </c>
      <c r="B48" s="8" t="s">
        <v>717</v>
      </c>
      <c r="C48" s="8" t="s">
        <v>73</v>
      </c>
      <c r="D48" s="10">
        <v>0</v>
      </c>
      <c r="E48" s="10">
        <f>_xll.AtlasFormulas.AtlasFunctions.AtlasBalance("PROD",DataAreaId,"T.InventTrans|inventDimId~inventDimId@T.InventDim","Sum|Qty|0","","","","","","","DateFinancial|ItemId|T2.InventSiteId|T2.InventLocationId",PeriodBeginning,$A48,$B48,$C48)</f>
        <v>0</v>
      </c>
      <c r="F48" s="10">
        <f>_xll.AtlasFormulas.AtlasFunctions.AtlasBalance("PROD",DataAreaId,"T.InventTrans|inventDimId~inventDimId@T.InventDim","Sum|Qty|0","","","","","","","DateFinancial|ItemId|T2.InventSiteId|T2.InventLocationId",PeriodEnding,$A48,$B48,$C48)</f>
        <v>0</v>
      </c>
      <c r="G48" s="10">
        <f>AtlasReport_3_Table_1[[#This Row],[Current On-hand]]-AtlasReport_3_Table_1[[#This Row],[Trans backwords (Beginning)]]</f>
        <v>0</v>
      </c>
      <c r="H48" s="10">
        <f>AtlasReport_3_Table_1[[#This Row],[Current On-hand]]-AtlasReport_3_Table_1[[#This Row],[Trans backwords (Ending)]]</f>
        <v>0</v>
      </c>
    </row>
    <row r="49" spans="1:8" x14ac:dyDescent="0.25">
      <c r="A49" s="8" t="s">
        <v>51</v>
      </c>
      <c r="B49" s="8" t="s">
        <v>717</v>
      </c>
      <c r="C49" s="8" t="s">
        <v>719</v>
      </c>
      <c r="D49" s="10">
        <v>210</v>
      </c>
      <c r="E49" s="10">
        <f>_xll.AtlasFormulas.AtlasFunctions.AtlasBalance("PROD",DataAreaId,"T.InventTrans|inventDimId~inventDimId@T.InventDim","Sum|Qty|0","","","","","","","DateFinancial|ItemId|T2.InventSiteId|T2.InventLocationId",PeriodBeginning,$A49,$B49,$C49)</f>
        <v>0</v>
      </c>
      <c r="F49" s="10">
        <f>_xll.AtlasFormulas.AtlasFunctions.AtlasBalance("PROD",DataAreaId,"T.InventTrans|inventDimId~inventDimId@T.InventDim","Sum|Qty|0","","","","","","","DateFinancial|ItemId|T2.InventSiteId|T2.InventLocationId",PeriodEnding,$A49,$B49,$C49)</f>
        <v>0</v>
      </c>
      <c r="G49" s="10">
        <f>AtlasReport_3_Table_1[[#This Row],[Current On-hand]]-AtlasReport_3_Table_1[[#This Row],[Trans backwords (Beginning)]]</f>
        <v>210</v>
      </c>
      <c r="H49" s="10">
        <f>AtlasReport_3_Table_1[[#This Row],[Current On-hand]]-AtlasReport_3_Table_1[[#This Row],[Trans backwords (Ending)]]</f>
        <v>210</v>
      </c>
    </row>
    <row r="50" spans="1:8" x14ac:dyDescent="0.25">
      <c r="A50" s="8" t="s">
        <v>51</v>
      </c>
      <c r="B50" s="8" t="s">
        <v>717</v>
      </c>
      <c r="C50" s="8" t="s">
        <v>718</v>
      </c>
      <c r="D50" s="10">
        <v>0</v>
      </c>
      <c r="E50" s="10">
        <f>_xll.AtlasFormulas.AtlasFunctions.AtlasBalance("PROD",DataAreaId,"T.InventTrans|inventDimId~inventDimId@T.InventDim","Sum|Qty|0","","","","","","","DateFinancial|ItemId|T2.InventSiteId|T2.InventLocationId",PeriodBeginning,$A50,$B50,$C50)</f>
        <v>0</v>
      </c>
      <c r="F50" s="10">
        <f>_xll.AtlasFormulas.AtlasFunctions.AtlasBalance("PROD",DataAreaId,"T.InventTrans|inventDimId~inventDimId@T.InventDim","Sum|Qty|0","","","","","","","DateFinancial|ItemId|T2.InventSiteId|T2.InventLocationId",PeriodEnding,$A50,$B50,$C50)</f>
        <v>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0</v>
      </c>
    </row>
    <row r="51" spans="1:8" x14ac:dyDescent="0.25">
      <c r="A51" s="8" t="s">
        <v>131</v>
      </c>
      <c r="B51" s="8" t="s">
        <v>717</v>
      </c>
      <c r="C51" s="8" t="s">
        <v>73</v>
      </c>
      <c r="D51" s="10">
        <v>0</v>
      </c>
      <c r="E51" s="10">
        <f>_xll.AtlasFormulas.AtlasFunctions.AtlasBalance("PROD",DataAreaId,"T.InventTrans|inventDimId~inventDimId@T.InventDim","Sum|Qty|0","","","","","","","DateFinancial|ItemId|T2.InventSiteId|T2.InventLocationId",PeriodBeginning,$A51,$B51,$C51)</f>
        <v>0</v>
      </c>
      <c r="F51" s="10">
        <f>_xll.AtlasFormulas.AtlasFunctions.AtlasBalance("PROD",DataAreaId,"T.InventTrans|inventDimId~inventDimId@T.InventDim","Sum|Qty|0","","","","","","","DateFinancial|ItemId|T2.InventSiteId|T2.InventLocationId",PeriodEnding,$A51,$B51,$C51)</f>
        <v>0</v>
      </c>
      <c r="G51" s="10">
        <f>AtlasReport_3_Table_1[[#This Row],[Current On-hand]]-AtlasReport_3_Table_1[[#This Row],[Trans backwords (Beginning)]]</f>
        <v>0</v>
      </c>
      <c r="H51" s="10">
        <f>AtlasReport_3_Table_1[[#This Row],[Current On-hand]]-AtlasReport_3_Table_1[[#This Row],[Trans backwords (Ending)]]</f>
        <v>0</v>
      </c>
    </row>
    <row r="52" spans="1:8" x14ac:dyDescent="0.25">
      <c r="A52" s="8" t="s">
        <v>131</v>
      </c>
      <c r="B52" s="8" t="s">
        <v>717</v>
      </c>
      <c r="C52" s="8" t="s">
        <v>719</v>
      </c>
      <c r="D52" s="10">
        <v>0</v>
      </c>
      <c r="E52" s="10">
        <f>_xll.AtlasFormulas.AtlasFunctions.AtlasBalance("PROD",DataAreaId,"T.InventTrans|inventDimId~inventDimId@T.InventDim","Sum|Qty|0","","","","","","","DateFinancial|ItemId|T2.InventSiteId|T2.InventLocationId",PeriodBeginning,$A52,$B52,$C52)</f>
        <v>0</v>
      </c>
      <c r="F52" s="10">
        <f>_xll.AtlasFormulas.AtlasFunctions.AtlasBalance("PROD",DataAreaId,"T.InventTrans|inventDimId~inventDimId@T.InventDim","Sum|Qty|0","","","","","","","DateFinancial|ItemId|T2.InventSiteId|T2.InventLocationId",PeriodEnding,$A52,$B52,$C52)</f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 x14ac:dyDescent="0.25">
      <c r="A53" s="8" t="s">
        <v>131</v>
      </c>
      <c r="B53" s="8" t="s">
        <v>717</v>
      </c>
      <c r="C53" s="8" t="s">
        <v>718</v>
      </c>
      <c r="D53" s="10">
        <v>0</v>
      </c>
      <c r="E53" s="10">
        <f>_xll.AtlasFormulas.AtlasFunctions.AtlasBalance("PROD",DataAreaId,"T.InventTrans|inventDimId~inventDimId@T.InventDim","Sum|Qty|0","","","","","","","DateFinancial|ItemId|T2.InventSiteId|T2.InventLocationId",PeriodBeginning,$A53,$B53,$C53)</f>
        <v>0</v>
      </c>
      <c r="F53" s="10">
        <f>_xll.AtlasFormulas.AtlasFunctions.AtlasBalance("PROD",DataAreaId,"T.InventTrans|inventDimId~inventDimId@T.InventDim","Sum|Qty|0","","","","","","","DateFinancial|ItemId|T2.InventSiteId|T2.InventLocationId",PeriodEnding,$A53,$B53,$C53)</f>
        <v>0</v>
      </c>
      <c r="G53" s="10">
        <f>AtlasReport_3_Table_1[[#This Row],[Current On-hand]]-AtlasReport_3_Table_1[[#This Row],[Trans backwords (Beginning)]]</f>
        <v>0</v>
      </c>
      <c r="H53" s="10">
        <f>AtlasReport_3_Table_1[[#This Row],[Current On-hand]]-AtlasReport_3_Table_1[[#This Row],[Trans backwords (Ending)]]</f>
        <v>0</v>
      </c>
    </row>
    <row r="54" spans="1:8" x14ac:dyDescent="0.25">
      <c r="A54" s="8" t="s">
        <v>131</v>
      </c>
      <c r="B54" s="8" t="s">
        <v>717</v>
      </c>
      <c r="C54" s="8" t="s">
        <v>759</v>
      </c>
      <c r="D54" s="10">
        <v>0</v>
      </c>
      <c r="E54" s="10">
        <f>_xll.AtlasFormulas.AtlasFunctions.AtlasBalance("PROD",DataAreaId,"T.InventTrans|inventDimId~inventDimId@T.InventDim","Sum|Qty|0","","","","","","","DateFinancial|ItemId|T2.InventSiteId|T2.InventLocationId",PeriodBeginning,$A54,$B54,$C54)</f>
        <v>0</v>
      </c>
      <c r="F54" s="10">
        <f>_xll.AtlasFormulas.AtlasFunctions.AtlasBalance("PROD",DataAreaId,"T.InventTrans|inventDimId~inventDimId@T.InventDim","Sum|Qty|0","","","","","","","DateFinancial|ItemId|T2.InventSiteId|T2.InventLocationId",PeriodEnding,$A54,$B54,$C54)</f>
        <v>0</v>
      </c>
      <c r="G54" s="10">
        <f>AtlasReport_3_Table_1[[#This Row],[Current On-hand]]-AtlasReport_3_Table_1[[#This Row],[Trans backwords (Beginning)]]</f>
        <v>0</v>
      </c>
      <c r="H54" s="10">
        <f>AtlasReport_3_Table_1[[#This Row],[Current On-hand]]-AtlasReport_3_Table_1[[#This Row],[Trans backwords (Ending)]]</f>
        <v>0</v>
      </c>
    </row>
    <row r="55" spans="1:8" x14ac:dyDescent="0.25">
      <c r="A55" s="8" t="s">
        <v>24</v>
      </c>
      <c r="B55" s="8" t="s">
        <v>717</v>
      </c>
      <c r="C55" s="8" t="s">
        <v>73</v>
      </c>
      <c r="D55" s="10">
        <v>0</v>
      </c>
      <c r="E55" s="10">
        <f>_xll.AtlasFormulas.AtlasFunctions.AtlasBalance("PROD",DataAreaId,"T.InventTrans|inventDimId~inventDimId@T.InventDim","Sum|Qty|0","","","","","","","DateFinancial|ItemId|T2.InventSiteId|T2.InventLocationId",PeriodBeginning,$A55,$B55,$C55)</f>
        <v>0</v>
      </c>
      <c r="F55" s="10">
        <f>_xll.AtlasFormulas.AtlasFunctions.AtlasBalance("PROD",DataAreaId,"T.InventTrans|inventDimId~inventDimId@T.InventDim","Sum|Qty|0","","","","","","","DateFinancial|ItemId|T2.InventSiteId|T2.InventLocationId",PeriodEnding,$A55,$B55,$C55)</f>
        <v>0</v>
      </c>
      <c r="G55" s="10">
        <f>AtlasReport_3_Table_1[[#This Row],[Current On-hand]]-AtlasReport_3_Table_1[[#This Row],[Trans backwords (Beginning)]]</f>
        <v>0</v>
      </c>
      <c r="H55" s="10">
        <f>AtlasReport_3_Table_1[[#This Row],[Current On-hand]]-AtlasReport_3_Table_1[[#This Row],[Trans backwords (Ending)]]</f>
        <v>0</v>
      </c>
    </row>
    <row r="56" spans="1:8" x14ac:dyDescent="0.25">
      <c r="A56" s="8" t="s">
        <v>24</v>
      </c>
      <c r="B56" s="8" t="s">
        <v>717</v>
      </c>
      <c r="C56" s="8" t="s">
        <v>719</v>
      </c>
      <c r="D56" s="10">
        <v>166.2</v>
      </c>
      <c r="E56" s="10">
        <f>_xll.AtlasFormulas.AtlasFunctions.AtlasBalance("PROD",DataAreaId,"T.InventTrans|inventDimId~inventDimId@T.InventDim","Sum|Qty|0","","","","","","","DateFinancial|ItemId|T2.InventSiteId|T2.InventLocationId",PeriodBeginning,$A56,$B56,$C56)</f>
        <v>0</v>
      </c>
      <c r="F56" s="10">
        <f>_xll.AtlasFormulas.AtlasFunctions.AtlasBalance("PROD",DataAreaId,"T.InventTrans|inventDimId~inventDimId@T.InventDim","Sum|Qty|0","","","","","","","DateFinancial|ItemId|T2.InventSiteId|T2.InventLocationId",PeriodEnding,$A56,$B56,$C56)</f>
        <v>0</v>
      </c>
      <c r="G56" s="10">
        <f>AtlasReport_3_Table_1[[#This Row],[Current On-hand]]-AtlasReport_3_Table_1[[#This Row],[Trans backwords (Beginning)]]</f>
        <v>166.2</v>
      </c>
      <c r="H56" s="10">
        <f>AtlasReport_3_Table_1[[#This Row],[Current On-hand]]-AtlasReport_3_Table_1[[#This Row],[Trans backwords (Ending)]]</f>
        <v>166.2</v>
      </c>
    </row>
    <row r="57" spans="1:8" x14ac:dyDescent="0.25">
      <c r="A57" s="8" t="s">
        <v>24</v>
      </c>
      <c r="B57" s="8" t="s">
        <v>717</v>
      </c>
      <c r="C57" s="8" t="s">
        <v>718</v>
      </c>
      <c r="D57" s="10">
        <v>0</v>
      </c>
      <c r="E57" s="10">
        <f>_xll.AtlasFormulas.AtlasFunctions.AtlasBalance("PROD",DataAreaId,"T.InventTrans|inventDimId~inventDimId@T.InventDim","Sum|Qty|0","","","","","","","DateFinancial|ItemId|T2.InventSiteId|T2.InventLocationId",PeriodBeginning,$A57,$B57,$C57)</f>
        <v>0</v>
      </c>
      <c r="F57" s="10">
        <f>_xll.AtlasFormulas.AtlasFunctions.AtlasBalance("PROD",DataAreaId,"T.InventTrans|inventDimId~inventDimId@T.InventDim","Sum|Qty|0","","","","","","","DateFinancial|ItemId|T2.InventSiteId|T2.InventLocationId",PeriodEnding,$A57,$B57,$C57)</f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0</v>
      </c>
    </row>
    <row r="58" spans="1:8" x14ac:dyDescent="0.25">
      <c r="A58" s="8" t="s">
        <v>24</v>
      </c>
      <c r="B58" s="8" t="s">
        <v>717</v>
      </c>
      <c r="C58" s="8" t="s">
        <v>756</v>
      </c>
      <c r="D58" s="10">
        <v>0</v>
      </c>
      <c r="E58" s="10">
        <f>_xll.AtlasFormulas.AtlasFunctions.AtlasBalance("PROD",DataAreaId,"T.InventTrans|inventDimId~inventDimId@T.InventDim","Sum|Qty|0","","","","","","","DateFinancial|ItemId|T2.InventSiteId|T2.InventLocationId",PeriodBeginning,$A58,$B58,$C58)</f>
        <v>0</v>
      </c>
      <c r="F58" s="10">
        <f>_xll.AtlasFormulas.AtlasFunctions.AtlasBalance("PROD",DataAreaId,"T.InventTrans|inventDimId~inventDimId@T.InventDim","Sum|Qty|0","","","","","","","DateFinancial|ItemId|T2.InventSiteId|T2.InventLocationId",PeriodEnding,$A58,$B58,$C58)</f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0</v>
      </c>
    </row>
    <row r="59" spans="1:8" x14ac:dyDescent="0.25">
      <c r="A59" s="8" t="s">
        <v>683</v>
      </c>
      <c r="B59" s="8" t="s">
        <v>717</v>
      </c>
      <c r="C59" s="8" t="s">
        <v>719</v>
      </c>
      <c r="D59" s="10">
        <v>0</v>
      </c>
      <c r="E59" s="10">
        <f>_xll.AtlasFormulas.AtlasFunctions.AtlasBalance("PROD",DataAreaId,"T.InventTrans|inventDimId~inventDimId@T.InventDim","Sum|Qty|0","","","","","","","DateFinancial|ItemId|T2.InventSiteId|T2.InventLocationId",PeriodBeginning,$A59,$B59,$C59)</f>
        <v>0</v>
      </c>
      <c r="F59" s="10">
        <f>_xll.AtlasFormulas.AtlasFunctions.AtlasBalance("PROD",DataAreaId,"T.InventTrans|inventDimId~inventDimId@T.InventDim","Sum|Qty|0","","","","","","","DateFinancial|ItemId|T2.InventSiteId|T2.InventLocationId",PeriodEnding,$A59,$B59,$C59)</f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25">
      <c r="A60" s="8" t="s">
        <v>683</v>
      </c>
      <c r="B60" s="8" t="s">
        <v>717</v>
      </c>
      <c r="C60" s="8" t="s">
        <v>718</v>
      </c>
      <c r="D60" s="10">
        <v>0</v>
      </c>
      <c r="E60" s="10">
        <f>_xll.AtlasFormulas.AtlasFunctions.AtlasBalance("PROD",DataAreaId,"T.InventTrans|inventDimId~inventDimId@T.InventDim","Sum|Qty|0","","","","","","","DateFinancial|ItemId|T2.InventSiteId|T2.InventLocationId",PeriodBeginning,$A60,$B60,$C60)</f>
        <v>0</v>
      </c>
      <c r="F60" s="10">
        <f>_xll.AtlasFormulas.AtlasFunctions.AtlasBalance("PROD",DataAreaId,"T.InventTrans|inventDimId~inventDimId@T.InventDim","Sum|Qty|0","","","","","","","DateFinancial|ItemId|T2.InventSiteId|T2.InventLocationId",PeriodEnding,$A60,$B60,$C60)</f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 x14ac:dyDescent="0.25">
      <c r="A61" s="8" t="s">
        <v>66</v>
      </c>
      <c r="B61" s="8" t="s">
        <v>717</v>
      </c>
      <c r="C61" s="8" t="s">
        <v>73</v>
      </c>
      <c r="D61" s="10">
        <v>0</v>
      </c>
      <c r="E61" s="10">
        <f>_xll.AtlasFormulas.AtlasFunctions.AtlasBalance("PROD",DataAreaId,"T.InventTrans|inventDimId~inventDimId@T.InventDim","Sum|Qty|0","","","","","","","DateFinancial|ItemId|T2.InventSiteId|T2.InventLocationId",PeriodBeginning,$A61,$B61,$C61)</f>
        <v>0</v>
      </c>
      <c r="F61" s="10">
        <f>_xll.AtlasFormulas.AtlasFunctions.AtlasBalance("PROD",DataAreaId,"T.InventTrans|inventDimId~inventDimId@T.InventDim","Sum|Qty|0","","","","","","","DateFinancial|ItemId|T2.InventSiteId|T2.InventLocationId",PeriodEnding,$A61,$B61,$C61)</f>
        <v>0</v>
      </c>
      <c r="G61" s="10">
        <f>AtlasReport_3_Table_1[[#This Row],[Current On-hand]]-AtlasReport_3_Table_1[[#This Row],[Trans backwords (Beginning)]]</f>
        <v>0</v>
      </c>
      <c r="H61" s="10">
        <f>AtlasReport_3_Table_1[[#This Row],[Current On-hand]]-AtlasReport_3_Table_1[[#This Row],[Trans backwords (Ending)]]</f>
        <v>0</v>
      </c>
    </row>
    <row r="62" spans="1:8" x14ac:dyDescent="0.25">
      <c r="A62" s="8" t="s">
        <v>66</v>
      </c>
      <c r="B62" s="8" t="s">
        <v>717</v>
      </c>
      <c r="C62" s="8" t="s">
        <v>719</v>
      </c>
      <c r="D62" s="10">
        <v>205</v>
      </c>
      <c r="E62" s="10">
        <f>_xll.AtlasFormulas.AtlasFunctions.AtlasBalance("PROD",DataAreaId,"T.InventTrans|inventDimId~inventDimId@T.InventDim","Sum|Qty|0","","","","","","","DateFinancial|ItemId|T2.InventSiteId|T2.InventLocationId",PeriodBeginning,$A62,$B62,$C62)</f>
        <v>0</v>
      </c>
      <c r="F62" s="10">
        <f>_xll.AtlasFormulas.AtlasFunctions.AtlasBalance("PROD",DataAreaId,"T.InventTrans|inventDimId~inventDimId@T.InventDim","Sum|Qty|0","","","","","","","DateFinancial|ItemId|T2.InventSiteId|T2.InventLocationId",PeriodEnding,$A62,$B62,$C62)</f>
        <v>0</v>
      </c>
      <c r="G62" s="10">
        <f>AtlasReport_3_Table_1[[#This Row],[Current On-hand]]-AtlasReport_3_Table_1[[#This Row],[Trans backwords (Beginning)]]</f>
        <v>205</v>
      </c>
      <c r="H62" s="10">
        <f>AtlasReport_3_Table_1[[#This Row],[Current On-hand]]-AtlasReport_3_Table_1[[#This Row],[Trans backwords (Ending)]]</f>
        <v>205</v>
      </c>
    </row>
    <row r="63" spans="1:8" x14ac:dyDescent="0.25">
      <c r="A63" s="8" t="s">
        <v>66</v>
      </c>
      <c r="B63" s="8" t="s">
        <v>717</v>
      </c>
      <c r="C63" s="8" t="s">
        <v>718</v>
      </c>
      <c r="D63" s="10">
        <v>0</v>
      </c>
      <c r="E63" s="10">
        <f>_xll.AtlasFormulas.AtlasFunctions.AtlasBalance("PROD",DataAreaId,"T.InventTrans|inventDimId~inventDimId@T.InventDim","Sum|Qty|0","","","","","","","DateFinancial|ItemId|T2.InventSiteId|T2.InventLocationId",PeriodBeginning,$A63,$B63,$C63)</f>
        <v>0</v>
      </c>
      <c r="F63" s="10">
        <f>_xll.AtlasFormulas.AtlasFunctions.AtlasBalance("PROD",DataAreaId,"T.InventTrans|inventDimId~inventDimId@T.InventDim","Sum|Qty|0","","","","","","","DateFinancial|ItemId|T2.InventSiteId|T2.InventLocationId",PeriodEnding,$A63,$B63,$C63)</f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25">
      <c r="A64" s="8" t="s">
        <v>724</v>
      </c>
      <c r="B64" s="8" t="s">
        <v>717</v>
      </c>
      <c r="C64" s="8" t="s">
        <v>73</v>
      </c>
      <c r="D64" s="10">
        <v>0</v>
      </c>
      <c r="E64" s="10">
        <f>_xll.AtlasFormulas.AtlasFunctions.AtlasBalance("PROD",DataAreaId,"T.InventTrans|inventDimId~inventDimId@T.InventDim","Sum|Qty|0","","","","","","","DateFinancial|ItemId|T2.InventSiteId|T2.InventLocationId",PeriodBeginning,$A64,$B64,$C64)</f>
        <v>0</v>
      </c>
      <c r="F64" s="10">
        <f>_xll.AtlasFormulas.AtlasFunctions.AtlasBalance("PROD",DataAreaId,"T.InventTrans|inventDimId~inventDimId@T.InventDim","Sum|Qty|0","","","","","","","DateFinancial|ItemId|T2.InventSiteId|T2.InventLocationId",PeriodEnding,$A64,$B64,$C64)</f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0</v>
      </c>
    </row>
    <row r="65" spans="1:8" x14ac:dyDescent="0.25">
      <c r="A65" s="8" t="s">
        <v>724</v>
      </c>
      <c r="B65" s="8" t="s">
        <v>717</v>
      </c>
      <c r="C65" s="8" t="s">
        <v>719</v>
      </c>
      <c r="D65" s="10">
        <v>150</v>
      </c>
      <c r="E65" s="10">
        <f>_xll.AtlasFormulas.AtlasFunctions.AtlasBalance("PROD",DataAreaId,"T.InventTrans|inventDimId~inventDimId@T.InventDim","Sum|Qty|0","","","","","","","DateFinancial|ItemId|T2.InventSiteId|T2.InventLocationId",PeriodBeginning,$A65,$B65,$C65)</f>
        <v>0</v>
      </c>
      <c r="F65" s="10">
        <f>_xll.AtlasFormulas.AtlasFunctions.AtlasBalance("PROD",DataAreaId,"T.InventTrans|inventDimId~inventDimId@T.InventDim","Sum|Qty|0","","","","","","","DateFinancial|ItemId|T2.InventSiteId|T2.InventLocationId",PeriodEnding,$A65,$B65,$C65)</f>
        <v>0</v>
      </c>
      <c r="G65" s="10">
        <f>AtlasReport_3_Table_1[[#This Row],[Current On-hand]]-AtlasReport_3_Table_1[[#This Row],[Trans backwords (Beginning)]]</f>
        <v>150</v>
      </c>
      <c r="H65" s="10">
        <f>AtlasReport_3_Table_1[[#This Row],[Current On-hand]]-AtlasReport_3_Table_1[[#This Row],[Trans backwords (Ending)]]</f>
        <v>150</v>
      </c>
    </row>
    <row r="66" spans="1:8" x14ac:dyDescent="0.25">
      <c r="A66" s="8" t="s">
        <v>724</v>
      </c>
      <c r="B66" s="8" t="s">
        <v>717</v>
      </c>
      <c r="C66" s="8" t="s">
        <v>718</v>
      </c>
      <c r="D66" s="10">
        <v>0</v>
      </c>
      <c r="E66" s="10">
        <f>_xll.AtlasFormulas.AtlasFunctions.AtlasBalance("PROD",DataAreaId,"T.InventTrans|inventDimId~inventDimId@T.InventDim","Sum|Qty|0","","","","","","","DateFinancial|ItemId|T2.InventSiteId|T2.InventLocationId",PeriodBeginning,$A66,$B66,$C66)</f>
        <v>0</v>
      </c>
      <c r="F66" s="10">
        <f>_xll.AtlasFormulas.AtlasFunctions.AtlasBalance("PROD",DataAreaId,"T.InventTrans|inventDimId~inventDimId@T.InventDim","Sum|Qty|0","","","","","","","DateFinancial|ItemId|T2.InventSiteId|T2.InventLocationId",PeriodEnding,$A66,$B66,$C66)</f>
        <v>0</v>
      </c>
      <c r="G66" s="10">
        <f>AtlasReport_3_Table_1[[#This Row],[Current On-hand]]-AtlasReport_3_Table_1[[#This Row],[Trans backwords (Beginning)]]</f>
        <v>0</v>
      </c>
      <c r="H66" s="10">
        <f>AtlasReport_3_Table_1[[#This Row],[Current On-hand]]-AtlasReport_3_Table_1[[#This Row],[Trans backwords (Ending)]]</f>
        <v>0</v>
      </c>
    </row>
    <row r="67" spans="1:8" x14ac:dyDescent="0.25">
      <c r="A67" s="8" t="s">
        <v>132</v>
      </c>
      <c r="B67" s="8" t="s">
        <v>717</v>
      </c>
      <c r="C67" s="8" t="s">
        <v>73</v>
      </c>
      <c r="D67" s="10">
        <v>0</v>
      </c>
      <c r="E67" s="10">
        <f>_xll.AtlasFormulas.AtlasFunctions.AtlasBalance("PROD",DataAreaId,"T.InventTrans|inventDimId~inventDimId@T.InventDim","Sum|Qty|0","","","","","","","DateFinancial|ItemId|T2.InventSiteId|T2.InventLocationId",PeriodBeginning,$A67,$B67,$C67)</f>
        <v>0</v>
      </c>
      <c r="F67" s="10">
        <f>_xll.AtlasFormulas.AtlasFunctions.AtlasBalance("PROD",DataAreaId,"T.InventTrans|inventDimId~inventDimId@T.InventDim","Sum|Qty|0","","","","","","","DateFinancial|ItemId|T2.InventSiteId|T2.InventLocationId",PeriodEnding,$A67,$B67,$C67)</f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25">
      <c r="A68" s="8" t="s">
        <v>132</v>
      </c>
      <c r="B68" s="8" t="s">
        <v>717</v>
      </c>
      <c r="C68" s="8" t="s">
        <v>719</v>
      </c>
      <c r="D68" s="10">
        <v>0</v>
      </c>
      <c r="E68" s="10">
        <f>_xll.AtlasFormulas.AtlasFunctions.AtlasBalance("PROD",DataAreaId,"T.InventTrans|inventDimId~inventDimId@T.InventDim","Sum|Qty|0","","","","","","","DateFinancial|ItemId|T2.InventSiteId|T2.InventLocationId",PeriodBeginning,$A68,$B68,$C68)</f>
        <v>0</v>
      </c>
      <c r="F68" s="10">
        <f>_xll.AtlasFormulas.AtlasFunctions.AtlasBalance("PROD",DataAreaId,"T.InventTrans|inventDimId~inventDimId@T.InventDim","Sum|Qty|0","","","","","","","DateFinancial|ItemId|T2.InventSiteId|T2.InventLocationId",PeriodEnding,$A68,$B68,$C68)</f>
        <v>0</v>
      </c>
      <c r="G68" s="10">
        <f>AtlasReport_3_Table_1[[#This Row],[Current On-hand]]-AtlasReport_3_Table_1[[#This Row],[Trans backwords (Beginning)]]</f>
        <v>0</v>
      </c>
      <c r="H68" s="10">
        <f>AtlasReport_3_Table_1[[#This Row],[Current On-hand]]-AtlasReport_3_Table_1[[#This Row],[Trans backwords (Ending)]]</f>
        <v>0</v>
      </c>
    </row>
    <row r="69" spans="1:8" x14ac:dyDescent="0.25">
      <c r="A69" s="8" t="s">
        <v>132</v>
      </c>
      <c r="B69" s="8" t="s">
        <v>717</v>
      </c>
      <c r="C69" s="8" t="s">
        <v>718</v>
      </c>
      <c r="D69" s="10">
        <v>0</v>
      </c>
      <c r="E69" s="10">
        <f>_xll.AtlasFormulas.AtlasFunctions.AtlasBalance("PROD",DataAreaId,"T.InventTrans|inventDimId~inventDimId@T.InventDim","Sum|Qty|0","","","","","","","DateFinancial|ItemId|T2.InventSiteId|T2.InventLocationId",PeriodBeginning,$A69,$B69,$C69)</f>
        <v>0</v>
      </c>
      <c r="F69" s="10">
        <f>_xll.AtlasFormulas.AtlasFunctions.AtlasBalance("PROD",DataAreaId,"T.InventTrans|inventDimId~inventDimId@T.InventDim","Sum|Qty|0","","","","","","","DateFinancial|ItemId|T2.InventSiteId|T2.InventLocationId",PeriodEnding,$A69,$B69,$C69)</f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25">
      <c r="A70" s="8" t="s">
        <v>725</v>
      </c>
      <c r="B70" s="8" t="s">
        <v>717</v>
      </c>
      <c r="C70" s="8" t="s">
        <v>719</v>
      </c>
      <c r="D70" s="10">
        <v>0</v>
      </c>
      <c r="E70" s="10">
        <f>_xll.AtlasFormulas.AtlasFunctions.AtlasBalance("PROD",DataAreaId,"T.InventTrans|inventDimId~inventDimId@T.InventDim","Sum|Qty|0","","","","","","","DateFinancial|ItemId|T2.InventSiteId|T2.InventLocationId",PeriodBeginning,$A70,$B70,$C70)</f>
        <v>0</v>
      </c>
      <c r="F70" s="10">
        <f>_xll.AtlasFormulas.AtlasFunctions.AtlasBalance("PROD",DataAreaId,"T.InventTrans|inventDimId~inventDimId@T.InventDim","Sum|Qty|0","","","","","","","DateFinancial|ItemId|T2.InventSiteId|T2.InventLocationId",PeriodEnding,$A70,$B70,$C70)</f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0</v>
      </c>
    </row>
    <row r="71" spans="1:8" x14ac:dyDescent="0.25">
      <c r="A71" s="8" t="s">
        <v>25</v>
      </c>
      <c r="B71" s="8" t="s">
        <v>717</v>
      </c>
      <c r="C71" s="8" t="s">
        <v>73</v>
      </c>
      <c r="D71" s="10">
        <v>0</v>
      </c>
      <c r="E71" s="10">
        <f>_xll.AtlasFormulas.AtlasFunctions.AtlasBalance("PROD",DataAreaId,"T.InventTrans|inventDimId~inventDimId@T.InventDim","Sum|Qty|0","","","","","","","DateFinancial|ItemId|T2.InventSiteId|T2.InventLocationId",PeriodBeginning,$A71,$B71,$C71)</f>
        <v>0</v>
      </c>
      <c r="F71" s="10">
        <f>_xll.AtlasFormulas.AtlasFunctions.AtlasBalance("PROD",DataAreaId,"T.InventTrans|inventDimId~inventDimId@T.InventDim","Sum|Qty|0","","","","","","","DateFinancial|ItemId|T2.InventSiteId|T2.InventLocationId",PeriodEnding,$A71,$B71,$C71)</f>
        <v>0</v>
      </c>
      <c r="G71" s="10">
        <f>AtlasReport_3_Table_1[[#This Row],[Current On-hand]]-AtlasReport_3_Table_1[[#This Row],[Trans backwords (Beginning)]]</f>
        <v>0</v>
      </c>
      <c r="H71" s="10">
        <f>AtlasReport_3_Table_1[[#This Row],[Current On-hand]]-AtlasReport_3_Table_1[[#This Row],[Trans backwords (Ending)]]</f>
        <v>0</v>
      </c>
    </row>
    <row r="72" spans="1:8" x14ac:dyDescent="0.25">
      <c r="A72" s="8" t="s">
        <v>25</v>
      </c>
      <c r="B72" s="8" t="s">
        <v>717</v>
      </c>
      <c r="C72" s="8" t="s">
        <v>719</v>
      </c>
      <c r="D72" s="10">
        <v>15</v>
      </c>
      <c r="E72" s="10">
        <f>_xll.AtlasFormulas.AtlasFunctions.AtlasBalance("PROD",DataAreaId,"T.InventTrans|inventDimId~inventDimId@T.InventDim","Sum|Qty|0","","","","","","","DateFinancial|ItemId|T2.InventSiteId|T2.InventLocationId",PeriodBeginning,$A72,$B72,$C72)</f>
        <v>0</v>
      </c>
      <c r="F72" s="10">
        <f>_xll.AtlasFormulas.AtlasFunctions.AtlasBalance("PROD",DataAreaId,"T.InventTrans|inventDimId~inventDimId@T.InventDim","Sum|Qty|0","","","","","","","DateFinancial|ItemId|T2.InventSiteId|T2.InventLocationId",PeriodEnding,$A72,$B72,$C72)</f>
        <v>0</v>
      </c>
      <c r="G72" s="10">
        <f>AtlasReport_3_Table_1[[#This Row],[Current On-hand]]-AtlasReport_3_Table_1[[#This Row],[Trans backwords (Beginning)]]</f>
        <v>15</v>
      </c>
      <c r="H72" s="10">
        <f>AtlasReport_3_Table_1[[#This Row],[Current On-hand]]-AtlasReport_3_Table_1[[#This Row],[Trans backwords (Ending)]]</f>
        <v>15</v>
      </c>
    </row>
    <row r="73" spans="1:8" x14ac:dyDescent="0.25">
      <c r="A73" s="8" t="s">
        <v>250</v>
      </c>
      <c r="B73" s="8" t="s">
        <v>717</v>
      </c>
      <c r="C73" s="8" t="s">
        <v>719</v>
      </c>
      <c r="D73" s="10">
        <v>165</v>
      </c>
      <c r="E73" s="10">
        <f>_xll.AtlasFormulas.AtlasFunctions.AtlasBalance("PROD",DataAreaId,"T.InventTrans|inventDimId~inventDimId@T.InventDim","Sum|Qty|0","","","","","","","DateFinancial|ItemId|T2.InventSiteId|T2.InventLocationId",PeriodBeginning,$A73,$B73,$C73)</f>
        <v>0</v>
      </c>
      <c r="F73" s="10">
        <f>_xll.AtlasFormulas.AtlasFunctions.AtlasBalance("PROD",DataAreaId,"T.InventTrans|inventDimId~inventDimId@T.InventDim","Sum|Qty|0","","","","","","","DateFinancial|ItemId|T2.InventSiteId|T2.InventLocationId",PeriodEnding,$A73,$B73,$C73)</f>
        <v>0</v>
      </c>
      <c r="G73" s="10">
        <f>AtlasReport_3_Table_1[[#This Row],[Current On-hand]]-AtlasReport_3_Table_1[[#This Row],[Trans backwords (Beginning)]]</f>
        <v>165</v>
      </c>
      <c r="H73" s="10">
        <f>AtlasReport_3_Table_1[[#This Row],[Current On-hand]]-AtlasReport_3_Table_1[[#This Row],[Trans backwords (Ending)]]</f>
        <v>165</v>
      </c>
    </row>
    <row r="74" spans="1:8" x14ac:dyDescent="0.25">
      <c r="A74" s="8" t="s">
        <v>726</v>
      </c>
      <c r="B74" s="8" t="s">
        <v>717</v>
      </c>
      <c r="C74" s="8" t="s">
        <v>719</v>
      </c>
      <c r="D74" s="10">
        <v>70</v>
      </c>
      <c r="E74" s="10">
        <f>_xll.AtlasFormulas.AtlasFunctions.AtlasBalance("PROD",DataAreaId,"T.InventTrans|inventDimId~inventDimId@T.InventDim","Sum|Qty|0","","","","","","","DateFinancial|ItemId|T2.InventSiteId|T2.InventLocationId",PeriodBeginning,$A74,$B74,$C74)</f>
        <v>0</v>
      </c>
      <c r="F74" s="10">
        <f>_xll.AtlasFormulas.AtlasFunctions.AtlasBalance("PROD",DataAreaId,"T.InventTrans|inventDimId~inventDimId@T.InventDim","Sum|Qty|0","","","","","","","DateFinancial|ItemId|T2.InventSiteId|T2.InventLocationId",PeriodEnding,$A74,$B74,$C74)</f>
        <v>0</v>
      </c>
      <c r="G74" s="10">
        <f>AtlasReport_3_Table_1[[#This Row],[Current On-hand]]-AtlasReport_3_Table_1[[#This Row],[Trans backwords (Beginning)]]</f>
        <v>70</v>
      </c>
      <c r="H74" s="10">
        <f>AtlasReport_3_Table_1[[#This Row],[Current On-hand]]-AtlasReport_3_Table_1[[#This Row],[Trans backwords (Ending)]]</f>
        <v>70</v>
      </c>
    </row>
    <row r="75" spans="1:8" x14ac:dyDescent="0.25">
      <c r="A75" s="8" t="s">
        <v>727</v>
      </c>
      <c r="B75" s="8" t="s">
        <v>717</v>
      </c>
      <c r="C75" s="8" t="s">
        <v>719</v>
      </c>
      <c r="D75" s="10">
        <v>35</v>
      </c>
      <c r="E75" s="10">
        <f>_xll.AtlasFormulas.AtlasFunctions.AtlasBalance("PROD",DataAreaId,"T.InventTrans|inventDimId~inventDimId@T.InventDim","Sum|Qty|0","","","","","","","DateFinancial|ItemId|T2.InventSiteId|T2.InventLocationId",PeriodBeginning,$A75,$B75,$C75)</f>
        <v>0</v>
      </c>
      <c r="F75" s="10">
        <f>_xll.AtlasFormulas.AtlasFunctions.AtlasBalance("PROD",DataAreaId,"T.InventTrans|inventDimId~inventDimId@T.InventDim","Sum|Qty|0","","","","","","","DateFinancial|ItemId|T2.InventSiteId|T2.InventLocationId",PeriodEnding,$A75,$B75,$C75)</f>
        <v>0</v>
      </c>
      <c r="G75" s="10">
        <f>AtlasReport_3_Table_1[[#This Row],[Current On-hand]]-AtlasReport_3_Table_1[[#This Row],[Trans backwords (Beginning)]]</f>
        <v>35</v>
      </c>
      <c r="H75" s="10">
        <f>AtlasReport_3_Table_1[[#This Row],[Current On-hand]]-AtlasReport_3_Table_1[[#This Row],[Trans backwords (Ending)]]</f>
        <v>35</v>
      </c>
    </row>
    <row r="76" spans="1:8" x14ac:dyDescent="0.25">
      <c r="A76" s="8" t="s">
        <v>728</v>
      </c>
      <c r="B76" s="8" t="s">
        <v>717</v>
      </c>
      <c r="C76" s="8" t="s">
        <v>719</v>
      </c>
      <c r="D76" s="10">
        <v>525</v>
      </c>
      <c r="E76" s="10">
        <f>_xll.AtlasFormulas.AtlasFunctions.AtlasBalance("PROD",DataAreaId,"T.InventTrans|inventDimId~inventDimId@T.InventDim","Sum|Qty|0","","","","","","","DateFinancial|ItemId|T2.InventSiteId|T2.InventLocationId",PeriodBeginning,$A76,$B76,$C76)</f>
        <v>0</v>
      </c>
      <c r="F76" s="10">
        <f>_xll.AtlasFormulas.AtlasFunctions.AtlasBalance("PROD",DataAreaId,"T.InventTrans|inventDimId~inventDimId@T.InventDim","Sum|Qty|0","","","","","","","DateFinancial|ItemId|T2.InventSiteId|T2.InventLocationId",PeriodEnding,$A76,$B76,$C76)</f>
        <v>0</v>
      </c>
      <c r="G76" s="10">
        <f>AtlasReport_3_Table_1[[#This Row],[Current On-hand]]-AtlasReport_3_Table_1[[#This Row],[Trans backwords (Beginning)]]</f>
        <v>525</v>
      </c>
      <c r="H76" s="10">
        <f>AtlasReport_3_Table_1[[#This Row],[Current On-hand]]-AtlasReport_3_Table_1[[#This Row],[Trans backwords (Ending)]]</f>
        <v>525</v>
      </c>
    </row>
    <row r="77" spans="1:8" x14ac:dyDescent="0.25">
      <c r="A77" s="8" t="s">
        <v>760</v>
      </c>
      <c r="B77" s="8" t="s">
        <v>717</v>
      </c>
      <c r="C77" s="8" t="s">
        <v>73</v>
      </c>
      <c r="D77" s="10">
        <v>0</v>
      </c>
      <c r="E77" s="10">
        <f>_xll.AtlasFormulas.AtlasFunctions.AtlasBalance("PROD",DataAreaId,"T.InventTrans|inventDimId~inventDimId@T.InventDim","Sum|Qty|0","","","","","","","DateFinancial|ItemId|T2.InventSiteId|T2.InventLocationId",PeriodBeginning,$A77,$B77,$C77)</f>
        <v>0</v>
      </c>
      <c r="F77" s="10">
        <f>_xll.AtlasFormulas.AtlasFunctions.AtlasBalance("PROD",DataAreaId,"T.InventTrans|inventDimId~inventDimId@T.InventDim","Sum|Qty|0","","","","","","","DateFinancial|ItemId|T2.InventSiteId|T2.InventLocationId",PeriodEnding,$A77,$B77,$C77)</f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0</v>
      </c>
    </row>
    <row r="78" spans="1:8" x14ac:dyDescent="0.25">
      <c r="A78" s="8" t="s">
        <v>760</v>
      </c>
      <c r="B78" s="8" t="s">
        <v>717</v>
      </c>
      <c r="C78" s="8" t="s">
        <v>719</v>
      </c>
      <c r="D78" s="10">
        <v>0</v>
      </c>
      <c r="E78" s="10">
        <f>_xll.AtlasFormulas.AtlasFunctions.AtlasBalance("PROD",DataAreaId,"T.InventTrans|inventDimId~inventDimId@T.InventDim","Sum|Qty|0","","","","","","","DateFinancial|ItemId|T2.InventSiteId|T2.InventLocationId",PeriodBeginning,$A78,$B78,$C78)</f>
        <v>0</v>
      </c>
      <c r="F78" s="10">
        <f>_xll.AtlasFormulas.AtlasFunctions.AtlasBalance("PROD",DataAreaId,"T.InventTrans|inventDimId~inventDimId@T.InventDim","Sum|Qty|0","","","","","","","DateFinancial|ItemId|T2.InventSiteId|T2.InventLocationId",PeriodEnding,$A78,$B78,$C78)</f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 x14ac:dyDescent="0.25">
      <c r="A79" s="8" t="s">
        <v>760</v>
      </c>
      <c r="B79" s="8" t="s">
        <v>717</v>
      </c>
      <c r="C79" s="8" t="s">
        <v>718</v>
      </c>
      <c r="D79" s="10">
        <v>0</v>
      </c>
      <c r="E79" s="10">
        <f>_xll.AtlasFormulas.AtlasFunctions.AtlasBalance("PROD",DataAreaId,"T.InventTrans|inventDimId~inventDimId@T.InventDim","Sum|Qty|0","","","","","","","DateFinancial|ItemId|T2.InventSiteId|T2.InventLocationId",PeriodBeginning,$A79,$B79,$C79)</f>
        <v>0</v>
      </c>
      <c r="F79" s="10">
        <f>_xll.AtlasFormulas.AtlasFunctions.AtlasBalance("PROD",DataAreaId,"T.InventTrans|inventDimId~inventDimId@T.InventDim","Sum|Qty|0","","","","","","","DateFinancial|ItemId|T2.InventSiteId|T2.InventLocationId",PeriodEnding,$A79,$B79,$C79)</f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25">
      <c r="A80" s="8" t="s">
        <v>729</v>
      </c>
      <c r="B80" s="8" t="s">
        <v>717</v>
      </c>
      <c r="C80" s="8" t="s">
        <v>719</v>
      </c>
      <c r="D80" s="10">
        <v>4</v>
      </c>
      <c r="E80" s="10">
        <f>_xll.AtlasFormulas.AtlasFunctions.AtlasBalance("PROD",DataAreaId,"T.InventTrans|inventDimId~inventDimId@T.InventDim","Sum|Qty|0","","","","","","","DateFinancial|ItemId|T2.InventSiteId|T2.InventLocationId",PeriodBeginning,$A80,$B80,$C80)</f>
        <v>0</v>
      </c>
      <c r="F80" s="10">
        <f>_xll.AtlasFormulas.AtlasFunctions.AtlasBalance("PROD",DataAreaId,"T.InventTrans|inventDimId~inventDimId@T.InventDim","Sum|Qty|0","","","","","","","DateFinancial|ItemId|T2.InventSiteId|T2.InventLocationId",PeriodEnding,$A80,$B80,$C80)</f>
        <v>0</v>
      </c>
      <c r="G80" s="10">
        <f>AtlasReport_3_Table_1[[#This Row],[Current On-hand]]-AtlasReport_3_Table_1[[#This Row],[Trans backwords (Beginning)]]</f>
        <v>4</v>
      </c>
      <c r="H80" s="10">
        <f>AtlasReport_3_Table_1[[#This Row],[Current On-hand]]-AtlasReport_3_Table_1[[#This Row],[Trans backwords (Ending)]]</f>
        <v>4</v>
      </c>
    </row>
    <row r="81" spans="1:8" x14ac:dyDescent="0.25">
      <c r="A81" s="8" t="s">
        <v>15</v>
      </c>
      <c r="B81" s="8" t="s">
        <v>717</v>
      </c>
      <c r="C81" s="8" t="s">
        <v>719</v>
      </c>
      <c r="D81" s="10">
        <v>0</v>
      </c>
      <c r="E81" s="10">
        <f>_xll.AtlasFormulas.AtlasFunctions.AtlasBalance("PROD",DataAreaId,"T.InventTrans|inventDimId~inventDimId@T.InventDim","Sum|Qty|0","","","","","","","DateFinancial|ItemId|T2.InventSiteId|T2.InventLocationId",PeriodBeginning,$A81,$B81,$C81)</f>
        <v>0</v>
      </c>
      <c r="F81" s="10">
        <f>_xll.AtlasFormulas.AtlasFunctions.AtlasBalance("PROD",DataAreaId,"T.InventTrans|inventDimId~inventDimId@T.InventDim","Sum|Qty|0","","","","","","","DateFinancial|ItemId|T2.InventSiteId|T2.InventLocationId",PeriodEnding,$A81,$B81,$C81)</f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0</v>
      </c>
    </row>
    <row r="82" spans="1:8" x14ac:dyDescent="0.25">
      <c r="A82" s="8" t="s">
        <v>15</v>
      </c>
      <c r="B82" s="8" t="s">
        <v>717</v>
      </c>
      <c r="C82" s="8" t="s">
        <v>718</v>
      </c>
      <c r="D82" s="10">
        <v>0</v>
      </c>
      <c r="E82" s="10">
        <f>_xll.AtlasFormulas.AtlasFunctions.AtlasBalance("PROD",DataAreaId,"T.InventTrans|inventDimId~inventDimId@T.InventDim","Sum|Qty|0","","","","","","","DateFinancial|ItemId|T2.InventSiteId|T2.InventLocationId",PeriodBeginning,$A82,$B82,$C82)</f>
        <v>0</v>
      </c>
      <c r="F82" s="10">
        <f>_xll.AtlasFormulas.AtlasFunctions.AtlasBalance("PROD",DataAreaId,"T.InventTrans|inventDimId~inventDimId@T.InventDim","Sum|Qty|0","","","","","","","DateFinancial|ItemId|T2.InventSiteId|T2.InventLocationId",PeriodEnding,$A82,$B82,$C82)</f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 x14ac:dyDescent="0.25">
      <c r="A83" s="8" t="s">
        <v>730</v>
      </c>
      <c r="B83" s="8" t="s">
        <v>717</v>
      </c>
      <c r="C83" s="8" t="s">
        <v>719</v>
      </c>
      <c r="D83" s="10">
        <v>97</v>
      </c>
      <c r="E83" s="10">
        <f>_xll.AtlasFormulas.AtlasFunctions.AtlasBalance("PROD",DataAreaId,"T.InventTrans|inventDimId~inventDimId@T.InventDim","Sum|Qty|0","","","","","","","DateFinancial|ItemId|T2.InventSiteId|T2.InventLocationId",PeriodBeginning,$A83,$B83,$C83)</f>
        <v>0</v>
      </c>
      <c r="F83" s="10">
        <f>_xll.AtlasFormulas.AtlasFunctions.AtlasBalance("PROD",DataAreaId,"T.InventTrans|inventDimId~inventDimId@T.InventDim","Sum|Qty|0","","","","","","","DateFinancial|ItemId|T2.InventSiteId|T2.InventLocationId",PeriodEnding,$A83,$B83,$C83)</f>
        <v>0</v>
      </c>
      <c r="G83" s="10">
        <f>AtlasReport_3_Table_1[[#This Row],[Current On-hand]]-AtlasReport_3_Table_1[[#This Row],[Trans backwords (Beginning)]]</f>
        <v>97</v>
      </c>
      <c r="H83" s="10">
        <f>AtlasReport_3_Table_1[[#This Row],[Current On-hand]]-AtlasReport_3_Table_1[[#This Row],[Trans backwords (Ending)]]</f>
        <v>97</v>
      </c>
    </row>
    <row r="84" spans="1:8" x14ac:dyDescent="0.25">
      <c r="A84" s="8" t="s">
        <v>730</v>
      </c>
      <c r="B84" s="8" t="s">
        <v>717</v>
      </c>
      <c r="C84" s="8" t="s">
        <v>718</v>
      </c>
      <c r="D84" s="10">
        <v>0</v>
      </c>
      <c r="E84" s="10">
        <f>_xll.AtlasFormulas.AtlasFunctions.AtlasBalance("PROD",DataAreaId,"T.InventTrans|inventDimId~inventDimId@T.InventDim","Sum|Qty|0","","","","","","","DateFinancial|ItemId|T2.InventSiteId|T2.InventLocationId",PeriodBeginning,$A84,$B84,$C84)</f>
        <v>0</v>
      </c>
      <c r="F84" s="10">
        <f>_xll.AtlasFormulas.AtlasFunctions.AtlasBalance("PROD",DataAreaId,"T.InventTrans|inventDimId~inventDimId@T.InventDim","Sum|Qty|0","","","","","","","DateFinancial|ItemId|T2.InventSiteId|T2.InventLocationId",PeriodEnding,$A84,$B84,$C84)</f>
        <v>0</v>
      </c>
      <c r="G84" s="10">
        <f>AtlasReport_3_Table_1[[#This Row],[Current On-hand]]-AtlasReport_3_Table_1[[#This Row],[Trans backwords (Beginning)]]</f>
        <v>0</v>
      </c>
      <c r="H84" s="10">
        <f>AtlasReport_3_Table_1[[#This Row],[Current On-hand]]-AtlasReport_3_Table_1[[#This Row],[Trans backwords (Ending)]]</f>
        <v>0</v>
      </c>
    </row>
    <row r="85" spans="1:8" x14ac:dyDescent="0.25">
      <c r="A85" s="8" t="s">
        <v>178</v>
      </c>
      <c r="B85" s="8" t="s">
        <v>717</v>
      </c>
      <c r="C85" s="8" t="s">
        <v>73</v>
      </c>
      <c r="D85" s="10">
        <v>0</v>
      </c>
      <c r="E85" s="10">
        <f>_xll.AtlasFormulas.AtlasFunctions.AtlasBalance("PROD",DataAreaId,"T.InventTrans|inventDimId~inventDimId@T.InventDim","Sum|Qty|0","","","","","","","DateFinancial|ItemId|T2.InventSiteId|T2.InventLocationId",PeriodBeginning,$A85,$B85,$C85)</f>
        <v>0</v>
      </c>
      <c r="F85" s="10">
        <f>_xll.AtlasFormulas.AtlasFunctions.AtlasBalance("PROD",DataAreaId,"T.InventTrans|inventDimId~inventDimId@T.InventDim","Sum|Qty|0","","","","","","","DateFinancial|ItemId|T2.InventSiteId|T2.InventLocationId",PeriodEnding,$A85,$B85,$C85)</f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25">
      <c r="A86" s="8" t="s">
        <v>178</v>
      </c>
      <c r="B86" s="8" t="s">
        <v>717</v>
      </c>
      <c r="C86" s="8" t="s">
        <v>719</v>
      </c>
      <c r="D86" s="10">
        <v>0</v>
      </c>
      <c r="E86" s="10">
        <f>_xll.AtlasFormulas.AtlasFunctions.AtlasBalance("PROD",DataAreaId,"T.InventTrans|inventDimId~inventDimId@T.InventDim","Sum|Qty|0","","","","","","","DateFinancial|ItemId|T2.InventSiteId|T2.InventLocationId",PeriodBeginning,$A86,$B86,$C86)</f>
        <v>0</v>
      </c>
      <c r="F86" s="10">
        <f>_xll.AtlasFormulas.AtlasFunctions.AtlasBalance("PROD",DataAreaId,"T.InventTrans|inventDimId~inventDimId@T.InventDim","Sum|Qty|0","","","","","","","DateFinancial|ItemId|T2.InventSiteId|T2.InventLocationId",PeriodEnding,$A86,$B86,$C86)</f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 x14ac:dyDescent="0.25">
      <c r="A87" s="8" t="s">
        <v>178</v>
      </c>
      <c r="B87" s="8" t="s">
        <v>717</v>
      </c>
      <c r="C87" s="8" t="s">
        <v>718</v>
      </c>
      <c r="D87" s="10">
        <v>0</v>
      </c>
      <c r="E87" s="10">
        <f>_xll.AtlasFormulas.AtlasFunctions.AtlasBalance("PROD",DataAreaId,"T.InventTrans|inventDimId~inventDimId@T.InventDim","Sum|Qty|0","","","","","","","DateFinancial|ItemId|T2.InventSiteId|T2.InventLocationId",PeriodBeginning,$A87,$B87,$C87)</f>
        <v>0</v>
      </c>
      <c r="F87" s="10">
        <f>_xll.AtlasFormulas.AtlasFunctions.AtlasBalance("PROD",DataAreaId,"T.InventTrans|inventDimId~inventDimId@T.InventDim","Sum|Qty|0","","","","","","","DateFinancial|ItemId|T2.InventSiteId|T2.InventLocationId",PeriodEnding,$A87,$B87,$C87)</f>
        <v>0</v>
      </c>
      <c r="G87" s="10">
        <f>AtlasReport_3_Table_1[[#This Row],[Current On-hand]]-AtlasReport_3_Table_1[[#This Row],[Trans backwords (Beginning)]]</f>
        <v>0</v>
      </c>
      <c r="H87" s="10">
        <f>AtlasReport_3_Table_1[[#This Row],[Current On-hand]]-AtlasReport_3_Table_1[[#This Row],[Trans backwords (Ending)]]</f>
        <v>0</v>
      </c>
    </row>
    <row r="88" spans="1:8" x14ac:dyDescent="0.25">
      <c r="A88" s="8" t="s">
        <v>16</v>
      </c>
      <c r="B88" s="8" t="s">
        <v>717</v>
      </c>
      <c r="C88" s="8" t="s">
        <v>73</v>
      </c>
      <c r="D88" s="10">
        <v>0</v>
      </c>
      <c r="E88" s="10">
        <f>_xll.AtlasFormulas.AtlasFunctions.AtlasBalance("PROD",DataAreaId,"T.InventTrans|inventDimId~inventDimId@T.InventDim","Sum|Qty|0","","","","","","","DateFinancial|ItemId|T2.InventSiteId|T2.InventLocationId",PeriodBeginning,$A88,$B88,$C88)</f>
        <v>0</v>
      </c>
      <c r="F88" s="10">
        <f>_xll.AtlasFormulas.AtlasFunctions.AtlasBalance("PROD",DataAreaId,"T.InventTrans|inventDimId~inventDimId@T.InventDim","Sum|Qty|0","","","","","","","DateFinancial|ItemId|T2.InventSiteId|T2.InventLocationId",PeriodEnding,$A88,$B88,$C88)</f>
        <v>0</v>
      </c>
      <c r="G88" s="10">
        <f>AtlasReport_3_Table_1[[#This Row],[Current On-hand]]-AtlasReport_3_Table_1[[#This Row],[Trans backwords (Beginning)]]</f>
        <v>0</v>
      </c>
      <c r="H88" s="10">
        <f>AtlasReport_3_Table_1[[#This Row],[Current On-hand]]-AtlasReport_3_Table_1[[#This Row],[Trans backwords (Ending)]]</f>
        <v>0</v>
      </c>
    </row>
    <row r="89" spans="1:8" x14ac:dyDescent="0.25">
      <c r="A89" s="8" t="s">
        <v>16</v>
      </c>
      <c r="B89" s="8" t="s">
        <v>717</v>
      </c>
      <c r="C89" s="8" t="s">
        <v>719</v>
      </c>
      <c r="D89" s="10">
        <v>20865</v>
      </c>
      <c r="E89" s="10">
        <f>_xll.AtlasFormulas.AtlasFunctions.AtlasBalance("PROD",DataAreaId,"T.InventTrans|inventDimId~inventDimId@T.InventDim","Sum|Qty|0","","","","","","","DateFinancial|ItemId|T2.InventSiteId|T2.InventLocationId",PeriodBeginning,$A89,$B89,$C89)</f>
        <v>0</v>
      </c>
      <c r="F89" s="10">
        <f>_xll.AtlasFormulas.AtlasFunctions.AtlasBalance("PROD",DataAreaId,"T.InventTrans|inventDimId~inventDimId@T.InventDim","Sum|Qty|0","","","","","","","DateFinancial|ItemId|T2.InventSiteId|T2.InventLocationId",PeriodEnding,$A89,$B89,$C89)</f>
        <v>0</v>
      </c>
      <c r="G89" s="10">
        <f>AtlasReport_3_Table_1[[#This Row],[Current On-hand]]-AtlasReport_3_Table_1[[#This Row],[Trans backwords (Beginning)]]</f>
        <v>20865</v>
      </c>
      <c r="H89" s="10">
        <f>AtlasReport_3_Table_1[[#This Row],[Current On-hand]]-AtlasReport_3_Table_1[[#This Row],[Trans backwords (Ending)]]</f>
        <v>20865</v>
      </c>
    </row>
    <row r="90" spans="1:8" x14ac:dyDescent="0.25">
      <c r="A90" s="8" t="s">
        <v>16</v>
      </c>
      <c r="B90" s="8" t="s">
        <v>717</v>
      </c>
      <c r="C90" s="8" t="s">
        <v>718</v>
      </c>
      <c r="D90" s="10">
        <v>0</v>
      </c>
      <c r="E90" s="10">
        <f>_xll.AtlasFormulas.AtlasFunctions.AtlasBalance("PROD",DataAreaId,"T.InventTrans|inventDimId~inventDimId@T.InventDim","Sum|Qty|0","","","","","","","DateFinancial|ItemId|T2.InventSiteId|T2.InventLocationId",PeriodBeginning,$A90,$B90,$C90)</f>
        <v>0</v>
      </c>
      <c r="F90" s="10">
        <f>_xll.AtlasFormulas.AtlasFunctions.AtlasBalance("PROD",DataAreaId,"T.InventTrans|inventDimId~inventDimId@T.InventDim","Sum|Qty|0","","","","","","","DateFinancial|ItemId|T2.InventSiteId|T2.InventLocationId",PeriodEnding,$A90,$B90,$C90)</f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 x14ac:dyDescent="0.25">
      <c r="A91" s="8" t="s">
        <v>16</v>
      </c>
      <c r="B91" s="8" t="s">
        <v>717</v>
      </c>
      <c r="C91" s="8" t="s">
        <v>759</v>
      </c>
      <c r="D91" s="10">
        <v>0</v>
      </c>
      <c r="E91" s="10">
        <f>_xll.AtlasFormulas.AtlasFunctions.AtlasBalance("PROD",DataAreaId,"T.InventTrans|inventDimId~inventDimId@T.InventDim","Sum|Qty|0","","","","","","","DateFinancial|ItemId|T2.InventSiteId|T2.InventLocationId",PeriodBeginning,$A91,$B91,$C91)</f>
        <v>0</v>
      </c>
      <c r="F91" s="10">
        <f>_xll.AtlasFormulas.AtlasFunctions.AtlasBalance("PROD",DataAreaId,"T.InventTrans|inventDimId~inventDimId@T.InventDim","Sum|Qty|0","","","","","","","DateFinancial|ItemId|T2.InventSiteId|T2.InventLocationId",PeriodEnding,$A91,$B91,$C91)</f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25">
      <c r="A92" s="8" t="s">
        <v>16</v>
      </c>
      <c r="B92" s="8" t="s">
        <v>717</v>
      </c>
      <c r="C92" s="8" t="s">
        <v>721</v>
      </c>
      <c r="D92" s="10">
        <v>0</v>
      </c>
      <c r="E92" s="10">
        <f>_xll.AtlasFormulas.AtlasFunctions.AtlasBalance("PROD",DataAreaId,"T.InventTrans|inventDimId~inventDimId@T.InventDim","Sum|Qty|0","","","","","","","DateFinancial|ItemId|T2.InventSiteId|T2.InventLocationId",PeriodBeginning,$A92,$B92,$C92)</f>
        <v>0</v>
      </c>
      <c r="F92" s="10">
        <f>_xll.AtlasFormulas.AtlasFunctions.AtlasBalance("PROD",DataAreaId,"T.InventTrans|inventDimId~inventDimId@T.InventDim","Sum|Qty|0","","","","","","","DateFinancial|ItemId|T2.InventSiteId|T2.InventLocationId",PeriodEnding,$A92,$B92,$C92)</f>
        <v>0</v>
      </c>
      <c r="G92" s="10">
        <f>AtlasReport_3_Table_1[[#This Row],[Current On-hand]]-AtlasReport_3_Table_1[[#This Row],[Trans backwords (Beginning)]]</f>
        <v>0</v>
      </c>
      <c r="H92" s="10">
        <f>AtlasReport_3_Table_1[[#This Row],[Current On-hand]]-AtlasReport_3_Table_1[[#This Row],[Trans backwords (Ending)]]</f>
        <v>0</v>
      </c>
    </row>
    <row r="93" spans="1:8" x14ac:dyDescent="0.25">
      <c r="A93" s="8" t="s">
        <v>16</v>
      </c>
      <c r="B93" s="8" t="s">
        <v>717</v>
      </c>
      <c r="C93" s="8" t="s">
        <v>756</v>
      </c>
      <c r="D93" s="10">
        <v>0</v>
      </c>
      <c r="E93" s="10">
        <f>_xll.AtlasFormulas.AtlasFunctions.AtlasBalance("PROD",DataAreaId,"T.InventTrans|inventDimId~inventDimId@T.InventDim","Sum|Qty|0","","","","","","","DateFinancial|ItemId|T2.InventSiteId|T2.InventLocationId",PeriodBeginning,$A93,$B93,$C93)</f>
        <v>0</v>
      </c>
      <c r="F93" s="10">
        <f>_xll.AtlasFormulas.AtlasFunctions.AtlasBalance("PROD",DataAreaId,"T.InventTrans|inventDimId~inventDimId@T.InventDim","Sum|Qty|0","","","","","","","DateFinancial|ItemId|T2.InventSiteId|T2.InventLocationId",PeriodEnding,$A93,$B93,$C93)</f>
        <v>0</v>
      </c>
      <c r="G93" s="10">
        <f>AtlasReport_3_Table_1[[#This Row],[Current On-hand]]-AtlasReport_3_Table_1[[#This Row],[Trans backwords (Beginning)]]</f>
        <v>0</v>
      </c>
      <c r="H93" s="10">
        <f>AtlasReport_3_Table_1[[#This Row],[Current On-hand]]-AtlasReport_3_Table_1[[#This Row],[Trans backwords (Ending)]]</f>
        <v>0</v>
      </c>
    </row>
    <row r="94" spans="1:8" x14ac:dyDescent="0.25">
      <c r="A94" s="8" t="s">
        <v>731</v>
      </c>
      <c r="B94" s="8" t="s">
        <v>717</v>
      </c>
      <c r="C94" s="8" t="s">
        <v>73</v>
      </c>
      <c r="D94" s="10">
        <v>0</v>
      </c>
      <c r="E94" s="10">
        <f>_xll.AtlasFormulas.AtlasFunctions.AtlasBalance("PROD",DataAreaId,"T.InventTrans|inventDimId~inventDimId@T.InventDim","Sum|Qty|0","","","","","","","DateFinancial|ItemId|T2.InventSiteId|T2.InventLocationId",PeriodBeginning,$A94,$B94,$C94)</f>
        <v>0</v>
      </c>
      <c r="F94" s="10">
        <f>_xll.AtlasFormulas.AtlasFunctions.AtlasBalance("PROD",DataAreaId,"T.InventTrans|inventDimId~inventDimId@T.InventDim","Sum|Qty|0","","","","","","","DateFinancial|ItemId|T2.InventSiteId|T2.InventLocationId",PeriodEnding,$A94,$B94,$C94)</f>
        <v>0</v>
      </c>
      <c r="G94" s="10">
        <f>AtlasReport_3_Table_1[[#This Row],[Current On-hand]]-AtlasReport_3_Table_1[[#This Row],[Trans backwords (Beginning)]]</f>
        <v>0</v>
      </c>
      <c r="H94" s="10">
        <f>AtlasReport_3_Table_1[[#This Row],[Current On-hand]]-AtlasReport_3_Table_1[[#This Row],[Trans backwords (Ending)]]</f>
        <v>0</v>
      </c>
    </row>
    <row r="95" spans="1:8" x14ac:dyDescent="0.25">
      <c r="A95" s="8" t="s">
        <v>731</v>
      </c>
      <c r="B95" s="8" t="s">
        <v>717</v>
      </c>
      <c r="C95" s="8" t="s">
        <v>719</v>
      </c>
      <c r="D95" s="10">
        <v>4192.5</v>
      </c>
      <c r="E95" s="10">
        <f>_xll.AtlasFormulas.AtlasFunctions.AtlasBalance("PROD",DataAreaId,"T.InventTrans|inventDimId~inventDimId@T.InventDim","Sum|Qty|0","","","","","","","DateFinancial|ItemId|T2.InventSiteId|T2.InventLocationId",PeriodBeginning,$A95,$B95,$C95)</f>
        <v>-487.5</v>
      </c>
      <c r="F95" s="10">
        <f>_xll.AtlasFormulas.AtlasFunctions.AtlasBalance("PROD",DataAreaId,"T.InventTrans|inventDimId~inventDimId@T.InventDim","Sum|Qty|0","","","","","","","DateFinancial|ItemId|T2.InventSiteId|T2.InventLocationId",PeriodEnding,$A95,$B95,$C95)</f>
        <v>0</v>
      </c>
      <c r="G95" s="10">
        <f>AtlasReport_3_Table_1[[#This Row],[Current On-hand]]-AtlasReport_3_Table_1[[#This Row],[Trans backwords (Beginning)]]</f>
        <v>4680</v>
      </c>
      <c r="H95" s="10">
        <f>AtlasReport_3_Table_1[[#This Row],[Current On-hand]]-AtlasReport_3_Table_1[[#This Row],[Trans backwords (Ending)]]</f>
        <v>4192.5</v>
      </c>
    </row>
    <row r="96" spans="1:8" x14ac:dyDescent="0.25">
      <c r="A96" s="8" t="s">
        <v>731</v>
      </c>
      <c r="B96" s="8" t="s">
        <v>717</v>
      </c>
      <c r="C96" s="8" t="s">
        <v>718</v>
      </c>
      <c r="D96" s="10">
        <v>0</v>
      </c>
      <c r="E96" s="10">
        <f>_xll.AtlasFormulas.AtlasFunctions.AtlasBalance("PROD",DataAreaId,"T.InventTrans|inventDimId~inventDimId@T.InventDim","Sum|Qty|0","","","","","","","DateFinancial|ItemId|T2.InventSiteId|T2.InventLocationId",PeriodBeginning,$A96,$B96,$C96)</f>
        <v>0</v>
      </c>
      <c r="F96" s="10">
        <f>_xll.AtlasFormulas.AtlasFunctions.AtlasBalance("PROD",DataAreaId,"T.InventTrans|inventDimId~inventDimId@T.InventDim","Sum|Qty|0","","","","","","","DateFinancial|ItemId|T2.InventSiteId|T2.InventLocationId",PeriodEnding,$A96,$B96,$C96)</f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 x14ac:dyDescent="0.25">
      <c r="A97" s="8" t="s">
        <v>731</v>
      </c>
      <c r="B97" s="8" t="s">
        <v>717</v>
      </c>
      <c r="C97" s="8" t="s">
        <v>721</v>
      </c>
      <c r="D97" s="10">
        <v>0</v>
      </c>
      <c r="E97" s="10">
        <f>_xll.AtlasFormulas.AtlasFunctions.AtlasBalance("PROD",DataAreaId,"T.InventTrans|inventDimId~inventDimId@T.InventDim","Sum|Qty|0","","","","","","","DateFinancial|ItemId|T2.InventSiteId|T2.InventLocationId",PeriodBeginning,$A97,$B97,$C97)</f>
        <v>0</v>
      </c>
      <c r="F97" s="10">
        <f>_xll.AtlasFormulas.AtlasFunctions.AtlasBalance("PROD",DataAreaId,"T.InventTrans|inventDimId~inventDimId@T.InventDim","Sum|Qty|0","","","","","","","DateFinancial|ItemId|T2.InventSiteId|T2.InventLocationId",PeriodEnding,$A97,$B97,$C97)</f>
        <v>0</v>
      </c>
      <c r="G97" s="10">
        <f>AtlasReport_3_Table_1[[#This Row],[Current On-hand]]-AtlasReport_3_Table_1[[#This Row],[Trans backwords (Beginning)]]</f>
        <v>0</v>
      </c>
      <c r="H97" s="10">
        <f>AtlasReport_3_Table_1[[#This Row],[Current On-hand]]-AtlasReport_3_Table_1[[#This Row],[Trans backwords (Ending)]]</f>
        <v>0</v>
      </c>
    </row>
    <row r="98" spans="1:8" x14ac:dyDescent="0.25">
      <c r="A98" s="8" t="s">
        <v>731</v>
      </c>
      <c r="B98" s="8" t="s">
        <v>717</v>
      </c>
      <c r="C98" s="8" t="s">
        <v>756</v>
      </c>
      <c r="D98" s="10">
        <v>0</v>
      </c>
      <c r="E98" s="10">
        <f>_xll.AtlasFormulas.AtlasFunctions.AtlasBalance("PROD",DataAreaId,"T.InventTrans|inventDimId~inventDimId@T.InventDim","Sum|Qty|0","","","","","","","DateFinancial|ItemId|T2.InventSiteId|T2.InventLocationId",PeriodBeginning,$A98,$B98,$C98)</f>
        <v>0</v>
      </c>
      <c r="F98" s="10">
        <f>_xll.AtlasFormulas.AtlasFunctions.AtlasBalance("PROD",DataAreaId,"T.InventTrans|inventDimId~inventDimId@T.InventDim","Sum|Qty|0","","","","","","","DateFinancial|ItemId|T2.InventSiteId|T2.InventLocationId",PeriodEnding,$A98,$B98,$C98)</f>
        <v>0</v>
      </c>
      <c r="G98" s="10">
        <f>AtlasReport_3_Table_1[[#This Row],[Current On-hand]]-AtlasReport_3_Table_1[[#This Row],[Trans backwords (Beginning)]]</f>
        <v>0</v>
      </c>
      <c r="H98" s="10">
        <f>AtlasReport_3_Table_1[[#This Row],[Current On-hand]]-AtlasReport_3_Table_1[[#This Row],[Trans backwords (Ending)]]</f>
        <v>0</v>
      </c>
    </row>
    <row r="99" spans="1:8" x14ac:dyDescent="0.25">
      <c r="A99" s="8" t="s">
        <v>761</v>
      </c>
      <c r="B99" s="8" t="s">
        <v>717</v>
      </c>
      <c r="C99" s="8" t="s">
        <v>73</v>
      </c>
      <c r="D99" s="10">
        <v>0</v>
      </c>
      <c r="E99" s="10">
        <f>_xll.AtlasFormulas.AtlasFunctions.AtlasBalance("PROD",DataAreaId,"T.InventTrans|inventDimId~inventDimId@T.InventDim","Sum|Qty|0","","","","","","","DateFinancial|ItemId|T2.InventSiteId|T2.InventLocationId",PeriodBeginning,$A99,$B99,$C99)</f>
        <v>0</v>
      </c>
      <c r="F99" s="10">
        <f>_xll.AtlasFormulas.AtlasFunctions.AtlasBalance("PROD",DataAreaId,"T.InventTrans|inventDimId~inventDimId@T.InventDim","Sum|Qty|0","","","","","","","DateFinancial|ItemId|T2.InventSiteId|T2.InventLocationId",PeriodEnding,$A99,$B99,$C99)</f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25">
      <c r="A100" s="8" t="s">
        <v>761</v>
      </c>
      <c r="B100" s="8" t="s">
        <v>717</v>
      </c>
      <c r="C100" s="8" t="s">
        <v>719</v>
      </c>
      <c r="D100" s="10">
        <v>0</v>
      </c>
      <c r="E100" s="10">
        <f>_xll.AtlasFormulas.AtlasFunctions.AtlasBalance("PROD",DataAreaId,"T.InventTrans|inventDimId~inventDimId@T.InventDim","Sum|Qty|0","","","","","","","DateFinancial|ItemId|T2.InventSiteId|T2.InventLocationId",PeriodBeginning,$A100,$B100,$C100)</f>
        <v>0</v>
      </c>
      <c r="F100" s="10">
        <f>_xll.AtlasFormulas.AtlasFunctions.AtlasBalance("PROD",DataAreaId,"T.InventTrans|inventDimId~inventDimId@T.InventDim","Sum|Qty|0","","","","","","","DateFinancial|ItemId|T2.InventSiteId|T2.InventLocationId",PeriodEnding,$A100,$B100,$C100)</f>
        <v>0</v>
      </c>
      <c r="G100" s="10">
        <f>AtlasReport_3_Table_1[[#This Row],[Current On-hand]]-AtlasReport_3_Table_1[[#This Row],[Trans backwords (Beginning)]]</f>
        <v>0</v>
      </c>
      <c r="H100" s="10">
        <f>AtlasReport_3_Table_1[[#This Row],[Current On-hand]]-AtlasReport_3_Table_1[[#This Row],[Trans backwords (Ending)]]</f>
        <v>0</v>
      </c>
    </row>
    <row r="101" spans="1:8" x14ac:dyDescent="0.25">
      <c r="A101" s="8" t="s">
        <v>761</v>
      </c>
      <c r="B101" s="8" t="s">
        <v>717</v>
      </c>
      <c r="C101" s="8" t="s">
        <v>718</v>
      </c>
      <c r="D101" s="10">
        <v>0</v>
      </c>
      <c r="E101" s="10">
        <f>_xll.AtlasFormulas.AtlasFunctions.AtlasBalance("PROD",DataAreaId,"T.InventTrans|inventDimId~inventDimId@T.InventDim","Sum|Qty|0","","","","","","","DateFinancial|ItemId|T2.InventSiteId|T2.InventLocationId",PeriodBeginning,$A101,$B101,$C101)</f>
        <v>0</v>
      </c>
      <c r="F101" s="10">
        <f>_xll.AtlasFormulas.AtlasFunctions.AtlasBalance("PROD",DataAreaId,"T.InventTrans|inventDimId~inventDimId@T.InventDim","Sum|Qty|0","","","","","","","DateFinancial|ItemId|T2.InventSiteId|T2.InventLocationId",PeriodEnding,$A101,$B101,$C101)</f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25">
      <c r="A102" s="8" t="s">
        <v>134</v>
      </c>
      <c r="B102" s="8" t="s">
        <v>717</v>
      </c>
      <c r="C102" s="8" t="s">
        <v>719</v>
      </c>
      <c r="D102" s="10">
        <v>11.6</v>
      </c>
      <c r="E102" s="10">
        <f>_xll.AtlasFormulas.AtlasFunctions.AtlasBalance("PROD",DataAreaId,"T.InventTrans|inventDimId~inventDimId@T.InventDim","Sum|Qty|0","","","","","","","DateFinancial|ItemId|T2.InventSiteId|T2.InventLocationId",PeriodBeginning,$A102,$B102,$C102)</f>
        <v>0</v>
      </c>
      <c r="F102" s="10">
        <f>_xll.AtlasFormulas.AtlasFunctions.AtlasBalance("PROD",DataAreaId,"T.InventTrans|inventDimId~inventDimId@T.InventDim","Sum|Qty|0","","","","","","","DateFinancial|ItemId|T2.InventSiteId|T2.InventLocationId",PeriodEnding,$A102,$B102,$C102)</f>
        <v>0</v>
      </c>
      <c r="G102" s="10">
        <f>AtlasReport_3_Table_1[[#This Row],[Current On-hand]]-AtlasReport_3_Table_1[[#This Row],[Trans backwords (Beginning)]]</f>
        <v>11.6</v>
      </c>
      <c r="H102" s="10">
        <f>AtlasReport_3_Table_1[[#This Row],[Current On-hand]]-AtlasReport_3_Table_1[[#This Row],[Trans backwords (Ending)]]</f>
        <v>11.6</v>
      </c>
    </row>
    <row r="103" spans="1:8" x14ac:dyDescent="0.25">
      <c r="A103" s="8" t="s">
        <v>762</v>
      </c>
      <c r="B103" s="8" t="s">
        <v>717</v>
      </c>
      <c r="C103" s="8" t="s">
        <v>719</v>
      </c>
      <c r="D103" s="10">
        <v>0</v>
      </c>
      <c r="E103" s="10">
        <f>_xll.AtlasFormulas.AtlasFunctions.AtlasBalance("PROD",DataAreaId,"T.InventTrans|inventDimId~inventDimId@T.InventDim","Sum|Qty|0","","","","","","","DateFinancial|ItemId|T2.InventSiteId|T2.InventLocationId",PeriodBeginning,$A103,$B103,$C103)</f>
        <v>0</v>
      </c>
      <c r="F103" s="10">
        <f>_xll.AtlasFormulas.AtlasFunctions.AtlasBalance("PROD",DataAreaId,"T.InventTrans|inventDimId~inventDimId@T.InventDim","Sum|Qty|0","","","","","","","DateFinancial|ItemId|T2.InventSiteId|T2.InventLocationId",PeriodEnding,$A103,$B103,$C103)</f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 x14ac:dyDescent="0.25">
      <c r="A104" s="8" t="s">
        <v>762</v>
      </c>
      <c r="B104" s="8" t="s">
        <v>717</v>
      </c>
      <c r="C104" s="8" t="s">
        <v>718</v>
      </c>
      <c r="D104" s="10">
        <v>0</v>
      </c>
      <c r="E104" s="10">
        <f>_xll.AtlasFormulas.AtlasFunctions.AtlasBalance("PROD",DataAreaId,"T.InventTrans|inventDimId~inventDimId@T.InventDim","Sum|Qty|0","","","","","","","DateFinancial|ItemId|T2.InventSiteId|T2.InventLocationId",PeriodBeginning,$A104,$B104,$C104)</f>
        <v>0</v>
      </c>
      <c r="F104" s="10">
        <f>_xll.AtlasFormulas.AtlasFunctions.AtlasBalance("PROD",DataAreaId,"T.InventTrans|inventDimId~inventDimId@T.InventDim","Sum|Qty|0","","","","","","","DateFinancial|ItemId|T2.InventSiteId|T2.InventLocationId",PeriodEnding,$A104,$B104,$C104)</f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 x14ac:dyDescent="0.25">
      <c r="A105" s="8" t="s">
        <v>67</v>
      </c>
      <c r="B105" s="8" t="s">
        <v>717</v>
      </c>
      <c r="C105" s="8" t="s">
        <v>73</v>
      </c>
      <c r="D105" s="10">
        <v>0</v>
      </c>
      <c r="E105" s="10">
        <f>_xll.AtlasFormulas.AtlasFunctions.AtlasBalance("PROD",DataAreaId,"T.InventTrans|inventDimId~inventDimId@T.InventDim","Sum|Qty|0","","","","","","","DateFinancial|ItemId|T2.InventSiteId|T2.InventLocationId",PeriodBeginning,$A105,$B105,$C105)</f>
        <v>0</v>
      </c>
      <c r="F105" s="10">
        <f>_xll.AtlasFormulas.AtlasFunctions.AtlasBalance("PROD",DataAreaId,"T.InventTrans|inventDimId~inventDimId@T.InventDim","Sum|Qty|0","","","","","","","DateFinancial|ItemId|T2.InventSiteId|T2.InventLocationId",PeriodEnding,$A105,$B105,$C105)</f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 x14ac:dyDescent="0.25">
      <c r="A106" s="8" t="s">
        <v>67</v>
      </c>
      <c r="B106" s="8" t="s">
        <v>717</v>
      </c>
      <c r="C106" s="8" t="s">
        <v>719</v>
      </c>
      <c r="D106" s="10">
        <v>0</v>
      </c>
      <c r="E106" s="10">
        <f>_xll.AtlasFormulas.AtlasFunctions.AtlasBalance("PROD",DataAreaId,"T.InventTrans|inventDimId~inventDimId@T.InventDim","Sum|Qty|0","","","","","","","DateFinancial|ItemId|T2.InventSiteId|T2.InventLocationId",PeriodBeginning,$A106,$B106,$C106)</f>
        <v>0</v>
      </c>
      <c r="F106" s="10">
        <f>_xll.AtlasFormulas.AtlasFunctions.AtlasBalance("PROD",DataAreaId,"T.InventTrans|inventDimId~inventDimId@T.InventDim","Sum|Qty|0","","","","","","","DateFinancial|ItemId|T2.InventSiteId|T2.InventLocationId",PeriodEnding,$A106,$B106,$C106)</f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 x14ac:dyDescent="0.25">
      <c r="A107" s="8" t="s">
        <v>67</v>
      </c>
      <c r="B107" s="8" t="s">
        <v>717</v>
      </c>
      <c r="C107" s="8" t="s">
        <v>718</v>
      </c>
      <c r="D107" s="10">
        <v>8614</v>
      </c>
      <c r="E107" s="10">
        <f>_xll.AtlasFormulas.AtlasFunctions.AtlasBalance("PROD",DataAreaId,"T.InventTrans|inventDimId~inventDimId@T.InventDim","Sum|Qty|0","","","","","","","DateFinancial|ItemId|T2.InventSiteId|T2.InventLocationId",PeriodBeginning,$A107,$B107,$C107)</f>
        <v>0</v>
      </c>
      <c r="F107" s="10">
        <f>_xll.AtlasFormulas.AtlasFunctions.AtlasBalance("PROD",DataAreaId,"T.InventTrans|inventDimId~inventDimId@T.InventDim","Sum|Qty|0","","","","","","","DateFinancial|ItemId|T2.InventSiteId|T2.InventLocationId",PeriodEnding,$A107,$B107,$C107)</f>
        <v>0</v>
      </c>
      <c r="G107" s="10">
        <f>AtlasReport_3_Table_1[[#This Row],[Current On-hand]]-AtlasReport_3_Table_1[[#This Row],[Trans backwords (Beginning)]]</f>
        <v>8614</v>
      </c>
      <c r="H107" s="10">
        <f>AtlasReport_3_Table_1[[#This Row],[Current On-hand]]-AtlasReport_3_Table_1[[#This Row],[Trans backwords (Ending)]]</f>
        <v>8614</v>
      </c>
    </row>
    <row r="108" spans="1:8" x14ac:dyDescent="0.25">
      <c r="A108" s="8" t="s">
        <v>67</v>
      </c>
      <c r="B108" s="8" t="s">
        <v>717</v>
      </c>
      <c r="C108" s="8" t="s">
        <v>756</v>
      </c>
      <c r="D108" s="10">
        <v>0</v>
      </c>
      <c r="E108" s="10">
        <f>_xll.AtlasFormulas.AtlasFunctions.AtlasBalance("PROD",DataAreaId,"T.InventTrans|inventDimId~inventDimId@T.InventDim","Sum|Qty|0","","","","","","","DateFinancial|ItemId|T2.InventSiteId|T2.InventLocationId",PeriodBeginning,$A108,$B108,$C108)</f>
        <v>0</v>
      </c>
      <c r="F108" s="10">
        <f>_xll.AtlasFormulas.AtlasFunctions.AtlasBalance("PROD",DataAreaId,"T.InventTrans|inventDimId~inventDimId@T.InventDim","Sum|Qty|0","","","","","","","DateFinancial|ItemId|T2.InventSiteId|T2.InventLocationId",PeriodEnding,$A108,$B108,$C108)</f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 x14ac:dyDescent="0.25">
      <c r="A109" s="8" t="s">
        <v>93</v>
      </c>
      <c r="B109" s="8" t="s">
        <v>717</v>
      </c>
      <c r="C109" s="8" t="s">
        <v>73</v>
      </c>
      <c r="D109" s="10">
        <v>0</v>
      </c>
      <c r="E109" s="10">
        <f>_xll.AtlasFormulas.AtlasFunctions.AtlasBalance("PROD",DataAreaId,"T.InventTrans|inventDimId~inventDimId@T.InventDim","Sum|Qty|0","","","","","","","DateFinancial|ItemId|T2.InventSiteId|T2.InventLocationId",PeriodBeginning,$A109,$B109,$C109)</f>
        <v>0</v>
      </c>
      <c r="F109" s="10">
        <f>_xll.AtlasFormulas.AtlasFunctions.AtlasBalance("PROD",DataAreaId,"T.InventTrans|inventDimId~inventDimId@T.InventDim","Sum|Qty|0","","","","","","","DateFinancial|ItemId|T2.InventSiteId|T2.InventLocationId",PeriodEnding,$A109,$B109,$C109)</f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0</v>
      </c>
    </row>
    <row r="110" spans="1:8" x14ac:dyDescent="0.25">
      <c r="A110" s="8" t="s">
        <v>93</v>
      </c>
      <c r="B110" s="8" t="s">
        <v>717</v>
      </c>
      <c r="C110" s="8" t="s">
        <v>719</v>
      </c>
      <c r="D110" s="10">
        <v>0</v>
      </c>
      <c r="E110" s="10">
        <f>_xll.AtlasFormulas.AtlasFunctions.AtlasBalance("PROD",DataAreaId,"T.InventTrans|inventDimId~inventDimId@T.InventDim","Sum|Qty|0","","","","","","","DateFinancial|ItemId|T2.InventSiteId|T2.InventLocationId",PeriodBeginning,$A110,$B110,$C110)</f>
        <v>0</v>
      </c>
      <c r="F110" s="10">
        <f>_xll.AtlasFormulas.AtlasFunctions.AtlasBalance("PROD",DataAreaId,"T.InventTrans|inventDimId~inventDimId@T.InventDim","Sum|Qty|0","","","","","","","DateFinancial|ItemId|T2.InventSiteId|T2.InventLocationId",PeriodEnding,$A110,$B110,$C110)</f>
        <v>0</v>
      </c>
      <c r="G110" s="10">
        <f>AtlasReport_3_Table_1[[#This Row],[Current On-hand]]-AtlasReport_3_Table_1[[#This Row],[Trans backwords (Beginning)]]</f>
        <v>0</v>
      </c>
      <c r="H110" s="10">
        <f>AtlasReport_3_Table_1[[#This Row],[Current On-hand]]-AtlasReport_3_Table_1[[#This Row],[Trans backwords (Ending)]]</f>
        <v>0</v>
      </c>
    </row>
    <row r="111" spans="1:8" x14ac:dyDescent="0.25">
      <c r="A111" s="8" t="s">
        <v>93</v>
      </c>
      <c r="B111" s="8" t="s">
        <v>717</v>
      </c>
      <c r="C111" s="8" t="s">
        <v>718</v>
      </c>
      <c r="D111" s="10">
        <v>15217</v>
      </c>
      <c r="E111" s="10">
        <f>_xll.AtlasFormulas.AtlasFunctions.AtlasBalance("PROD",DataAreaId,"T.InventTrans|inventDimId~inventDimId@T.InventDim","Sum|Qty|0","","","","","","","DateFinancial|ItemId|T2.InventSiteId|T2.InventLocationId",PeriodBeginning,$A111,$B111,$C111)</f>
        <v>0</v>
      </c>
      <c r="F111" s="10">
        <f>_xll.AtlasFormulas.AtlasFunctions.AtlasBalance("PROD",DataAreaId,"T.InventTrans|inventDimId~inventDimId@T.InventDim","Sum|Qty|0","","","","","","","DateFinancial|ItemId|T2.InventSiteId|T2.InventLocationId",PeriodEnding,$A111,$B111,$C111)</f>
        <v>0</v>
      </c>
      <c r="G111" s="10">
        <f>AtlasReport_3_Table_1[[#This Row],[Current On-hand]]-AtlasReport_3_Table_1[[#This Row],[Trans backwords (Beginning)]]</f>
        <v>15217</v>
      </c>
      <c r="H111" s="10">
        <f>AtlasReport_3_Table_1[[#This Row],[Current On-hand]]-AtlasReport_3_Table_1[[#This Row],[Trans backwords (Ending)]]</f>
        <v>15217</v>
      </c>
    </row>
    <row r="112" spans="1:8" x14ac:dyDescent="0.25">
      <c r="A112" s="8" t="s">
        <v>93</v>
      </c>
      <c r="B112" s="8" t="s">
        <v>717</v>
      </c>
      <c r="C112" s="8" t="s">
        <v>756</v>
      </c>
      <c r="D112" s="10">
        <v>0</v>
      </c>
      <c r="E112" s="10">
        <f>_xll.AtlasFormulas.AtlasFunctions.AtlasBalance("PROD",DataAreaId,"T.InventTrans|inventDimId~inventDimId@T.InventDim","Sum|Qty|0","","","","","","","DateFinancial|ItemId|T2.InventSiteId|T2.InventLocationId",PeriodBeginning,$A112,$B112,$C112)</f>
        <v>0</v>
      </c>
      <c r="F112" s="10">
        <f>_xll.AtlasFormulas.AtlasFunctions.AtlasBalance("PROD",DataAreaId,"T.InventTrans|inventDimId~inventDimId@T.InventDim","Sum|Qty|0","","","","","","","DateFinancial|ItemId|T2.InventSiteId|T2.InventLocationId",PeriodEnding,$A112,$B112,$C112)</f>
        <v>0</v>
      </c>
      <c r="G112" s="10">
        <f>AtlasReport_3_Table_1[[#This Row],[Current On-hand]]-AtlasReport_3_Table_1[[#This Row],[Trans backwords (Beginning)]]</f>
        <v>0</v>
      </c>
      <c r="H112" s="10">
        <f>AtlasReport_3_Table_1[[#This Row],[Current On-hand]]-AtlasReport_3_Table_1[[#This Row],[Trans backwords (Ending)]]</f>
        <v>0</v>
      </c>
    </row>
    <row r="113" spans="1:8" x14ac:dyDescent="0.25">
      <c r="A113" s="8" t="s">
        <v>68</v>
      </c>
      <c r="B113" s="8" t="s">
        <v>717</v>
      </c>
      <c r="C113" s="8" t="s">
        <v>73</v>
      </c>
      <c r="D113" s="10">
        <v>0</v>
      </c>
      <c r="E113" s="10">
        <f>_xll.AtlasFormulas.AtlasFunctions.AtlasBalance("PROD",DataAreaId,"T.InventTrans|inventDimId~inventDimId@T.InventDim","Sum|Qty|0","","","","","","","DateFinancial|ItemId|T2.InventSiteId|T2.InventLocationId",PeriodBeginning,$A113,$B113,$C113)</f>
        <v>0</v>
      </c>
      <c r="F113" s="10">
        <f>_xll.AtlasFormulas.AtlasFunctions.AtlasBalance("PROD",DataAreaId,"T.InventTrans|inventDimId~inventDimId@T.InventDim","Sum|Qty|0","","","","","","","DateFinancial|ItemId|T2.InventSiteId|T2.InventLocationId",PeriodEnding,$A113,$B113,$C113)</f>
        <v>0</v>
      </c>
      <c r="G113" s="10">
        <f>AtlasReport_3_Table_1[[#This Row],[Current On-hand]]-AtlasReport_3_Table_1[[#This Row],[Trans backwords (Beginning)]]</f>
        <v>0</v>
      </c>
      <c r="H113" s="10">
        <f>AtlasReport_3_Table_1[[#This Row],[Current On-hand]]-AtlasReport_3_Table_1[[#This Row],[Trans backwords (Ending)]]</f>
        <v>0</v>
      </c>
    </row>
    <row r="114" spans="1:8" x14ac:dyDescent="0.25">
      <c r="A114" s="8" t="s">
        <v>68</v>
      </c>
      <c r="B114" s="8" t="s">
        <v>717</v>
      </c>
      <c r="C114" s="8" t="s">
        <v>718</v>
      </c>
      <c r="D114" s="10">
        <v>5788</v>
      </c>
      <c r="E114" s="10">
        <f>_xll.AtlasFormulas.AtlasFunctions.AtlasBalance("PROD",DataAreaId,"T.InventTrans|inventDimId~inventDimId@T.InventDim","Sum|Qty|0","","","","","","","DateFinancial|ItemId|T2.InventSiteId|T2.InventLocationId",PeriodBeginning,$A114,$B114,$C114)</f>
        <v>0</v>
      </c>
      <c r="F114" s="10">
        <f>_xll.AtlasFormulas.AtlasFunctions.AtlasBalance("PROD",DataAreaId,"T.InventTrans|inventDimId~inventDimId@T.InventDim","Sum|Qty|0","","","","","","","DateFinancial|ItemId|T2.InventSiteId|T2.InventLocationId",PeriodEnding,$A114,$B114,$C114)</f>
        <v>0</v>
      </c>
      <c r="G114" s="10">
        <f>AtlasReport_3_Table_1[[#This Row],[Current On-hand]]-AtlasReport_3_Table_1[[#This Row],[Trans backwords (Beginning)]]</f>
        <v>5788</v>
      </c>
      <c r="H114" s="10">
        <f>AtlasReport_3_Table_1[[#This Row],[Current On-hand]]-AtlasReport_3_Table_1[[#This Row],[Trans backwords (Ending)]]</f>
        <v>5788</v>
      </c>
    </row>
    <row r="115" spans="1:8" x14ac:dyDescent="0.25">
      <c r="A115" s="8" t="s">
        <v>52</v>
      </c>
      <c r="B115" s="8" t="s">
        <v>717</v>
      </c>
      <c r="C115" s="8" t="s">
        <v>73</v>
      </c>
      <c r="D115" s="10">
        <v>0</v>
      </c>
      <c r="E115" s="10">
        <f>_xll.AtlasFormulas.AtlasFunctions.AtlasBalance("PROD",DataAreaId,"T.InventTrans|inventDimId~inventDimId@T.InventDim","Sum|Qty|0","","","","","","","DateFinancial|ItemId|T2.InventSiteId|T2.InventLocationId",PeriodBeginning,$A115,$B115,$C115)</f>
        <v>0</v>
      </c>
      <c r="F115" s="10">
        <f>_xll.AtlasFormulas.AtlasFunctions.AtlasBalance("PROD",DataAreaId,"T.InventTrans|inventDimId~inventDimId@T.InventDim","Sum|Qty|0","","","","","","","DateFinancial|ItemId|T2.InventSiteId|T2.InventLocationId",PeriodEnding,$A115,$B115,$C115)</f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 x14ac:dyDescent="0.25">
      <c r="A116" s="8" t="s">
        <v>52</v>
      </c>
      <c r="B116" s="8" t="s">
        <v>717</v>
      </c>
      <c r="C116" s="8" t="s">
        <v>719</v>
      </c>
      <c r="D116" s="10">
        <v>0</v>
      </c>
      <c r="E116" s="10">
        <f>_xll.AtlasFormulas.AtlasFunctions.AtlasBalance("PROD",DataAreaId,"T.InventTrans|inventDimId~inventDimId@T.InventDim","Sum|Qty|0","","","","","","","DateFinancial|ItemId|T2.InventSiteId|T2.InventLocationId",PeriodBeginning,$A116,$B116,$C116)</f>
        <v>0</v>
      </c>
      <c r="F116" s="10">
        <f>_xll.AtlasFormulas.AtlasFunctions.AtlasBalance("PROD",DataAreaId,"T.InventTrans|inventDimId~inventDimId@T.InventDim","Sum|Qty|0","","","","","","","DateFinancial|ItemId|T2.InventSiteId|T2.InventLocationId",PeriodEnding,$A116,$B116,$C116)</f>
        <v>0</v>
      </c>
      <c r="G116" s="10">
        <f>AtlasReport_3_Table_1[[#This Row],[Current On-hand]]-AtlasReport_3_Table_1[[#This Row],[Trans backwords (Beginning)]]</f>
        <v>0</v>
      </c>
      <c r="H116" s="10">
        <f>AtlasReport_3_Table_1[[#This Row],[Current On-hand]]-AtlasReport_3_Table_1[[#This Row],[Trans backwords (Ending)]]</f>
        <v>0</v>
      </c>
    </row>
    <row r="117" spans="1:8" x14ac:dyDescent="0.25">
      <c r="A117" s="8" t="s">
        <v>52</v>
      </c>
      <c r="B117" s="8" t="s">
        <v>717</v>
      </c>
      <c r="C117" s="8" t="s">
        <v>718</v>
      </c>
      <c r="D117" s="10">
        <v>2744</v>
      </c>
      <c r="E117" s="10">
        <f>_xll.AtlasFormulas.AtlasFunctions.AtlasBalance("PROD",DataAreaId,"T.InventTrans|inventDimId~inventDimId@T.InventDim","Sum|Qty|0","","","","","","","DateFinancial|ItemId|T2.InventSiteId|T2.InventLocationId",PeriodBeginning,$A117,$B117,$C117)</f>
        <v>0</v>
      </c>
      <c r="F117" s="10">
        <f>_xll.AtlasFormulas.AtlasFunctions.AtlasBalance("PROD",DataAreaId,"T.InventTrans|inventDimId~inventDimId@T.InventDim","Sum|Qty|0","","","","","","","DateFinancial|ItemId|T2.InventSiteId|T2.InventLocationId",PeriodEnding,$A117,$B117,$C117)</f>
        <v>0</v>
      </c>
      <c r="G117" s="10">
        <f>AtlasReport_3_Table_1[[#This Row],[Current On-hand]]-AtlasReport_3_Table_1[[#This Row],[Trans backwords (Beginning)]]</f>
        <v>2744</v>
      </c>
      <c r="H117" s="10">
        <f>AtlasReport_3_Table_1[[#This Row],[Current On-hand]]-AtlasReport_3_Table_1[[#This Row],[Trans backwords (Ending)]]</f>
        <v>2744</v>
      </c>
    </row>
    <row r="118" spans="1:8" x14ac:dyDescent="0.25">
      <c r="A118" s="8" t="s">
        <v>52</v>
      </c>
      <c r="B118" s="8" t="s">
        <v>717</v>
      </c>
      <c r="C118" s="8" t="s">
        <v>759</v>
      </c>
      <c r="D118" s="10">
        <v>0</v>
      </c>
      <c r="E118" s="10">
        <f>_xll.AtlasFormulas.AtlasFunctions.AtlasBalance("PROD",DataAreaId,"T.InventTrans|inventDimId~inventDimId@T.InventDim","Sum|Qty|0","","","","","","","DateFinancial|ItemId|T2.InventSiteId|T2.InventLocationId",PeriodBeginning,$A118,$B118,$C118)</f>
        <v>0</v>
      </c>
      <c r="F118" s="10">
        <f>_xll.AtlasFormulas.AtlasFunctions.AtlasBalance("PROD",DataAreaId,"T.InventTrans|inventDimId~inventDimId@T.InventDim","Sum|Qty|0","","","","","","","DateFinancial|ItemId|T2.InventSiteId|T2.InventLocationId",PeriodEnding,$A118,$B118,$C118)</f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 x14ac:dyDescent="0.25">
      <c r="A119" s="8" t="s">
        <v>52</v>
      </c>
      <c r="B119" s="8" t="s">
        <v>717</v>
      </c>
      <c r="C119" s="8" t="s">
        <v>756</v>
      </c>
      <c r="D119" s="10">
        <v>0</v>
      </c>
      <c r="E119" s="10">
        <f>_xll.AtlasFormulas.AtlasFunctions.AtlasBalance("PROD",DataAreaId,"T.InventTrans|inventDimId~inventDimId@T.InventDim","Sum|Qty|0","","","","","","","DateFinancial|ItemId|T2.InventSiteId|T2.InventLocationId",PeriodBeginning,$A119,$B119,$C119)</f>
        <v>0</v>
      </c>
      <c r="F119" s="10">
        <f>_xll.AtlasFormulas.AtlasFunctions.AtlasBalance("PROD",DataAreaId,"T.InventTrans|inventDimId~inventDimId@T.InventDim","Sum|Qty|0","","","","","","","DateFinancial|ItemId|T2.InventSiteId|T2.InventLocationId",PeriodEnding,$A119,$B119,$C119)</f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0</v>
      </c>
    </row>
    <row r="120" spans="1:8" x14ac:dyDescent="0.25">
      <c r="A120" s="8" t="s">
        <v>103</v>
      </c>
      <c r="B120" s="8" t="s">
        <v>717</v>
      </c>
      <c r="C120" s="8" t="s">
        <v>73</v>
      </c>
      <c r="D120" s="10">
        <v>0</v>
      </c>
      <c r="E120" s="10">
        <f>_xll.AtlasFormulas.AtlasFunctions.AtlasBalance("PROD",DataAreaId,"T.InventTrans|inventDimId~inventDimId@T.InventDim","Sum|Qty|0","","","","","","","DateFinancial|ItemId|T2.InventSiteId|T2.InventLocationId",PeriodBeginning,$A120,$B120,$C120)</f>
        <v>0</v>
      </c>
      <c r="F120" s="10">
        <f>_xll.AtlasFormulas.AtlasFunctions.AtlasBalance("PROD",DataAreaId,"T.InventTrans|inventDimId~inventDimId@T.InventDim","Sum|Qty|0","","","","","","","DateFinancial|ItemId|T2.InventSiteId|T2.InventLocationId",PeriodEnding,$A120,$B120,$C120)</f>
        <v>0</v>
      </c>
      <c r="G120" s="10">
        <f>AtlasReport_3_Table_1[[#This Row],[Current On-hand]]-AtlasReport_3_Table_1[[#This Row],[Trans backwords (Beginning)]]</f>
        <v>0</v>
      </c>
      <c r="H120" s="10">
        <f>AtlasReport_3_Table_1[[#This Row],[Current On-hand]]-AtlasReport_3_Table_1[[#This Row],[Trans backwords (Ending)]]</f>
        <v>0</v>
      </c>
    </row>
    <row r="121" spans="1:8" x14ac:dyDescent="0.25">
      <c r="A121" s="8" t="s">
        <v>103</v>
      </c>
      <c r="B121" s="8" t="s">
        <v>717</v>
      </c>
      <c r="C121" s="8" t="s">
        <v>719</v>
      </c>
      <c r="D121" s="10">
        <v>0</v>
      </c>
      <c r="E121" s="10">
        <f>_xll.AtlasFormulas.AtlasFunctions.AtlasBalance("PROD",DataAreaId,"T.InventTrans|inventDimId~inventDimId@T.InventDim","Sum|Qty|0","","","","","","","DateFinancial|ItemId|T2.InventSiteId|T2.InventLocationId",PeriodBeginning,$A121,$B121,$C121)</f>
        <v>0</v>
      </c>
      <c r="F121" s="10">
        <f>_xll.AtlasFormulas.AtlasFunctions.AtlasBalance("PROD",DataAreaId,"T.InventTrans|inventDimId~inventDimId@T.InventDim","Sum|Qty|0","","","","","","","DateFinancial|ItemId|T2.InventSiteId|T2.InventLocationId",PeriodEnding,$A121,$B121,$C121)</f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0</v>
      </c>
    </row>
    <row r="122" spans="1:8" x14ac:dyDescent="0.25">
      <c r="A122" s="8" t="s">
        <v>103</v>
      </c>
      <c r="B122" s="8" t="s">
        <v>717</v>
      </c>
      <c r="C122" s="8" t="s">
        <v>718</v>
      </c>
      <c r="D122" s="10">
        <v>21165</v>
      </c>
      <c r="E122" s="10">
        <f>_xll.AtlasFormulas.AtlasFunctions.AtlasBalance("PROD",DataAreaId,"T.InventTrans|inventDimId~inventDimId@T.InventDim","Sum|Qty|0","","","","","","","DateFinancial|ItemId|T2.InventSiteId|T2.InventLocationId",PeriodBeginning,$A122,$B122,$C122)</f>
        <v>-4100</v>
      </c>
      <c r="F122" s="10">
        <f>_xll.AtlasFormulas.AtlasFunctions.AtlasBalance("PROD",DataAreaId,"T.InventTrans|inventDimId~inventDimId@T.InventDim","Sum|Qty|0","","","","","","","DateFinancial|ItemId|T2.InventSiteId|T2.InventLocationId",PeriodEnding,$A122,$B122,$C122)</f>
        <v>0</v>
      </c>
      <c r="G122" s="10">
        <f>AtlasReport_3_Table_1[[#This Row],[Current On-hand]]-AtlasReport_3_Table_1[[#This Row],[Trans backwords (Beginning)]]</f>
        <v>25265</v>
      </c>
      <c r="H122" s="10">
        <f>AtlasReport_3_Table_1[[#This Row],[Current On-hand]]-AtlasReport_3_Table_1[[#This Row],[Trans backwords (Ending)]]</f>
        <v>21165</v>
      </c>
    </row>
    <row r="123" spans="1:8" x14ac:dyDescent="0.25">
      <c r="A123" s="8" t="s">
        <v>103</v>
      </c>
      <c r="B123" s="8" t="s">
        <v>717</v>
      </c>
      <c r="C123" s="8" t="s">
        <v>759</v>
      </c>
      <c r="D123" s="10">
        <v>0</v>
      </c>
      <c r="E123" s="10">
        <f>_xll.AtlasFormulas.AtlasFunctions.AtlasBalance("PROD",DataAreaId,"T.InventTrans|inventDimId~inventDimId@T.InventDim","Sum|Qty|0","","","","","","","DateFinancial|ItemId|T2.InventSiteId|T2.InventLocationId",PeriodBeginning,$A123,$B123,$C123)</f>
        <v>0</v>
      </c>
      <c r="F123" s="10">
        <f>_xll.AtlasFormulas.AtlasFunctions.AtlasBalance("PROD",DataAreaId,"T.InventTrans|inventDimId~inventDimId@T.InventDim","Sum|Qty|0","","","","","","","DateFinancial|ItemId|T2.InventSiteId|T2.InventLocationId",PeriodEnding,$A123,$B123,$C123)</f>
        <v>0</v>
      </c>
      <c r="G123" s="10">
        <f>AtlasReport_3_Table_1[[#This Row],[Current On-hand]]-AtlasReport_3_Table_1[[#This Row],[Trans backwords (Beginning)]]</f>
        <v>0</v>
      </c>
      <c r="H123" s="10">
        <f>AtlasReport_3_Table_1[[#This Row],[Current On-hand]]-AtlasReport_3_Table_1[[#This Row],[Trans backwords (Ending)]]</f>
        <v>0</v>
      </c>
    </row>
    <row r="124" spans="1:8" x14ac:dyDescent="0.25">
      <c r="A124" s="8" t="s">
        <v>103</v>
      </c>
      <c r="B124" s="8" t="s">
        <v>717</v>
      </c>
      <c r="C124" s="8" t="s">
        <v>756</v>
      </c>
      <c r="D124" s="10">
        <v>0</v>
      </c>
      <c r="E124" s="10">
        <f>_xll.AtlasFormulas.AtlasFunctions.AtlasBalance("PROD",DataAreaId,"T.InventTrans|inventDimId~inventDimId@T.InventDim","Sum|Qty|0","","","","","","","DateFinancial|ItemId|T2.InventSiteId|T2.InventLocationId",PeriodBeginning,$A124,$B124,$C124)</f>
        <v>0</v>
      </c>
      <c r="F124" s="10">
        <f>_xll.AtlasFormulas.AtlasFunctions.AtlasBalance("PROD",DataAreaId,"T.InventTrans|inventDimId~inventDimId@T.InventDim","Sum|Qty|0","","","","","","","DateFinancial|ItemId|T2.InventSiteId|T2.InventLocationId",PeriodEnding,$A124,$B124,$C124)</f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25">
      <c r="A125" s="8" t="s">
        <v>53</v>
      </c>
      <c r="B125" s="8" t="s">
        <v>717</v>
      </c>
      <c r="C125" s="8" t="s">
        <v>73</v>
      </c>
      <c r="D125" s="10">
        <v>0</v>
      </c>
      <c r="E125" s="10">
        <f>_xll.AtlasFormulas.AtlasFunctions.AtlasBalance("PROD",DataAreaId,"T.InventTrans|inventDimId~inventDimId@T.InventDim","Sum|Qty|0","","","","","","","DateFinancial|ItemId|T2.InventSiteId|T2.InventLocationId",PeriodBeginning,$A125,$B125,$C125)</f>
        <v>0</v>
      </c>
      <c r="F125" s="10">
        <f>_xll.AtlasFormulas.AtlasFunctions.AtlasBalance("PROD",DataAreaId,"T.InventTrans|inventDimId~inventDimId@T.InventDim","Sum|Qty|0","","","","","","","DateFinancial|ItemId|T2.InventSiteId|T2.InventLocationId",PeriodEnding,$A125,$B125,$C125)</f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 x14ac:dyDescent="0.25">
      <c r="A126" s="8" t="s">
        <v>53</v>
      </c>
      <c r="B126" s="8" t="s">
        <v>717</v>
      </c>
      <c r="C126" s="8" t="s">
        <v>719</v>
      </c>
      <c r="D126" s="10">
        <v>8</v>
      </c>
      <c r="E126" s="10">
        <f>_xll.AtlasFormulas.AtlasFunctions.AtlasBalance("PROD",DataAreaId,"T.InventTrans|inventDimId~inventDimId@T.InventDim","Sum|Qty|0","","","","","","","DateFinancial|ItemId|T2.InventSiteId|T2.InventLocationId",PeriodBeginning,$A126,$B126,$C126)</f>
        <v>0</v>
      </c>
      <c r="F126" s="10">
        <f>_xll.AtlasFormulas.AtlasFunctions.AtlasBalance("PROD",DataAreaId,"T.InventTrans|inventDimId~inventDimId@T.InventDim","Sum|Qty|0","","","","","","","DateFinancial|ItemId|T2.InventSiteId|T2.InventLocationId",PeriodEnding,$A126,$B126,$C126)</f>
        <v>0</v>
      </c>
      <c r="G126" s="10">
        <f>AtlasReport_3_Table_1[[#This Row],[Current On-hand]]-AtlasReport_3_Table_1[[#This Row],[Trans backwords (Beginning)]]</f>
        <v>8</v>
      </c>
      <c r="H126" s="10">
        <f>AtlasReport_3_Table_1[[#This Row],[Current On-hand]]-AtlasReport_3_Table_1[[#This Row],[Trans backwords (Ending)]]</f>
        <v>8</v>
      </c>
    </row>
    <row r="127" spans="1:8" x14ac:dyDescent="0.25">
      <c r="A127" s="8" t="s">
        <v>53</v>
      </c>
      <c r="B127" s="8" t="s">
        <v>717</v>
      </c>
      <c r="C127" s="8" t="s">
        <v>718</v>
      </c>
      <c r="D127" s="10">
        <v>7620</v>
      </c>
      <c r="E127" s="10">
        <f>_xll.AtlasFormulas.AtlasFunctions.AtlasBalance("PROD",DataAreaId,"T.InventTrans|inventDimId~inventDimId@T.InventDim","Sum|Qty|0","","","","","","","DateFinancial|ItemId|T2.InventSiteId|T2.InventLocationId",PeriodBeginning,$A127,$B127,$C127)</f>
        <v>3620</v>
      </c>
      <c r="F127" s="10">
        <f>_xll.AtlasFormulas.AtlasFunctions.AtlasBalance("PROD",DataAreaId,"T.InventTrans|inventDimId~inventDimId@T.InventDim","Sum|Qty|0","","","","","","","DateFinancial|ItemId|T2.InventSiteId|T2.InventLocationId",PeriodEnding,$A127,$B127,$C127)</f>
        <v>0</v>
      </c>
      <c r="G127" s="10">
        <f>AtlasReport_3_Table_1[[#This Row],[Current On-hand]]-AtlasReport_3_Table_1[[#This Row],[Trans backwords (Beginning)]]</f>
        <v>4000</v>
      </c>
      <c r="H127" s="10">
        <f>AtlasReport_3_Table_1[[#This Row],[Current On-hand]]-AtlasReport_3_Table_1[[#This Row],[Trans backwords (Ending)]]</f>
        <v>7620</v>
      </c>
    </row>
    <row r="128" spans="1:8" x14ac:dyDescent="0.25">
      <c r="A128" s="8" t="s">
        <v>53</v>
      </c>
      <c r="B128" s="8" t="s">
        <v>717</v>
      </c>
      <c r="C128" s="8" t="s">
        <v>756</v>
      </c>
      <c r="D128" s="10">
        <v>0</v>
      </c>
      <c r="E128" s="10">
        <f>_xll.AtlasFormulas.AtlasFunctions.AtlasBalance("PROD",DataAreaId,"T.InventTrans|inventDimId~inventDimId@T.InventDim","Sum|Qty|0","","","","","","","DateFinancial|ItemId|T2.InventSiteId|T2.InventLocationId",PeriodBeginning,$A128,$B128,$C128)</f>
        <v>0</v>
      </c>
      <c r="F128" s="10">
        <f>_xll.AtlasFormulas.AtlasFunctions.AtlasBalance("PROD",DataAreaId,"T.InventTrans|inventDimId~inventDimId@T.InventDim","Sum|Qty|0","","","","","","","DateFinancial|ItemId|T2.InventSiteId|T2.InventLocationId",PeriodEnding,$A128,$B128,$C128)</f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 x14ac:dyDescent="0.25">
      <c r="A129" s="8" t="s">
        <v>54</v>
      </c>
      <c r="B129" s="8" t="s">
        <v>717</v>
      </c>
      <c r="C129" s="8" t="s">
        <v>73</v>
      </c>
      <c r="D129" s="10">
        <v>0</v>
      </c>
      <c r="E129" s="10">
        <f>_xll.AtlasFormulas.AtlasFunctions.AtlasBalance("PROD",DataAreaId,"T.InventTrans|inventDimId~inventDimId@T.InventDim","Sum|Qty|0","","","","","","","DateFinancial|ItemId|T2.InventSiteId|T2.InventLocationId",PeriodBeginning,$A129,$B129,$C129)</f>
        <v>0</v>
      </c>
      <c r="F129" s="10">
        <f>_xll.AtlasFormulas.AtlasFunctions.AtlasBalance("PROD",DataAreaId,"T.InventTrans|inventDimId~inventDimId@T.InventDim","Sum|Qty|0","","","","","","","DateFinancial|ItemId|T2.InventSiteId|T2.InventLocationId",PeriodEnding,$A129,$B129,$C129)</f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25">
      <c r="A130" s="8" t="s">
        <v>54</v>
      </c>
      <c r="B130" s="8" t="s">
        <v>717</v>
      </c>
      <c r="C130" s="8" t="s">
        <v>719</v>
      </c>
      <c r="D130" s="10">
        <v>0</v>
      </c>
      <c r="E130" s="10">
        <f>_xll.AtlasFormulas.AtlasFunctions.AtlasBalance("PROD",DataAreaId,"T.InventTrans|inventDimId~inventDimId@T.InventDim","Sum|Qty|0","","","","","","","DateFinancial|ItemId|T2.InventSiteId|T2.InventLocationId",PeriodBeginning,$A130,$B130,$C130)</f>
        <v>0</v>
      </c>
      <c r="F130" s="10">
        <f>_xll.AtlasFormulas.AtlasFunctions.AtlasBalance("PROD",DataAreaId,"T.InventTrans|inventDimId~inventDimId@T.InventDim","Sum|Qty|0","","","","","","","DateFinancial|ItemId|T2.InventSiteId|T2.InventLocationId",PeriodEnding,$A130,$B130,$C130)</f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0</v>
      </c>
    </row>
    <row r="131" spans="1:8" x14ac:dyDescent="0.25">
      <c r="A131" s="8" t="s">
        <v>54</v>
      </c>
      <c r="B131" s="8" t="s">
        <v>717</v>
      </c>
      <c r="C131" s="8" t="s">
        <v>718</v>
      </c>
      <c r="D131" s="10">
        <v>8387</v>
      </c>
      <c r="E131" s="10">
        <f>_xll.AtlasFormulas.AtlasFunctions.AtlasBalance("PROD",DataAreaId,"T.InventTrans|inventDimId~inventDimId@T.InventDim","Sum|Qty|0","","","","","","","DateFinancial|ItemId|T2.InventSiteId|T2.InventLocationId",PeriodBeginning,$A131,$B131,$C131)</f>
        <v>0</v>
      </c>
      <c r="F131" s="10">
        <f>_xll.AtlasFormulas.AtlasFunctions.AtlasBalance("PROD",DataAreaId,"T.InventTrans|inventDimId~inventDimId@T.InventDim","Sum|Qty|0","","","","","","","DateFinancial|ItemId|T2.InventSiteId|T2.InventLocationId",PeriodEnding,$A131,$B131,$C131)</f>
        <v>0</v>
      </c>
      <c r="G131" s="10">
        <f>AtlasReport_3_Table_1[[#This Row],[Current On-hand]]-AtlasReport_3_Table_1[[#This Row],[Trans backwords (Beginning)]]</f>
        <v>8387</v>
      </c>
      <c r="H131" s="10">
        <f>AtlasReport_3_Table_1[[#This Row],[Current On-hand]]-AtlasReport_3_Table_1[[#This Row],[Trans backwords (Ending)]]</f>
        <v>8387</v>
      </c>
    </row>
    <row r="132" spans="1:8" x14ac:dyDescent="0.25">
      <c r="A132" s="8" t="s">
        <v>54</v>
      </c>
      <c r="B132" s="8" t="s">
        <v>717</v>
      </c>
      <c r="C132" s="8" t="s">
        <v>759</v>
      </c>
      <c r="D132" s="10">
        <v>0</v>
      </c>
      <c r="E132" s="10">
        <f>_xll.AtlasFormulas.AtlasFunctions.AtlasBalance("PROD",DataAreaId,"T.InventTrans|inventDimId~inventDimId@T.InventDim","Sum|Qty|0","","","","","","","DateFinancial|ItemId|T2.InventSiteId|T2.InventLocationId",PeriodBeginning,$A132,$B132,$C132)</f>
        <v>0</v>
      </c>
      <c r="F132" s="10">
        <f>_xll.AtlasFormulas.AtlasFunctions.AtlasBalance("PROD",DataAreaId,"T.InventTrans|inventDimId~inventDimId@T.InventDim","Sum|Qty|0","","","","","","","DateFinancial|ItemId|T2.InventSiteId|T2.InventLocationId",PeriodEnding,$A132,$B132,$C132)</f>
        <v>0</v>
      </c>
      <c r="G132" s="10">
        <f>AtlasReport_3_Table_1[[#This Row],[Current On-hand]]-AtlasReport_3_Table_1[[#This Row],[Trans backwords (Beginning)]]</f>
        <v>0</v>
      </c>
      <c r="H132" s="10">
        <f>AtlasReport_3_Table_1[[#This Row],[Current On-hand]]-AtlasReport_3_Table_1[[#This Row],[Trans backwords (Ending)]]</f>
        <v>0</v>
      </c>
    </row>
    <row r="133" spans="1:8" x14ac:dyDescent="0.25">
      <c r="A133" s="8" t="s">
        <v>54</v>
      </c>
      <c r="B133" s="8" t="s">
        <v>717</v>
      </c>
      <c r="C133" s="8" t="s">
        <v>756</v>
      </c>
      <c r="D133" s="10">
        <v>0</v>
      </c>
      <c r="E133" s="10">
        <f>_xll.AtlasFormulas.AtlasFunctions.AtlasBalance("PROD",DataAreaId,"T.InventTrans|inventDimId~inventDimId@T.InventDim","Sum|Qty|0","","","","","","","DateFinancial|ItemId|T2.InventSiteId|T2.InventLocationId",PeriodBeginning,$A133,$B133,$C133)</f>
        <v>0</v>
      </c>
      <c r="F133" s="10">
        <f>_xll.AtlasFormulas.AtlasFunctions.AtlasBalance("PROD",DataAreaId,"T.InventTrans|inventDimId~inventDimId@T.InventDim","Sum|Qty|0","","","","","","","DateFinancial|ItemId|T2.InventSiteId|T2.InventLocationId",PeriodEnding,$A133,$B133,$C133)</f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 x14ac:dyDescent="0.25">
      <c r="A134" s="8" t="s">
        <v>89</v>
      </c>
      <c r="B134" s="8" t="s">
        <v>717</v>
      </c>
      <c r="C134" s="8" t="s">
        <v>73</v>
      </c>
      <c r="D134" s="10">
        <v>0</v>
      </c>
      <c r="E134" s="10">
        <f>_xll.AtlasFormulas.AtlasFunctions.AtlasBalance("PROD",DataAreaId,"T.InventTrans|inventDimId~inventDimId@T.InventDim","Sum|Qty|0","","","","","","","DateFinancial|ItemId|T2.InventSiteId|T2.InventLocationId",PeriodBeginning,$A134,$B134,$C134)</f>
        <v>0</v>
      </c>
      <c r="F134" s="10">
        <f>_xll.AtlasFormulas.AtlasFunctions.AtlasBalance("PROD",DataAreaId,"T.InventTrans|inventDimId~inventDimId@T.InventDim","Sum|Qty|0","","","","","","","DateFinancial|ItemId|T2.InventSiteId|T2.InventLocationId",PeriodEnding,$A134,$B134,$C134)</f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 x14ac:dyDescent="0.25">
      <c r="A135" s="8" t="s">
        <v>89</v>
      </c>
      <c r="B135" s="8" t="s">
        <v>717</v>
      </c>
      <c r="C135" s="8" t="s">
        <v>719</v>
      </c>
      <c r="D135" s="10">
        <v>0</v>
      </c>
      <c r="E135" s="10">
        <f>_xll.AtlasFormulas.AtlasFunctions.AtlasBalance("PROD",DataAreaId,"T.InventTrans|inventDimId~inventDimId@T.InventDim","Sum|Qty|0","","","","","","","DateFinancial|ItemId|T2.InventSiteId|T2.InventLocationId",PeriodBeginning,$A135,$B135,$C135)</f>
        <v>0</v>
      </c>
      <c r="F135" s="10">
        <f>_xll.AtlasFormulas.AtlasFunctions.AtlasBalance("PROD",DataAreaId,"T.InventTrans|inventDimId~inventDimId@T.InventDim","Sum|Qty|0","","","","","","","DateFinancial|ItemId|T2.InventSiteId|T2.InventLocationId",PeriodEnding,$A135,$B135,$C135)</f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0</v>
      </c>
    </row>
    <row r="136" spans="1:8" x14ac:dyDescent="0.25">
      <c r="A136" s="8" t="s">
        <v>89</v>
      </c>
      <c r="B136" s="8" t="s">
        <v>717</v>
      </c>
      <c r="C136" s="8" t="s">
        <v>718</v>
      </c>
      <c r="D136" s="10">
        <v>5571</v>
      </c>
      <c r="E136" s="10">
        <f>_xll.AtlasFormulas.AtlasFunctions.AtlasBalance("PROD",DataAreaId,"T.InventTrans|inventDimId~inventDimId@T.InventDim","Sum|Qty|0","","","","","","","DateFinancial|ItemId|T2.InventSiteId|T2.InventLocationId",PeriodBeginning,$A136,$B136,$C136)</f>
        <v>-1050</v>
      </c>
      <c r="F136" s="10">
        <f>_xll.AtlasFormulas.AtlasFunctions.AtlasBalance("PROD",DataAreaId,"T.InventTrans|inventDimId~inventDimId@T.InventDim","Sum|Qty|0","","","","","","","DateFinancial|ItemId|T2.InventSiteId|T2.InventLocationId",PeriodEnding,$A136,$B136,$C136)</f>
        <v>0</v>
      </c>
      <c r="G136" s="10">
        <f>AtlasReport_3_Table_1[[#This Row],[Current On-hand]]-AtlasReport_3_Table_1[[#This Row],[Trans backwords (Beginning)]]</f>
        <v>6621</v>
      </c>
      <c r="H136" s="10">
        <f>AtlasReport_3_Table_1[[#This Row],[Current On-hand]]-AtlasReport_3_Table_1[[#This Row],[Trans backwords (Ending)]]</f>
        <v>5571</v>
      </c>
    </row>
    <row r="137" spans="1:8" x14ac:dyDescent="0.25">
      <c r="A137" s="8" t="s">
        <v>89</v>
      </c>
      <c r="B137" s="8" t="s">
        <v>717</v>
      </c>
      <c r="C137" s="8" t="s">
        <v>756</v>
      </c>
      <c r="D137" s="10">
        <v>0</v>
      </c>
      <c r="E137" s="10">
        <f>_xll.AtlasFormulas.AtlasFunctions.AtlasBalance("PROD",DataAreaId,"T.InventTrans|inventDimId~inventDimId@T.InventDim","Sum|Qty|0","","","","","","","DateFinancial|ItemId|T2.InventSiteId|T2.InventLocationId",PeriodBeginning,$A137,$B137,$C137)</f>
        <v>0</v>
      </c>
      <c r="F137" s="10">
        <f>_xll.AtlasFormulas.AtlasFunctions.AtlasBalance("PROD",DataAreaId,"T.InventTrans|inventDimId~inventDimId@T.InventDim","Sum|Qty|0","","","","","","","DateFinancial|ItemId|T2.InventSiteId|T2.InventLocationId",PeriodEnding,$A137,$B137,$C137)</f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0</v>
      </c>
    </row>
    <row r="138" spans="1:8" x14ac:dyDescent="0.25">
      <c r="A138" s="8" t="s">
        <v>26</v>
      </c>
      <c r="B138" s="8" t="s">
        <v>717</v>
      </c>
      <c r="C138" s="8" t="s">
        <v>73</v>
      </c>
      <c r="D138" s="10">
        <v>0</v>
      </c>
      <c r="E138" s="10">
        <f>_xll.AtlasFormulas.AtlasFunctions.AtlasBalance("PROD",DataAreaId,"T.InventTrans|inventDimId~inventDimId@T.InventDim","Sum|Qty|0","","","","","","","DateFinancial|ItemId|T2.InventSiteId|T2.InventLocationId",PeriodBeginning,$A138,$B138,$C138)</f>
        <v>0</v>
      </c>
      <c r="F138" s="10">
        <f>_xll.AtlasFormulas.AtlasFunctions.AtlasBalance("PROD",DataAreaId,"T.InventTrans|inventDimId~inventDimId@T.InventDim","Sum|Qty|0","","","","","","","DateFinancial|ItemId|T2.InventSiteId|T2.InventLocationId",PeriodEnding,$A138,$B138,$C138)</f>
        <v>0</v>
      </c>
      <c r="G138" s="10">
        <f>AtlasReport_3_Table_1[[#This Row],[Current On-hand]]-AtlasReport_3_Table_1[[#This Row],[Trans backwords (Beginning)]]</f>
        <v>0</v>
      </c>
      <c r="H138" s="10">
        <f>AtlasReport_3_Table_1[[#This Row],[Current On-hand]]-AtlasReport_3_Table_1[[#This Row],[Trans backwords (Ending)]]</f>
        <v>0</v>
      </c>
    </row>
    <row r="139" spans="1:8" x14ac:dyDescent="0.25">
      <c r="A139" s="8" t="s">
        <v>26</v>
      </c>
      <c r="B139" s="8" t="s">
        <v>717</v>
      </c>
      <c r="C139" s="8" t="s">
        <v>719</v>
      </c>
      <c r="D139" s="10">
        <v>0</v>
      </c>
      <c r="E139" s="10">
        <f>_xll.AtlasFormulas.AtlasFunctions.AtlasBalance("PROD",DataAreaId,"T.InventTrans|inventDimId~inventDimId@T.InventDim","Sum|Qty|0","","","","","","","DateFinancial|ItemId|T2.InventSiteId|T2.InventLocationId",PeriodBeginning,$A139,$B139,$C139)</f>
        <v>0</v>
      </c>
      <c r="F139" s="10">
        <f>_xll.AtlasFormulas.AtlasFunctions.AtlasBalance("PROD",DataAreaId,"T.InventTrans|inventDimId~inventDimId@T.InventDim","Sum|Qty|0","","","","","","","DateFinancial|ItemId|T2.InventSiteId|T2.InventLocationId",PeriodEnding,$A139,$B139,$C139)</f>
        <v>0</v>
      </c>
      <c r="G139" s="10">
        <f>AtlasReport_3_Table_1[[#This Row],[Current On-hand]]-AtlasReport_3_Table_1[[#This Row],[Trans backwords (Beginning)]]</f>
        <v>0</v>
      </c>
      <c r="H139" s="10">
        <f>AtlasReport_3_Table_1[[#This Row],[Current On-hand]]-AtlasReport_3_Table_1[[#This Row],[Trans backwords (Ending)]]</f>
        <v>0</v>
      </c>
    </row>
    <row r="140" spans="1:8" x14ac:dyDescent="0.25">
      <c r="A140" s="8" t="s">
        <v>26</v>
      </c>
      <c r="B140" s="8" t="s">
        <v>717</v>
      </c>
      <c r="C140" s="8" t="s">
        <v>718</v>
      </c>
      <c r="D140" s="10">
        <v>3427</v>
      </c>
      <c r="E140" s="10">
        <f>_xll.AtlasFormulas.AtlasFunctions.AtlasBalance("PROD",DataAreaId,"T.InventTrans|inventDimId~inventDimId@T.InventDim","Sum|Qty|0","","","","","","","DateFinancial|ItemId|T2.InventSiteId|T2.InventLocationId",PeriodBeginning,$A140,$B140,$C140)</f>
        <v>0</v>
      </c>
      <c r="F140" s="10">
        <f>_xll.AtlasFormulas.AtlasFunctions.AtlasBalance("PROD",DataAreaId,"T.InventTrans|inventDimId~inventDimId@T.InventDim","Sum|Qty|0","","","","","","","DateFinancial|ItemId|T2.InventSiteId|T2.InventLocationId",PeriodEnding,$A140,$B140,$C140)</f>
        <v>0</v>
      </c>
      <c r="G140" s="10">
        <f>AtlasReport_3_Table_1[[#This Row],[Current On-hand]]-AtlasReport_3_Table_1[[#This Row],[Trans backwords (Beginning)]]</f>
        <v>3427</v>
      </c>
      <c r="H140" s="10">
        <f>AtlasReport_3_Table_1[[#This Row],[Current On-hand]]-AtlasReport_3_Table_1[[#This Row],[Trans backwords (Ending)]]</f>
        <v>3427</v>
      </c>
    </row>
    <row r="141" spans="1:8" x14ac:dyDescent="0.25">
      <c r="A141" s="8" t="s">
        <v>26</v>
      </c>
      <c r="B141" s="8" t="s">
        <v>717</v>
      </c>
      <c r="C141" s="8" t="s">
        <v>759</v>
      </c>
      <c r="D141" s="10">
        <v>0</v>
      </c>
      <c r="E141" s="10">
        <f>_xll.AtlasFormulas.AtlasFunctions.AtlasBalance("PROD",DataAreaId,"T.InventTrans|inventDimId~inventDimId@T.InventDim","Sum|Qty|0","","","","","","","DateFinancial|ItemId|T2.InventSiteId|T2.InventLocationId",PeriodBeginning,$A141,$B141,$C141)</f>
        <v>0</v>
      </c>
      <c r="F141" s="10">
        <f>_xll.AtlasFormulas.AtlasFunctions.AtlasBalance("PROD",DataAreaId,"T.InventTrans|inventDimId~inventDimId@T.InventDim","Sum|Qty|0","","","","","","","DateFinancial|ItemId|T2.InventSiteId|T2.InventLocationId",PeriodEnding,$A141,$B141,$C141)</f>
        <v>0</v>
      </c>
      <c r="G141" s="10">
        <f>AtlasReport_3_Table_1[[#This Row],[Current On-hand]]-AtlasReport_3_Table_1[[#This Row],[Trans backwords (Beginning)]]</f>
        <v>0</v>
      </c>
      <c r="H141" s="10">
        <f>AtlasReport_3_Table_1[[#This Row],[Current On-hand]]-AtlasReport_3_Table_1[[#This Row],[Trans backwords (Ending)]]</f>
        <v>0</v>
      </c>
    </row>
    <row r="142" spans="1:8" x14ac:dyDescent="0.25">
      <c r="A142" s="8" t="s">
        <v>26</v>
      </c>
      <c r="B142" s="8" t="s">
        <v>717</v>
      </c>
      <c r="C142" s="8" t="s">
        <v>756</v>
      </c>
      <c r="D142" s="10">
        <v>0</v>
      </c>
      <c r="E142" s="10">
        <f>_xll.AtlasFormulas.AtlasFunctions.AtlasBalance("PROD",DataAreaId,"T.InventTrans|inventDimId~inventDimId@T.InventDim","Sum|Qty|0","","","","","","","DateFinancial|ItemId|T2.InventSiteId|T2.InventLocationId",PeriodBeginning,$A142,$B142,$C142)</f>
        <v>0</v>
      </c>
      <c r="F142" s="10">
        <f>_xll.AtlasFormulas.AtlasFunctions.AtlasBalance("PROD",DataAreaId,"T.InventTrans|inventDimId~inventDimId@T.InventDim","Sum|Qty|0","","","","","","","DateFinancial|ItemId|T2.InventSiteId|T2.InventLocationId",PeriodEnding,$A142,$B142,$C142)</f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25">
      <c r="A143" s="8" t="s">
        <v>112</v>
      </c>
      <c r="B143" s="8" t="s">
        <v>717</v>
      </c>
      <c r="C143" s="8" t="s">
        <v>73</v>
      </c>
      <c r="D143" s="10">
        <v>0</v>
      </c>
      <c r="E143" s="10">
        <f>_xll.AtlasFormulas.AtlasFunctions.AtlasBalance("PROD",DataAreaId,"T.InventTrans|inventDimId~inventDimId@T.InventDim","Sum|Qty|0","","","","","","","DateFinancial|ItemId|T2.InventSiteId|T2.InventLocationId",PeriodBeginning,$A143,$B143,$C143)</f>
        <v>0</v>
      </c>
      <c r="F143" s="10">
        <f>_xll.AtlasFormulas.AtlasFunctions.AtlasBalance("PROD",DataAreaId,"T.InventTrans|inventDimId~inventDimId@T.InventDim","Sum|Qty|0","","","","","","","DateFinancial|ItemId|T2.InventSiteId|T2.InventLocationId",PeriodEnding,$A143,$B143,$C143)</f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0</v>
      </c>
    </row>
    <row r="144" spans="1:8" x14ac:dyDescent="0.25">
      <c r="A144" s="8" t="s">
        <v>112</v>
      </c>
      <c r="B144" s="8" t="s">
        <v>717</v>
      </c>
      <c r="C144" s="8" t="s">
        <v>719</v>
      </c>
      <c r="D144" s="10">
        <v>0</v>
      </c>
      <c r="E144" s="10">
        <f>_xll.AtlasFormulas.AtlasFunctions.AtlasBalance("PROD",DataAreaId,"T.InventTrans|inventDimId~inventDimId@T.InventDim","Sum|Qty|0","","","","","","","DateFinancial|ItemId|T2.InventSiteId|T2.InventLocationId",PeriodBeginning,$A144,$B144,$C144)</f>
        <v>0</v>
      </c>
      <c r="F144" s="10">
        <f>_xll.AtlasFormulas.AtlasFunctions.AtlasBalance("PROD",DataAreaId,"T.InventTrans|inventDimId~inventDimId@T.InventDim","Sum|Qty|0","","","","","","","DateFinancial|ItemId|T2.InventSiteId|T2.InventLocationId",PeriodEnding,$A144,$B144,$C144)</f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 x14ac:dyDescent="0.25">
      <c r="A145" s="8" t="s">
        <v>112</v>
      </c>
      <c r="B145" s="8" t="s">
        <v>717</v>
      </c>
      <c r="C145" s="8" t="s">
        <v>718</v>
      </c>
      <c r="D145" s="10">
        <v>4480</v>
      </c>
      <c r="E145" s="10">
        <f>_xll.AtlasFormulas.AtlasFunctions.AtlasBalance("PROD",DataAreaId,"T.InventTrans|inventDimId~inventDimId@T.InventDim","Sum|Qty|0","","","","","","","DateFinancial|ItemId|T2.InventSiteId|T2.InventLocationId",PeriodBeginning,$A145,$B145,$C145)</f>
        <v>-450</v>
      </c>
      <c r="F145" s="10">
        <f>_xll.AtlasFormulas.AtlasFunctions.AtlasBalance("PROD",DataAreaId,"T.InventTrans|inventDimId~inventDimId@T.InventDim","Sum|Qty|0","","","","","","","DateFinancial|ItemId|T2.InventSiteId|T2.InventLocationId",PeriodEnding,$A145,$B145,$C145)</f>
        <v>0</v>
      </c>
      <c r="G145" s="10">
        <f>AtlasReport_3_Table_1[[#This Row],[Current On-hand]]-AtlasReport_3_Table_1[[#This Row],[Trans backwords (Beginning)]]</f>
        <v>4930</v>
      </c>
      <c r="H145" s="10">
        <f>AtlasReport_3_Table_1[[#This Row],[Current On-hand]]-AtlasReport_3_Table_1[[#This Row],[Trans backwords (Ending)]]</f>
        <v>4480</v>
      </c>
    </row>
    <row r="146" spans="1:8" x14ac:dyDescent="0.25">
      <c r="A146" s="8" t="s">
        <v>98</v>
      </c>
      <c r="B146" s="8" t="s">
        <v>717</v>
      </c>
      <c r="C146" s="8" t="s">
        <v>73</v>
      </c>
      <c r="D146" s="10">
        <v>0</v>
      </c>
      <c r="E146" s="10">
        <f>_xll.AtlasFormulas.AtlasFunctions.AtlasBalance("PROD",DataAreaId,"T.InventTrans|inventDimId~inventDimId@T.InventDim","Sum|Qty|0","","","","","","","DateFinancial|ItemId|T2.InventSiteId|T2.InventLocationId",PeriodBeginning,$A146,$B146,$C146)</f>
        <v>0</v>
      </c>
      <c r="F146" s="10">
        <f>_xll.AtlasFormulas.AtlasFunctions.AtlasBalance("PROD",DataAreaId,"T.InventTrans|inventDimId~inventDimId@T.InventDim","Sum|Qty|0","","","","","","","DateFinancial|ItemId|T2.InventSiteId|T2.InventLocationId",PeriodEnding,$A146,$B146,$C146)</f>
        <v>0</v>
      </c>
      <c r="G146" s="10">
        <f>AtlasReport_3_Table_1[[#This Row],[Current On-hand]]-AtlasReport_3_Table_1[[#This Row],[Trans backwords (Beginning)]]</f>
        <v>0</v>
      </c>
      <c r="H146" s="10">
        <f>AtlasReport_3_Table_1[[#This Row],[Current On-hand]]-AtlasReport_3_Table_1[[#This Row],[Trans backwords (Ending)]]</f>
        <v>0</v>
      </c>
    </row>
    <row r="147" spans="1:8" x14ac:dyDescent="0.25">
      <c r="A147" s="8" t="s">
        <v>98</v>
      </c>
      <c r="B147" s="8" t="s">
        <v>717</v>
      </c>
      <c r="C147" s="8" t="s">
        <v>719</v>
      </c>
      <c r="D147" s="10">
        <v>0</v>
      </c>
      <c r="E147" s="10">
        <f>_xll.AtlasFormulas.AtlasFunctions.AtlasBalance("PROD",DataAreaId,"T.InventTrans|inventDimId~inventDimId@T.InventDim","Sum|Qty|0","","","","","","","DateFinancial|ItemId|T2.InventSiteId|T2.InventLocationId",PeriodBeginning,$A147,$B147,$C147)</f>
        <v>0</v>
      </c>
      <c r="F147" s="10">
        <f>_xll.AtlasFormulas.AtlasFunctions.AtlasBalance("PROD",DataAreaId,"T.InventTrans|inventDimId~inventDimId@T.InventDim","Sum|Qty|0","","","","","","","DateFinancial|ItemId|T2.InventSiteId|T2.InventLocationId",PeriodEnding,$A147,$B147,$C147)</f>
        <v>0</v>
      </c>
      <c r="G147" s="10">
        <f>AtlasReport_3_Table_1[[#This Row],[Current On-hand]]-AtlasReport_3_Table_1[[#This Row],[Trans backwords (Beginning)]]</f>
        <v>0</v>
      </c>
      <c r="H147" s="10">
        <f>AtlasReport_3_Table_1[[#This Row],[Current On-hand]]-AtlasReport_3_Table_1[[#This Row],[Trans backwords (Ending)]]</f>
        <v>0</v>
      </c>
    </row>
    <row r="148" spans="1:8" x14ac:dyDescent="0.25">
      <c r="A148" s="8" t="s">
        <v>98</v>
      </c>
      <c r="B148" s="8" t="s">
        <v>717</v>
      </c>
      <c r="C148" s="8" t="s">
        <v>718</v>
      </c>
      <c r="D148" s="10">
        <v>11886</v>
      </c>
      <c r="E148" s="10">
        <f>_xll.AtlasFormulas.AtlasFunctions.AtlasBalance("PROD",DataAreaId,"T.InventTrans|inventDimId~inventDimId@T.InventDim","Sum|Qty|0","","","","","","","DateFinancial|ItemId|T2.InventSiteId|T2.InventLocationId",PeriodBeginning,$A148,$B148,$C148)</f>
        <v>2850</v>
      </c>
      <c r="F148" s="10">
        <f>_xll.AtlasFormulas.AtlasFunctions.AtlasBalance("PROD",DataAreaId,"T.InventTrans|inventDimId~inventDimId@T.InventDim","Sum|Qty|0","","","","","","","DateFinancial|ItemId|T2.InventSiteId|T2.InventLocationId",PeriodEnding,$A148,$B148,$C148)</f>
        <v>0</v>
      </c>
      <c r="G148" s="10">
        <f>AtlasReport_3_Table_1[[#This Row],[Current On-hand]]-AtlasReport_3_Table_1[[#This Row],[Trans backwords (Beginning)]]</f>
        <v>9036</v>
      </c>
      <c r="H148" s="10">
        <f>AtlasReport_3_Table_1[[#This Row],[Current On-hand]]-AtlasReport_3_Table_1[[#This Row],[Trans backwords (Ending)]]</f>
        <v>11886</v>
      </c>
    </row>
    <row r="149" spans="1:8" x14ac:dyDescent="0.25">
      <c r="A149" s="8" t="s">
        <v>98</v>
      </c>
      <c r="B149" s="8" t="s">
        <v>717</v>
      </c>
      <c r="C149" s="8" t="s">
        <v>756</v>
      </c>
      <c r="D149" s="10">
        <v>0</v>
      </c>
      <c r="E149" s="10">
        <f>_xll.AtlasFormulas.AtlasFunctions.AtlasBalance("PROD",DataAreaId,"T.InventTrans|inventDimId~inventDimId@T.InventDim","Sum|Qty|0","","","","","","","DateFinancial|ItemId|T2.InventSiteId|T2.InventLocationId",PeriodBeginning,$A149,$B149,$C149)</f>
        <v>0</v>
      </c>
      <c r="F149" s="10">
        <f>_xll.AtlasFormulas.AtlasFunctions.AtlasBalance("PROD",DataAreaId,"T.InventTrans|inventDimId~inventDimId@T.InventDim","Sum|Qty|0","","","","","","","DateFinancial|ItemId|T2.InventSiteId|T2.InventLocationId",PeriodEnding,$A149,$B149,$C149)</f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25">
      <c r="A150" s="8" t="s">
        <v>55</v>
      </c>
      <c r="B150" s="8" t="s">
        <v>717</v>
      </c>
      <c r="C150" s="8" t="s">
        <v>73</v>
      </c>
      <c r="D150" s="10">
        <v>0</v>
      </c>
      <c r="E150" s="10">
        <f>_xll.AtlasFormulas.AtlasFunctions.AtlasBalance("PROD",DataAreaId,"T.InventTrans|inventDimId~inventDimId@T.InventDim","Sum|Qty|0","","","","","","","DateFinancial|ItemId|T2.InventSiteId|T2.InventLocationId",PeriodBeginning,$A150,$B150,$C150)</f>
        <v>0</v>
      </c>
      <c r="F150" s="10">
        <f>_xll.AtlasFormulas.AtlasFunctions.AtlasBalance("PROD",DataAreaId,"T.InventTrans|inventDimId~inventDimId@T.InventDim","Sum|Qty|0","","","","","","","DateFinancial|ItemId|T2.InventSiteId|T2.InventLocationId",PeriodEnding,$A150,$B150,$C150)</f>
        <v>0</v>
      </c>
      <c r="G150" s="10">
        <f>AtlasReport_3_Table_1[[#This Row],[Current On-hand]]-AtlasReport_3_Table_1[[#This Row],[Trans backwords (Beginning)]]</f>
        <v>0</v>
      </c>
      <c r="H150" s="10">
        <f>AtlasReport_3_Table_1[[#This Row],[Current On-hand]]-AtlasReport_3_Table_1[[#This Row],[Trans backwords (Ending)]]</f>
        <v>0</v>
      </c>
    </row>
    <row r="151" spans="1:8" x14ac:dyDescent="0.25">
      <c r="A151" s="8" t="s">
        <v>55</v>
      </c>
      <c r="B151" s="8" t="s">
        <v>717</v>
      </c>
      <c r="C151" s="8" t="s">
        <v>719</v>
      </c>
      <c r="D151" s="10">
        <v>450</v>
      </c>
      <c r="E151" s="10">
        <f>_xll.AtlasFormulas.AtlasFunctions.AtlasBalance("PROD",DataAreaId,"T.InventTrans|inventDimId~inventDimId@T.InventDim","Sum|Qty|0","","","","","","","DateFinancial|ItemId|T2.InventSiteId|T2.InventLocationId",PeriodBeginning,$A151,$B151,$C151)</f>
        <v>0</v>
      </c>
      <c r="F151" s="10">
        <f>_xll.AtlasFormulas.AtlasFunctions.AtlasBalance("PROD",DataAreaId,"T.InventTrans|inventDimId~inventDimId@T.InventDim","Sum|Qty|0","","","","","","","DateFinancial|ItemId|T2.InventSiteId|T2.InventLocationId",PeriodEnding,$A151,$B151,$C151)</f>
        <v>0</v>
      </c>
      <c r="G151" s="10">
        <f>AtlasReport_3_Table_1[[#This Row],[Current On-hand]]-AtlasReport_3_Table_1[[#This Row],[Trans backwords (Beginning)]]</f>
        <v>450</v>
      </c>
      <c r="H151" s="10">
        <f>AtlasReport_3_Table_1[[#This Row],[Current On-hand]]-AtlasReport_3_Table_1[[#This Row],[Trans backwords (Ending)]]</f>
        <v>450</v>
      </c>
    </row>
    <row r="152" spans="1:8" x14ac:dyDescent="0.25">
      <c r="A152" s="8" t="s">
        <v>55</v>
      </c>
      <c r="B152" s="8" t="s">
        <v>717</v>
      </c>
      <c r="C152" s="8" t="s">
        <v>718</v>
      </c>
      <c r="D152" s="10">
        <v>3224</v>
      </c>
      <c r="E152" s="10">
        <f>_xll.AtlasFormulas.AtlasFunctions.AtlasBalance("PROD",DataAreaId,"T.InventTrans|inventDimId~inventDimId@T.InventDim","Sum|Qty|0","","","","","","","DateFinancial|ItemId|T2.InventSiteId|T2.InventLocationId",PeriodBeginning,$A152,$B152,$C152)</f>
        <v>-1200</v>
      </c>
      <c r="F152" s="10">
        <f>_xll.AtlasFormulas.AtlasFunctions.AtlasBalance("PROD",DataAreaId,"T.InventTrans|inventDimId~inventDimId@T.InventDim","Sum|Qty|0","","","","","","","DateFinancial|ItemId|T2.InventSiteId|T2.InventLocationId",PeriodEnding,$A152,$B152,$C152)</f>
        <v>0</v>
      </c>
      <c r="G152" s="10">
        <f>AtlasReport_3_Table_1[[#This Row],[Current On-hand]]-AtlasReport_3_Table_1[[#This Row],[Trans backwords (Beginning)]]</f>
        <v>4424</v>
      </c>
      <c r="H152" s="10">
        <f>AtlasReport_3_Table_1[[#This Row],[Current On-hand]]-AtlasReport_3_Table_1[[#This Row],[Trans backwords (Ending)]]</f>
        <v>3224</v>
      </c>
    </row>
    <row r="153" spans="1:8" x14ac:dyDescent="0.25">
      <c r="A153" s="8" t="s">
        <v>55</v>
      </c>
      <c r="B153" s="8" t="s">
        <v>717</v>
      </c>
      <c r="C153" s="8" t="s">
        <v>756</v>
      </c>
      <c r="D153" s="10">
        <v>0</v>
      </c>
      <c r="E153" s="10">
        <f>_xll.AtlasFormulas.AtlasFunctions.AtlasBalance("PROD",DataAreaId,"T.InventTrans|inventDimId~inventDimId@T.InventDim","Sum|Qty|0","","","","","","","DateFinancial|ItemId|T2.InventSiteId|T2.InventLocationId",PeriodBeginning,$A153,$B153,$C153)</f>
        <v>0</v>
      </c>
      <c r="F153" s="10">
        <f>_xll.AtlasFormulas.AtlasFunctions.AtlasBalance("PROD",DataAreaId,"T.InventTrans|inventDimId~inventDimId@T.InventDim","Sum|Qty|0","","","","","","","DateFinancial|ItemId|T2.InventSiteId|T2.InventLocationId",PeriodEnding,$A153,$B153,$C153)</f>
        <v>0</v>
      </c>
      <c r="G153" s="10">
        <f>AtlasReport_3_Table_1[[#This Row],[Current On-hand]]-AtlasReport_3_Table_1[[#This Row],[Trans backwords (Beginning)]]</f>
        <v>0</v>
      </c>
      <c r="H153" s="10">
        <f>AtlasReport_3_Table_1[[#This Row],[Current On-hand]]-AtlasReport_3_Table_1[[#This Row],[Trans backwords (Ending)]]</f>
        <v>0</v>
      </c>
    </row>
    <row r="154" spans="1:8" x14ac:dyDescent="0.25">
      <c r="A154" s="8" t="s">
        <v>91</v>
      </c>
      <c r="B154" s="8" t="s">
        <v>717</v>
      </c>
      <c r="C154" s="8" t="s">
        <v>73</v>
      </c>
      <c r="D154" s="10">
        <v>0</v>
      </c>
      <c r="E154" s="10">
        <f>_xll.AtlasFormulas.AtlasFunctions.AtlasBalance("PROD",DataAreaId,"T.InventTrans|inventDimId~inventDimId@T.InventDim","Sum|Qty|0","","","","","","","DateFinancial|ItemId|T2.InventSiteId|T2.InventLocationId",PeriodBeginning,$A154,$B154,$C154)</f>
        <v>0</v>
      </c>
      <c r="F154" s="10">
        <f>_xll.AtlasFormulas.AtlasFunctions.AtlasBalance("PROD",DataAreaId,"T.InventTrans|inventDimId~inventDimId@T.InventDim","Sum|Qty|0","","","","","","","DateFinancial|ItemId|T2.InventSiteId|T2.InventLocationId",PeriodEnding,$A154,$B154,$C154)</f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0</v>
      </c>
    </row>
    <row r="155" spans="1:8" x14ac:dyDescent="0.25">
      <c r="A155" s="8" t="s">
        <v>91</v>
      </c>
      <c r="B155" s="8" t="s">
        <v>717</v>
      </c>
      <c r="C155" s="8" t="s">
        <v>719</v>
      </c>
      <c r="D155" s="10">
        <v>0</v>
      </c>
      <c r="E155" s="10">
        <f>_xll.AtlasFormulas.AtlasFunctions.AtlasBalance("PROD",DataAreaId,"T.InventTrans|inventDimId~inventDimId@T.InventDim","Sum|Qty|0","","","","","","","DateFinancial|ItemId|T2.InventSiteId|T2.InventLocationId",PeriodBeginning,$A155,$B155,$C155)</f>
        <v>0</v>
      </c>
      <c r="F155" s="10">
        <f>_xll.AtlasFormulas.AtlasFunctions.AtlasBalance("PROD",DataAreaId,"T.InventTrans|inventDimId~inventDimId@T.InventDim","Sum|Qty|0","","","","","","","DateFinancial|ItemId|T2.InventSiteId|T2.InventLocationId",PeriodEnding,$A155,$B155,$C155)</f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 x14ac:dyDescent="0.25">
      <c r="A156" s="8" t="s">
        <v>91</v>
      </c>
      <c r="B156" s="8" t="s">
        <v>717</v>
      </c>
      <c r="C156" s="8" t="s">
        <v>718</v>
      </c>
      <c r="D156" s="10">
        <v>1002</v>
      </c>
      <c r="E156" s="10">
        <f>_xll.AtlasFormulas.AtlasFunctions.AtlasBalance("PROD",DataAreaId,"T.InventTrans|inventDimId~inventDimId@T.InventDim","Sum|Qty|0","","","","","","","DateFinancial|ItemId|T2.InventSiteId|T2.InventLocationId",PeriodBeginning,$A156,$B156,$C156)</f>
        <v>0</v>
      </c>
      <c r="F156" s="10">
        <f>_xll.AtlasFormulas.AtlasFunctions.AtlasBalance("PROD",DataAreaId,"T.InventTrans|inventDimId~inventDimId@T.InventDim","Sum|Qty|0","","","","","","","DateFinancial|ItemId|T2.InventSiteId|T2.InventLocationId",PeriodEnding,$A156,$B156,$C156)</f>
        <v>0</v>
      </c>
      <c r="G156" s="10">
        <f>AtlasReport_3_Table_1[[#This Row],[Current On-hand]]-AtlasReport_3_Table_1[[#This Row],[Trans backwords (Beginning)]]</f>
        <v>1002</v>
      </c>
      <c r="H156" s="10">
        <f>AtlasReport_3_Table_1[[#This Row],[Current On-hand]]-AtlasReport_3_Table_1[[#This Row],[Trans backwords (Ending)]]</f>
        <v>1002</v>
      </c>
    </row>
    <row r="157" spans="1:8" x14ac:dyDescent="0.25">
      <c r="A157" s="8" t="s">
        <v>56</v>
      </c>
      <c r="B157" s="8" t="s">
        <v>717</v>
      </c>
      <c r="C157" s="8" t="s">
        <v>73</v>
      </c>
      <c r="D157" s="10">
        <v>0</v>
      </c>
      <c r="E157" s="10">
        <f>_xll.AtlasFormulas.AtlasFunctions.AtlasBalance("PROD",DataAreaId,"T.InventTrans|inventDimId~inventDimId@T.InventDim","Sum|Qty|0","","","","","","","DateFinancial|ItemId|T2.InventSiteId|T2.InventLocationId",PeriodBeginning,$A157,$B157,$C157)</f>
        <v>0</v>
      </c>
      <c r="F157" s="10">
        <f>_xll.AtlasFormulas.AtlasFunctions.AtlasBalance("PROD",DataAreaId,"T.InventTrans|inventDimId~inventDimId@T.InventDim","Sum|Qty|0","","","","","","","DateFinancial|ItemId|T2.InventSiteId|T2.InventLocationId",PeriodEnding,$A157,$B157,$C157)</f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 x14ac:dyDescent="0.25">
      <c r="A158" s="8" t="s">
        <v>56</v>
      </c>
      <c r="B158" s="8" t="s">
        <v>717</v>
      </c>
      <c r="C158" s="8" t="s">
        <v>719</v>
      </c>
      <c r="D158" s="10">
        <v>228</v>
      </c>
      <c r="E158" s="10">
        <f>_xll.AtlasFormulas.AtlasFunctions.AtlasBalance("PROD",DataAreaId,"T.InventTrans|inventDimId~inventDimId@T.InventDim","Sum|Qty|0","","","","","","","DateFinancial|ItemId|T2.InventSiteId|T2.InventLocationId",PeriodBeginning,$A158,$B158,$C158)</f>
        <v>0</v>
      </c>
      <c r="F158" s="10">
        <f>_xll.AtlasFormulas.AtlasFunctions.AtlasBalance("PROD",DataAreaId,"T.InventTrans|inventDimId~inventDimId@T.InventDim","Sum|Qty|0","","","","","","","DateFinancial|ItemId|T2.InventSiteId|T2.InventLocationId",PeriodEnding,$A158,$B158,$C158)</f>
        <v>0</v>
      </c>
      <c r="G158" s="10">
        <f>AtlasReport_3_Table_1[[#This Row],[Current On-hand]]-AtlasReport_3_Table_1[[#This Row],[Trans backwords (Beginning)]]</f>
        <v>228</v>
      </c>
      <c r="H158" s="10">
        <f>AtlasReport_3_Table_1[[#This Row],[Current On-hand]]-AtlasReport_3_Table_1[[#This Row],[Trans backwords (Ending)]]</f>
        <v>228</v>
      </c>
    </row>
    <row r="159" spans="1:8" x14ac:dyDescent="0.25">
      <c r="A159" s="8" t="s">
        <v>56</v>
      </c>
      <c r="B159" s="8" t="s">
        <v>717</v>
      </c>
      <c r="C159" s="8" t="s">
        <v>718</v>
      </c>
      <c r="D159" s="10">
        <v>8512</v>
      </c>
      <c r="E159" s="10">
        <f>_xll.AtlasFormulas.AtlasFunctions.AtlasBalance("PROD",DataAreaId,"T.InventTrans|inventDimId~inventDimId@T.InventDim","Sum|Qty|0","","","","","","","DateFinancial|ItemId|T2.InventSiteId|T2.InventLocationId",PeriodBeginning,$A159,$B159,$C159)</f>
        <v>0</v>
      </c>
      <c r="F159" s="10">
        <f>_xll.AtlasFormulas.AtlasFunctions.AtlasBalance("PROD",DataAreaId,"T.InventTrans|inventDimId~inventDimId@T.InventDim","Sum|Qty|0","","","","","","","DateFinancial|ItemId|T2.InventSiteId|T2.InventLocationId",PeriodEnding,$A159,$B159,$C159)</f>
        <v>0</v>
      </c>
      <c r="G159" s="10">
        <f>AtlasReport_3_Table_1[[#This Row],[Current On-hand]]-AtlasReport_3_Table_1[[#This Row],[Trans backwords (Beginning)]]</f>
        <v>8512</v>
      </c>
      <c r="H159" s="10">
        <f>AtlasReport_3_Table_1[[#This Row],[Current On-hand]]-AtlasReport_3_Table_1[[#This Row],[Trans backwords (Ending)]]</f>
        <v>8512</v>
      </c>
    </row>
    <row r="160" spans="1:8" x14ac:dyDescent="0.25">
      <c r="A160" s="8" t="s">
        <v>56</v>
      </c>
      <c r="B160" s="8" t="s">
        <v>717</v>
      </c>
      <c r="C160" s="8" t="s">
        <v>756</v>
      </c>
      <c r="D160" s="10">
        <v>0</v>
      </c>
      <c r="E160" s="10">
        <f>_xll.AtlasFormulas.AtlasFunctions.AtlasBalance("PROD",DataAreaId,"T.InventTrans|inventDimId~inventDimId@T.InventDim","Sum|Qty|0","","","","","","","DateFinancial|ItemId|T2.InventSiteId|T2.InventLocationId",PeriodBeginning,$A160,$B160,$C160)</f>
        <v>0</v>
      </c>
      <c r="F160" s="10">
        <f>_xll.AtlasFormulas.AtlasFunctions.AtlasBalance("PROD",DataAreaId,"T.InventTrans|inventDimId~inventDimId@T.InventDim","Sum|Qty|0","","","","","","","DateFinancial|ItemId|T2.InventSiteId|T2.InventLocationId",PeriodEnding,$A160,$B160,$C160)</f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 x14ac:dyDescent="0.25">
      <c r="A161" s="8" t="s">
        <v>114</v>
      </c>
      <c r="B161" s="8" t="s">
        <v>717</v>
      </c>
      <c r="C161" s="8" t="s">
        <v>73</v>
      </c>
      <c r="D161" s="10">
        <v>0</v>
      </c>
      <c r="E161" s="10">
        <f>_xll.AtlasFormulas.AtlasFunctions.AtlasBalance("PROD",DataAreaId,"T.InventTrans|inventDimId~inventDimId@T.InventDim","Sum|Qty|0","","","","","","","DateFinancial|ItemId|T2.InventSiteId|T2.InventLocationId",PeriodBeginning,$A161,$B161,$C161)</f>
        <v>0</v>
      </c>
      <c r="F161" s="10">
        <f>_xll.AtlasFormulas.AtlasFunctions.AtlasBalance("PROD",DataAreaId,"T.InventTrans|inventDimId~inventDimId@T.InventDim","Sum|Qty|0","","","","","","","DateFinancial|ItemId|T2.InventSiteId|T2.InventLocationId",PeriodEnding,$A161,$B161,$C161)</f>
        <v>0</v>
      </c>
      <c r="G161" s="10">
        <f>AtlasReport_3_Table_1[[#This Row],[Current On-hand]]-AtlasReport_3_Table_1[[#This Row],[Trans backwords (Beginning)]]</f>
        <v>0</v>
      </c>
      <c r="H161" s="10">
        <f>AtlasReport_3_Table_1[[#This Row],[Current On-hand]]-AtlasReport_3_Table_1[[#This Row],[Trans backwords (Ending)]]</f>
        <v>0</v>
      </c>
    </row>
    <row r="162" spans="1:8" x14ac:dyDescent="0.25">
      <c r="A162" s="8" t="s">
        <v>114</v>
      </c>
      <c r="B162" s="8" t="s">
        <v>717</v>
      </c>
      <c r="C162" s="8" t="s">
        <v>719</v>
      </c>
      <c r="D162" s="10">
        <v>0</v>
      </c>
      <c r="E162" s="10">
        <f>_xll.AtlasFormulas.AtlasFunctions.AtlasBalance("PROD",DataAreaId,"T.InventTrans|inventDimId~inventDimId@T.InventDim","Sum|Qty|0","","","","","","","DateFinancial|ItemId|T2.InventSiteId|T2.InventLocationId",PeriodBeginning,$A162,$B162,$C162)</f>
        <v>0</v>
      </c>
      <c r="F162" s="10">
        <f>_xll.AtlasFormulas.AtlasFunctions.AtlasBalance("PROD",DataAreaId,"T.InventTrans|inventDimId~inventDimId@T.InventDim","Sum|Qty|0","","","","","","","DateFinancial|ItemId|T2.InventSiteId|T2.InventLocationId",PeriodEnding,$A162,$B162,$C162)</f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25">
      <c r="A163" s="8" t="s">
        <v>114</v>
      </c>
      <c r="B163" s="8" t="s">
        <v>717</v>
      </c>
      <c r="C163" s="8" t="s">
        <v>718</v>
      </c>
      <c r="D163" s="10">
        <v>1819</v>
      </c>
      <c r="E163" s="10">
        <f>_xll.AtlasFormulas.AtlasFunctions.AtlasBalance("PROD",DataAreaId,"T.InventTrans|inventDimId~inventDimId@T.InventDim","Sum|Qty|0","","","","","","","DateFinancial|ItemId|T2.InventSiteId|T2.InventLocationId",PeriodBeginning,$A163,$B163,$C163)</f>
        <v>-100</v>
      </c>
      <c r="F163" s="10">
        <f>_xll.AtlasFormulas.AtlasFunctions.AtlasBalance("PROD",DataAreaId,"T.InventTrans|inventDimId~inventDimId@T.InventDim","Sum|Qty|0","","","","","","","DateFinancial|ItemId|T2.InventSiteId|T2.InventLocationId",PeriodEnding,$A163,$B163,$C163)</f>
        <v>0</v>
      </c>
      <c r="G163" s="10">
        <f>AtlasReport_3_Table_1[[#This Row],[Current On-hand]]-AtlasReport_3_Table_1[[#This Row],[Trans backwords (Beginning)]]</f>
        <v>1919</v>
      </c>
      <c r="H163" s="10">
        <f>AtlasReport_3_Table_1[[#This Row],[Current On-hand]]-AtlasReport_3_Table_1[[#This Row],[Trans backwords (Ending)]]</f>
        <v>1819</v>
      </c>
    </row>
    <row r="164" spans="1:8" x14ac:dyDescent="0.25">
      <c r="A164" s="8" t="s">
        <v>69</v>
      </c>
      <c r="B164" s="8" t="s">
        <v>717</v>
      </c>
      <c r="C164" s="8" t="s">
        <v>73</v>
      </c>
      <c r="D164" s="10">
        <v>0</v>
      </c>
      <c r="E164" s="10">
        <f>_xll.AtlasFormulas.AtlasFunctions.AtlasBalance("PROD",DataAreaId,"T.InventTrans|inventDimId~inventDimId@T.InventDim","Sum|Qty|0","","","","","","","DateFinancial|ItemId|T2.InventSiteId|T2.InventLocationId",PeriodBeginning,$A164,$B164,$C164)</f>
        <v>0</v>
      </c>
      <c r="F164" s="10">
        <f>_xll.AtlasFormulas.AtlasFunctions.AtlasBalance("PROD",DataAreaId,"T.InventTrans|inventDimId~inventDimId@T.InventDim","Sum|Qty|0","","","","","","","DateFinancial|ItemId|T2.InventSiteId|T2.InventLocationId",PeriodEnding,$A164,$B164,$C164)</f>
        <v>0</v>
      </c>
      <c r="G164" s="10">
        <f>AtlasReport_3_Table_1[[#This Row],[Current On-hand]]-AtlasReport_3_Table_1[[#This Row],[Trans backwords (Beginning)]]</f>
        <v>0</v>
      </c>
      <c r="H164" s="10">
        <f>AtlasReport_3_Table_1[[#This Row],[Current On-hand]]-AtlasReport_3_Table_1[[#This Row],[Trans backwords (Ending)]]</f>
        <v>0</v>
      </c>
    </row>
    <row r="165" spans="1:8" x14ac:dyDescent="0.25">
      <c r="A165" s="8" t="s">
        <v>69</v>
      </c>
      <c r="B165" s="8" t="s">
        <v>717</v>
      </c>
      <c r="C165" s="8" t="s">
        <v>719</v>
      </c>
      <c r="D165" s="10">
        <v>0</v>
      </c>
      <c r="E165" s="10">
        <f>_xll.AtlasFormulas.AtlasFunctions.AtlasBalance("PROD",DataAreaId,"T.InventTrans|inventDimId~inventDimId@T.InventDim","Sum|Qty|0","","","","","","","DateFinancial|ItemId|T2.InventSiteId|T2.InventLocationId",PeriodBeginning,$A165,$B165,$C165)</f>
        <v>0</v>
      </c>
      <c r="F165" s="10">
        <f>_xll.AtlasFormulas.AtlasFunctions.AtlasBalance("PROD",DataAreaId,"T.InventTrans|inventDimId~inventDimId@T.InventDim","Sum|Qty|0","","","","","","","DateFinancial|ItemId|T2.InventSiteId|T2.InventLocationId",PeriodEnding,$A165,$B165,$C165)</f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 x14ac:dyDescent="0.25">
      <c r="A166" s="8" t="s">
        <v>69</v>
      </c>
      <c r="B166" s="8" t="s">
        <v>717</v>
      </c>
      <c r="C166" s="8" t="s">
        <v>718</v>
      </c>
      <c r="D166" s="10">
        <v>4172</v>
      </c>
      <c r="E166" s="10">
        <f>_xll.AtlasFormulas.AtlasFunctions.AtlasBalance("PROD",DataAreaId,"T.InventTrans|inventDimId~inventDimId@T.InventDim","Sum|Qty|0","","","","","","","DateFinancial|ItemId|T2.InventSiteId|T2.InventLocationId",PeriodBeginning,$A166,$B166,$C166)</f>
        <v>-200</v>
      </c>
      <c r="F166" s="10">
        <f>_xll.AtlasFormulas.AtlasFunctions.AtlasBalance("PROD",DataAreaId,"T.InventTrans|inventDimId~inventDimId@T.InventDim","Sum|Qty|0","","","","","","","DateFinancial|ItemId|T2.InventSiteId|T2.InventLocationId",PeriodEnding,$A166,$B166,$C166)</f>
        <v>0</v>
      </c>
      <c r="G166" s="10">
        <f>AtlasReport_3_Table_1[[#This Row],[Current On-hand]]-AtlasReport_3_Table_1[[#This Row],[Trans backwords (Beginning)]]</f>
        <v>4372</v>
      </c>
      <c r="H166" s="10">
        <f>AtlasReport_3_Table_1[[#This Row],[Current On-hand]]-AtlasReport_3_Table_1[[#This Row],[Trans backwords (Ending)]]</f>
        <v>4172</v>
      </c>
    </row>
    <row r="167" spans="1:8" x14ac:dyDescent="0.25">
      <c r="A167" s="8" t="s">
        <v>69</v>
      </c>
      <c r="B167" s="8" t="s">
        <v>717</v>
      </c>
      <c r="C167" s="8" t="s">
        <v>756</v>
      </c>
      <c r="D167" s="10">
        <v>0</v>
      </c>
      <c r="E167" s="10">
        <f>_xll.AtlasFormulas.AtlasFunctions.AtlasBalance("PROD",DataAreaId,"T.InventTrans|inventDimId~inventDimId@T.InventDim","Sum|Qty|0","","","","","","","DateFinancial|ItemId|T2.InventSiteId|T2.InventLocationId",PeriodBeginning,$A167,$B167,$C167)</f>
        <v>0</v>
      </c>
      <c r="F167" s="10">
        <f>_xll.AtlasFormulas.AtlasFunctions.AtlasBalance("PROD",DataAreaId,"T.InventTrans|inventDimId~inventDimId@T.InventDim","Sum|Qty|0","","","","","","","DateFinancial|ItemId|T2.InventSiteId|T2.InventLocationId",PeriodEnding,$A167,$B167,$C167)</f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 x14ac:dyDescent="0.25">
      <c r="A168" s="8" t="s">
        <v>732</v>
      </c>
      <c r="B168" s="8" t="s">
        <v>717</v>
      </c>
      <c r="C168" s="8" t="s">
        <v>73</v>
      </c>
      <c r="D168" s="10">
        <v>0</v>
      </c>
      <c r="E168" s="10">
        <f>_xll.AtlasFormulas.AtlasFunctions.AtlasBalance("PROD",DataAreaId,"T.InventTrans|inventDimId~inventDimId@T.InventDim","Sum|Qty|0","","","","","","","DateFinancial|ItemId|T2.InventSiteId|T2.InventLocationId",PeriodBeginning,$A168,$B168,$C168)</f>
        <v>0</v>
      </c>
      <c r="F168" s="10">
        <f>_xll.AtlasFormulas.AtlasFunctions.AtlasBalance("PROD",DataAreaId,"T.InventTrans|inventDimId~inventDimId@T.InventDim","Sum|Qty|0","","","","","","","DateFinancial|ItemId|T2.InventSiteId|T2.InventLocationId",PeriodEnding,$A168,$B168,$C168)</f>
        <v>0</v>
      </c>
      <c r="G168" s="10">
        <f>AtlasReport_3_Table_1[[#This Row],[Current On-hand]]-AtlasReport_3_Table_1[[#This Row],[Trans backwords (Beginning)]]</f>
        <v>0</v>
      </c>
      <c r="H168" s="10">
        <f>AtlasReport_3_Table_1[[#This Row],[Current On-hand]]-AtlasReport_3_Table_1[[#This Row],[Trans backwords (Ending)]]</f>
        <v>0</v>
      </c>
    </row>
    <row r="169" spans="1:8" x14ac:dyDescent="0.25">
      <c r="A169" s="8" t="s">
        <v>732</v>
      </c>
      <c r="B169" s="8" t="s">
        <v>717</v>
      </c>
      <c r="C169" s="8" t="s">
        <v>719</v>
      </c>
      <c r="D169" s="10">
        <v>0</v>
      </c>
      <c r="E169" s="10">
        <f>_xll.AtlasFormulas.AtlasFunctions.AtlasBalance("PROD",DataAreaId,"T.InventTrans|inventDimId~inventDimId@T.InventDim","Sum|Qty|0","","","","","","","DateFinancial|ItemId|T2.InventSiteId|T2.InventLocationId",PeriodBeginning,$A169,$B169,$C169)</f>
        <v>0</v>
      </c>
      <c r="F169" s="10">
        <f>_xll.AtlasFormulas.AtlasFunctions.AtlasBalance("PROD",DataAreaId,"T.InventTrans|inventDimId~inventDimId@T.InventDim","Sum|Qty|0","","","","","","","DateFinancial|ItemId|T2.InventSiteId|T2.InventLocationId",PeriodEnding,$A169,$B169,$C169)</f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 x14ac:dyDescent="0.25">
      <c r="A170" s="8" t="s">
        <v>732</v>
      </c>
      <c r="B170" s="8" t="s">
        <v>717</v>
      </c>
      <c r="C170" s="8" t="s">
        <v>718</v>
      </c>
      <c r="D170" s="10">
        <v>1845</v>
      </c>
      <c r="E170" s="10">
        <f>_xll.AtlasFormulas.AtlasFunctions.AtlasBalance("PROD",DataAreaId,"T.InventTrans|inventDimId~inventDimId@T.InventDim","Sum|Qty|0","","","","","","","DateFinancial|ItemId|T2.InventSiteId|T2.InventLocationId",PeriodBeginning,$A170,$B170,$C170)</f>
        <v>0</v>
      </c>
      <c r="F170" s="10">
        <f>_xll.AtlasFormulas.AtlasFunctions.AtlasBalance("PROD",DataAreaId,"T.InventTrans|inventDimId~inventDimId@T.InventDim","Sum|Qty|0","","","","","","","DateFinancial|ItemId|T2.InventSiteId|T2.InventLocationId",PeriodEnding,$A170,$B170,$C170)</f>
        <v>0</v>
      </c>
      <c r="G170" s="10">
        <f>AtlasReport_3_Table_1[[#This Row],[Current On-hand]]-AtlasReport_3_Table_1[[#This Row],[Trans backwords (Beginning)]]</f>
        <v>1845</v>
      </c>
      <c r="H170" s="10">
        <f>AtlasReport_3_Table_1[[#This Row],[Current On-hand]]-AtlasReport_3_Table_1[[#This Row],[Trans backwords (Ending)]]</f>
        <v>1845</v>
      </c>
    </row>
    <row r="171" spans="1:8" x14ac:dyDescent="0.25">
      <c r="A171" s="8" t="s">
        <v>732</v>
      </c>
      <c r="B171" s="8" t="s">
        <v>717</v>
      </c>
      <c r="C171" s="8" t="s">
        <v>756</v>
      </c>
      <c r="D171" s="10">
        <v>0</v>
      </c>
      <c r="E171" s="10">
        <f>_xll.AtlasFormulas.AtlasFunctions.AtlasBalance("PROD",DataAreaId,"T.InventTrans|inventDimId~inventDimId@T.InventDim","Sum|Qty|0","","","","","","","DateFinancial|ItemId|T2.InventSiteId|T2.InventLocationId",PeriodBeginning,$A171,$B171,$C171)</f>
        <v>0</v>
      </c>
      <c r="F171" s="10">
        <f>_xll.AtlasFormulas.AtlasFunctions.AtlasBalance("PROD",DataAreaId,"T.InventTrans|inventDimId~inventDimId@T.InventDim","Sum|Qty|0","","","","","","","DateFinancial|ItemId|T2.InventSiteId|T2.InventLocationId",PeriodEnding,$A171,$B171,$C171)</f>
        <v>0</v>
      </c>
      <c r="G171" s="10">
        <f>AtlasReport_3_Table_1[[#This Row],[Current On-hand]]-AtlasReport_3_Table_1[[#This Row],[Trans backwords (Beginning)]]</f>
        <v>0</v>
      </c>
      <c r="H171" s="10">
        <f>AtlasReport_3_Table_1[[#This Row],[Current On-hand]]-AtlasReport_3_Table_1[[#This Row],[Trans backwords (Ending)]]</f>
        <v>0</v>
      </c>
    </row>
    <row r="172" spans="1:8" x14ac:dyDescent="0.25">
      <c r="A172" s="8" t="s">
        <v>57</v>
      </c>
      <c r="B172" s="8" t="s">
        <v>717</v>
      </c>
      <c r="C172" s="8" t="s">
        <v>73</v>
      </c>
      <c r="D172" s="10">
        <v>0</v>
      </c>
      <c r="E172" s="10">
        <f>_xll.AtlasFormulas.AtlasFunctions.AtlasBalance("PROD",DataAreaId,"T.InventTrans|inventDimId~inventDimId@T.InventDim","Sum|Qty|0","","","","","","","DateFinancial|ItemId|T2.InventSiteId|T2.InventLocationId",PeriodBeginning,$A172,$B172,$C172)</f>
        <v>0</v>
      </c>
      <c r="F172" s="10">
        <f>_xll.AtlasFormulas.AtlasFunctions.AtlasBalance("PROD",DataAreaId,"T.InventTrans|inventDimId~inventDimId@T.InventDim","Sum|Qty|0","","","","","","","DateFinancial|ItemId|T2.InventSiteId|T2.InventLocationId",PeriodEnding,$A172,$B172,$C172)</f>
        <v>0</v>
      </c>
      <c r="G172" s="10">
        <f>AtlasReport_3_Table_1[[#This Row],[Current On-hand]]-AtlasReport_3_Table_1[[#This Row],[Trans backwords (Beginning)]]</f>
        <v>0</v>
      </c>
      <c r="H172" s="10">
        <f>AtlasReport_3_Table_1[[#This Row],[Current On-hand]]-AtlasReport_3_Table_1[[#This Row],[Trans backwords (Ending)]]</f>
        <v>0</v>
      </c>
    </row>
    <row r="173" spans="1:8" x14ac:dyDescent="0.25">
      <c r="A173" s="8" t="s">
        <v>57</v>
      </c>
      <c r="B173" s="8" t="s">
        <v>717</v>
      </c>
      <c r="C173" s="8" t="s">
        <v>719</v>
      </c>
      <c r="D173" s="10">
        <v>0</v>
      </c>
      <c r="E173" s="10">
        <f>_xll.AtlasFormulas.AtlasFunctions.AtlasBalance("PROD",DataAreaId,"T.InventTrans|inventDimId~inventDimId@T.InventDim","Sum|Qty|0","","","","","","","DateFinancial|ItemId|T2.InventSiteId|T2.InventLocationId",PeriodBeginning,$A173,$B173,$C173)</f>
        <v>0</v>
      </c>
      <c r="F173" s="10">
        <f>_xll.AtlasFormulas.AtlasFunctions.AtlasBalance("PROD",DataAreaId,"T.InventTrans|inventDimId~inventDimId@T.InventDim","Sum|Qty|0","","","","","","","DateFinancial|ItemId|T2.InventSiteId|T2.InventLocationId",PeriodEnding,$A173,$B173,$C173)</f>
        <v>0</v>
      </c>
      <c r="G173" s="10">
        <f>AtlasReport_3_Table_1[[#This Row],[Current On-hand]]-AtlasReport_3_Table_1[[#This Row],[Trans backwords (Beginning)]]</f>
        <v>0</v>
      </c>
      <c r="H173" s="10">
        <f>AtlasReport_3_Table_1[[#This Row],[Current On-hand]]-AtlasReport_3_Table_1[[#This Row],[Trans backwords (Ending)]]</f>
        <v>0</v>
      </c>
    </row>
    <row r="174" spans="1:8" x14ac:dyDescent="0.25">
      <c r="A174" s="8" t="s">
        <v>57</v>
      </c>
      <c r="B174" s="8" t="s">
        <v>717</v>
      </c>
      <c r="C174" s="8" t="s">
        <v>718</v>
      </c>
      <c r="D174" s="10">
        <v>1644</v>
      </c>
      <c r="E174" s="10">
        <f>_xll.AtlasFormulas.AtlasFunctions.AtlasBalance("PROD",DataAreaId,"T.InventTrans|inventDimId~inventDimId@T.InventDim","Sum|Qty|0","","","","","","","DateFinancial|ItemId|T2.InventSiteId|T2.InventLocationId",PeriodBeginning,$A174,$B174,$C174)</f>
        <v>0</v>
      </c>
      <c r="F174" s="10">
        <f>_xll.AtlasFormulas.AtlasFunctions.AtlasBalance("PROD",DataAreaId,"T.InventTrans|inventDimId~inventDimId@T.InventDim","Sum|Qty|0","","","","","","","DateFinancial|ItemId|T2.InventSiteId|T2.InventLocationId",PeriodEnding,$A174,$B174,$C174)</f>
        <v>0</v>
      </c>
      <c r="G174" s="10">
        <f>AtlasReport_3_Table_1[[#This Row],[Current On-hand]]-AtlasReport_3_Table_1[[#This Row],[Trans backwords (Beginning)]]</f>
        <v>1644</v>
      </c>
      <c r="H174" s="10">
        <f>AtlasReport_3_Table_1[[#This Row],[Current On-hand]]-AtlasReport_3_Table_1[[#This Row],[Trans backwords (Ending)]]</f>
        <v>1644</v>
      </c>
    </row>
    <row r="175" spans="1:8" x14ac:dyDescent="0.25">
      <c r="A175" s="8" t="s">
        <v>57</v>
      </c>
      <c r="B175" s="8" t="s">
        <v>717</v>
      </c>
      <c r="C175" s="8" t="s">
        <v>759</v>
      </c>
      <c r="D175" s="10">
        <v>0</v>
      </c>
      <c r="E175" s="10">
        <f>_xll.AtlasFormulas.AtlasFunctions.AtlasBalance("PROD",DataAreaId,"T.InventTrans|inventDimId~inventDimId@T.InventDim","Sum|Qty|0","","","","","","","DateFinancial|ItemId|T2.InventSiteId|T2.InventLocationId",PeriodBeginning,$A175,$B175,$C175)</f>
        <v>0</v>
      </c>
      <c r="F175" s="10">
        <f>_xll.AtlasFormulas.AtlasFunctions.AtlasBalance("PROD",DataAreaId,"T.InventTrans|inventDimId~inventDimId@T.InventDim","Sum|Qty|0","","","","","","","DateFinancial|ItemId|T2.InventSiteId|T2.InventLocationId",PeriodEnding,$A175,$B175,$C175)</f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 x14ac:dyDescent="0.25">
      <c r="A176" s="8" t="s">
        <v>57</v>
      </c>
      <c r="B176" s="8" t="s">
        <v>717</v>
      </c>
      <c r="C176" s="8" t="s">
        <v>756</v>
      </c>
      <c r="D176" s="10">
        <v>0</v>
      </c>
      <c r="E176" s="10">
        <f>_xll.AtlasFormulas.AtlasFunctions.AtlasBalance("PROD",DataAreaId,"T.InventTrans|inventDimId~inventDimId@T.InventDim","Sum|Qty|0","","","","","","","DateFinancial|ItemId|T2.InventSiteId|T2.InventLocationId",PeriodBeginning,$A176,$B176,$C176)</f>
        <v>0</v>
      </c>
      <c r="F176" s="10">
        <f>_xll.AtlasFormulas.AtlasFunctions.AtlasBalance("PROD",DataAreaId,"T.InventTrans|inventDimId~inventDimId@T.InventDim","Sum|Qty|0","","","","","","","DateFinancial|ItemId|T2.InventSiteId|T2.InventLocationId",PeriodEnding,$A176,$B176,$C176)</f>
        <v>0</v>
      </c>
      <c r="G176" s="10">
        <f>AtlasReport_3_Table_1[[#This Row],[Current On-hand]]-AtlasReport_3_Table_1[[#This Row],[Trans backwords (Beginning)]]</f>
        <v>0</v>
      </c>
      <c r="H176" s="10">
        <f>AtlasReport_3_Table_1[[#This Row],[Current On-hand]]-AtlasReport_3_Table_1[[#This Row],[Trans backwords (Ending)]]</f>
        <v>0</v>
      </c>
    </row>
    <row r="177" spans="1:8" x14ac:dyDescent="0.25">
      <c r="A177" s="8" t="s">
        <v>733</v>
      </c>
      <c r="B177" s="8" t="s">
        <v>717</v>
      </c>
      <c r="C177" s="8" t="s">
        <v>73</v>
      </c>
      <c r="D177" s="10">
        <v>0</v>
      </c>
      <c r="E177" s="10">
        <f>_xll.AtlasFormulas.AtlasFunctions.AtlasBalance("PROD",DataAreaId,"T.InventTrans|inventDimId~inventDimId@T.InventDim","Sum|Qty|0","","","","","","","DateFinancial|ItemId|T2.InventSiteId|T2.InventLocationId",PeriodBeginning,$A177,$B177,$C177)</f>
        <v>0</v>
      </c>
      <c r="F177" s="10">
        <f>_xll.AtlasFormulas.AtlasFunctions.AtlasBalance("PROD",DataAreaId,"T.InventTrans|inventDimId~inventDimId@T.InventDim","Sum|Qty|0","","","","","","","DateFinancial|ItemId|T2.InventSiteId|T2.InventLocationId",PeriodEnding,$A177,$B177,$C177)</f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0</v>
      </c>
    </row>
    <row r="178" spans="1:8" x14ac:dyDescent="0.25">
      <c r="A178" s="8" t="s">
        <v>733</v>
      </c>
      <c r="B178" s="8" t="s">
        <v>717</v>
      </c>
      <c r="C178" s="8" t="s">
        <v>718</v>
      </c>
      <c r="D178" s="10">
        <v>214</v>
      </c>
      <c r="E178" s="10">
        <f>_xll.AtlasFormulas.AtlasFunctions.AtlasBalance("PROD",DataAreaId,"T.InventTrans|inventDimId~inventDimId@T.InventDim","Sum|Qty|0","","","","","","","DateFinancial|ItemId|T2.InventSiteId|T2.InventLocationId",PeriodBeginning,$A178,$B178,$C178)</f>
        <v>0</v>
      </c>
      <c r="F178" s="10">
        <f>_xll.AtlasFormulas.AtlasFunctions.AtlasBalance("PROD",DataAreaId,"T.InventTrans|inventDimId~inventDimId@T.InventDim","Sum|Qty|0","","","","","","","DateFinancial|ItemId|T2.InventSiteId|T2.InventLocationId",PeriodEnding,$A178,$B178,$C178)</f>
        <v>0</v>
      </c>
      <c r="G178" s="10">
        <f>AtlasReport_3_Table_1[[#This Row],[Current On-hand]]-AtlasReport_3_Table_1[[#This Row],[Trans backwords (Beginning)]]</f>
        <v>214</v>
      </c>
      <c r="H178" s="10">
        <f>AtlasReport_3_Table_1[[#This Row],[Current On-hand]]-AtlasReport_3_Table_1[[#This Row],[Trans backwords (Ending)]]</f>
        <v>214</v>
      </c>
    </row>
    <row r="179" spans="1:8" x14ac:dyDescent="0.25">
      <c r="A179" s="8" t="s">
        <v>58</v>
      </c>
      <c r="B179" s="8" t="s">
        <v>717</v>
      </c>
      <c r="C179" s="8" t="s">
        <v>73</v>
      </c>
      <c r="D179" s="10">
        <v>0</v>
      </c>
      <c r="E179" s="10">
        <f>_xll.AtlasFormulas.AtlasFunctions.AtlasBalance("PROD",DataAreaId,"T.InventTrans|inventDimId~inventDimId@T.InventDim","Sum|Qty|0","","","","","","","DateFinancial|ItemId|T2.InventSiteId|T2.InventLocationId",PeriodBeginning,$A179,$B179,$C179)</f>
        <v>0</v>
      </c>
      <c r="F179" s="10">
        <f>_xll.AtlasFormulas.AtlasFunctions.AtlasBalance("PROD",DataAreaId,"T.InventTrans|inventDimId~inventDimId@T.InventDim","Sum|Qty|0","","","","","","","DateFinancial|ItemId|T2.InventSiteId|T2.InventLocationId",PeriodEnding,$A179,$B179,$C179)</f>
        <v>0</v>
      </c>
      <c r="G179" s="10">
        <f>AtlasReport_3_Table_1[[#This Row],[Current On-hand]]-AtlasReport_3_Table_1[[#This Row],[Trans backwords (Beginning)]]</f>
        <v>0</v>
      </c>
      <c r="H179" s="10">
        <f>AtlasReport_3_Table_1[[#This Row],[Current On-hand]]-AtlasReport_3_Table_1[[#This Row],[Trans backwords (Ending)]]</f>
        <v>0</v>
      </c>
    </row>
    <row r="180" spans="1:8" x14ac:dyDescent="0.25">
      <c r="A180" s="8" t="s">
        <v>58</v>
      </c>
      <c r="B180" s="8" t="s">
        <v>717</v>
      </c>
      <c r="C180" s="8" t="s">
        <v>719</v>
      </c>
      <c r="D180" s="10">
        <v>0</v>
      </c>
      <c r="E180" s="10">
        <f>_xll.AtlasFormulas.AtlasFunctions.AtlasBalance("PROD",DataAreaId,"T.InventTrans|inventDimId~inventDimId@T.InventDim","Sum|Qty|0","","","","","","","DateFinancial|ItemId|T2.InventSiteId|T2.InventLocationId",PeriodBeginning,$A180,$B180,$C180)</f>
        <v>0</v>
      </c>
      <c r="F180" s="10">
        <f>_xll.AtlasFormulas.AtlasFunctions.AtlasBalance("PROD",DataAreaId,"T.InventTrans|inventDimId~inventDimId@T.InventDim","Sum|Qty|0","","","","","","","DateFinancial|ItemId|T2.InventSiteId|T2.InventLocationId",PeriodEnding,$A180,$B180,$C180)</f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0</v>
      </c>
    </row>
    <row r="181" spans="1:8" x14ac:dyDescent="0.25">
      <c r="A181" s="8" t="s">
        <v>58</v>
      </c>
      <c r="B181" s="8" t="s">
        <v>717</v>
      </c>
      <c r="C181" s="8" t="s">
        <v>718</v>
      </c>
      <c r="D181" s="10">
        <v>3446</v>
      </c>
      <c r="E181" s="10">
        <f>_xll.AtlasFormulas.AtlasFunctions.AtlasBalance("PROD",DataAreaId,"T.InventTrans|inventDimId~inventDimId@T.InventDim","Sum|Qty|0","","","","","","","DateFinancial|ItemId|T2.InventSiteId|T2.InventLocationId",PeriodBeginning,$A181,$B181,$C181)</f>
        <v>0</v>
      </c>
      <c r="F181" s="10">
        <f>_xll.AtlasFormulas.AtlasFunctions.AtlasBalance("PROD",DataAreaId,"T.InventTrans|inventDimId~inventDimId@T.InventDim","Sum|Qty|0","","","","","","","DateFinancial|ItemId|T2.InventSiteId|T2.InventLocationId",PeriodEnding,$A181,$B181,$C181)</f>
        <v>0</v>
      </c>
      <c r="G181" s="10">
        <f>AtlasReport_3_Table_1[[#This Row],[Current On-hand]]-AtlasReport_3_Table_1[[#This Row],[Trans backwords (Beginning)]]</f>
        <v>3446</v>
      </c>
      <c r="H181" s="10">
        <f>AtlasReport_3_Table_1[[#This Row],[Current On-hand]]-AtlasReport_3_Table_1[[#This Row],[Trans backwords (Ending)]]</f>
        <v>3446</v>
      </c>
    </row>
    <row r="182" spans="1:8" x14ac:dyDescent="0.25">
      <c r="A182" s="8" t="s">
        <v>58</v>
      </c>
      <c r="B182" s="8" t="s">
        <v>717</v>
      </c>
      <c r="C182" s="8" t="s">
        <v>756</v>
      </c>
      <c r="D182" s="10">
        <v>0</v>
      </c>
      <c r="E182" s="10">
        <f>_xll.AtlasFormulas.AtlasFunctions.AtlasBalance("PROD",DataAreaId,"T.InventTrans|inventDimId~inventDimId@T.InventDim","Sum|Qty|0","","","","","","","DateFinancial|ItemId|T2.InventSiteId|T2.InventLocationId",PeriodBeginning,$A182,$B182,$C182)</f>
        <v>0</v>
      </c>
      <c r="F182" s="10">
        <f>_xll.AtlasFormulas.AtlasFunctions.AtlasBalance("PROD",DataAreaId,"T.InventTrans|inventDimId~inventDimId@T.InventDim","Sum|Qty|0","","","","","","","DateFinancial|ItemId|T2.InventSiteId|T2.InventLocationId",PeriodEnding,$A182,$B182,$C182)</f>
        <v>0</v>
      </c>
      <c r="G182" s="10">
        <f>AtlasReport_3_Table_1[[#This Row],[Current On-hand]]-AtlasReport_3_Table_1[[#This Row],[Trans backwords (Beginning)]]</f>
        <v>0</v>
      </c>
      <c r="H182" s="10">
        <f>AtlasReport_3_Table_1[[#This Row],[Current On-hand]]-AtlasReport_3_Table_1[[#This Row],[Trans backwords (Ending)]]</f>
        <v>0</v>
      </c>
    </row>
    <row r="183" spans="1:8" x14ac:dyDescent="0.25">
      <c r="A183" s="8" t="s">
        <v>23</v>
      </c>
      <c r="B183" s="8" t="s">
        <v>717</v>
      </c>
      <c r="C183" s="8" t="s">
        <v>73</v>
      </c>
      <c r="D183" s="10">
        <v>0</v>
      </c>
      <c r="E183" s="10">
        <f>_xll.AtlasFormulas.AtlasFunctions.AtlasBalance("PROD",DataAreaId,"T.InventTrans|inventDimId~inventDimId@T.InventDim","Sum|Qty|0","","","","","","","DateFinancial|ItemId|T2.InventSiteId|T2.InventLocationId",PeriodBeginning,$A183,$B183,$C183)</f>
        <v>0</v>
      </c>
      <c r="F183" s="10">
        <f>_xll.AtlasFormulas.AtlasFunctions.AtlasBalance("PROD",DataAreaId,"T.InventTrans|inventDimId~inventDimId@T.InventDim","Sum|Qty|0","","","","","","","DateFinancial|ItemId|T2.InventSiteId|T2.InventLocationId",PeriodEnding,$A183,$B183,$C183)</f>
        <v>0</v>
      </c>
      <c r="G183" s="10">
        <f>AtlasReport_3_Table_1[[#This Row],[Current On-hand]]-AtlasReport_3_Table_1[[#This Row],[Trans backwords (Beginning)]]</f>
        <v>0</v>
      </c>
      <c r="H183" s="10">
        <f>AtlasReport_3_Table_1[[#This Row],[Current On-hand]]-AtlasReport_3_Table_1[[#This Row],[Trans backwords (Ending)]]</f>
        <v>0</v>
      </c>
    </row>
    <row r="184" spans="1:8" x14ac:dyDescent="0.25">
      <c r="A184" s="8" t="s">
        <v>23</v>
      </c>
      <c r="B184" s="8" t="s">
        <v>717</v>
      </c>
      <c r="C184" s="8" t="s">
        <v>719</v>
      </c>
      <c r="D184" s="10">
        <v>0</v>
      </c>
      <c r="E184" s="10">
        <f>_xll.AtlasFormulas.AtlasFunctions.AtlasBalance("PROD",DataAreaId,"T.InventTrans|inventDimId~inventDimId@T.InventDim","Sum|Qty|0","","","","","","","DateFinancial|ItemId|T2.InventSiteId|T2.InventLocationId",PeriodBeginning,$A184,$B184,$C184)</f>
        <v>0</v>
      </c>
      <c r="F184" s="10">
        <f>_xll.AtlasFormulas.AtlasFunctions.AtlasBalance("PROD",DataAreaId,"T.InventTrans|inventDimId~inventDimId@T.InventDim","Sum|Qty|0","","","","","","","DateFinancial|ItemId|T2.InventSiteId|T2.InventLocationId",PeriodEnding,$A184,$B184,$C184)</f>
        <v>0</v>
      </c>
      <c r="G184" s="10">
        <f>AtlasReport_3_Table_1[[#This Row],[Current On-hand]]-AtlasReport_3_Table_1[[#This Row],[Trans backwords (Beginning)]]</f>
        <v>0</v>
      </c>
      <c r="H184" s="10">
        <f>AtlasReport_3_Table_1[[#This Row],[Current On-hand]]-AtlasReport_3_Table_1[[#This Row],[Trans backwords (Ending)]]</f>
        <v>0</v>
      </c>
    </row>
    <row r="185" spans="1:8" x14ac:dyDescent="0.25">
      <c r="A185" s="8" t="s">
        <v>23</v>
      </c>
      <c r="B185" s="8" t="s">
        <v>717</v>
      </c>
      <c r="C185" s="8" t="s">
        <v>718</v>
      </c>
      <c r="D185" s="10">
        <v>2582</v>
      </c>
      <c r="E185" s="10">
        <f>_xll.AtlasFormulas.AtlasFunctions.AtlasBalance("PROD",DataAreaId,"T.InventTrans|inventDimId~inventDimId@T.InventDim","Sum|Qty|0","","","","","","","DateFinancial|ItemId|T2.InventSiteId|T2.InventLocationId",PeriodBeginning,$A185,$B185,$C185)</f>
        <v>0</v>
      </c>
      <c r="F185" s="10">
        <f>_xll.AtlasFormulas.AtlasFunctions.AtlasBalance("PROD",DataAreaId,"T.InventTrans|inventDimId~inventDimId@T.InventDim","Sum|Qty|0","","","","","","","DateFinancial|ItemId|T2.InventSiteId|T2.InventLocationId",PeriodEnding,$A185,$B185,$C185)</f>
        <v>0</v>
      </c>
      <c r="G185" s="10">
        <f>AtlasReport_3_Table_1[[#This Row],[Current On-hand]]-AtlasReport_3_Table_1[[#This Row],[Trans backwords (Beginning)]]</f>
        <v>2582</v>
      </c>
      <c r="H185" s="10">
        <f>AtlasReport_3_Table_1[[#This Row],[Current On-hand]]-AtlasReport_3_Table_1[[#This Row],[Trans backwords (Ending)]]</f>
        <v>2582</v>
      </c>
    </row>
    <row r="186" spans="1:8" x14ac:dyDescent="0.25">
      <c r="A186" s="8" t="s">
        <v>23</v>
      </c>
      <c r="B186" s="8" t="s">
        <v>717</v>
      </c>
      <c r="C186" s="8" t="s">
        <v>756</v>
      </c>
      <c r="D186" s="10">
        <v>0</v>
      </c>
      <c r="E186" s="10">
        <f>_xll.AtlasFormulas.AtlasFunctions.AtlasBalance("PROD",DataAreaId,"T.InventTrans|inventDimId~inventDimId@T.InventDim","Sum|Qty|0","","","","","","","DateFinancial|ItemId|T2.InventSiteId|T2.InventLocationId",PeriodBeginning,$A186,$B186,$C186)</f>
        <v>0</v>
      </c>
      <c r="F186" s="10">
        <f>_xll.AtlasFormulas.AtlasFunctions.AtlasBalance("PROD",DataAreaId,"T.InventTrans|inventDimId~inventDimId@T.InventDim","Sum|Qty|0","","","","","","","DateFinancial|ItemId|T2.InventSiteId|T2.InventLocationId",PeriodEnding,$A186,$B186,$C186)</f>
        <v>0</v>
      </c>
      <c r="G186" s="10">
        <f>AtlasReport_3_Table_1[[#This Row],[Current On-hand]]-AtlasReport_3_Table_1[[#This Row],[Trans backwords (Beginning)]]</f>
        <v>0</v>
      </c>
      <c r="H186" s="10">
        <f>AtlasReport_3_Table_1[[#This Row],[Current On-hand]]-AtlasReport_3_Table_1[[#This Row],[Trans backwords (Ending)]]</f>
        <v>0</v>
      </c>
    </row>
    <row r="187" spans="1:8" x14ac:dyDescent="0.25">
      <c r="A187" s="8" t="s">
        <v>70</v>
      </c>
      <c r="B187" s="8" t="s">
        <v>717</v>
      </c>
      <c r="C187" s="8" t="s">
        <v>73</v>
      </c>
      <c r="D187" s="10">
        <v>0</v>
      </c>
      <c r="E187" s="10">
        <f>_xll.AtlasFormulas.AtlasFunctions.AtlasBalance("PROD",DataAreaId,"T.InventTrans|inventDimId~inventDimId@T.InventDim","Sum|Qty|0","","","","","","","DateFinancial|ItemId|T2.InventSiteId|T2.InventLocationId",PeriodBeginning,$A187,$B187,$C187)</f>
        <v>0</v>
      </c>
      <c r="F187" s="10">
        <f>_xll.AtlasFormulas.AtlasFunctions.AtlasBalance("PROD",DataAreaId,"T.InventTrans|inventDimId~inventDimId@T.InventDim","Sum|Qty|0","","","","","","","DateFinancial|ItemId|T2.InventSiteId|T2.InventLocationId",PeriodEnding,$A187,$B187,$C187)</f>
        <v>0</v>
      </c>
      <c r="G187" s="10">
        <f>AtlasReport_3_Table_1[[#This Row],[Current On-hand]]-AtlasReport_3_Table_1[[#This Row],[Trans backwords (Beginning)]]</f>
        <v>0</v>
      </c>
      <c r="H187" s="10">
        <f>AtlasReport_3_Table_1[[#This Row],[Current On-hand]]-AtlasReport_3_Table_1[[#This Row],[Trans backwords (Ending)]]</f>
        <v>0</v>
      </c>
    </row>
    <row r="188" spans="1:8" x14ac:dyDescent="0.25">
      <c r="A188" s="8" t="s">
        <v>70</v>
      </c>
      <c r="B188" s="8" t="s">
        <v>717</v>
      </c>
      <c r="C188" s="8" t="s">
        <v>719</v>
      </c>
      <c r="D188" s="10">
        <v>0</v>
      </c>
      <c r="E188" s="10">
        <f>_xll.AtlasFormulas.AtlasFunctions.AtlasBalance("PROD",DataAreaId,"T.InventTrans|inventDimId~inventDimId@T.InventDim","Sum|Qty|0","","","","","","","DateFinancial|ItemId|T2.InventSiteId|T2.InventLocationId",PeriodBeginning,$A188,$B188,$C188)</f>
        <v>0</v>
      </c>
      <c r="F188" s="10">
        <f>_xll.AtlasFormulas.AtlasFunctions.AtlasBalance("PROD",DataAreaId,"T.InventTrans|inventDimId~inventDimId@T.InventDim","Sum|Qty|0","","","","","","","DateFinancial|ItemId|T2.InventSiteId|T2.InventLocationId",PeriodEnding,$A188,$B188,$C188)</f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 x14ac:dyDescent="0.25">
      <c r="A189" s="8" t="s">
        <v>70</v>
      </c>
      <c r="B189" s="8" t="s">
        <v>717</v>
      </c>
      <c r="C189" s="8" t="s">
        <v>718</v>
      </c>
      <c r="D189" s="10">
        <v>1796</v>
      </c>
      <c r="E189" s="10">
        <f>_xll.AtlasFormulas.AtlasFunctions.AtlasBalance("PROD",DataAreaId,"T.InventTrans|inventDimId~inventDimId@T.InventDim","Sum|Qty|0","","","","","","","DateFinancial|ItemId|T2.InventSiteId|T2.InventLocationId",PeriodBeginning,$A189,$B189,$C189)</f>
        <v>0</v>
      </c>
      <c r="F189" s="10">
        <f>_xll.AtlasFormulas.AtlasFunctions.AtlasBalance("PROD",DataAreaId,"T.InventTrans|inventDimId~inventDimId@T.InventDim","Sum|Qty|0","","","","","","","DateFinancial|ItemId|T2.InventSiteId|T2.InventLocationId",PeriodEnding,$A189,$B189,$C189)</f>
        <v>0</v>
      </c>
      <c r="G189" s="10">
        <f>AtlasReport_3_Table_1[[#This Row],[Current On-hand]]-AtlasReport_3_Table_1[[#This Row],[Trans backwords (Beginning)]]</f>
        <v>1796</v>
      </c>
      <c r="H189" s="10">
        <f>AtlasReport_3_Table_1[[#This Row],[Current On-hand]]-AtlasReport_3_Table_1[[#This Row],[Trans backwords (Ending)]]</f>
        <v>1796</v>
      </c>
    </row>
    <row r="190" spans="1:8" x14ac:dyDescent="0.25">
      <c r="A190" s="8" t="s">
        <v>70</v>
      </c>
      <c r="B190" s="8" t="s">
        <v>717</v>
      </c>
      <c r="C190" s="8" t="s">
        <v>756</v>
      </c>
      <c r="D190" s="10">
        <v>0</v>
      </c>
      <c r="E190" s="10">
        <f>_xll.AtlasFormulas.AtlasFunctions.AtlasBalance("PROD",DataAreaId,"T.InventTrans|inventDimId~inventDimId@T.InventDim","Sum|Qty|0","","","","","","","DateFinancial|ItemId|T2.InventSiteId|T2.InventLocationId",PeriodBeginning,$A190,$B190,$C190)</f>
        <v>0</v>
      </c>
      <c r="F190" s="10">
        <f>_xll.AtlasFormulas.AtlasFunctions.AtlasBalance("PROD",DataAreaId,"T.InventTrans|inventDimId~inventDimId@T.InventDim","Sum|Qty|0","","","","","","","DateFinancial|ItemId|T2.InventSiteId|T2.InventLocationId",PeriodEnding,$A190,$B190,$C190)</f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 x14ac:dyDescent="0.25">
      <c r="A191" s="8" t="s">
        <v>71</v>
      </c>
      <c r="B191" s="8" t="s">
        <v>717</v>
      </c>
      <c r="C191" s="8" t="s">
        <v>73</v>
      </c>
      <c r="D191" s="10">
        <v>0</v>
      </c>
      <c r="E191" s="10">
        <f>_xll.AtlasFormulas.AtlasFunctions.AtlasBalance("PROD",DataAreaId,"T.InventTrans|inventDimId~inventDimId@T.InventDim","Sum|Qty|0","","","","","","","DateFinancial|ItemId|T2.InventSiteId|T2.InventLocationId",PeriodBeginning,$A191,$B191,$C191)</f>
        <v>0</v>
      </c>
      <c r="F191" s="10">
        <f>_xll.AtlasFormulas.AtlasFunctions.AtlasBalance("PROD",DataAreaId,"T.InventTrans|inventDimId~inventDimId@T.InventDim","Sum|Qty|0","","","","","","","DateFinancial|ItemId|T2.InventSiteId|T2.InventLocationId",PeriodEnding,$A191,$B191,$C191)</f>
        <v>0</v>
      </c>
      <c r="G191" s="10">
        <f>AtlasReport_3_Table_1[[#This Row],[Current On-hand]]-AtlasReport_3_Table_1[[#This Row],[Trans backwords (Beginning)]]</f>
        <v>0</v>
      </c>
      <c r="H191" s="10">
        <f>AtlasReport_3_Table_1[[#This Row],[Current On-hand]]-AtlasReport_3_Table_1[[#This Row],[Trans backwords (Ending)]]</f>
        <v>0</v>
      </c>
    </row>
    <row r="192" spans="1:8" x14ac:dyDescent="0.25">
      <c r="A192" s="8" t="s">
        <v>71</v>
      </c>
      <c r="B192" s="8" t="s">
        <v>717</v>
      </c>
      <c r="C192" s="8" t="s">
        <v>719</v>
      </c>
      <c r="D192" s="10">
        <v>0</v>
      </c>
      <c r="E192" s="10">
        <f>_xll.AtlasFormulas.AtlasFunctions.AtlasBalance("PROD",DataAreaId,"T.InventTrans|inventDimId~inventDimId@T.InventDim","Sum|Qty|0","","","","","","","DateFinancial|ItemId|T2.InventSiteId|T2.InventLocationId",PeriodBeginning,$A192,$B192,$C192)</f>
        <v>0</v>
      </c>
      <c r="F192" s="10">
        <f>_xll.AtlasFormulas.AtlasFunctions.AtlasBalance("PROD",DataAreaId,"T.InventTrans|inventDimId~inventDimId@T.InventDim","Sum|Qty|0","","","","","","","DateFinancial|ItemId|T2.InventSiteId|T2.InventLocationId",PeriodEnding,$A192,$B192,$C192)</f>
        <v>0</v>
      </c>
      <c r="G192" s="10">
        <f>AtlasReport_3_Table_1[[#This Row],[Current On-hand]]-AtlasReport_3_Table_1[[#This Row],[Trans backwords (Beginning)]]</f>
        <v>0</v>
      </c>
      <c r="H192" s="10">
        <f>AtlasReport_3_Table_1[[#This Row],[Current On-hand]]-AtlasReport_3_Table_1[[#This Row],[Trans backwords (Ending)]]</f>
        <v>0</v>
      </c>
    </row>
    <row r="193" spans="1:8" x14ac:dyDescent="0.25">
      <c r="A193" s="8" t="s">
        <v>71</v>
      </c>
      <c r="B193" s="8" t="s">
        <v>717</v>
      </c>
      <c r="C193" s="8" t="s">
        <v>718</v>
      </c>
      <c r="D193" s="10">
        <v>3468</v>
      </c>
      <c r="E193" s="10">
        <f>_xll.AtlasFormulas.AtlasFunctions.AtlasBalance("PROD",DataAreaId,"T.InventTrans|inventDimId~inventDimId@T.InventDim","Sum|Qty|0","","","","","","","DateFinancial|ItemId|T2.InventSiteId|T2.InventLocationId",PeriodBeginning,$A193,$B193,$C193)</f>
        <v>0</v>
      </c>
      <c r="F193" s="10">
        <f>_xll.AtlasFormulas.AtlasFunctions.AtlasBalance("PROD",DataAreaId,"T.InventTrans|inventDimId~inventDimId@T.InventDim","Sum|Qty|0","","","","","","","DateFinancial|ItemId|T2.InventSiteId|T2.InventLocationId",PeriodEnding,$A193,$B193,$C193)</f>
        <v>0</v>
      </c>
      <c r="G193" s="10">
        <f>AtlasReport_3_Table_1[[#This Row],[Current On-hand]]-AtlasReport_3_Table_1[[#This Row],[Trans backwords (Beginning)]]</f>
        <v>3468</v>
      </c>
      <c r="H193" s="10">
        <f>AtlasReport_3_Table_1[[#This Row],[Current On-hand]]-AtlasReport_3_Table_1[[#This Row],[Trans backwords (Ending)]]</f>
        <v>3468</v>
      </c>
    </row>
    <row r="194" spans="1:8" x14ac:dyDescent="0.25">
      <c r="A194" s="8" t="s">
        <v>71</v>
      </c>
      <c r="B194" s="8" t="s">
        <v>717</v>
      </c>
      <c r="C194" s="8" t="s">
        <v>756</v>
      </c>
      <c r="D194" s="10">
        <v>0</v>
      </c>
      <c r="E194" s="10">
        <f>_xll.AtlasFormulas.AtlasFunctions.AtlasBalance("PROD",DataAreaId,"T.InventTrans|inventDimId~inventDimId@T.InventDim","Sum|Qty|0","","","","","","","DateFinancial|ItemId|T2.InventSiteId|T2.InventLocationId",PeriodBeginning,$A194,$B194,$C194)</f>
        <v>0</v>
      </c>
      <c r="F194" s="10">
        <f>_xll.AtlasFormulas.AtlasFunctions.AtlasBalance("PROD",DataAreaId,"T.InventTrans|inventDimId~inventDimId@T.InventDim","Sum|Qty|0","","","","","","","DateFinancial|ItemId|T2.InventSiteId|T2.InventLocationId",PeriodEnding,$A194,$B194,$C194)</f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0</v>
      </c>
    </row>
    <row r="195" spans="1:8" x14ac:dyDescent="0.25">
      <c r="A195" s="8" t="s">
        <v>59</v>
      </c>
      <c r="B195" s="8" t="s">
        <v>717</v>
      </c>
      <c r="C195" s="8" t="s">
        <v>73</v>
      </c>
      <c r="D195" s="10">
        <v>0</v>
      </c>
      <c r="E195" s="10">
        <f>_xll.AtlasFormulas.AtlasFunctions.AtlasBalance("PROD",DataAreaId,"T.InventTrans|inventDimId~inventDimId@T.InventDim","Sum|Qty|0","","","","","","","DateFinancial|ItemId|T2.InventSiteId|T2.InventLocationId",PeriodBeginning,$A195,$B195,$C195)</f>
        <v>0</v>
      </c>
      <c r="F195" s="10">
        <f>_xll.AtlasFormulas.AtlasFunctions.AtlasBalance("PROD",DataAreaId,"T.InventTrans|inventDimId~inventDimId@T.InventDim","Sum|Qty|0","","","","","","","DateFinancial|ItemId|T2.InventSiteId|T2.InventLocationId",PeriodEnding,$A195,$B195,$C195)</f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 x14ac:dyDescent="0.25">
      <c r="A196" s="8" t="s">
        <v>59</v>
      </c>
      <c r="B196" s="8" t="s">
        <v>717</v>
      </c>
      <c r="C196" s="8" t="s">
        <v>719</v>
      </c>
      <c r="D196" s="10">
        <v>0</v>
      </c>
      <c r="E196" s="10">
        <f>_xll.AtlasFormulas.AtlasFunctions.AtlasBalance("PROD",DataAreaId,"T.InventTrans|inventDimId~inventDimId@T.InventDim","Sum|Qty|0","","","","","","","DateFinancial|ItemId|T2.InventSiteId|T2.InventLocationId",PeriodBeginning,$A196,$B196,$C196)</f>
        <v>0</v>
      </c>
      <c r="F196" s="10">
        <f>_xll.AtlasFormulas.AtlasFunctions.AtlasBalance("PROD",DataAreaId,"T.InventTrans|inventDimId~inventDimId@T.InventDim","Sum|Qty|0","","","","","","","DateFinancial|ItemId|T2.InventSiteId|T2.InventLocationId",PeriodEnding,$A196,$B196,$C196)</f>
        <v>0</v>
      </c>
      <c r="G196" s="10">
        <f>AtlasReport_3_Table_1[[#This Row],[Current On-hand]]-AtlasReport_3_Table_1[[#This Row],[Trans backwords (Beginning)]]</f>
        <v>0</v>
      </c>
      <c r="H196" s="10">
        <f>AtlasReport_3_Table_1[[#This Row],[Current On-hand]]-AtlasReport_3_Table_1[[#This Row],[Trans backwords (Ending)]]</f>
        <v>0</v>
      </c>
    </row>
    <row r="197" spans="1:8" x14ac:dyDescent="0.25">
      <c r="A197" s="8" t="s">
        <v>59</v>
      </c>
      <c r="B197" s="8" t="s">
        <v>717</v>
      </c>
      <c r="C197" s="8" t="s">
        <v>718</v>
      </c>
      <c r="D197" s="10">
        <v>5909</v>
      </c>
      <c r="E197" s="10">
        <f>_xll.AtlasFormulas.AtlasFunctions.AtlasBalance("PROD",DataAreaId,"T.InventTrans|inventDimId~inventDimId@T.InventDim","Sum|Qty|0","","","","","","","DateFinancial|ItemId|T2.InventSiteId|T2.InventLocationId",PeriodBeginning,$A197,$B197,$C197)</f>
        <v>0</v>
      </c>
      <c r="F197" s="10">
        <f>_xll.AtlasFormulas.AtlasFunctions.AtlasBalance("PROD",DataAreaId,"T.InventTrans|inventDimId~inventDimId@T.InventDim","Sum|Qty|0","","","","","","","DateFinancial|ItemId|T2.InventSiteId|T2.InventLocationId",PeriodEnding,$A197,$B197,$C197)</f>
        <v>0</v>
      </c>
      <c r="G197" s="10">
        <f>AtlasReport_3_Table_1[[#This Row],[Current On-hand]]-AtlasReport_3_Table_1[[#This Row],[Trans backwords (Beginning)]]</f>
        <v>5909</v>
      </c>
      <c r="H197" s="10">
        <f>AtlasReport_3_Table_1[[#This Row],[Current On-hand]]-AtlasReport_3_Table_1[[#This Row],[Trans backwords (Ending)]]</f>
        <v>5909</v>
      </c>
    </row>
    <row r="198" spans="1:8" x14ac:dyDescent="0.25">
      <c r="A198" s="8" t="s">
        <v>59</v>
      </c>
      <c r="B198" s="8" t="s">
        <v>717</v>
      </c>
      <c r="C198" s="8" t="s">
        <v>756</v>
      </c>
      <c r="D198" s="10">
        <v>0</v>
      </c>
      <c r="E198" s="10">
        <f>_xll.AtlasFormulas.AtlasFunctions.AtlasBalance("PROD",DataAreaId,"T.InventTrans|inventDimId~inventDimId@T.InventDim","Sum|Qty|0","","","","","","","DateFinancial|ItemId|T2.InventSiteId|T2.InventLocationId",PeriodBeginning,$A198,$B198,$C198)</f>
        <v>0</v>
      </c>
      <c r="F198" s="10">
        <f>_xll.AtlasFormulas.AtlasFunctions.AtlasBalance("PROD",DataAreaId,"T.InventTrans|inventDimId~inventDimId@T.InventDim","Sum|Qty|0","","","","","","","DateFinancial|ItemId|T2.InventSiteId|T2.InventLocationId",PeriodEnding,$A198,$B198,$C198)</f>
        <v>0</v>
      </c>
      <c r="G198" s="10">
        <f>AtlasReport_3_Table_1[[#This Row],[Current On-hand]]-AtlasReport_3_Table_1[[#This Row],[Trans backwords (Beginning)]]</f>
        <v>0</v>
      </c>
      <c r="H198" s="10">
        <f>AtlasReport_3_Table_1[[#This Row],[Current On-hand]]-AtlasReport_3_Table_1[[#This Row],[Trans backwords (Ending)]]</f>
        <v>0</v>
      </c>
    </row>
    <row r="199" spans="1:8" x14ac:dyDescent="0.25">
      <c r="A199" s="8" t="s">
        <v>60</v>
      </c>
      <c r="B199" s="8" t="s">
        <v>717</v>
      </c>
      <c r="C199" s="8" t="s">
        <v>73</v>
      </c>
      <c r="D199" s="10">
        <v>0</v>
      </c>
      <c r="E199" s="10">
        <f>_xll.AtlasFormulas.AtlasFunctions.AtlasBalance("PROD",DataAreaId,"T.InventTrans|inventDimId~inventDimId@T.InventDim","Sum|Qty|0","","","","","","","DateFinancial|ItemId|T2.InventSiteId|T2.InventLocationId",PeriodBeginning,$A199,$B199,$C199)</f>
        <v>0</v>
      </c>
      <c r="F199" s="10">
        <f>_xll.AtlasFormulas.AtlasFunctions.AtlasBalance("PROD",DataAreaId,"T.InventTrans|inventDimId~inventDimId@T.InventDim","Sum|Qty|0","","","","","","","DateFinancial|ItemId|T2.InventSiteId|T2.InventLocationId",PeriodEnding,$A199,$B199,$C199)</f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0</v>
      </c>
    </row>
    <row r="200" spans="1:8" x14ac:dyDescent="0.25">
      <c r="A200" s="8" t="s">
        <v>60</v>
      </c>
      <c r="B200" s="8" t="s">
        <v>717</v>
      </c>
      <c r="C200" s="8" t="s">
        <v>719</v>
      </c>
      <c r="D200" s="10">
        <v>0</v>
      </c>
      <c r="E200" s="10">
        <f>_xll.AtlasFormulas.AtlasFunctions.AtlasBalance("PROD",DataAreaId,"T.InventTrans|inventDimId~inventDimId@T.InventDim","Sum|Qty|0","","","","","","","DateFinancial|ItemId|T2.InventSiteId|T2.InventLocationId",PeriodBeginning,$A200,$B200,$C200)</f>
        <v>0</v>
      </c>
      <c r="F200" s="10">
        <f>_xll.AtlasFormulas.AtlasFunctions.AtlasBalance("PROD",DataAreaId,"T.InventTrans|inventDimId~inventDimId@T.InventDim","Sum|Qty|0","","","","","","","DateFinancial|ItemId|T2.InventSiteId|T2.InventLocationId",PeriodEnding,$A200,$B200,$C200)</f>
        <v>0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0</v>
      </c>
    </row>
    <row r="201" spans="1:8" x14ac:dyDescent="0.25">
      <c r="A201" s="8" t="s">
        <v>60</v>
      </c>
      <c r="B201" s="8" t="s">
        <v>717</v>
      </c>
      <c r="C201" s="8" t="s">
        <v>718</v>
      </c>
      <c r="D201" s="10">
        <v>3478.1</v>
      </c>
      <c r="E201" s="10">
        <f>_xll.AtlasFormulas.AtlasFunctions.AtlasBalance("PROD",DataAreaId,"T.InventTrans|inventDimId~inventDimId@T.InventDim","Sum|Qty|0","","","","","","","DateFinancial|ItemId|T2.InventSiteId|T2.InventLocationId",PeriodBeginning,$A201,$B201,$C201)</f>
        <v>-1000</v>
      </c>
      <c r="F201" s="10">
        <f>_xll.AtlasFormulas.AtlasFunctions.AtlasBalance("PROD",DataAreaId,"T.InventTrans|inventDimId~inventDimId@T.InventDim","Sum|Qty|0","","","","","","","DateFinancial|ItemId|T2.InventSiteId|T2.InventLocationId",PeriodEnding,$A201,$B201,$C201)</f>
        <v>0</v>
      </c>
      <c r="G201" s="10">
        <f>AtlasReport_3_Table_1[[#This Row],[Current On-hand]]-AtlasReport_3_Table_1[[#This Row],[Trans backwords (Beginning)]]</f>
        <v>4478.1000000000004</v>
      </c>
      <c r="H201" s="10">
        <f>AtlasReport_3_Table_1[[#This Row],[Current On-hand]]-AtlasReport_3_Table_1[[#This Row],[Trans backwords (Ending)]]</f>
        <v>3478.1</v>
      </c>
    </row>
    <row r="202" spans="1:8" x14ac:dyDescent="0.25">
      <c r="A202" s="8" t="s">
        <v>60</v>
      </c>
      <c r="B202" s="8" t="s">
        <v>717</v>
      </c>
      <c r="C202" s="8" t="s">
        <v>756</v>
      </c>
      <c r="D202" s="10">
        <v>0</v>
      </c>
      <c r="E202" s="10">
        <f>_xll.AtlasFormulas.AtlasFunctions.AtlasBalance("PROD",DataAreaId,"T.InventTrans|inventDimId~inventDimId@T.InventDim","Sum|Qty|0","","","","","","","DateFinancial|ItemId|T2.InventSiteId|T2.InventLocationId",PeriodBeginning,$A202,$B202,$C202)</f>
        <v>0</v>
      </c>
      <c r="F202" s="10">
        <f>_xll.AtlasFormulas.AtlasFunctions.AtlasBalance("PROD",DataAreaId,"T.InventTrans|inventDimId~inventDimId@T.InventDim","Sum|Qty|0","","","","","","","DateFinancial|ItemId|T2.InventSiteId|T2.InventLocationId",PeriodEnding,$A202,$B202,$C202)</f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0</v>
      </c>
    </row>
    <row r="203" spans="1:8" x14ac:dyDescent="0.25">
      <c r="A203" s="8" t="s">
        <v>734</v>
      </c>
      <c r="B203" s="8" t="s">
        <v>717</v>
      </c>
      <c r="C203" s="8" t="s">
        <v>73</v>
      </c>
      <c r="D203" s="10">
        <v>0</v>
      </c>
      <c r="E203" s="10">
        <f>_xll.AtlasFormulas.AtlasFunctions.AtlasBalance("PROD",DataAreaId,"T.InventTrans|inventDimId~inventDimId@T.InventDim","Sum|Qty|0","","","","","","","DateFinancial|ItemId|T2.InventSiteId|T2.InventLocationId",PeriodBeginning,$A203,$B203,$C203)</f>
        <v>0</v>
      </c>
      <c r="F203" s="10">
        <f>_xll.AtlasFormulas.AtlasFunctions.AtlasBalance("PROD",DataAreaId,"T.InventTrans|inventDimId~inventDimId@T.InventDim","Sum|Qty|0","","","","","","","DateFinancial|ItemId|T2.InventSiteId|T2.InventLocationId",PeriodEnding,$A203,$B203,$C203)</f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 x14ac:dyDescent="0.25">
      <c r="A204" s="8" t="s">
        <v>734</v>
      </c>
      <c r="B204" s="8" t="s">
        <v>717</v>
      </c>
      <c r="C204" s="8" t="s">
        <v>719</v>
      </c>
      <c r="D204" s="10">
        <v>0</v>
      </c>
      <c r="E204" s="10">
        <f>_xll.AtlasFormulas.AtlasFunctions.AtlasBalance("PROD",DataAreaId,"T.InventTrans|inventDimId~inventDimId@T.InventDim","Sum|Qty|0","","","","","","","DateFinancial|ItemId|T2.InventSiteId|T2.InventLocationId",PeriodBeginning,$A204,$B204,$C204)</f>
        <v>0</v>
      </c>
      <c r="F204" s="10">
        <f>_xll.AtlasFormulas.AtlasFunctions.AtlasBalance("PROD",DataAreaId,"T.InventTrans|inventDimId~inventDimId@T.InventDim","Sum|Qty|0","","","","","","","DateFinancial|ItemId|T2.InventSiteId|T2.InventLocationId",PeriodEnding,$A204,$B204,$C204)</f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0</v>
      </c>
    </row>
    <row r="205" spans="1:8" x14ac:dyDescent="0.25">
      <c r="A205" s="8" t="s">
        <v>734</v>
      </c>
      <c r="B205" s="8" t="s">
        <v>717</v>
      </c>
      <c r="C205" s="8" t="s">
        <v>718</v>
      </c>
      <c r="D205" s="10">
        <v>50.44</v>
      </c>
      <c r="E205" s="10">
        <f>_xll.AtlasFormulas.AtlasFunctions.AtlasBalance("PROD",DataAreaId,"T.InventTrans|inventDimId~inventDimId@T.InventDim","Sum|Qty|0","","","","","","","DateFinancial|ItemId|T2.InventSiteId|T2.InventLocationId",PeriodBeginning,$A205,$B205,$C205)</f>
        <v>24.42</v>
      </c>
      <c r="F205" s="10">
        <f>_xll.AtlasFormulas.AtlasFunctions.AtlasBalance("PROD",DataAreaId,"T.InventTrans|inventDimId~inventDimId@T.InventDim","Sum|Qty|0","","","","","","","DateFinancial|ItemId|T2.InventSiteId|T2.InventLocationId",PeriodEnding,$A205,$B205,$C205)</f>
        <v>0</v>
      </c>
      <c r="G205" s="10">
        <f>AtlasReport_3_Table_1[[#This Row],[Current On-hand]]-AtlasReport_3_Table_1[[#This Row],[Trans backwords (Beginning)]]</f>
        <v>26.019999999999996</v>
      </c>
      <c r="H205" s="10">
        <f>AtlasReport_3_Table_1[[#This Row],[Current On-hand]]-AtlasReport_3_Table_1[[#This Row],[Trans backwords (Ending)]]</f>
        <v>50.44</v>
      </c>
    </row>
    <row r="206" spans="1:8" x14ac:dyDescent="0.25">
      <c r="A206" s="8" t="s">
        <v>735</v>
      </c>
      <c r="B206" s="8" t="s">
        <v>717</v>
      </c>
      <c r="C206" s="8" t="s">
        <v>73</v>
      </c>
      <c r="D206" s="10">
        <v>0</v>
      </c>
      <c r="E206" s="10">
        <f>_xll.AtlasFormulas.AtlasFunctions.AtlasBalance("PROD",DataAreaId,"T.InventTrans|inventDimId~inventDimId@T.InventDim","Sum|Qty|0","","","","","","","DateFinancial|ItemId|T2.InventSiteId|T2.InventLocationId",PeriodBeginning,$A206,$B206,$C206)</f>
        <v>0</v>
      </c>
      <c r="F206" s="10">
        <f>_xll.AtlasFormulas.AtlasFunctions.AtlasBalance("PROD",DataAreaId,"T.InventTrans|inventDimId~inventDimId@T.InventDim","Sum|Qty|0","","","","","","","DateFinancial|ItemId|T2.InventSiteId|T2.InventLocationId",PeriodEnding,$A206,$B206,$C206)</f>
        <v>0</v>
      </c>
      <c r="G206" s="10">
        <f>AtlasReport_3_Table_1[[#This Row],[Current On-hand]]-AtlasReport_3_Table_1[[#This Row],[Trans backwords (Beginning)]]</f>
        <v>0</v>
      </c>
      <c r="H206" s="10">
        <f>AtlasReport_3_Table_1[[#This Row],[Current On-hand]]-AtlasReport_3_Table_1[[#This Row],[Trans backwords (Ending)]]</f>
        <v>0</v>
      </c>
    </row>
    <row r="207" spans="1:8" x14ac:dyDescent="0.25">
      <c r="A207" s="8" t="s">
        <v>735</v>
      </c>
      <c r="B207" s="8" t="s">
        <v>717</v>
      </c>
      <c r="C207" s="8" t="s">
        <v>718</v>
      </c>
      <c r="D207" s="10">
        <v>17.760000000000002</v>
      </c>
      <c r="E207" s="10">
        <f>_xll.AtlasFormulas.AtlasFunctions.AtlasBalance("PROD",DataAreaId,"T.InventTrans|inventDimId~inventDimId@T.InventDim","Sum|Qty|0","","","","","","","DateFinancial|ItemId|T2.InventSiteId|T2.InventLocationId",PeriodBeginning,$A207,$B207,$C207)</f>
        <v>-1.02</v>
      </c>
      <c r="F207" s="10">
        <f>_xll.AtlasFormulas.AtlasFunctions.AtlasBalance("PROD",DataAreaId,"T.InventTrans|inventDimId~inventDimId@T.InventDim","Sum|Qty|0","","","","","","","DateFinancial|ItemId|T2.InventSiteId|T2.InventLocationId",PeriodEnding,$A207,$B207,$C207)</f>
        <v>0</v>
      </c>
      <c r="G207" s="10">
        <f>AtlasReport_3_Table_1[[#This Row],[Current On-hand]]-AtlasReport_3_Table_1[[#This Row],[Trans backwords (Beginning)]]</f>
        <v>18.78</v>
      </c>
      <c r="H207" s="10">
        <f>AtlasReport_3_Table_1[[#This Row],[Current On-hand]]-AtlasReport_3_Table_1[[#This Row],[Trans backwords (Ending)]]</f>
        <v>17.760000000000002</v>
      </c>
    </row>
    <row r="208" spans="1:8" x14ac:dyDescent="0.25">
      <c r="A208" s="8" t="s">
        <v>72</v>
      </c>
      <c r="B208" s="8" t="s">
        <v>717</v>
      </c>
      <c r="C208" s="8" t="s">
        <v>719</v>
      </c>
      <c r="D208" s="10">
        <v>0</v>
      </c>
      <c r="E208" s="10">
        <f>_xll.AtlasFormulas.AtlasFunctions.AtlasBalance("PROD",DataAreaId,"T.InventTrans|inventDimId~inventDimId@T.InventDim","Sum|Qty|0","","","","","","","DateFinancial|ItemId|T2.InventSiteId|T2.InventLocationId",PeriodBeginning,$A208,$B208,$C208)</f>
        <v>0</v>
      </c>
      <c r="F208" s="10">
        <f>_xll.AtlasFormulas.AtlasFunctions.AtlasBalance("PROD",DataAreaId,"T.InventTrans|inventDimId~inventDimId@T.InventDim","Sum|Qty|0","","","","","","","DateFinancial|ItemId|T2.InventSiteId|T2.InventLocationId",PeriodEnding,$A208,$B208,$C208)</f>
        <v>0</v>
      </c>
      <c r="G208" s="10">
        <f>AtlasReport_3_Table_1[[#This Row],[Current On-hand]]-AtlasReport_3_Table_1[[#This Row],[Trans backwords (Beginning)]]</f>
        <v>0</v>
      </c>
      <c r="H208" s="10">
        <f>AtlasReport_3_Table_1[[#This Row],[Current On-hand]]-AtlasReport_3_Table_1[[#This Row],[Trans backwords (Ending)]]</f>
        <v>0</v>
      </c>
    </row>
    <row r="209" spans="1:8" x14ac:dyDescent="0.25">
      <c r="A209" s="8" t="s">
        <v>679</v>
      </c>
      <c r="B209" s="8" t="s">
        <v>717</v>
      </c>
      <c r="C209" s="8" t="s">
        <v>73</v>
      </c>
      <c r="D209" s="10">
        <v>0</v>
      </c>
      <c r="E209" s="10">
        <f>_xll.AtlasFormulas.AtlasFunctions.AtlasBalance("PROD",DataAreaId,"T.InventTrans|inventDimId~inventDimId@T.InventDim","Sum|Qty|0","","","","","","","DateFinancial|ItemId|T2.InventSiteId|T2.InventLocationId",PeriodBeginning,$A209,$B209,$C209)</f>
        <v>0</v>
      </c>
      <c r="F209" s="10">
        <f>_xll.AtlasFormulas.AtlasFunctions.AtlasBalance("PROD",DataAreaId,"T.InventTrans|inventDimId~inventDimId@T.InventDim","Sum|Qty|0","","","","","","","DateFinancial|ItemId|T2.InventSiteId|T2.InventLocationId",PeriodEnding,$A209,$B209,$C209)</f>
        <v>0</v>
      </c>
      <c r="G209" s="10">
        <f>AtlasReport_3_Table_1[[#This Row],[Current On-hand]]-AtlasReport_3_Table_1[[#This Row],[Trans backwords (Beginning)]]</f>
        <v>0</v>
      </c>
      <c r="H209" s="10">
        <f>AtlasReport_3_Table_1[[#This Row],[Current On-hand]]-AtlasReport_3_Table_1[[#This Row],[Trans backwords (Ending)]]</f>
        <v>0</v>
      </c>
    </row>
    <row r="210" spans="1:8" x14ac:dyDescent="0.25">
      <c r="A210" s="8" t="s">
        <v>679</v>
      </c>
      <c r="B210" s="8" t="s">
        <v>717</v>
      </c>
      <c r="C210" s="8" t="s">
        <v>719</v>
      </c>
      <c r="D210" s="10">
        <v>5</v>
      </c>
      <c r="E210" s="10">
        <f>_xll.AtlasFormulas.AtlasFunctions.AtlasBalance("PROD",DataAreaId,"T.InventTrans|inventDimId~inventDimId@T.InventDim","Sum|Qty|0","","","","","","","DateFinancial|ItemId|T2.InventSiteId|T2.InventLocationId",PeriodBeginning,$A210,$B210,$C210)</f>
        <v>0</v>
      </c>
      <c r="F210" s="10">
        <f>_xll.AtlasFormulas.AtlasFunctions.AtlasBalance("PROD",DataAreaId,"T.InventTrans|inventDimId~inventDimId@T.InventDim","Sum|Qty|0","","","","","","","DateFinancial|ItemId|T2.InventSiteId|T2.InventLocationId",PeriodEnding,$A210,$B210,$C210)</f>
        <v>0</v>
      </c>
      <c r="G210" s="10">
        <f>AtlasReport_3_Table_1[[#This Row],[Current On-hand]]-AtlasReport_3_Table_1[[#This Row],[Trans backwords (Beginning)]]</f>
        <v>5</v>
      </c>
      <c r="H210" s="10">
        <f>AtlasReport_3_Table_1[[#This Row],[Current On-hand]]-AtlasReport_3_Table_1[[#This Row],[Trans backwords (Ending)]]</f>
        <v>5</v>
      </c>
    </row>
    <row r="211" spans="1:8" x14ac:dyDescent="0.25">
      <c r="A211" s="8" t="s">
        <v>679</v>
      </c>
      <c r="B211" s="8" t="s">
        <v>717</v>
      </c>
      <c r="C211" s="8" t="s">
        <v>718</v>
      </c>
      <c r="D211" s="10">
        <v>0</v>
      </c>
      <c r="E211" s="10">
        <f>_xll.AtlasFormulas.AtlasFunctions.AtlasBalance("PROD",DataAreaId,"T.InventTrans|inventDimId~inventDimId@T.InventDim","Sum|Qty|0","","","","","","","DateFinancial|ItemId|T2.InventSiteId|T2.InventLocationId",PeriodBeginning,$A211,$B211,$C211)</f>
        <v>0</v>
      </c>
      <c r="F211" s="10">
        <f>_xll.AtlasFormulas.AtlasFunctions.AtlasBalance("PROD",DataAreaId,"T.InventTrans|inventDimId~inventDimId@T.InventDim","Sum|Qty|0","","","","","","","DateFinancial|ItemId|T2.InventSiteId|T2.InventLocationId",PeriodEnding,$A211,$B211,$C211)</f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 x14ac:dyDescent="0.25">
      <c r="A212" s="8" t="s">
        <v>679</v>
      </c>
      <c r="B212" s="8" t="s">
        <v>717</v>
      </c>
      <c r="C212" s="8" t="s">
        <v>756</v>
      </c>
      <c r="D212" s="10">
        <v>0</v>
      </c>
      <c r="E212" s="10">
        <f>_xll.AtlasFormulas.AtlasFunctions.AtlasBalance("PROD",DataAreaId,"T.InventTrans|inventDimId~inventDimId@T.InventDim","Sum|Qty|0","","","","","","","DateFinancial|ItemId|T2.InventSiteId|T2.InventLocationId",PeriodBeginning,$A212,$B212,$C212)</f>
        <v>0</v>
      </c>
      <c r="F212" s="10">
        <f>_xll.AtlasFormulas.AtlasFunctions.AtlasBalance("PROD",DataAreaId,"T.InventTrans|inventDimId~inventDimId@T.InventDim","Sum|Qty|0","","","","","","","DateFinancial|ItemId|T2.InventSiteId|T2.InventLocationId",PeriodEnding,$A212,$B212,$C212)</f>
        <v>0</v>
      </c>
      <c r="G212" s="10">
        <f>AtlasReport_3_Table_1[[#This Row],[Current On-hand]]-AtlasReport_3_Table_1[[#This Row],[Trans backwords (Beginning)]]</f>
        <v>0</v>
      </c>
      <c r="H212" s="10">
        <f>AtlasReport_3_Table_1[[#This Row],[Current On-hand]]-AtlasReport_3_Table_1[[#This Row],[Trans backwords (Ending)]]</f>
        <v>0</v>
      </c>
    </row>
    <row r="213" spans="1:8" x14ac:dyDescent="0.25">
      <c r="A213" s="8" t="s">
        <v>680</v>
      </c>
      <c r="B213" s="8" t="s">
        <v>717</v>
      </c>
      <c r="C213" s="8" t="s">
        <v>73</v>
      </c>
      <c r="D213" s="10">
        <v>0</v>
      </c>
      <c r="E213" s="10">
        <f>_xll.AtlasFormulas.AtlasFunctions.AtlasBalance("PROD",DataAreaId,"T.InventTrans|inventDimId~inventDimId@T.InventDim","Sum|Qty|0","","","","","","","DateFinancial|ItemId|T2.InventSiteId|T2.InventLocationId",PeriodBeginning,$A213,$B213,$C213)</f>
        <v>0</v>
      </c>
      <c r="F213" s="10">
        <f>_xll.AtlasFormulas.AtlasFunctions.AtlasBalance("PROD",DataAreaId,"T.InventTrans|inventDimId~inventDimId@T.InventDim","Sum|Qty|0","","","","","","","DateFinancial|ItemId|T2.InventSiteId|T2.InventLocationId",PeriodEnding,$A213,$B213,$C213)</f>
        <v>0</v>
      </c>
      <c r="G213" s="10">
        <f>AtlasReport_3_Table_1[[#This Row],[Current On-hand]]-AtlasReport_3_Table_1[[#This Row],[Trans backwords (Beginning)]]</f>
        <v>0</v>
      </c>
      <c r="H213" s="10">
        <f>AtlasReport_3_Table_1[[#This Row],[Current On-hand]]-AtlasReport_3_Table_1[[#This Row],[Trans backwords (Ending)]]</f>
        <v>0</v>
      </c>
    </row>
    <row r="214" spans="1:8" x14ac:dyDescent="0.25">
      <c r="A214" s="8" t="s">
        <v>680</v>
      </c>
      <c r="B214" s="8" t="s">
        <v>717</v>
      </c>
      <c r="C214" s="8" t="s">
        <v>719</v>
      </c>
      <c r="D214" s="10">
        <v>0</v>
      </c>
      <c r="E214" s="10">
        <f>_xll.AtlasFormulas.AtlasFunctions.AtlasBalance("PROD",DataAreaId,"T.InventTrans|inventDimId~inventDimId@T.InventDim","Sum|Qty|0","","","","","","","DateFinancial|ItemId|T2.InventSiteId|T2.InventLocationId",PeriodBeginning,$A214,$B214,$C214)</f>
        <v>0</v>
      </c>
      <c r="F214" s="10">
        <f>_xll.AtlasFormulas.AtlasFunctions.AtlasBalance("PROD",DataAreaId,"T.InventTrans|inventDimId~inventDimId@T.InventDim","Sum|Qty|0","","","","","","","DateFinancial|ItemId|T2.InventSiteId|T2.InventLocationId",PeriodEnding,$A214,$B214,$C214)</f>
        <v>0</v>
      </c>
      <c r="G214" s="10">
        <f>AtlasReport_3_Table_1[[#This Row],[Current On-hand]]-AtlasReport_3_Table_1[[#This Row],[Trans backwords (Beginning)]]</f>
        <v>0</v>
      </c>
      <c r="H214" s="10">
        <f>AtlasReport_3_Table_1[[#This Row],[Current On-hand]]-AtlasReport_3_Table_1[[#This Row],[Trans backwords (Ending)]]</f>
        <v>0</v>
      </c>
    </row>
    <row r="215" spans="1:8" x14ac:dyDescent="0.25">
      <c r="A215" s="8" t="s">
        <v>682</v>
      </c>
      <c r="B215" s="8" t="s">
        <v>717</v>
      </c>
      <c r="C215" s="8" t="s">
        <v>73</v>
      </c>
      <c r="D215" s="10">
        <v>0</v>
      </c>
      <c r="E215" s="10">
        <f>_xll.AtlasFormulas.AtlasFunctions.AtlasBalance("PROD",DataAreaId,"T.InventTrans|inventDimId~inventDimId@T.InventDim","Sum|Qty|0","","","","","","","DateFinancial|ItemId|T2.InventSiteId|T2.InventLocationId",PeriodBeginning,$A215,$B215,$C215)</f>
        <v>0</v>
      </c>
      <c r="F215" s="10">
        <f>_xll.AtlasFormulas.AtlasFunctions.AtlasBalance("PROD",DataAreaId,"T.InventTrans|inventDimId~inventDimId@T.InventDim","Sum|Qty|0","","","","","","","DateFinancial|ItemId|T2.InventSiteId|T2.InventLocationId",PeriodEnding,$A215,$B215,$C215)</f>
        <v>0</v>
      </c>
      <c r="G215" s="10">
        <f>AtlasReport_3_Table_1[[#This Row],[Current On-hand]]-AtlasReport_3_Table_1[[#This Row],[Trans backwords (Beginning)]]</f>
        <v>0</v>
      </c>
      <c r="H215" s="10">
        <f>AtlasReport_3_Table_1[[#This Row],[Current On-hand]]-AtlasReport_3_Table_1[[#This Row],[Trans backwords (Ending)]]</f>
        <v>0</v>
      </c>
    </row>
    <row r="216" spans="1:8" x14ac:dyDescent="0.25">
      <c r="A216" s="8" t="s">
        <v>682</v>
      </c>
      <c r="B216" s="8" t="s">
        <v>717</v>
      </c>
      <c r="C216" s="8" t="s">
        <v>719</v>
      </c>
      <c r="D216" s="10">
        <v>0</v>
      </c>
      <c r="E216" s="10">
        <f>_xll.AtlasFormulas.AtlasFunctions.AtlasBalance("PROD",DataAreaId,"T.InventTrans|inventDimId~inventDimId@T.InventDim","Sum|Qty|0","","","","","","","DateFinancial|ItemId|T2.InventSiteId|T2.InventLocationId",PeriodBeginning,$A216,$B216,$C216)</f>
        <v>0</v>
      </c>
      <c r="F216" s="10">
        <f>_xll.AtlasFormulas.AtlasFunctions.AtlasBalance("PROD",DataAreaId,"T.InventTrans|inventDimId~inventDimId@T.InventDim","Sum|Qty|0","","","","","","","DateFinancial|ItemId|T2.InventSiteId|T2.InventLocationId",PeriodEnding,$A216,$B216,$C216)</f>
        <v>0</v>
      </c>
      <c r="G216" s="10">
        <f>AtlasReport_3_Table_1[[#This Row],[Current On-hand]]-AtlasReport_3_Table_1[[#This Row],[Trans backwords (Beginning)]]</f>
        <v>0</v>
      </c>
      <c r="H216" s="10">
        <f>AtlasReport_3_Table_1[[#This Row],[Current On-hand]]-AtlasReport_3_Table_1[[#This Row],[Trans backwords (Ending)]]</f>
        <v>0</v>
      </c>
    </row>
    <row r="217" spans="1:8" x14ac:dyDescent="0.25">
      <c r="A217" s="8" t="s">
        <v>677</v>
      </c>
      <c r="B217" s="8" t="s">
        <v>717</v>
      </c>
      <c r="C217" s="8" t="s">
        <v>73</v>
      </c>
      <c r="D217" s="10">
        <v>0</v>
      </c>
      <c r="E217" s="10">
        <f>_xll.AtlasFormulas.AtlasFunctions.AtlasBalance("PROD",DataAreaId,"T.InventTrans|inventDimId~inventDimId@T.InventDim","Sum|Qty|0","","","","","","","DateFinancial|ItemId|T2.InventSiteId|T2.InventLocationId",PeriodBeginning,$A217,$B217,$C217)</f>
        <v>0</v>
      </c>
      <c r="F217" s="10">
        <f>_xll.AtlasFormulas.AtlasFunctions.AtlasBalance("PROD",DataAreaId,"T.InventTrans|inventDimId~inventDimId@T.InventDim","Sum|Qty|0","","","","","","","DateFinancial|ItemId|T2.InventSiteId|T2.InventLocationId",PeriodEnding,$A217,$B217,$C217)</f>
        <v>0</v>
      </c>
      <c r="G217" s="10">
        <f>AtlasReport_3_Table_1[[#This Row],[Current On-hand]]-AtlasReport_3_Table_1[[#This Row],[Trans backwords (Beginning)]]</f>
        <v>0</v>
      </c>
      <c r="H217" s="10">
        <f>AtlasReport_3_Table_1[[#This Row],[Current On-hand]]-AtlasReport_3_Table_1[[#This Row],[Trans backwords (Ending)]]</f>
        <v>0</v>
      </c>
    </row>
    <row r="218" spans="1:8" x14ac:dyDescent="0.25">
      <c r="A218" s="8" t="s">
        <v>677</v>
      </c>
      <c r="B218" s="8" t="s">
        <v>717</v>
      </c>
      <c r="C218" s="8" t="s">
        <v>719</v>
      </c>
      <c r="D218" s="10">
        <v>0</v>
      </c>
      <c r="E218" s="10">
        <f>_xll.AtlasFormulas.AtlasFunctions.AtlasBalance("PROD",DataAreaId,"T.InventTrans|inventDimId~inventDimId@T.InventDim","Sum|Qty|0","","","","","","","DateFinancial|ItemId|T2.InventSiteId|T2.InventLocationId",PeriodBeginning,$A218,$B218,$C218)</f>
        <v>0</v>
      </c>
      <c r="F218" s="10">
        <f>_xll.AtlasFormulas.AtlasFunctions.AtlasBalance("PROD",DataAreaId,"T.InventTrans|inventDimId~inventDimId@T.InventDim","Sum|Qty|0","","","","","","","DateFinancial|ItemId|T2.InventSiteId|T2.InventLocationId",PeriodEnding,$A218,$B218,$C218)</f>
        <v>0</v>
      </c>
      <c r="G218" s="10">
        <f>AtlasReport_3_Table_1[[#This Row],[Current On-hand]]-AtlasReport_3_Table_1[[#This Row],[Trans backwords (Beginning)]]</f>
        <v>0</v>
      </c>
      <c r="H218" s="10">
        <f>AtlasReport_3_Table_1[[#This Row],[Current On-hand]]-AtlasReport_3_Table_1[[#This Row],[Trans backwords (Ending)]]</f>
        <v>0</v>
      </c>
    </row>
    <row r="219" spans="1:8" x14ac:dyDescent="0.25">
      <c r="A219" s="8" t="s">
        <v>295</v>
      </c>
      <c r="B219" s="8" t="s">
        <v>717</v>
      </c>
      <c r="C219" s="8" t="s">
        <v>719</v>
      </c>
      <c r="D219" s="10">
        <v>2</v>
      </c>
      <c r="E219" s="10">
        <f>_xll.AtlasFormulas.AtlasFunctions.AtlasBalance("PROD",DataAreaId,"T.InventTrans|inventDimId~inventDimId@T.InventDim","Sum|Qty|0","","","","","","","DateFinancial|ItemId|T2.InventSiteId|T2.InventLocationId",PeriodBeginning,$A219,$B219,$C219)</f>
        <v>0</v>
      </c>
      <c r="F219" s="10">
        <f>_xll.AtlasFormulas.AtlasFunctions.AtlasBalance("PROD",DataAreaId,"T.InventTrans|inventDimId~inventDimId@T.InventDim","Sum|Qty|0","","","","","","","DateFinancial|ItemId|T2.InventSiteId|T2.InventLocationId",PeriodEnding,$A219,$B219,$C219)</f>
        <v>0</v>
      </c>
      <c r="G219" s="10">
        <f>AtlasReport_3_Table_1[[#This Row],[Current On-hand]]-AtlasReport_3_Table_1[[#This Row],[Trans backwords (Beginning)]]</f>
        <v>2</v>
      </c>
      <c r="H219" s="10">
        <f>AtlasReport_3_Table_1[[#This Row],[Current On-hand]]-AtlasReport_3_Table_1[[#This Row],[Trans backwords (Ending)]]</f>
        <v>2</v>
      </c>
    </row>
    <row r="220" spans="1:8" x14ac:dyDescent="0.25">
      <c r="A220" s="8" t="s">
        <v>62</v>
      </c>
      <c r="B220" s="8" t="s">
        <v>717</v>
      </c>
      <c r="C220" s="8" t="s">
        <v>73</v>
      </c>
      <c r="D220" s="10">
        <v>0</v>
      </c>
      <c r="E220" s="10">
        <f>_xll.AtlasFormulas.AtlasFunctions.AtlasBalance("PROD",DataAreaId,"T.InventTrans|inventDimId~inventDimId@T.InventDim","Sum|Qty|0","","","","","","","DateFinancial|ItemId|T2.InventSiteId|T2.InventLocationId",PeriodBeginning,$A220,$B220,$C220)</f>
        <v>0</v>
      </c>
      <c r="F220" s="10">
        <f>_xll.AtlasFormulas.AtlasFunctions.AtlasBalance("PROD",DataAreaId,"T.InventTrans|inventDimId~inventDimId@T.InventDim","Sum|Qty|0","","","","","","","DateFinancial|ItemId|T2.InventSiteId|T2.InventLocationId",PeriodEnding,$A220,$B220,$C220)</f>
        <v>0</v>
      </c>
      <c r="G220" s="10">
        <f>AtlasReport_3_Table_1[[#This Row],[Current On-hand]]-AtlasReport_3_Table_1[[#This Row],[Trans backwords (Beginning)]]</f>
        <v>0</v>
      </c>
      <c r="H220" s="10">
        <f>AtlasReport_3_Table_1[[#This Row],[Current On-hand]]-AtlasReport_3_Table_1[[#This Row],[Trans backwords (Ending)]]</f>
        <v>0</v>
      </c>
    </row>
    <row r="221" spans="1:8" x14ac:dyDescent="0.25">
      <c r="A221" s="8" t="s">
        <v>62</v>
      </c>
      <c r="B221" s="8" t="s">
        <v>717</v>
      </c>
      <c r="C221" s="8" t="s">
        <v>719</v>
      </c>
      <c r="D221" s="10">
        <v>5</v>
      </c>
      <c r="E221" s="10">
        <f>_xll.AtlasFormulas.AtlasFunctions.AtlasBalance("PROD",DataAreaId,"T.InventTrans|inventDimId~inventDimId@T.InventDim","Sum|Qty|0","","","","","","","DateFinancial|ItemId|T2.InventSiteId|T2.InventLocationId",PeriodBeginning,$A221,$B221,$C221)</f>
        <v>0</v>
      </c>
      <c r="F221" s="10">
        <f>_xll.AtlasFormulas.AtlasFunctions.AtlasBalance("PROD",DataAreaId,"T.InventTrans|inventDimId~inventDimId@T.InventDim","Sum|Qty|0","","","","","","","DateFinancial|ItemId|T2.InventSiteId|T2.InventLocationId",PeriodEnding,$A221,$B221,$C221)</f>
        <v>0</v>
      </c>
      <c r="G221" s="10">
        <f>AtlasReport_3_Table_1[[#This Row],[Current On-hand]]-AtlasReport_3_Table_1[[#This Row],[Trans backwords (Beginning)]]</f>
        <v>5</v>
      </c>
      <c r="H221" s="10">
        <f>AtlasReport_3_Table_1[[#This Row],[Current On-hand]]-AtlasReport_3_Table_1[[#This Row],[Trans backwords (Ending)]]</f>
        <v>5</v>
      </c>
    </row>
    <row r="222" spans="1:8" x14ac:dyDescent="0.25">
      <c r="A222" s="8" t="s">
        <v>299</v>
      </c>
      <c r="B222" s="8" t="s">
        <v>717</v>
      </c>
      <c r="C222" s="8" t="s">
        <v>73</v>
      </c>
      <c r="D222" s="10">
        <v>0</v>
      </c>
      <c r="E222" s="10">
        <f>_xll.AtlasFormulas.AtlasFunctions.AtlasBalance("PROD",DataAreaId,"T.InventTrans|inventDimId~inventDimId@T.InventDim","Sum|Qty|0","","","","","","","DateFinancial|ItemId|T2.InventSiteId|T2.InventLocationId",PeriodBeginning,$A222,$B222,$C222)</f>
        <v>0</v>
      </c>
      <c r="F222" s="10">
        <f>_xll.AtlasFormulas.AtlasFunctions.AtlasBalance("PROD",DataAreaId,"T.InventTrans|inventDimId~inventDimId@T.InventDim","Sum|Qty|0","","","","","","","DateFinancial|ItemId|T2.InventSiteId|T2.InventLocationId",PeriodEnding,$A222,$B222,$C222)</f>
        <v>0</v>
      </c>
      <c r="G222" s="10">
        <f>AtlasReport_3_Table_1[[#This Row],[Current On-hand]]-AtlasReport_3_Table_1[[#This Row],[Trans backwords (Beginning)]]</f>
        <v>0</v>
      </c>
      <c r="H222" s="10">
        <f>AtlasReport_3_Table_1[[#This Row],[Current On-hand]]-AtlasReport_3_Table_1[[#This Row],[Trans backwords (Ending)]]</f>
        <v>0</v>
      </c>
    </row>
    <row r="223" spans="1:8" x14ac:dyDescent="0.25">
      <c r="A223" s="8" t="s">
        <v>299</v>
      </c>
      <c r="B223" s="8" t="s">
        <v>717</v>
      </c>
      <c r="C223" s="8" t="s">
        <v>719</v>
      </c>
      <c r="D223" s="10">
        <v>0</v>
      </c>
      <c r="E223" s="10">
        <f>_xll.AtlasFormulas.AtlasFunctions.AtlasBalance("PROD",DataAreaId,"T.InventTrans|inventDimId~inventDimId@T.InventDim","Sum|Qty|0","","","","","","","DateFinancial|ItemId|T2.InventSiteId|T2.InventLocationId",PeriodBeginning,$A223,$B223,$C223)</f>
        <v>0</v>
      </c>
      <c r="F223" s="10">
        <f>_xll.AtlasFormulas.AtlasFunctions.AtlasBalance("PROD",DataAreaId,"T.InventTrans|inventDimId~inventDimId@T.InventDim","Sum|Qty|0","","","","","","","DateFinancial|ItemId|T2.InventSiteId|T2.InventLocationId",PeriodEnding,$A223,$B223,$C223)</f>
        <v>0</v>
      </c>
      <c r="G223" s="10">
        <f>AtlasReport_3_Table_1[[#This Row],[Current On-hand]]-AtlasReport_3_Table_1[[#This Row],[Trans backwords (Beginning)]]</f>
        <v>0</v>
      </c>
      <c r="H223" s="10">
        <f>AtlasReport_3_Table_1[[#This Row],[Current On-hand]]-AtlasReport_3_Table_1[[#This Row],[Trans backwords (Ending)]]</f>
        <v>0</v>
      </c>
    </row>
    <row r="224" spans="1:8" x14ac:dyDescent="0.25">
      <c r="A224" s="8" t="s">
        <v>299</v>
      </c>
      <c r="B224" s="8" t="s">
        <v>717</v>
      </c>
      <c r="C224" s="8" t="s">
        <v>718</v>
      </c>
      <c r="D224" s="10">
        <v>0</v>
      </c>
      <c r="E224" s="10">
        <f>_xll.AtlasFormulas.AtlasFunctions.AtlasBalance("PROD",DataAreaId,"T.InventTrans|inventDimId~inventDimId@T.InventDim","Sum|Qty|0","","","","","","","DateFinancial|ItemId|T2.InventSiteId|T2.InventLocationId",PeriodBeginning,$A224,$B224,$C224)</f>
        <v>0</v>
      </c>
      <c r="F224" s="10">
        <f>_xll.AtlasFormulas.AtlasFunctions.AtlasBalance("PROD",DataAreaId,"T.InventTrans|inventDimId~inventDimId@T.InventDim","Sum|Qty|0","","","","","","","DateFinancial|ItemId|T2.InventSiteId|T2.InventLocationId",PeriodEnding,$A224,$B224,$C224)</f>
        <v>0</v>
      </c>
      <c r="G224" s="10">
        <f>AtlasReport_3_Table_1[[#This Row],[Current On-hand]]-AtlasReport_3_Table_1[[#This Row],[Trans backwords (Beginning)]]</f>
        <v>0</v>
      </c>
      <c r="H224" s="10">
        <f>AtlasReport_3_Table_1[[#This Row],[Current On-hand]]-AtlasReport_3_Table_1[[#This Row],[Trans backwords (Ending)]]</f>
        <v>0</v>
      </c>
    </row>
    <row r="225" spans="1:8" x14ac:dyDescent="0.25">
      <c r="A225" s="8" t="s">
        <v>299</v>
      </c>
      <c r="B225" s="8" t="s">
        <v>717</v>
      </c>
      <c r="C225" s="8" t="s">
        <v>756</v>
      </c>
      <c r="D225" s="10">
        <v>0</v>
      </c>
      <c r="E225" s="10">
        <f>_xll.AtlasFormulas.AtlasFunctions.AtlasBalance("PROD",DataAreaId,"T.InventTrans|inventDimId~inventDimId@T.InventDim","Sum|Qty|0","","","","","","","DateFinancial|ItemId|T2.InventSiteId|T2.InventLocationId",PeriodBeginning,$A225,$B225,$C225)</f>
        <v>0</v>
      </c>
      <c r="F225" s="10">
        <f>_xll.AtlasFormulas.AtlasFunctions.AtlasBalance("PROD",DataAreaId,"T.InventTrans|inventDimId~inventDimId@T.InventDim","Sum|Qty|0","","","","","","","DateFinancial|ItemId|T2.InventSiteId|T2.InventLocationId",PeriodEnding,$A225,$B225,$C225)</f>
        <v>0</v>
      </c>
      <c r="G225" s="10">
        <f>AtlasReport_3_Table_1[[#This Row],[Current On-hand]]-AtlasReport_3_Table_1[[#This Row],[Trans backwords (Beginning)]]</f>
        <v>0</v>
      </c>
      <c r="H225" s="10">
        <f>AtlasReport_3_Table_1[[#This Row],[Current On-hand]]-AtlasReport_3_Table_1[[#This Row],[Trans backwords (Ending)]]</f>
        <v>0</v>
      </c>
    </row>
    <row r="226" spans="1:8" x14ac:dyDescent="0.25">
      <c r="A226" s="8" t="s">
        <v>300</v>
      </c>
      <c r="B226" s="8" t="s">
        <v>717</v>
      </c>
      <c r="C226" s="8" t="s">
        <v>73</v>
      </c>
      <c r="D226" s="10">
        <v>0</v>
      </c>
      <c r="E226" s="10">
        <f>_xll.AtlasFormulas.AtlasFunctions.AtlasBalance("PROD",DataAreaId,"T.InventTrans|inventDimId~inventDimId@T.InventDim","Sum|Qty|0","","","","","","","DateFinancial|ItemId|T2.InventSiteId|T2.InventLocationId",PeriodBeginning,$A226,$B226,$C226)</f>
        <v>0</v>
      </c>
      <c r="F226" s="10">
        <f>_xll.AtlasFormulas.AtlasFunctions.AtlasBalance("PROD",DataAreaId,"T.InventTrans|inventDimId~inventDimId@T.InventDim","Sum|Qty|0","","","","","","","DateFinancial|ItemId|T2.InventSiteId|T2.InventLocationId",PeriodEnding,$A226,$B226,$C226)</f>
        <v>0</v>
      </c>
      <c r="G226" s="10">
        <f>AtlasReport_3_Table_1[[#This Row],[Current On-hand]]-AtlasReport_3_Table_1[[#This Row],[Trans backwords (Beginning)]]</f>
        <v>0</v>
      </c>
      <c r="H226" s="10">
        <f>AtlasReport_3_Table_1[[#This Row],[Current On-hand]]-AtlasReport_3_Table_1[[#This Row],[Trans backwords (Ending)]]</f>
        <v>0</v>
      </c>
    </row>
    <row r="227" spans="1:8" x14ac:dyDescent="0.25">
      <c r="A227" s="8" t="s">
        <v>300</v>
      </c>
      <c r="B227" s="8" t="s">
        <v>717</v>
      </c>
      <c r="C227" s="8" t="s">
        <v>719</v>
      </c>
      <c r="D227" s="10">
        <v>0</v>
      </c>
      <c r="E227" s="10">
        <f>_xll.AtlasFormulas.AtlasFunctions.AtlasBalance("PROD",DataAreaId,"T.InventTrans|inventDimId~inventDimId@T.InventDim","Sum|Qty|0","","","","","","","DateFinancial|ItemId|T2.InventSiteId|T2.InventLocationId",PeriodBeginning,$A227,$B227,$C227)</f>
        <v>0</v>
      </c>
      <c r="F227" s="10">
        <f>_xll.AtlasFormulas.AtlasFunctions.AtlasBalance("PROD",DataAreaId,"T.InventTrans|inventDimId~inventDimId@T.InventDim","Sum|Qty|0","","","","","","","DateFinancial|ItemId|T2.InventSiteId|T2.InventLocationId",PeriodEnding,$A227,$B227,$C227)</f>
        <v>0</v>
      </c>
      <c r="G227" s="10">
        <f>AtlasReport_3_Table_1[[#This Row],[Current On-hand]]-AtlasReport_3_Table_1[[#This Row],[Trans backwords (Beginning)]]</f>
        <v>0</v>
      </c>
      <c r="H227" s="10">
        <f>AtlasReport_3_Table_1[[#This Row],[Current On-hand]]-AtlasReport_3_Table_1[[#This Row],[Trans backwords (Ending)]]</f>
        <v>0</v>
      </c>
    </row>
    <row r="228" spans="1:8" x14ac:dyDescent="0.25">
      <c r="A228" s="8" t="s">
        <v>300</v>
      </c>
      <c r="B228" s="8" t="s">
        <v>717</v>
      </c>
      <c r="C228" s="8" t="s">
        <v>718</v>
      </c>
      <c r="D228" s="10">
        <v>0</v>
      </c>
      <c r="E228" s="10">
        <f>_xll.AtlasFormulas.AtlasFunctions.AtlasBalance("PROD",DataAreaId,"T.InventTrans|inventDimId~inventDimId@T.InventDim","Sum|Qty|0","","","","","","","DateFinancial|ItemId|T2.InventSiteId|T2.InventLocationId",PeriodBeginning,$A228,$B228,$C228)</f>
        <v>0</v>
      </c>
      <c r="F228" s="10">
        <f>_xll.AtlasFormulas.AtlasFunctions.AtlasBalance("PROD",DataAreaId,"T.InventTrans|inventDimId~inventDimId@T.InventDim","Sum|Qty|0","","","","","","","DateFinancial|ItemId|T2.InventSiteId|T2.InventLocationId",PeriodEnding,$A228,$B228,$C228)</f>
        <v>0</v>
      </c>
      <c r="G228" s="10">
        <f>AtlasReport_3_Table_1[[#This Row],[Current On-hand]]-AtlasReport_3_Table_1[[#This Row],[Trans backwords (Beginning)]]</f>
        <v>0</v>
      </c>
      <c r="H228" s="10">
        <f>AtlasReport_3_Table_1[[#This Row],[Current On-hand]]-AtlasReport_3_Table_1[[#This Row],[Trans backwords (Ending)]]</f>
        <v>0</v>
      </c>
    </row>
    <row r="229" spans="1:8" x14ac:dyDescent="0.25">
      <c r="A229" s="8" t="s">
        <v>300</v>
      </c>
      <c r="B229" s="8" t="s">
        <v>717</v>
      </c>
      <c r="C229" s="8" t="s">
        <v>756</v>
      </c>
      <c r="D229" s="10">
        <v>0</v>
      </c>
      <c r="E229" s="10">
        <f>_xll.AtlasFormulas.AtlasFunctions.AtlasBalance("PROD",DataAreaId,"T.InventTrans|inventDimId~inventDimId@T.InventDim","Sum|Qty|0","","","","","","","DateFinancial|ItemId|T2.InventSiteId|T2.InventLocationId",PeriodBeginning,$A229,$B229,$C229)</f>
        <v>0</v>
      </c>
      <c r="F229" s="10">
        <f>_xll.AtlasFormulas.AtlasFunctions.AtlasBalance("PROD",DataAreaId,"T.InventTrans|inventDimId~inventDimId@T.InventDim","Sum|Qty|0","","","","","","","DateFinancial|ItemId|T2.InventSiteId|T2.InventLocationId",PeriodEnding,$A229,$B229,$C229)</f>
        <v>0</v>
      </c>
      <c r="G229" s="10">
        <f>AtlasReport_3_Table_1[[#This Row],[Current On-hand]]-AtlasReport_3_Table_1[[#This Row],[Trans backwords (Beginning)]]</f>
        <v>0</v>
      </c>
      <c r="H229" s="10">
        <f>AtlasReport_3_Table_1[[#This Row],[Current On-hand]]-AtlasReport_3_Table_1[[#This Row],[Trans backwords (Ending)]]</f>
        <v>0</v>
      </c>
    </row>
    <row r="230" spans="1:8" x14ac:dyDescent="0.25">
      <c r="A230" s="8" t="s">
        <v>301</v>
      </c>
      <c r="B230" s="8" t="s">
        <v>717</v>
      </c>
      <c r="C230" s="8" t="s">
        <v>73</v>
      </c>
      <c r="D230" s="10">
        <v>0</v>
      </c>
      <c r="E230" s="10">
        <f>_xll.AtlasFormulas.AtlasFunctions.AtlasBalance("PROD",DataAreaId,"T.InventTrans|inventDimId~inventDimId@T.InventDim","Sum|Qty|0","","","","","","","DateFinancial|ItemId|T2.InventSiteId|T2.InventLocationId",PeriodBeginning,$A230,$B230,$C230)</f>
        <v>0</v>
      </c>
      <c r="F230" s="10">
        <f>_xll.AtlasFormulas.AtlasFunctions.AtlasBalance("PROD",DataAreaId,"T.InventTrans|inventDimId~inventDimId@T.InventDim","Sum|Qty|0","","","","","","","DateFinancial|ItemId|T2.InventSiteId|T2.InventLocationId",PeriodEnding,$A230,$B230,$C230)</f>
        <v>0</v>
      </c>
      <c r="G230" s="10">
        <f>AtlasReport_3_Table_1[[#This Row],[Current On-hand]]-AtlasReport_3_Table_1[[#This Row],[Trans backwords (Beginning)]]</f>
        <v>0</v>
      </c>
      <c r="H230" s="10">
        <f>AtlasReport_3_Table_1[[#This Row],[Current On-hand]]-AtlasReport_3_Table_1[[#This Row],[Trans backwords (Ending)]]</f>
        <v>0</v>
      </c>
    </row>
    <row r="231" spans="1:8" x14ac:dyDescent="0.25">
      <c r="A231" s="8" t="s">
        <v>301</v>
      </c>
      <c r="B231" s="8" t="s">
        <v>717</v>
      </c>
      <c r="C231" s="8" t="s">
        <v>719</v>
      </c>
      <c r="D231" s="10">
        <v>0</v>
      </c>
      <c r="E231" s="10">
        <f>_xll.AtlasFormulas.AtlasFunctions.AtlasBalance("PROD",DataAreaId,"T.InventTrans|inventDimId~inventDimId@T.InventDim","Sum|Qty|0","","","","","","","DateFinancial|ItemId|T2.InventSiteId|T2.InventLocationId",PeriodBeginning,$A231,$B231,$C231)</f>
        <v>0</v>
      </c>
      <c r="F231" s="10">
        <f>_xll.AtlasFormulas.AtlasFunctions.AtlasBalance("PROD",DataAreaId,"T.InventTrans|inventDimId~inventDimId@T.InventDim","Sum|Qty|0","","","","","","","DateFinancial|ItemId|T2.InventSiteId|T2.InventLocationId",PeriodEnding,$A231,$B231,$C231)</f>
        <v>0</v>
      </c>
      <c r="G231" s="10">
        <f>AtlasReport_3_Table_1[[#This Row],[Current On-hand]]-AtlasReport_3_Table_1[[#This Row],[Trans backwords (Beginning)]]</f>
        <v>0</v>
      </c>
      <c r="H231" s="10">
        <f>AtlasReport_3_Table_1[[#This Row],[Current On-hand]]-AtlasReport_3_Table_1[[#This Row],[Trans backwords (Ending)]]</f>
        <v>0</v>
      </c>
    </row>
    <row r="232" spans="1:8" x14ac:dyDescent="0.25">
      <c r="A232" s="8" t="s">
        <v>301</v>
      </c>
      <c r="B232" s="8" t="s">
        <v>717</v>
      </c>
      <c r="C232" s="8" t="s">
        <v>718</v>
      </c>
      <c r="D232" s="10">
        <v>0</v>
      </c>
      <c r="E232" s="10">
        <f>_xll.AtlasFormulas.AtlasFunctions.AtlasBalance("PROD",DataAreaId,"T.InventTrans|inventDimId~inventDimId@T.InventDim","Sum|Qty|0","","","","","","","DateFinancial|ItemId|T2.InventSiteId|T2.InventLocationId",PeriodBeginning,$A232,$B232,$C232)</f>
        <v>0</v>
      </c>
      <c r="F232" s="10">
        <f>_xll.AtlasFormulas.AtlasFunctions.AtlasBalance("PROD",DataAreaId,"T.InventTrans|inventDimId~inventDimId@T.InventDim","Sum|Qty|0","","","","","","","DateFinancial|ItemId|T2.InventSiteId|T2.InventLocationId",PeriodEnding,$A232,$B232,$C232)</f>
        <v>0</v>
      </c>
      <c r="G232" s="10">
        <f>AtlasReport_3_Table_1[[#This Row],[Current On-hand]]-AtlasReport_3_Table_1[[#This Row],[Trans backwords (Beginning)]]</f>
        <v>0</v>
      </c>
      <c r="H232" s="10">
        <f>AtlasReport_3_Table_1[[#This Row],[Current On-hand]]-AtlasReport_3_Table_1[[#This Row],[Trans backwords (Ending)]]</f>
        <v>0</v>
      </c>
    </row>
    <row r="233" spans="1:8" x14ac:dyDescent="0.25">
      <c r="A233" s="8" t="s">
        <v>301</v>
      </c>
      <c r="B233" s="8" t="s">
        <v>717</v>
      </c>
      <c r="C233" s="8" t="s">
        <v>756</v>
      </c>
      <c r="D233" s="10">
        <v>0</v>
      </c>
      <c r="E233" s="10">
        <f>_xll.AtlasFormulas.AtlasFunctions.AtlasBalance("PROD",DataAreaId,"T.InventTrans|inventDimId~inventDimId@T.InventDim","Sum|Qty|0","","","","","","","DateFinancial|ItemId|T2.InventSiteId|T2.InventLocationId",PeriodBeginning,$A233,$B233,$C233)</f>
        <v>0</v>
      </c>
      <c r="F233" s="10">
        <f>_xll.AtlasFormulas.AtlasFunctions.AtlasBalance("PROD",DataAreaId,"T.InventTrans|inventDimId~inventDimId@T.InventDim","Sum|Qty|0","","","","","","","DateFinancial|ItemId|T2.InventSiteId|T2.InventLocationId",PeriodEnding,$A233,$B233,$C233)</f>
        <v>0</v>
      </c>
      <c r="G233" s="10">
        <f>AtlasReport_3_Table_1[[#This Row],[Current On-hand]]-AtlasReport_3_Table_1[[#This Row],[Trans backwords (Beginning)]]</f>
        <v>0</v>
      </c>
      <c r="H233" s="10">
        <f>AtlasReport_3_Table_1[[#This Row],[Current On-hand]]-AtlasReport_3_Table_1[[#This Row],[Trans backwords (Ending)]]</f>
        <v>0</v>
      </c>
    </row>
    <row r="234" spans="1:8" x14ac:dyDescent="0.25">
      <c r="A234" s="8" t="s">
        <v>736</v>
      </c>
      <c r="B234" s="8" t="s">
        <v>717</v>
      </c>
      <c r="C234" s="8" t="s">
        <v>73</v>
      </c>
      <c r="D234" s="10">
        <v>0</v>
      </c>
      <c r="E234" s="10">
        <f>_xll.AtlasFormulas.AtlasFunctions.AtlasBalance("PROD",DataAreaId,"T.InventTrans|inventDimId~inventDimId@T.InventDim","Sum|Qty|0","","","","","","","DateFinancial|ItemId|T2.InventSiteId|T2.InventLocationId",PeriodBeginning,$A234,$B234,$C234)</f>
        <v>0</v>
      </c>
      <c r="F234" s="10">
        <f>_xll.AtlasFormulas.AtlasFunctions.AtlasBalance("PROD",DataAreaId,"T.InventTrans|inventDimId~inventDimId@T.InventDim","Sum|Qty|0","","","","","","","DateFinancial|ItemId|T2.InventSiteId|T2.InventLocationId",PeriodEnding,$A234,$B234,$C234)</f>
        <v>0</v>
      </c>
      <c r="G234" s="10">
        <f>AtlasReport_3_Table_1[[#This Row],[Current On-hand]]-AtlasReport_3_Table_1[[#This Row],[Trans backwords (Beginning)]]</f>
        <v>0</v>
      </c>
      <c r="H234" s="10">
        <f>AtlasReport_3_Table_1[[#This Row],[Current On-hand]]-AtlasReport_3_Table_1[[#This Row],[Trans backwords (Ending)]]</f>
        <v>0</v>
      </c>
    </row>
    <row r="235" spans="1:8" x14ac:dyDescent="0.25">
      <c r="A235" s="8" t="s">
        <v>736</v>
      </c>
      <c r="B235" s="8" t="s">
        <v>717</v>
      </c>
      <c r="C235" s="8" t="s">
        <v>718</v>
      </c>
      <c r="D235" s="10">
        <v>1.05</v>
      </c>
      <c r="E235" s="10">
        <f>_xll.AtlasFormulas.AtlasFunctions.AtlasBalance("PROD",DataAreaId,"T.InventTrans|inventDimId~inventDimId@T.InventDim","Sum|Qty|0","","","","","","","DateFinancial|ItemId|T2.InventSiteId|T2.InventLocationId",PeriodBeginning,$A235,$B235,$C235)</f>
        <v>-2.0299999999999998</v>
      </c>
      <c r="F235" s="10">
        <f>_xll.AtlasFormulas.AtlasFunctions.AtlasBalance("PROD",DataAreaId,"T.InventTrans|inventDimId~inventDimId@T.InventDim","Sum|Qty|0","","","","","","","DateFinancial|ItemId|T2.InventSiteId|T2.InventLocationId",PeriodEnding,$A235,$B235,$C235)</f>
        <v>0</v>
      </c>
      <c r="G235" s="10">
        <f>AtlasReport_3_Table_1[[#This Row],[Current On-hand]]-AtlasReport_3_Table_1[[#This Row],[Trans backwords (Beginning)]]</f>
        <v>3.08</v>
      </c>
      <c r="H235" s="10">
        <f>AtlasReport_3_Table_1[[#This Row],[Current On-hand]]-AtlasReport_3_Table_1[[#This Row],[Trans backwords (Ending)]]</f>
        <v>1.05</v>
      </c>
    </row>
    <row r="236" spans="1:8" x14ac:dyDescent="0.25">
      <c r="A236" s="8" t="s">
        <v>737</v>
      </c>
      <c r="B236" s="8" t="s">
        <v>717</v>
      </c>
      <c r="C236" s="8" t="s">
        <v>73</v>
      </c>
      <c r="D236" s="10">
        <v>0</v>
      </c>
      <c r="E236" s="10">
        <f>_xll.AtlasFormulas.AtlasFunctions.AtlasBalance("PROD",DataAreaId,"T.InventTrans|inventDimId~inventDimId@T.InventDim","Sum|Qty|0","","","","","","","DateFinancial|ItemId|T2.InventSiteId|T2.InventLocationId",PeriodBeginning,$A236,$B236,$C236)</f>
        <v>0</v>
      </c>
      <c r="F236" s="10">
        <f>_xll.AtlasFormulas.AtlasFunctions.AtlasBalance("PROD",DataAreaId,"T.InventTrans|inventDimId~inventDimId@T.InventDim","Sum|Qty|0","","","","","","","DateFinancial|ItemId|T2.InventSiteId|T2.InventLocationId",PeriodEnding,$A236,$B236,$C236)</f>
        <v>0</v>
      </c>
      <c r="G236" s="10">
        <f>AtlasReport_3_Table_1[[#This Row],[Current On-hand]]-AtlasReport_3_Table_1[[#This Row],[Trans backwords (Beginning)]]</f>
        <v>0</v>
      </c>
      <c r="H236" s="10">
        <f>AtlasReport_3_Table_1[[#This Row],[Current On-hand]]-AtlasReport_3_Table_1[[#This Row],[Trans backwords (Ending)]]</f>
        <v>0</v>
      </c>
    </row>
    <row r="237" spans="1:8" x14ac:dyDescent="0.25">
      <c r="A237" s="8" t="s">
        <v>737</v>
      </c>
      <c r="B237" s="8" t="s">
        <v>717</v>
      </c>
      <c r="C237" s="8" t="s">
        <v>719</v>
      </c>
      <c r="D237" s="10">
        <v>0</v>
      </c>
      <c r="E237" s="10">
        <f>_xll.AtlasFormulas.AtlasFunctions.AtlasBalance("PROD",DataAreaId,"T.InventTrans|inventDimId~inventDimId@T.InventDim","Sum|Qty|0","","","","","","","DateFinancial|ItemId|T2.InventSiteId|T2.InventLocationId",PeriodBeginning,$A237,$B237,$C237)</f>
        <v>0</v>
      </c>
      <c r="F237" s="10">
        <f>_xll.AtlasFormulas.AtlasFunctions.AtlasBalance("PROD",DataAreaId,"T.InventTrans|inventDimId~inventDimId@T.InventDim","Sum|Qty|0","","","","","","","DateFinancial|ItemId|T2.InventSiteId|T2.InventLocationId",PeriodEnding,$A237,$B237,$C237)</f>
        <v>0</v>
      </c>
      <c r="G237" s="10">
        <f>AtlasReport_3_Table_1[[#This Row],[Current On-hand]]-AtlasReport_3_Table_1[[#This Row],[Trans backwords (Beginning)]]</f>
        <v>0</v>
      </c>
      <c r="H237" s="10">
        <f>AtlasReport_3_Table_1[[#This Row],[Current On-hand]]-AtlasReport_3_Table_1[[#This Row],[Trans backwords (Ending)]]</f>
        <v>0</v>
      </c>
    </row>
    <row r="238" spans="1:8" x14ac:dyDescent="0.25">
      <c r="A238" s="8" t="s">
        <v>737</v>
      </c>
      <c r="B238" s="8" t="s">
        <v>717</v>
      </c>
      <c r="C238" s="8" t="s">
        <v>718</v>
      </c>
      <c r="D238" s="10">
        <v>32.25</v>
      </c>
      <c r="E238" s="10">
        <f>_xll.AtlasFormulas.AtlasFunctions.AtlasBalance("PROD",DataAreaId,"T.InventTrans|inventDimId~inventDimId@T.InventDim","Sum|Qty|0","","","","","","","DateFinancial|ItemId|T2.InventSiteId|T2.InventLocationId",PeriodBeginning,$A238,$B238,$C238)</f>
        <v>16.5</v>
      </c>
      <c r="F238" s="10">
        <f>_xll.AtlasFormulas.AtlasFunctions.AtlasBalance("PROD",DataAreaId,"T.InventTrans|inventDimId~inventDimId@T.InventDim","Sum|Qty|0","","","","","","","DateFinancial|ItemId|T2.InventSiteId|T2.InventLocationId",PeriodEnding,$A238,$B238,$C238)</f>
        <v>0</v>
      </c>
      <c r="G238" s="10">
        <f>AtlasReport_3_Table_1[[#This Row],[Current On-hand]]-AtlasReport_3_Table_1[[#This Row],[Trans backwords (Beginning)]]</f>
        <v>15.75</v>
      </c>
      <c r="H238" s="10">
        <f>AtlasReport_3_Table_1[[#This Row],[Current On-hand]]-AtlasReport_3_Table_1[[#This Row],[Trans backwords (Ending)]]</f>
        <v>32.25</v>
      </c>
    </row>
    <row r="239" spans="1:8" x14ac:dyDescent="0.25">
      <c r="A239" s="8" t="s">
        <v>737</v>
      </c>
      <c r="B239" s="8" t="s">
        <v>717</v>
      </c>
      <c r="C239" s="8" t="s">
        <v>756</v>
      </c>
      <c r="D239" s="10">
        <v>0</v>
      </c>
      <c r="E239" s="10">
        <f>_xll.AtlasFormulas.AtlasFunctions.AtlasBalance("PROD",DataAreaId,"T.InventTrans|inventDimId~inventDimId@T.InventDim","Sum|Qty|0","","","","","","","DateFinancial|ItemId|T2.InventSiteId|T2.InventLocationId",PeriodBeginning,$A239,$B239,$C239)</f>
        <v>0</v>
      </c>
      <c r="F239" s="10">
        <f>_xll.AtlasFormulas.AtlasFunctions.AtlasBalance("PROD",DataAreaId,"T.InventTrans|inventDimId~inventDimId@T.InventDim","Sum|Qty|0","","","","","","","DateFinancial|ItemId|T2.InventSiteId|T2.InventLocationId",PeriodEnding,$A239,$B239,$C239)</f>
        <v>0</v>
      </c>
      <c r="G239" s="10">
        <f>AtlasReport_3_Table_1[[#This Row],[Current On-hand]]-AtlasReport_3_Table_1[[#This Row],[Trans backwords (Beginning)]]</f>
        <v>0</v>
      </c>
      <c r="H239" s="10">
        <f>AtlasReport_3_Table_1[[#This Row],[Current On-hand]]-AtlasReport_3_Table_1[[#This Row],[Trans backwords (Ending)]]</f>
        <v>0</v>
      </c>
    </row>
    <row r="240" spans="1:8" x14ac:dyDescent="0.25">
      <c r="A240" s="8" t="s">
        <v>738</v>
      </c>
      <c r="B240" s="8" t="s">
        <v>717</v>
      </c>
      <c r="C240" s="8" t="s">
        <v>73</v>
      </c>
      <c r="D240" s="10">
        <v>0</v>
      </c>
      <c r="E240" s="10">
        <f>_xll.AtlasFormulas.AtlasFunctions.AtlasBalance("PROD",DataAreaId,"T.InventTrans|inventDimId~inventDimId@T.InventDim","Sum|Qty|0","","","","","","","DateFinancial|ItemId|T2.InventSiteId|T2.InventLocationId",PeriodBeginning,$A240,$B240,$C240)</f>
        <v>0</v>
      </c>
      <c r="F240" s="10">
        <f>_xll.AtlasFormulas.AtlasFunctions.AtlasBalance("PROD",DataAreaId,"T.InventTrans|inventDimId~inventDimId@T.InventDim","Sum|Qty|0","","","","","","","DateFinancial|ItemId|T2.InventSiteId|T2.InventLocationId",PeriodEnding,$A240,$B240,$C240)</f>
        <v>0</v>
      </c>
      <c r="G240" s="10">
        <f>AtlasReport_3_Table_1[[#This Row],[Current On-hand]]-AtlasReport_3_Table_1[[#This Row],[Trans backwords (Beginning)]]</f>
        <v>0</v>
      </c>
      <c r="H240" s="10">
        <f>AtlasReport_3_Table_1[[#This Row],[Current On-hand]]-AtlasReport_3_Table_1[[#This Row],[Trans backwords (Ending)]]</f>
        <v>0</v>
      </c>
    </row>
    <row r="241" spans="1:8" x14ac:dyDescent="0.25">
      <c r="A241" s="8" t="s">
        <v>738</v>
      </c>
      <c r="B241" s="8" t="s">
        <v>717</v>
      </c>
      <c r="C241" s="8" t="s">
        <v>719</v>
      </c>
      <c r="D241" s="10">
        <v>0</v>
      </c>
      <c r="E241" s="10">
        <f>_xll.AtlasFormulas.AtlasFunctions.AtlasBalance("PROD",DataAreaId,"T.InventTrans|inventDimId~inventDimId@T.InventDim","Sum|Qty|0","","","","","","","DateFinancial|ItemId|T2.InventSiteId|T2.InventLocationId",PeriodBeginning,$A241,$B241,$C241)</f>
        <v>0</v>
      </c>
      <c r="F241" s="10">
        <f>_xll.AtlasFormulas.AtlasFunctions.AtlasBalance("PROD",DataAreaId,"T.InventTrans|inventDimId~inventDimId@T.InventDim","Sum|Qty|0","","","","","","","DateFinancial|ItemId|T2.InventSiteId|T2.InventLocationId",PeriodEnding,$A241,$B241,$C241)</f>
        <v>0</v>
      </c>
      <c r="G241" s="10">
        <f>AtlasReport_3_Table_1[[#This Row],[Current On-hand]]-AtlasReport_3_Table_1[[#This Row],[Trans backwords (Beginning)]]</f>
        <v>0</v>
      </c>
      <c r="H241" s="10">
        <f>AtlasReport_3_Table_1[[#This Row],[Current On-hand]]-AtlasReport_3_Table_1[[#This Row],[Trans backwords (Ending)]]</f>
        <v>0</v>
      </c>
    </row>
    <row r="242" spans="1:8" x14ac:dyDescent="0.25">
      <c r="A242" s="8" t="s">
        <v>738</v>
      </c>
      <c r="B242" s="8" t="s">
        <v>717</v>
      </c>
      <c r="C242" s="8" t="s">
        <v>718</v>
      </c>
      <c r="D242" s="10">
        <v>75.53</v>
      </c>
      <c r="E242" s="10">
        <f>_xll.AtlasFormulas.AtlasFunctions.AtlasBalance("PROD",DataAreaId,"T.InventTrans|inventDimId~inventDimId@T.InventDim","Sum|Qty|0","","","","","","","DateFinancial|ItemId|T2.InventSiteId|T2.InventLocationId",PeriodBeginning,$A242,$B242,$C242)</f>
        <v>48.55</v>
      </c>
      <c r="F242" s="10">
        <f>_xll.AtlasFormulas.AtlasFunctions.AtlasBalance("PROD",DataAreaId,"T.InventTrans|inventDimId~inventDimId@T.InventDim","Sum|Qty|0","","","","","","","DateFinancial|ItemId|T2.InventSiteId|T2.InventLocationId",PeriodEnding,$A242,$B242,$C242)</f>
        <v>0</v>
      </c>
      <c r="G242" s="10">
        <f>AtlasReport_3_Table_1[[#This Row],[Current On-hand]]-AtlasReport_3_Table_1[[#This Row],[Trans backwords (Beginning)]]</f>
        <v>26.980000000000004</v>
      </c>
      <c r="H242" s="10">
        <f>AtlasReport_3_Table_1[[#This Row],[Current On-hand]]-AtlasReport_3_Table_1[[#This Row],[Trans backwords (Ending)]]</f>
        <v>75.53</v>
      </c>
    </row>
    <row r="243" spans="1:8" x14ac:dyDescent="0.25">
      <c r="A243" s="8" t="s">
        <v>739</v>
      </c>
      <c r="B243" s="8" t="s">
        <v>717</v>
      </c>
      <c r="C243" s="8" t="s">
        <v>718</v>
      </c>
      <c r="D243" s="10">
        <v>20</v>
      </c>
      <c r="E243" s="10">
        <f>_xll.AtlasFormulas.AtlasFunctions.AtlasBalance("PROD",DataAreaId,"T.InventTrans|inventDimId~inventDimId@T.InventDim","Sum|Qty|0","","","","","","","DateFinancial|ItemId|T2.InventSiteId|T2.InventLocationId",PeriodBeginning,$A243,$B243,$C243)</f>
        <v>0</v>
      </c>
      <c r="F243" s="10">
        <f>_xll.AtlasFormulas.AtlasFunctions.AtlasBalance("PROD",DataAreaId,"T.InventTrans|inventDimId~inventDimId@T.InventDim","Sum|Qty|0","","","","","","","DateFinancial|ItemId|T2.InventSiteId|T2.InventLocationId",PeriodEnding,$A243,$B243,$C243)</f>
        <v>0</v>
      </c>
      <c r="G243" s="10">
        <f>AtlasReport_3_Table_1[[#This Row],[Current On-hand]]-AtlasReport_3_Table_1[[#This Row],[Trans backwords (Beginning)]]</f>
        <v>20</v>
      </c>
      <c r="H243" s="10">
        <f>AtlasReport_3_Table_1[[#This Row],[Current On-hand]]-AtlasReport_3_Table_1[[#This Row],[Trans backwords (Ending)]]</f>
        <v>20</v>
      </c>
    </row>
    <row r="244" spans="1:8" x14ac:dyDescent="0.25">
      <c r="A244" s="8" t="s">
        <v>740</v>
      </c>
      <c r="B244" s="8" t="s">
        <v>717</v>
      </c>
      <c r="C244" s="8" t="s">
        <v>73</v>
      </c>
      <c r="D244" s="10">
        <v>0</v>
      </c>
      <c r="E244" s="10">
        <f>_xll.AtlasFormulas.AtlasFunctions.AtlasBalance("PROD",DataAreaId,"T.InventTrans|inventDimId~inventDimId@T.InventDim","Sum|Qty|0","","","","","","","DateFinancial|ItemId|T2.InventSiteId|T2.InventLocationId",PeriodBeginning,$A244,$B244,$C244)</f>
        <v>0</v>
      </c>
      <c r="F244" s="10">
        <f>_xll.AtlasFormulas.AtlasFunctions.AtlasBalance("PROD",DataAreaId,"T.InventTrans|inventDimId~inventDimId@T.InventDim","Sum|Qty|0","","","","","","","DateFinancial|ItemId|T2.InventSiteId|T2.InventLocationId",PeriodEnding,$A244,$B244,$C244)</f>
        <v>0</v>
      </c>
      <c r="G244" s="10">
        <f>AtlasReport_3_Table_1[[#This Row],[Current On-hand]]-AtlasReport_3_Table_1[[#This Row],[Trans backwords (Beginning)]]</f>
        <v>0</v>
      </c>
      <c r="H244" s="10">
        <f>AtlasReport_3_Table_1[[#This Row],[Current On-hand]]-AtlasReport_3_Table_1[[#This Row],[Trans backwords (Ending)]]</f>
        <v>0</v>
      </c>
    </row>
    <row r="245" spans="1:8" x14ac:dyDescent="0.25">
      <c r="A245" s="8" t="s">
        <v>740</v>
      </c>
      <c r="B245" s="8" t="s">
        <v>717</v>
      </c>
      <c r="C245" s="8" t="s">
        <v>719</v>
      </c>
      <c r="D245" s="10">
        <v>0</v>
      </c>
      <c r="E245" s="10">
        <f>_xll.AtlasFormulas.AtlasFunctions.AtlasBalance("PROD",DataAreaId,"T.InventTrans|inventDimId~inventDimId@T.InventDim","Sum|Qty|0","","","","","","","DateFinancial|ItemId|T2.InventSiteId|T2.InventLocationId",PeriodBeginning,$A245,$B245,$C245)</f>
        <v>0</v>
      </c>
      <c r="F245" s="10">
        <f>_xll.AtlasFormulas.AtlasFunctions.AtlasBalance("PROD",DataAreaId,"T.InventTrans|inventDimId~inventDimId@T.InventDim","Sum|Qty|0","","","","","","","DateFinancial|ItemId|T2.InventSiteId|T2.InventLocationId",PeriodEnding,$A245,$B245,$C245)</f>
        <v>0</v>
      </c>
      <c r="G245" s="10">
        <f>AtlasReport_3_Table_1[[#This Row],[Current On-hand]]-AtlasReport_3_Table_1[[#This Row],[Trans backwords (Beginning)]]</f>
        <v>0</v>
      </c>
      <c r="H245" s="10">
        <f>AtlasReport_3_Table_1[[#This Row],[Current On-hand]]-AtlasReport_3_Table_1[[#This Row],[Trans backwords (Ending)]]</f>
        <v>0</v>
      </c>
    </row>
    <row r="246" spans="1:8" x14ac:dyDescent="0.25">
      <c r="A246" s="8" t="s">
        <v>740</v>
      </c>
      <c r="B246" s="8" t="s">
        <v>717</v>
      </c>
      <c r="C246" s="8" t="s">
        <v>718</v>
      </c>
      <c r="D246" s="10">
        <v>1069</v>
      </c>
      <c r="E246" s="10">
        <f>_xll.AtlasFormulas.AtlasFunctions.AtlasBalance("PROD",DataAreaId,"T.InventTrans|inventDimId~inventDimId@T.InventDim","Sum|Qty|0","","","","","","","DateFinancial|ItemId|T2.InventSiteId|T2.InventLocationId",PeriodBeginning,$A246,$B246,$C246)</f>
        <v>0</v>
      </c>
      <c r="F246" s="10">
        <f>_xll.AtlasFormulas.AtlasFunctions.AtlasBalance("PROD",DataAreaId,"T.InventTrans|inventDimId~inventDimId@T.InventDim","Sum|Qty|0","","","","","","","DateFinancial|ItemId|T2.InventSiteId|T2.InventLocationId",PeriodEnding,$A246,$B246,$C246)</f>
        <v>0</v>
      </c>
      <c r="G246" s="10">
        <f>AtlasReport_3_Table_1[[#This Row],[Current On-hand]]-AtlasReport_3_Table_1[[#This Row],[Trans backwords (Beginning)]]</f>
        <v>1069</v>
      </c>
      <c r="H246" s="10">
        <f>AtlasReport_3_Table_1[[#This Row],[Current On-hand]]-AtlasReport_3_Table_1[[#This Row],[Trans backwords (Ending)]]</f>
        <v>1069</v>
      </c>
    </row>
    <row r="247" spans="1:8" x14ac:dyDescent="0.25">
      <c r="A247" s="8" t="s">
        <v>137</v>
      </c>
      <c r="B247" s="8" t="s">
        <v>717</v>
      </c>
      <c r="C247" s="8" t="s">
        <v>719</v>
      </c>
      <c r="D247" s="10">
        <v>0</v>
      </c>
      <c r="E247" s="10">
        <f>_xll.AtlasFormulas.AtlasFunctions.AtlasBalance("PROD",DataAreaId,"T.InventTrans|inventDimId~inventDimId@T.InventDim","Sum|Qty|0","","","","","","","DateFinancial|ItemId|T2.InventSiteId|T2.InventLocationId",PeriodBeginning,$A247,$B247,$C247)</f>
        <v>0</v>
      </c>
      <c r="F247" s="10">
        <f>_xll.AtlasFormulas.AtlasFunctions.AtlasBalance("PROD",DataAreaId,"T.InventTrans|inventDimId~inventDimId@T.InventDim","Sum|Qty|0","","","","","","","DateFinancial|ItemId|T2.InventSiteId|T2.InventLocationId",PeriodEnding,$A247,$B247,$C247)</f>
        <v>0</v>
      </c>
      <c r="G247" s="10">
        <f>AtlasReport_3_Table_1[[#This Row],[Current On-hand]]-AtlasReport_3_Table_1[[#This Row],[Trans backwords (Beginning)]]</f>
        <v>0</v>
      </c>
      <c r="H247" s="10">
        <f>AtlasReport_3_Table_1[[#This Row],[Current On-hand]]-AtlasReport_3_Table_1[[#This Row],[Trans backwords (Ending)]]</f>
        <v>0</v>
      </c>
    </row>
    <row r="248" spans="1:8" x14ac:dyDescent="0.25">
      <c r="A248" s="8" t="s">
        <v>741</v>
      </c>
      <c r="B248" s="8" t="s">
        <v>717</v>
      </c>
      <c r="C248" s="8" t="s">
        <v>719</v>
      </c>
      <c r="D248" s="10">
        <v>20</v>
      </c>
      <c r="E248" s="10">
        <f>_xll.AtlasFormulas.AtlasFunctions.AtlasBalance("PROD",DataAreaId,"T.InventTrans|inventDimId~inventDimId@T.InventDim","Sum|Qty|0","","","","","","","DateFinancial|ItemId|T2.InventSiteId|T2.InventLocationId",PeriodBeginning,$A248,$B248,$C248)</f>
        <v>0</v>
      </c>
      <c r="F248" s="10">
        <f>_xll.AtlasFormulas.AtlasFunctions.AtlasBalance("PROD",DataAreaId,"T.InventTrans|inventDimId~inventDimId@T.InventDim","Sum|Qty|0","","","","","","","DateFinancial|ItemId|T2.InventSiteId|T2.InventLocationId",PeriodEnding,$A248,$B248,$C248)</f>
        <v>0</v>
      </c>
      <c r="G248" s="10">
        <f>AtlasReport_3_Table_1[[#This Row],[Current On-hand]]-AtlasReport_3_Table_1[[#This Row],[Trans backwords (Beginning)]]</f>
        <v>20</v>
      </c>
      <c r="H248" s="10">
        <f>AtlasReport_3_Table_1[[#This Row],[Current On-hand]]-AtlasReport_3_Table_1[[#This Row],[Trans backwords (Ending)]]</f>
        <v>20</v>
      </c>
    </row>
    <row r="249" spans="1:8" x14ac:dyDescent="0.25">
      <c r="A249" s="8" t="s">
        <v>742</v>
      </c>
      <c r="B249" s="8" t="s">
        <v>717</v>
      </c>
      <c r="C249" s="8" t="s">
        <v>718</v>
      </c>
      <c r="D249" s="10">
        <v>10</v>
      </c>
      <c r="E249" s="10">
        <f>_xll.AtlasFormulas.AtlasFunctions.AtlasBalance("PROD",DataAreaId,"T.InventTrans|inventDimId~inventDimId@T.InventDim","Sum|Qty|0","","","","","","","DateFinancial|ItemId|T2.InventSiteId|T2.InventLocationId",PeriodBeginning,$A249,$B249,$C249)</f>
        <v>0</v>
      </c>
      <c r="F249" s="10">
        <f>_xll.AtlasFormulas.AtlasFunctions.AtlasBalance("PROD",DataAreaId,"T.InventTrans|inventDimId~inventDimId@T.InventDim","Sum|Qty|0","","","","","","","DateFinancial|ItemId|T2.InventSiteId|T2.InventLocationId",PeriodEnding,$A249,$B249,$C249)</f>
        <v>0</v>
      </c>
      <c r="G249" s="10">
        <f>AtlasReport_3_Table_1[[#This Row],[Current On-hand]]-AtlasReport_3_Table_1[[#This Row],[Trans backwords (Beginning)]]</f>
        <v>10</v>
      </c>
      <c r="H249" s="10">
        <f>AtlasReport_3_Table_1[[#This Row],[Current On-hand]]-AtlasReport_3_Table_1[[#This Row],[Trans backwords (Ending)]]</f>
        <v>10</v>
      </c>
    </row>
    <row r="250" spans="1:8" x14ac:dyDescent="0.25">
      <c r="A250" s="8" t="s">
        <v>743</v>
      </c>
      <c r="B250" s="8" t="s">
        <v>717</v>
      </c>
      <c r="C250" s="8" t="s">
        <v>718</v>
      </c>
      <c r="D250" s="10">
        <v>49</v>
      </c>
      <c r="E250" s="10">
        <f>_xll.AtlasFormulas.AtlasFunctions.AtlasBalance("PROD",DataAreaId,"T.InventTrans|inventDimId~inventDimId@T.InventDim","Sum|Qty|0","","","","","","","DateFinancial|ItemId|T2.InventSiteId|T2.InventLocationId",PeriodBeginning,$A250,$B250,$C250)</f>
        <v>0</v>
      </c>
      <c r="F250" s="10">
        <f>_xll.AtlasFormulas.AtlasFunctions.AtlasBalance("PROD",DataAreaId,"T.InventTrans|inventDimId~inventDimId@T.InventDim","Sum|Qty|0","","","","","","","DateFinancial|ItemId|T2.InventSiteId|T2.InventLocationId",PeriodEnding,$A250,$B250,$C250)</f>
        <v>0</v>
      </c>
      <c r="G250" s="10">
        <f>AtlasReport_3_Table_1[[#This Row],[Current On-hand]]-AtlasReport_3_Table_1[[#This Row],[Trans backwords (Beginning)]]</f>
        <v>49</v>
      </c>
      <c r="H250" s="10">
        <f>AtlasReport_3_Table_1[[#This Row],[Current On-hand]]-AtlasReport_3_Table_1[[#This Row],[Trans backwords (Ending)]]</f>
        <v>49</v>
      </c>
    </row>
    <row r="251" spans="1:8" x14ac:dyDescent="0.25">
      <c r="A251" s="8" t="s">
        <v>744</v>
      </c>
      <c r="B251" s="8" t="s">
        <v>717</v>
      </c>
      <c r="C251" s="8" t="s">
        <v>718</v>
      </c>
      <c r="D251" s="10">
        <v>70</v>
      </c>
      <c r="E251" s="10">
        <f>_xll.AtlasFormulas.AtlasFunctions.AtlasBalance("PROD",DataAreaId,"T.InventTrans|inventDimId~inventDimId@T.InventDim","Sum|Qty|0","","","","","","","DateFinancial|ItemId|T2.InventSiteId|T2.InventLocationId",PeriodBeginning,$A251,$B251,$C251)</f>
        <v>0</v>
      </c>
      <c r="F251" s="10">
        <f>_xll.AtlasFormulas.AtlasFunctions.AtlasBalance("PROD",DataAreaId,"T.InventTrans|inventDimId~inventDimId@T.InventDim","Sum|Qty|0","","","","","","","DateFinancial|ItemId|T2.InventSiteId|T2.InventLocationId",PeriodEnding,$A251,$B251,$C251)</f>
        <v>0</v>
      </c>
      <c r="G251" s="10">
        <f>AtlasReport_3_Table_1[[#This Row],[Current On-hand]]-AtlasReport_3_Table_1[[#This Row],[Trans backwords (Beginning)]]</f>
        <v>70</v>
      </c>
      <c r="H251" s="10">
        <f>AtlasReport_3_Table_1[[#This Row],[Current On-hand]]-AtlasReport_3_Table_1[[#This Row],[Trans backwords (Ending)]]</f>
        <v>70</v>
      </c>
    </row>
    <row r="252" spans="1:8" x14ac:dyDescent="0.25">
      <c r="A252" s="8" t="s">
        <v>745</v>
      </c>
      <c r="B252" s="8" t="s">
        <v>717</v>
      </c>
      <c r="C252" s="8" t="s">
        <v>73</v>
      </c>
      <c r="D252" s="10">
        <v>0</v>
      </c>
      <c r="E252" s="10">
        <f>_xll.AtlasFormulas.AtlasFunctions.AtlasBalance("PROD",DataAreaId,"T.InventTrans|inventDimId~inventDimId@T.InventDim","Sum|Qty|0","","","","","","","DateFinancial|ItemId|T2.InventSiteId|T2.InventLocationId",PeriodBeginning,$A252,$B252,$C252)</f>
        <v>0</v>
      </c>
      <c r="F252" s="10">
        <f>_xll.AtlasFormulas.AtlasFunctions.AtlasBalance("PROD",DataAreaId,"T.InventTrans|inventDimId~inventDimId@T.InventDim","Sum|Qty|0","","","","","","","DateFinancial|ItemId|T2.InventSiteId|T2.InventLocationId",PeriodEnding,$A252,$B252,$C252)</f>
        <v>0</v>
      </c>
      <c r="G252" s="10">
        <f>AtlasReport_3_Table_1[[#This Row],[Current On-hand]]-AtlasReport_3_Table_1[[#This Row],[Trans backwords (Beginning)]]</f>
        <v>0</v>
      </c>
      <c r="H252" s="10">
        <f>AtlasReport_3_Table_1[[#This Row],[Current On-hand]]-AtlasReport_3_Table_1[[#This Row],[Trans backwords (Ending)]]</f>
        <v>0</v>
      </c>
    </row>
    <row r="253" spans="1:8" x14ac:dyDescent="0.25">
      <c r="A253" s="8" t="s">
        <v>745</v>
      </c>
      <c r="B253" s="8" t="s">
        <v>717</v>
      </c>
      <c r="C253" s="8" t="s">
        <v>719</v>
      </c>
      <c r="D253" s="10">
        <v>0</v>
      </c>
      <c r="E253" s="10">
        <f>_xll.AtlasFormulas.AtlasFunctions.AtlasBalance("PROD",DataAreaId,"T.InventTrans|inventDimId~inventDimId@T.InventDim","Sum|Qty|0","","","","","","","DateFinancial|ItemId|T2.InventSiteId|T2.InventLocationId",PeriodBeginning,$A253,$B253,$C253)</f>
        <v>0</v>
      </c>
      <c r="F253" s="10">
        <f>_xll.AtlasFormulas.AtlasFunctions.AtlasBalance("PROD",DataAreaId,"T.InventTrans|inventDimId~inventDimId@T.InventDim","Sum|Qty|0","","","","","","","DateFinancial|ItemId|T2.InventSiteId|T2.InventLocationId",PeriodEnding,$A253,$B253,$C253)</f>
        <v>0</v>
      </c>
      <c r="G253" s="10">
        <f>AtlasReport_3_Table_1[[#This Row],[Current On-hand]]-AtlasReport_3_Table_1[[#This Row],[Trans backwords (Beginning)]]</f>
        <v>0</v>
      </c>
      <c r="H253" s="10">
        <f>AtlasReport_3_Table_1[[#This Row],[Current On-hand]]-AtlasReport_3_Table_1[[#This Row],[Trans backwords (Ending)]]</f>
        <v>0</v>
      </c>
    </row>
    <row r="254" spans="1:8" x14ac:dyDescent="0.25">
      <c r="A254" s="8" t="s">
        <v>745</v>
      </c>
      <c r="B254" s="8" t="s">
        <v>717</v>
      </c>
      <c r="C254" s="8" t="s">
        <v>718</v>
      </c>
      <c r="D254" s="10">
        <v>1284.5</v>
      </c>
      <c r="E254" s="10">
        <f>_xll.AtlasFormulas.AtlasFunctions.AtlasBalance("PROD",DataAreaId,"T.InventTrans|inventDimId~inventDimId@T.InventDim","Sum|Qty|0","","","","","","","DateFinancial|ItemId|T2.InventSiteId|T2.InventLocationId",PeriodBeginning,$A254,$B254,$C254)</f>
        <v>-145</v>
      </c>
      <c r="F254" s="10">
        <f>_xll.AtlasFormulas.AtlasFunctions.AtlasBalance("PROD",DataAreaId,"T.InventTrans|inventDimId~inventDimId@T.InventDim","Sum|Qty|0","","","","","","","DateFinancial|ItemId|T2.InventSiteId|T2.InventLocationId",PeriodEnding,$A254,$B254,$C254)</f>
        <v>0</v>
      </c>
      <c r="G254" s="10">
        <f>AtlasReport_3_Table_1[[#This Row],[Current On-hand]]-AtlasReport_3_Table_1[[#This Row],[Trans backwords (Beginning)]]</f>
        <v>1429.5</v>
      </c>
      <c r="H254" s="10">
        <f>AtlasReport_3_Table_1[[#This Row],[Current On-hand]]-AtlasReport_3_Table_1[[#This Row],[Trans backwords (Ending)]]</f>
        <v>1284.5</v>
      </c>
    </row>
    <row r="255" spans="1:8" x14ac:dyDescent="0.25">
      <c r="A255" s="8" t="s">
        <v>745</v>
      </c>
      <c r="B255" s="8" t="s">
        <v>717</v>
      </c>
      <c r="C255" s="8" t="s">
        <v>756</v>
      </c>
      <c r="D255" s="10">
        <v>0</v>
      </c>
      <c r="E255" s="10">
        <f>_xll.AtlasFormulas.AtlasFunctions.AtlasBalance("PROD",DataAreaId,"T.InventTrans|inventDimId~inventDimId@T.InventDim","Sum|Qty|0","","","","","","","DateFinancial|ItemId|T2.InventSiteId|T2.InventLocationId",PeriodBeginning,$A255,$B255,$C255)</f>
        <v>0</v>
      </c>
      <c r="F255" s="10">
        <f>_xll.AtlasFormulas.AtlasFunctions.AtlasBalance("PROD",DataAreaId,"T.InventTrans|inventDimId~inventDimId@T.InventDim","Sum|Qty|0","","","","","","","DateFinancial|ItemId|T2.InventSiteId|T2.InventLocationId",PeriodEnding,$A255,$B255,$C255)</f>
        <v>0</v>
      </c>
      <c r="G255" s="10">
        <f>AtlasReport_3_Table_1[[#This Row],[Current On-hand]]-AtlasReport_3_Table_1[[#This Row],[Trans backwords (Beginning)]]</f>
        <v>0</v>
      </c>
      <c r="H255" s="10">
        <f>AtlasReport_3_Table_1[[#This Row],[Current On-hand]]-AtlasReport_3_Table_1[[#This Row],[Trans backwords (Ending)]]</f>
        <v>0</v>
      </c>
    </row>
    <row r="256" spans="1:8" x14ac:dyDescent="0.25">
      <c r="A256" s="8" t="s">
        <v>63</v>
      </c>
      <c r="B256" s="8" t="s">
        <v>717</v>
      </c>
      <c r="C256" s="8" t="s">
        <v>73</v>
      </c>
      <c r="D256" s="10">
        <v>0</v>
      </c>
      <c r="E256" s="10">
        <f>_xll.AtlasFormulas.AtlasFunctions.AtlasBalance("PROD",DataAreaId,"T.InventTrans|inventDimId~inventDimId@T.InventDim","Sum|Qty|0","","","","","","","DateFinancial|ItemId|T2.InventSiteId|T2.InventLocationId",PeriodBeginning,$A256,$B256,$C256)</f>
        <v>0</v>
      </c>
      <c r="F256" s="10">
        <f>_xll.AtlasFormulas.AtlasFunctions.AtlasBalance("PROD",DataAreaId,"T.InventTrans|inventDimId~inventDimId@T.InventDim","Sum|Qty|0","","","","","","","DateFinancial|ItemId|T2.InventSiteId|T2.InventLocationId",PeriodEnding,$A256,$B256,$C256)</f>
        <v>0</v>
      </c>
      <c r="G256" s="10">
        <f>AtlasReport_3_Table_1[[#This Row],[Current On-hand]]-AtlasReport_3_Table_1[[#This Row],[Trans backwords (Beginning)]]</f>
        <v>0</v>
      </c>
      <c r="H256" s="10">
        <f>AtlasReport_3_Table_1[[#This Row],[Current On-hand]]-AtlasReport_3_Table_1[[#This Row],[Trans backwords (Ending)]]</f>
        <v>0</v>
      </c>
    </row>
    <row r="257" spans="1:8" x14ac:dyDescent="0.25">
      <c r="A257" s="8" t="s">
        <v>63</v>
      </c>
      <c r="B257" s="8" t="s">
        <v>717</v>
      </c>
      <c r="C257" s="8" t="s">
        <v>719</v>
      </c>
      <c r="D257" s="10">
        <v>87</v>
      </c>
      <c r="E257" s="10">
        <f>_xll.AtlasFormulas.AtlasFunctions.AtlasBalance("PROD",DataAreaId,"T.InventTrans|inventDimId~inventDimId@T.InventDim","Sum|Qty|0","","","","","","","DateFinancial|ItemId|T2.InventSiteId|T2.InventLocationId",PeriodBeginning,$A257,$B257,$C257)</f>
        <v>0</v>
      </c>
      <c r="F257" s="10">
        <f>_xll.AtlasFormulas.AtlasFunctions.AtlasBalance("PROD",DataAreaId,"T.InventTrans|inventDimId~inventDimId@T.InventDim","Sum|Qty|0","","","","","","","DateFinancial|ItemId|T2.InventSiteId|T2.InventLocationId",PeriodEnding,$A257,$B257,$C257)</f>
        <v>0</v>
      </c>
      <c r="G257" s="10">
        <f>AtlasReport_3_Table_1[[#This Row],[Current On-hand]]-AtlasReport_3_Table_1[[#This Row],[Trans backwords (Beginning)]]</f>
        <v>87</v>
      </c>
      <c r="H257" s="10">
        <f>AtlasReport_3_Table_1[[#This Row],[Current On-hand]]-AtlasReport_3_Table_1[[#This Row],[Trans backwords (Ending)]]</f>
        <v>87</v>
      </c>
    </row>
    <row r="258" spans="1:8" x14ac:dyDescent="0.25">
      <c r="A258" s="8" t="s">
        <v>63</v>
      </c>
      <c r="B258" s="8" t="s">
        <v>717</v>
      </c>
      <c r="C258" s="8" t="s">
        <v>718</v>
      </c>
      <c r="D258" s="10">
        <v>0</v>
      </c>
      <c r="E258" s="10">
        <f>_xll.AtlasFormulas.AtlasFunctions.AtlasBalance("PROD",DataAreaId,"T.InventTrans|inventDimId~inventDimId@T.InventDim","Sum|Qty|0","","","","","","","DateFinancial|ItemId|T2.InventSiteId|T2.InventLocationId",PeriodBeginning,$A258,$B258,$C258)</f>
        <v>0</v>
      </c>
      <c r="F258" s="10">
        <f>_xll.AtlasFormulas.AtlasFunctions.AtlasBalance("PROD",DataAreaId,"T.InventTrans|inventDimId~inventDimId@T.InventDim","Sum|Qty|0","","","","","","","DateFinancial|ItemId|T2.InventSiteId|T2.InventLocationId",PeriodEnding,$A258,$B258,$C258)</f>
        <v>0</v>
      </c>
      <c r="G258" s="10">
        <f>AtlasReport_3_Table_1[[#This Row],[Current On-hand]]-AtlasReport_3_Table_1[[#This Row],[Trans backwords (Beginning)]]</f>
        <v>0</v>
      </c>
      <c r="H258" s="10">
        <f>AtlasReport_3_Table_1[[#This Row],[Current On-hand]]-AtlasReport_3_Table_1[[#This Row],[Trans backwords (Ending)]]</f>
        <v>0</v>
      </c>
    </row>
    <row r="259" spans="1:8" x14ac:dyDescent="0.25">
      <c r="A259" s="8" t="s">
        <v>63</v>
      </c>
      <c r="B259" s="8" t="s">
        <v>717</v>
      </c>
      <c r="C259" s="8" t="s">
        <v>759</v>
      </c>
      <c r="D259" s="10">
        <v>0</v>
      </c>
      <c r="E259" s="10">
        <f>_xll.AtlasFormulas.AtlasFunctions.AtlasBalance("PROD",DataAreaId,"T.InventTrans|inventDimId~inventDimId@T.InventDim","Sum|Qty|0","","","","","","","DateFinancial|ItemId|T2.InventSiteId|T2.InventLocationId",PeriodBeginning,$A259,$B259,$C259)</f>
        <v>0</v>
      </c>
      <c r="F259" s="10">
        <f>_xll.AtlasFormulas.AtlasFunctions.AtlasBalance("PROD",DataAreaId,"T.InventTrans|inventDimId~inventDimId@T.InventDim","Sum|Qty|0","","","","","","","DateFinancial|ItemId|T2.InventSiteId|T2.InventLocationId",PeriodEnding,$A259,$B259,$C259)</f>
        <v>0</v>
      </c>
      <c r="G259" s="10">
        <f>AtlasReport_3_Table_1[[#This Row],[Current On-hand]]-AtlasReport_3_Table_1[[#This Row],[Trans backwords (Beginning)]]</f>
        <v>0</v>
      </c>
      <c r="H259" s="10">
        <f>AtlasReport_3_Table_1[[#This Row],[Current On-hand]]-AtlasReport_3_Table_1[[#This Row],[Trans backwords (Ending)]]</f>
        <v>0</v>
      </c>
    </row>
    <row r="260" spans="1:8" x14ac:dyDescent="0.25">
      <c r="A260" s="8" t="s">
        <v>746</v>
      </c>
      <c r="B260" s="8" t="s">
        <v>717</v>
      </c>
      <c r="C260" s="8" t="s">
        <v>718</v>
      </c>
      <c r="D260" s="10">
        <v>9.5</v>
      </c>
      <c r="E260" s="10">
        <f>_xll.AtlasFormulas.AtlasFunctions.AtlasBalance("PROD",DataAreaId,"T.InventTrans|inventDimId~inventDimId@T.InventDim","Sum|Qty|0","","","","","","","DateFinancial|ItemId|T2.InventSiteId|T2.InventLocationId",PeriodBeginning,$A260,$B260,$C260)</f>
        <v>0</v>
      </c>
      <c r="F260" s="10">
        <f>_xll.AtlasFormulas.AtlasFunctions.AtlasBalance("PROD",DataAreaId,"T.InventTrans|inventDimId~inventDimId@T.InventDim","Sum|Qty|0","","","","","","","DateFinancial|ItemId|T2.InventSiteId|T2.InventLocationId",PeriodEnding,$A260,$B260,$C260)</f>
        <v>0</v>
      </c>
      <c r="G260" s="10">
        <f>AtlasReport_3_Table_1[[#This Row],[Current On-hand]]-AtlasReport_3_Table_1[[#This Row],[Trans backwords (Beginning)]]</f>
        <v>9.5</v>
      </c>
      <c r="H260" s="10">
        <f>AtlasReport_3_Table_1[[#This Row],[Current On-hand]]-AtlasReport_3_Table_1[[#This Row],[Trans backwords (Ending)]]</f>
        <v>9.5</v>
      </c>
    </row>
    <row r="261" spans="1:8" x14ac:dyDescent="0.25">
      <c r="A261" s="8" t="s">
        <v>763</v>
      </c>
      <c r="B261" s="8" t="s">
        <v>717</v>
      </c>
      <c r="C261" s="8" t="s">
        <v>719</v>
      </c>
      <c r="D261" s="10">
        <v>0</v>
      </c>
      <c r="E261" s="10">
        <f>_xll.AtlasFormulas.AtlasFunctions.AtlasBalance("PROD",DataAreaId,"T.InventTrans|inventDimId~inventDimId@T.InventDim","Sum|Qty|0","","","","","","","DateFinancial|ItemId|T2.InventSiteId|T2.InventLocationId",PeriodBeginning,$A261,$B261,$C261)</f>
        <v>0</v>
      </c>
      <c r="F261" s="10">
        <f>_xll.AtlasFormulas.AtlasFunctions.AtlasBalance("PROD",DataAreaId,"T.InventTrans|inventDimId~inventDimId@T.InventDim","Sum|Qty|0","","","","","","","DateFinancial|ItemId|T2.InventSiteId|T2.InventLocationId",PeriodEnding,$A261,$B261,$C261)</f>
        <v>0</v>
      </c>
      <c r="G261" s="10">
        <f>AtlasReport_3_Table_1[[#This Row],[Current On-hand]]-AtlasReport_3_Table_1[[#This Row],[Trans backwords (Beginning)]]</f>
        <v>0</v>
      </c>
      <c r="H261" s="10">
        <f>AtlasReport_3_Table_1[[#This Row],[Current On-hand]]-AtlasReport_3_Table_1[[#This Row],[Trans backwords (Ending)]]</f>
        <v>0</v>
      </c>
    </row>
    <row r="262" spans="1:8" x14ac:dyDescent="0.25">
      <c r="A262" s="8" t="s">
        <v>747</v>
      </c>
      <c r="B262" s="8" t="s">
        <v>717</v>
      </c>
      <c r="C262" s="8" t="s">
        <v>73</v>
      </c>
      <c r="D262" s="10">
        <v>0</v>
      </c>
      <c r="E262" s="10">
        <f>_xll.AtlasFormulas.AtlasFunctions.AtlasBalance("PROD",DataAreaId,"T.InventTrans|inventDimId~inventDimId@T.InventDim","Sum|Qty|0","","","","","","","DateFinancial|ItemId|T2.InventSiteId|T2.InventLocationId",PeriodBeginning,$A262,$B262,$C262)</f>
        <v>0</v>
      </c>
      <c r="F262" s="10">
        <f>_xll.AtlasFormulas.AtlasFunctions.AtlasBalance("PROD",DataAreaId,"T.InventTrans|inventDimId~inventDimId@T.InventDim","Sum|Qty|0","","","","","","","DateFinancial|ItemId|T2.InventSiteId|T2.InventLocationId",PeriodEnding,$A262,$B262,$C262)</f>
        <v>0</v>
      </c>
      <c r="G262" s="10">
        <f>AtlasReport_3_Table_1[[#This Row],[Current On-hand]]-AtlasReport_3_Table_1[[#This Row],[Trans backwords (Beginning)]]</f>
        <v>0</v>
      </c>
      <c r="H262" s="10">
        <f>AtlasReport_3_Table_1[[#This Row],[Current On-hand]]-AtlasReport_3_Table_1[[#This Row],[Trans backwords (Ending)]]</f>
        <v>0</v>
      </c>
    </row>
    <row r="263" spans="1:8" x14ac:dyDescent="0.25">
      <c r="A263" s="8" t="s">
        <v>747</v>
      </c>
      <c r="B263" s="8" t="s">
        <v>717</v>
      </c>
      <c r="C263" s="8" t="s">
        <v>719</v>
      </c>
      <c r="D263" s="10">
        <v>0</v>
      </c>
      <c r="E263" s="10">
        <f>_xll.AtlasFormulas.AtlasFunctions.AtlasBalance("PROD",DataAreaId,"T.InventTrans|inventDimId~inventDimId@T.InventDim","Sum|Qty|0","","","","","","","DateFinancial|ItemId|T2.InventSiteId|T2.InventLocationId",PeriodBeginning,$A263,$B263,$C263)</f>
        <v>0</v>
      </c>
      <c r="F263" s="10">
        <f>_xll.AtlasFormulas.AtlasFunctions.AtlasBalance("PROD",DataAreaId,"T.InventTrans|inventDimId~inventDimId@T.InventDim","Sum|Qty|0","","","","","","","DateFinancial|ItemId|T2.InventSiteId|T2.InventLocationId",PeriodEnding,$A263,$B263,$C263)</f>
        <v>0</v>
      </c>
      <c r="G263" s="10">
        <f>AtlasReport_3_Table_1[[#This Row],[Current On-hand]]-AtlasReport_3_Table_1[[#This Row],[Trans backwords (Beginning)]]</f>
        <v>0</v>
      </c>
      <c r="H263" s="10">
        <f>AtlasReport_3_Table_1[[#This Row],[Current On-hand]]-AtlasReport_3_Table_1[[#This Row],[Trans backwords (Ending)]]</f>
        <v>0</v>
      </c>
    </row>
    <row r="264" spans="1:8" x14ac:dyDescent="0.25">
      <c r="A264" s="8" t="s">
        <v>747</v>
      </c>
      <c r="B264" s="8" t="s">
        <v>717</v>
      </c>
      <c r="C264" s="8" t="s">
        <v>718</v>
      </c>
      <c r="D264" s="10">
        <v>4752.41</v>
      </c>
      <c r="E264" s="10">
        <f>_xll.AtlasFormulas.AtlasFunctions.AtlasBalance("PROD",DataAreaId,"T.InventTrans|inventDimId~inventDimId@T.InventDim","Sum|Qty|0","","","","","","","DateFinancial|ItemId|T2.InventSiteId|T2.InventLocationId",PeriodBeginning,$A264,$B264,$C264)</f>
        <v>1740</v>
      </c>
      <c r="F264" s="10">
        <f>_xll.AtlasFormulas.AtlasFunctions.AtlasBalance("PROD",DataAreaId,"T.InventTrans|inventDimId~inventDimId@T.InventDim","Sum|Qty|0","","","","","","","DateFinancial|ItemId|T2.InventSiteId|T2.InventLocationId",PeriodEnding,$A264,$B264,$C264)</f>
        <v>0</v>
      </c>
      <c r="G264" s="10">
        <f>AtlasReport_3_Table_1[[#This Row],[Current On-hand]]-AtlasReport_3_Table_1[[#This Row],[Trans backwords (Beginning)]]</f>
        <v>3012.41</v>
      </c>
      <c r="H264" s="10">
        <f>AtlasReport_3_Table_1[[#This Row],[Current On-hand]]-AtlasReport_3_Table_1[[#This Row],[Trans backwords (Ending)]]</f>
        <v>4752.41</v>
      </c>
    </row>
    <row r="265" spans="1:8" x14ac:dyDescent="0.25">
      <c r="A265" s="8" t="s">
        <v>748</v>
      </c>
      <c r="B265" s="8" t="s">
        <v>717</v>
      </c>
      <c r="C265" s="8" t="s">
        <v>718</v>
      </c>
      <c r="D265" s="10">
        <v>72.52</v>
      </c>
      <c r="E265" s="10">
        <f>_xll.AtlasFormulas.AtlasFunctions.AtlasBalance("PROD",DataAreaId,"T.InventTrans|inventDimId~inventDimId@T.InventDim","Sum|Qty|0","","","","","","","DateFinancial|ItemId|T2.InventSiteId|T2.InventLocationId",PeriodBeginning,$A265,$B265,$C265)</f>
        <v>0</v>
      </c>
      <c r="F265" s="10">
        <f>_xll.AtlasFormulas.AtlasFunctions.AtlasBalance("PROD",DataAreaId,"T.InventTrans|inventDimId~inventDimId@T.InventDim","Sum|Qty|0","","","","","","","DateFinancial|ItemId|T2.InventSiteId|T2.InventLocationId",PeriodEnding,$A265,$B265,$C265)</f>
        <v>0</v>
      </c>
      <c r="G265" s="10">
        <f>AtlasReport_3_Table_1[[#This Row],[Current On-hand]]-AtlasReport_3_Table_1[[#This Row],[Trans backwords (Beginning)]]</f>
        <v>72.52</v>
      </c>
      <c r="H265" s="10">
        <f>AtlasReport_3_Table_1[[#This Row],[Current On-hand]]-AtlasReport_3_Table_1[[#This Row],[Trans backwords (Ending)]]</f>
        <v>72.52</v>
      </c>
    </row>
    <row r="266" spans="1:8" x14ac:dyDescent="0.25">
      <c r="A266" s="8" t="s">
        <v>749</v>
      </c>
      <c r="B266" s="8" t="s">
        <v>717</v>
      </c>
      <c r="C266" s="8" t="s">
        <v>718</v>
      </c>
      <c r="D266" s="10">
        <v>48.9</v>
      </c>
      <c r="E266" s="10">
        <f>_xll.AtlasFormulas.AtlasFunctions.AtlasBalance("PROD",DataAreaId,"T.InventTrans|inventDimId~inventDimId@T.InventDim","Sum|Qty|0","","","","","","","DateFinancial|ItemId|T2.InventSiteId|T2.InventLocationId",PeriodBeginning,$A266,$B266,$C266)</f>
        <v>0</v>
      </c>
      <c r="F266" s="10">
        <f>_xll.AtlasFormulas.AtlasFunctions.AtlasBalance("PROD",DataAreaId,"T.InventTrans|inventDimId~inventDimId@T.InventDim","Sum|Qty|0","","","","","","","DateFinancial|ItemId|T2.InventSiteId|T2.InventLocationId",PeriodEnding,$A266,$B266,$C266)</f>
        <v>0</v>
      </c>
      <c r="G266" s="10">
        <f>AtlasReport_3_Table_1[[#This Row],[Current On-hand]]-AtlasReport_3_Table_1[[#This Row],[Trans backwords (Beginning)]]</f>
        <v>48.9</v>
      </c>
      <c r="H266" s="10">
        <f>AtlasReport_3_Table_1[[#This Row],[Current On-hand]]-AtlasReport_3_Table_1[[#This Row],[Trans backwords (Ending)]]</f>
        <v>48.9</v>
      </c>
    </row>
    <row r="267" spans="1:8" x14ac:dyDescent="0.25">
      <c r="A267" s="8" t="s">
        <v>750</v>
      </c>
      <c r="B267" s="8" t="s">
        <v>717</v>
      </c>
      <c r="C267" s="8" t="s">
        <v>73</v>
      </c>
      <c r="D267" s="10">
        <v>0</v>
      </c>
      <c r="E267" s="10">
        <f>_xll.AtlasFormulas.AtlasFunctions.AtlasBalance("PROD",DataAreaId,"T.InventTrans|inventDimId~inventDimId@T.InventDim","Sum|Qty|0","","","","","","","DateFinancial|ItemId|T2.InventSiteId|T2.InventLocationId",PeriodBeginning,$A267,$B267,$C267)</f>
        <v>0</v>
      </c>
      <c r="F267" s="10">
        <f>_xll.AtlasFormulas.AtlasFunctions.AtlasBalance("PROD",DataAreaId,"T.InventTrans|inventDimId~inventDimId@T.InventDim","Sum|Qty|0","","","","","","","DateFinancial|ItemId|T2.InventSiteId|T2.InventLocationId",PeriodEnding,$A267,$B267,$C267)</f>
        <v>0</v>
      </c>
      <c r="G267" s="10">
        <f>AtlasReport_3_Table_1[[#This Row],[Current On-hand]]-AtlasReport_3_Table_1[[#This Row],[Trans backwords (Beginning)]]</f>
        <v>0</v>
      </c>
      <c r="H267" s="10">
        <f>AtlasReport_3_Table_1[[#This Row],[Current On-hand]]-AtlasReport_3_Table_1[[#This Row],[Trans backwords (Ending)]]</f>
        <v>0</v>
      </c>
    </row>
    <row r="268" spans="1:8" x14ac:dyDescent="0.25">
      <c r="A268" s="8" t="s">
        <v>750</v>
      </c>
      <c r="B268" s="8" t="s">
        <v>717</v>
      </c>
      <c r="C268" s="8" t="s">
        <v>718</v>
      </c>
      <c r="D268" s="10">
        <v>10</v>
      </c>
      <c r="E268" s="10">
        <f>_xll.AtlasFormulas.AtlasFunctions.AtlasBalance("PROD",DataAreaId,"T.InventTrans|inventDimId~inventDimId@T.InventDim","Sum|Qty|0","","","","","","","DateFinancial|ItemId|T2.InventSiteId|T2.InventLocationId",PeriodBeginning,$A268,$B268,$C268)</f>
        <v>0</v>
      </c>
      <c r="F268" s="10">
        <f>_xll.AtlasFormulas.AtlasFunctions.AtlasBalance("PROD",DataAreaId,"T.InventTrans|inventDimId~inventDimId@T.InventDim","Sum|Qty|0","","","","","","","DateFinancial|ItemId|T2.InventSiteId|T2.InventLocationId",PeriodEnding,$A268,$B268,$C268)</f>
        <v>0</v>
      </c>
      <c r="G268" s="10">
        <f>AtlasReport_3_Table_1[[#This Row],[Current On-hand]]-AtlasReport_3_Table_1[[#This Row],[Trans backwords (Beginning)]]</f>
        <v>10</v>
      </c>
      <c r="H268" s="10">
        <f>AtlasReport_3_Table_1[[#This Row],[Current On-hand]]-AtlasReport_3_Table_1[[#This Row],[Trans backwords (Ending)]]</f>
        <v>10</v>
      </c>
    </row>
    <row r="269" spans="1:8" x14ac:dyDescent="0.25">
      <c r="A269" s="8" t="s">
        <v>751</v>
      </c>
      <c r="B269" s="8" t="s">
        <v>717</v>
      </c>
      <c r="C269" s="8" t="s">
        <v>73</v>
      </c>
      <c r="D269" s="10">
        <v>0</v>
      </c>
      <c r="E269" s="10">
        <f>_xll.AtlasFormulas.AtlasFunctions.AtlasBalance("PROD",DataAreaId,"T.InventTrans|inventDimId~inventDimId@T.InventDim","Sum|Qty|0","","","","","","","DateFinancial|ItemId|T2.InventSiteId|T2.InventLocationId",PeriodBeginning,$A269,$B269,$C269)</f>
        <v>0</v>
      </c>
      <c r="F269" s="10">
        <f>_xll.AtlasFormulas.AtlasFunctions.AtlasBalance("PROD",DataAreaId,"T.InventTrans|inventDimId~inventDimId@T.InventDim","Sum|Qty|0","","","","","","","DateFinancial|ItemId|T2.InventSiteId|T2.InventLocationId",PeriodEnding,$A269,$B269,$C269)</f>
        <v>0</v>
      </c>
      <c r="G269" s="10">
        <f>AtlasReport_3_Table_1[[#This Row],[Current On-hand]]-AtlasReport_3_Table_1[[#This Row],[Trans backwords (Beginning)]]</f>
        <v>0</v>
      </c>
      <c r="H269" s="10">
        <f>AtlasReport_3_Table_1[[#This Row],[Current On-hand]]-AtlasReport_3_Table_1[[#This Row],[Trans backwords (Ending)]]</f>
        <v>0</v>
      </c>
    </row>
    <row r="270" spans="1:8" x14ac:dyDescent="0.25">
      <c r="A270" s="8" t="s">
        <v>751</v>
      </c>
      <c r="B270" s="8" t="s">
        <v>717</v>
      </c>
      <c r="C270" s="8" t="s">
        <v>719</v>
      </c>
      <c r="D270" s="10">
        <v>0</v>
      </c>
      <c r="E270" s="10">
        <f>_xll.AtlasFormulas.AtlasFunctions.AtlasBalance("PROD",DataAreaId,"T.InventTrans|inventDimId~inventDimId@T.InventDim","Sum|Qty|0","","","","","","","DateFinancial|ItemId|T2.InventSiteId|T2.InventLocationId",PeriodBeginning,$A270,$B270,$C270)</f>
        <v>0</v>
      </c>
      <c r="F270" s="10">
        <f>_xll.AtlasFormulas.AtlasFunctions.AtlasBalance("PROD",DataAreaId,"T.InventTrans|inventDimId~inventDimId@T.InventDim","Sum|Qty|0","","","","","","","DateFinancial|ItemId|T2.InventSiteId|T2.InventLocationId",PeriodEnding,$A270,$B270,$C270)</f>
        <v>0</v>
      </c>
      <c r="G270" s="10">
        <f>AtlasReport_3_Table_1[[#This Row],[Current On-hand]]-AtlasReport_3_Table_1[[#This Row],[Trans backwords (Beginning)]]</f>
        <v>0</v>
      </c>
      <c r="H270" s="10">
        <f>AtlasReport_3_Table_1[[#This Row],[Current On-hand]]-AtlasReport_3_Table_1[[#This Row],[Trans backwords (Ending)]]</f>
        <v>0</v>
      </c>
    </row>
    <row r="271" spans="1:8" x14ac:dyDescent="0.25">
      <c r="A271" s="8" t="s">
        <v>751</v>
      </c>
      <c r="B271" s="8" t="s">
        <v>717</v>
      </c>
      <c r="C271" s="8" t="s">
        <v>718</v>
      </c>
      <c r="D271" s="10">
        <v>0</v>
      </c>
      <c r="E271" s="10">
        <f>_xll.AtlasFormulas.AtlasFunctions.AtlasBalance("PROD",DataAreaId,"T.InventTrans|inventDimId~inventDimId@T.InventDim","Sum|Qty|0","","","","","","","DateFinancial|ItemId|T2.InventSiteId|T2.InventLocationId",PeriodBeginning,$A271,$B271,$C271)</f>
        <v>0</v>
      </c>
      <c r="F271" s="10">
        <f>_xll.AtlasFormulas.AtlasFunctions.AtlasBalance("PROD",DataAreaId,"T.InventTrans|inventDimId~inventDimId@T.InventDim","Sum|Qty|0","","","","","","","DateFinancial|ItemId|T2.InventSiteId|T2.InventLocationId",PeriodEnding,$A271,$B271,$C271)</f>
        <v>0</v>
      </c>
      <c r="G271" s="10">
        <f>AtlasReport_3_Table_1[[#This Row],[Current On-hand]]-AtlasReport_3_Table_1[[#This Row],[Trans backwords (Beginning)]]</f>
        <v>0</v>
      </c>
      <c r="H271" s="10">
        <f>AtlasReport_3_Table_1[[#This Row],[Current On-hand]]-AtlasReport_3_Table_1[[#This Row],[Trans backwords (Ending)]]</f>
        <v>0</v>
      </c>
    </row>
    <row r="272" spans="1:8" x14ac:dyDescent="0.25">
      <c r="A272" s="8" t="s">
        <v>751</v>
      </c>
      <c r="B272" s="8" t="s">
        <v>717</v>
      </c>
      <c r="C272" s="8" t="s">
        <v>759</v>
      </c>
      <c r="D272" s="10">
        <v>0</v>
      </c>
      <c r="E272" s="10">
        <f>_xll.AtlasFormulas.AtlasFunctions.AtlasBalance("PROD",DataAreaId,"T.InventTrans|inventDimId~inventDimId@T.InventDim","Sum|Qty|0","","","","","","","DateFinancial|ItemId|T2.InventSiteId|T2.InventLocationId",PeriodBeginning,$A272,$B272,$C272)</f>
        <v>0</v>
      </c>
      <c r="F272" s="10">
        <f>_xll.AtlasFormulas.AtlasFunctions.AtlasBalance("PROD",DataAreaId,"T.InventTrans|inventDimId~inventDimId@T.InventDim","Sum|Qty|0","","","","","","","DateFinancial|ItemId|T2.InventSiteId|T2.InventLocationId",PeriodEnding,$A272,$B272,$C272)</f>
        <v>0</v>
      </c>
      <c r="G272" s="10">
        <f>AtlasReport_3_Table_1[[#This Row],[Current On-hand]]-AtlasReport_3_Table_1[[#This Row],[Trans backwords (Beginning)]]</f>
        <v>0</v>
      </c>
      <c r="H272" s="10">
        <f>AtlasReport_3_Table_1[[#This Row],[Current On-hand]]-AtlasReport_3_Table_1[[#This Row],[Trans backwords (Ending)]]</f>
        <v>0</v>
      </c>
    </row>
    <row r="273" spans="1:8" x14ac:dyDescent="0.25">
      <c r="A273" s="8" t="s">
        <v>751</v>
      </c>
      <c r="B273" s="8" t="s">
        <v>717</v>
      </c>
      <c r="C273" s="8" t="s">
        <v>756</v>
      </c>
      <c r="D273" s="10">
        <v>0</v>
      </c>
      <c r="E273" s="10">
        <f>_xll.AtlasFormulas.AtlasFunctions.AtlasBalance("PROD",DataAreaId,"T.InventTrans|inventDimId~inventDimId@T.InventDim","Sum|Qty|0","","","","","","","DateFinancial|ItemId|T2.InventSiteId|T2.InventLocationId",PeriodBeginning,$A273,$B273,$C273)</f>
        <v>0</v>
      </c>
      <c r="F273" s="10">
        <f>_xll.AtlasFormulas.AtlasFunctions.AtlasBalance("PROD",DataAreaId,"T.InventTrans|inventDimId~inventDimId@T.InventDim","Sum|Qty|0","","","","","","","DateFinancial|ItemId|T2.InventSiteId|T2.InventLocationId",PeriodEnding,$A273,$B273,$C273)</f>
        <v>0</v>
      </c>
      <c r="G273" s="10">
        <f>AtlasReport_3_Table_1[[#This Row],[Current On-hand]]-AtlasReport_3_Table_1[[#This Row],[Trans backwords (Beginning)]]</f>
        <v>0</v>
      </c>
      <c r="H273" s="10">
        <f>AtlasReport_3_Table_1[[#This Row],[Current On-hand]]-AtlasReport_3_Table_1[[#This Row],[Trans backwords (Ending)]]</f>
        <v>0</v>
      </c>
    </row>
    <row r="274" spans="1:8" x14ac:dyDescent="0.25">
      <c r="A274" s="8" t="s">
        <v>764</v>
      </c>
      <c r="B274" s="8" t="s">
        <v>717</v>
      </c>
      <c r="C274" s="8" t="s">
        <v>73</v>
      </c>
      <c r="D274" s="10">
        <v>0</v>
      </c>
      <c r="E274" s="10">
        <f>_xll.AtlasFormulas.AtlasFunctions.AtlasBalance("PROD",DataAreaId,"T.InventTrans|inventDimId~inventDimId@T.InventDim","Sum|Qty|0","","","","","","","DateFinancial|ItemId|T2.InventSiteId|T2.InventLocationId",PeriodBeginning,$A274,$B274,$C274)</f>
        <v>0</v>
      </c>
      <c r="F274" s="10">
        <f>_xll.AtlasFormulas.AtlasFunctions.AtlasBalance("PROD",DataAreaId,"T.InventTrans|inventDimId~inventDimId@T.InventDim","Sum|Qty|0","","","","","","","DateFinancial|ItemId|T2.InventSiteId|T2.InventLocationId",PeriodEnding,$A274,$B274,$C274)</f>
        <v>0</v>
      </c>
      <c r="G274" s="10">
        <f>AtlasReport_3_Table_1[[#This Row],[Current On-hand]]-AtlasReport_3_Table_1[[#This Row],[Trans backwords (Beginning)]]</f>
        <v>0</v>
      </c>
      <c r="H274" s="10">
        <f>AtlasReport_3_Table_1[[#This Row],[Current On-hand]]-AtlasReport_3_Table_1[[#This Row],[Trans backwords (Ending)]]</f>
        <v>0</v>
      </c>
    </row>
    <row r="275" spans="1:8" x14ac:dyDescent="0.25">
      <c r="A275" s="8" t="s">
        <v>764</v>
      </c>
      <c r="B275" s="8" t="s">
        <v>717</v>
      </c>
      <c r="C275" s="8" t="s">
        <v>719</v>
      </c>
      <c r="D275" s="10">
        <v>0</v>
      </c>
      <c r="E275" s="10">
        <f>_xll.AtlasFormulas.AtlasFunctions.AtlasBalance("PROD",DataAreaId,"T.InventTrans|inventDimId~inventDimId@T.InventDim","Sum|Qty|0","","","","","","","DateFinancial|ItemId|T2.InventSiteId|T2.InventLocationId",PeriodBeginning,$A275,$B275,$C275)</f>
        <v>0</v>
      </c>
      <c r="F275" s="10">
        <f>_xll.AtlasFormulas.AtlasFunctions.AtlasBalance("PROD",DataAreaId,"T.InventTrans|inventDimId~inventDimId@T.InventDim","Sum|Qty|0","","","","","","","DateFinancial|ItemId|T2.InventSiteId|T2.InventLocationId",PeriodEnding,$A275,$B275,$C275)</f>
        <v>0</v>
      </c>
      <c r="G275" s="10">
        <f>AtlasReport_3_Table_1[[#This Row],[Current On-hand]]-AtlasReport_3_Table_1[[#This Row],[Trans backwords (Beginning)]]</f>
        <v>0</v>
      </c>
      <c r="H275" s="10">
        <f>AtlasReport_3_Table_1[[#This Row],[Current On-hand]]-AtlasReport_3_Table_1[[#This Row],[Trans backwords (Ending)]]</f>
        <v>0</v>
      </c>
    </row>
    <row r="276" spans="1:8" x14ac:dyDescent="0.25">
      <c r="A276" s="8" t="s">
        <v>765</v>
      </c>
      <c r="B276" s="8" t="s">
        <v>717</v>
      </c>
      <c r="C276" s="8" t="s">
        <v>719</v>
      </c>
      <c r="D276" s="10">
        <v>0</v>
      </c>
      <c r="E276" s="10">
        <f>_xll.AtlasFormulas.AtlasFunctions.AtlasBalance("PROD",DataAreaId,"T.InventTrans|inventDimId~inventDimId@T.InventDim","Sum|Qty|0","","","","","","","DateFinancial|ItemId|T2.InventSiteId|T2.InventLocationId",PeriodBeginning,$A276,$B276,$C276)</f>
        <v>0</v>
      </c>
      <c r="F276" s="10">
        <f>_xll.AtlasFormulas.AtlasFunctions.AtlasBalance("PROD",DataAreaId,"T.InventTrans|inventDimId~inventDimId@T.InventDim","Sum|Qty|0","","","","","","","DateFinancial|ItemId|T2.InventSiteId|T2.InventLocationId",PeriodEnding,$A276,$B276,$C276)</f>
        <v>0</v>
      </c>
      <c r="G276" s="10">
        <f>AtlasReport_3_Table_1[[#This Row],[Current On-hand]]-AtlasReport_3_Table_1[[#This Row],[Trans backwords (Beginning)]]</f>
        <v>0</v>
      </c>
      <c r="H276" s="10">
        <f>AtlasReport_3_Table_1[[#This Row],[Current On-hand]]-AtlasReport_3_Table_1[[#This Row],[Trans backwords (Ending)]]</f>
        <v>0</v>
      </c>
    </row>
    <row r="277" spans="1:8" x14ac:dyDescent="0.25">
      <c r="A277" s="8" t="s">
        <v>64</v>
      </c>
      <c r="B277" s="8" t="s">
        <v>717</v>
      </c>
      <c r="C277" s="8" t="s">
        <v>73</v>
      </c>
      <c r="D277" s="10">
        <v>0</v>
      </c>
      <c r="E277" s="10">
        <f>_xll.AtlasFormulas.AtlasFunctions.AtlasBalance("PROD",DataAreaId,"T.InventTrans|inventDimId~inventDimId@T.InventDim","Sum|Qty|0","","","","","","","DateFinancial|ItemId|T2.InventSiteId|T2.InventLocationId",PeriodBeginning,$A277,$B277,$C277)</f>
        <v>0</v>
      </c>
      <c r="F277" s="10">
        <f>_xll.AtlasFormulas.AtlasFunctions.AtlasBalance("PROD",DataAreaId,"T.InventTrans|inventDimId~inventDimId@T.InventDim","Sum|Qty|0","","","","","","","DateFinancial|ItemId|T2.InventSiteId|T2.InventLocationId",PeriodEnding,$A277,$B277,$C277)</f>
        <v>0</v>
      </c>
      <c r="G277" s="10">
        <f>AtlasReport_3_Table_1[[#This Row],[Current On-hand]]-AtlasReport_3_Table_1[[#This Row],[Trans backwords (Beginning)]]</f>
        <v>0</v>
      </c>
      <c r="H277" s="10">
        <f>AtlasReport_3_Table_1[[#This Row],[Current On-hand]]-AtlasReport_3_Table_1[[#This Row],[Trans backwords (Ending)]]</f>
        <v>0</v>
      </c>
    </row>
    <row r="278" spans="1:8" x14ac:dyDescent="0.25">
      <c r="A278" s="8" t="s">
        <v>64</v>
      </c>
      <c r="B278" s="8" t="s">
        <v>717</v>
      </c>
      <c r="C278" s="8" t="s">
        <v>719</v>
      </c>
      <c r="D278" s="10">
        <v>56</v>
      </c>
      <c r="E278" s="10">
        <f>_xll.AtlasFormulas.AtlasFunctions.AtlasBalance("PROD",DataAreaId,"T.InventTrans|inventDimId~inventDimId@T.InventDim","Sum|Qty|0","","","","","","","DateFinancial|ItemId|T2.InventSiteId|T2.InventLocationId",PeriodBeginning,$A278,$B278,$C278)</f>
        <v>0</v>
      </c>
      <c r="F278" s="10">
        <f>_xll.AtlasFormulas.AtlasFunctions.AtlasBalance("PROD",DataAreaId,"T.InventTrans|inventDimId~inventDimId@T.InventDim","Sum|Qty|0","","","","","","","DateFinancial|ItemId|T2.InventSiteId|T2.InventLocationId",PeriodEnding,$A278,$B278,$C278)</f>
        <v>0</v>
      </c>
      <c r="G278" s="10">
        <f>AtlasReport_3_Table_1[[#This Row],[Current On-hand]]-AtlasReport_3_Table_1[[#This Row],[Trans backwords (Beginning)]]</f>
        <v>56</v>
      </c>
      <c r="H278" s="10">
        <f>AtlasReport_3_Table_1[[#This Row],[Current On-hand]]-AtlasReport_3_Table_1[[#This Row],[Trans backwords (Ending)]]</f>
        <v>56</v>
      </c>
    </row>
    <row r="279" spans="1:8" x14ac:dyDescent="0.25">
      <c r="A279" s="8" t="s">
        <v>64</v>
      </c>
      <c r="B279" s="8" t="s">
        <v>717</v>
      </c>
      <c r="C279" s="8" t="s">
        <v>718</v>
      </c>
      <c r="D279" s="10">
        <v>0</v>
      </c>
      <c r="E279" s="10">
        <f>_xll.AtlasFormulas.AtlasFunctions.AtlasBalance("PROD",DataAreaId,"T.InventTrans|inventDimId~inventDimId@T.InventDim","Sum|Qty|0","","","","","","","DateFinancial|ItemId|T2.InventSiteId|T2.InventLocationId",PeriodBeginning,$A279,$B279,$C279)</f>
        <v>0</v>
      </c>
      <c r="F279" s="10">
        <f>_xll.AtlasFormulas.AtlasFunctions.AtlasBalance("PROD",DataAreaId,"T.InventTrans|inventDimId~inventDimId@T.InventDim","Sum|Qty|0","","","","","","","DateFinancial|ItemId|T2.InventSiteId|T2.InventLocationId",PeriodEnding,$A279,$B279,$C279)</f>
        <v>0</v>
      </c>
      <c r="G279" s="10">
        <f>AtlasReport_3_Table_1[[#This Row],[Current On-hand]]-AtlasReport_3_Table_1[[#This Row],[Trans backwords (Beginning)]]</f>
        <v>0</v>
      </c>
      <c r="H279" s="10">
        <f>AtlasReport_3_Table_1[[#This Row],[Current On-hand]]-AtlasReport_3_Table_1[[#This Row],[Trans backwords (Ending)]]</f>
        <v>0</v>
      </c>
    </row>
    <row r="280" spans="1:8" x14ac:dyDescent="0.25">
      <c r="A280" s="8" t="s">
        <v>64</v>
      </c>
      <c r="B280" s="8" t="s">
        <v>717</v>
      </c>
      <c r="C280" s="8" t="s">
        <v>759</v>
      </c>
      <c r="D280" s="10">
        <v>0</v>
      </c>
      <c r="E280" s="10">
        <f>_xll.AtlasFormulas.AtlasFunctions.AtlasBalance("PROD",DataAreaId,"T.InventTrans|inventDimId~inventDimId@T.InventDim","Sum|Qty|0","","","","","","","DateFinancial|ItemId|T2.InventSiteId|T2.InventLocationId",PeriodBeginning,$A280,$B280,$C280)</f>
        <v>0</v>
      </c>
      <c r="F280" s="10">
        <f>_xll.AtlasFormulas.AtlasFunctions.AtlasBalance("PROD",DataAreaId,"T.InventTrans|inventDimId~inventDimId@T.InventDim","Sum|Qty|0","","","","","","","DateFinancial|ItemId|T2.InventSiteId|T2.InventLocationId",PeriodEnding,$A280,$B280,$C280)</f>
        <v>0</v>
      </c>
      <c r="G280" s="10">
        <f>AtlasReport_3_Table_1[[#This Row],[Current On-hand]]-AtlasReport_3_Table_1[[#This Row],[Trans backwords (Beginning)]]</f>
        <v>0</v>
      </c>
      <c r="H280" s="10">
        <f>AtlasReport_3_Table_1[[#This Row],[Current On-hand]]-AtlasReport_3_Table_1[[#This Row],[Trans backwords (Ending)]]</f>
        <v>0</v>
      </c>
    </row>
    <row r="281" spans="1:8" x14ac:dyDescent="0.25">
      <c r="A281" s="8" t="s">
        <v>766</v>
      </c>
      <c r="B281" s="8" t="s">
        <v>717</v>
      </c>
      <c r="C281" s="8" t="s">
        <v>719</v>
      </c>
      <c r="D281" s="10">
        <v>0</v>
      </c>
      <c r="E281" s="10">
        <f>_xll.AtlasFormulas.AtlasFunctions.AtlasBalance("PROD",DataAreaId,"T.InventTrans|inventDimId~inventDimId@T.InventDim","Sum|Qty|0","","","","","","","DateFinancial|ItemId|T2.InventSiteId|T2.InventLocationId",PeriodBeginning,$A281,$B281,$C281)</f>
        <v>0</v>
      </c>
      <c r="F281" s="10">
        <f>_xll.AtlasFormulas.AtlasFunctions.AtlasBalance("PROD",DataAreaId,"T.InventTrans|inventDimId~inventDimId@T.InventDim","Sum|Qty|0","","","","","","","DateFinancial|ItemId|T2.InventSiteId|T2.InventLocationId",PeriodEnding,$A281,$B281,$C281)</f>
        <v>0</v>
      </c>
      <c r="G281" s="10">
        <f>AtlasReport_3_Table_1[[#This Row],[Current On-hand]]-AtlasReport_3_Table_1[[#This Row],[Trans backwords (Beginning)]]</f>
        <v>0</v>
      </c>
      <c r="H281" s="10">
        <f>AtlasReport_3_Table_1[[#This Row],[Current On-hand]]-AtlasReport_3_Table_1[[#This Row],[Trans backwords (Ending)]]</f>
        <v>0</v>
      </c>
    </row>
    <row r="282" spans="1:8" x14ac:dyDescent="0.25">
      <c r="A282" s="8" t="s">
        <v>109</v>
      </c>
      <c r="B282" s="8" t="s">
        <v>717</v>
      </c>
      <c r="C282" s="8" t="s">
        <v>73</v>
      </c>
      <c r="D282" s="10">
        <v>0</v>
      </c>
      <c r="E282" s="10">
        <f>_xll.AtlasFormulas.AtlasFunctions.AtlasBalance("PROD",DataAreaId,"T.InventTrans|inventDimId~inventDimId@T.InventDim","Sum|Qty|0","","","","","","","DateFinancial|ItemId|T2.InventSiteId|T2.InventLocationId",PeriodBeginning,$A282,$B282,$C282)</f>
        <v>0</v>
      </c>
      <c r="F282" s="10">
        <f>_xll.AtlasFormulas.AtlasFunctions.AtlasBalance("PROD",DataAreaId,"T.InventTrans|inventDimId~inventDimId@T.InventDim","Sum|Qty|0","","","","","","","DateFinancial|ItemId|T2.InventSiteId|T2.InventLocationId",PeriodEnding,$A282,$B282,$C282)</f>
        <v>0</v>
      </c>
      <c r="G282" s="10">
        <f>AtlasReport_3_Table_1[[#This Row],[Current On-hand]]-AtlasReport_3_Table_1[[#This Row],[Trans backwords (Beginning)]]</f>
        <v>0</v>
      </c>
      <c r="H282" s="10">
        <f>AtlasReport_3_Table_1[[#This Row],[Current On-hand]]-AtlasReport_3_Table_1[[#This Row],[Trans backwords (Ending)]]</f>
        <v>0</v>
      </c>
    </row>
    <row r="283" spans="1:8" x14ac:dyDescent="0.25">
      <c r="A283" s="8" t="s">
        <v>109</v>
      </c>
      <c r="B283" s="8" t="s">
        <v>717</v>
      </c>
      <c r="C283" s="8" t="s">
        <v>719</v>
      </c>
      <c r="D283" s="10">
        <v>6</v>
      </c>
      <c r="E283" s="10">
        <f>_xll.AtlasFormulas.AtlasFunctions.AtlasBalance("PROD",DataAreaId,"T.InventTrans|inventDimId~inventDimId@T.InventDim","Sum|Qty|0","","","","","","","DateFinancial|ItemId|T2.InventSiteId|T2.InventLocationId",PeriodBeginning,$A283,$B283,$C283)</f>
        <v>0</v>
      </c>
      <c r="F283" s="10">
        <f>_xll.AtlasFormulas.AtlasFunctions.AtlasBalance("PROD",DataAreaId,"T.InventTrans|inventDimId~inventDimId@T.InventDim","Sum|Qty|0","","","","","","","DateFinancial|ItemId|T2.InventSiteId|T2.InventLocationId",PeriodEnding,$A283,$B283,$C283)</f>
        <v>0</v>
      </c>
      <c r="G283" s="10">
        <f>AtlasReport_3_Table_1[[#This Row],[Current On-hand]]-AtlasReport_3_Table_1[[#This Row],[Trans backwords (Beginning)]]</f>
        <v>6</v>
      </c>
      <c r="H283" s="10">
        <f>AtlasReport_3_Table_1[[#This Row],[Current On-hand]]-AtlasReport_3_Table_1[[#This Row],[Trans backwords (Ending)]]</f>
        <v>6</v>
      </c>
    </row>
    <row r="284" spans="1:8" x14ac:dyDescent="0.25">
      <c r="A284" s="8" t="s">
        <v>322</v>
      </c>
      <c r="B284" s="8" t="s">
        <v>717</v>
      </c>
      <c r="C284" s="8" t="s">
        <v>719</v>
      </c>
      <c r="D284" s="10">
        <v>0</v>
      </c>
      <c r="E284" s="10">
        <f>_xll.AtlasFormulas.AtlasFunctions.AtlasBalance("PROD",DataAreaId,"T.InventTrans|inventDimId~inventDimId@T.InventDim","Sum|Qty|0","","","","","","","DateFinancial|ItemId|T2.InventSiteId|T2.InventLocationId",PeriodBeginning,$A284,$B284,$C284)</f>
        <v>0</v>
      </c>
      <c r="F284" s="10">
        <f>_xll.AtlasFormulas.AtlasFunctions.AtlasBalance("PROD",DataAreaId,"T.InventTrans|inventDimId~inventDimId@T.InventDim","Sum|Qty|0","","","","","","","DateFinancial|ItemId|T2.InventSiteId|T2.InventLocationId",PeriodEnding,$A284,$B284,$C284)</f>
        <v>0</v>
      </c>
      <c r="G284" s="10">
        <f>AtlasReport_3_Table_1[[#This Row],[Current On-hand]]-AtlasReport_3_Table_1[[#This Row],[Trans backwords (Beginning)]]</f>
        <v>0</v>
      </c>
      <c r="H284" s="10">
        <f>AtlasReport_3_Table_1[[#This Row],[Current On-hand]]-AtlasReport_3_Table_1[[#This Row],[Trans backwords (Ending)]]</f>
        <v>0</v>
      </c>
    </row>
    <row r="285" spans="1:8" x14ac:dyDescent="0.25">
      <c r="A285" s="8" t="s">
        <v>767</v>
      </c>
      <c r="B285" s="8" t="s">
        <v>717</v>
      </c>
      <c r="C285" s="8" t="s">
        <v>73</v>
      </c>
      <c r="D285" s="10">
        <v>0</v>
      </c>
      <c r="E285" s="10">
        <f>_xll.AtlasFormulas.AtlasFunctions.AtlasBalance("PROD",DataAreaId,"T.InventTrans|inventDimId~inventDimId@T.InventDim","Sum|Qty|0","","","","","","","DateFinancial|ItemId|T2.InventSiteId|T2.InventLocationId",PeriodBeginning,$A285,$B285,$C285)</f>
        <v>0</v>
      </c>
      <c r="F285" s="10">
        <f>_xll.AtlasFormulas.AtlasFunctions.AtlasBalance("PROD",DataAreaId,"T.InventTrans|inventDimId~inventDimId@T.InventDim","Sum|Qty|0","","","","","","","DateFinancial|ItemId|T2.InventSiteId|T2.InventLocationId",PeriodEnding,$A285,$B285,$C285)</f>
        <v>0</v>
      </c>
      <c r="G285" s="10">
        <f>AtlasReport_3_Table_1[[#This Row],[Current On-hand]]-AtlasReport_3_Table_1[[#This Row],[Trans backwords (Beginning)]]</f>
        <v>0</v>
      </c>
      <c r="H285" s="10">
        <f>AtlasReport_3_Table_1[[#This Row],[Current On-hand]]-AtlasReport_3_Table_1[[#This Row],[Trans backwords (Ending)]]</f>
        <v>0</v>
      </c>
    </row>
    <row r="286" spans="1:8" x14ac:dyDescent="0.25">
      <c r="A286" s="8" t="s">
        <v>767</v>
      </c>
      <c r="B286" s="8" t="s">
        <v>717</v>
      </c>
      <c r="C286" s="8" t="s">
        <v>718</v>
      </c>
      <c r="D286" s="10">
        <v>0</v>
      </c>
      <c r="E286" s="10">
        <f>_xll.AtlasFormulas.AtlasFunctions.AtlasBalance("PROD",DataAreaId,"T.InventTrans|inventDimId~inventDimId@T.InventDim","Sum|Qty|0","","","","","","","DateFinancial|ItemId|T2.InventSiteId|T2.InventLocationId",PeriodBeginning,$A286,$B286,$C286)</f>
        <v>0</v>
      </c>
      <c r="F286" s="10">
        <f>_xll.AtlasFormulas.AtlasFunctions.AtlasBalance("PROD",DataAreaId,"T.InventTrans|inventDimId~inventDimId@T.InventDim","Sum|Qty|0","","","","","","","DateFinancial|ItemId|T2.InventSiteId|T2.InventLocationId",PeriodEnding,$A286,$B286,$C286)</f>
        <v>0</v>
      </c>
      <c r="G286" s="10">
        <f>AtlasReport_3_Table_1[[#This Row],[Current On-hand]]-AtlasReport_3_Table_1[[#This Row],[Trans backwords (Beginning)]]</f>
        <v>0</v>
      </c>
      <c r="H286" s="10">
        <f>AtlasReport_3_Table_1[[#This Row],[Current On-hand]]-AtlasReport_3_Table_1[[#This Row],[Trans backwords (Ending)]]</f>
        <v>0</v>
      </c>
    </row>
    <row r="287" spans="1:8" x14ac:dyDescent="0.25">
      <c r="A287" s="8" t="s">
        <v>768</v>
      </c>
      <c r="B287" s="8" t="s">
        <v>717</v>
      </c>
      <c r="C287" s="8" t="s">
        <v>73</v>
      </c>
      <c r="D287" s="10">
        <v>0</v>
      </c>
      <c r="E287" s="10">
        <f>_xll.AtlasFormulas.AtlasFunctions.AtlasBalance("PROD",DataAreaId,"T.InventTrans|inventDimId~inventDimId@T.InventDim","Sum|Qty|0","","","","","","","DateFinancial|ItemId|T2.InventSiteId|T2.InventLocationId",PeriodBeginning,$A287,$B287,$C287)</f>
        <v>0</v>
      </c>
      <c r="F287" s="10">
        <f>_xll.AtlasFormulas.AtlasFunctions.AtlasBalance("PROD",DataAreaId,"T.InventTrans|inventDimId~inventDimId@T.InventDim","Sum|Qty|0","","","","","","","DateFinancial|ItemId|T2.InventSiteId|T2.InventLocationId",PeriodEnding,$A287,$B287,$C287)</f>
        <v>0</v>
      </c>
      <c r="G287" s="10">
        <f>AtlasReport_3_Table_1[[#This Row],[Current On-hand]]-AtlasReport_3_Table_1[[#This Row],[Trans backwords (Beginning)]]</f>
        <v>0</v>
      </c>
      <c r="H287" s="10">
        <f>AtlasReport_3_Table_1[[#This Row],[Current On-hand]]-AtlasReport_3_Table_1[[#This Row],[Trans backwords (Ending)]]</f>
        <v>0</v>
      </c>
    </row>
    <row r="288" spans="1:8" x14ac:dyDescent="0.25">
      <c r="A288" s="8" t="s">
        <v>768</v>
      </c>
      <c r="B288" s="8" t="s">
        <v>717</v>
      </c>
      <c r="C288" s="8" t="s">
        <v>718</v>
      </c>
      <c r="D288" s="10">
        <v>0</v>
      </c>
      <c r="E288" s="10">
        <f>_xll.AtlasFormulas.AtlasFunctions.AtlasBalance("PROD",DataAreaId,"T.InventTrans|inventDimId~inventDimId@T.InventDim","Sum|Qty|0","","","","","","","DateFinancial|ItemId|T2.InventSiteId|T2.InventLocationId",PeriodBeginning,$A288,$B288,$C288)</f>
        <v>0</v>
      </c>
      <c r="F288" s="10">
        <f>_xll.AtlasFormulas.AtlasFunctions.AtlasBalance("PROD",DataAreaId,"T.InventTrans|inventDimId~inventDimId@T.InventDim","Sum|Qty|0","","","","","","","DateFinancial|ItemId|T2.InventSiteId|T2.InventLocationId",PeriodEnding,$A288,$B288,$C288)</f>
        <v>0</v>
      </c>
      <c r="G288" s="10">
        <f>AtlasReport_3_Table_1[[#This Row],[Current On-hand]]-AtlasReport_3_Table_1[[#This Row],[Trans backwords (Beginning)]]</f>
        <v>0</v>
      </c>
      <c r="H288" s="10">
        <f>AtlasReport_3_Table_1[[#This Row],[Current On-hand]]-AtlasReport_3_Table_1[[#This Row],[Trans backwords (Ending)]]</f>
        <v>0</v>
      </c>
    </row>
    <row r="289" spans="1:8" x14ac:dyDescent="0.25">
      <c r="A289" s="8" t="s">
        <v>752</v>
      </c>
      <c r="B289" s="8" t="s">
        <v>717</v>
      </c>
      <c r="C289" s="8" t="s">
        <v>718</v>
      </c>
      <c r="D289" s="10">
        <v>24.35</v>
      </c>
      <c r="E289" s="10">
        <f>_xll.AtlasFormulas.AtlasFunctions.AtlasBalance("PROD",DataAreaId,"T.InventTrans|inventDimId~inventDimId@T.InventDim","Sum|Qty|0","","","","","","","DateFinancial|ItemId|T2.InventSiteId|T2.InventLocationId",PeriodBeginning,$A289,$B289,$C289)</f>
        <v>0</v>
      </c>
      <c r="F289" s="10">
        <f>_xll.AtlasFormulas.AtlasFunctions.AtlasBalance("PROD",DataAreaId,"T.InventTrans|inventDimId~inventDimId@T.InventDim","Sum|Qty|0","","","","","","","DateFinancial|ItemId|T2.InventSiteId|T2.InventLocationId",PeriodEnding,$A289,$B289,$C289)</f>
        <v>0</v>
      </c>
      <c r="G289" s="10">
        <f>AtlasReport_3_Table_1[[#This Row],[Current On-hand]]-AtlasReport_3_Table_1[[#This Row],[Trans backwords (Beginning)]]</f>
        <v>24.35</v>
      </c>
      <c r="H289" s="10">
        <f>AtlasReport_3_Table_1[[#This Row],[Current On-hand]]-AtlasReport_3_Table_1[[#This Row],[Trans backwords (Ending)]]</f>
        <v>24.35</v>
      </c>
    </row>
    <row r="290" spans="1:8" x14ac:dyDescent="0.25">
      <c r="A290" s="8" t="s">
        <v>753</v>
      </c>
      <c r="B290" s="8" t="s">
        <v>717</v>
      </c>
      <c r="C290" s="8" t="s">
        <v>718</v>
      </c>
      <c r="D290" s="10">
        <v>29.45</v>
      </c>
      <c r="E290" s="10">
        <f>_xll.AtlasFormulas.AtlasFunctions.AtlasBalance("PROD",DataAreaId,"T.InventTrans|inventDimId~inventDimId@T.InventDim","Sum|Qty|0","","","","","","","DateFinancial|ItemId|T2.InventSiteId|T2.InventLocationId",PeriodBeginning,$A290,$B290,$C290)</f>
        <v>0</v>
      </c>
      <c r="F290" s="10">
        <f>_xll.AtlasFormulas.AtlasFunctions.AtlasBalance("PROD",DataAreaId,"T.InventTrans|inventDimId~inventDimId@T.InventDim","Sum|Qty|0","","","","","","","DateFinancial|ItemId|T2.InventSiteId|T2.InventLocationId",PeriodEnding,$A290,$B290,$C290)</f>
        <v>0</v>
      </c>
      <c r="G290" s="10">
        <f>AtlasReport_3_Table_1[[#This Row],[Current On-hand]]-AtlasReport_3_Table_1[[#This Row],[Trans backwords (Beginning)]]</f>
        <v>29.45</v>
      </c>
      <c r="H290" s="10">
        <f>AtlasReport_3_Table_1[[#This Row],[Current On-hand]]-AtlasReport_3_Table_1[[#This Row],[Trans backwords (Ending)]]</f>
        <v>29.45</v>
      </c>
    </row>
    <row r="291" spans="1:8" x14ac:dyDescent="0.25">
      <c r="A291" s="8" t="s">
        <v>754</v>
      </c>
      <c r="B291" s="8" t="s">
        <v>717</v>
      </c>
      <c r="C291" s="8" t="s">
        <v>73</v>
      </c>
      <c r="D291" s="10">
        <v>0</v>
      </c>
      <c r="E291" s="10">
        <f>_xll.AtlasFormulas.AtlasFunctions.AtlasBalance("PROD",DataAreaId,"T.InventTrans|inventDimId~inventDimId@T.InventDim","Sum|Qty|0","","","","","","","DateFinancial|ItemId|T2.InventSiteId|T2.InventLocationId",PeriodBeginning,$A291,$B291,$C291)</f>
        <v>0</v>
      </c>
      <c r="F291" s="10">
        <f>_xll.AtlasFormulas.AtlasFunctions.AtlasBalance("PROD",DataAreaId,"T.InventTrans|inventDimId~inventDimId@T.InventDim","Sum|Qty|0","","","","","","","DateFinancial|ItemId|T2.InventSiteId|T2.InventLocationId",PeriodEnding,$A291,$B291,$C291)</f>
        <v>0</v>
      </c>
      <c r="G291" s="10">
        <f>AtlasReport_3_Table_1[[#This Row],[Current On-hand]]-AtlasReport_3_Table_1[[#This Row],[Trans backwords (Beginning)]]</f>
        <v>0</v>
      </c>
      <c r="H291" s="10">
        <f>AtlasReport_3_Table_1[[#This Row],[Current On-hand]]-AtlasReport_3_Table_1[[#This Row],[Trans backwords (Ending)]]</f>
        <v>0</v>
      </c>
    </row>
    <row r="292" spans="1:8" x14ac:dyDescent="0.25">
      <c r="A292" s="8" t="s">
        <v>754</v>
      </c>
      <c r="B292" s="8" t="s">
        <v>717</v>
      </c>
      <c r="C292" s="8" t="s">
        <v>719</v>
      </c>
      <c r="D292" s="10">
        <v>0</v>
      </c>
      <c r="E292" s="10">
        <f>_xll.AtlasFormulas.AtlasFunctions.AtlasBalance("PROD",DataAreaId,"T.InventTrans|inventDimId~inventDimId@T.InventDim","Sum|Qty|0","","","","","","","DateFinancial|ItemId|T2.InventSiteId|T2.InventLocationId",PeriodBeginning,$A292,$B292,$C292)</f>
        <v>0</v>
      </c>
      <c r="F292" s="10">
        <f>_xll.AtlasFormulas.AtlasFunctions.AtlasBalance("PROD",DataAreaId,"T.InventTrans|inventDimId~inventDimId@T.InventDim","Sum|Qty|0","","","","","","","DateFinancial|ItemId|T2.InventSiteId|T2.InventLocationId",PeriodEnding,$A292,$B292,$C292)</f>
        <v>0</v>
      </c>
      <c r="G292" s="10">
        <f>AtlasReport_3_Table_1[[#This Row],[Current On-hand]]-AtlasReport_3_Table_1[[#This Row],[Trans backwords (Beginning)]]</f>
        <v>0</v>
      </c>
      <c r="H292" s="10">
        <f>AtlasReport_3_Table_1[[#This Row],[Current On-hand]]-AtlasReport_3_Table_1[[#This Row],[Trans backwords (Ending)]]</f>
        <v>0</v>
      </c>
    </row>
    <row r="293" spans="1:8" x14ac:dyDescent="0.25">
      <c r="A293" s="8" t="s">
        <v>754</v>
      </c>
      <c r="B293" s="8" t="s">
        <v>717</v>
      </c>
      <c r="C293" s="8" t="s">
        <v>718</v>
      </c>
      <c r="D293" s="10">
        <v>6449</v>
      </c>
      <c r="E293" s="10">
        <f>_xll.AtlasFormulas.AtlasFunctions.AtlasBalance("PROD",DataAreaId,"T.InventTrans|inventDimId~inventDimId@T.InventDim","Sum|Qty|0","","","","","","","DateFinancial|ItemId|T2.InventSiteId|T2.InventLocationId",PeriodBeginning,$A293,$B293,$C293)</f>
        <v>0</v>
      </c>
      <c r="F293" s="10">
        <f>_xll.AtlasFormulas.AtlasFunctions.AtlasBalance("PROD",DataAreaId,"T.InventTrans|inventDimId~inventDimId@T.InventDim","Sum|Qty|0","","","","","","","DateFinancial|ItemId|T2.InventSiteId|T2.InventLocationId",PeriodEnding,$A293,$B293,$C293)</f>
        <v>0</v>
      </c>
      <c r="G293" s="10">
        <f>AtlasReport_3_Table_1[[#This Row],[Current On-hand]]-AtlasReport_3_Table_1[[#This Row],[Trans backwords (Beginning)]]</f>
        <v>6449</v>
      </c>
      <c r="H293" s="10">
        <f>AtlasReport_3_Table_1[[#This Row],[Current On-hand]]-AtlasReport_3_Table_1[[#This Row],[Trans backwords (Ending)]]</f>
        <v>6449</v>
      </c>
    </row>
    <row r="294" spans="1:8" x14ac:dyDescent="0.25">
      <c r="A294" s="8" t="s">
        <v>754</v>
      </c>
      <c r="B294" s="8" t="s">
        <v>717</v>
      </c>
      <c r="C294" s="8" t="s">
        <v>756</v>
      </c>
      <c r="D294" s="10">
        <v>0</v>
      </c>
      <c r="E294" s="10">
        <f>_xll.AtlasFormulas.AtlasFunctions.AtlasBalance("PROD",DataAreaId,"T.InventTrans|inventDimId~inventDimId@T.InventDim","Sum|Qty|0","","","","","","","DateFinancial|ItemId|T2.InventSiteId|T2.InventLocationId",PeriodBeginning,$A294,$B294,$C294)</f>
        <v>0</v>
      </c>
      <c r="F294" s="10">
        <f>_xll.AtlasFormulas.AtlasFunctions.AtlasBalance("PROD",DataAreaId,"T.InventTrans|inventDimId~inventDimId@T.InventDim","Sum|Qty|0","","","","","","","DateFinancial|ItemId|T2.InventSiteId|T2.InventLocationId",PeriodEnding,$A294,$B294,$C294)</f>
        <v>0</v>
      </c>
      <c r="G294" s="10">
        <f>AtlasReport_3_Table_1[[#This Row],[Current On-hand]]-AtlasReport_3_Table_1[[#This Row],[Trans backwords (Beginning)]]</f>
        <v>0</v>
      </c>
      <c r="H294" s="10">
        <f>AtlasReport_3_Table_1[[#This Row],[Current On-hand]]-AtlasReport_3_Table_1[[#This Row],[Trans backwords (Ending)]]</f>
        <v>0</v>
      </c>
    </row>
    <row r="295" spans="1:8" x14ac:dyDescent="0.25">
      <c r="A295" s="8" t="s">
        <v>755</v>
      </c>
      <c r="B295" s="8" t="s">
        <v>717</v>
      </c>
      <c r="C295" s="8" t="s">
        <v>73</v>
      </c>
      <c r="D295" s="10">
        <v>0</v>
      </c>
      <c r="E295" s="10">
        <f>_xll.AtlasFormulas.AtlasFunctions.AtlasBalance("PROD",DataAreaId,"T.InventTrans|inventDimId~inventDimId@T.InventDim","Sum|Qty|0","","","","","","","DateFinancial|ItemId|T2.InventSiteId|T2.InventLocationId",PeriodBeginning,$A295,$B295,$C295)</f>
        <v>0</v>
      </c>
      <c r="F295" s="10">
        <f>_xll.AtlasFormulas.AtlasFunctions.AtlasBalance("PROD",DataAreaId,"T.InventTrans|inventDimId~inventDimId@T.InventDim","Sum|Qty|0","","","","","","","DateFinancial|ItemId|T2.InventSiteId|T2.InventLocationId",PeriodEnding,$A295,$B295,$C295)</f>
        <v>0</v>
      </c>
      <c r="G295" s="10">
        <f>AtlasReport_3_Table_1[[#This Row],[Current On-hand]]-AtlasReport_3_Table_1[[#This Row],[Trans backwords (Beginning)]]</f>
        <v>0</v>
      </c>
      <c r="H295" s="10">
        <f>AtlasReport_3_Table_1[[#This Row],[Current On-hand]]-AtlasReport_3_Table_1[[#This Row],[Trans backwords (Ending)]]</f>
        <v>0</v>
      </c>
    </row>
    <row r="296" spans="1:8" x14ac:dyDescent="0.25">
      <c r="A296" s="8" t="s">
        <v>755</v>
      </c>
      <c r="B296" s="8" t="s">
        <v>717</v>
      </c>
      <c r="C296" s="8" t="s">
        <v>718</v>
      </c>
      <c r="D296" s="10">
        <v>40.880000000000003</v>
      </c>
      <c r="E296" s="10">
        <f>_xll.AtlasFormulas.AtlasFunctions.AtlasBalance("PROD",DataAreaId,"T.InventTrans|inventDimId~inventDimId@T.InventDim","Sum|Qty|0","","","","","","","DateFinancial|ItemId|T2.InventSiteId|T2.InventLocationId",PeriodBeginning,$A296,$B296,$C296)</f>
        <v>0</v>
      </c>
      <c r="F296" s="10">
        <f>_xll.AtlasFormulas.AtlasFunctions.AtlasBalance("PROD",DataAreaId,"T.InventTrans|inventDimId~inventDimId@T.InventDim","Sum|Qty|0","","","","","","","DateFinancial|ItemId|T2.InventSiteId|T2.InventLocationId",PeriodEnding,$A296,$B296,$C296)</f>
        <v>0</v>
      </c>
      <c r="G296" s="10">
        <f>AtlasReport_3_Table_1[[#This Row],[Current On-hand]]-AtlasReport_3_Table_1[[#This Row],[Trans backwords (Beginning)]]</f>
        <v>40.880000000000003</v>
      </c>
      <c r="H296" s="10">
        <f>AtlasReport_3_Table_1[[#This Row],[Current On-hand]]-AtlasReport_3_Table_1[[#This Row],[Trans backwords (Ending)]]</f>
        <v>40.880000000000003</v>
      </c>
    </row>
    <row r="297" spans="1:8" x14ac:dyDescent="0.25">
      <c r="A297" s="3" t="s">
        <v>13</v>
      </c>
      <c r="B297" s="7"/>
      <c r="C297" s="7"/>
      <c r="D297" s="9">
        <f>SUBTOTAL(109,AtlasReport_3_Table_1[Current On-hand])</f>
        <v>199597.69</v>
      </c>
      <c r="E297" s="9">
        <f>SUBTOTAL(109,AtlasReport_3_Table_1[Trans backwords (Beginning)])</f>
        <v>803.92</v>
      </c>
      <c r="F297" s="9">
        <f>SUBTOTAL(109,AtlasReport_3_Table_1[Trans backwords (Ending)])</f>
        <v>0</v>
      </c>
      <c r="G297" s="9">
        <f>SUBTOTAL(109,AtlasReport_3_Table_1[Beginning On-hand])</f>
        <v>198793.77</v>
      </c>
      <c r="H297" s="9">
        <f>SUBTOTAL(109,AtlasReport_3_Table_1[Ending On-hand])</f>
        <v>199597.69</v>
      </c>
    </row>
    <row r="298" spans="1:8" x14ac:dyDescent="0.25">
      <c r="A298" s="3"/>
      <c r="B298" s="3"/>
      <c r="C298" s="3"/>
      <c r="D298" s="9"/>
      <c r="E298" s="9"/>
      <c r="F298" s="9"/>
      <c r="G298" s="9"/>
      <c r="H298" s="9"/>
    </row>
    <row r="299" spans="1:8" x14ac:dyDescent="0.25">
      <c r="A299" s="3"/>
      <c r="B299" s="3"/>
      <c r="C299" s="3"/>
      <c r="D299" s="9"/>
      <c r="E299" s="9"/>
      <c r="F299" s="9"/>
      <c r="G299" s="9"/>
      <c r="H299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4"/>
  <sheetViews>
    <sheetView topLeftCell="D1" workbookViewId="0">
      <selection activeCell="M4" sqref="M4"/>
    </sheetView>
  </sheetViews>
  <sheetFormatPr defaultRowHeight="15" x14ac:dyDescent="0.2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 x14ac:dyDescent="0.3">
      <c r="A1" s="2" t="s">
        <v>81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6</v>
      </c>
      <c r="B2" s="3" t="s">
        <v>46</v>
      </c>
      <c r="C2" s="3" t="s">
        <v>47</v>
      </c>
      <c r="D2" s="3" t="s">
        <v>12</v>
      </c>
      <c r="E2" s="3" t="s">
        <v>39</v>
      </c>
      <c r="F2" s="3" t="s">
        <v>141</v>
      </c>
      <c r="G2" s="3" t="s">
        <v>142</v>
      </c>
      <c r="H2" s="3" t="s">
        <v>82</v>
      </c>
      <c r="I2" s="3" t="s">
        <v>83</v>
      </c>
      <c r="J2" s="3" t="s">
        <v>143</v>
      </c>
      <c r="K2" s="3" t="s">
        <v>144</v>
      </c>
      <c r="L2" s="3" t="s">
        <v>139</v>
      </c>
      <c r="M2" s="3" t="s">
        <v>140</v>
      </c>
    </row>
    <row r="3" spans="1:13" x14ac:dyDescent="0.25">
      <c r="A3" s="8" t="s">
        <v>716</v>
      </c>
      <c r="B3" s="8" t="s">
        <v>717</v>
      </c>
      <c r="C3" s="8" t="s">
        <v>718</v>
      </c>
      <c r="D3" s="4">
        <v>302.5</v>
      </c>
      <c r="E3" s="4">
        <v>0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285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17.5</v>
      </c>
      <c r="I3" s="4">
        <f>AtlasReport_4_Table_1[[#This Row],[Quantity]]-AtlasReport_4_Table_1[[#This Row],[TPP trans backwards (Ending)]]</f>
        <v>302.5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0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trans backwards balance (Ending)]]</f>
        <v>0</v>
      </c>
    </row>
    <row r="4" spans="1:13" x14ac:dyDescent="0.25">
      <c r="A4" s="8" t="s">
        <v>49</v>
      </c>
      <c r="B4" s="8" t="s">
        <v>717</v>
      </c>
      <c r="C4" s="8" t="s">
        <v>719</v>
      </c>
      <c r="D4" s="4">
        <v>769</v>
      </c>
      <c r="E4" s="4">
        <v>1554.68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769</v>
      </c>
      <c r="I4" s="4">
        <f>AtlasReport_4_Table_1[[#This Row],[Quantity]]-AtlasReport_4_Table_1[[#This Row],[TPP trans backwards (Ending)]]</f>
        <v>769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1554.68</v>
      </c>
      <c r="M4" s="4">
        <f>AtlasReport_4_Table_1[[#This Row],[TPP cost amount]]-AtlasReport_4_Table_1[[#This Row],[TPP trans backwards balance (Ending)]]</f>
        <v>1554.68</v>
      </c>
    </row>
    <row r="5" spans="1:13" x14ac:dyDescent="0.25">
      <c r="A5" s="8" t="s">
        <v>49</v>
      </c>
      <c r="B5" s="8" t="s">
        <v>717</v>
      </c>
      <c r="C5" s="8" t="s">
        <v>718</v>
      </c>
      <c r="D5" s="4">
        <v>0</v>
      </c>
      <c r="E5" s="4">
        <v>0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0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0</v>
      </c>
      <c r="I5" s="4">
        <f>AtlasReport_4_Table_1[[#This Row],[Quantity]]-AtlasReport_4_Table_1[[#This Row],[TPP trans backwards (Ending)]]</f>
        <v>0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0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trans backwards balance (Ending)]]</f>
        <v>0</v>
      </c>
    </row>
    <row r="6" spans="1:13" x14ac:dyDescent="0.25">
      <c r="A6" s="8" t="s">
        <v>126</v>
      </c>
      <c r="B6" s="8" t="s">
        <v>717</v>
      </c>
      <c r="C6" s="8" t="s">
        <v>719</v>
      </c>
      <c r="D6" s="4">
        <v>487.5</v>
      </c>
      <c r="E6" s="4">
        <v>1821.75</v>
      </c>
      <c r="F6" s="4">
        <f>_xll.AtlasFormulas.AtlasFunctions.AtlasBalance("PROD",DataAreaId,"T.TPPTrans_sst|InventDimId~inventDimId@T.InventDim","Sum|Qty|0","","","","","","","ItemId|TransDate|T2.InventSiteId|T2.InventLocationId",$A6,PeriodBeginning,$B6,$C6)</f>
        <v>0</v>
      </c>
      <c r="G6" s="4">
        <f>_xll.AtlasFormulas.AtlasFunctions.AtlasBalance("PROD",DataAreaId,"T.TPPTrans_sst|InventDimId~inventDimId@T.InventDim","Sum|Qty|0","","","","","","","ItemId|TransDate|T2.InventSiteId|T2.InventLocationId",$A6,PeriodEnding,$B6,$C6)</f>
        <v>0</v>
      </c>
      <c r="H6" s="4">
        <f>AtlasReport_4_Table_1[[#This Row],[Quantity]]-AtlasReport_4_Table_1[[#This Row],[TPP trans backwards (Beginning)]]</f>
        <v>487.5</v>
      </c>
      <c r="I6" s="4">
        <f>AtlasReport_4_Table_1[[#This Row],[Quantity]]-AtlasReport_4_Table_1[[#This Row],[TPP trans backwards (Ending)]]</f>
        <v>487.5</v>
      </c>
      <c r="J6" s="4">
        <f>_xll.AtlasFormulas.AtlasFunctions.AtlasBalance("PROD",DataAreaId,"T.TPPTrans_sst|InventDimId~inventDimId@T.InventDim","Sum|CostAmount|0","","","","","","","ItemId|TransDate|T2.InventSiteId|T2.InventLocationId",$A6,PeriodBeginning,$B6,$C6)</f>
        <v>0</v>
      </c>
      <c r="K6" s="4">
        <f>_xll.AtlasFormulas.AtlasFunctions.AtlasBalance("PROD",DataAreaId,"T.TPPTrans_sst|InventDimId~inventDimId@T.InventDim","Sum|CostAmount|0","","","","","","","ItemId|TransDate|T2.InventSiteId|T2.InventLocationId",$A6,PeriodEnding,$B6,$C6)</f>
        <v>0</v>
      </c>
      <c r="L6" s="4">
        <f>AtlasReport_4_Table_1[[#This Row],[TPP cost amount]]-AtlasReport_4_Table_1[[#This Row],[TPP trans backwards balance (Beginning)]]</f>
        <v>1821.75</v>
      </c>
      <c r="M6" s="4">
        <f>AtlasReport_4_Table_1[[#This Row],[TPP cost amount]]-AtlasReport_4_Table_1[[#This Row],[TPP trans backwards balance (Ending)]]</f>
        <v>1821.75</v>
      </c>
    </row>
    <row r="7" spans="1:13" x14ac:dyDescent="0.25">
      <c r="A7" s="8" t="s">
        <v>127</v>
      </c>
      <c r="B7" s="8" t="s">
        <v>717</v>
      </c>
      <c r="C7" s="8" t="s">
        <v>719</v>
      </c>
      <c r="D7" s="4">
        <v>472.75</v>
      </c>
      <c r="E7" s="4">
        <v>1807.11</v>
      </c>
      <c r="F7" s="4">
        <f>_xll.AtlasFormulas.AtlasFunctions.AtlasBalance("PROD",DataAreaId,"T.TPPTrans_sst|InventDimId~inventDimId@T.InventDim","Sum|Qty|0","","","","","","","ItemId|TransDate|T2.InventSiteId|T2.InventLocationId",$A7,PeriodBeginning,$B7,$C7)</f>
        <v>0</v>
      </c>
      <c r="G7" s="4">
        <f>_xll.AtlasFormulas.AtlasFunctions.AtlasBalance("PROD",DataAreaId,"T.TPPTrans_sst|InventDimId~inventDimId@T.InventDim","Sum|Qty|0","","","","","","","ItemId|TransDate|T2.InventSiteId|T2.InventLocationId",$A7,PeriodEnding,$B7,$C7)</f>
        <v>0</v>
      </c>
      <c r="H7" s="4">
        <f>AtlasReport_4_Table_1[[#This Row],[Quantity]]-AtlasReport_4_Table_1[[#This Row],[TPP trans backwards (Beginning)]]</f>
        <v>472.75</v>
      </c>
      <c r="I7" s="4">
        <f>AtlasReport_4_Table_1[[#This Row],[Quantity]]-AtlasReport_4_Table_1[[#This Row],[TPP trans backwards (Ending)]]</f>
        <v>472.75</v>
      </c>
      <c r="J7" s="4">
        <f>_xll.AtlasFormulas.AtlasFunctions.AtlasBalance("PROD",DataAreaId,"T.TPPTrans_sst|InventDimId~inventDimId@T.InventDim","Sum|CostAmount|0","","","","","","","ItemId|TransDate|T2.InventSiteId|T2.InventLocationId",$A7,PeriodBeginning,$B7,$C7)</f>
        <v>0</v>
      </c>
      <c r="K7" s="4">
        <f>_xll.AtlasFormulas.AtlasFunctions.AtlasBalance("PROD",DataAreaId,"T.TPPTrans_sst|InventDimId~inventDimId@T.InventDim","Sum|CostAmount|0","","","","","","","ItemId|TransDate|T2.InventSiteId|T2.InventLocationId",$A7,PeriodEnding,$B7,$C7)</f>
        <v>0</v>
      </c>
      <c r="L7" s="4">
        <f>AtlasReport_4_Table_1[[#This Row],[TPP cost amount]]-AtlasReport_4_Table_1[[#This Row],[TPP trans backwards balance (Beginning)]]</f>
        <v>1807.11</v>
      </c>
      <c r="M7" s="4">
        <f>AtlasReport_4_Table_1[[#This Row],[TPP cost amount]]-AtlasReport_4_Table_1[[#This Row],[TPP trans backwards balance (Ending)]]</f>
        <v>1807.11</v>
      </c>
    </row>
    <row r="8" spans="1:13" x14ac:dyDescent="0.25">
      <c r="A8" s="8" t="s">
        <v>128</v>
      </c>
      <c r="B8" s="8" t="s">
        <v>717</v>
      </c>
      <c r="C8" s="8" t="s">
        <v>719</v>
      </c>
      <c r="D8" s="4">
        <v>172</v>
      </c>
      <c r="E8" s="4">
        <v>0</v>
      </c>
      <c r="F8" s="4">
        <f>_xll.AtlasFormulas.AtlasFunctions.AtlasBalance("PROD",DataAreaId,"T.TPPTrans_sst|InventDimId~inventDimId@T.InventDim","Sum|Qty|0","","","","","","","ItemId|TransDate|T2.InventSiteId|T2.InventLocationId",$A8,PeriodBeginning,$B8,$C8)</f>
        <v>0</v>
      </c>
      <c r="G8" s="4">
        <f>_xll.AtlasFormulas.AtlasFunctions.AtlasBalance("PROD",DataAreaId,"T.TPPTrans_sst|InventDimId~inventDimId@T.InventDim","Sum|Qty|0","","","","","","","ItemId|TransDate|T2.InventSiteId|T2.InventLocationId",$A8,PeriodEnding,$B8,$C8)</f>
        <v>0</v>
      </c>
      <c r="H8" s="4">
        <f>AtlasReport_4_Table_1[[#This Row],[Quantity]]-AtlasReport_4_Table_1[[#This Row],[TPP trans backwards (Beginning)]]</f>
        <v>172</v>
      </c>
      <c r="I8" s="4">
        <f>AtlasReport_4_Table_1[[#This Row],[Quantity]]-AtlasReport_4_Table_1[[#This Row],[TPP trans backwards (Ending)]]</f>
        <v>172</v>
      </c>
      <c r="J8" s="4">
        <f>_xll.AtlasFormulas.AtlasFunctions.AtlasBalance("PROD",DataAreaId,"T.TPPTrans_sst|InventDimId~inventDimId@T.InventDim","Sum|CostAmount|0","","","","","","","ItemId|TransDate|T2.InventSiteId|T2.InventLocationId",$A8,PeriodBeginning,$B8,$C8)</f>
        <v>0</v>
      </c>
      <c r="K8" s="4">
        <f>_xll.AtlasFormulas.AtlasFunctions.AtlasBalance("PROD",DataAreaId,"T.TPPTrans_sst|InventDimId~inventDimId@T.InventDim","Sum|CostAmount|0","","","","","","","ItemId|TransDate|T2.InventSiteId|T2.InventLocationId",$A8,PeriodEnding,$B8,$C8)</f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trans backwards balance (Ending)]]</f>
        <v>0</v>
      </c>
    </row>
    <row r="9" spans="1:13" x14ac:dyDescent="0.25">
      <c r="A9" s="8" t="s">
        <v>720</v>
      </c>
      <c r="B9" s="8" t="s">
        <v>717</v>
      </c>
      <c r="C9" s="8" t="s">
        <v>719</v>
      </c>
      <c r="D9" s="4">
        <v>1211</v>
      </c>
      <c r="E9" s="4">
        <v>0</v>
      </c>
      <c r="F9" s="4">
        <f>_xll.AtlasFormulas.AtlasFunctions.AtlasBalance("PROD",DataAreaId,"T.TPPTrans_sst|InventDimId~inventDimId@T.InventDim","Sum|Qty|0","","","","","","","ItemId|TransDate|T2.InventSiteId|T2.InventLocationId",$A9,PeriodBeginning,$B9,$C9)</f>
        <v>955</v>
      </c>
      <c r="G9" s="4">
        <f>_xll.AtlasFormulas.AtlasFunctions.AtlasBalance("PROD",DataAreaId,"T.TPPTrans_sst|InventDimId~inventDimId@T.InventDim","Sum|Qty|0","","","","","","","ItemId|TransDate|T2.InventSiteId|T2.InventLocationId",$A9,PeriodEnding,$B9,$C9)</f>
        <v>0</v>
      </c>
      <c r="H9" s="4">
        <f>AtlasReport_4_Table_1[[#This Row],[Quantity]]-AtlasReport_4_Table_1[[#This Row],[TPP trans backwards (Beginning)]]</f>
        <v>256</v>
      </c>
      <c r="I9" s="4">
        <f>AtlasReport_4_Table_1[[#This Row],[Quantity]]-AtlasReport_4_Table_1[[#This Row],[TPP trans backwards (Ending)]]</f>
        <v>1211</v>
      </c>
      <c r="J9" s="4">
        <f>_xll.AtlasFormulas.AtlasFunctions.AtlasBalance("PROD",DataAreaId,"T.TPPTrans_sst|InventDimId~inventDimId@T.InventDim","Sum|CostAmount|0","","","","","","","ItemId|TransDate|T2.InventSiteId|T2.InventLocationId",$A9,PeriodBeginning,$B9,$C9)</f>
        <v>0</v>
      </c>
      <c r="K9" s="4">
        <f>_xll.AtlasFormulas.AtlasFunctions.AtlasBalance("PROD",DataAreaId,"T.TPPTrans_sst|InventDimId~inventDimId@T.InventDim","Sum|CostAmount|0","","","","","","","ItemId|TransDate|T2.InventSiteId|T2.InventLocationId",$A9,PeriodEnding,$B9,$C9)</f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trans backwards balance (Ending)]]</f>
        <v>0</v>
      </c>
    </row>
    <row r="10" spans="1:13" x14ac:dyDescent="0.25">
      <c r="A10" s="8" t="s">
        <v>676</v>
      </c>
      <c r="B10" s="8" t="s">
        <v>717</v>
      </c>
      <c r="C10" s="8" t="s">
        <v>719</v>
      </c>
      <c r="D10" s="4">
        <v>98</v>
      </c>
      <c r="E10" s="4">
        <v>0</v>
      </c>
      <c r="F10" s="4">
        <f>_xll.AtlasFormulas.AtlasFunctions.AtlasBalance("PROD",DataAreaId,"T.TPPTrans_sst|InventDimId~inventDimId@T.InventDim","Sum|Qty|0","","","","","","","ItemId|TransDate|T2.InventSiteId|T2.InventLocationId",$A10,PeriodBeginning,$B10,$C10)</f>
        <v>0</v>
      </c>
      <c r="G10" s="4">
        <f>_xll.AtlasFormulas.AtlasFunctions.AtlasBalance("PROD",DataAreaId,"T.TPPTrans_sst|InventDimId~inventDimId@T.InventDim","Sum|Qty|0","","","","","","","ItemId|TransDate|T2.InventSiteId|T2.InventLocationId",$A10,PeriodEnding,$B10,$C10)</f>
        <v>0</v>
      </c>
      <c r="H10" s="4">
        <f>AtlasReport_4_Table_1[[#This Row],[Quantity]]-AtlasReport_4_Table_1[[#This Row],[TPP trans backwards (Beginning)]]</f>
        <v>98</v>
      </c>
      <c r="I10" s="4">
        <f>AtlasReport_4_Table_1[[#This Row],[Quantity]]-AtlasReport_4_Table_1[[#This Row],[TPP trans backwards (Ending)]]</f>
        <v>98</v>
      </c>
      <c r="J10" s="4">
        <f>_xll.AtlasFormulas.AtlasFunctions.AtlasBalance("PROD",DataAreaId,"T.TPPTrans_sst|InventDimId~inventDimId@T.InventDim","Sum|CostAmount|0","","","","","","","ItemId|TransDate|T2.InventSiteId|T2.InventLocationId",$A10,PeriodBeginning,$B10,$C10)</f>
        <v>0</v>
      </c>
      <c r="K10" s="4">
        <f>_xll.AtlasFormulas.AtlasFunctions.AtlasBalance("PROD",DataAreaId,"T.TPPTrans_sst|InventDimId~inventDimId@T.InventDim","Sum|CostAmount|0","","","","","","","ItemId|TransDate|T2.InventSiteId|T2.InventLocationId",$A10,PeriodEnding,$B10,$C10)</f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trans backwards balance (Ending)]]</f>
        <v>0</v>
      </c>
    </row>
    <row r="11" spans="1:13" x14ac:dyDescent="0.25">
      <c r="A11" s="8" t="s">
        <v>20</v>
      </c>
      <c r="B11" s="8" t="s">
        <v>717</v>
      </c>
      <c r="C11" s="8" t="s">
        <v>719</v>
      </c>
      <c r="D11" s="4">
        <v>0</v>
      </c>
      <c r="E11" s="4">
        <v>0</v>
      </c>
      <c r="F11" s="4">
        <f>_xll.AtlasFormulas.AtlasFunctions.AtlasBalance("PROD",DataAreaId,"T.TPPTrans_sst|InventDimId~inventDimId@T.InventDim","Sum|Qty|0","","","","","","","ItemId|TransDate|T2.InventSiteId|T2.InventLocationId",$A11,PeriodBeginning,$B11,$C11)</f>
        <v>0</v>
      </c>
      <c r="G11" s="4">
        <f>_xll.AtlasFormulas.AtlasFunctions.AtlasBalance("PROD",DataAreaId,"T.TPPTrans_sst|InventDimId~inventDimId@T.InventDim","Sum|Qty|0","","","","","","","ItemId|TransDate|T2.InventSiteId|T2.InventLocationId",$A11,PeriodEnding,$B11,$C11)</f>
        <v>0</v>
      </c>
      <c r="H11" s="4">
        <f>AtlasReport_4_Table_1[[#This Row],[Quantity]]-AtlasReport_4_Table_1[[#This Row],[TPP trans backwards (Beginning)]]</f>
        <v>0</v>
      </c>
      <c r="I11" s="4">
        <f>AtlasReport_4_Table_1[[#This Row],[Quantity]]-AtlasReport_4_Table_1[[#This Row],[TPP trans backwards (Ending)]]</f>
        <v>0</v>
      </c>
      <c r="J11" s="4">
        <f>_xll.AtlasFormulas.AtlasFunctions.AtlasBalance("PROD",DataAreaId,"T.TPPTrans_sst|InventDimId~inventDimId@T.InventDim","Sum|CostAmount|0","","","","","","","ItemId|TransDate|T2.InventSiteId|T2.InventLocationId",$A11,PeriodBeginning,$B11,$C11)</f>
        <v>0</v>
      </c>
      <c r="K11" s="4">
        <f>_xll.AtlasFormulas.AtlasFunctions.AtlasBalance("PROD",DataAreaId,"T.TPPTrans_sst|InventDimId~inventDimId@T.InventDim","Sum|CostAmount|0","","","","","","","ItemId|TransDate|T2.InventSiteId|T2.InventLocationId",$A11,PeriodEnding,$B11,$C11)</f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trans backwards balance (Ending)]]</f>
        <v>0</v>
      </c>
    </row>
    <row r="12" spans="1:13" x14ac:dyDescent="0.25">
      <c r="A12" s="8" t="s">
        <v>18</v>
      </c>
      <c r="B12" s="8" t="s">
        <v>717</v>
      </c>
      <c r="C12" s="8" t="s">
        <v>719</v>
      </c>
      <c r="D12" s="4">
        <v>7020</v>
      </c>
      <c r="E12" s="4">
        <v>5045.1099999999997</v>
      </c>
      <c r="F12" s="4">
        <f>_xll.AtlasFormulas.AtlasFunctions.AtlasBalance("PROD",DataAreaId,"T.TPPTrans_sst|InventDimId~inventDimId@T.InventDim","Sum|Qty|0","","","","","","","ItemId|TransDate|T2.InventSiteId|T2.InventLocationId",$A12,PeriodBeginning,$B12,$C12)</f>
        <v>-4290</v>
      </c>
      <c r="G12" s="4">
        <f>_xll.AtlasFormulas.AtlasFunctions.AtlasBalance("PROD",DataAreaId,"T.TPPTrans_sst|InventDimId~inventDimId@T.InventDim","Sum|Qty|0","","","","","","","ItemId|TransDate|T2.InventSiteId|T2.InventLocationId",$A12,PeriodEnding,$B12,$C12)</f>
        <v>0</v>
      </c>
      <c r="H12" s="4">
        <f>AtlasReport_4_Table_1[[#This Row],[Quantity]]-AtlasReport_4_Table_1[[#This Row],[TPP trans backwards (Beginning)]]</f>
        <v>11310</v>
      </c>
      <c r="I12" s="4">
        <f>AtlasReport_4_Table_1[[#This Row],[Quantity]]-AtlasReport_4_Table_1[[#This Row],[TPP trans backwards (Ending)]]</f>
        <v>7020</v>
      </c>
      <c r="J12" s="4">
        <f>_xll.AtlasFormulas.AtlasFunctions.AtlasBalance("PROD",DataAreaId,"T.TPPTrans_sst|InventDimId~inventDimId@T.InventDim","Sum|CostAmount|0","","","","","","","ItemId|TransDate|T2.InventSiteId|T2.InventLocationId",$A12,PeriodBeginning,$B12,$C12)</f>
        <v>-3083.13</v>
      </c>
      <c r="K12" s="4">
        <f>_xll.AtlasFormulas.AtlasFunctions.AtlasBalance("PROD",DataAreaId,"T.TPPTrans_sst|InventDimId~inventDimId@T.InventDim","Sum|CostAmount|0","","","","","","","ItemId|TransDate|T2.InventSiteId|T2.InventLocationId",$A12,PeriodEnding,$B12,$C12)</f>
        <v>0</v>
      </c>
      <c r="L12" s="4">
        <f>AtlasReport_4_Table_1[[#This Row],[TPP cost amount]]-AtlasReport_4_Table_1[[#This Row],[TPP trans backwards balance (Beginning)]]</f>
        <v>8128.24</v>
      </c>
      <c r="M12" s="4">
        <f>AtlasReport_4_Table_1[[#This Row],[TPP cost amount]]-AtlasReport_4_Table_1[[#This Row],[TPP trans backwards balance (Ending)]]</f>
        <v>5045.1099999999997</v>
      </c>
    </row>
    <row r="13" spans="1:13" x14ac:dyDescent="0.25">
      <c r="A13" s="8" t="s">
        <v>18</v>
      </c>
      <c r="B13" s="8" t="s">
        <v>717</v>
      </c>
      <c r="C13" s="8" t="s">
        <v>718</v>
      </c>
      <c r="D13" s="4">
        <v>0</v>
      </c>
      <c r="E13" s="4">
        <v>0</v>
      </c>
      <c r="F13" s="4">
        <f>_xll.AtlasFormulas.AtlasFunctions.AtlasBalance("PROD",DataAreaId,"T.TPPTrans_sst|InventDimId~inventDimId@T.InventDim","Sum|Qty|0","","","","","","","ItemId|TransDate|T2.InventSiteId|T2.InventLocationId",$A13,PeriodBeginning,$B13,$C13)</f>
        <v>0</v>
      </c>
      <c r="G13" s="4">
        <f>_xll.AtlasFormulas.AtlasFunctions.AtlasBalance("PROD",DataAreaId,"T.TPPTrans_sst|InventDimId~inventDimId@T.InventDim","Sum|Qty|0","","","","","","","ItemId|TransDate|T2.InventSiteId|T2.InventLocationId",$A13,PeriodEnding,$B13,$C13)</f>
        <v>0</v>
      </c>
      <c r="H13" s="4">
        <f>AtlasReport_4_Table_1[[#This Row],[Quantity]]-AtlasReport_4_Table_1[[#This Row],[TPP trans backwards (Beginning)]]</f>
        <v>0</v>
      </c>
      <c r="I13" s="4">
        <f>AtlasReport_4_Table_1[[#This Row],[Quantity]]-AtlasReport_4_Table_1[[#This Row],[TPP trans backwards (Ending)]]</f>
        <v>0</v>
      </c>
      <c r="J13" s="4">
        <f>_xll.AtlasFormulas.AtlasFunctions.AtlasBalance("PROD",DataAreaId,"T.TPPTrans_sst|InventDimId~inventDimId@T.InventDim","Sum|CostAmount|0","","","","","","","ItemId|TransDate|T2.InventSiteId|T2.InventLocationId",$A13,PeriodBeginning,$B13,$C13)</f>
        <v>0</v>
      </c>
      <c r="K13" s="4">
        <f>_xll.AtlasFormulas.AtlasFunctions.AtlasBalance("PROD",DataAreaId,"T.TPPTrans_sst|InventDimId~inventDimId@T.InventDim","Sum|CostAmount|0","","","","","","","ItemId|TransDate|T2.InventSiteId|T2.InventLocationId",$A13,PeriodEnding,$B13,$C13)</f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trans backwards balance (Ending)]]</f>
        <v>0</v>
      </c>
    </row>
    <row r="14" spans="1:13" x14ac:dyDescent="0.25">
      <c r="A14" s="8" t="s">
        <v>18</v>
      </c>
      <c r="B14" s="8" t="s">
        <v>717</v>
      </c>
      <c r="C14" s="8" t="s">
        <v>721</v>
      </c>
      <c r="D14" s="4">
        <v>4290</v>
      </c>
      <c r="E14" s="4">
        <v>3083.13</v>
      </c>
      <c r="F14" s="4">
        <f>_xll.AtlasFormulas.AtlasFunctions.AtlasBalance("PROD",DataAreaId,"T.TPPTrans_sst|InventDimId~inventDimId@T.InventDim","Sum|Qty|0","","","","","","","ItemId|TransDate|T2.InventSiteId|T2.InventLocationId",$A14,PeriodBeginning,$B14,$C14)</f>
        <v>4290</v>
      </c>
      <c r="G14" s="4">
        <f>_xll.AtlasFormulas.AtlasFunctions.AtlasBalance("PROD",DataAreaId,"T.TPPTrans_sst|InventDimId~inventDimId@T.InventDim","Sum|Qty|0","","","","","","","ItemId|TransDate|T2.InventSiteId|T2.InventLocationId",$A14,PeriodEnding,$B14,$C14)</f>
        <v>0</v>
      </c>
      <c r="H14" s="4">
        <f>AtlasReport_4_Table_1[[#This Row],[Quantity]]-AtlasReport_4_Table_1[[#This Row],[TPP trans backwards (Beginning)]]</f>
        <v>0</v>
      </c>
      <c r="I14" s="4">
        <f>AtlasReport_4_Table_1[[#This Row],[Quantity]]-AtlasReport_4_Table_1[[#This Row],[TPP trans backwards (Ending)]]</f>
        <v>4290</v>
      </c>
      <c r="J14" s="4">
        <f>_xll.AtlasFormulas.AtlasFunctions.AtlasBalance("PROD",DataAreaId,"T.TPPTrans_sst|InventDimId~inventDimId@T.InventDim","Sum|CostAmount|0","","","","","","","ItemId|TransDate|T2.InventSiteId|T2.InventLocationId",$A14,PeriodBeginning,$B14,$C14)</f>
        <v>3083.13</v>
      </c>
      <c r="K14" s="4">
        <f>_xll.AtlasFormulas.AtlasFunctions.AtlasBalance("PROD",DataAreaId,"T.TPPTrans_sst|InventDimId~inventDimId@T.InventDim","Sum|CostAmount|0","","","","","","","ItemId|TransDate|T2.InventSiteId|T2.InventLocationId",$A14,PeriodEnding,$B14,$C14)</f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trans backwards balance (Ending)]]</f>
        <v>3083.13</v>
      </c>
    </row>
    <row r="15" spans="1:13" x14ac:dyDescent="0.25">
      <c r="A15" s="8" t="s">
        <v>722</v>
      </c>
      <c r="B15" s="8" t="s">
        <v>717</v>
      </c>
      <c r="C15" s="8" t="s">
        <v>719</v>
      </c>
      <c r="D15" s="4">
        <v>5070</v>
      </c>
      <c r="E15" s="4">
        <v>3479.74</v>
      </c>
      <c r="F15" s="4">
        <f>_xll.AtlasFormulas.AtlasFunctions.AtlasBalance("PROD",DataAreaId,"T.TPPTrans_sst|InventDimId~inventDimId@T.InventDim","Sum|Qty|0","","","","","","","ItemId|TransDate|T2.InventSiteId|T2.InventLocationId",$A15,PeriodBeginning,$B15,$C15)</f>
        <v>0</v>
      </c>
      <c r="G15" s="4">
        <f>_xll.AtlasFormulas.AtlasFunctions.AtlasBalance("PROD",DataAreaId,"T.TPPTrans_sst|InventDimId~inventDimId@T.InventDim","Sum|Qty|0","","","","","","","ItemId|TransDate|T2.InventSiteId|T2.InventLocationId",$A15,PeriodEnding,$B15,$C15)</f>
        <v>0</v>
      </c>
      <c r="H15" s="4">
        <f>AtlasReport_4_Table_1[[#This Row],[Quantity]]-AtlasReport_4_Table_1[[#This Row],[TPP trans backwards (Beginning)]]</f>
        <v>5070</v>
      </c>
      <c r="I15" s="4">
        <f>AtlasReport_4_Table_1[[#This Row],[Quantity]]-AtlasReport_4_Table_1[[#This Row],[TPP trans backwards (Ending)]]</f>
        <v>5070</v>
      </c>
      <c r="J15" s="4">
        <f>_xll.AtlasFormulas.AtlasFunctions.AtlasBalance("PROD",DataAreaId,"T.TPPTrans_sst|InventDimId~inventDimId@T.InventDim","Sum|CostAmount|0","","","","","","","ItemId|TransDate|T2.InventSiteId|T2.InventLocationId",$A15,PeriodBeginning,$B15,$C15)</f>
        <v>0</v>
      </c>
      <c r="K15" s="4">
        <f>_xll.AtlasFormulas.AtlasFunctions.AtlasBalance("PROD",DataAreaId,"T.TPPTrans_sst|InventDimId~inventDimId@T.InventDim","Sum|CostAmount|0","","","","","","","ItemId|TransDate|T2.InventSiteId|T2.InventLocationId",$A15,PeriodEnding,$B15,$C15)</f>
        <v>0</v>
      </c>
      <c r="L15" s="4">
        <f>AtlasReport_4_Table_1[[#This Row],[TPP cost amount]]-AtlasReport_4_Table_1[[#This Row],[TPP trans backwards balance (Beginning)]]</f>
        <v>3479.74</v>
      </c>
      <c r="M15" s="4">
        <f>AtlasReport_4_Table_1[[#This Row],[TPP cost amount]]-AtlasReport_4_Table_1[[#This Row],[TPP trans backwards balance (Ending)]]</f>
        <v>3479.74</v>
      </c>
    </row>
    <row r="16" spans="1:13" x14ac:dyDescent="0.25">
      <c r="A16" s="8" t="s">
        <v>723</v>
      </c>
      <c r="B16" s="8" t="s">
        <v>717</v>
      </c>
      <c r="C16" s="8" t="s">
        <v>719</v>
      </c>
      <c r="D16" s="4">
        <v>0</v>
      </c>
      <c r="E16" s="4">
        <v>0</v>
      </c>
      <c r="F16" s="4">
        <f>_xll.AtlasFormulas.AtlasFunctions.AtlasBalance("PROD",DataAreaId,"T.TPPTrans_sst|InventDimId~inventDimId@T.InventDim","Sum|Qty|0","","","","","","","ItemId|TransDate|T2.InventSiteId|T2.InventLocationId",$A16,PeriodBeginning,$B16,$C16)</f>
        <v>0</v>
      </c>
      <c r="G16" s="4">
        <f>_xll.AtlasFormulas.AtlasFunctions.AtlasBalance("PROD",DataAreaId,"T.TPPTrans_sst|InventDimId~inventDimId@T.InventDim","Sum|Qty|0","","","","","","","ItemId|TransDate|T2.InventSiteId|T2.InventLocationId",$A16,PeriodEnding,$B16,$C16)</f>
        <v>0</v>
      </c>
      <c r="H16" s="4">
        <f>AtlasReport_4_Table_1[[#This Row],[Quantity]]-AtlasReport_4_Table_1[[#This Row],[TPP trans backwards (Beginning)]]</f>
        <v>0</v>
      </c>
      <c r="I16" s="4">
        <f>AtlasReport_4_Table_1[[#This Row],[Quantity]]-AtlasReport_4_Table_1[[#This Row],[TPP trans backwards (Ending)]]</f>
        <v>0</v>
      </c>
      <c r="J16" s="4">
        <f>_xll.AtlasFormulas.AtlasFunctions.AtlasBalance("PROD",DataAreaId,"T.TPPTrans_sst|InventDimId~inventDimId@T.InventDim","Sum|CostAmount|0","","","","","","","ItemId|TransDate|T2.InventSiteId|T2.InventLocationId",$A16,PeriodBeginning,$B16,$C16)</f>
        <v>0</v>
      </c>
      <c r="K16" s="4">
        <f>_xll.AtlasFormulas.AtlasFunctions.AtlasBalance("PROD",DataAreaId,"T.TPPTrans_sst|InventDimId~inventDimId@T.InventDim","Sum|CostAmount|0","","","","","","","ItemId|TransDate|T2.InventSiteId|T2.InventLocationId",$A16,PeriodEnding,$B16,$C16)</f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trans backwards balance (Ending)]]</f>
        <v>0</v>
      </c>
    </row>
    <row r="17" spans="1:13" x14ac:dyDescent="0.25">
      <c r="A17" s="8" t="s">
        <v>51</v>
      </c>
      <c r="B17" s="8" t="s">
        <v>717</v>
      </c>
      <c r="C17" s="8" t="s">
        <v>719</v>
      </c>
      <c r="D17" s="4">
        <v>210</v>
      </c>
      <c r="E17" s="4">
        <v>0</v>
      </c>
      <c r="F17" s="4">
        <f>_xll.AtlasFormulas.AtlasFunctions.AtlasBalance("PROD",DataAreaId,"T.TPPTrans_sst|InventDimId~inventDimId@T.InventDim","Sum|Qty|0","","","","","","","ItemId|TransDate|T2.InventSiteId|T2.InventLocationId",$A17,PeriodBeginning,$B17,$C17)</f>
        <v>0</v>
      </c>
      <c r="G17" s="4">
        <f>_xll.AtlasFormulas.AtlasFunctions.AtlasBalance("PROD",DataAreaId,"T.TPPTrans_sst|InventDimId~inventDimId@T.InventDim","Sum|Qty|0","","","","","","","ItemId|TransDate|T2.InventSiteId|T2.InventLocationId",$A17,PeriodEnding,$B17,$C17)</f>
        <v>0</v>
      </c>
      <c r="H17" s="4">
        <f>AtlasReport_4_Table_1[[#This Row],[Quantity]]-AtlasReport_4_Table_1[[#This Row],[TPP trans backwards (Beginning)]]</f>
        <v>210</v>
      </c>
      <c r="I17" s="4">
        <f>AtlasReport_4_Table_1[[#This Row],[Quantity]]-AtlasReport_4_Table_1[[#This Row],[TPP trans backwards (Ending)]]</f>
        <v>210</v>
      </c>
      <c r="J17" s="4">
        <f>_xll.AtlasFormulas.AtlasFunctions.AtlasBalance("PROD",DataAreaId,"T.TPPTrans_sst|InventDimId~inventDimId@T.InventDim","Sum|CostAmount|0","","","","","","","ItemId|TransDate|T2.InventSiteId|T2.InventLocationId",$A17,PeriodBeginning,$B17,$C17)</f>
        <v>0</v>
      </c>
      <c r="K17" s="4">
        <f>_xll.AtlasFormulas.AtlasFunctions.AtlasBalance("PROD",DataAreaId,"T.TPPTrans_sst|InventDimId~inventDimId@T.InventDim","Sum|CostAmount|0","","","","","","","ItemId|TransDate|T2.InventSiteId|T2.InventLocationId",$A17,PeriodEnding,$B17,$C17)</f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trans backwards balance (Ending)]]</f>
        <v>0</v>
      </c>
    </row>
    <row r="18" spans="1:13" x14ac:dyDescent="0.25">
      <c r="A18" s="8" t="s">
        <v>24</v>
      </c>
      <c r="B18" s="8" t="s">
        <v>717</v>
      </c>
      <c r="C18" s="8" t="s">
        <v>719</v>
      </c>
      <c r="D18" s="4">
        <v>166.2</v>
      </c>
      <c r="E18" s="4">
        <v>793.27</v>
      </c>
      <c r="F18" s="4">
        <f>_xll.AtlasFormulas.AtlasFunctions.AtlasBalance("PROD",DataAreaId,"T.TPPTrans_sst|InventDimId~inventDimId@T.InventDim","Sum|Qty|0","","","","","","","ItemId|TransDate|T2.InventSiteId|T2.InventLocationId",$A18,PeriodBeginning,$B18,$C18)</f>
        <v>0</v>
      </c>
      <c r="G18" s="4">
        <f>_xll.AtlasFormulas.AtlasFunctions.AtlasBalance("PROD",DataAreaId,"T.TPPTrans_sst|InventDimId~inventDimId@T.InventDim","Sum|Qty|0","","","","","","","ItemId|TransDate|T2.InventSiteId|T2.InventLocationId",$A18,PeriodEnding,$B18,$C18)</f>
        <v>0</v>
      </c>
      <c r="H18" s="4">
        <f>AtlasReport_4_Table_1[[#This Row],[Quantity]]-AtlasReport_4_Table_1[[#This Row],[TPP trans backwards (Beginning)]]</f>
        <v>166.2</v>
      </c>
      <c r="I18" s="4">
        <f>AtlasReport_4_Table_1[[#This Row],[Quantity]]-AtlasReport_4_Table_1[[#This Row],[TPP trans backwards (Ending)]]</f>
        <v>166.2</v>
      </c>
      <c r="J18" s="4">
        <f>_xll.AtlasFormulas.AtlasFunctions.AtlasBalance("PROD",DataAreaId,"T.TPPTrans_sst|InventDimId~inventDimId@T.InventDim","Sum|CostAmount|0","","","","","","","ItemId|TransDate|T2.InventSiteId|T2.InventLocationId",$A18,PeriodBeginning,$B18,$C18)</f>
        <v>0</v>
      </c>
      <c r="K18" s="4">
        <f>_xll.AtlasFormulas.AtlasFunctions.AtlasBalance("PROD",DataAreaId,"T.TPPTrans_sst|InventDimId~inventDimId@T.InventDim","Sum|CostAmount|0","","","","","","","ItemId|TransDate|T2.InventSiteId|T2.InventLocationId",$A18,PeriodEnding,$B18,$C18)</f>
        <v>0</v>
      </c>
      <c r="L18" s="4">
        <f>AtlasReport_4_Table_1[[#This Row],[TPP cost amount]]-AtlasReport_4_Table_1[[#This Row],[TPP trans backwards balance (Beginning)]]</f>
        <v>793.27</v>
      </c>
      <c r="M18" s="4">
        <f>AtlasReport_4_Table_1[[#This Row],[TPP cost amount]]-AtlasReport_4_Table_1[[#This Row],[TPP trans backwards balance (Ending)]]</f>
        <v>793.27</v>
      </c>
    </row>
    <row r="19" spans="1:13" x14ac:dyDescent="0.25">
      <c r="A19" s="8" t="s">
        <v>24</v>
      </c>
      <c r="B19" s="8" t="s">
        <v>717</v>
      </c>
      <c r="C19" s="8" t="s">
        <v>718</v>
      </c>
      <c r="D19" s="4">
        <v>0</v>
      </c>
      <c r="E19" s="4">
        <v>0.01</v>
      </c>
      <c r="F19" s="4">
        <f>_xll.AtlasFormulas.AtlasFunctions.AtlasBalance("PROD",DataAreaId,"T.TPPTrans_sst|InventDimId~inventDimId@T.InventDim","Sum|Qty|0","","","","","","","ItemId|TransDate|T2.InventSiteId|T2.InventLocationId",$A19,PeriodBeginning,$B19,$C19)</f>
        <v>0</v>
      </c>
      <c r="G19" s="4">
        <f>_xll.AtlasFormulas.AtlasFunctions.AtlasBalance("PROD",DataAreaId,"T.TPPTrans_sst|InventDimId~inventDimId@T.InventDim","Sum|Qty|0","","","","","","","ItemId|TransDate|T2.InventSiteId|T2.InventLocationId",$A19,PeriodEnding,$B19,$C19)</f>
        <v>0</v>
      </c>
      <c r="H19" s="4">
        <f>AtlasReport_4_Table_1[[#This Row],[Quantity]]-AtlasReport_4_Table_1[[#This Row],[TPP trans backwards (Beginning)]]</f>
        <v>0</v>
      </c>
      <c r="I19" s="4">
        <f>AtlasReport_4_Table_1[[#This Row],[Quantity]]-AtlasReport_4_Table_1[[#This Row],[TPP trans backwards (Ending)]]</f>
        <v>0</v>
      </c>
      <c r="J19" s="4">
        <f>_xll.AtlasFormulas.AtlasFunctions.AtlasBalance("PROD",DataAreaId,"T.TPPTrans_sst|InventDimId~inventDimId@T.InventDim","Sum|CostAmount|0","","","","","","","ItemId|TransDate|T2.InventSiteId|T2.InventLocationId",$A19,PeriodBeginning,$B19,$C19)</f>
        <v>0</v>
      </c>
      <c r="K19" s="4">
        <f>_xll.AtlasFormulas.AtlasFunctions.AtlasBalance("PROD",DataAreaId,"T.TPPTrans_sst|InventDimId~inventDimId@T.InventDim","Sum|CostAmount|0","","","","","","","ItemId|TransDate|T2.InventSiteId|T2.InventLocationId",$A19,PeriodEnding,$B19,$C19)</f>
        <v>0</v>
      </c>
      <c r="L19" s="4">
        <f>AtlasReport_4_Table_1[[#This Row],[TPP cost amount]]-AtlasReport_4_Table_1[[#This Row],[TPP trans backwards balance (Beginning)]]</f>
        <v>0.01</v>
      </c>
      <c r="M19" s="4">
        <f>AtlasReport_4_Table_1[[#This Row],[TPP cost amount]]-AtlasReport_4_Table_1[[#This Row],[TPP trans backwards balance (Ending)]]</f>
        <v>0.01</v>
      </c>
    </row>
    <row r="20" spans="1:13" x14ac:dyDescent="0.25">
      <c r="A20" s="8" t="s">
        <v>66</v>
      </c>
      <c r="B20" s="8" t="s">
        <v>717</v>
      </c>
      <c r="C20" s="8" t="s">
        <v>719</v>
      </c>
      <c r="D20" s="4">
        <v>205</v>
      </c>
      <c r="E20" s="4">
        <v>809.33999999999992</v>
      </c>
      <c r="F20" s="4">
        <f>_xll.AtlasFormulas.AtlasFunctions.AtlasBalance("PROD",DataAreaId,"T.TPPTrans_sst|InventDimId~inventDimId@T.InventDim","Sum|Qty|0","","","","","","","ItemId|TransDate|T2.InventSiteId|T2.InventLocationId",$A20,PeriodBeginning,$B20,$C20)</f>
        <v>0</v>
      </c>
      <c r="G20" s="4">
        <f>_xll.AtlasFormulas.AtlasFunctions.AtlasBalance("PROD",DataAreaId,"T.TPPTrans_sst|InventDimId~inventDimId@T.InventDim","Sum|Qty|0","","","","","","","ItemId|TransDate|T2.InventSiteId|T2.InventLocationId",$A20,PeriodEnding,$B20,$C20)</f>
        <v>0</v>
      </c>
      <c r="H20" s="4">
        <f>AtlasReport_4_Table_1[[#This Row],[Quantity]]-AtlasReport_4_Table_1[[#This Row],[TPP trans backwards (Beginning)]]</f>
        <v>205</v>
      </c>
      <c r="I20" s="4">
        <f>AtlasReport_4_Table_1[[#This Row],[Quantity]]-AtlasReport_4_Table_1[[#This Row],[TPP trans backwards (Ending)]]</f>
        <v>205</v>
      </c>
      <c r="J20" s="4">
        <f>_xll.AtlasFormulas.AtlasFunctions.AtlasBalance("PROD",DataAreaId,"T.TPPTrans_sst|InventDimId~inventDimId@T.InventDim","Sum|CostAmount|0","","","","","","","ItemId|TransDate|T2.InventSiteId|T2.InventLocationId",$A20,PeriodBeginning,$B20,$C20)</f>
        <v>0</v>
      </c>
      <c r="K20" s="4">
        <f>_xll.AtlasFormulas.AtlasFunctions.AtlasBalance("PROD",DataAreaId,"T.TPPTrans_sst|InventDimId~inventDimId@T.InventDim","Sum|CostAmount|0","","","","","","","ItemId|TransDate|T2.InventSiteId|T2.InventLocationId",$A20,PeriodEnding,$B20,$C20)</f>
        <v>0</v>
      </c>
      <c r="L20" s="4">
        <f>AtlasReport_4_Table_1[[#This Row],[TPP cost amount]]-AtlasReport_4_Table_1[[#This Row],[TPP trans backwards balance (Beginning)]]</f>
        <v>809.33999999999992</v>
      </c>
      <c r="M20" s="4">
        <f>AtlasReport_4_Table_1[[#This Row],[TPP cost amount]]-AtlasReport_4_Table_1[[#This Row],[TPP trans backwards balance (Ending)]]</f>
        <v>809.33999999999992</v>
      </c>
    </row>
    <row r="21" spans="1:13" x14ac:dyDescent="0.25">
      <c r="A21" s="8" t="s">
        <v>66</v>
      </c>
      <c r="B21" s="8" t="s">
        <v>717</v>
      </c>
      <c r="C21" s="8" t="s">
        <v>718</v>
      </c>
      <c r="D21" s="4">
        <v>0</v>
      </c>
      <c r="E21" s="4">
        <v>0</v>
      </c>
      <c r="F21" s="4">
        <f>_xll.AtlasFormulas.AtlasFunctions.AtlasBalance("PROD",DataAreaId,"T.TPPTrans_sst|InventDimId~inventDimId@T.InventDim","Sum|Qty|0","","","","","","","ItemId|TransDate|T2.InventSiteId|T2.InventLocationId",$A21,PeriodBeginning,$B21,$C21)</f>
        <v>0</v>
      </c>
      <c r="G21" s="4">
        <f>_xll.AtlasFormulas.AtlasFunctions.AtlasBalance("PROD",DataAreaId,"T.TPPTrans_sst|InventDimId~inventDimId@T.InventDim","Sum|Qty|0","","","","","","","ItemId|TransDate|T2.InventSiteId|T2.InventLocationId",$A21,PeriodEnding,$B21,$C21)</f>
        <v>0</v>
      </c>
      <c r="H21" s="4">
        <f>AtlasReport_4_Table_1[[#This Row],[Quantity]]-AtlasReport_4_Table_1[[#This Row],[TPP trans backwards (Beginning)]]</f>
        <v>0</v>
      </c>
      <c r="I21" s="4">
        <f>AtlasReport_4_Table_1[[#This Row],[Quantity]]-AtlasReport_4_Table_1[[#This Row],[TPP trans backwards (Ending)]]</f>
        <v>0</v>
      </c>
      <c r="J21" s="4">
        <f>_xll.AtlasFormulas.AtlasFunctions.AtlasBalance("PROD",DataAreaId,"T.TPPTrans_sst|InventDimId~inventDimId@T.InventDim","Sum|CostAmount|0","","","","","","","ItemId|TransDate|T2.InventSiteId|T2.InventLocationId",$A21,PeriodBeginning,$B21,$C21)</f>
        <v>0</v>
      </c>
      <c r="K21" s="4">
        <f>_xll.AtlasFormulas.AtlasFunctions.AtlasBalance("PROD",DataAreaId,"T.TPPTrans_sst|InventDimId~inventDimId@T.InventDim","Sum|CostAmount|0","","","","","","","ItemId|TransDate|T2.InventSiteId|T2.InventLocationId",$A21,PeriodEnding,$B21,$C21)</f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trans backwards balance (Ending)]]</f>
        <v>0</v>
      </c>
    </row>
    <row r="22" spans="1:13" x14ac:dyDescent="0.25">
      <c r="A22" s="8" t="s">
        <v>724</v>
      </c>
      <c r="B22" s="8" t="s">
        <v>717</v>
      </c>
      <c r="C22" s="8" t="s">
        <v>719</v>
      </c>
      <c r="D22" s="4">
        <v>150</v>
      </c>
      <c r="E22" s="4">
        <v>0</v>
      </c>
      <c r="F22" s="4">
        <f>_xll.AtlasFormulas.AtlasFunctions.AtlasBalance("PROD",DataAreaId,"T.TPPTrans_sst|InventDimId~inventDimId@T.InventDim","Sum|Qty|0","","","","","","","ItemId|TransDate|T2.InventSiteId|T2.InventLocationId",$A22,PeriodBeginning,$B22,$C22)</f>
        <v>0</v>
      </c>
      <c r="G22" s="4">
        <f>_xll.AtlasFormulas.AtlasFunctions.AtlasBalance("PROD",DataAreaId,"T.TPPTrans_sst|InventDimId~inventDimId@T.InventDim","Sum|Qty|0","","","","","","","ItemId|TransDate|T2.InventSiteId|T2.InventLocationId",$A22,PeriodEnding,$B22,$C22)</f>
        <v>0</v>
      </c>
      <c r="H22" s="4">
        <f>AtlasReport_4_Table_1[[#This Row],[Quantity]]-AtlasReport_4_Table_1[[#This Row],[TPP trans backwards (Beginning)]]</f>
        <v>150</v>
      </c>
      <c r="I22" s="4">
        <f>AtlasReport_4_Table_1[[#This Row],[Quantity]]-AtlasReport_4_Table_1[[#This Row],[TPP trans backwards (Ending)]]</f>
        <v>150</v>
      </c>
      <c r="J22" s="4">
        <f>_xll.AtlasFormulas.AtlasFunctions.AtlasBalance("PROD",DataAreaId,"T.TPPTrans_sst|InventDimId~inventDimId@T.InventDim","Sum|CostAmount|0","","","","","","","ItemId|TransDate|T2.InventSiteId|T2.InventLocationId",$A22,PeriodBeginning,$B22,$C22)</f>
        <v>0</v>
      </c>
      <c r="K22" s="4">
        <f>_xll.AtlasFormulas.AtlasFunctions.AtlasBalance("PROD",DataAreaId,"T.TPPTrans_sst|InventDimId~inventDimId@T.InventDim","Sum|CostAmount|0","","","","","","","ItemId|TransDate|T2.InventSiteId|T2.InventLocationId",$A22,PeriodEnding,$B22,$C22)</f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trans backwards balance (Ending)]]</f>
        <v>0</v>
      </c>
    </row>
    <row r="23" spans="1:13" x14ac:dyDescent="0.25">
      <c r="A23" s="8" t="s">
        <v>725</v>
      </c>
      <c r="B23" s="8" t="s">
        <v>717</v>
      </c>
      <c r="C23" s="8" t="s">
        <v>719</v>
      </c>
      <c r="D23" s="4">
        <v>0</v>
      </c>
      <c r="E23" s="4">
        <v>0</v>
      </c>
      <c r="F23" s="4">
        <f>_xll.AtlasFormulas.AtlasFunctions.AtlasBalance("PROD",DataAreaId,"T.TPPTrans_sst|InventDimId~inventDimId@T.InventDim","Sum|Qty|0","","","","","","","ItemId|TransDate|T2.InventSiteId|T2.InventLocationId",$A23,PeriodBeginning,$B23,$C23)</f>
        <v>0</v>
      </c>
      <c r="G23" s="4">
        <f>_xll.AtlasFormulas.AtlasFunctions.AtlasBalance("PROD",DataAreaId,"T.TPPTrans_sst|InventDimId~inventDimId@T.InventDim","Sum|Qty|0","","","","","","","ItemId|TransDate|T2.InventSiteId|T2.InventLocationId",$A23,PeriodEnding,$B23,$C23)</f>
        <v>0</v>
      </c>
      <c r="H23" s="4">
        <f>AtlasReport_4_Table_1[[#This Row],[Quantity]]-AtlasReport_4_Table_1[[#This Row],[TPP trans backwards (Beginning)]]</f>
        <v>0</v>
      </c>
      <c r="I23" s="4">
        <f>AtlasReport_4_Table_1[[#This Row],[Quantity]]-AtlasReport_4_Table_1[[#This Row],[TPP trans backwards (Ending)]]</f>
        <v>0</v>
      </c>
      <c r="J23" s="4">
        <f>_xll.AtlasFormulas.AtlasFunctions.AtlasBalance("PROD",DataAreaId,"T.TPPTrans_sst|InventDimId~inventDimId@T.InventDim","Sum|CostAmount|0","","","","","","","ItemId|TransDate|T2.InventSiteId|T2.InventLocationId",$A23,PeriodBeginning,$B23,$C23)</f>
        <v>0</v>
      </c>
      <c r="K23" s="4">
        <f>_xll.AtlasFormulas.AtlasFunctions.AtlasBalance("PROD",DataAreaId,"T.TPPTrans_sst|InventDimId~inventDimId@T.InventDim","Sum|CostAmount|0","","","","","","","ItemId|TransDate|T2.InventSiteId|T2.InventLocationId",$A23,PeriodEnding,$B23,$C23)</f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trans backwards balance (Ending)]]</f>
        <v>0</v>
      </c>
    </row>
    <row r="24" spans="1:13" x14ac:dyDescent="0.25">
      <c r="A24" s="8" t="s">
        <v>25</v>
      </c>
      <c r="B24" s="8" t="s">
        <v>717</v>
      </c>
      <c r="C24" s="8" t="s">
        <v>719</v>
      </c>
      <c r="D24" s="4">
        <v>15</v>
      </c>
      <c r="E24" s="4">
        <v>221.76999999999998</v>
      </c>
      <c r="F24" s="4">
        <f>_xll.AtlasFormulas.AtlasFunctions.AtlasBalance("PROD",DataAreaId,"T.TPPTrans_sst|InventDimId~inventDimId@T.InventDim","Sum|Qty|0","","","","","","","ItemId|TransDate|T2.InventSiteId|T2.InventLocationId",$A24,PeriodBeginning,$B24,$C24)</f>
        <v>0</v>
      </c>
      <c r="G24" s="4">
        <f>_xll.AtlasFormulas.AtlasFunctions.AtlasBalance("PROD",DataAreaId,"T.TPPTrans_sst|InventDimId~inventDimId@T.InventDim","Sum|Qty|0","","","","","","","ItemId|TransDate|T2.InventSiteId|T2.InventLocationId",$A24,PeriodEnding,$B24,$C24)</f>
        <v>0</v>
      </c>
      <c r="H24" s="4">
        <f>AtlasReport_4_Table_1[[#This Row],[Quantity]]-AtlasReport_4_Table_1[[#This Row],[TPP trans backwards (Beginning)]]</f>
        <v>15</v>
      </c>
      <c r="I24" s="4">
        <f>AtlasReport_4_Table_1[[#This Row],[Quantity]]-AtlasReport_4_Table_1[[#This Row],[TPP trans backwards (Ending)]]</f>
        <v>15</v>
      </c>
      <c r="J24" s="4">
        <f>_xll.AtlasFormulas.AtlasFunctions.AtlasBalance("PROD",DataAreaId,"T.TPPTrans_sst|InventDimId~inventDimId@T.InventDim","Sum|CostAmount|0","","","","","","","ItemId|TransDate|T2.InventSiteId|T2.InventLocationId",$A24,PeriodBeginning,$B24,$C24)</f>
        <v>0</v>
      </c>
      <c r="K24" s="4">
        <f>_xll.AtlasFormulas.AtlasFunctions.AtlasBalance("PROD",DataAreaId,"T.TPPTrans_sst|InventDimId~inventDimId@T.InventDim","Sum|CostAmount|0","","","","","","","ItemId|TransDate|T2.InventSiteId|T2.InventLocationId",$A24,PeriodEnding,$B24,$C24)</f>
        <v>0</v>
      </c>
      <c r="L24" s="4">
        <f>AtlasReport_4_Table_1[[#This Row],[TPP cost amount]]-AtlasReport_4_Table_1[[#This Row],[TPP trans backwards balance (Beginning)]]</f>
        <v>221.76999999999998</v>
      </c>
      <c r="M24" s="4">
        <f>AtlasReport_4_Table_1[[#This Row],[TPP cost amount]]-AtlasReport_4_Table_1[[#This Row],[TPP trans backwards balance (Ending)]]</f>
        <v>221.76999999999998</v>
      </c>
    </row>
    <row r="25" spans="1:13" x14ac:dyDescent="0.25">
      <c r="A25" s="8" t="s">
        <v>250</v>
      </c>
      <c r="B25" s="8" t="s">
        <v>717</v>
      </c>
      <c r="C25" s="8" t="s">
        <v>719</v>
      </c>
      <c r="D25" s="4">
        <v>165</v>
      </c>
      <c r="E25" s="4">
        <v>0</v>
      </c>
      <c r="F25" s="4">
        <f>_xll.AtlasFormulas.AtlasFunctions.AtlasBalance("PROD",DataAreaId,"T.TPPTrans_sst|InventDimId~inventDimId@T.InventDim","Sum|Qty|0","","","","","","","ItemId|TransDate|T2.InventSiteId|T2.InventLocationId",$A25,PeriodBeginning,$B25,$C25)</f>
        <v>0</v>
      </c>
      <c r="G25" s="4">
        <f>_xll.AtlasFormulas.AtlasFunctions.AtlasBalance("PROD",DataAreaId,"T.TPPTrans_sst|InventDimId~inventDimId@T.InventDim","Sum|Qty|0","","","","","","","ItemId|TransDate|T2.InventSiteId|T2.InventLocationId",$A25,PeriodEnding,$B25,$C25)</f>
        <v>0</v>
      </c>
      <c r="H25" s="4">
        <f>AtlasReport_4_Table_1[[#This Row],[Quantity]]-AtlasReport_4_Table_1[[#This Row],[TPP trans backwards (Beginning)]]</f>
        <v>165</v>
      </c>
      <c r="I25" s="4">
        <f>AtlasReport_4_Table_1[[#This Row],[Quantity]]-AtlasReport_4_Table_1[[#This Row],[TPP trans backwards (Ending)]]</f>
        <v>165</v>
      </c>
      <c r="J25" s="4">
        <f>_xll.AtlasFormulas.AtlasFunctions.AtlasBalance("PROD",DataAreaId,"T.TPPTrans_sst|InventDimId~inventDimId@T.InventDim","Sum|CostAmount|0","","","","","","","ItemId|TransDate|T2.InventSiteId|T2.InventLocationId",$A25,PeriodBeginning,$B25,$C25)</f>
        <v>0</v>
      </c>
      <c r="K25" s="4">
        <f>_xll.AtlasFormulas.AtlasFunctions.AtlasBalance("PROD",DataAreaId,"T.TPPTrans_sst|InventDimId~inventDimId@T.InventDim","Sum|CostAmount|0","","","","","","","ItemId|TransDate|T2.InventSiteId|T2.InventLocationId",$A25,PeriodEnding,$B25,$C25)</f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trans backwards balance (Ending)]]</f>
        <v>0</v>
      </c>
    </row>
    <row r="26" spans="1:13" x14ac:dyDescent="0.25">
      <c r="A26" s="8" t="s">
        <v>726</v>
      </c>
      <c r="B26" s="8" t="s">
        <v>717</v>
      </c>
      <c r="C26" s="8" t="s">
        <v>719</v>
      </c>
      <c r="D26" s="4">
        <v>70</v>
      </c>
      <c r="E26" s="4">
        <v>0</v>
      </c>
      <c r="F26" s="4">
        <f>_xll.AtlasFormulas.AtlasFunctions.AtlasBalance("PROD",DataAreaId,"T.TPPTrans_sst|InventDimId~inventDimId@T.InventDim","Sum|Qty|0","","","","","","","ItemId|TransDate|T2.InventSiteId|T2.InventLocationId",$A26,PeriodBeginning,$B26,$C26)</f>
        <v>0</v>
      </c>
      <c r="G26" s="4">
        <f>_xll.AtlasFormulas.AtlasFunctions.AtlasBalance("PROD",DataAreaId,"T.TPPTrans_sst|InventDimId~inventDimId@T.InventDim","Sum|Qty|0","","","","","","","ItemId|TransDate|T2.InventSiteId|T2.InventLocationId",$A26,PeriodEnding,$B26,$C26)</f>
        <v>0</v>
      </c>
      <c r="H26" s="4">
        <f>AtlasReport_4_Table_1[[#This Row],[Quantity]]-AtlasReport_4_Table_1[[#This Row],[TPP trans backwards (Beginning)]]</f>
        <v>70</v>
      </c>
      <c r="I26" s="4">
        <f>AtlasReport_4_Table_1[[#This Row],[Quantity]]-AtlasReport_4_Table_1[[#This Row],[TPP trans backwards (Ending)]]</f>
        <v>70</v>
      </c>
      <c r="J26" s="4">
        <f>_xll.AtlasFormulas.AtlasFunctions.AtlasBalance("PROD",DataAreaId,"T.TPPTrans_sst|InventDimId~inventDimId@T.InventDim","Sum|CostAmount|0","","","","","","","ItemId|TransDate|T2.InventSiteId|T2.InventLocationId",$A26,PeriodBeginning,$B26,$C26)</f>
        <v>0</v>
      </c>
      <c r="K26" s="4">
        <f>_xll.AtlasFormulas.AtlasFunctions.AtlasBalance("PROD",DataAreaId,"T.TPPTrans_sst|InventDimId~inventDimId@T.InventDim","Sum|CostAmount|0","","","","","","","ItemId|TransDate|T2.InventSiteId|T2.InventLocationId",$A26,PeriodEnding,$B26,$C26)</f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trans backwards balance (Ending)]]</f>
        <v>0</v>
      </c>
    </row>
    <row r="27" spans="1:13" x14ac:dyDescent="0.25">
      <c r="A27" s="8" t="s">
        <v>727</v>
      </c>
      <c r="B27" s="8" t="s">
        <v>717</v>
      </c>
      <c r="C27" s="8" t="s">
        <v>719</v>
      </c>
      <c r="D27" s="4">
        <v>35</v>
      </c>
      <c r="E27" s="4">
        <v>0</v>
      </c>
      <c r="F27" s="4">
        <f>_xll.AtlasFormulas.AtlasFunctions.AtlasBalance("PROD",DataAreaId,"T.TPPTrans_sst|InventDimId~inventDimId@T.InventDim","Sum|Qty|0","","","","","","","ItemId|TransDate|T2.InventSiteId|T2.InventLocationId",$A27,PeriodBeginning,$B27,$C27)</f>
        <v>0</v>
      </c>
      <c r="G27" s="4">
        <f>_xll.AtlasFormulas.AtlasFunctions.AtlasBalance("PROD",DataAreaId,"T.TPPTrans_sst|InventDimId~inventDimId@T.InventDim","Sum|Qty|0","","","","","","","ItemId|TransDate|T2.InventSiteId|T2.InventLocationId",$A27,PeriodEnding,$B27,$C27)</f>
        <v>0</v>
      </c>
      <c r="H27" s="4">
        <f>AtlasReport_4_Table_1[[#This Row],[Quantity]]-AtlasReport_4_Table_1[[#This Row],[TPP trans backwards (Beginning)]]</f>
        <v>35</v>
      </c>
      <c r="I27" s="4">
        <f>AtlasReport_4_Table_1[[#This Row],[Quantity]]-AtlasReport_4_Table_1[[#This Row],[TPP trans backwards (Ending)]]</f>
        <v>35</v>
      </c>
      <c r="J27" s="4">
        <f>_xll.AtlasFormulas.AtlasFunctions.AtlasBalance("PROD",DataAreaId,"T.TPPTrans_sst|InventDimId~inventDimId@T.InventDim","Sum|CostAmount|0","","","","","","","ItemId|TransDate|T2.InventSiteId|T2.InventLocationId",$A27,PeriodBeginning,$B27,$C27)</f>
        <v>0</v>
      </c>
      <c r="K27" s="4">
        <f>_xll.AtlasFormulas.AtlasFunctions.AtlasBalance("PROD",DataAreaId,"T.TPPTrans_sst|InventDimId~inventDimId@T.InventDim","Sum|CostAmount|0","","","","","","","ItemId|TransDate|T2.InventSiteId|T2.InventLocationId",$A27,PeriodEnding,$B27,$C27)</f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trans backwards balance (Ending)]]</f>
        <v>0</v>
      </c>
    </row>
    <row r="28" spans="1:13" x14ac:dyDescent="0.25">
      <c r="A28" s="8" t="s">
        <v>728</v>
      </c>
      <c r="B28" s="8" t="s">
        <v>717</v>
      </c>
      <c r="C28" s="8" t="s">
        <v>719</v>
      </c>
      <c r="D28" s="4">
        <v>525</v>
      </c>
      <c r="E28" s="4">
        <v>0</v>
      </c>
      <c r="F28" s="4">
        <f>_xll.AtlasFormulas.AtlasFunctions.AtlasBalance("PROD",DataAreaId,"T.TPPTrans_sst|InventDimId~inventDimId@T.InventDim","Sum|Qty|0","","","","","","","ItemId|TransDate|T2.InventSiteId|T2.InventLocationId",$A28,PeriodBeginning,$B28,$C28)</f>
        <v>0</v>
      </c>
      <c r="G28" s="4">
        <f>_xll.AtlasFormulas.AtlasFunctions.AtlasBalance("PROD",DataAreaId,"T.TPPTrans_sst|InventDimId~inventDimId@T.InventDim","Sum|Qty|0","","","","","","","ItemId|TransDate|T2.InventSiteId|T2.InventLocationId",$A28,PeriodEnding,$B28,$C28)</f>
        <v>0</v>
      </c>
      <c r="H28" s="4">
        <f>AtlasReport_4_Table_1[[#This Row],[Quantity]]-AtlasReport_4_Table_1[[#This Row],[TPP trans backwards (Beginning)]]</f>
        <v>525</v>
      </c>
      <c r="I28" s="4">
        <f>AtlasReport_4_Table_1[[#This Row],[Quantity]]-AtlasReport_4_Table_1[[#This Row],[TPP trans backwards (Ending)]]</f>
        <v>525</v>
      </c>
      <c r="J28" s="4">
        <f>_xll.AtlasFormulas.AtlasFunctions.AtlasBalance("PROD",DataAreaId,"T.TPPTrans_sst|InventDimId~inventDimId@T.InventDim","Sum|CostAmount|0","","","","","","","ItemId|TransDate|T2.InventSiteId|T2.InventLocationId",$A28,PeriodBeginning,$B28,$C28)</f>
        <v>0</v>
      </c>
      <c r="K28" s="4">
        <f>_xll.AtlasFormulas.AtlasFunctions.AtlasBalance("PROD",DataAreaId,"T.TPPTrans_sst|InventDimId~inventDimId@T.InventDim","Sum|CostAmount|0","","","","","","","ItemId|TransDate|T2.InventSiteId|T2.InventLocationId",$A28,PeriodEnding,$B28,$C28)</f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trans backwards balance (Ending)]]</f>
        <v>0</v>
      </c>
    </row>
    <row r="29" spans="1:13" x14ac:dyDescent="0.25">
      <c r="A29" s="8" t="s">
        <v>729</v>
      </c>
      <c r="B29" s="8" t="s">
        <v>717</v>
      </c>
      <c r="C29" s="8" t="s">
        <v>719</v>
      </c>
      <c r="D29" s="4">
        <v>4</v>
      </c>
      <c r="E29" s="4">
        <v>0</v>
      </c>
      <c r="F29" s="4">
        <f>_xll.AtlasFormulas.AtlasFunctions.AtlasBalance("PROD",DataAreaId,"T.TPPTrans_sst|InventDimId~inventDimId@T.InventDim","Sum|Qty|0","","","","","","","ItemId|TransDate|T2.InventSiteId|T2.InventLocationId",$A29,PeriodBeginning,$B29,$C29)</f>
        <v>0</v>
      </c>
      <c r="G29" s="4">
        <f>_xll.AtlasFormulas.AtlasFunctions.AtlasBalance("PROD",DataAreaId,"T.TPPTrans_sst|InventDimId~inventDimId@T.InventDim","Sum|Qty|0","","","","","","","ItemId|TransDate|T2.InventSiteId|T2.InventLocationId",$A29,PeriodEnding,$B29,$C29)</f>
        <v>0</v>
      </c>
      <c r="H29" s="4">
        <f>AtlasReport_4_Table_1[[#This Row],[Quantity]]-AtlasReport_4_Table_1[[#This Row],[TPP trans backwards (Beginning)]]</f>
        <v>4</v>
      </c>
      <c r="I29" s="4">
        <f>AtlasReport_4_Table_1[[#This Row],[Quantity]]-AtlasReport_4_Table_1[[#This Row],[TPP trans backwards (Ending)]]</f>
        <v>4</v>
      </c>
      <c r="J29" s="4">
        <f>_xll.AtlasFormulas.AtlasFunctions.AtlasBalance("PROD",DataAreaId,"T.TPPTrans_sst|InventDimId~inventDimId@T.InventDim","Sum|CostAmount|0","","","","","","","ItemId|TransDate|T2.InventSiteId|T2.InventLocationId",$A29,PeriodBeginning,$B29,$C29)</f>
        <v>0</v>
      </c>
      <c r="K29" s="4">
        <f>_xll.AtlasFormulas.AtlasFunctions.AtlasBalance("PROD",DataAreaId,"T.TPPTrans_sst|InventDimId~inventDimId@T.InventDim","Sum|CostAmount|0","","","","","","","ItemId|TransDate|T2.InventSiteId|T2.InventLocationId",$A29,PeriodEnding,$B29,$C29)</f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trans backwards balance (Ending)]]</f>
        <v>0</v>
      </c>
    </row>
    <row r="30" spans="1:13" x14ac:dyDescent="0.25">
      <c r="A30" s="8" t="s">
        <v>730</v>
      </c>
      <c r="B30" s="8" t="s">
        <v>717</v>
      </c>
      <c r="C30" s="8" t="s">
        <v>719</v>
      </c>
      <c r="D30" s="4">
        <v>97</v>
      </c>
      <c r="E30" s="4">
        <v>0</v>
      </c>
      <c r="F30" s="4">
        <f>_xll.AtlasFormulas.AtlasFunctions.AtlasBalance("PROD",DataAreaId,"T.TPPTrans_sst|InventDimId~inventDimId@T.InventDim","Sum|Qty|0","","","","","","","ItemId|TransDate|T2.InventSiteId|T2.InventLocationId",$A30,PeriodBeginning,$B30,$C30)</f>
        <v>0</v>
      </c>
      <c r="G30" s="4">
        <f>_xll.AtlasFormulas.AtlasFunctions.AtlasBalance("PROD",DataAreaId,"T.TPPTrans_sst|InventDimId~inventDimId@T.InventDim","Sum|Qty|0","","","","","","","ItemId|TransDate|T2.InventSiteId|T2.InventLocationId",$A30,PeriodEnding,$B30,$C30)</f>
        <v>0</v>
      </c>
      <c r="H30" s="4">
        <f>AtlasReport_4_Table_1[[#This Row],[Quantity]]-AtlasReport_4_Table_1[[#This Row],[TPP trans backwards (Beginning)]]</f>
        <v>97</v>
      </c>
      <c r="I30" s="4">
        <f>AtlasReport_4_Table_1[[#This Row],[Quantity]]-AtlasReport_4_Table_1[[#This Row],[TPP trans backwards (Ending)]]</f>
        <v>97</v>
      </c>
      <c r="J30" s="4">
        <f>_xll.AtlasFormulas.AtlasFunctions.AtlasBalance("PROD",DataAreaId,"T.TPPTrans_sst|InventDimId~inventDimId@T.InventDim","Sum|CostAmount|0","","","","","","","ItemId|TransDate|T2.InventSiteId|T2.InventLocationId",$A30,PeriodBeginning,$B30,$C30)</f>
        <v>0</v>
      </c>
      <c r="K30" s="4">
        <f>_xll.AtlasFormulas.AtlasFunctions.AtlasBalance("PROD",DataAreaId,"T.TPPTrans_sst|InventDimId~inventDimId@T.InventDim","Sum|CostAmount|0","","","","","","","ItemId|TransDate|T2.InventSiteId|T2.InventLocationId",$A30,PeriodEnding,$B30,$C30)</f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trans backwards balance (Ending)]]</f>
        <v>0</v>
      </c>
    </row>
    <row r="31" spans="1:13" x14ac:dyDescent="0.25">
      <c r="A31" s="8" t="s">
        <v>178</v>
      </c>
      <c r="B31" s="8" t="s">
        <v>717</v>
      </c>
      <c r="C31" s="8" t="s">
        <v>719</v>
      </c>
      <c r="D31" s="4">
        <v>0</v>
      </c>
      <c r="E31" s="4">
        <v>0</v>
      </c>
      <c r="F31" s="4">
        <f>_xll.AtlasFormulas.AtlasFunctions.AtlasBalance("PROD",DataAreaId,"T.TPPTrans_sst|InventDimId~inventDimId@T.InventDim","Sum|Qty|0","","","","","","","ItemId|TransDate|T2.InventSiteId|T2.InventLocationId",$A31,PeriodBeginning,$B31,$C31)</f>
        <v>0</v>
      </c>
      <c r="G31" s="4">
        <f>_xll.AtlasFormulas.AtlasFunctions.AtlasBalance("PROD",DataAreaId,"T.TPPTrans_sst|InventDimId~inventDimId@T.InventDim","Sum|Qty|0","","","","","","","ItemId|TransDate|T2.InventSiteId|T2.InventLocationId",$A31,PeriodEnding,$B31,$C31)</f>
        <v>0</v>
      </c>
      <c r="H31" s="4">
        <f>AtlasReport_4_Table_1[[#This Row],[Quantity]]-AtlasReport_4_Table_1[[#This Row],[TPP trans backwards (Beginning)]]</f>
        <v>0</v>
      </c>
      <c r="I31" s="4">
        <f>AtlasReport_4_Table_1[[#This Row],[Quantity]]-AtlasReport_4_Table_1[[#This Row],[TPP trans backwards (Ending)]]</f>
        <v>0</v>
      </c>
      <c r="J31" s="4">
        <f>_xll.AtlasFormulas.AtlasFunctions.AtlasBalance("PROD",DataAreaId,"T.TPPTrans_sst|InventDimId~inventDimId@T.InventDim","Sum|CostAmount|0","","","","","","","ItemId|TransDate|T2.InventSiteId|T2.InventLocationId",$A31,PeriodBeginning,$B31,$C31)</f>
        <v>0</v>
      </c>
      <c r="K31" s="4">
        <f>_xll.AtlasFormulas.AtlasFunctions.AtlasBalance("PROD",DataAreaId,"T.TPPTrans_sst|InventDimId~inventDimId@T.InventDim","Sum|CostAmount|0","","","","","","","ItemId|TransDate|T2.InventSiteId|T2.InventLocationId",$A31,PeriodEnding,$B31,$C31)</f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trans backwards balance (Ending)]]</f>
        <v>0</v>
      </c>
    </row>
    <row r="32" spans="1:13" x14ac:dyDescent="0.25">
      <c r="A32" s="8" t="s">
        <v>16</v>
      </c>
      <c r="B32" s="8" t="s">
        <v>717</v>
      </c>
      <c r="C32" s="8" t="s">
        <v>719</v>
      </c>
      <c r="D32" s="4">
        <v>20865</v>
      </c>
      <c r="E32" s="4">
        <v>13175.560000000001</v>
      </c>
      <c r="F32" s="4">
        <f>_xll.AtlasFormulas.AtlasFunctions.AtlasBalance("PROD",DataAreaId,"T.TPPTrans_sst|InventDimId~inventDimId@T.InventDim","Sum|Qty|0","","","","","","","ItemId|TransDate|T2.InventSiteId|T2.InventLocationId",$A32,PeriodBeginning,$B32,$C32)</f>
        <v>0</v>
      </c>
      <c r="G32" s="4">
        <f>_xll.AtlasFormulas.AtlasFunctions.AtlasBalance("PROD",DataAreaId,"T.TPPTrans_sst|InventDimId~inventDimId@T.InventDim","Sum|Qty|0","","","","","","","ItemId|TransDate|T2.InventSiteId|T2.InventLocationId",$A32,PeriodEnding,$B32,$C32)</f>
        <v>0</v>
      </c>
      <c r="H32" s="4">
        <f>AtlasReport_4_Table_1[[#This Row],[Quantity]]-AtlasReport_4_Table_1[[#This Row],[TPP trans backwards (Beginning)]]</f>
        <v>20865</v>
      </c>
      <c r="I32" s="4">
        <f>AtlasReport_4_Table_1[[#This Row],[Quantity]]-AtlasReport_4_Table_1[[#This Row],[TPP trans backwards (Ending)]]</f>
        <v>20865</v>
      </c>
      <c r="J32" s="4">
        <f>_xll.AtlasFormulas.AtlasFunctions.AtlasBalance("PROD",DataAreaId,"T.TPPTrans_sst|InventDimId~inventDimId@T.InventDim","Sum|CostAmount|0","","","","","","","ItemId|TransDate|T2.InventSiteId|T2.InventLocationId",$A32,PeriodBeginning,$B32,$C32)</f>
        <v>0</v>
      </c>
      <c r="K32" s="4">
        <f>_xll.AtlasFormulas.AtlasFunctions.AtlasBalance("PROD",DataAreaId,"T.TPPTrans_sst|InventDimId~inventDimId@T.InventDim","Sum|CostAmount|0","","","","","","","ItemId|TransDate|T2.InventSiteId|T2.InventLocationId",$A32,PeriodEnding,$B32,$C32)</f>
        <v>0</v>
      </c>
      <c r="L32" s="4">
        <f>AtlasReport_4_Table_1[[#This Row],[TPP cost amount]]-AtlasReport_4_Table_1[[#This Row],[TPP trans backwards balance (Beginning)]]</f>
        <v>13175.560000000001</v>
      </c>
      <c r="M32" s="4">
        <f>AtlasReport_4_Table_1[[#This Row],[TPP cost amount]]-AtlasReport_4_Table_1[[#This Row],[TPP trans backwards balance (Ending)]]</f>
        <v>13175.560000000001</v>
      </c>
    </row>
    <row r="33" spans="1:13" x14ac:dyDescent="0.25">
      <c r="A33" s="8" t="s">
        <v>16</v>
      </c>
      <c r="B33" s="8" t="s">
        <v>717</v>
      </c>
      <c r="C33" s="8" t="s">
        <v>718</v>
      </c>
      <c r="D33" s="4">
        <v>0</v>
      </c>
      <c r="E33" s="4">
        <v>0</v>
      </c>
      <c r="F33" s="4">
        <f>_xll.AtlasFormulas.AtlasFunctions.AtlasBalance("PROD",DataAreaId,"T.TPPTrans_sst|InventDimId~inventDimId@T.InventDim","Sum|Qty|0","","","","","","","ItemId|TransDate|T2.InventSiteId|T2.InventLocationId",$A33,PeriodBeginning,$B33,$C33)</f>
        <v>0</v>
      </c>
      <c r="G33" s="4">
        <f>_xll.AtlasFormulas.AtlasFunctions.AtlasBalance("PROD",DataAreaId,"T.TPPTrans_sst|InventDimId~inventDimId@T.InventDim","Sum|Qty|0","","","","","","","ItemId|TransDate|T2.InventSiteId|T2.InventLocationId",$A33,PeriodEnding,$B33,$C33)</f>
        <v>0</v>
      </c>
      <c r="H33" s="4">
        <f>AtlasReport_4_Table_1[[#This Row],[Quantity]]-AtlasReport_4_Table_1[[#This Row],[TPP trans backwards (Beginning)]]</f>
        <v>0</v>
      </c>
      <c r="I33" s="4">
        <f>AtlasReport_4_Table_1[[#This Row],[Quantity]]-AtlasReport_4_Table_1[[#This Row],[TPP trans backwards (Ending)]]</f>
        <v>0</v>
      </c>
      <c r="J33" s="4">
        <f>_xll.AtlasFormulas.AtlasFunctions.AtlasBalance("PROD",DataAreaId,"T.TPPTrans_sst|InventDimId~inventDimId@T.InventDim","Sum|CostAmount|0","","","","","","","ItemId|TransDate|T2.InventSiteId|T2.InventLocationId",$A33,PeriodBeginning,$B33,$C33)</f>
        <v>0</v>
      </c>
      <c r="K33" s="4">
        <f>_xll.AtlasFormulas.AtlasFunctions.AtlasBalance("PROD",DataAreaId,"T.TPPTrans_sst|InventDimId~inventDimId@T.InventDim","Sum|CostAmount|0","","","","","","","ItemId|TransDate|T2.InventSiteId|T2.InventLocationId",$A33,PeriodEnding,$B33,$C33)</f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trans backwards balance (Ending)]]</f>
        <v>0</v>
      </c>
    </row>
    <row r="34" spans="1:13" x14ac:dyDescent="0.25">
      <c r="A34" s="8" t="s">
        <v>731</v>
      </c>
      <c r="B34" s="8" t="s">
        <v>717</v>
      </c>
      <c r="C34" s="8" t="s">
        <v>719</v>
      </c>
      <c r="D34" s="4">
        <v>4192.5</v>
      </c>
      <c r="E34" s="4">
        <v>-11446.58</v>
      </c>
      <c r="F34" s="4">
        <f>_xll.AtlasFormulas.AtlasFunctions.AtlasBalance("PROD",DataAreaId,"T.TPPTrans_sst|InventDimId~inventDimId@T.InventDim","Sum|Qty|0","","","","","","","ItemId|TransDate|T2.InventSiteId|T2.InventLocationId",$A34,PeriodBeginning,$B34,$C34)</f>
        <v>-487.5</v>
      </c>
      <c r="G34" s="4">
        <f>_xll.AtlasFormulas.AtlasFunctions.AtlasBalance("PROD",DataAreaId,"T.TPPTrans_sst|InventDimId~inventDimId@T.InventDim","Sum|Qty|0","","","","","","","ItemId|TransDate|T2.InventSiteId|T2.InventLocationId",$A34,PeriodEnding,$B34,$C34)</f>
        <v>0</v>
      </c>
      <c r="H34" s="4">
        <f>AtlasReport_4_Table_1[[#This Row],[Quantity]]-AtlasReport_4_Table_1[[#This Row],[TPP trans backwards (Beginning)]]</f>
        <v>4680</v>
      </c>
      <c r="I34" s="4">
        <f>AtlasReport_4_Table_1[[#This Row],[Quantity]]-AtlasReport_4_Table_1[[#This Row],[TPP trans backwards (Ending)]]</f>
        <v>4192.5</v>
      </c>
      <c r="J34" s="4">
        <f>_xll.AtlasFormulas.AtlasFunctions.AtlasBalance("PROD",DataAreaId,"T.TPPTrans_sst|InventDimId~inventDimId@T.InventDim","Sum|CostAmount|0","","","","","","","ItemId|TransDate|T2.InventSiteId|T2.InventLocationId",$A34,PeriodBeginning,$B34,$C34)</f>
        <v>1331</v>
      </c>
      <c r="K34" s="4">
        <f>_xll.AtlasFormulas.AtlasFunctions.AtlasBalance("PROD",DataAreaId,"T.TPPTrans_sst|InventDimId~inventDimId@T.InventDim","Sum|CostAmount|0","","","","","","","ItemId|TransDate|T2.InventSiteId|T2.InventLocationId",$A34,PeriodEnding,$B34,$C34)</f>
        <v>0</v>
      </c>
      <c r="L34" s="4">
        <f>AtlasReport_4_Table_1[[#This Row],[TPP cost amount]]-AtlasReport_4_Table_1[[#This Row],[TPP trans backwards balance (Beginning)]]</f>
        <v>-12777.58</v>
      </c>
      <c r="M34" s="4">
        <f>AtlasReport_4_Table_1[[#This Row],[TPP cost amount]]-AtlasReport_4_Table_1[[#This Row],[TPP trans backwards balance (Ending)]]</f>
        <v>-11446.58</v>
      </c>
    </row>
    <row r="35" spans="1:13" x14ac:dyDescent="0.25">
      <c r="A35" s="8" t="s">
        <v>134</v>
      </c>
      <c r="B35" s="8" t="s">
        <v>717</v>
      </c>
      <c r="C35" s="8" t="s">
        <v>719</v>
      </c>
      <c r="D35" s="4">
        <v>11.6</v>
      </c>
      <c r="E35" s="4">
        <v>0</v>
      </c>
      <c r="F35" s="4">
        <f>_xll.AtlasFormulas.AtlasFunctions.AtlasBalance("PROD",DataAreaId,"T.TPPTrans_sst|InventDimId~inventDimId@T.InventDim","Sum|Qty|0","","","","","","","ItemId|TransDate|T2.InventSiteId|T2.InventLocationId",$A35,PeriodBeginning,$B35,$C35)</f>
        <v>0</v>
      </c>
      <c r="G35" s="4">
        <f>_xll.AtlasFormulas.AtlasFunctions.AtlasBalance("PROD",DataAreaId,"T.TPPTrans_sst|InventDimId~inventDimId@T.InventDim","Sum|Qty|0","","","","","","","ItemId|TransDate|T2.InventSiteId|T2.InventLocationId",$A35,PeriodEnding,$B35,$C35)</f>
        <v>0</v>
      </c>
      <c r="H35" s="4">
        <f>AtlasReport_4_Table_1[[#This Row],[Quantity]]-AtlasReport_4_Table_1[[#This Row],[TPP trans backwards (Beginning)]]</f>
        <v>11.6</v>
      </c>
      <c r="I35" s="4">
        <f>AtlasReport_4_Table_1[[#This Row],[Quantity]]-AtlasReport_4_Table_1[[#This Row],[TPP trans backwards (Ending)]]</f>
        <v>11.6</v>
      </c>
      <c r="J35" s="4">
        <f>_xll.AtlasFormulas.AtlasFunctions.AtlasBalance("PROD",DataAreaId,"T.TPPTrans_sst|InventDimId~inventDimId@T.InventDim","Sum|CostAmount|0","","","","","","","ItemId|TransDate|T2.InventSiteId|T2.InventLocationId",$A35,PeriodBeginning,$B35,$C35)</f>
        <v>0</v>
      </c>
      <c r="K35" s="4">
        <f>_xll.AtlasFormulas.AtlasFunctions.AtlasBalance("PROD",DataAreaId,"T.TPPTrans_sst|InventDimId~inventDimId@T.InventDim","Sum|CostAmount|0","","","","","","","ItemId|TransDate|T2.InventSiteId|T2.InventLocationId",$A35,PeriodEnding,$B35,$C35)</f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trans backwards balance (Ending)]]</f>
        <v>0</v>
      </c>
    </row>
    <row r="36" spans="1:13" x14ac:dyDescent="0.25">
      <c r="A36" s="8" t="s">
        <v>67</v>
      </c>
      <c r="B36" s="8" t="s">
        <v>717</v>
      </c>
      <c r="C36" s="8" t="s">
        <v>719</v>
      </c>
      <c r="D36" s="4">
        <v>0</v>
      </c>
      <c r="E36" s="4">
        <v>0</v>
      </c>
      <c r="F36" s="4">
        <f>_xll.AtlasFormulas.AtlasFunctions.AtlasBalance("PROD",DataAreaId,"T.TPPTrans_sst|InventDimId~inventDimId@T.InventDim","Sum|Qty|0","","","","","","","ItemId|TransDate|T2.InventSiteId|T2.InventLocationId",$A36,PeriodBeginning,$B36,$C36)</f>
        <v>0</v>
      </c>
      <c r="G36" s="4">
        <f>_xll.AtlasFormulas.AtlasFunctions.AtlasBalance("PROD",DataAreaId,"T.TPPTrans_sst|InventDimId~inventDimId@T.InventDim","Sum|Qty|0","","","","","","","ItemId|TransDate|T2.InventSiteId|T2.InventLocationId",$A36,PeriodEnding,$B36,$C36)</f>
        <v>0</v>
      </c>
      <c r="H36" s="4">
        <f>AtlasReport_4_Table_1[[#This Row],[Quantity]]-AtlasReport_4_Table_1[[#This Row],[TPP trans backwards (Beginning)]]</f>
        <v>0</v>
      </c>
      <c r="I36" s="4">
        <f>AtlasReport_4_Table_1[[#This Row],[Quantity]]-AtlasReport_4_Table_1[[#This Row],[TPP trans backwards (Ending)]]</f>
        <v>0</v>
      </c>
      <c r="J36" s="4">
        <f>_xll.AtlasFormulas.AtlasFunctions.AtlasBalance("PROD",DataAreaId,"T.TPPTrans_sst|InventDimId~inventDimId@T.InventDim","Sum|CostAmount|0","","","","","","","ItemId|TransDate|T2.InventSiteId|T2.InventLocationId",$A36,PeriodBeginning,$B36,$C36)</f>
        <v>0</v>
      </c>
      <c r="K36" s="4">
        <f>_xll.AtlasFormulas.AtlasFunctions.AtlasBalance("PROD",DataAreaId,"T.TPPTrans_sst|InventDimId~inventDimId@T.InventDim","Sum|CostAmount|0","","","","","","","ItemId|TransDate|T2.InventSiteId|T2.InventLocationId",$A36,PeriodEnding,$B36,$C36)</f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trans backwards balance (Ending)]]</f>
        <v>0</v>
      </c>
    </row>
    <row r="37" spans="1:13" x14ac:dyDescent="0.25">
      <c r="A37" s="8" t="s">
        <v>67</v>
      </c>
      <c r="B37" s="8" t="s">
        <v>717</v>
      </c>
      <c r="C37" s="8" t="s">
        <v>718</v>
      </c>
      <c r="D37" s="4">
        <v>8614</v>
      </c>
      <c r="E37" s="4">
        <v>0</v>
      </c>
      <c r="F37" s="4">
        <f>_xll.AtlasFormulas.AtlasFunctions.AtlasBalance("PROD",DataAreaId,"T.TPPTrans_sst|InventDimId~inventDimId@T.InventDim","Sum|Qty|0","","","","","","","ItemId|TransDate|T2.InventSiteId|T2.InventLocationId",$A37,PeriodBeginning,$B37,$C37)</f>
        <v>0</v>
      </c>
      <c r="G37" s="4">
        <f>_xll.AtlasFormulas.AtlasFunctions.AtlasBalance("PROD",DataAreaId,"T.TPPTrans_sst|InventDimId~inventDimId@T.InventDim","Sum|Qty|0","","","","","","","ItemId|TransDate|T2.InventSiteId|T2.InventLocationId",$A37,PeriodEnding,$B37,$C37)</f>
        <v>0</v>
      </c>
      <c r="H37" s="4">
        <f>AtlasReport_4_Table_1[[#This Row],[Quantity]]-AtlasReport_4_Table_1[[#This Row],[TPP trans backwards (Beginning)]]</f>
        <v>8614</v>
      </c>
      <c r="I37" s="4">
        <f>AtlasReport_4_Table_1[[#This Row],[Quantity]]-AtlasReport_4_Table_1[[#This Row],[TPP trans backwards (Ending)]]</f>
        <v>8614</v>
      </c>
      <c r="J37" s="4">
        <f>_xll.AtlasFormulas.AtlasFunctions.AtlasBalance("PROD",DataAreaId,"T.TPPTrans_sst|InventDimId~inventDimId@T.InventDim","Sum|CostAmount|0","","","","","","","ItemId|TransDate|T2.InventSiteId|T2.InventLocationId",$A37,PeriodBeginning,$B37,$C37)</f>
        <v>0</v>
      </c>
      <c r="K37" s="4">
        <f>_xll.AtlasFormulas.AtlasFunctions.AtlasBalance("PROD",DataAreaId,"T.TPPTrans_sst|InventDimId~inventDimId@T.InventDim","Sum|CostAmount|0","","","","","","","ItemId|TransDate|T2.InventSiteId|T2.InventLocationId",$A37,PeriodEnding,$B37,$C37)</f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trans backwards balance (Ending)]]</f>
        <v>0</v>
      </c>
    </row>
    <row r="38" spans="1:13" x14ac:dyDescent="0.25">
      <c r="A38" s="8" t="s">
        <v>93</v>
      </c>
      <c r="B38" s="8" t="s">
        <v>717</v>
      </c>
      <c r="C38" s="8" t="s">
        <v>718</v>
      </c>
      <c r="D38" s="4">
        <v>15217</v>
      </c>
      <c r="E38" s="4">
        <v>0</v>
      </c>
      <c r="F38" s="4">
        <f>_xll.AtlasFormulas.AtlasFunctions.AtlasBalance("PROD",DataAreaId,"T.TPPTrans_sst|InventDimId~inventDimId@T.InventDim","Sum|Qty|0","","","","","","","ItemId|TransDate|T2.InventSiteId|T2.InventLocationId",$A38,PeriodBeginning,$B38,$C38)</f>
        <v>0</v>
      </c>
      <c r="G38" s="4">
        <f>_xll.AtlasFormulas.AtlasFunctions.AtlasBalance("PROD",DataAreaId,"T.TPPTrans_sst|InventDimId~inventDimId@T.InventDim","Sum|Qty|0","","","","","","","ItemId|TransDate|T2.InventSiteId|T2.InventLocationId",$A38,PeriodEnding,$B38,$C38)</f>
        <v>0</v>
      </c>
      <c r="H38" s="4">
        <f>AtlasReport_4_Table_1[[#This Row],[Quantity]]-AtlasReport_4_Table_1[[#This Row],[TPP trans backwards (Beginning)]]</f>
        <v>15217</v>
      </c>
      <c r="I38" s="4">
        <f>AtlasReport_4_Table_1[[#This Row],[Quantity]]-AtlasReport_4_Table_1[[#This Row],[TPP trans backwards (Ending)]]</f>
        <v>15217</v>
      </c>
      <c r="J38" s="4">
        <f>_xll.AtlasFormulas.AtlasFunctions.AtlasBalance("PROD",DataAreaId,"T.TPPTrans_sst|InventDimId~inventDimId@T.InventDim","Sum|CostAmount|0","","","","","","","ItemId|TransDate|T2.InventSiteId|T2.InventLocationId",$A38,PeriodBeginning,$B38,$C38)</f>
        <v>0</v>
      </c>
      <c r="K38" s="4">
        <f>_xll.AtlasFormulas.AtlasFunctions.AtlasBalance("PROD",DataAreaId,"T.TPPTrans_sst|InventDimId~inventDimId@T.InventDim","Sum|CostAmount|0","","","","","","","ItemId|TransDate|T2.InventSiteId|T2.InventLocationId",$A38,PeriodEnding,$B38,$C38)</f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trans backwards balance (Ending)]]</f>
        <v>0</v>
      </c>
    </row>
    <row r="39" spans="1:13" x14ac:dyDescent="0.25">
      <c r="A39" s="8" t="s">
        <v>68</v>
      </c>
      <c r="B39" s="8" t="s">
        <v>717</v>
      </c>
      <c r="C39" s="8" t="s">
        <v>718</v>
      </c>
      <c r="D39" s="4">
        <v>5788</v>
      </c>
      <c r="E39" s="4">
        <v>0</v>
      </c>
      <c r="F39" s="4">
        <f>_xll.AtlasFormulas.AtlasFunctions.AtlasBalance("PROD",DataAreaId,"T.TPPTrans_sst|InventDimId~inventDimId@T.InventDim","Sum|Qty|0","","","","","","","ItemId|TransDate|T2.InventSiteId|T2.InventLocationId",$A39,PeriodBeginning,$B39,$C39)</f>
        <v>0</v>
      </c>
      <c r="G39" s="4">
        <f>_xll.AtlasFormulas.AtlasFunctions.AtlasBalance("PROD",DataAreaId,"T.TPPTrans_sst|InventDimId~inventDimId@T.InventDim","Sum|Qty|0","","","","","","","ItemId|TransDate|T2.InventSiteId|T2.InventLocationId",$A39,PeriodEnding,$B39,$C39)</f>
        <v>0</v>
      </c>
      <c r="H39" s="4">
        <f>AtlasReport_4_Table_1[[#This Row],[Quantity]]-AtlasReport_4_Table_1[[#This Row],[TPP trans backwards (Beginning)]]</f>
        <v>5788</v>
      </c>
      <c r="I39" s="4">
        <f>AtlasReport_4_Table_1[[#This Row],[Quantity]]-AtlasReport_4_Table_1[[#This Row],[TPP trans backwards (Ending)]]</f>
        <v>5788</v>
      </c>
      <c r="J39" s="4">
        <f>_xll.AtlasFormulas.AtlasFunctions.AtlasBalance("PROD",DataAreaId,"T.TPPTrans_sst|InventDimId~inventDimId@T.InventDim","Sum|CostAmount|0","","","","","","","ItemId|TransDate|T2.InventSiteId|T2.InventLocationId",$A39,PeriodBeginning,$B39,$C39)</f>
        <v>0</v>
      </c>
      <c r="K39" s="4">
        <f>_xll.AtlasFormulas.AtlasFunctions.AtlasBalance("PROD",DataAreaId,"T.TPPTrans_sst|InventDimId~inventDimId@T.InventDim","Sum|CostAmount|0","","","","","","","ItemId|TransDate|T2.InventSiteId|T2.InventLocationId",$A39,PeriodEnding,$B39,$C39)</f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trans backwards balance (Ending)]]</f>
        <v>0</v>
      </c>
    </row>
    <row r="40" spans="1:13" x14ac:dyDescent="0.25">
      <c r="A40" s="8" t="s">
        <v>52</v>
      </c>
      <c r="B40" s="8" t="s">
        <v>717</v>
      </c>
      <c r="C40" s="8" t="s">
        <v>718</v>
      </c>
      <c r="D40" s="4">
        <v>2744</v>
      </c>
      <c r="E40" s="4">
        <v>0</v>
      </c>
      <c r="F40" s="4">
        <f>_xll.AtlasFormulas.AtlasFunctions.AtlasBalance("PROD",DataAreaId,"T.TPPTrans_sst|InventDimId~inventDimId@T.InventDim","Sum|Qty|0","","","","","","","ItemId|TransDate|T2.InventSiteId|T2.InventLocationId",$A40,PeriodBeginning,$B40,$C40)</f>
        <v>0</v>
      </c>
      <c r="G40" s="4">
        <f>_xll.AtlasFormulas.AtlasFunctions.AtlasBalance("PROD",DataAreaId,"T.TPPTrans_sst|InventDimId~inventDimId@T.InventDim","Sum|Qty|0","","","","","","","ItemId|TransDate|T2.InventSiteId|T2.InventLocationId",$A40,PeriodEnding,$B40,$C40)</f>
        <v>0</v>
      </c>
      <c r="H40" s="4">
        <f>AtlasReport_4_Table_1[[#This Row],[Quantity]]-AtlasReport_4_Table_1[[#This Row],[TPP trans backwards (Beginning)]]</f>
        <v>2744</v>
      </c>
      <c r="I40" s="4">
        <f>AtlasReport_4_Table_1[[#This Row],[Quantity]]-AtlasReport_4_Table_1[[#This Row],[TPP trans backwards (Ending)]]</f>
        <v>2744</v>
      </c>
      <c r="J40" s="4">
        <f>_xll.AtlasFormulas.AtlasFunctions.AtlasBalance("PROD",DataAreaId,"T.TPPTrans_sst|InventDimId~inventDimId@T.InventDim","Sum|CostAmount|0","","","","","","","ItemId|TransDate|T2.InventSiteId|T2.InventLocationId",$A40,PeriodBeginning,$B40,$C40)</f>
        <v>0</v>
      </c>
      <c r="K40" s="4">
        <f>_xll.AtlasFormulas.AtlasFunctions.AtlasBalance("PROD",DataAreaId,"T.TPPTrans_sst|InventDimId~inventDimId@T.InventDim","Sum|CostAmount|0","","","","","","","ItemId|TransDate|T2.InventSiteId|T2.InventLocationId",$A40,PeriodEnding,$B40,$C40)</f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trans backwards balance (Ending)]]</f>
        <v>0</v>
      </c>
    </row>
    <row r="41" spans="1:13" x14ac:dyDescent="0.25">
      <c r="A41" s="8" t="s">
        <v>103</v>
      </c>
      <c r="B41" s="8" t="s">
        <v>717</v>
      </c>
      <c r="C41" s="8" t="s">
        <v>719</v>
      </c>
      <c r="D41" s="4">
        <v>0</v>
      </c>
      <c r="E41" s="4">
        <v>0</v>
      </c>
      <c r="F41" s="4">
        <f>_xll.AtlasFormulas.AtlasFunctions.AtlasBalance("PROD",DataAreaId,"T.TPPTrans_sst|InventDimId~inventDimId@T.InventDim","Sum|Qty|0","","","","","","","ItemId|TransDate|T2.InventSiteId|T2.InventLocationId",$A41,PeriodBeginning,$B41,$C41)</f>
        <v>0</v>
      </c>
      <c r="G41" s="4">
        <f>_xll.AtlasFormulas.AtlasFunctions.AtlasBalance("PROD",DataAreaId,"T.TPPTrans_sst|InventDimId~inventDimId@T.InventDim","Sum|Qty|0","","","","","","","ItemId|TransDate|T2.InventSiteId|T2.InventLocationId",$A41,PeriodEnding,$B41,$C41)</f>
        <v>0</v>
      </c>
      <c r="H41" s="4">
        <f>AtlasReport_4_Table_1[[#This Row],[Quantity]]-AtlasReport_4_Table_1[[#This Row],[TPP trans backwards (Beginning)]]</f>
        <v>0</v>
      </c>
      <c r="I41" s="4">
        <f>AtlasReport_4_Table_1[[#This Row],[Quantity]]-AtlasReport_4_Table_1[[#This Row],[TPP trans backwards (Ending)]]</f>
        <v>0</v>
      </c>
      <c r="J41" s="4">
        <f>_xll.AtlasFormulas.AtlasFunctions.AtlasBalance("PROD",DataAreaId,"T.TPPTrans_sst|InventDimId~inventDimId@T.InventDim","Sum|CostAmount|0","","","","","","","ItemId|TransDate|T2.InventSiteId|T2.InventLocationId",$A41,PeriodBeginning,$B41,$C41)</f>
        <v>0</v>
      </c>
      <c r="K41" s="4">
        <f>_xll.AtlasFormulas.AtlasFunctions.AtlasBalance("PROD",DataAreaId,"T.TPPTrans_sst|InventDimId~inventDimId@T.InventDim","Sum|CostAmount|0","","","","","","","ItemId|TransDate|T2.InventSiteId|T2.InventLocationId",$A41,PeriodEnding,$B41,$C41)</f>
        <v>0</v>
      </c>
      <c r="L41" s="4">
        <f>AtlasReport_4_Table_1[[#This Row],[TPP cost amount]]-AtlasReport_4_Table_1[[#This Row],[TPP trans backwards balance (Beginning)]]</f>
        <v>0</v>
      </c>
      <c r="M41" s="4">
        <f>AtlasReport_4_Table_1[[#This Row],[TPP cost amount]]-AtlasReport_4_Table_1[[#This Row],[TPP trans backwards balance (Ending)]]</f>
        <v>0</v>
      </c>
    </row>
    <row r="42" spans="1:13" x14ac:dyDescent="0.25">
      <c r="A42" s="8" t="s">
        <v>103</v>
      </c>
      <c r="B42" s="8" t="s">
        <v>717</v>
      </c>
      <c r="C42" s="8" t="s">
        <v>718</v>
      </c>
      <c r="D42" s="4">
        <v>21165</v>
      </c>
      <c r="E42" s="4">
        <v>0</v>
      </c>
      <c r="F42" s="4">
        <f>_xll.AtlasFormulas.AtlasFunctions.AtlasBalance("PROD",DataAreaId,"T.TPPTrans_sst|InventDimId~inventDimId@T.InventDim","Sum|Qty|0","","","","","","","ItemId|TransDate|T2.InventSiteId|T2.InventLocationId",$A42,PeriodBeginning,$B42,$C42)</f>
        <v>-4100</v>
      </c>
      <c r="G42" s="4">
        <f>_xll.AtlasFormulas.AtlasFunctions.AtlasBalance("PROD",DataAreaId,"T.TPPTrans_sst|InventDimId~inventDimId@T.InventDim","Sum|Qty|0","","","","","","","ItemId|TransDate|T2.InventSiteId|T2.InventLocationId",$A42,PeriodEnding,$B42,$C42)</f>
        <v>0</v>
      </c>
      <c r="H42" s="4">
        <f>AtlasReport_4_Table_1[[#This Row],[Quantity]]-AtlasReport_4_Table_1[[#This Row],[TPP trans backwards (Beginning)]]</f>
        <v>25265</v>
      </c>
      <c r="I42" s="4">
        <f>AtlasReport_4_Table_1[[#This Row],[Quantity]]-AtlasReport_4_Table_1[[#This Row],[TPP trans backwards (Ending)]]</f>
        <v>21165</v>
      </c>
      <c r="J42" s="4">
        <f>_xll.AtlasFormulas.AtlasFunctions.AtlasBalance("PROD",DataAreaId,"T.TPPTrans_sst|InventDimId~inventDimId@T.InventDim","Sum|CostAmount|0","","","","","","","ItemId|TransDate|T2.InventSiteId|T2.InventLocationId",$A42,PeriodBeginning,$B42,$C42)</f>
        <v>0</v>
      </c>
      <c r="K42" s="4">
        <f>_xll.AtlasFormulas.AtlasFunctions.AtlasBalance("PROD",DataAreaId,"T.TPPTrans_sst|InventDimId~inventDimId@T.InventDim","Sum|CostAmount|0","","","","","","","ItemId|TransDate|T2.InventSiteId|T2.InventLocationId",$A42,PeriodEnding,$B42,$C42)</f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trans backwards balance (Ending)]]</f>
        <v>0</v>
      </c>
    </row>
    <row r="43" spans="1:13" x14ac:dyDescent="0.25">
      <c r="A43" s="8" t="s">
        <v>53</v>
      </c>
      <c r="B43" s="8" t="s">
        <v>717</v>
      </c>
      <c r="C43" s="8" t="s">
        <v>719</v>
      </c>
      <c r="D43" s="4">
        <v>8</v>
      </c>
      <c r="E43" s="4">
        <v>0</v>
      </c>
      <c r="F43" s="4">
        <f>_xll.AtlasFormulas.AtlasFunctions.AtlasBalance("PROD",DataAreaId,"T.TPPTrans_sst|InventDimId~inventDimId@T.InventDim","Sum|Qty|0","","","","","","","ItemId|TransDate|T2.InventSiteId|T2.InventLocationId",$A43,PeriodBeginning,$B43,$C43)</f>
        <v>0</v>
      </c>
      <c r="G43" s="4">
        <f>_xll.AtlasFormulas.AtlasFunctions.AtlasBalance("PROD",DataAreaId,"T.TPPTrans_sst|InventDimId~inventDimId@T.InventDim","Sum|Qty|0","","","","","","","ItemId|TransDate|T2.InventSiteId|T2.InventLocationId",$A43,PeriodEnding,$B43,$C43)</f>
        <v>0</v>
      </c>
      <c r="H43" s="4">
        <f>AtlasReport_4_Table_1[[#This Row],[Quantity]]-AtlasReport_4_Table_1[[#This Row],[TPP trans backwards (Beginning)]]</f>
        <v>8</v>
      </c>
      <c r="I43" s="4">
        <f>AtlasReport_4_Table_1[[#This Row],[Quantity]]-AtlasReport_4_Table_1[[#This Row],[TPP trans backwards (Ending)]]</f>
        <v>8</v>
      </c>
      <c r="J43" s="4">
        <f>_xll.AtlasFormulas.AtlasFunctions.AtlasBalance("PROD",DataAreaId,"T.TPPTrans_sst|InventDimId~inventDimId@T.InventDim","Sum|CostAmount|0","","","","","","","ItemId|TransDate|T2.InventSiteId|T2.InventLocationId",$A43,PeriodBeginning,$B43,$C43)</f>
        <v>0</v>
      </c>
      <c r="K43" s="4">
        <f>_xll.AtlasFormulas.AtlasFunctions.AtlasBalance("PROD",DataAreaId,"T.TPPTrans_sst|InventDimId~inventDimId@T.InventDim","Sum|CostAmount|0","","","","","","","ItemId|TransDate|T2.InventSiteId|T2.InventLocationId",$A43,PeriodEnding,$B43,$C43)</f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trans backwards balance (Ending)]]</f>
        <v>0</v>
      </c>
    </row>
    <row r="44" spans="1:13" x14ac:dyDescent="0.25">
      <c r="A44" s="8" t="s">
        <v>53</v>
      </c>
      <c r="B44" s="8" t="s">
        <v>717</v>
      </c>
      <c r="C44" s="8" t="s">
        <v>718</v>
      </c>
      <c r="D44" s="4">
        <v>7620</v>
      </c>
      <c r="E44" s="4">
        <v>0</v>
      </c>
      <c r="F44" s="4">
        <f>_xll.AtlasFormulas.AtlasFunctions.AtlasBalance("PROD",DataAreaId,"T.TPPTrans_sst|InventDimId~inventDimId@T.InventDim","Sum|Qty|0","","","","","","","ItemId|TransDate|T2.InventSiteId|T2.InventLocationId",$A44,PeriodBeginning,$B44,$C44)</f>
        <v>3620</v>
      </c>
      <c r="G44" s="4">
        <f>_xll.AtlasFormulas.AtlasFunctions.AtlasBalance("PROD",DataAreaId,"T.TPPTrans_sst|InventDimId~inventDimId@T.InventDim","Sum|Qty|0","","","","","","","ItemId|TransDate|T2.InventSiteId|T2.InventLocationId",$A44,PeriodEnding,$B44,$C44)</f>
        <v>0</v>
      </c>
      <c r="H44" s="4">
        <f>AtlasReport_4_Table_1[[#This Row],[Quantity]]-AtlasReport_4_Table_1[[#This Row],[TPP trans backwards (Beginning)]]</f>
        <v>4000</v>
      </c>
      <c r="I44" s="4">
        <f>AtlasReport_4_Table_1[[#This Row],[Quantity]]-AtlasReport_4_Table_1[[#This Row],[TPP trans backwards (Ending)]]</f>
        <v>7620</v>
      </c>
      <c r="J44" s="4">
        <f>_xll.AtlasFormulas.AtlasFunctions.AtlasBalance("PROD",DataAreaId,"T.TPPTrans_sst|InventDimId~inventDimId@T.InventDim","Sum|CostAmount|0","","","","","","","ItemId|TransDate|T2.InventSiteId|T2.InventLocationId",$A44,PeriodBeginning,$B44,$C44)</f>
        <v>0</v>
      </c>
      <c r="K44" s="4">
        <f>_xll.AtlasFormulas.AtlasFunctions.AtlasBalance("PROD",DataAreaId,"T.TPPTrans_sst|InventDimId~inventDimId@T.InventDim","Sum|CostAmount|0","","","","","","","ItemId|TransDate|T2.InventSiteId|T2.InventLocationId",$A44,PeriodEnding,$B44,$C44)</f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trans backwards balance (Ending)]]</f>
        <v>0</v>
      </c>
    </row>
    <row r="45" spans="1:13" x14ac:dyDescent="0.25">
      <c r="A45" s="8" t="s">
        <v>54</v>
      </c>
      <c r="B45" s="8" t="s">
        <v>717</v>
      </c>
      <c r="C45" s="8" t="s">
        <v>719</v>
      </c>
      <c r="D45" s="4">
        <v>0</v>
      </c>
      <c r="E45" s="4">
        <v>0</v>
      </c>
      <c r="F45" s="4">
        <f>_xll.AtlasFormulas.AtlasFunctions.AtlasBalance("PROD",DataAreaId,"T.TPPTrans_sst|InventDimId~inventDimId@T.InventDim","Sum|Qty|0","","","","","","","ItemId|TransDate|T2.InventSiteId|T2.InventLocationId",$A45,PeriodBeginning,$B45,$C45)</f>
        <v>0</v>
      </c>
      <c r="G45" s="4">
        <f>_xll.AtlasFormulas.AtlasFunctions.AtlasBalance("PROD",DataAreaId,"T.TPPTrans_sst|InventDimId~inventDimId@T.InventDim","Sum|Qty|0","","","","","","","ItemId|TransDate|T2.InventSiteId|T2.InventLocationId",$A45,PeriodEnding,$B45,$C45)</f>
        <v>0</v>
      </c>
      <c r="H45" s="4">
        <f>AtlasReport_4_Table_1[[#This Row],[Quantity]]-AtlasReport_4_Table_1[[#This Row],[TPP trans backwards (Beginning)]]</f>
        <v>0</v>
      </c>
      <c r="I45" s="4">
        <f>AtlasReport_4_Table_1[[#This Row],[Quantity]]-AtlasReport_4_Table_1[[#This Row],[TPP trans backwards (Ending)]]</f>
        <v>0</v>
      </c>
      <c r="J45" s="4">
        <f>_xll.AtlasFormulas.AtlasFunctions.AtlasBalance("PROD",DataAreaId,"T.TPPTrans_sst|InventDimId~inventDimId@T.InventDim","Sum|CostAmount|0","","","","","","","ItemId|TransDate|T2.InventSiteId|T2.InventLocationId",$A45,PeriodBeginning,$B45,$C45)</f>
        <v>0</v>
      </c>
      <c r="K45" s="4">
        <f>_xll.AtlasFormulas.AtlasFunctions.AtlasBalance("PROD",DataAreaId,"T.TPPTrans_sst|InventDimId~inventDimId@T.InventDim","Sum|CostAmount|0","","","","","","","ItemId|TransDate|T2.InventSiteId|T2.InventLocationId",$A45,PeriodEnding,$B45,$C45)</f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trans backwards balance (Ending)]]</f>
        <v>0</v>
      </c>
    </row>
    <row r="46" spans="1:13" x14ac:dyDescent="0.25">
      <c r="A46" s="8" t="s">
        <v>54</v>
      </c>
      <c r="B46" s="8" t="s">
        <v>717</v>
      </c>
      <c r="C46" s="8" t="s">
        <v>718</v>
      </c>
      <c r="D46" s="4">
        <v>8387</v>
      </c>
      <c r="E46" s="4">
        <v>0</v>
      </c>
      <c r="F46" s="4">
        <f>_xll.AtlasFormulas.AtlasFunctions.AtlasBalance("PROD",DataAreaId,"T.TPPTrans_sst|InventDimId~inventDimId@T.InventDim","Sum|Qty|0","","","","","","","ItemId|TransDate|T2.InventSiteId|T2.InventLocationId",$A46,PeriodBeginning,$B46,$C46)</f>
        <v>0</v>
      </c>
      <c r="G46" s="4">
        <f>_xll.AtlasFormulas.AtlasFunctions.AtlasBalance("PROD",DataAreaId,"T.TPPTrans_sst|InventDimId~inventDimId@T.InventDim","Sum|Qty|0","","","","","","","ItemId|TransDate|T2.InventSiteId|T2.InventLocationId",$A46,PeriodEnding,$B46,$C46)</f>
        <v>0</v>
      </c>
      <c r="H46" s="4">
        <f>AtlasReport_4_Table_1[[#This Row],[Quantity]]-AtlasReport_4_Table_1[[#This Row],[TPP trans backwards (Beginning)]]</f>
        <v>8387</v>
      </c>
      <c r="I46" s="4">
        <f>AtlasReport_4_Table_1[[#This Row],[Quantity]]-AtlasReport_4_Table_1[[#This Row],[TPP trans backwards (Ending)]]</f>
        <v>8387</v>
      </c>
      <c r="J46" s="4">
        <f>_xll.AtlasFormulas.AtlasFunctions.AtlasBalance("PROD",DataAreaId,"T.TPPTrans_sst|InventDimId~inventDimId@T.InventDim","Sum|CostAmount|0","","","","","","","ItemId|TransDate|T2.InventSiteId|T2.InventLocationId",$A46,PeriodBeginning,$B46,$C46)</f>
        <v>0</v>
      </c>
      <c r="K46" s="4">
        <f>_xll.AtlasFormulas.AtlasFunctions.AtlasBalance("PROD",DataAreaId,"T.TPPTrans_sst|InventDimId~inventDimId@T.InventDim","Sum|CostAmount|0","","","","","","","ItemId|TransDate|T2.InventSiteId|T2.InventLocationId",$A46,PeriodEnding,$B46,$C46)</f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trans backwards balance (Ending)]]</f>
        <v>0</v>
      </c>
    </row>
    <row r="47" spans="1:13" x14ac:dyDescent="0.25">
      <c r="A47" s="8" t="s">
        <v>89</v>
      </c>
      <c r="B47" s="8" t="s">
        <v>717</v>
      </c>
      <c r="C47" s="8" t="s">
        <v>719</v>
      </c>
      <c r="D47" s="4">
        <v>0</v>
      </c>
      <c r="E47" s="4">
        <v>0</v>
      </c>
      <c r="F47" s="4">
        <f>_xll.AtlasFormulas.AtlasFunctions.AtlasBalance("PROD",DataAreaId,"T.TPPTrans_sst|InventDimId~inventDimId@T.InventDim","Sum|Qty|0","","","","","","","ItemId|TransDate|T2.InventSiteId|T2.InventLocationId",$A47,PeriodBeginning,$B47,$C47)</f>
        <v>0</v>
      </c>
      <c r="G47" s="4">
        <f>_xll.AtlasFormulas.AtlasFunctions.AtlasBalance("PROD",DataAreaId,"T.TPPTrans_sst|InventDimId~inventDimId@T.InventDim","Sum|Qty|0","","","","","","","ItemId|TransDate|T2.InventSiteId|T2.InventLocationId",$A47,PeriodEnding,$B47,$C47)</f>
        <v>0</v>
      </c>
      <c r="H47" s="4">
        <f>AtlasReport_4_Table_1[[#This Row],[Quantity]]-AtlasReport_4_Table_1[[#This Row],[TPP trans backwards (Beginning)]]</f>
        <v>0</v>
      </c>
      <c r="I47" s="4">
        <f>AtlasReport_4_Table_1[[#This Row],[Quantity]]-AtlasReport_4_Table_1[[#This Row],[TPP trans backwards (Ending)]]</f>
        <v>0</v>
      </c>
      <c r="J47" s="4">
        <f>_xll.AtlasFormulas.AtlasFunctions.AtlasBalance("PROD",DataAreaId,"T.TPPTrans_sst|InventDimId~inventDimId@T.InventDim","Sum|CostAmount|0","","","","","","","ItemId|TransDate|T2.InventSiteId|T2.InventLocationId",$A47,PeriodBeginning,$B47,$C47)</f>
        <v>0</v>
      </c>
      <c r="K47" s="4">
        <f>_xll.AtlasFormulas.AtlasFunctions.AtlasBalance("PROD",DataAreaId,"T.TPPTrans_sst|InventDimId~inventDimId@T.InventDim","Sum|CostAmount|0","","","","","","","ItemId|TransDate|T2.InventSiteId|T2.InventLocationId",$A47,PeriodEnding,$B47,$C47)</f>
        <v>0</v>
      </c>
      <c r="L47" s="4">
        <f>AtlasReport_4_Table_1[[#This Row],[TPP cost amount]]-AtlasReport_4_Table_1[[#This Row],[TPP trans backwards balance (Beginning)]]</f>
        <v>0</v>
      </c>
      <c r="M47" s="4">
        <f>AtlasReport_4_Table_1[[#This Row],[TPP cost amount]]-AtlasReport_4_Table_1[[#This Row],[TPP trans backwards balance (Ending)]]</f>
        <v>0</v>
      </c>
    </row>
    <row r="48" spans="1:13" x14ac:dyDescent="0.25">
      <c r="A48" s="8" t="s">
        <v>89</v>
      </c>
      <c r="B48" s="8" t="s">
        <v>717</v>
      </c>
      <c r="C48" s="8" t="s">
        <v>718</v>
      </c>
      <c r="D48" s="4">
        <v>5571</v>
      </c>
      <c r="E48" s="4">
        <v>0</v>
      </c>
      <c r="F48" s="4">
        <f>_xll.AtlasFormulas.AtlasFunctions.AtlasBalance("PROD",DataAreaId,"T.TPPTrans_sst|InventDimId~inventDimId@T.InventDim","Sum|Qty|0","","","","","","","ItemId|TransDate|T2.InventSiteId|T2.InventLocationId",$A48,PeriodBeginning,$B48,$C48)</f>
        <v>-1050</v>
      </c>
      <c r="G48" s="4">
        <f>_xll.AtlasFormulas.AtlasFunctions.AtlasBalance("PROD",DataAreaId,"T.TPPTrans_sst|InventDimId~inventDimId@T.InventDim","Sum|Qty|0","","","","","","","ItemId|TransDate|T2.InventSiteId|T2.InventLocationId",$A48,PeriodEnding,$B48,$C48)</f>
        <v>0</v>
      </c>
      <c r="H48" s="4">
        <f>AtlasReport_4_Table_1[[#This Row],[Quantity]]-AtlasReport_4_Table_1[[#This Row],[TPP trans backwards (Beginning)]]</f>
        <v>6621</v>
      </c>
      <c r="I48" s="4">
        <f>AtlasReport_4_Table_1[[#This Row],[Quantity]]-AtlasReport_4_Table_1[[#This Row],[TPP trans backwards (Ending)]]</f>
        <v>5571</v>
      </c>
      <c r="J48" s="4">
        <f>_xll.AtlasFormulas.AtlasFunctions.AtlasBalance("PROD",DataAreaId,"T.TPPTrans_sst|InventDimId~inventDimId@T.InventDim","Sum|CostAmount|0","","","","","","","ItemId|TransDate|T2.InventSiteId|T2.InventLocationId",$A48,PeriodBeginning,$B48,$C48)</f>
        <v>0</v>
      </c>
      <c r="K48" s="4">
        <f>_xll.AtlasFormulas.AtlasFunctions.AtlasBalance("PROD",DataAreaId,"T.TPPTrans_sst|InventDimId~inventDimId@T.InventDim","Sum|CostAmount|0","","","","","","","ItemId|TransDate|T2.InventSiteId|T2.InventLocationId",$A48,PeriodEnding,$B48,$C48)</f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trans backwards balance (Ending)]]</f>
        <v>0</v>
      </c>
    </row>
    <row r="49" spans="1:13" x14ac:dyDescent="0.25">
      <c r="A49" s="8" t="s">
        <v>26</v>
      </c>
      <c r="B49" s="8" t="s">
        <v>717</v>
      </c>
      <c r="C49" s="8" t="s">
        <v>719</v>
      </c>
      <c r="D49" s="4">
        <v>0</v>
      </c>
      <c r="E49" s="4">
        <v>0</v>
      </c>
      <c r="F49" s="4">
        <f>_xll.AtlasFormulas.AtlasFunctions.AtlasBalance("PROD",DataAreaId,"T.TPPTrans_sst|InventDimId~inventDimId@T.InventDim","Sum|Qty|0","","","","","","","ItemId|TransDate|T2.InventSiteId|T2.InventLocationId",$A49,PeriodBeginning,$B49,$C49)</f>
        <v>0</v>
      </c>
      <c r="G49" s="4">
        <f>_xll.AtlasFormulas.AtlasFunctions.AtlasBalance("PROD",DataAreaId,"T.TPPTrans_sst|InventDimId~inventDimId@T.InventDim","Sum|Qty|0","","","","","","","ItemId|TransDate|T2.InventSiteId|T2.InventLocationId",$A49,PeriodEnding,$B49,$C49)</f>
        <v>0</v>
      </c>
      <c r="H49" s="4">
        <f>AtlasReport_4_Table_1[[#This Row],[Quantity]]-AtlasReport_4_Table_1[[#This Row],[TPP trans backwards (Beginning)]]</f>
        <v>0</v>
      </c>
      <c r="I49" s="4">
        <f>AtlasReport_4_Table_1[[#This Row],[Quantity]]-AtlasReport_4_Table_1[[#This Row],[TPP trans backwards (Ending)]]</f>
        <v>0</v>
      </c>
      <c r="J49" s="4">
        <f>_xll.AtlasFormulas.AtlasFunctions.AtlasBalance("PROD",DataAreaId,"T.TPPTrans_sst|InventDimId~inventDimId@T.InventDim","Sum|CostAmount|0","","","","","","","ItemId|TransDate|T2.InventSiteId|T2.InventLocationId",$A49,PeriodBeginning,$B49,$C49)</f>
        <v>0</v>
      </c>
      <c r="K49" s="4">
        <f>_xll.AtlasFormulas.AtlasFunctions.AtlasBalance("PROD",DataAreaId,"T.TPPTrans_sst|InventDimId~inventDimId@T.InventDim","Sum|CostAmount|0","","","","","","","ItemId|TransDate|T2.InventSiteId|T2.InventLocationId",$A49,PeriodEnding,$B49,$C49)</f>
        <v>0</v>
      </c>
      <c r="L49" s="4">
        <f>AtlasReport_4_Table_1[[#This Row],[TPP cost amount]]-AtlasReport_4_Table_1[[#This Row],[TPP trans backwards balance (Beginning)]]</f>
        <v>0</v>
      </c>
      <c r="M49" s="4">
        <f>AtlasReport_4_Table_1[[#This Row],[TPP cost amount]]-AtlasReport_4_Table_1[[#This Row],[TPP trans backwards balance (Ending)]]</f>
        <v>0</v>
      </c>
    </row>
    <row r="50" spans="1:13" x14ac:dyDescent="0.25">
      <c r="A50" s="8" t="s">
        <v>26</v>
      </c>
      <c r="B50" s="8" t="s">
        <v>717</v>
      </c>
      <c r="C50" s="8" t="s">
        <v>718</v>
      </c>
      <c r="D50" s="4">
        <v>3427</v>
      </c>
      <c r="E50" s="4">
        <v>0</v>
      </c>
      <c r="F50" s="4">
        <f>_xll.AtlasFormulas.AtlasFunctions.AtlasBalance("PROD",DataAreaId,"T.TPPTrans_sst|InventDimId~inventDimId@T.InventDim","Sum|Qty|0","","","","","","","ItemId|TransDate|T2.InventSiteId|T2.InventLocationId",$A50,PeriodBeginning,$B50,$C50)</f>
        <v>0</v>
      </c>
      <c r="G50" s="4">
        <f>_xll.AtlasFormulas.AtlasFunctions.AtlasBalance("PROD",DataAreaId,"T.TPPTrans_sst|InventDimId~inventDimId@T.InventDim","Sum|Qty|0","","","","","","","ItemId|TransDate|T2.InventSiteId|T2.InventLocationId",$A50,PeriodEnding,$B50,$C50)</f>
        <v>0</v>
      </c>
      <c r="H50" s="4">
        <f>AtlasReport_4_Table_1[[#This Row],[Quantity]]-AtlasReport_4_Table_1[[#This Row],[TPP trans backwards (Beginning)]]</f>
        <v>3427</v>
      </c>
      <c r="I50" s="4">
        <f>AtlasReport_4_Table_1[[#This Row],[Quantity]]-AtlasReport_4_Table_1[[#This Row],[TPP trans backwards (Ending)]]</f>
        <v>3427</v>
      </c>
      <c r="J50" s="4">
        <f>_xll.AtlasFormulas.AtlasFunctions.AtlasBalance("PROD",DataAreaId,"T.TPPTrans_sst|InventDimId~inventDimId@T.InventDim","Sum|CostAmount|0","","","","","","","ItemId|TransDate|T2.InventSiteId|T2.InventLocationId",$A50,PeriodBeginning,$B50,$C50)</f>
        <v>0</v>
      </c>
      <c r="K50" s="4">
        <f>_xll.AtlasFormulas.AtlasFunctions.AtlasBalance("PROD",DataAreaId,"T.TPPTrans_sst|InventDimId~inventDimId@T.InventDim","Sum|CostAmount|0","","","","","","","ItemId|TransDate|T2.InventSiteId|T2.InventLocationId",$A50,PeriodEnding,$B50,$C50)</f>
        <v>0</v>
      </c>
      <c r="L50" s="4">
        <f>AtlasReport_4_Table_1[[#This Row],[TPP cost amount]]-AtlasReport_4_Table_1[[#This Row],[TPP trans backwards balance (Beginning)]]</f>
        <v>0</v>
      </c>
      <c r="M50" s="4">
        <f>AtlasReport_4_Table_1[[#This Row],[TPP cost amount]]-AtlasReport_4_Table_1[[#This Row],[TPP trans backwards balance (Ending)]]</f>
        <v>0</v>
      </c>
    </row>
    <row r="51" spans="1:13" x14ac:dyDescent="0.25">
      <c r="A51" s="8" t="s">
        <v>112</v>
      </c>
      <c r="B51" s="8" t="s">
        <v>717</v>
      </c>
      <c r="C51" s="8" t="s">
        <v>718</v>
      </c>
      <c r="D51" s="4">
        <v>4480</v>
      </c>
      <c r="E51" s="4">
        <v>0</v>
      </c>
      <c r="F51" s="4">
        <f>_xll.AtlasFormulas.AtlasFunctions.AtlasBalance("PROD",DataAreaId,"T.TPPTrans_sst|InventDimId~inventDimId@T.InventDim","Sum|Qty|0","","","","","","","ItemId|TransDate|T2.InventSiteId|T2.InventLocationId",$A51,PeriodBeginning,$B51,$C51)</f>
        <v>-450</v>
      </c>
      <c r="G51" s="4">
        <f>_xll.AtlasFormulas.AtlasFunctions.AtlasBalance("PROD",DataAreaId,"T.TPPTrans_sst|InventDimId~inventDimId@T.InventDim","Sum|Qty|0","","","","","","","ItemId|TransDate|T2.InventSiteId|T2.InventLocationId",$A51,PeriodEnding,$B51,$C51)</f>
        <v>0</v>
      </c>
      <c r="H51" s="4">
        <f>AtlasReport_4_Table_1[[#This Row],[Quantity]]-AtlasReport_4_Table_1[[#This Row],[TPP trans backwards (Beginning)]]</f>
        <v>4930</v>
      </c>
      <c r="I51" s="4">
        <f>AtlasReport_4_Table_1[[#This Row],[Quantity]]-AtlasReport_4_Table_1[[#This Row],[TPP trans backwards (Ending)]]</f>
        <v>4480</v>
      </c>
      <c r="J51" s="4">
        <f>_xll.AtlasFormulas.AtlasFunctions.AtlasBalance("PROD",DataAreaId,"T.TPPTrans_sst|InventDimId~inventDimId@T.InventDim","Sum|CostAmount|0","","","","","","","ItemId|TransDate|T2.InventSiteId|T2.InventLocationId",$A51,PeriodBeginning,$B51,$C51)</f>
        <v>0</v>
      </c>
      <c r="K51" s="4">
        <f>_xll.AtlasFormulas.AtlasFunctions.AtlasBalance("PROD",DataAreaId,"T.TPPTrans_sst|InventDimId~inventDimId@T.InventDim","Sum|CostAmount|0","","","","","","","ItemId|TransDate|T2.InventSiteId|T2.InventLocationId",$A51,PeriodEnding,$B51,$C51)</f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trans backwards balance (Ending)]]</f>
        <v>0</v>
      </c>
    </row>
    <row r="52" spans="1:13" x14ac:dyDescent="0.25">
      <c r="A52" s="8" t="s">
        <v>98</v>
      </c>
      <c r="B52" s="8" t="s">
        <v>717</v>
      </c>
      <c r="C52" s="8" t="s">
        <v>719</v>
      </c>
      <c r="D52" s="4">
        <v>0</v>
      </c>
      <c r="E52" s="4">
        <v>0</v>
      </c>
      <c r="F52" s="4">
        <f>_xll.AtlasFormulas.AtlasFunctions.AtlasBalance("PROD",DataAreaId,"T.TPPTrans_sst|InventDimId~inventDimId@T.InventDim","Sum|Qty|0","","","","","","","ItemId|TransDate|T2.InventSiteId|T2.InventLocationId",$A52,PeriodBeginning,$B52,$C52)</f>
        <v>0</v>
      </c>
      <c r="G52" s="4">
        <f>_xll.AtlasFormulas.AtlasFunctions.AtlasBalance("PROD",DataAreaId,"T.TPPTrans_sst|InventDimId~inventDimId@T.InventDim","Sum|Qty|0","","","","","","","ItemId|TransDate|T2.InventSiteId|T2.InventLocationId",$A52,PeriodEnding,$B52,$C52)</f>
        <v>0</v>
      </c>
      <c r="H52" s="4">
        <f>AtlasReport_4_Table_1[[#This Row],[Quantity]]-AtlasReport_4_Table_1[[#This Row],[TPP trans backwards (Beginning)]]</f>
        <v>0</v>
      </c>
      <c r="I52" s="4">
        <f>AtlasReport_4_Table_1[[#This Row],[Quantity]]-AtlasReport_4_Table_1[[#This Row],[TPP trans backwards (Ending)]]</f>
        <v>0</v>
      </c>
      <c r="J52" s="4">
        <f>_xll.AtlasFormulas.AtlasFunctions.AtlasBalance("PROD",DataAreaId,"T.TPPTrans_sst|InventDimId~inventDimId@T.InventDim","Sum|CostAmount|0","","","","","","","ItemId|TransDate|T2.InventSiteId|T2.InventLocationId",$A52,PeriodBeginning,$B52,$C52)</f>
        <v>0</v>
      </c>
      <c r="K52" s="4">
        <f>_xll.AtlasFormulas.AtlasFunctions.AtlasBalance("PROD",DataAreaId,"T.TPPTrans_sst|InventDimId~inventDimId@T.InventDim","Sum|CostAmount|0","","","","","","","ItemId|TransDate|T2.InventSiteId|T2.InventLocationId",$A52,PeriodEnding,$B52,$C52)</f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trans backwards balance (Ending)]]</f>
        <v>0</v>
      </c>
    </row>
    <row r="53" spans="1:13" x14ac:dyDescent="0.25">
      <c r="A53" s="8" t="s">
        <v>98</v>
      </c>
      <c r="B53" s="8" t="s">
        <v>717</v>
      </c>
      <c r="C53" s="8" t="s">
        <v>718</v>
      </c>
      <c r="D53" s="4">
        <v>8136</v>
      </c>
      <c r="E53" s="4">
        <v>0</v>
      </c>
      <c r="F53" s="4">
        <f>_xll.AtlasFormulas.AtlasFunctions.AtlasBalance("PROD",DataAreaId,"T.TPPTrans_sst|InventDimId~inventDimId@T.InventDim","Sum|Qty|0","","","","","","","ItemId|TransDate|T2.InventSiteId|T2.InventLocationId",$A53,PeriodBeginning,$B53,$C53)</f>
        <v>-900</v>
      </c>
      <c r="G53" s="4">
        <f>_xll.AtlasFormulas.AtlasFunctions.AtlasBalance("PROD",DataAreaId,"T.TPPTrans_sst|InventDimId~inventDimId@T.InventDim","Sum|Qty|0","","","","","","","ItemId|TransDate|T2.InventSiteId|T2.InventLocationId",$A53,PeriodEnding,$B53,$C53)</f>
        <v>0</v>
      </c>
      <c r="H53" s="4">
        <f>AtlasReport_4_Table_1[[#This Row],[Quantity]]-AtlasReport_4_Table_1[[#This Row],[TPP trans backwards (Beginning)]]</f>
        <v>9036</v>
      </c>
      <c r="I53" s="4">
        <f>AtlasReport_4_Table_1[[#This Row],[Quantity]]-AtlasReport_4_Table_1[[#This Row],[TPP trans backwards (Ending)]]</f>
        <v>8136</v>
      </c>
      <c r="J53" s="4">
        <f>_xll.AtlasFormulas.AtlasFunctions.AtlasBalance("PROD",DataAreaId,"T.TPPTrans_sst|InventDimId~inventDimId@T.InventDim","Sum|CostAmount|0","","","","","","","ItemId|TransDate|T2.InventSiteId|T2.InventLocationId",$A53,PeriodBeginning,$B53,$C53)</f>
        <v>0</v>
      </c>
      <c r="K53" s="4">
        <f>_xll.AtlasFormulas.AtlasFunctions.AtlasBalance("PROD",DataAreaId,"T.TPPTrans_sst|InventDimId~inventDimId@T.InventDim","Sum|CostAmount|0","","","","","","","ItemId|TransDate|T2.InventSiteId|T2.InventLocationId",$A53,PeriodEnding,$B53,$C53)</f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trans backwards balance (Ending)]]</f>
        <v>0</v>
      </c>
    </row>
    <row r="54" spans="1:13" x14ac:dyDescent="0.25">
      <c r="A54" s="8" t="s">
        <v>55</v>
      </c>
      <c r="B54" s="8" t="s">
        <v>717</v>
      </c>
      <c r="C54" s="8" t="s">
        <v>719</v>
      </c>
      <c r="D54" s="4">
        <v>450</v>
      </c>
      <c r="E54" s="4">
        <v>0</v>
      </c>
      <c r="F54" s="4">
        <f>_xll.AtlasFormulas.AtlasFunctions.AtlasBalance("PROD",DataAreaId,"T.TPPTrans_sst|InventDimId~inventDimId@T.InventDim","Sum|Qty|0","","","","","","","ItemId|TransDate|T2.InventSiteId|T2.InventLocationId",$A54,PeriodBeginning,$B54,$C54)</f>
        <v>0</v>
      </c>
      <c r="G54" s="4">
        <f>_xll.AtlasFormulas.AtlasFunctions.AtlasBalance("PROD",DataAreaId,"T.TPPTrans_sst|InventDimId~inventDimId@T.InventDim","Sum|Qty|0","","","","","","","ItemId|TransDate|T2.InventSiteId|T2.InventLocationId",$A54,PeriodEnding,$B54,$C54)</f>
        <v>0</v>
      </c>
      <c r="H54" s="4">
        <f>AtlasReport_4_Table_1[[#This Row],[Quantity]]-AtlasReport_4_Table_1[[#This Row],[TPP trans backwards (Beginning)]]</f>
        <v>450</v>
      </c>
      <c r="I54" s="4">
        <f>AtlasReport_4_Table_1[[#This Row],[Quantity]]-AtlasReport_4_Table_1[[#This Row],[TPP trans backwards (Ending)]]</f>
        <v>450</v>
      </c>
      <c r="J54" s="4">
        <f>_xll.AtlasFormulas.AtlasFunctions.AtlasBalance("PROD",DataAreaId,"T.TPPTrans_sst|InventDimId~inventDimId@T.InventDim","Sum|CostAmount|0","","","","","","","ItemId|TransDate|T2.InventSiteId|T2.InventLocationId",$A54,PeriodBeginning,$B54,$C54)</f>
        <v>0</v>
      </c>
      <c r="K54" s="4">
        <f>_xll.AtlasFormulas.AtlasFunctions.AtlasBalance("PROD",DataAreaId,"T.TPPTrans_sst|InventDimId~inventDimId@T.InventDim","Sum|CostAmount|0","","","","","","","ItemId|TransDate|T2.InventSiteId|T2.InventLocationId",$A54,PeriodEnding,$B54,$C54)</f>
        <v>0</v>
      </c>
      <c r="L54" s="4">
        <f>AtlasReport_4_Table_1[[#This Row],[TPP cost amount]]-AtlasReport_4_Table_1[[#This Row],[TPP trans backwards balance (Beginning)]]</f>
        <v>0</v>
      </c>
      <c r="M54" s="4">
        <f>AtlasReport_4_Table_1[[#This Row],[TPP cost amount]]-AtlasReport_4_Table_1[[#This Row],[TPP trans backwards balance (Ending)]]</f>
        <v>0</v>
      </c>
    </row>
    <row r="55" spans="1:13" x14ac:dyDescent="0.25">
      <c r="A55" s="8" t="s">
        <v>55</v>
      </c>
      <c r="B55" s="8" t="s">
        <v>717</v>
      </c>
      <c r="C55" s="8" t="s">
        <v>718</v>
      </c>
      <c r="D55" s="4">
        <v>3224</v>
      </c>
      <c r="E55" s="4">
        <v>0</v>
      </c>
      <c r="F55" s="4">
        <f>_xll.AtlasFormulas.AtlasFunctions.AtlasBalance("PROD",DataAreaId,"T.TPPTrans_sst|InventDimId~inventDimId@T.InventDim","Sum|Qty|0","","","","","","","ItemId|TransDate|T2.InventSiteId|T2.InventLocationId",$A55,PeriodBeginning,$B55,$C55)</f>
        <v>-1200</v>
      </c>
      <c r="G55" s="4">
        <f>_xll.AtlasFormulas.AtlasFunctions.AtlasBalance("PROD",DataAreaId,"T.TPPTrans_sst|InventDimId~inventDimId@T.InventDim","Sum|Qty|0","","","","","","","ItemId|TransDate|T2.InventSiteId|T2.InventLocationId",$A55,PeriodEnding,$B55,$C55)</f>
        <v>0</v>
      </c>
      <c r="H55" s="4">
        <f>AtlasReport_4_Table_1[[#This Row],[Quantity]]-AtlasReport_4_Table_1[[#This Row],[TPP trans backwards (Beginning)]]</f>
        <v>4424</v>
      </c>
      <c r="I55" s="4">
        <f>AtlasReport_4_Table_1[[#This Row],[Quantity]]-AtlasReport_4_Table_1[[#This Row],[TPP trans backwards (Ending)]]</f>
        <v>3224</v>
      </c>
      <c r="J55" s="4">
        <f>_xll.AtlasFormulas.AtlasFunctions.AtlasBalance("PROD",DataAreaId,"T.TPPTrans_sst|InventDimId~inventDimId@T.InventDim","Sum|CostAmount|0","","","","","","","ItemId|TransDate|T2.InventSiteId|T2.InventLocationId",$A55,PeriodBeginning,$B55,$C55)</f>
        <v>0</v>
      </c>
      <c r="K55" s="4">
        <f>_xll.AtlasFormulas.AtlasFunctions.AtlasBalance("PROD",DataAreaId,"T.TPPTrans_sst|InventDimId~inventDimId@T.InventDim","Sum|CostAmount|0","","","","","","","ItemId|TransDate|T2.InventSiteId|T2.InventLocationId",$A55,PeriodEnding,$B55,$C55)</f>
        <v>0</v>
      </c>
      <c r="L55" s="4">
        <f>AtlasReport_4_Table_1[[#This Row],[TPP cost amount]]-AtlasReport_4_Table_1[[#This Row],[TPP trans backwards balance (Beginning)]]</f>
        <v>0</v>
      </c>
      <c r="M55" s="4">
        <f>AtlasReport_4_Table_1[[#This Row],[TPP cost amount]]-AtlasReport_4_Table_1[[#This Row],[TPP trans backwards balance (Ending)]]</f>
        <v>0</v>
      </c>
    </row>
    <row r="56" spans="1:13" x14ac:dyDescent="0.25">
      <c r="A56" s="8" t="s">
        <v>91</v>
      </c>
      <c r="B56" s="8" t="s">
        <v>717</v>
      </c>
      <c r="C56" s="8" t="s">
        <v>718</v>
      </c>
      <c r="D56" s="4">
        <v>1002</v>
      </c>
      <c r="E56" s="4">
        <v>0</v>
      </c>
      <c r="F56" s="4">
        <f>_xll.AtlasFormulas.AtlasFunctions.AtlasBalance("PROD",DataAreaId,"T.TPPTrans_sst|InventDimId~inventDimId@T.InventDim","Sum|Qty|0","","","","","","","ItemId|TransDate|T2.InventSiteId|T2.InventLocationId",$A56,PeriodBeginning,$B56,$C56)</f>
        <v>0</v>
      </c>
      <c r="G56" s="4">
        <f>_xll.AtlasFormulas.AtlasFunctions.AtlasBalance("PROD",DataAreaId,"T.TPPTrans_sst|InventDimId~inventDimId@T.InventDim","Sum|Qty|0","","","","","","","ItemId|TransDate|T2.InventSiteId|T2.InventLocationId",$A56,PeriodEnding,$B56,$C56)</f>
        <v>0</v>
      </c>
      <c r="H56" s="4">
        <f>AtlasReport_4_Table_1[[#This Row],[Quantity]]-AtlasReport_4_Table_1[[#This Row],[TPP trans backwards (Beginning)]]</f>
        <v>1002</v>
      </c>
      <c r="I56" s="4">
        <f>AtlasReport_4_Table_1[[#This Row],[Quantity]]-AtlasReport_4_Table_1[[#This Row],[TPP trans backwards (Ending)]]</f>
        <v>1002</v>
      </c>
      <c r="J56" s="4">
        <f>_xll.AtlasFormulas.AtlasFunctions.AtlasBalance("PROD",DataAreaId,"T.TPPTrans_sst|InventDimId~inventDimId@T.InventDim","Sum|CostAmount|0","","","","","","","ItemId|TransDate|T2.InventSiteId|T2.InventLocationId",$A56,PeriodBeginning,$B56,$C56)</f>
        <v>0</v>
      </c>
      <c r="K56" s="4">
        <f>_xll.AtlasFormulas.AtlasFunctions.AtlasBalance("PROD",DataAreaId,"T.TPPTrans_sst|InventDimId~inventDimId@T.InventDim","Sum|CostAmount|0","","","","","","","ItemId|TransDate|T2.InventSiteId|T2.InventLocationId",$A56,PeriodEnding,$B56,$C56)</f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trans backwards balance (Ending)]]</f>
        <v>0</v>
      </c>
    </row>
    <row r="57" spans="1:13" x14ac:dyDescent="0.25">
      <c r="A57" s="8" t="s">
        <v>56</v>
      </c>
      <c r="B57" s="8" t="s">
        <v>717</v>
      </c>
      <c r="C57" s="8" t="s">
        <v>719</v>
      </c>
      <c r="D57" s="4">
        <v>228</v>
      </c>
      <c r="E57" s="4">
        <v>0</v>
      </c>
      <c r="F57" s="4">
        <f>_xll.AtlasFormulas.AtlasFunctions.AtlasBalance("PROD",DataAreaId,"T.TPPTrans_sst|InventDimId~inventDimId@T.InventDim","Sum|Qty|0","","","","","","","ItemId|TransDate|T2.InventSiteId|T2.InventLocationId",$A57,PeriodBeginning,$B57,$C57)</f>
        <v>0</v>
      </c>
      <c r="G57" s="4">
        <f>_xll.AtlasFormulas.AtlasFunctions.AtlasBalance("PROD",DataAreaId,"T.TPPTrans_sst|InventDimId~inventDimId@T.InventDim","Sum|Qty|0","","","","","","","ItemId|TransDate|T2.InventSiteId|T2.InventLocationId",$A57,PeriodEnding,$B57,$C57)</f>
        <v>0</v>
      </c>
      <c r="H57" s="4">
        <f>AtlasReport_4_Table_1[[#This Row],[Quantity]]-AtlasReport_4_Table_1[[#This Row],[TPP trans backwards (Beginning)]]</f>
        <v>228</v>
      </c>
      <c r="I57" s="4">
        <f>AtlasReport_4_Table_1[[#This Row],[Quantity]]-AtlasReport_4_Table_1[[#This Row],[TPP trans backwards (Ending)]]</f>
        <v>228</v>
      </c>
      <c r="J57" s="4">
        <f>_xll.AtlasFormulas.AtlasFunctions.AtlasBalance("PROD",DataAreaId,"T.TPPTrans_sst|InventDimId~inventDimId@T.InventDim","Sum|CostAmount|0","","","","","","","ItemId|TransDate|T2.InventSiteId|T2.InventLocationId",$A57,PeriodBeginning,$B57,$C57)</f>
        <v>0</v>
      </c>
      <c r="K57" s="4">
        <f>_xll.AtlasFormulas.AtlasFunctions.AtlasBalance("PROD",DataAreaId,"T.TPPTrans_sst|InventDimId~inventDimId@T.InventDim","Sum|CostAmount|0","","","","","","","ItemId|TransDate|T2.InventSiteId|T2.InventLocationId",$A57,PeriodEnding,$B57,$C57)</f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trans backwards balance (Ending)]]</f>
        <v>0</v>
      </c>
    </row>
    <row r="58" spans="1:13" x14ac:dyDescent="0.25">
      <c r="A58" s="8" t="s">
        <v>56</v>
      </c>
      <c r="B58" s="8" t="s">
        <v>717</v>
      </c>
      <c r="C58" s="8" t="s">
        <v>718</v>
      </c>
      <c r="D58" s="4">
        <v>8512</v>
      </c>
      <c r="E58" s="4">
        <v>0</v>
      </c>
      <c r="F58" s="4">
        <f>_xll.AtlasFormulas.AtlasFunctions.AtlasBalance("PROD",DataAreaId,"T.TPPTrans_sst|InventDimId~inventDimId@T.InventDim","Sum|Qty|0","","","","","","","ItemId|TransDate|T2.InventSiteId|T2.InventLocationId",$A58,PeriodBeginning,$B58,$C58)</f>
        <v>0</v>
      </c>
      <c r="G58" s="4">
        <f>_xll.AtlasFormulas.AtlasFunctions.AtlasBalance("PROD",DataAreaId,"T.TPPTrans_sst|InventDimId~inventDimId@T.InventDim","Sum|Qty|0","","","","","","","ItemId|TransDate|T2.InventSiteId|T2.InventLocationId",$A58,PeriodEnding,$B58,$C58)</f>
        <v>0</v>
      </c>
      <c r="H58" s="4">
        <f>AtlasReport_4_Table_1[[#This Row],[Quantity]]-AtlasReport_4_Table_1[[#This Row],[TPP trans backwards (Beginning)]]</f>
        <v>8512</v>
      </c>
      <c r="I58" s="4">
        <f>AtlasReport_4_Table_1[[#This Row],[Quantity]]-AtlasReport_4_Table_1[[#This Row],[TPP trans backwards (Ending)]]</f>
        <v>8512</v>
      </c>
      <c r="J58" s="4">
        <f>_xll.AtlasFormulas.AtlasFunctions.AtlasBalance("PROD",DataAreaId,"T.TPPTrans_sst|InventDimId~inventDimId@T.InventDim","Sum|CostAmount|0","","","","","","","ItemId|TransDate|T2.InventSiteId|T2.InventLocationId",$A58,PeriodBeginning,$B58,$C58)</f>
        <v>0</v>
      </c>
      <c r="K58" s="4">
        <f>_xll.AtlasFormulas.AtlasFunctions.AtlasBalance("PROD",DataAreaId,"T.TPPTrans_sst|InventDimId~inventDimId@T.InventDim","Sum|CostAmount|0","","","","","","","ItemId|TransDate|T2.InventSiteId|T2.InventLocationId",$A58,PeriodEnding,$B58,$C58)</f>
        <v>0</v>
      </c>
      <c r="L58" s="4">
        <f>AtlasReport_4_Table_1[[#This Row],[TPP cost amount]]-AtlasReport_4_Table_1[[#This Row],[TPP trans backwards balance (Beginning)]]</f>
        <v>0</v>
      </c>
      <c r="M58" s="4">
        <f>AtlasReport_4_Table_1[[#This Row],[TPP cost amount]]-AtlasReport_4_Table_1[[#This Row],[TPP trans backwards balance (Ending)]]</f>
        <v>0</v>
      </c>
    </row>
    <row r="59" spans="1:13" x14ac:dyDescent="0.25">
      <c r="A59" s="8" t="s">
        <v>114</v>
      </c>
      <c r="B59" s="8" t="s">
        <v>717</v>
      </c>
      <c r="C59" s="8" t="s">
        <v>718</v>
      </c>
      <c r="D59" s="4">
        <v>1819</v>
      </c>
      <c r="E59" s="4">
        <v>0</v>
      </c>
      <c r="F59" s="4">
        <f>_xll.AtlasFormulas.AtlasFunctions.AtlasBalance("PROD",DataAreaId,"T.TPPTrans_sst|InventDimId~inventDimId@T.InventDim","Sum|Qty|0","","","","","","","ItemId|TransDate|T2.InventSiteId|T2.InventLocationId",$A59,PeriodBeginning,$B59,$C59)</f>
        <v>-100</v>
      </c>
      <c r="G59" s="4">
        <f>_xll.AtlasFormulas.AtlasFunctions.AtlasBalance("PROD",DataAreaId,"T.TPPTrans_sst|InventDimId~inventDimId@T.InventDim","Sum|Qty|0","","","","","","","ItemId|TransDate|T2.InventSiteId|T2.InventLocationId",$A59,PeriodEnding,$B59,$C59)</f>
        <v>0</v>
      </c>
      <c r="H59" s="4">
        <f>AtlasReport_4_Table_1[[#This Row],[Quantity]]-AtlasReport_4_Table_1[[#This Row],[TPP trans backwards (Beginning)]]</f>
        <v>1919</v>
      </c>
      <c r="I59" s="4">
        <f>AtlasReport_4_Table_1[[#This Row],[Quantity]]-AtlasReport_4_Table_1[[#This Row],[TPP trans backwards (Ending)]]</f>
        <v>1819</v>
      </c>
      <c r="J59" s="4">
        <f>_xll.AtlasFormulas.AtlasFunctions.AtlasBalance("PROD",DataAreaId,"T.TPPTrans_sst|InventDimId~inventDimId@T.InventDim","Sum|CostAmount|0","","","","","","","ItemId|TransDate|T2.InventSiteId|T2.InventLocationId",$A59,PeriodBeginning,$B59,$C59)</f>
        <v>0</v>
      </c>
      <c r="K59" s="4">
        <f>_xll.AtlasFormulas.AtlasFunctions.AtlasBalance("PROD",DataAreaId,"T.TPPTrans_sst|InventDimId~inventDimId@T.InventDim","Sum|CostAmount|0","","","","","","","ItemId|TransDate|T2.InventSiteId|T2.InventLocationId",$A59,PeriodEnding,$B59,$C59)</f>
        <v>0</v>
      </c>
      <c r="L59" s="4">
        <f>AtlasReport_4_Table_1[[#This Row],[TPP cost amount]]-AtlasReport_4_Table_1[[#This Row],[TPP trans backwards balance (Beginning)]]</f>
        <v>0</v>
      </c>
      <c r="M59" s="4">
        <f>AtlasReport_4_Table_1[[#This Row],[TPP cost amount]]-AtlasReport_4_Table_1[[#This Row],[TPP trans backwards balance (Ending)]]</f>
        <v>0</v>
      </c>
    </row>
    <row r="60" spans="1:13" x14ac:dyDescent="0.25">
      <c r="A60" s="8" t="s">
        <v>69</v>
      </c>
      <c r="B60" s="8" t="s">
        <v>717</v>
      </c>
      <c r="C60" s="8" t="s">
        <v>718</v>
      </c>
      <c r="D60" s="4">
        <v>4172</v>
      </c>
      <c r="E60" s="4">
        <v>0</v>
      </c>
      <c r="F60" s="4">
        <f>_xll.AtlasFormulas.AtlasFunctions.AtlasBalance("PROD",DataAreaId,"T.TPPTrans_sst|InventDimId~inventDimId@T.InventDim","Sum|Qty|0","","","","","","","ItemId|TransDate|T2.InventSiteId|T2.InventLocationId",$A60,PeriodBeginning,$B60,$C60)</f>
        <v>-200</v>
      </c>
      <c r="G60" s="4">
        <f>_xll.AtlasFormulas.AtlasFunctions.AtlasBalance("PROD",DataAreaId,"T.TPPTrans_sst|InventDimId~inventDimId@T.InventDim","Sum|Qty|0","","","","","","","ItemId|TransDate|T2.InventSiteId|T2.InventLocationId",$A60,PeriodEnding,$B60,$C60)</f>
        <v>0</v>
      </c>
      <c r="H60" s="4">
        <f>AtlasReport_4_Table_1[[#This Row],[Quantity]]-AtlasReport_4_Table_1[[#This Row],[TPP trans backwards (Beginning)]]</f>
        <v>4372</v>
      </c>
      <c r="I60" s="4">
        <f>AtlasReport_4_Table_1[[#This Row],[Quantity]]-AtlasReport_4_Table_1[[#This Row],[TPP trans backwards (Ending)]]</f>
        <v>4172</v>
      </c>
      <c r="J60" s="4">
        <f>_xll.AtlasFormulas.AtlasFunctions.AtlasBalance("PROD",DataAreaId,"T.TPPTrans_sst|InventDimId~inventDimId@T.InventDim","Sum|CostAmount|0","","","","","","","ItemId|TransDate|T2.InventSiteId|T2.InventLocationId",$A60,PeriodBeginning,$B60,$C60)</f>
        <v>0</v>
      </c>
      <c r="K60" s="4">
        <f>_xll.AtlasFormulas.AtlasFunctions.AtlasBalance("PROD",DataAreaId,"T.TPPTrans_sst|InventDimId~inventDimId@T.InventDim","Sum|CostAmount|0","","","","","","","ItemId|TransDate|T2.InventSiteId|T2.InventLocationId",$A60,PeriodEnding,$B60,$C60)</f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trans backwards balance (Ending)]]</f>
        <v>0</v>
      </c>
    </row>
    <row r="61" spans="1:13" x14ac:dyDescent="0.25">
      <c r="A61" s="8" t="s">
        <v>732</v>
      </c>
      <c r="B61" s="8" t="s">
        <v>717</v>
      </c>
      <c r="C61" s="8" t="s">
        <v>718</v>
      </c>
      <c r="D61" s="4">
        <v>1845</v>
      </c>
      <c r="E61" s="4">
        <v>0</v>
      </c>
      <c r="F61" s="4">
        <f>_xll.AtlasFormulas.AtlasFunctions.AtlasBalance("PROD",DataAreaId,"T.TPPTrans_sst|InventDimId~inventDimId@T.InventDim","Sum|Qty|0","","","","","","","ItemId|TransDate|T2.InventSiteId|T2.InventLocationId",$A61,PeriodBeginning,$B61,$C61)</f>
        <v>0</v>
      </c>
      <c r="G61" s="4">
        <f>_xll.AtlasFormulas.AtlasFunctions.AtlasBalance("PROD",DataAreaId,"T.TPPTrans_sst|InventDimId~inventDimId@T.InventDim","Sum|Qty|0","","","","","","","ItemId|TransDate|T2.InventSiteId|T2.InventLocationId",$A61,PeriodEnding,$B61,$C61)</f>
        <v>0</v>
      </c>
      <c r="H61" s="4">
        <f>AtlasReport_4_Table_1[[#This Row],[Quantity]]-AtlasReport_4_Table_1[[#This Row],[TPP trans backwards (Beginning)]]</f>
        <v>1845</v>
      </c>
      <c r="I61" s="4">
        <f>AtlasReport_4_Table_1[[#This Row],[Quantity]]-AtlasReport_4_Table_1[[#This Row],[TPP trans backwards (Ending)]]</f>
        <v>1845</v>
      </c>
      <c r="J61" s="4">
        <f>_xll.AtlasFormulas.AtlasFunctions.AtlasBalance("PROD",DataAreaId,"T.TPPTrans_sst|InventDimId~inventDimId@T.InventDim","Sum|CostAmount|0","","","","","","","ItemId|TransDate|T2.InventSiteId|T2.InventLocationId",$A61,PeriodBeginning,$B61,$C61)</f>
        <v>0</v>
      </c>
      <c r="K61" s="4">
        <f>_xll.AtlasFormulas.AtlasFunctions.AtlasBalance("PROD",DataAreaId,"T.TPPTrans_sst|InventDimId~inventDimId@T.InventDim","Sum|CostAmount|0","","","","","","","ItemId|TransDate|T2.InventSiteId|T2.InventLocationId",$A61,PeriodEnding,$B61,$C61)</f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trans backwards balance (Ending)]]</f>
        <v>0</v>
      </c>
    </row>
    <row r="62" spans="1:13" x14ac:dyDescent="0.25">
      <c r="A62" s="8" t="s">
        <v>57</v>
      </c>
      <c r="B62" s="8" t="s">
        <v>717</v>
      </c>
      <c r="C62" s="8" t="s">
        <v>718</v>
      </c>
      <c r="D62" s="4">
        <v>1644</v>
      </c>
      <c r="E62" s="4">
        <v>0</v>
      </c>
      <c r="F62" s="4">
        <f>_xll.AtlasFormulas.AtlasFunctions.AtlasBalance("PROD",DataAreaId,"T.TPPTrans_sst|InventDimId~inventDimId@T.InventDim","Sum|Qty|0","","","","","","","ItemId|TransDate|T2.InventSiteId|T2.InventLocationId",$A62,PeriodBeginning,$B62,$C62)</f>
        <v>0</v>
      </c>
      <c r="G62" s="4">
        <f>_xll.AtlasFormulas.AtlasFunctions.AtlasBalance("PROD",DataAreaId,"T.TPPTrans_sst|InventDimId~inventDimId@T.InventDim","Sum|Qty|0","","","","","","","ItemId|TransDate|T2.InventSiteId|T2.InventLocationId",$A62,PeriodEnding,$B62,$C62)</f>
        <v>0</v>
      </c>
      <c r="H62" s="4">
        <f>AtlasReport_4_Table_1[[#This Row],[Quantity]]-AtlasReport_4_Table_1[[#This Row],[TPP trans backwards (Beginning)]]</f>
        <v>1644</v>
      </c>
      <c r="I62" s="4">
        <f>AtlasReport_4_Table_1[[#This Row],[Quantity]]-AtlasReport_4_Table_1[[#This Row],[TPP trans backwards (Ending)]]</f>
        <v>1644</v>
      </c>
      <c r="J62" s="4">
        <f>_xll.AtlasFormulas.AtlasFunctions.AtlasBalance("PROD",DataAreaId,"T.TPPTrans_sst|InventDimId~inventDimId@T.InventDim","Sum|CostAmount|0","","","","","","","ItemId|TransDate|T2.InventSiteId|T2.InventLocationId",$A62,PeriodBeginning,$B62,$C62)</f>
        <v>0</v>
      </c>
      <c r="K62" s="4">
        <f>_xll.AtlasFormulas.AtlasFunctions.AtlasBalance("PROD",DataAreaId,"T.TPPTrans_sst|InventDimId~inventDimId@T.InventDim","Sum|CostAmount|0","","","","","","","ItemId|TransDate|T2.InventSiteId|T2.InventLocationId",$A62,PeriodEnding,$B62,$C62)</f>
        <v>0</v>
      </c>
      <c r="L62" s="4">
        <f>AtlasReport_4_Table_1[[#This Row],[TPP cost amount]]-AtlasReport_4_Table_1[[#This Row],[TPP trans backwards balance (Beginning)]]</f>
        <v>0</v>
      </c>
      <c r="M62" s="4">
        <f>AtlasReport_4_Table_1[[#This Row],[TPP cost amount]]-AtlasReport_4_Table_1[[#This Row],[TPP trans backwards balance (Ending)]]</f>
        <v>0</v>
      </c>
    </row>
    <row r="63" spans="1:13" x14ac:dyDescent="0.25">
      <c r="A63" s="8" t="s">
        <v>733</v>
      </c>
      <c r="B63" s="8" t="s">
        <v>717</v>
      </c>
      <c r="C63" s="8" t="s">
        <v>718</v>
      </c>
      <c r="D63" s="4">
        <v>214</v>
      </c>
      <c r="E63" s="4">
        <v>0</v>
      </c>
      <c r="F63" s="4">
        <f>_xll.AtlasFormulas.AtlasFunctions.AtlasBalance("PROD",DataAreaId,"T.TPPTrans_sst|InventDimId~inventDimId@T.InventDim","Sum|Qty|0","","","","","","","ItemId|TransDate|T2.InventSiteId|T2.InventLocationId",$A63,PeriodBeginning,$B63,$C63)</f>
        <v>0</v>
      </c>
      <c r="G63" s="4">
        <f>_xll.AtlasFormulas.AtlasFunctions.AtlasBalance("PROD",DataAreaId,"T.TPPTrans_sst|InventDimId~inventDimId@T.InventDim","Sum|Qty|0","","","","","","","ItemId|TransDate|T2.InventSiteId|T2.InventLocationId",$A63,PeriodEnding,$B63,$C63)</f>
        <v>0</v>
      </c>
      <c r="H63" s="4">
        <f>AtlasReport_4_Table_1[[#This Row],[Quantity]]-AtlasReport_4_Table_1[[#This Row],[TPP trans backwards (Beginning)]]</f>
        <v>214</v>
      </c>
      <c r="I63" s="4">
        <f>AtlasReport_4_Table_1[[#This Row],[Quantity]]-AtlasReport_4_Table_1[[#This Row],[TPP trans backwards (Ending)]]</f>
        <v>214</v>
      </c>
      <c r="J63" s="4">
        <f>_xll.AtlasFormulas.AtlasFunctions.AtlasBalance("PROD",DataAreaId,"T.TPPTrans_sst|InventDimId~inventDimId@T.InventDim","Sum|CostAmount|0","","","","","","","ItemId|TransDate|T2.InventSiteId|T2.InventLocationId",$A63,PeriodBeginning,$B63,$C63)</f>
        <v>0</v>
      </c>
      <c r="K63" s="4">
        <f>_xll.AtlasFormulas.AtlasFunctions.AtlasBalance("PROD",DataAreaId,"T.TPPTrans_sst|InventDimId~inventDimId@T.InventDim","Sum|CostAmount|0","","","","","","","ItemId|TransDate|T2.InventSiteId|T2.InventLocationId",$A63,PeriodEnding,$B63,$C63)</f>
        <v>0</v>
      </c>
      <c r="L63" s="4">
        <f>AtlasReport_4_Table_1[[#This Row],[TPP cost amount]]-AtlasReport_4_Table_1[[#This Row],[TPP trans backwards balance (Beginning)]]</f>
        <v>0</v>
      </c>
      <c r="M63" s="4">
        <f>AtlasReport_4_Table_1[[#This Row],[TPP cost amount]]-AtlasReport_4_Table_1[[#This Row],[TPP trans backwards balance (Ending)]]</f>
        <v>0</v>
      </c>
    </row>
    <row r="64" spans="1:13" x14ac:dyDescent="0.25">
      <c r="A64" s="8" t="s">
        <v>58</v>
      </c>
      <c r="B64" s="8" t="s">
        <v>717</v>
      </c>
      <c r="C64" s="8" t="s">
        <v>718</v>
      </c>
      <c r="D64" s="4">
        <v>3446</v>
      </c>
      <c r="E64" s="4">
        <v>0</v>
      </c>
      <c r="F64" s="4">
        <f>_xll.AtlasFormulas.AtlasFunctions.AtlasBalance("PROD",DataAreaId,"T.TPPTrans_sst|InventDimId~inventDimId@T.InventDim","Sum|Qty|0","","","","","","","ItemId|TransDate|T2.InventSiteId|T2.InventLocationId",$A64,PeriodBeginning,$B64,$C64)</f>
        <v>0</v>
      </c>
      <c r="G64" s="4">
        <f>_xll.AtlasFormulas.AtlasFunctions.AtlasBalance("PROD",DataAreaId,"T.TPPTrans_sst|InventDimId~inventDimId@T.InventDim","Sum|Qty|0","","","","","","","ItemId|TransDate|T2.InventSiteId|T2.InventLocationId",$A64,PeriodEnding,$B64,$C64)</f>
        <v>0</v>
      </c>
      <c r="H64" s="4">
        <f>AtlasReport_4_Table_1[[#This Row],[Quantity]]-AtlasReport_4_Table_1[[#This Row],[TPP trans backwards (Beginning)]]</f>
        <v>3446</v>
      </c>
      <c r="I64" s="4">
        <f>AtlasReport_4_Table_1[[#This Row],[Quantity]]-AtlasReport_4_Table_1[[#This Row],[TPP trans backwards (Ending)]]</f>
        <v>3446</v>
      </c>
      <c r="J64" s="4">
        <f>_xll.AtlasFormulas.AtlasFunctions.AtlasBalance("PROD",DataAreaId,"T.TPPTrans_sst|InventDimId~inventDimId@T.InventDim","Sum|CostAmount|0","","","","","","","ItemId|TransDate|T2.InventSiteId|T2.InventLocationId",$A64,PeriodBeginning,$B64,$C64)</f>
        <v>0</v>
      </c>
      <c r="K64" s="4">
        <f>_xll.AtlasFormulas.AtlasFunctions.AtlasBalance("PROD",DataAreaId,"T.TPPTrans_sst|InventDimId~inventDimId@T.InventDim","Sum|CostAmount|0","","","","","","","ItemId|TransDate|T2.InventSiteId|T2.InventLocationId",$A64,PeriodEnding,$B64,$C64)</f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trans backwards balance (Ending)]]</f>
        <v>0</v>
      </c>
    </row>
    <row r="65" spans="1:13" x14ac:dyDescent="0.25">
      <c r="A65" s="8" t="s">
        <v>23</v>
      </c>
      <c r="B65" s="8" t="s">
        <v>717</v>
      </c>
      <c r="C65" s="8" t="s">
        <v>718</v>
      </c>
      <c r="D65" s="4">
        <v>2582</v>
      </c>
      <c r="E65" s="4">
        <v>0</v>
      </c>
      <c r="F65" s="4">
        <f>_xll.AtlasFormulas.AtlasFunctions.AtlasBalance("PROD",DataAreaId,"T.TPPTrans_sst|InventDimId~inventDimId@T.InventDim","Sum|Qty|0","","","","","","","ItemId|TransDate|T2.InventSiteId|T2.InventLocationId",$A65,PeriodBeginning,$B65,$C65)</f>
        <v>0</v>
      </c>
      <c r="G65" s="4">
        <f>_xll.AtlasFormulas.AtlasFunctions.AtlasBalance("PROD",DataAreaId,"T.TPPTrans_sst|InventDimId~inventDimId@T.InventDim","Sum|Qty|0","","","","","","","ItemId|TransDate|T2.InventSiteId|T2.InventLocationId",$A65,PeriodEnding,$B65,$C65)</f>
        <v>0</v>
      </c>
      <c r="H65" s="4">
        <f>AtlasReport_4_Table_1[[#This Row],[Quantity]]-AtlasReport_4_Table_1[[#This Row],[TPP trans backwards (Beginning)]]</f>
        <v>2582</v>
      </c>
      <c r="I65" s="4">
        <f>AtlasReport_4_Table_1[[#This Row],[Quantity]]-AtlasReport_4_Table_1[[#This Row],[TPP trans backwards (Ending)]]</f>
        <v>2582</v>
      </c>
      <c r="J65" s="4">
        <f>_xll.AtlasFormulas.AtlasFunctions.AtlasBalance("PROD",DataAreaId,"T.TPPTrans_sst|InventDimId~inventDimId@T.InventDim","Sum|CostAmount|0","","","","","","","ItemId|TransDate|T2.InventSiteId|T2.InventLocationId",$A65,PeriodBeginning,$B65,$C65)</f>
        <v>0</v>
      </c>
      <c r="K65" s="4">
        <f>_xll.AtlasFormulas.AtlasFunctions.AtlasBalance("PROD",DataAreaId,"T.TPPTrans_sst|InventDimId~inventDimId@T.InventDim","Sum|CostAmount|0","","","","","","","ItemId|TransDate|T2.InventSiteId|T2.InventLocationId",$A65,PeriodEnding,$B65,$C65)</f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trans backwards balance (Ending)]]</f>
        <v>0</v>
      </c>
    </row>
    <row r="66" spans="1:13" x14ac:dyDescent="0.25">
      <c r="A66" s="8" t="s">
        <v>70</v>
      </c>
      <c r="B66" s="8" t="s">
        <v>717</v>
      </c>
      <c r="C66" s="8" t="s">
        <v>718</v>
      </c>
      <c r="D66" s="4">
        <v>1796</v>
      </c>
      <c r="E66" s="4">
        <v>0</v>
      </c>
      <c r="F66" s="4">
        <f>_xll.AtlasFormulas.AtlasFunctions.AtlasBalance("PROD",DataAreaId,"T.TPPTrans_sst|InventDimId~inventDimId@T.InventDim","Sum|Qty|0","","","","","","","ItemId|TransDate|T2.InventSiteId|T2.InventLocationId",$A66,PeriodBeginning,$B66,$C66)</f>
        <v>0</v>
      </c>
      <c r="G66" s="4">
        <f>_xll.AtlasFormulas.AtlasFunctions.AtlasBalance("PROD",DataAreaId,"T.TPPTrans_sst|InventDimId~inventDimId@T.InventDim","Sum|Qty|0","","","","","","","ItemId|TransDate|T2.InventSiteId|T2.InventLocationId",$A66,PeriodEnding,$B66,$C66)</f>
        <v>0</v>
      </c>
      <c r="H66" s="4">
        <f>AtlasReport_4_Table_1[[#This Row],[Quantity]]-AtlasReport_4_Table_1[[#This Row],[TPP trans backwards (Beginning)]]</f>
        <v>1796</v>
      </c>
      <c r="I66" s="4">
        <f>AtlasReport_4_Table_1[[#This Row],[Quantity]]-AtlasReport_4_Table_1[[#This Row],[TPP trans backwards (Ending)]]</f>
        <v>1796</v>
      </c>
      <c r="J66" s="4">
        <f>_xll.AtlasFormulas.AtlasFunctions.AtlasBalance("PROD",DataAreaId,"T.TPPTrans_sst|InventDimId~inventDimId@T.InventDim","Sum|CostAmount|0","","","","","","","ItemId|TransDate|T2.InventSiteId|T2.InventLocationId",$A66,PeriodBeginning,$B66,$C66)</f>
        <v>0</v>
      </c>
      <c r="K66" s="4">
        <f>_xll.AtlasFormulas.AtlasFunctions.AtlasBalance("PROD",DataAreaId,"T.TPPTrans_sst|InventDimId~inventDimId@T.InventDim","Sum|CostAmount|0","","","","","","","ItemId|TransDate|T2.InventSiteId|T2.InventLocationId",$A66,PeriodEnding,$B66,$C66)</f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trans backwards balance (Ending)]]</f>
        <v>0</v>
      </c>
    </row>
    <row r="67" spans="1:13" x14ac:dyDescent="0.25">
      <c r="A67" s="8" t="s">
        <v>71</v>
      </c>
      <c r="B67" s="8" t="s">
        <v>717</v>
      </c>
      <c r="C67" s="8" t="s">
        <v>718</v>
      </c>
      <c r="D67" s="4">
        <v>3468</v>
      </c>
      <c r="E67" s="4">
        <v>0</v>
      </c>
      <c r="F67" s="4">
        <f>_xll.AtlasFormulas.AtlasFunctions.AtlasBalance("PROD",DataAreaId,"T.TPPTrans_sst|InventDimId~inventDimId@T.InventDim","Sum|Qty|0","","","","","","","ItemId|TransDate|T2.InventSiteId|T2.InventLocationId",$A67,PeriodBeginning,$B67,$C67)</f>
        <v>0</v>
      </c>
      <c r="G67" s="4">
        <f>_xll.AtlasFormulas.AtlasFunctions.AtlasBalance("PROD",DataAreaId,"T.TPPTrans_sst|InventDimId~inventDimId@T.InventDim","Sum|Qty|0","","","","","","","ItemId|TransDate|T2.InventSiteId|T2.InventLocationId",$A67,PeriodEnding,$B67,$C67)</f>
        <v>0</v>
      </c>
      <c r="H67" s="4">
        <f>AtlasReport_4_Table_1[[#This Row],[Quantity]]-AtlasReport_4_Table_1[[#This Row],[TPP trans backwards (Beginning)]]</f>
        <v>3468</v>
      </c>
      <c r="I67" s="4">
        <f>AtlasReport_4_Table_1[[#This Row],[Quantity]]-AtlasReport_4_Table_1[[#This Row],[TPP trans backwards (Ending)]]</f>
        <v>3468</v>
      </c>
      <c r="J67" s="4">
        <f>_xll.AtlasFormulas.AtlasFunctions.AtlasBalance("PROD",DataAreaId,"T.TPPTrans_sst|InventDimId~inventDimId@T.InventDim","Sum|CostAmount|0","","","","","","","ItemId|TransDate|T2.InventSiteId|T2.InventLocationId",$A67,PeriodBeginning,$B67,$C67)</f>
        <v>0</v>
      </c>
      <c r="K67" s="4">
        <f>_xll.AtlasFormulas.AtlasFunctions.AtlasBalance("PROD",DataAreaId,"T.TPPTrans_sst|InventDimId~inventDimId@T.InventDim","Sum|CostAmount|0","","","","","","","ItemId|TransDate|T2.InventSiteId|T2.InventLocationId",$A67,PeriodEnding,$B67,$C67)</f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trans backwards balance (Ending)]]</f>
        <v>0</v>
      </c>
    </row>
    <row r="68" spans="1:13" x14ac:dyDescent="0.25">
      <c r="A68" s="8" t="s">
        <v>59</v>
      </c>
      <c r="B68" s="8" t="s">
        <v>717</v>
      </c>
      <c r="C68" s="8" t="s">
        <v>718</v>
      </c>
      <c r="D68" s="4">
        <v>5909</v>
      </c>
      <c r="E68" s="4">
        <v>0</v>
      </c>
      <c r="F68" s="4">
        <f>_xll.AtlasFormulas.AtlasFunctions.AtlasBalance("PROD",DataAreaId,"T.TPPTrans_sst|InventDimId~inventDimId@T.InventDim","Sum|Qty|0","","","","","","","ItemId|TransDate|T2.InventSiteId|T2.InventLocationId",$A68,PeriodBeginning,$B68,$C68)</f>
        <v>0</v>
      </c>
      <c r="G68" s="4">
        <f>_xll.AtlasFormulas.AtlasFunctions.AtlasBalance("PROD",DataAreaId,"T.TPPTrans_sst|InventDimId~inventDimId@T.InventDim","Sum|Qty|0","","","","","","","ItemId|TransDate|T2.InventSiteId|T2.InventLocationId",$A68,PeriodEnding,$B68,$C68)</f>
        <v>0</v>
      </c>
      <c r="H68" s="4">
        <f>AtlasReport_4_Table_1[[#This Row],[Quantity]]-AtlasReport_4_Table_1[[#This Row],[TPP trans backwards (Beginning)]]</f>
        <v>5909</v>
      </c>
      <c r="I68" s="4">
        <f>AtlasReport_4_Table_1[[#This Row],[Quantity]]-AtlasReport_4_Table_1[[#This Row],[TPP trans backwards (Ending)]]</f>
        <v>5909</v>
      </c>
      <c r="J68" s="4">
        <f>_xll.AtlasFormulas.AtlasFunctions.AtlasBalance("PROD",DataAreaId,"T.TPPTrans_sst|InventDimId~inventDimId@T.InventDim","Sum|CostAmount|0","","","","","","","ItemId|TransDate|T2.InventSiteId|T2.InventLocationId",$A68,PeriodBeginning,$B68,$C68)</f>
        <v>0</v>
      </c>
      <c r="K68" s="4">
        <f>_xll.AtlasFormulas.AtlasFunctions.AtlasBalance("PROD",DataAreaId,"T.TPPTrans_sst|InventDimId~inventDimId@T.InventDim","Sum|CostAmount|0","","","","","","","ItemId|TransDate|T2.InventSiteId|T2.InventLocationId",$A68,PeriodEnding,$B68,$C68)</f>
        <v>0</v>
      </c>
      <c r="L68" s="4">
        <f>AtlasReport_4_Table_1[[#This Row],[TPP cost amount]]-AtlasReport_4_Table_1[[#This Row],[TPP trans backwards balance (Beginning)]]</f>
        <v>0</v>
      </c>
      <c r="M68" s="4">
        <f>AtlasReport_4_Table_1[[#This Row],[TPP cost amount]]-AtlasReport_4_Table_1[[#This Row],[TPP trans backwards balance (Ending)]]</f>
        <v>0</v>
      </c>
    </row>
    <row r="69" spans="1:13" x14ac:dyDescent="0.25">
      <c r="A69" s="8" t="s">
        <v>60</v>
      </c>
      <c r="B69" s="8" t="s">
        <v>717</v>
      </c>
      <c r="C69" s="8" t="s">
        <v>718</v>
      </c>
      <c r="D69" s="4">
        <v>3478.1</v>
      </c>
      <c r="E69" s="4">
        <v>0</v>
      </c>
      <c r="F69" s="4">
        <f>_xll.AtlasFormulas.AtlasFunctions.AtlasBalance("PROD",DataAreaId,"T.TPPTrans_sst|InventDimId~inventDimId@T.InventDim","Sum|Qty|0","","","","","","","ItemId|TransDate|T2.InventSiteId|T2.InventLocationId",$A69,PeriodBeginning,$B69,$C69)</f>
        <v>-1000</v>
      </c>
      <c r="G69" s="4">
        <f>_xll.AtlasFormulas.AtlasFunctions.AtlasBalance("PROD",DataAreaId,"T.TPPTrans_sst|InventDimId~inventDimId@T.InventDim","Sum|Qty|0","","","","","","","ItemId|TransDate|T2.InventSiteId|T2.InventLocationId",$A69,PeriodEnding,$B69,$C69)</f>
        <v>0</v>
      </c>
      <c r="H69" s="4">
        <f>AtlasReport_4_Table_1[[#This Row],[Quantity]]-AtlasReport_4_Table_1[[#This Row],[TPP trans backwards (Beginning)]]</f>
        <v>4478.1000000000004</v>
      </c>
      <c r="I69" s="4">
        <f>AtlasReport_4_Table_1[[#This Row],[Quantity]]-AtlasReport_4_Table_1[[#This Row],[TPP trans backwards (Ending)]]</f>
        <v>3478.1</v>
      </c>
      <c r="J69" s="4">
        <f>_xll.AtlasFormulas.AtlasFunctions.AtlasBalance("PROD",DataAreaId,"T.TPPTrans_sst|InventDimId~inventDimId@T.InventDim","Sum|CostAmount|0","","","","","","","ItemId|TransDate|T2.InventSiteId|T2.InventLocationId",$A69,PeriodBeginning,$B69,$C69)</f>
        <v>0</v>
      </c>
      <c r="K69" s="4">
        <f>_xll.AtlasFormulas.AtlasFunctions.AtlasBalance("PROD",DataAreaId,"T.TPPTrans_sst|InventDimId~inventDimId@T.InventDim","Sum|CostAmount|0","","","","","","","ItemId|TransDate|T2.InventSiteId|T2.InventLocationId",$A69,PeriodEnding,$B69,$C69)</f>
        <v>0</v>
      </c>
      <c r="L69" s="4">
        <f>AtlasReport_4_Table_1[[#This Row],[TPP cost amount]]-AtlasReport_4_Table_1[[#This Row],[TPP trans backwards balance (Beginning)]]</f>
        <v>0</v>
      </c>
      <c r="M69" s="4">
        <f>AtlasReport_4_Table_1[[#This Row],[TPP cost amount]]-AtlasReport_4_Table_1[[#This Row],[TPP trans backwards balance (Ending)]]</f>
        <v>0</v>
      </c>
    </row>
    <row r="70" spans="1:13" x14ac:dyDescent="0.25">
      <c r="A70" s="8" t="s">
        <v>734</v>
      </c>
      <c r="B70" s="8" t="s">
        <v>717</v>
      </c>
      <c r="C70" s="8" t="s">
        <v>718</v>
      </c>
      <c r="D70" s="4">
        <v>50.44</v>
      </c>
      <c r="E70" s="4">
        <v>0</v>
      </c>
      <c r="F70" s="4">
        <f>_xll.AtlasFormulas.AtlasFunctions.AtlasBalance("PROD",DataAreaId,"T.TPPTrans_sst|InventDimId~inventDimId@T.InventDim","Sum|Qty|0","","","","","","","ItemId|TransDate|T2.InventSiteId|T2.InventLocationId",$A70,PeriodBeginning,$B70,$C70)</f>
        <v>24.42</v>
      </c>
      <c r="G70" s="4">
        <f>_xll.AtlasFormulas.AtlasFunctions.AtlasBalance("PROD",DataAreaId,"T.TPPTrans_sst|InventDimId~inventDimId@T.InventDim","Sum|Qty|0","","","","","","","ItemId|TransDate|T2.InventSiteId|T2.InventLocationId",$A70,PeriodEnding,$B70,$C70)</f>
        <v>0</v>
      </c>
      <c r="H70" s="4">
        <f>AtlasReport_4_Table_1[[#This Row],[Quantity]]-AtlasReport_4_Table_1[[#This Row],[TPP trans backwards (Beginning)]]</f>
        <v>26.019999999999996</v>
      </c>
      <c r="I70" s="4">
        <f>AtlasReport_4_Table_1[[#This Row],[Quantity]]-AtlasReport_4_Table_1[[#This Row],[TPP trans backwards (Ending)]]</f>
        <v>50.44</v>
      </c>
      <c r="J70" s="4">
        <f>_xll.AtlasFormulas.AtlasFunctions.AtlasBalance("PROD",DataAreaId,"T.TPPTrans_sst|InventDimId~inventDimId@T.InventDim","Sum|CostAmount|0","","","","","","","ItemId|TransDate|T2.InventSiteId|T2.InventLocationId",$A70,PeriodBeginning,$B70,$C70)</f>
        <v>0</v>
      </c>
      <c r="K70" s="4">
        <f>_xll.AtlasFormulas.AtlasFunctions.AtlasBalance("PROD",DataAreaId,"T.TPPTrans_sst|InventDimId~inventDimId@T.InventDim","Sum|CostAmount|0","","","","","","","ItemId|TransDate|T2.InventSiteId|T2.InventLocationId",$A70,PeriodEnding,$B70,$C70)</f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trans backwards balance (Ending)]]</f>
        <v>0</v>
      </c>
    </row>
    <row r="71" spans="1:13" x14ac:dyDescent="0.25">
      <c r="A71" s="8" t="s">
        <v>735</v>
      </c>
      <c r="B71" s="8" t="s">
        <v>717</v>
      </c>
      <c r="C71" s="8" t="s">
        <v>718</v>
      </c>
      <c r="D71" s="4">
        <v>17.760000000000002</v>
      </c>
      <c r="E71" s="4">
        <v>0</v>
      </c>
      <c r="F71" s="4">
        <f>_xll.AtlasFormulas.AtlasFunctions.AtlasBalance("PROD",DataAreaId,"T.TPPTrans_sst|InventDimId~inventDimId@T.InventDim","Sum|Qty|0","","","","","","","ItemId|TransDate|T2.InventSiteId|T2.InventLocationId",$A71,PeriodBeginning,$B71,$C71)</f>
        <v>-1.02</v>
      </c>
      <c r="G71" s="4">
        <f>_xll.AtlasFormulas.AtlasFunctions.AtlasBalance("PROD",DataAreaId,"T.TPPTrans_sst|InventDimId~inventDimId@T.InventDim","Sum|Qty|0","","","","","","","ItemId|TransDate|T2.InventSiteId|T2.InventLocationId",$A71,PeriodEnding,$B71,$C71)</f>
        <v>0</v>
      </c>
      <c r="H71" s="4">
        <f>AtlasReport_4_Table_1[[#This Row],[Quantity]]-AtlasReport_4_Table_1[[#This Row],[TPP trans backwards (Beginning)]]</f>
        <v>18.78</v>
      </c>
      <c r="I71" s="4">
        <f>AtlasReport_4_Table_1[[#This Row],[Quantity]]-AtlasReport_4_Table_1[[#This Row],[TPP trans backwards (Ending)]]</f>
        <v>17.760000000000002</v>
      </c>
      <c r="J71" s="4">
        <f>_xll.AtlasFormulas.AtlasFunctions.AtlasBalance("PROD",DataAreaId,"T.TPPTrans_sst|InventDimId~inventDimId@T.InventDim","Sum|CostAmount|0","","","","","","","ItemId|TransDate|T2.InventSiteId|T2.InventLocationId",$A71,PeriodBeginning,$B71,$C71)</f>
        <v>0</v>
      </c>
      <c r="K71" s="4">
        <f>_xll.AtlasFormulas.AtlasFunctions.AtlasBalance("PROD",DataAreaId,"T.TPPTrans_sst|InventDimId~inventDimId@T.InventDim","Sum|CostAmount|0","","","","","","","ItemId|TransDate|T2.InventSiteId|T2.InventLocationId",$A71,PeriodEnding,$B71,$C71)</f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trans backwards balance (Ending)]]</f>
        <v>0</v>
      </c>
    </row>
    <row r="72" spans="1:13" x14ac:dyDescent="0.25">
      <c r="A72" s="8" t="s">
        <v>679</v>
      </c>
      <c r="B72" s="8" t="s">
        <v>717</v>
      </c>
      <c r="C72" s="8" t="s">
        <v>719</v>
      </c>
      <c r="D72" s="4">
        <v>5</v>
      </c>
      <c r="E72" s="4">
        <v>21.04</v>
      </c>
      <c r="F72" s="4">
        <f>_xll.AtlasFormulas.AtlasFunctions.AtlasBalance("PROD",DataAreaId,"T.TPPTrans_sst|InventDimId~inventDimId@T.InventDim","Sum|Qty|0","","","","","","","ItemId|TransDate|T2.InventSiteId|T2.InventLocationId",$A72,PeriodBeginning,$B72,$C72)</f>
        <v>0</v>
      </c>
      <c r="G72" s="4">
        <f>_xll.AtlasFormulas.AtlasFunctions.AtlasBalance("PROD",DataAreaId,"T.TPPTrans_sst|InventDimId~inventDimId@T.InventDim","Sum|Qty|0","","","","","","","ItemId|TransDate|T2.InventSiteId|T2.InventLocationId",$A72,PeriodEnding,$B72,$C72)</f>
        <v>0</v>
      </c>
      <c r="H72" s="4">
        <f>AtlasReport_4_Table_1[[#This Row],[Quantity]]-AtlasReport_4_Table_1[[#This Row],[TPP trans backwards (Beginning)]]</f>
        <v>5</v>
      </c>
      <c r="I72" s="4">
        <f>AtlasReport_4_Table_1[[#This Row],[Quantity]]-AtlasReport_4_Table_1[[#This Row],[TPP trans backwards (Ending)]]</f>
        <v>5</v>
      </c>
      <c r="J72" s="4">
        <f>_xll.AtlasFormulas.AtlasFunctions.AtlasBalance("PROD",DataAreaId,"T.TPPTrans_sst|InventDimId~inventDimId@T.InventDim","Sum|CostAmount|0","","","","","","","ItemId|TransDate|T2.InventSiteId|T2.InventLocationId",$A72,PeriodBeginning,$B72,$C72)</f>
        <v>0</v>
      </c>
      <c r="K72" s="4">
        <f>_xll.AtlasFormulas.AtlasFunctions.AtlasBalance("PROD",DataAreaId,"T.TPPTrans_sst|InventDimId~inventDimId@T.InventDim","Sum|CostAmount|0","","","","","","","ItemId|TransDate|T2.InventSiteId|T2.InventLocationId",$A72,PeriodEnding,$B72,$C72)</f>
        <v>0</v>
      </c>
      <c r="L72" s="4">
        <f>AtlasReport_4_Table_1[[#This Row],[TPP cost amount]]-AtlasReport_4_Table_1[[#This Row],[TPP trans backwards balance (Beginning)]]</f>
        <v>21.04</v>
      </c>
      <c r="M72" s="4">
        <f>AtlasReport_4_Table_1[[#This Row],[TPP cost amount]]-AtlasReport_4_Table_1[[#This Row],[TPP trans backwards balance (Ending)]]</f>
        <v>21.04</v>
      </c>
    </row>
    <row r="73" spans="1:13" x14ac:dyDescent="0.25">
      <c r="A73" s="8" t="s">
        <v>680</v>
      </c>
      <c r="B73" s="8" t="s">
        <v>717</v>
      </c>
      <c r="C73" s="8" t="s">
        <v>719</v>
      </c>
      <c r="D73" s="4">
        <v>0</v>
      </c>
      <c r="E73" s="4">
        <v>-0.03</v>
      </c>
      <c r="F73" s="4">
        <f>_xll.AtlasFormulas.AtlasFunctions.AtlasBalance("PROD",DataAreaId,"T.TPPTrans_sst|InventDimId~inventDimId@T.InventDim","Sum|Qty|0","","","","","","","ItemId|TransDate|T2.InventSiteId|T2.InventLocationId",$A73,PeriodBeginning,$B73,$C73)</f>
        <v>0</v>
      </c>
      <c r="G73" s="4">
        <f>_xll.AtlasFormulas.AtlasFunctions.AtlasBalance("PROD",DataAreaId,"T.TPPTrans_sst|InventDimId~inventDimId@T.InventDim","Sum|Qty|0","","","","","","","ItemId|TransDate|T2.InventSiteId|T2.InventLocationId",$A73,PeriodEnding,$B73,$C73)</f>
        <v>0</v>
      </c>
      <c r="H73" s="4">
        <f>AtlasReport_4_Table_1[[#This Row],[Quantity]]-AtlasReport_4_Table_1[[#This Row],[TPP trans backwards (Beginning)]]</f>
        <v>0</v>
      </c>
      <c r="I73" s="4">
        <f>AtlasReport_4_Table_1[[#This Row],[Quantity]]-AtlasReport_4_Table_1[[#This Row],[TPP trans backwards (Ending)]]</f>
        <v>0</v>
      </c>
      <c r="J73" s="4">
        <f>_xll.AtlasFormulas.AtlasFunctions.AtlasBalance("PROD",DataAreaId,"T.TPPTrans_sst|InventDimId~inventDimId@T.InventDim","Sum|CostAmount|0","","","","","","","ItemId|TransDate|T2.InventSiteId|T2.InventLocationId",$A73,PeriodBeginning,$B73,$C73)</f>
        <v>0</v>
      </c>
      <c r="K73" s="4">
        <f>_xll.AtlasFormulas.AtlasFunctions.AtlasBalance("PROD",DataAreaId,"T.TPPTrans_sst|InventDimId~inventDimId@T.InventDim","Sum|CostAmount|0","","","","","","","ItemId|TransDate|T2.InventSiteId|T2.InventLocationId",$A73,PeriodEnding,$B73,$C73)</f>
        <v>0</v>
      </c>
      <c r="L73" s="4">
        <f>AtlasReport_4_Table_1[[#This Row],[TPP cost amount]]-AtlasReport_4_Table_1[[#This Row],[TPP trans backwards balance (Beginning)]]</f>
        <v>-0.03</v>
      </c>
      <c r="M73" s="4">
        <f>AtlasReport_4_Table_1[[#This Row],[TPP cost amount]]-AtlasReport_4_Table_1[[#This Row],[TPP trans backwards balance (Ending)]]</f>
        <v>-0.03</v>
      </c>
    </row>
    <row r="74" spans="1:13" x14ac:dyDescent="0.25">
      <c r="A74" s="8" t="s">
        <v>295</v>
      </c>
      <c r="B74" s="8" t="s">
        <v>717</v>
      </c>
      <c r="C74" s="8" t="s">
        <v>719</v>
      </c>
      <c r="D74" s="4">
        <v>2</v>
      </c>
      <c r="E74" s="4">
        <v>90.5</v>
      </c>
      <c r="F74" s="4">
        <f>_xll.AtlasFormulas.AtlasFunctions.AtlasBalance("PROD",DataAreaId,"T.TPPTrans_sst|InventDimId~inventDimId@T.InventDim","Sum|Qty|0","","","","","","","ItemId|TransDate|T2.InventSiteId|T2.InventLocationId",$A74,PeriodBeginning,$B74,$C74)</f>
        <v>0</v>
      </c>
      <c r="G74" s="4">
        <f>_xll.AtlasFormulas.AtlasFunctions.AtlasBalance("PROD",DataAreaId,"T.TPPTrans_sst|InventDimId~inventDimId@T.InventDim","Sum|Qty|0","","","","","","","ItemId|TransDate|T2.InventSiteId|T2.InventLocationId",$A74,PeriodEnding,$B74,$C74)</f>
        <v>0</v>
      </c>
      <c r="H74" s="4">
        <f>AtlasReport_4_Table_1[[#This Row],[Quantity]]-AtlasReport_4_Table_1[[#This Row],[TPP trans backwards (Beginning)]]</f>
        <v>2</v>
      </c>
      <c r="I74" s="4">
        <f>AtlasReport_4_Table_1[[#This Row],[Quantity]]-AtlasReport_4_Table_1[[#This Row],[TPP trans backwards (Ending)]]</f>
        <v>2</v>
      </c>
      <c r="J74" s="4">
        <f>_xll.AtlasFormulas.AtlasFunctions.AtlasBalance("PROD",DataAreaId,"T.TPPTrans_sst|InventDimId~inventDimId@T.InventDim","Sum|CostAmount|0","","","","","","","ItemId|TransDate|T2.InventSiteId|T2.InventLocationId",$A74,PeriodBeginning,$B74,$C74)</f>
        <v>0</v>
      </c>
      <c r="K74" s="4">
        <f>_xll.AtlasFormulas.AtlasFunctions.AtlasBalance("PROD",DataAreaId,"T.TPPTrans_sst|InventDimId~inventDimId@T.InventDim","Sum|CostAmount|0","","","","","","","ItemId|TransDate|T2.InventSiteId|T2.InventLocationId",$A74,PeriodEnding,$B74,$C74)</f>
        <v>0</v>
      </c>
      <c r="L74" s="4">
        <f>AtlasReport_4_Table_1[[#This Row],[TPP cost amount]]-AtlasReport_4_Table_1[[#This Row],[TPP trans backwards balance (Beginning)]]</f>
        <v>90.5</v>
      </c>
      <c r="M74" s="4">
        <f>AtlasReport_4_Table_1[[#This Row],[TPP cost amount]]-AtlasReport_4_Table_1[[#This Row],[TPP trans backwards balance (Ending)]]</f>
        <v>90.5</v>
      </c>
    </row>
    <row r="75" spans="1:13" x14ac:dyDescent="0.25">
      <c r="A75" s="8" t="s">
        <v>62</v>
      </c>
      <c r="B75" s="8" t="s">
        <v>717</v>
      </c>
      <c r="C75" s="8" t="s">
        <v>719</v>
      </c>
      <c r="D75" s="4">
        <v>5</v>
      </c>
      <c r="E75" s="4">
        <v>191.34</v>
      </c>
      <c r="F75" s="4">
        <f>_xll.AtlasFormulas.AtlasFunctions.AtlasBalance("PROD",DataAreaId,"T.TPPTrans_sst|InventDimId~inventDimId@T.InventDim","Sum|Qty|0","","","","","","","ItemId|TransDate|T2.InventSiteId|T2.InventLocationId",$A75,PeriodBeginning,$B75,$C75)</f>
        <v>0</v>
      </c>
      <c r="G75" s="4">
        <f>_xll.AtlasFormulas.AtlasFunctions.AtlasBalance("PROD",DataAreaId,"T.TPPTrans_sst|InventDimId~inventDimId@T.InventDim","Sum|Qty|0","","","","","","","ItemId|TransDate|T2.InventSiteId|T2.InventLocationId",$A75,PeriodEnding,$B75,$C75)</f>
        <v>0</v>
      </c>
      <c r="H75" s="4">
        <f>AtlasReport_4_Table_1[[#This Row],[Quantity]]-AtlasReport_4_Table_1[[#This Row],[TPP trans backwards (Beginning)]]</f>
        <v>5</v>
      </c>
      <c r="I75" s="4">
        <f>AtlasReport_4_Table_1[[#This Row],[Quantity]]-AtlasReport_4_Table_1[[#This Row],[TPP trans backwards (Ending)]]</f>
        <v>5</v>
      </c>
      <c r="J75" s="4">
        <f>_xll.AtlasFormulas.AtlasFunctions.AtlasBalance("PROD",DataAreaId,"T.TPPTrans_sst|InventDimId~inventDimId@T.InventDim","Sum|CostAmount|0","","","","","","","ItemId|TransDate|T2.InventSiteId|T2.InventLocationId",$A75,PeriodBeginning,$B75,$C75)</f>
        <v>0</v>
      </c>
      <c r="K75" s="4">
        <f>_xll.AtlasFormulas.AtlasFunctions.AtlasBalance("PROD",DataAreaId,"T.TPPTrans_sst|InventDimId~inventDimId@T.InventDim","Sum|CostAmount|0","","","","","","","ItemId|TransDate|T2.InventSiteId|T2.InventLocationId",$A75,PeriodEnding,$B75,$C75)</f>
        <v>0</v>
      </c>
      <c r="L75" s="4">
        <f>AtlasReport_4_Table_1[[#This Row],[TPP cost amount]]-AtlasReport_4_Table_1[[#This Row],[TPP trans backwards balance (Beginning)]]</f>
        <v>191.34</v>
      </c>
      <c r="M75" s="4">
        <f>AtlasReport_4_Table_1[[#This Row],[TPP cost amount]]-AtlasReport_4_Table_1[[#This Row],[TPP trans backwards balance (Ending)]]</f>
        <v>191.34</v>
      </c>
    </row>
    <row r="76" spans="1:13" x14ac:dyDescent="0.25">
      <c r="A76" s="8" t="s">
        <v>736</v>
      </c>
      <c r="B76" s="8" t="s">
        <v>717</v>
      </c>
      <c r="C76" s="8" t="s">
        <v>718</v>
      </c>
      <c r="D76" s="4">
        <v>1.05</v>
      </c>
      <c r="E76" s="4">
        <v>0</v>
      </c>
      <c r="F76" s="4">
        <f>_xll.AtlasFormulas.AtlasFunctions.AtlasBalance("PROD",DataAreaId,"T.TPPTrans_sst|InventDimId~inventDimId@T.InventDim","Sum|Qty|0","","","","","","","ItemId|TransDate|T2.InventSiteId|T2.InventLocationId",$A76,PeriodBeginning,$B76,$C76)</f>
        <v>-2.0299999999999998</v>
      </c>
      <c r="G76" s="4">
        <f>_xll.AtlasFormulas.AtlasFunctions.AtlasBalance("PROD",DataAreaId,"T.TPPTrans_sst|InventDimId~inventDimId@T.InventDim","Sum|Qty|0","","","","","","","ItemId|TransDate|T2.InventSiteId|T2.InventLocationId",$A76,PeriodEnding,$B76,$C76)</f>
        <v>0</v>
      </c>
      <c r="H76" s="4">
        <f>AtlasReport_4_Table_1[[#This Row],[Quantity]]-AtlasReport_4_Table_1[[#This Row],[TPP trans backwards (Beginning)]]</f>
        <v>3.08</v>
      </c>
      <c r="I76" s="4">
        <f>AtlasReport_4_Table_1[[#This Row],[Quantity]]-AtlasReport_4_Table_1[[#This Row],[TPP trans backwards (Ending)]]</f>
        <v>1.05</v>
      </c>
      <c r="J76" s="4">
        <f>_xll.AtlasFormulas.AtlasFunctions.AtlasBalance("PROD",DataAreaId,"T.TPPTrans_sst|InventDimId~inventDimId@T.InventDim","Sum|CostAmount|0","","","","","","","ItemId|TransDate|T2.InventSiteId|T2.InventLocationId",$A76,PeriodBeginning,$B76,$C76)</f>
        <v>0</v>
      </c>
      <c r="K76" s="4">
        <f>_xll.AtlasFormulas.AtlasFunctions.AtlasBalance("PROD",DataAreaId,"T.TPPTrans_sst|InventDimId~inventDimId@T.InventDim","Sum|CostAmount|0","","","","","","","ItemId|TransDate|T2.InventSiteId|T2.InventLocationId",$A76,PeriodEnding,$B76,$C76)</f>
        <v>0</v>
      </c>
      <c r="L76" s="4">
        <f>AtlasReport_4_Table_1[[#This Row],[TPP cost amount]]-AtlasReport_4_Table_1[[#This Row],[TPP trans backwards balance (Beginning)]]</f>
        <v>0</v>
      </c>
      <c r="M76" s="4">
        <f>AtlasReport_4_Table_1[[#This Row],[TPP cost amount]]-AtlasReport_4_Table_1[[#This Row],[TPP trans backwards balance (Ending)]]</f>
        <v>0</v>
      </c>
    </row>
    <row r="77" spans="1:13" x14ac:dyDescent="0.25">
      <c r="A77" s="8" t="s">
        <v>737</v>
      </c>
      <c r="B77" s="8" t="s">
        <v>717</v>
      </c>
      <c r="C77" s="8" t="s">
        <v>718</v>
      </c>
      <c r="D77" s="4">
        <v>32.25</v>
      </c>
      <c r="E77" s="4">
        <v>0</v>
      </c>
      <c r="F77" s="4">
        <f>_xll.AtlasFormulas.AtlasFunctions.AtlasBalance("PROD",DataAreaId,"T.TPPTrans_sst|InventDimId~inventDimId@T.InventDim","Sum|Qty|0","","","","","","","ItemId|TransDate|T2.InventSiteId|T2.InventLocationId",$A77,PeriodBeginning,$B77,$C77)</f>
        <v>16.5</v>
      </c>
      <c r="G77" s="4">
        <f>_xll.AtlasFormulas.AtlasFunctions.AtlasBalance("PROD",DataAreaId,"T.TPPTrans_sst|InventDimId~inventDimId@T.InventDim","Sum|Qty|0","","","","","","","ItemId|TransDate|T2.InventSiteId|T2.InventLocationId",$A77,PeriodEnding,$B77,$C77)</f>
        <v>0</v>
      </c>
      <c r="H77" s="4">
        <f>AtlasReport_4_Table_1[[#This Row],[Quantity]]-AtlasReport_4_Table_1[[#This Row],[TPP trans backwards (Beginning)]]</f>
        <v>15.75</v>
      </c>
      <c r="I77" s="4">
        <f>AtlasReport_4_Table_1[[#This Row],[Quantity]]-AtlasReport_4_Table_1[[#This Row],[TPP trans backwards (Ending)]]</f>
        <v>32.25</v>
      </c>
      <c r="J77" s="4">
        <f>_xll.AtlasFormulas.AtlasFunctions.AtlasBalance("PROD",DataAreaId,"T.TPPTrans_sst|InventDimId~inventDimId@T.InventDim","Sum|CostAmount|0","","","","","","","ItemId|TransDate|T2.InventSiteId|T2.InventLocationId",$A77,PeriodBeginning,$B77,$C77)</f>
        <v>0</v>
      </c>
      <c r="K77" s="4">
        <f>_xll.AtlasFormulas.AtlasFunctions.AtlasBalance("PROD",DataAreaId,"T.TPPTrans_sst|InventDimId~inventDimId@T.InventDim","Sum|CostAmount|0","","","","","","","ItemId|TransDate|T2.InventSiteId|T2.InventLocationId",$A77,PeriodEnding,$B77,$C77)</f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trans backwards balance (Ending)]]</f>
        <v>0</v>
      </c>
    </row>
    <row r="78" spans="1:13" x14ac:dyDescent="0.25">
      <c r="A78" s="8" t="s">
        <v>738</v>
      </c>
      <c r="B78" s="8" t="s">
        <v>717</v>
      </c>
      <c r="C78" s="8" t="s">
        <v>718</v>
      </c>
      <c r="D78" s="4">
        <v>75.53</v>
      </c>
      <c r="E78" s="4">
        <v>0</v>
      </c>
      <c r="F78" s="4">
        <f>_xll.AtlasFormulas.AtlasFunctions.AtlasBalance("PROD",DataAreaId,"T.TPPTrans_sst|InventDimId~inventDimId@T.InventDim","Sum|Qty|0","","","","","","","ItemId|TransDate|T2.InventSiteId|T2.InventLocationId",$A78,PeriodBeginning,$B78,$C78)</f>
        <v>48.55</v>
      </c>
      <c r="G78" s="4">
        <f>_xll.AtlasFormulas.AtlasFunctions.AtlasBalance("PROD",DataAreaId,"T.TPPTrans_sst|InventDimId~inventDimId@T.InventDim","Sum|Qty|0","","","","","","","ItemId|TransDate|T2.InventSiteId|T2.InventLocationId",$A78,PeriodEnding,$B78,$C78)</f>
        <v>0</v>
      </c>
      <c r="H78" s="4">
        <f>AtlasReport_4_Table_1[[#This Row],[Quantity]]-AtlasReport_4_Table_1[[#This Row],[TPP trans backwards (Beginning)]]</f>
        <v>26.980000000000004</v>
      </c>
      <c r="I78" s="4">
        <f>AtlasReport_4_Table_1[[#This Row],[Quantity]]-AtlasReport_4_Table_1[[#This Row],[TPP trans backwards (Ending)]]</f>
        <v>75.53</v>
      </c>
      <c r="J78" s="4">
        <f>_xll.AtlasFormulas.AtlasFunctions.AtlasBalance("PROD",DataAreaId,"T.TPPTrans_sst|InventDimId~inventDimId@T.InventDim","Sum|CostAmount|0","","","","","","","ItemId|TransDate|T2.InventSiteId|T2.InventLocationId",$A78,PeriodBeginning,$B78,$C78)</f>
        <v>0</v>
      </c>
      <c r="K78" s="4">
        <f>_xll.AtlasFormulas.AtlasFunctions.AtlasBalance("PROD",DataAreaId,"T.TPPTrans_sst|InventDimId~inventDimId@T.InventDim","Sum|CostAmount|0","","","","","","","ItemId|TransDate|T2.InventSiteId|T2.InventLocationId",$A78,PeriodEnding,$B78,$C78)</f>
        <v>0</v>
      </c>
      <c r="L78" s="4">
        <f>AtlasReport_4_Table_1[[#This Row],[TPP cost amount]]-AtlasReport_4_Table_1[[#This Row],[TPP trans backwards balance (Beginning)]]</f>
        <v>0</v>
      </c>
      <c r="M78" s="4">
        <f>AtlasReport_4_Table_1[[#This Row],[TPP cost amount]]-AtlasReport_4_Table_1[[#This Row],[TPP trans backwards balance (Ending)]]</f>
        <v>0</v>
      </c>
    </row>
    <row r="79" spans="1:13" x14ac:dyDescent="0.25">
      <c r="A79" s="8" t="s">
        <v>739</v>
      </c>
      <c r="B79" s="8" t="s">
        <v>717</v>
      </c>
      <c r="C79" s="8" t="s">
        <v>718</v>
      </c>
      <c r="D79" s="4">
        <v>20</v>
      </c>
      <c r="E79" s="4">
        <v>0</v>
      </c>
      <c r="F79" s="4">
        <f>_xll.AtlasFormulas.AtlasFunctions.AtlasBalance("PROD",DataAreaId,"T.TPPTrans_sst|InventDimId~inventDimId@T.InventDim","Sum|Qty|0","","","","","","","ItemId|TransDate|T2.InventSiteId|T2.InventLocationId",$A79,PeriodBeginning,$B79,$C79)</f>
        <v>0</v>
      </c>
      <c r="G79" s="4">
        <f>_xll.AtlasFormulas.AtlasFunctions.AtlasBalance("PROD",DataAreaId,"T.TPPTrans_sst|InventDimId~inventDimId@T.InventDim","Sum|Qty|0","","","","","","","ItemId|TransDate|T2.InventSiteId|T2.InventLocationId",$A79,PeriodEnding,$B79,$C79)</f>
        <v>0</v>
      </c>
      <c r="H79" s="4">
        <f>AtlasReport_4_Table_1[[#This Row],[Quantity]]-AtlasReport_4_Table_1[[#This Row],[TPP trans backwards (Beginning)]]</f>
        <v>20</v>
      </c>
      <c r="I79" s="4">
        <f>AtlasReport_4_Table_1[[#This Row],[Quantity]]-AtlasReport_4_Table_1[[#This Row],[TPP trans backwards (Ending)]]</f>
        <v>20</v>
      </c>
      <c r="J79" s="4">
        <f>_xll.AtlasFormulas.AtlasFunctions.AtlasBalance("PROD",DataAreaId,"T.TPPTrans_sst|InventDimId~inventDimId@T.InventDim","Sum|CostAmount|0","","","","","","","ItemId|TransDate|T2.InventSiteId|T2.InventLocationId",$A79,PeriodBeginning,$B79,$C79)</f>
        <v>0</v>
      </c>
      <c r="K79" s="4">
        <f>_xll.AtlasFormulas.AtlasFunctions.AtlasBalance("PROD",DataAreaId,"T.TPPTrans_sst|InventDimId~inventDimId@T.InventDim","Sum|CostAmount|0","","","","","","","ItemId|TransDate|T2.InventSiteId|T2.InventLocationId",$A79,PeriodEnding,$B79,$C79)</f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trans backwards balance (Ending)]]</f>
        <v>0</v>
      </c>
    </row>
    <row r="80" spans="1:13" x14ac:dyDescent="0.25">
      <c r="A80" s="8" t="s">
        <v>740</v>
      </c>
      <c r="B80" s="8" t="s">
        <v>717</v>
      </c>
      <c r="C80" s="8" t="s">
        <v>718</v>
      </c>
      <c r="D80" s="4">
        <v>1069</v>
      </c>
      <c r="E80" s="4">
        <v>0</v>
      </c>
      <c r="F80" s="4">
        <f>_xll.AtlasFormulas.AtlasFunctions.AtlasBalance("PROD",DataAreaId,"T.TPPTrans_sst|InventDimId~inventDimId@T.InventDim","Sum|Qty|0","","","","","","","ItemId|TransDate|T2.InventSiteId|T2.InventLocationId",$A80,PeriodBeginning,$B80,$C80)</f>
        <v>0</v>
      </c>
      <c r="G80" s="4">
        <f>_xll.AtlasFormulas.AtlasFunctions.AtlasBalance("PROD",DataAreaId,"T.TPPTrans_sst|InventDimId~inventDimId@T.InventDim","Sum|Qty|0","","","","","","","ItemId|TransDate|T2.InventSiteId|T2.InventLocationId",$A80,PeriodEnding,$B80,$C80)</f>
        <v>0</v>
      </c>
      <c r="H80" s="4">
        <f>AtlasReport_4_Table_1[[#This Row],[Quantity]]-AtlasReport_4_Table_1[[#This Row],[TPP trans backwards (Beginning)]]</f>
        <v>1069</v>
      </c>
      <c r="I80" s="4">
        <f>AtlasReport_4_Table_1[[#This Row],[Quantity]]-AtlasReport_4_Table_1[[#This Row],[TPP trans backwards (Ending)]]</f>
        <v>1069</v>
      </c>
      <c r="J80" s="4">
        <f>_xll.AtlasFormulas.AtlasFunctions.AtlasBalance("PROD",DataAreaId,"T.TPPTrans_sst|InventDimId~inventDimId@T.InventDim","Sum|CostAmount|0","","","","","","","ItemId|TransDate|T2.InventSiteId|T2.InventLocationId",$A80,PeriodBeginning,$B80,$C80)</f>
        <v>0</v>
      </c>
      <c r="K80" s="4">
        <f>_xll.AtlasFormulas.AtlasFunctions.AtlasBalance("PROD",DataAreaId,"T.TPPTrans_sst|InventDimId~inventDimId@T.InventDim","Sum|CostAmount|0","","","","","","","ItemId|TransDate|T2.InventSiteId|T2.InventLocationId",$A80,PeriodEnding,$B80,$C80)</f>
        <v>0</v>
      </c>
      <c r="L80" s="4">
        <f>AtlasReport_4_Table_1[[#This Row],[TPP cost amount]]-AtlasReport_4_Table_1[[#This Row],[TPP trans backwards balance (Beginning)]]</f>
        <v>0</v>
      </c>
      <c r="M80" s="4">
        <f>AtlasReport_4_Table_1[[#This Row],[TPP cost amount]]-AtlasReport_4_Table_1[[#This Row],[TPP trans backwards balance (Ending)]]</f>
        <v>0</v>
      </c>
    </row>
    <row r="81" spans="1:13" x14ac:dyDescent="0.25">
      <c r="A81" s="8" t="s">
        <v>741</v>
      </c>
      <c r="B81" s="8" t="s">
        <v>717</v>
      </c>
      <c r="C81" s="8" t="s">
        <v>719</v>
      </c>
      <c r="D81" s="4">
        <v>20</v>
      </c>
      <c r="E81" s="4">
        <v>110.34</v>
      </c>
      <c r="F81" s="4">
        <f>_xll.AtlasFormulas.AtlasFunctions.AtlasBalance("PROD",DataAreaId,"T.TPPTrans_sst|InventDimId~inventDimId@T.InventDim","Sum|Qty|0","","","","","","","ItemId|TransDate|T2.InventSiteId|T2.InventLocationId",$A81,PeriodBeginning,$B81,$C81)</f>
        <v>0</v>
      </c>
      <c r="G81" s="4">
        <f>_xll.AtlasFormulas.AtlasFunctions.AtlasBalance("PROD",DataAreaId,"T.TPPTrans_sst|InventDimId~inventDimId@T.InventDim","Sum|Qty|0","","","","","","","ItemId|TransDate|T2.InventSiteId|T2.InventLocationId",$A81,PeriodEnding,$B81,$C81)</f>
        <v>0</v>
      </c>
      <c r="H81" s="4">
        <f>AtlasReport_4_Table_1[[#This Row],[Quantity]]-AtlasReport_4_Table_1[[#This Row],[TPP trans backwards (Beginning)]]</f>
        <v>20</v>
      </c>
      <c r="I81" s="4">
        <f>AtlasReport_4_Table_1[[#This Row],[Quantity]]-AtlasReport_4_Table_1[[#This Row],[TPP trans backwards (Ending)]]</f>
        <v>20</v>
      </c>
      <c r="J81" s="4">
        <f>_xll.AtlasFormulas.AtlasFunctions.AtlasBalance("PROD",DataAreaId,"T.TPPTrans_sst|InventDimId~inventDimId@T.InventDim","Sum|CostAmount|0","","","","","","","ItemId|TransDate|T2.InventSiteId|T2.InventLocationId",$A81,PeriodBeginning,$B81,$C81)</f>
        <v>0</v>
      </c>
      <c r="K81" s="4">
        <f>_xll.AtlasFormulas.AtlasFunctions.AtlasBalance("PROD",DataAreaId,"T.TPPTrans_sst|InventDimId~inventDimId@T.InventDim","Sum|CostAmount|0","","","","","","","ItemId|TransDate|T2.InventSiteId|T2.InventLocationId",$A81,PeriodEnding,$B81,$C81)</f>
        <v>0</v>
      </c>
      <c r="L81" s="4">
        <f>AtlasReport_4_Table_1[[#This Row],[TPP cost amount]]-AtlasReport_4_Table_1[[#This Row],[TPP trans backwards balance (Beginning)]]</f>
        <v>110.34</v>
      </c>
      <c r="M81" s="4">
        <f>AtlasReport_4_Table_1[[#This Row],[TPP cost amount]]-AtlasReport_4_Table_1[[#This Row],[TPP trans backwards balance (Ending)]]</f>
        <v>110.34</v>
      </c>
    </row>
    <row r="82" spans="1:13" x14ac:dyDescent="0.25">
      <c r="A82" s="8" t="s">
        <v>742</v>
      </c>
      <c r="B82" s="8" t="s">
        <v>717</v>
      </c>
      <c r="C82" s="8" t="s">
        <v>718</v>
      </c>
      <c r="D82" s="4">
        <v>10</v>
      </c>
      <c r="E82" s="4">
        <v>0</v>
      </c>
      <c r="F82" s="4">
        <f>_xll.AtlasFormulas.AtlasFunctions.AtlasBalance("PROD",DataAreaId,"T.TPPTrans_sst|InventDimId~inventDimId@T.InventDim","Sum|Qty|0","","","","","","","ItemId|TransDate|T2.InventSiteId|T2.InventLocationId",$A82,PeriodBeginning,$B82,$C82)</f>
        <v>0</v>
      </c>
      <c r="G82" s="4">
        <f>_xll.AtlasFormulas.AtlasFunctions.AtlasBalance("PROD",DataAreaId,"T.TPPTrans_sst|InventDimId~inventDimId@T.InventDim","Sum|Qty|0","","","","","","","ItemId|TransDate|T2.InventSiteId|T2.InventLocationId",$A82,PeriodEnding,$B82,$C82)</f>
        <v>0</v>
      </c>
      <c r="H82" s="4">
        <f>AtlasReport_4_Table_1[[#This Row],[Quantity]]-AtlasReport_4_Table_1[[#This Row],[TPP trans backwards (Beginning)]]</f>
        <v>10</v>
      </c>
      <c r="I82" s="4">
        <f>AtlasReport_4_Table_1[[#This Row],[Quantity]]-AtlasReport_4_Table_1[[#This Row],[TPP trans backwards (Ending)]]</f>
        <v>10</v>
      </c>
      <c r="J82" s="4">
        <f>_xll.AtlasFormulas.AtlasFunctions.AtlasBalance("PROD",DataAreaId,"T.TPPTrans_sst|InventDimId~inventDimId@T.InventDim","Sum|CostAmount|0","","","","","","","ItemId|TransDate|T2.InventSiteId|T2.InventLocationId",$A82,PeriodBeginning,$B82,$C82)</f>
        <v>0</v>
      </c>
      <c r="K82" s="4">
        <f>_xll.AtlasFormulas.AtlasFunctions.AtlasBalance("PROD",DataAreaId,"T.TPPTrans_sst|InventDimId~inventDimId@T.InventDim","Sum|CostAmount|0","","","","","","","ItemId|TransDate|T2.InventSiteId|T2.InventLocationId",$A82,PeriodEnding,$B82,$C82)</f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trans backwards balance (Ending)]]</f>
        <v>0</v>
      </c>
    </row>
    <row r="83" spans="1:13" x14ac:dyDescent="0.25">
      <c r="A83" s="8" t="s">
        <v>743</v>
      </c>
      <c r="B83" s="8" t="s">
        <v>717</v>
      </c>
      <c r="C83" s="8" t="s">
        <v>718</v>
      </c>
      <c r="D83" s="4">
        <v>49</v>
      </c>
      <c r="E83" s="4">
        <v>0</v>
      </c>
      <c r="F83" s="4">
        <f>_xll.AtlasFormulas.AtlasFunctions.AtlasBalance("PROD",DataAreaId,"T.TPPTrans_sst|InventDimId~inventDimId@T.InventDim","Sum|Qty|0","","","","","","","ItemId|TransDate|T2.InventSiteId|T2.InventLocationId",$A83,PeriodBeginning,$B83,$C83)</f>
        <v>0</v>
      </c>
      <c r="G83" s="4">
        <f>_xll.AtlasFormulas.AtlasFunctions.AtlasBalance("PROD",DataAreaId,"T.TPPTrans_sst|InventDimId~inventDimId@T.InventDim","Sum|Qty|0","","","","","","","ItemId|TransDate|T2.InventSiteId|T2.InventLocationId",$A83,PeriodEnding,$B83,$C83)</f>
        <v>0</v>
      </c>
      <c r="H83" s="4">
        <f>AtlasReport_4_Table_1[[#This Row],[Quantity]]-AtlasReport_4_Table_1[[#This Row],[TPP trans backwards (Beginning)]]</f>
        <v>49</v>
      </c>
      <c r="I83" s="4">
        <f>AtlasReport_4_Table_1[[#This Row],[Quantity]]-AtlasReport_4_Table_1[[#This Row],[TPP trans backwards (Ending)]]</f>
        <v>49</v>
      </c>
      <c r="J83" s="4">
        <f>_xll.AtlasFormulas.AtlasFunctions.AtlasBalance("PROD",DataAreaId,"T.TPPTrans_sst|InventDimId~inventDimId@T.InventDim","Sum|CostAmount|0","","","","","","","ItemId|TransDate|T2.InventSiteId|T2.InventLocationId",$A83,PeriodBeginning,$B83,$C83)</f>
        <v>0</v>
      </c>
      <c r="K83" s="4">
        <f>_xll.AtlasFormulas.AtlasFunctions.AtlasBalance("PROD",DataAreaId,"T.TPPTrans_sst|InventDimId~inventDimId@T.InventDim","Sum|CostAmount|0","","","","","","","ItemId|TransDate|T2.InventSiteId|T2.InventLocationId",$A83,PeriodEnding,$B83,$C83)</f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trans backwards balance (Ending)]]</f>
        <v>0</v>
      </c>
    </row>
    <row r="84" spans="1:13" x14ac:dyDescent="0.25">
      <c r="A84" s="8" t="s">
        <v>744</v>
      </c>
      <c r="B84" s="8" t="s">
        <v>717</v>
      </c>
      <c r="C84" s="8" t="s">
        <v>718</v>
      </c>
      <c r="D84" s="4">
        <v>70</v>
      </c>
      <c r="E84" s="4">
        <v>0</v>
      </c>
      <c r="F84" s="4">
        <f>_xll.AtlasFormulas.AtlasFunctions.AtlasBalance("PROD",DataAreaId,"T.TPPTrans_sst|InventDimId~inventDimId@T.InventDim","Sum|Qty|0","","","","","","","ItemId|TransDate|T2.InventSiteId|T2.InventLocationId",$A84,PeriodBeginning,$B84,$C84)</f>
        <v>0</v>
      </c>
      <c r="G84" s="4">
        <f>_xll.AtlasFormulas.AtlasFunctions.AtlasBalance("PROD",DataAreaId,"T.TPPTrans_sst|InventDimId~inventDimId@T.InventDim","Sum|Qty|0","","","","","","","ItemId|TransDate|T2.InventSiteId|T2.InventLocationId",$A84,PeriodEnding,$B84,$C84)</f>
        <v>0</v>
      </c>
      <c r="H84" s="4">
        <f>AtlasReport_4_Table_1[[#This Row],[Quantity]]-AtlasReport_4_Table_1[[#This Row],[TPP trans backwards (Beginning)]]</f>
        <v>70</v>
      </c>
      <c r="I84" s="4">
        <f>AtlasReport_4_Table_1[[#This Row],[Quantity]]-AtlasReport_4_Table_1[[#This Row],[TPP trans backwards (Ending)]]</f>
        <v>70</v>
      </c>
      <c r="J84" s="4">
        <f>_xll.AtlasFormulas.AtlasFunctions.AtlasBalance("PROD",DataAreaId,"T.TPPTrans_sst|InventDimId~inventDimId@T.InventDim","Sum|CostAmount|0","","","","","","","ItemId|TransDate|T2.InventSiteId|T2.InventLocationId",$A84,PeriodBeginning,$B84,$C84)</f>
        <v>0</v>
      </c>
      <c r="K84" s="4">
        <f>_xll.AtlasFormulas.AtlasFunctions.AtlasBalance("PROD",DataAreaId,"T.TPPTrans_sst|InventDimId~inventDimId@T.InventDim","Sum|CostAmount|0","","","","","","","ItemId|TransDate|T2.InventSiteId|T2.InventLocationId",$A84,PeriodEnding,$B84,$C84)</f>
        <v>0</v>
      </c>
      <c r="L84" s="4">
        <f>AtlasReport_4_Table_1[[#This Row],[TPP cost amount]]-AtlasReport_4_Table_1[[#This Row],[TPP trans backwards balance (Beginning)]]</f>
        <v>0</v>
      </c>
      <c r="M84" s="4">
        <f>AtlasReport_4_Table_1[[#This Row],[TPP cost amount]]-AtlasReport_4_Table_1[[#This Row],[TPP trans backwards balance (Ending)]]</f>
        <v>0</v>
      </c>
    </row>
    <row r="85" spans="1:13" x14ac:dyDescent="0.25">
      <c r="A85" s="8" t="s">
        <v>745</v>
      </c>
      <c r="B85" s="8" t="s">
        <v>717</v>
      </c>
      <c r="C85" s="8" t="s">
        <v>718</v>
      </c>
      <c r="D85" s="4">
        <v>1284.5</v>
      </c>
      <c r="E85" s="4">
        <v>0</v>
      </c>
      <c r="F85" s="4">
        <f>_xll.AtlasFormulas.AtlasFunctions.AtlasBalance("PROD",DataAreaId,"T.TPPTrans_sst|InventDimId~inventDimId@T.InventDim","Sum|Qty|0","","","","","","","ItemId|TransDate|T2.InventSiteId|T2.InventLocationId",$A85,PeriodBeginning,$B85,$C85)</f>
        <v>-145</v>
      </c>
      <c r="G85" s="4">
        <f>_xll.AtlasFormulas.AtlasFunctions.AtlasBalance("PROD",DataAreaId,"T.TPPTrans_sst|InventDimId~inventDimId@T.InventDim","Sum|Qty|0","","","","","","","ItemId|TransDate|T2.InventSiteId|T2.InventLocationId",$A85,PeriodEnding,$B85,$C85)</f>
        <v>0</v>
      </c>
      <c r="H85" s="4">
        <f>AtlasReport_4_Table_1[[#This Row],[Quantity]]-AtlasReport_4_Table_1[[#This Row],[TPP trans backwards (Beginning)]]</f>
        <v>1429.5</v>
      </c>
      <c r="I85" s="4">
        <f>AtlasReport_4_Table_1[[#This Row],[Quantity]]-AtlasReport_4_Table_1[[#This Row],[TPP trans backwards (Ending)]]</f>
        <v>1284.5</v>
      </c>
      <c r="J85" s="4">
        <f>_xll.AtlasFormulas.AtlasFunctions.AtlasBalance("PROD",DataAreaId,"T.TPPTrans_sst|InventDimId~inventDimId@T.InventDim","Sum|CostAmount|0","","","","","","","ItemId|TransDate|T2.InventSiteId|T2.InventLocationId",$A85,PeriodBeginning,$B85,$C85)</f>
        <v>0</v>
      </c>
      <c r="K85" s="4">
        <f>_xll.AtlasFormulas.AtlasFunctions.AtlasBalance("PROD",DataAreaId,"T.TPPTrans_sst|InventDimId~inventDimId@T.InventDim","Sum|CostAmount|0","","","","","","","ItemId|TransDate|T2.InventSiteId|T2.InventLocationId",$A85,PeriodEnding,$B85,$C85)</f>
        <v>0</v>
      </c>
      <c r="L85" s="4">
        <f>AtlasReport_4_Table_1[[#This Row],[TPP cost amount]]-AtlasReport_4_Table_1[[#This Row],[TPP trans backwards balance (Beginning)]]</f>
        <v>0</v>
      </c>
      <c r="M85" s="4">
        <f>AtlasReport_4_Table_1[[#This Row],[TPP cost amount]]-AtlasReport_4_Table_1[[#This Row],[TPP trans backwards balance (Ending)]]</f>
        <v>0</v>
      </c>
    </row>
    <row r="86" spans="1:13" x14ac:dyDescent="0.25">
      <c r="A86" s="8" t="s">
        <v>63</v>
      </c>
      <c r="B86" s="8" t="s">
        <v>717</v>
      </c>
      <c r="C86" s="8" t="s">
        <v>719</v>
      </c>
      <c r="D86" s="4">
        <v>87</v>
      </c>
      <c r="E86" s="4">
        <v>341.58000000000004</v>
      </c>
      <c r="F86" s="4">
        <f>_xll.AtlasFormulas.AtlasFunctions.AtlasBalance("PROD",DataAreaId,"T.TPPTrans_sst|InventDimId~inventDimId@T.InventDim","Sum|Qty|0","","","","","","","ItemId|TransDate|T2.InventSiteId|T2.InventLocationId",$A86,PeriodBeginning,$B86,$C86)</f>
        <v>0</v>
      </c>
      <c r="G86" s="4">
        <f>_xll.AtlasFormulas.AtlasFunctions.AtlasBalance("PROD",DataAreaId,"T.TPPTrans_sst|InventDimId~inventDimId@T.InventDim","Sum|Qty|0","","","","","","","ItemId|TransDate|T2.InventSiteId|T2.InventLocationId",$A86,PeriodEnding,$B86,$C86)</f>
        <v>0</v>
      </c>
      <c r="H86" s="4">
        <f>AtlasReport_4_Table_1[[#This Row],[Quantity]]-AtlasReport_4_Table_1[[#This Row],[TPP trans backwards (Beginning)]]</f>
        <v>87</v>
      </c>
      <c r="I86" s="4">
        <f>AtlasReport_4_Table_1[[#This Row],[Quantity]]-AtlasReport_4_Table_1[[#This Row],[TPP trans backwards (Ending)]]</f>
        <v>87</v>
      </c>
      <c r="J86" s="4">
        <f>_xll.AtlasFormulas.AtlasFunctions.AtlasBalance("PROD",DataAreaId,"T.TPPTrans_sst|InventDimId~inventDimId@T.InventDim","Sum|CostAmount|0","","","","","","","ItemId|TransDate|T2.InventSiteId|T2.InventLocationId",$A86,PeriodBeginning,$B86,$C86)</f>
        <v>0</v>
      </c>
      <c r="K86" s="4">
        <f>_xll.AtlasFormulas.AtlasFunctions.AtlasBalance("PROD",DataAreaId,"T.TPPTrans_sst|InventDimId~inventDimId@T.InventDim","Sum|CostAmount|0","","","","","","","ItemId|TransDate|T2.InventSiteId|T2.InventLocationId",$A86,PeriodEnding,$B86,$C86)</f>
        <v>0</v>
      </c>
      <c r="L86" s="4">
        <f>AtlasReport_4_Table_1[[#This Row],[TPP cost amount]]-AtlasReport_4_Table_1[[#This Row],[TPP trans backwards balance (Beginning)]]</f>
        <v>341.58000000000004</v>
      </c>
      <c r="M86" s="4">
        <f>AtlasReport_4_Table_1[[#This Row],[TPP cost amount]]-AtlasReport_4_Table_1[[#This Row],[TPP trans backwards balance (Ending)]]</f>
        <v>341.58000000000004</v>
      </c>
    </row>
    <row r="87" spans="1:13" x14ac:dyDescent="0.25">
      <c r="A87" s="8" t="s">
        <v>63</v>
      </c>
      <c r="B87" s="8" t="s">
        <v>717</v>
      </c>
      <c r="C87" s="8" t="s">
        <v>718</v>
      </c>
      <c r="D87" s="4">
        <v>0</v>
      </c>
      <c r="E87" s="4">
        <v>0</v>
      </c>
      <c r="F87" s="4">
        <f>_xll.AtlasFormulas.AtlasFunctions.AtlasBalance("PROD",DataAreaId,"T.TPPTrans_sst|InventDimId~inventDimId@T.InventDim","Sum|Qty|0","","","","","","","ItemId|TransDate|T2.InventSiteId|T2.InventLocationId",$A87,PeriodBeginning,$B87,$C87)</f>
        <v>0</v>
      </c>
      <c r="G87" s="4">
        <f>_xll.AtlasFormulas.AtlasFunctions.AtlasBalance("PROD",DataAreaId,"T.TPPTrans_sst|InventDimId~inventDimId@T.InventDim","Sum|Qty|0","","","","","","","ItemId|TransDate|T2.InventSiteId|T2.InventLocationId",$A87,PeriodEnding,$B87,$C87)</f>
        <v>0</v>
      </c>
      <c r="H87" s="4">
        <f>AtlasReport_4_Table_1[[#This Row],[Quantity]]-AtlasReport_4_Table_1[[#This Row],[TPP trans backwards (Beginning)]]</f>
        <v>0</v>
      </c>
      <c r="I87" s="4">
        <f>AtlasReport_4_Table_1[[#This Row],[Quantity]]-AtlasReport_4_Table_1[[#This Row],[TPP trans backwards (Ending)]]</f>
        <v>0</v>
      </c>
      <c r="J87" s="4">
        <f>_xll.AtlasFormulas.AtlasFunctions.AtlasBalance("PROD",DataAreaId,"T.TPPTrans_sst|InventDimId~inventDimId@T.InventDim","Sum|CostAmount|0","","","","","","","ItemId|TransDate|T2.InventSiteId|T2.InventLocationId",$A87,PeriodBeginning,$B87,$C87)</f>
        <v>0</v>
      </c>
      <c r="K87" s="4">
        <f>_xll.AtlasFormulas.AtlasFunctions.AtlasBalance("PROD",DataAreaId,"T.TPPTrans_sst|InventDimId~inventDimId@T.InventDim","Sum|CostAmount|0","","","","","","","ItemId|TransDate|T2.InventSiteId|T2.InventLocationId",$A87,PeriodEnding,$B87,$C87)</f>
        <v>0</v>
      </c>
      <c r="L87" s="4">
        <f>AtlasReport_4_Table_1[[#This Row],[TPP cost amount]]-AtlasReport_4_Table_1[[#This Row],[TPP trans backwards balance (Beginning)]]</f>
        <v>0</v>
      </c>
      <c r="M87" s="4">
        <f>AtlasReport_4_Table_1[[#This Row],[TPP cost amount]]-AtlasReport_4_Table_1[[#This Row],[TPP trans backwards balance (Ending)]]</f>
        <v>0</v>
      </c>
    </row>
    <row r="88" spans="1:13" x14ac:dyDescent="0.25">
      <c r="A88" s="8" t="s">
        <v>746</v>
      </c>
      <c r="B88" s="8" t="s">
        <v>717</v>
      </c>
      <c r="C88" s="8" t="s">
        <v>718</v>
      </c>
      <c r="D88" s="4">
        <v>9.5</v>
      </c>
      <c r="E88" s="4">
        <v>0</v>
      </c>
      <c r="F88" s="4">
        <f>_xll.AtlasFormulas.AtlasFunctions.AtlasBalance("PROD",DataAreaId,"T.TPPTrans_sst|InventDimId~inventDimId@T.InventDim","Sum|Qty|0","","","","","","","ItemId|TransDate|T2.InventSiteId|T2.InventLocationId",$A88,PeriodBeginning,$B88,$C88)</f>
        <v>0</v>
      </c>
      <c r="G88" s="4">
        <f>_xll.AtlasFormulas.AtlasFunctions.AtlasBalance("PROD",DataAreaId,"T.TPPTrans_sst|InventDimId~inventDimId@T.InventDim","Sum|Qty|0","","","","","","","ItemId|TransDate|T2.InventSiteId|T2.InventLocationId",$A88,PeriodEnding,$B88,$C88)</f>
        <v>0</v>
      </c>
      <c r="H88" s="4">
        <f>AtlasReport_4_Table_1[[#This Row],[Quantity]]-AtlasReport_4_Table_1[[#This Row],[TPP trans backwards (Beginning)]]</f>
        <v>9.5</v>
      </c>
      <c r="I88" s="4">
        <f>AtlasReport_4_Table_1[[#This Row],[Quantity]]-AtlasReport_4_Table_1[[#This Row],[TPP trans backwards (Ending)]]</f>
        <v>9.5</v>
      </c>
      <c r="J88" s="4">
        <f>_xll.AtlasFormulas.AtlasFunctions.AtlasBalance("PROD",DataAreaId,"T.TPPTrans_sst|InventDimId~inventDimId@T.InventDim","Sum|CostAmount|0","","","","","","","ItemId|TransDate|T2.InventSiteId|T2.InventLocationId",$A88,PeriodBeginning,$B88,$C88)</f>
        <v>0</v>
      </c>
      <c r="K88" s="4">
        <f>_xll.AtlasFormulas.AtlasFunctions.AtlasBalance("PROD",DataAreaId,"T.TPPTrans_sst|InventDimId~inventDimId@T.InventDim","Sum|CostAmount|0","","","","","","","ItemId|TransDate|T2.InventSiteId|T2.InventLocationId",$A88,PeriodEnding,$B88,$C88)</f>
        <v>0</v>
      </c>
      <c r="L88" s="4">
        <f>AtlasReport_4_Table_1[[#This Row],[TPP cost amount]]-AtlasReport_4_Table_1[[#This Row],[TPP trans backwards balance (Beginning)]]</f>
        <v>0</v>
      </c>
      <c r="M88" s="4">
        <f>AtlasReport_4_Table_1[[#This Row],[TPP cost amount]]-AtlasReport_4_Table_1[[#This Row],[TPP trans backwards balance (Ending)]]</f>
        <v>0</v>
      </c>
    </row>
    <row r="89" spans="1:13" x14ac:dyDescent="0.25">
      <c r="A89" s="8" t="s">
        <v>747</v>
      </c>
      <c r="B89" s="8" t="s">
        <v>717</v>
      </c>
      <c r="C89" s="8" t="s">
        <v>718</v>
      </c>
      <c r="D89" s="4">
        <v>4752.41</v>
      </c>
      <c r="E89" s="4">
        <v>0</v>
      </c>
      <c r="F89" s="4">
        <f>_xll.AtlasFormulas.AtlasFunctions.AtlasBalance("PROD",DataAreaId,"T.TPPTrans_sst|InventDimId~inventDimId@T.InventDim","Sum|Qty|0","","","","","","","ItemId|TransDate|T2.InventSiteId|T2.InventLocationId",$A89,PeriodBeginning,$B89,$C89)</f>
        <v>1740</v>
      </c>
      <c r="G89" s="4">
        <f>_xll.AtlasFormulas.AtlasFunctions.AtlasBalance("PROD",DataAreaId,"T.TPPTrans_sst|InventDimId~inventDimId@T.InventDim","Sum|Qty|0","","","","","","","ItemId|TransDate|T2.InventSiteId|T2.InventLocationId",$A89,PeriodEnding,$B89,$C89)</f>
        <v>0</v>
      </c>
      <c r="H89" s="4">
        <f>AtlasReport_4_Table_1[[#This Row],[Quantity]]-AtlasReport_4_Table_1[[#This Row],[TPP trans backwards (Beginning)]]</f>
        <v>3012.41</v>
      </c>
      <c r="I89" s="4">
        <f>AtlasReport_4_Table_1[[#This Row],[Quantity]]-AtlasReport_4_Table_1[[#This Row],[TPP trans backwards (Ending)]]</f>
        <v>4752.41</v>
      </c>
      <c r="J89" s="4">
        <f>_xll.AtlasFormulas.AtlasFunctions.AtlasBalance("PROD",DataAreaId,"T.TPPTrans_sst|InventDimId~inventDimId@T.InventDim","Sum|CostAmount|0","","","","","","","ItemId|TransDate|T2.InventSiteId|T2.InventLocationId",$A89,PeriodBeginning,$B89,$C89)</f>
        <v>0</v>
      </c>
      <c r="K89" s="4">
        <f>_xll.AtlasFormulas.AtlasFunctions.AtlasBalance("PROD",DataAreaId,"T.TPPTrans_sst|InventDimId~inventDimId@T.InventDim","Sum|CostAmount|0","","","","","","","ItemId|TransDate|T2.InventSiteId|T2.InventLocationId",$A89,PeriodEnding,$B89,$C89)</f>
        <v>0</v>
      </c>
      <c r="L89" s="4">
        <f>AtlasReport_4_Table_1[[#This Row],[TPP cost amount]]-AtlasReport_4_Table_1[[#This Row],[TPP trans backwards balance (Beginning)]]</f>
        <v>0</v>
      </c>
      <c r="M89" s="4">
        <f>AtlasReport_4_Table_1[[#This Row],[TPP cost amount]]-AtlasReport_4_Table_1[[#This Row],[TPP trans backwards balance (Ending)]]</f>
        <v>0</v>
      </c>
    </row>
    <row r="90" spans="1:13" x14ac:dyDescent="0.25">
      <c r="A90" s="8" t="s">
        <v>748</v>
      </c>
      <c r="B90" s="8" t="s">
        <v>717</v>
      </c>
      <c r="C90" s="8" t="s">
        <v>718</v>
      </c>
      <c r="D90" s="4">
        <v>72.52</v>
      </c>
      <c r="E90" s="4">
        <v>0</v>
      </c>
      <c r="F90" s="4">
        <f>_xll.AtlasFormulas.AtlasFunctions.AtlasBalance("PROD",DataAreaId,"T.TPPTrans_sst|InventDimId~inventDimId@T.InventDim","Sum|Qty|0","","","","","","","ItemId|TransDate|T2.InventSiteId|T2.InventLocationId",$A90,PeriodBeginning,$B90,$C90)</f>
        <v>0</v>
      </c>
      <c r="G90" s="4">
        <f>_xll.AtlasFormulas.AtlasFunctions.AtlasBalance("PROD",DataAreaId,"T.TPPTrans_sst|InventDimId~inventDimId@T.InventDim","Sum|Qty|0","","","","","","","ItemId|TransDate|T2.InventSiteId|T2.InventLocationId",$A90,PeriodEnding,$B90,$C90)</f>
        <v>0</v>
      </c>
      <c r="H90" s="4">
        <f>AtlasReport_4_Table_1[[#This Row],[Quantity]]-AtlasReport_4_Table_1[[#This Row],[TPP trans backwards (Beginning)]]</f>
        <v>72.52</v>
      </c>
      <c r="I90" s="4">
        <f>AtlasReport_4_Table_1[[#This Row],[Quantity]]-AtlasReport_4_Table_1[[#This Row],[TPP trans backwards (Ending)]]</f>
        <v>72.52</v>
      </c>
      <c r="J90" s="4">
        <f>_xll.AtlasFormulas.AtlasFunctions.AtlasBalance("PROD",DataAreaId,"T.TPPTrans_sst|InventDimId~inventDimId@T.InventDim","Sum|CostAmount|0","","","","","","","ItemId|TransDate|T2.InventSiteId|T2.InventLocationId",$A90,PeriodBeginning,$B90,$C90)</f>
        <v>0</v>
      </c>
      <c r="K90" s="4">
        <f>_xll.AtlasFormulas.AtlasFunctions.AtlasBalance("PROD",DataAreaId,"T.TPPTrans_sst|InventDimId~inventDimId@T.InventDim","Sum|CostAmount|0","","","","","","","ItemId|TransDate|T2.InventSiteId|T2.InventLocationId",$A90,PeriodEnding,$B90,$C90)</f>
        <v>0</v>
      </c>
      <c r="L90" s="4">
        <f>AtlasReport_4_Table_1[[#This Row],[TPP cost amount]]-AtlasReport_4_Table_1[[#This Row],[TPP trans backwards balance (Beginning)]]</f>
        <v>0</v>
      </c>
      <c r="M90" s="4">
        <f>AtlasReport_4_Table_1[[#This Row],[TPP cost amount]]-AtlasReport_4_Table_1[[#This Row],[TPP trans backwards balance (Ending)]]</f>
        <v>0</v>
      </c>
    </row>
    <row r="91" spans="1:13" x14ac:dyDescent="0.25">
      <c r="A91" s="8" t="s">
        <v>749</v>
      </c>
      <c r="B91" s="8" t="s">
        <v>717</v>
      </c>
      <c r="C91" s="8" t="s">
        <v>718</v>
      </c>
      <c r="D91" s="4">
        <v>48.9</v>
      </c>
      <c r="E91" s="4">
        <v>0</v>
      </c>
      <c r="F91" s="4">
        <f>_xll.AtlasFormulas.AtlasFunctions.AtlasBalance("PROD",DataAreaId,"T.TPPTrans_sst|InventDimId~inventDimId@T.InventDim","Sum|Qty|0","","","","","","","ItemId|TransDate|T2.InventSiteId|T2.InventLocationId",$A91,PeriodBeginning,$B91,$C91)</f>
        <v>0</v>
      </c>
      <c r="G91" s="4">
        <f>_xll.AtlasFormulas.AtlasFunctions.AtlasBalance("PROD",DataAreaId,"T.TPPTrans_sst|InventDimId~inventDimId@T.InventDim","Sum|Qty|0","","","","","","","ItemId|TransDate|T2.InventSiteId|T2.InventLocationId",$A91,PeriodEnding,$B91,$C91)</f>
        <v>0</v>
      </c>
      <c r="H91" s="4">
        <f>AtlasReport_4_Table_1[[#This Row],[Quantity]]-AtlasReport_4_Table_1[[#This Row],[TPP trans backwards (Beginning)]]</f>
        <v>48.9</v>
      </c>
      <c r="I91" s="4">
        <f>AtlasReport_4_Table_1[[#This Row],[Quantity]]-AtlasReport_4_Table_1[[#This Row],[TPP trans backwards (Ending)]]</f>
        <v>48.9</v>
      </c>
      <c r="J91" s="4">
        <f>_xll.AtlasFormulas.AtlasFunctions.AtlasBalance("PROD",DataAreaId,"T.TPPTrans_sst|InventDimId~inventDimId@T.InventDim","Sum|CostAmount|0","","","","","","","ItemId|TransDate|T2.InventSiteId|T2.InventLocationId",$A91,PeriodBeginning,$B91,$C91)</f>
        <v>0</v>
      </c>
      <c r="K91" s="4">
        <f>_xll.AtlasFormulas.AtlasFunctions.AtlasBalance("PROD",DataAreaId,"T.TPPTrans_sst|InventDimId~inventDimId@T.InventDim","Sum|CostAmount|0","","","","","","","ItemId|TransDate|T2.InventSiteId|T2.InventLocationId",$A91,PeriodEnding,$B91,$C91)</f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trans backwards balance (Ending)]]</f>
        <v>0</v>
      </c>
    </row>
    <row r="92" spans="1:13" x14ac:dyDescent="0.25">
      <c r="A92" s="8" t="s">
        <v>750</v>
      </c>
      <c r="B92" s="8" t="s">
        <v>717</v>
      </c>
      <c r="C92" s="8" t="s">
        <v>718</v>
      </c>
      <c r="D92" s="4">
        <v>10</v>
      </c>
      <c r="E92" s="4">
        <v>0</v>
      </c>
      <c r="F92" s="4">
        <f>_xll.AtlasFormulas.AtlasFunctions.AtlasBalance("PROD",DataAreaId,"T.TPPTrans_sst|InventDimId~inventDimId@T.InventDim","Sum|Qty|0","","","","","","","ItemId|TransDate|T2.InventSiteId|T2.InventLocationId",$A92,PeriodBeginning,$B92,$C92)</f>
        <v>0</v>
      </c>
      <c r="G92" s="4">
        <f>_xll.AtlasFormulas.AtlasFunctions.AtlasBalance("PROD",DataAreaId,"T.TPPTrans_sst|InventDimId~inventDimId@T.InventDim","Sum|Qty|0","","","","","","","ItemId|TransDate|T2.InventSiteId|T2.InventLocationId",$A92,PeriodEnding,$B92,$C92)</f>
        <v>0</v>
      </c>
      <c r="H92" s="4">
        <f>AtlasReport_4_Table_1[[#This Row],[Quantity]]-AtlasReport_4_Table_1[[#This Row],[TPP trans backwards (Beginning)]]</f>
        <v>10</v>
      </c>
      <c r="I92" s="4">
        <f>AtlasReport_4_Table_1[[#This Row],[Quantity]]-AtlasReport_4_Table_1[[#This Row],[TPP trans backwards (Ending)]]</f>
        <v>10</v>
      </c>
      <c r="J92" s="4">
        <f>_xll.AtlasFormulas.AtlasFunctions.AtlasBalance("PROD",DataAreaId,"T.TPPTrans_sst|InventDimId~inventDimId@T.InventDim","Sum|CostAmount|0","","","","","","","ItemId|TransDate|T2.InventSiteId|T2.InventLocationId",$A92,PeriodBeginning,$B92,$C92)</f>
        <v>0</v>
      </c>
      <c r="K92" s="4">
        <f>_xll.AtlasFormulas.AtlasFunctions.AtlasBalance("PROD",DataAreaId,"T.TPPTrans_sst|InventDimId~inventDimId@T.InventDim","Sum|CostAmount|0","","","","","","","ItemId|TransDate|T2.InventSiteId|T2.InventLocationId",$A92,PeriodEnding,$B92,$C92)</f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trans backwards balance (Ending)]]</f>
        <v>0</v>
      </c>
    </row>
    <row r="93" spans="1:13" x14ac:dyDescent="0.25">
      <c r="A93" s="8" t="s">
        <v>751</v>
      </c>
      <c r="B93" s="8" t="s">
        <v>717</v>
      </c>
      <c r="C93" s="8" t="s">
        <v>719</v>
      </c>
      <c r="D93" s="4">
        <v>0</v>
      </c>
      <c r="E93" s="4">
        <v>0</v>
      </c>
      <c r="F93" s="4">
        <f>_xll.AtlasFormulas.AtlasFunctions.AtlasBalance("PROD",DataAreaId,"T.TPPTrans_sst|InventDimId~inventDimId@T.InventDim","Sum|Qty|0","","","","","","","ItemId|TransDate|T2.InventSiteId|T2.InventLocationId",$A93,PeriodBeginning,$B93,$C93)</f>
        <v>0</v>
      </c>
      <c r="G93" s="4">
        <f>_xll.AtlasFormulas.AtlasFunctions.AtlasBalance("PROD",DataAreaId,"T.TPPTrans_sst|InventDimId~inventDimId@T.InventDim","Sum|Qty|0","","","","","","","ItemId|TransDate|T2.InventSiteId|T2.InventLocationId",$A93,PeriodEnding,$B93,$C93)</f>
        <v>0</v>
      </c>
      <c r="H93" s="4">
        <f>AtlasReport_4_Table_1[[#This Row],[Quantity]]-AtlasReport_4_Table_1[[#This Row],[TPP trans backwards (Beginning)]]</f>
        <v>0</v>
      </c>
      <c r="I93" s="4">
        <f>AtlasReport_4_Table_1[[#This Row],[Quantity]]-AtlasReport_4_Table_1[[#This Row],[TPP trans backwards (Ending)]]</f>
        <v>0</v>
      </c>
      <c r="J93" s="4">
        <f>_xll.AtlasFormulas.AtlasFunctions.AtlasBalance("PROD",DataAreaId,"T.TPPTrans_sst|InventDimId~inventDimId@T.InventDim","Sum|CostAmount|0","","","","","","","ItemId|TransDate|T2.InventSiteId|T2.InventLocationId",$A93,PeriodBeginning,$B93,$C93)</f>
        <v>0</v>
      </c>
      <c r="K93" s="4">
        <f>_xll.AtlasFormulas.AtlasFunctions.AtlasBalance("PROD",DataAreaId,"T.TPPTrans_sst|InventDimId~inventDimId@T.InventDim","Sum|CostAmount|0","","","","","","","ItemId|TransDate|T2.InventSiteId|T2.InventLocationId",$A93,PeriodEnding,$B93,$C93)</f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trans backwards balance (Ending)]]</f>
        <v>0</v>
      </c>
    </row>
    <row r="94" spans="1:13" x14ac:dyDescent="0.25">
      <c r="A94" s="8" t="s">
        <v>64</v>
      </c>
      <c r="B94" s="8" t="s">
        <v>717</v>
      </c>
      <c r="C94" s="8" t="s">
        <v>719</v>
      </c>
      <c r="D94" s="4">
        <v>56</v>
      </c>
      <c r="E94" s="4">
        <v>297.34000000000003</v>
      </c>
      <c r="F94" s="4">
        <f>_xll.AtlasFormulas.AtlasFunctions.AtlasBalance("PROD",DataAreaId,"T.TPPTrans_sst|InventDimId~inventDimId@T.InventDim","Sum|Qty|0","","","","","","","ItemId|TransDate|T2.InventSiteId|T2.InventLocationId",$A94,PeriodBeginning,$B94,$C94)</f>
        <v>0</v>
      </c>
      <c r="G94" s="4">
        <f>_xll.AtlasFormulas.AtlasFunctions.AtlasBalance("PROD",DataAreaId,"T.TPPTrans_sst|InventDimId~inventDimId@T.InventDim","Sum|Qty|0","","","","","","","ItemId|TransDate|T2.InventSiteId|T2.InventLocationId",$A94,PeriodEnding,$B94,$C94)</f>
        <v>0</v>
      </c>
      <c r="H94" s="4">
        <f>AtlasReport_4_Table_1[[#This Row],[Quantity]]-AtlasReport_4_Table_1[[#This Row],[TPP trans backwards (Beginning)]]</f>
        <v>56</v>
      </c>
      <c r="I94" s="4">
        <f>AtlasReport_4_Table_1[[#This Row],[Quantity]]-AtlasReport_4_Table_1[[#This Row],[TPP trans backwards (Ending)]]</f>
        <v>56</v>
      </c>
      <c r="J94" s="4">
        <f>_xll.AtlasFormulas.AtlasFunctions.AtlasBalance("PROD",DataAreaId,"T.TPPTrans_sst|InventDimId~inventDimId@T.InventDim","Sum|CostAmount|0","","","","","","","ItemId|TransDate|T2.InventSiteId|T2.InventLocationId",$A94,PeriodBeginning,$B94,$C94)</f>
        <v>0</v>
      </c>
      <c r="K94" s="4">
        <f>_xll.AtlasFormulas.AtlasFunctions.AtlasBalance("PROD",DataAreaId,"T.TPPTrans_sst|InventDimId~inventDimId@T.InventDim","Sum|CostAmount|0","","","","","","","ItemId|TransDate|T2.InventSiteId|T2.InventLocationId",$A94,PeriodEnding,$B94,$C94)</f>
        <v>0</v>
      </c>
      <c r="L94" s="4">
        <f>AtlasReport_4_Table_1[[#This Row],[TPP cost amount]]-AtlasReport_4_Table_1[[#This Row],[TPP trans backwards balance (Beginning)]]</f>
        <v>297.34000000000003</v>
      </c>
      <c r="M94" s="4">
        <f>AtlasReport_4_Table_1[[#This Row],[TPP cost amount]]-AtlasReport_4_Table_1[[#This Row],[TPP trans backwards balance (Ending)]]</f>
        <v>297.34000000000003</v>
      </c>
    </row>
    <row r="95" spans="1:13" x14ac:dyDescent="0.25">
      <c r="A95" s="8" t="s">
        <v>64</v>
      </c>
      <c r="B95" s="8" t="s">
        <v>717</v>
      </c>
      <c r="C95" s="8" t="s">
        <v>718</v>
      </c>
      <c r="D95" s="4">
        <v>0</v>
      </c>
      <c r="E95" s="4">
        <v>0</v>
      </c>
      <c r="F95" s="4">
        <f>_xll.AtlasFormulas.AtlasFunctions.AtlasBalance("PROD",DataAreaId,"T.TPPTrans_sst|InventDimId~inventDimId@T.InventDim","Sum|Qty|0","","","","","","","ItemId|TransDate|T2.InventSiteId|T2.InventLocationId",$A95,PeriodBeginning,$B95,$C95)</f>
        <v>0</v>
      </c>
      <c r="G95" s="4">
        <f>_xll.AtlasFormulas.AtlasFunctions.AtlasBalance("PROD",DataAreaId,"T.TPPTrans_sst|InventDimId~inventDimId@T.InventDim","Sum|Qty|0","","","","","","","ItemId|TransDate|T2.InventSiteId|T2.InventLocationId",$A95,PeriodEnding,$B95,$C95)</f>
        <v>0</v>
      </c>
      <c r="H95" s="4">
        <f>AtlasReport_4_Table_1[[#This Row],[Quantity]]-AtlasReport_4_Table_1[[#This Row],[TPP trans backwards (Beginning)]]</f>
        <v>0</v>
      </c>
      <c r="I95" s="4">
        <f>AtlasReport_4_Table_1[[#This Row],[Quantity]]-AtlasReport_4_Table_1[[#This Row],[TPP trans backwards (Ending)]]</f>
        <v>0</v>
      </c>
      <c r="J95" s="4">
        <f>_xll.AtlasFormulas.AtlasFunctions.AtlasBalance("PROD",DataAreaId,"T.TPPTrans_sst|InventDimId~inventDimId@T.InventDim","Sum|CostAmount|0","","","","","","","ItemId|TransDate|T2.InventSiteId|T2.InventLocationId",$A95,PeriodBeginning,$B95,$C95)</f>
        <v>0</v>
      </c>
      <c r="K95" s="4">
        <f>_xll.AtlasFormulas.AtlasFunctions.AtlasBalance("PROD",DataAreaId,"T.TPPTrans_sst|InventDimId~inventDimId@T.InventDim","Sum|CostAmount|0","","","","","","","ItemId|TransDate|T2.InventSiteId|T2.InventLocationId",$A95,PeriodEnding,$B95,$C95)</f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trans backwards balance (Ending)]]</f>
        <v>0</v>
      </c>
    </row>
    <row r="96" spans="1:13" x14ac:dyDescent="0.25">
      <c r="A96" s="8" t="s">
        <v>109</v>
      </c>
      <c r="B96" s="8" t="s">
        <v>717</v>
      </c>
      <c r="C96" s="8" t="s">
        <v>719</v>
      </c>
      <c r="D96" s="4">
        <v>6</v>
      </c>
      <c r="E96" s="4">
        <v>44.03</v>
      </c>
      <c r="F96" s="4">
        <f>_xll.AtlasFormulas.AtlasFunctions.AtlasBalance("PROD",DataAreaId,"T.TPPTrans_sst|InventDimId~inventDimId@T.InventDim","Sum|Qty|0","","","","","","","ItemId|TransDate|T2.InventSiteId|T2.InventLocationId",$A96,PeriodBeginning,$B96,$C96)</f>
        <v>0</v>
      </c>
      <c r="G96" s="4">
        <f>_xll.AtlasFormulas.AtlasFunctions.AtlasBalance("PROD",DataAreaId,"T.TPPTrans_sst|InventDimId~inventDimId@T.InventDim","Sum|Qty|0","","","","","","","ItemId|TransDate|T2.InventSiteId|T2.InventLocationId",$A96,PeriodEnding,$B96,$C96)</f>
        <v>0</v>
      </c>
      <c r="H96" s="4">
        <f>AtlasReport_4_Table_1[[#This Row],[Quantity]]-AtlasReport_4_Table_1[[#This Row],[TPP trans backwards (Beginning)]]</f>
        <v>6</v>
      </c>
      <c r="I96" s="4">
        <f>AtlasReport_4_Table_1[[#This Row],[Quantity]]-AtlasReport_4_Table_1[[#This Row],[TPP trans backwards (Ending)]]</f>
        <v>6</v>
      </c>
      <c r="J96" s="4">
        <f>_xll.AtlasFormulas.AtlasFunctions.AtlasBalance("PROD",DataAreaId,"T.TPPTrans_sst|InventDimId~inventDimId@T.InventDim","Sum|CostAmount|0","","","","","","","ItemId|TransDate|T2.InventSiteId|T2.InventLocationId",$A96,PeriodBeginning,$B96,$C96)</f>
        <v>0</v>
      </c>
      <c r="K96" s="4">
        <f>_xll.AtlasFormulas.AtlasFunctions.AtlasBalance("PROD",DataAreaId,"T.TPPTrans_sst|InventDimId~inventDimId@T.InventDim","Sum|CostAmount|0","","","","","","","ItemId|TransDate|T2.InventSiteId|T2.InventLocationId",$A96,PeriodEnding,$B96,$C96)</f>
        <v>0</v>
      </c>
      <c r="L96" s="4">
        <f>AtlasReport_4_Table_1[[#This Row],[TPP cost amount]]-AtlasReport_4_Table_1[[#This Row],[TPP trans backwards balance (Beginning)]]</f>
        <v>44.03</v>
      </c>
      <c r="M96" s="4">
        <f>AtlasReport_4_Table_1[[#This Row],[TPP cost amount]]-AtlasReport_4_Table_1[[#This Row],[TPP trans backwards balance (Ending)]]</f>
        <v>44.03</v>
      </c>
    </row>
    <row r="97" spans="1:13" x14ac:dyDescent="0.25">
      <c r="A97" s="8" t="s">
        <v>322</v>
      </c>
      <c r="B97" s="8" t="s">
        <v>717</v>
      </c>
      <c r="C97" s="8" t="s">
        <v>719</v>
      </c>
      <c r="D97" s="4">
        <v>0</v>
      </c>
      <c r="E97" s="4">
        <v>0</v>
      </c>
      <c r="F97" s="4">
        <f>_xll.AtlasFormulas.AtlasFunctions.AtlasBalance("PROD",DataAreaId,"T.TPPTrans_sst|InventDimId~inventDimId@T.InventDim","Sum|Qty|0","","","","","","","ItemId|TransDate|T2.InventSiteId|T2.InventLocationId",$A97,PeriodBeginning,$B97,$C97)</f>
        <v>0</v>
      </c>
      <c r="G97" s="4">
        <f>_xll.AtlasFormulas.AtlasFunctions.AtlasBalance("PROD",DataAreaId,"T.TPPTrans_sst|InventDimId~inventDimId@T.InventDim","Sum|Qty|0","","","","","","","ItemId|TransDate|T2.InventSiteId|T2.InventLocationId",$A97,PeriodEnding,$B97,$C97)</f>
        <v>0</v>
      </c>
      <c r="H97" s="4">
        <f>AtlasReport_4_Table_1[[#This Row],[Quantity]]-AtlasReport_4_Table_1[[#This Row],[TPP trans backwards (Beginning)]]</f>
        <v>0</v>
      </c>
      <c r="I97" s="4">
        <f>AtlasReport_4_Table_1[[#This Row],[Quantity]]-AtlasReport_4_Table_1[[#This Row],[TPP trans backwards (Ending)]]</f>
        <v>0</v>
      </c>
      <c r="J97" s="4">
        <f>_xll.AtlasFormulas.AtlasFunctions.AtlasBalance("PROD",DataAreaId,"T.TPPTrans_sst|InventDimId~inventDimId@T.InventDim","Sum|CostAmount|0","","","","","","","ItemId|TransDate|T2.InventSiteId|T2.InventLocationId",$A97,PeriodBeginning,$B97,$C97)</f>
        <v>0</v>
      </c>
      <c r="K97" s="4">
        <f>_xll.AtlasFormulas.AtlasFunctions.AtlasBalance("PROD",DataAreaId,"T.TPPTrans_sst|InventDimId~inventDimId@T.InventDim","Sum|CostAmount|0","","","","","","","ItemId|TransDate|T2.InventSiteId|T2.InventLocationId",$A97,PeriodEnding,$B97,$C97)</f>
        <v>0</v>
      </c>
      <c r="L97" s="4">
        <f>AtlasReport_4_Table_1[[#This Row],[TPP cost amount]]-AtlasReport_4_Table_1[[#This Row],[TPP trans backwards balance (Beginning)]]</f>
        <v>0</v>
      </c>
      <c r="M97" s="4">
        <f>AtlasReport_4_Table_1[[#This Row],[TPP cost amount]]-AtlasReport_4_Table_1[[#This Row],[TPP trans backwards balance (Ending)]]</f>
        <v>0</v>
      </c>
    </row>
    <row r="98" spans="1:13" x14ac:dyDescent="0.25">
      <c r="A98" s="8" t="s">
        <v>752</v>
      </c>
      <c r="B98" s="8" t="s">
        <v>717</v>
      </c>
      <c r="C98" s="8" t="s">
        <v>718</v>
      </c>
      <c r="D98" s="4">
        <v>24.35</v>
      </c>
      <c r="E98" s="4">
        <v>0</v>
      </c>
      <c r="F98" s="4">
        <f>_xll.AtlasFormulas.AtlasFunctions.AtlasBalance("PROD",DataAreaId,"T.TPPTrans_sst|InventDimId~inventDimId@T.InventDim","Sum|Qty|0","","","","","","","ItemId|TransDate|T2.InventSiteId|T2.InventLocationId",$A98,PeriodBeginning,$B98,$C98)</f>
        <v>0</v>
      </c>
      <c r="G98" s="4">
        <f>_xll.AtlasFormulas.AtlasFunctions.AtlasBalance("PROD",DataAreaId,"T.TPPTrans_sst|InventDimId~inventDimId@T.InventDim","Sum|Qty|0","","","","","","","ItemId|TransDate|T2.InventSiteId|T2.InventLocationId",$A98,PeriodEnding,$B98,$C98)</f>
        <v>0</v>
      </c>
      <c r="H98" s="4">
        <f>AtlasReport_4_Table_1[[#This Row],[Quantity]]-AtlasReport_4_Table_1[[#This Row],[TPP trans backwards (Beginning)]]</f>
        <v>24.35</v>
      </c>
      <c r="I98" s="4">
        <f>AtlasReport_4_Table_1[[#This Row],[Quantity]]-AtlasReport_4_Table_1[[#This Row],[TPP trans backwards (Ending)]]</f>
        <v>24.35</v>
      </c>
      <c r="J98" s="4">
        <f>_xll.AtlasFormulas.AtlasFunctions.AtlasBalance("PROD",DataAreaId,"T.TPPTrans_sst|InventDimId~inventDimId@T.InventDim","Sum|CostAmount|0","","","","","","","ItemId|TransDate|T2.InventSiteId|T2.InventLocationId",$A98,PeriodBeginning,$B98,$C98)</f>
        <v>0</v>
      </c>
      <c r="K98" s="4">
        <f>_xll.AtlasFormulas.AtlasFunctions.AtlasBalance("PROD",DataAreaId,"T.TPPTrans_sst|InventDimId~inventDimId@T.InventDim","Sum|CostAmount|0","","","","","","","ItemId|TransDate|T2.InventSiteId|T2.InventLocationId",$A98,PeriodEnding,$B98,$C98)</f>
        <v>0</v>
      </c>
      <c r="L98" s="4">
        <f>AtlasReport_4_Table_1[[#This Row],[TPP cost amount]]-AtlasReport_4_Table_1[[#This Row],[TPP trans backwards balance (Beginning)]]</f>
        <v>0</v>
      </c>
      <c r="M98" s="4">
        <f>AtlasReport_4_Table_1[[#This Row],[TPP cost amount]]-AtlasReport_4_Table_1[[#This Row],[TPP trans backwards balance (Ending)]]</f>
        <v>0</v>
      </c>
    </row>
    <row r="99" spans="1:13" x14ac:dyDescent="0.25">
      <c r="A99" s="8" t="s">
        <v>753</v>
      </c>
      <c r="B99" s="8" t="s">
        <v>717</v>
      </c>
      <c r="C99" s="8" t="s">
        <v>718</v>
      </c>
      <c r="D99" s="4">
        <v>29.45</v>
      </c>
      <c r="E99" s="4">
        <v>0</v>
      </c>
      <c r="F99" s="4">
        <f>_xll.AtlasFormulas.AtlasFunctions.AtlasBalance("PROD",DataAreaId,"T.TPPTrans_sst|InventDimId~inventDimId@T.InventDim","Sum|Qty|0","","","","","","","ItemId|TransDate|T2.InventSiteId|T2.InventLocationId",$A99,PeriodBeginning,$B99,$C99)</f>
        <v>0</v>
      </c>
      <c r="G99" s="4">
        <f>_xll.AtlasFormulas.AtlasFunctions.AtlasBalance("PROD",DataAreaId,"T.TPPTrans_sst|InventDimId~inventDimId@T.InventDim","Sum|Qty|0","","","","","","","ItemId|TransDate|T2.InventSiteId|T2.InventLocationId",$A99,PeriodEnding,$B99,$C99)</f>
        <v>0</v>
      </c>
      <c r="H99" s="4">
        <f>AtlasReport_4_Table_1[[#This Row],[Quantity]]-AtlasReport_4_Table_1[[#This Row],[TPP trans backwards (Beginning)]]</f>
        <v>29.45</v>
      </c>
      <c r="I99" s="4">
        <f>AtlasReport_4_Table_1[[#This Row],[Quantity]]-AtlasReport_4_Table_1[[#This Row],[TPP trans backwards (Ending)]]</f>
        <v>29.45</v>
      </c>
      <c r="J99" s="4">
        <f>_xll.AtlasFormulas.AtlasFunctions.AtlasBalance("PROD",DataAreaId,"T.TPPTrans_sst|InventDimId~inventDimId@T.InventDim","Sum|CostAmount|0","","","","","","","ItemId|TransDate|T2.InventSiteId|T2.InventLocationId",$A99,PeriodBeginning,$B99,$C99)</f>
        <v>0</v>
      </c>
      <c r="K99" s="4">
        <f>_xll.AtlasFormulas.AtlasFunctions.AtlasBalance("PROD",DataAreaId,"T.TPPTrans_sst|InventDimId~inventDimId@T.InventDim","Sum|CostAmount|0","","","","","","","ItemId|TransDate|T2.InventSiteId|T2.InventLocationId",$A99,PeriodEnding,$B99,$C99)</f>
        <v>0</v>
      </c>
      <c r="L99" s="4">
        <f>AtlasReport_4_Table_1[[#This Row],[TPP cost amount]]-AtlasReport_4_Table_1[[#This Row],[TPP trans backwards balance (Beginning)]]</f>
        <v>0</v>
      </c>
      <c r="M99" s="4">
        <f>AtlasReport_4_Table_1[[#This Row],[TPP cost amount]]-AtlasReport_4_Table_1[[#This Row],[TPP trans backwards balance (Ending)]]</f>
        <v>0</v>
      </c>
    </row>
    <row r="100" spans="1:13" x14ac:dyDescent="0.25">
      <c r="A100" s="8" t="s">
        <v>754</v>
      </c>
      <c r="B100" s="8" t="s">
        <v>717</v>
      </c>
      <c r="C100" s="8" t="s">
        <v>718</v>
      </c>
      <c r="D100" s="4">
        <v>6449</v>
      </c>
      <c r="E100" s="4">
        <v>0</v>
      </c>
      <c r="F100" s="4">
        <f>_xll.AtlasFormulas.AtlasFunctions.AtlasBalance("PROD",DataAreaId,"T.TPPTrans_sst|InventDimId~inventDimId@T.InventDim","Sum|Qty|0","","","","","","","ItemId|TransDate|T2.InventSiteId|T2.InventLocationId",$A100,PeriodBeginning,$B100,$C100)</f>
        <v>0</v>
      </c>
      <c r="G100" s="4">
        <f>_xll.AtlasFormulas.AtlasFunctions.AtlasBalance("PROD",DataAreaId,"T.TPPTrans_sst|InventDimId~inventDimId@T.InventDim","Sum|Qty|0","","","","","","","ItemId|TransDate|T2.InventSiteId|T2.InventLocationId",$A100,PeriodEnding,$B100,$C100)</f>
        <v>0</v>
      </c>
      <c r="H100" s="4">
        <f>AtlasReport_4_Table_1[[#This Row],[Quantity]]-AtlasReport_4_Table_1[[#This Row],[TPP trans backwards (Beginning)]]</f>
        <v>6449</v>
      </c>
      <c r="I100" s="4">
        <f>AtlasReport_4_Table_1[[#This Row],[Quantity]]-AtlasReport_4_Table_1[[#This Row],[TPP trans backwards (Ending)]]</f>
        <v>6449</v>
      </c>
      <c r="J100" s="4">
        <f>_xll.AtlasFormulas.AtlasFunctions.AtlasBalance("PROD",DataAreaId,"T.TPPTrans_sst|InventDimId~inventDimId@T.InventDim","Sum|CostAmount|0","","","","","","","ItemId|TransDate|T2.InventSiteId|T2.InventLocationId",$A100,PeriodBeginning,$B100,$C100)</f>
        <v>0</v>
      </c>
      <c r="K100" s="4">
        <f>_xll.AtlasFormulas.AtlasFunctions.AtlasBalance("PROD",DataAreaId,"T.TPPTrans_sst|InventDimId~inventDimId@T.InventDim","Sum|CostAmount|0","","","","","","","ItemId|TransDate|T2.InventSiteId|T2.InventLocationId",$A100,PeriodEnding,$B100,$C100)</f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trans backwards balance (Ending)]]</f>
        <v>0</v>
      </c>
    </row>
    <row r="101" spans="1:13" x14ac:dyDescent="0.25">
      <c r="A101" s="8" t="s">
        <v>755</v>
      </c>
      <c r="B101" s="8" t="s">
        <v>717</v>
      </c>
      <c r="C101" s="8" t="s">
        <v>718</v>
      </c>
      <c r="D101" s="4">
        <v>40.880000000000003</v>
      </c>
      <c r="E101" s="4">
        <v>0</v>
      </c>
      <c r="F101" s="4">
        <f>_xll.AtlasFormulas.AtlasFunctions.AtlasBalance("PROD",DataAreaId,"T.TPPTrans_sst|InventDimId~inventDimId@T.InventDim","Sum|Qty|0","","","","","","","ItemId|TransDate|T2.InventSiteId|T2.InventLocationId",$A101,PeriodBeginning,$B101,$C101)</f>
        <v>0</v>
      </c>
      <c r="G101" s="4">
        <f>_xll.AtlasFormulas.AtlasFunctions.AtlasBalance("PROD",DataAreaId,"T.TPPTrans_sst|InventDimId~inventDimId@T.InventDim","Sum|Qty|0","","","","","","","ItemId|TransDate|T2.InventSiteId|T2.InventLocationId",$A101,PeriodEnding,$B101,$C101)</f>
        <v>0</v>
      </c>
      <c r="H101" s="4">
        <f>AtlasReport_4_Table_1[[#This Row],[Quantity]]-AtlasReport_4_Table_1[[#This Row],[TPP trans backwards (Beginning)]]</f>
        <v>40.880000000000003</v>
      </c>
      <c r="I101" s="4">
        <f>AtlasReport_4_Table_1[[#This Row],[Quantity]]-AtlasReport_4_Table_1[[#This Row],[TPP trans backwards (Ending)]]</f>
        <v>40.880000000000003</v>
      </c>
      <c r="J101" s="4">
        <f>_xll.AtlasFormulas.AtlasFunctions.AtlasBalance("PROD",DataAreaId,"T.TPPTrans_sst|InventDimId~inventDimId@T.InventDim","Sum|CostAmount|0","","","","","","","ItemId|TransDate|T2.InventSiteId|T2.InventLocationId",$A101,PeriodBeginning,$B101,$C101)</f>
        <v>0</v>
      </c>
      <c r="K101" s="4">
        <f>_xll.AtlasFormulas.AtlasFunctions.AtlasBalance("PROD",DataAreaId,"T.TPPTrans_sst|InventDimId~inventDimId@T.InventDim","Sum|CostAmount|0","","","","","","","ItemId|TransDate|T2.InventSiteId|T2.InventLocationId",$A101,PeriodEnding,$B101,$C101)</f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trans backwards balance (Ending)]]</f>
        <v>0</v>
      </c>
    </row>
    <row r="102" spans="1:13" x14ac:dyDescent="0.25">
      <c r="A102" s="3" t="s">
        <v>13</v>
      </c>
      <c r="B102" s="7"/>
      <c r="C102" s="7"/>
      <c r="D102" s="3">
        <f>SUBTOTAL(109,AtlasReport_4_Table_1[Quantity])</f>
        <v>195847.69</v>
      </c>
      <c r="E102" s="3">
        <f>SUBTOTAL(109,AtlasReport_4_Table_1[TPP cost amount])</f>
        <v>21441.030000000002</v>
      </c>
      <c r="F102" s="3"/>
      <c r="G102" s="3"/>
      <c r="H102" s="3"/>
      <c r="I102" s="3"/>
      <c r="J102" s="3"/>
      <c r="K102" s="3"/>
      <c r="L102" s="3"/>
      <c r="M102" s="3"/>
    </row>
    <row r="103" spans="1:13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41"/>
  <sheetViews>
    <sheetView workbookViewId="0">
      <selection activeCell="B4" sqref="B4"/>
    </sheetView>
  </sheetViews>
  <sheetFormatPr defaultRowHeight="15" x14ac:dyDescent="0.2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  <col min="6" max="6" width="9.28515625" customWidth="1"/>
    <col min="7" max="7" width="14" customWidth="1"/>
    <col min="8" max="8" width="13.5703125" customWidth="1"/>
    <col min="9" max="9" width="10.5703125" customWidth="1"/>
    <col min="10" max="10" width="12.28515625" customWidth="1"/>
    <col min="11" max="11" width="11.140625" customWidth="1"/>
    <col min="12" max="13" width="24.5703125" customWidth="1"/>
    <col min="14" max="14" width="11.42578125" customWidth="1"/>
    <col min="15" max="15" width="10.5703125" customWidth="1"/>
  </cols>
  <sheetData>
    <row r="1" spans="1:15" ht="22.5" x14ac:dyDescent="0.3">
      <c r="A1" s="2" t="s">
        <v>162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3" t="s">
        <v>6</v>
      </c>
      <c r="B2" s="3" t="s">
        <v>27</v>
      </c>
      <c r="C2" s="3" t="s">
        <v>163</v>
      </c>
      <c r="D2" s="3" t="s">
        <v>164</v>
      </c>
      <c r="E2" s="3" t="s">
        <v>33</v>
      </c>
      <c r="F2" s="3" t="s">
        <v>685</v>
      </c>
      <c r="G2" s="3" t="s">
        <v>686</v>
      </c>
      <c r="H2" s="3" t="s">
        <v>687</v>
      </c>
      <c r="I2" s="3" t="s">
        <v>688</v>
      </c>
      <c r="J2" s="3" t="s">
        <v>689</v>
      </c>
      <c r="K2" s="3" t="s">
        <v>690</v>
      </c>
      <c r="L2" s="3" t="s">
        <v>691</v>
      </c>
      <c r="M2" s="3" t="s">
        <v>692</v>
      </c>
      <c r="N2" s="3" t="s">
        <v>693</v>
      </c>
      <c r="O2" s="3" t="s">
        <v>694</v>
      </c>
    </row>
    <row r="3" spans="1:15" x14ac:dyDescent="0.25">
      <c r="A3" s="8" t="s">
        <v>716</v>
      </c>
      <c r="B3" s="8" t="s">
        <v>769</v>
      </c>
      <c r="C3" s="8" t="s">
        <v>673</v>
      </c>
      <c r="D3" s="8" t="s">
        <v>166</v>
      </c>
      <c r="E3" s="8" t="s">
        <v>111</v>
      </c>
      <c r="F3" s="8" t="s">
        <v>717</v>
      </c>
      <c r="G3" s="8" t="s">
        <v>770</v>
      </c>
      <c r="H3" s="8" t="s">
        <v>73</v>
      </c>
      <c r="I3" s="8" t="s">
        <v>696</v>
      </c>
      <c r="J3" s="8" t="s">
        <v>771</v>
      </c>
      <c r="K3" s="8" t="s">
        <v>697</v>
      </c>
      <c r="L3" s="8" t="s">
        <v>703</v>
      </c>
      <c r="M3" s="8" t="s">
        <v>673</v>
      </c>
      <c r="N3" s="8" t="s">
        <v>73</v>
      </c>
      <c r="O3" s="8" t="s">
        <v>73</v>
      </c>
    </row>
    <row r="4" spans="1:15" x14ac:dyDescent="0.25">
      <c r="A4" s="8" t="s">
        <v>222</v>
      </c>
      <c r="B4" s="8" t="s">
        <v>369</v>
      </c>
      <c r="C4" s="8" t="s">
        <v>772</v>
      </c>
      <c r="D4" s="8" t="s">
        <v>166</v>
      </c>
      <c r="E4" s="8" t="s">
        <v>34</v>
      </c>
      <c r="F4" s="8" t="s">
        <v>717</v>
      </c>
      <c r="G4" s="8" t="s">
        <v>695</v>
      </c>
      <c r="H4" s="8" t="s">
        <v>73</v>
      </c>
      <c r="I4" s="8" t="s">
        <v>696</v>
      </c>
      <c r="J4" s="8" t="s">
        <v>771</v>
      </c>
      <c r="K4" s="8" t="s">
        <v>697</v>
      </c>
      <c r="L4" s="8" t="s">
        <v>698</v>
      </c>
      <c r="M4" s="8" t="s">
        <v>773</v>
      </c>
      <c r="N4" s="8" t="s">
        <v>73</v>
      </c>
      <c r="O4" s="8" t="s">
        <v>73</v>
      </c>
    </row>
    <row r="5" spans="1:15" x14ac:dyDescent="0.25">
      <c r="A5" s="8" t="s">
        <v>226</v>
      </c>
      <c r="B5" s="8" t="s">
        <v>370</v>
      </c>
      <c r="C5" s="8" t="s">
        <v>772</v>
      </c>
      <c r="D5" s="8" t="s">
        <v>166</v>
      </c>
      <c r="E5" s="8" t="s">
        <v>34</v>
      </c>
      <c r="F5" s="8" t="s">
        <v>717</v>
      </c>
      <c r="G5" s="8" t="s">
        <v>695</v>
      </c>
      <c r="H5" s="8" t="s">
        <v>73</v>
      </c>
      <c r="I5" s="8" t="s">
        <v>696</v>
      </c>
      <c r="J5" s="8" t="s">
        <v>771</v>
      </c>
      <c r="K5" s="8" t="s">
        <v>697</v>
      </c>
      <c r="L5" s="8" t="s">
        <v>698</v>
      </c>
      <c r="M5" s="8" t="s">
        <v>702</v>
      </c>
      <c r="N5" s="8" t="s">
        <v>73</v>
      </c>
      <c r="O5" s="8" t="s">
        <v>73</v>
      </c>
    </row>
    <row r="6" spans="1:15" x14ac:dyDescent="0.25">
      <c r="A6" s="8" t="s">
        <v>49</v>
      </c>
      <c r="B6" s="8" t="s">
        <v>88</v>
      </c>
      <c r="C6" s="8" t="s">
        <v>772</v>
      </c>
      <c r="D6" s="8" t="s">
        <v>166</v>
      </c>
      <c r="E6" s="8" t="s">
        <v>35</v>
      </c>
      <c r="F6" s="8" t="s">
        <v>717</v>
      </c>
      <c r="G6" s="8" t="s">
        <v>695</v>
      </c>
      <c r="H6" s="8" t="s">
        <v>73</v>
      </c>
      <c r="I6" s="8" t="s">
        <v>696</v>
      </c>
      <c r="J6" s="8" t="s">
        <v>771</v>
      </c>
      <c r="K6" s="8" t="s">
        <v>697</v>
      </c>
      <c r="L6" s="8" t="s">
        <v>698</v>
      </c>
      <c r="M6" s="8" t="s">
        <v>699</v>
      </c>
      <c r="N6" s="8" t="s">
        <v>73</v>
      </c>
      <c r="O6" s="8" t="s">
        <v>73</v>
      </c>
    </row>
    <row r="7" spans="1:15" ht="30" x14ac:dyDescent="0.25">
      <c r="A7" s="8" t="s">
        <v>126</v>
      </c>
      <c r="B7" s="11" t="s">
        <v>146</v>
      </c>
      <c r="C7" s="8" t="s">
        <v>772</v>
      </c>
      <c r="D7" s="8" t="s">
        <v>166</v>
      </c>
      <c r="E7" s="8" t="s">
        <v>35</v>
      </c>
      <c r="F7" s="8" t="s">
        <v>717</v>
      </c>
      <c r="G7" s="8" t="s">
        <v>695</v>
      </c>
      <c r="H7" s="8" t="s">
        <v>73</v>
      </c>
      <c r="I7" s="8" t="s">
        <v>696</v>
      </c>
      <c r="J7" s="8" t="s">
        <v>771</v>
      </c>
      <c r="K7" s="8" t="s">
        <v>697</v>
      </c>
      <c r="L7" s="8" t="s">
        <v>698</v>
      </c>
      <c r="M7" s="8" t="s">
        <v>699</v>
      </c>
      <c r="N7" s="8" t="s">
        <v>73</v>
      </c>
      <c r="O7" s="8" t="s">
        <v>73</v>
      </c>
    </row>
    <row r="8" spans="1:15" x14ac:dyDescent="0.25">
      <c r="A8" s="8" t="s">
        <v>237</v>
      </c>
      <c r="B8" s="8" t="s">
        <v>381</v>
      </c>
      <c r="C8" s="8" t="s">
        <v>772</v>
      </c>
      <c r="D8" s="8" t="s">
        <v>166</v>
      </c>
      <c r="E8" s="8" t="s">
        <v>35</v>
      </c>
      <c r="F8" s="8" t="s">
        <v>717</v>
      </c>
      <c r="G8" s="8" t="s">
        <v>695</v>
      </c>
      <c r="H8" s="8" t="s">
        <v>73</v>
      </c>
      <c r="I8" s="8" t="s">
        <v>696</v>
      </c>
      <c r="J8" s="8" t="s">
        <v>771</v>
      </c>
      <c r="K8" s="8" t="s">
        <v>697</v>
      </c>
      <c r="L8" s="8" t="s">
        <v>698</v>
      </c>
      <c r="M8" s="8" t="s">
        <v>699</v>
      </c>
      <c r="N8" s="8" t="s">
        <v>73</v>
      </c>
      <c r="O8" s="8" t="s">
        <v>73</v>
      </c>
    </row>
    <row r="9" spans="1:15" x14ac:dyDescent="0.25">
      <c r="A9" s="8" t="s">
        <v>127</v>
      </c>
      <c r="B9" s="8" t="s">
        <v>167</v>
      </c>
      <c r="C9" s="8" t="s">
        <v>772</v>
      </c>
      <c r="D9" s="8" t="s">
        <v>166</v>
      </c>
      <c r="E9" s="8" t="s">
        <v>35</v>
      </c>
      <c r="F9" s="8" t="s">
        <v>717</v>
      </c>
      <c r="G9" s="8" t="s">
        <v>695</v>
      </c>
      <c r="H9" s="8" t="s">
        <v>73</v>
      </c>
      <c r="I9" s="8" t="s">
        <v>696</v>
      </c>
      <c r="J9" s="8" t="s">
        <v>771</v>
      </c>
      <c r="K9" s="8" t="s">
        <v>697</v>
      </c>
      <c r="L9" s="8" t="s">
        <v>698</v>
      </c>
      <c r="M9" s="8" t="s">
        <v>699</v>
      </c>
      <c r="N9" s="8" t="s">
        <v>73</v>
      </c>
      <c r="O9" s="8" t="s">
        <v>73</v>
      </c>
    </row>
    <row r="10" spans="1:15" x14ac:dyDescent="0.25">
      <c r="A10" s="8" t="s">
        <v>238</v>
      </c>
      <c r="B10" s="8" t="s">
        <v>382</v>
      </c>
      <c r="C10" s="8" t="s">
        <v>772</v>
      </c>
      <c r="D10" s="8" t="s">
        <v>166</v>
      </c>
      <c r="E10" s="8" t="s">
        <v>35</v>
      </c>
      <c r="F10" s="8" t="s">
        <v>717</v>
      </c>
      <c r="G10" s="8" t="s">
        <v>695</v>
      </c>
      <c r="H10" s="8" t="s">
        <v>73</v>
      </c>
      <c r="I10" s="8" t="s">
        <v>696</v>
      </c>
      <c r="J10" s="8" t="s">
        <v>771</v>
      </c>
      <c r="K10" s="8" t="s">
        <v>697</v>
      </c>
      <c r="L10" s="8" t="s">
        <v>698</v>
      </c>
      <c r="M10" s="8" t="s">
        <v>699</v>
      </c>
      <c r="N10" s="8" t="s">
        <v>73</v>
      </c>
      <c r="O10" s="8" t="s">
        <v>73</v>
      </c>
    </row>
    <row r="11" spans="1:15" x14ac:dyDescent="0.25">
      <c r="A11" s="8" t="s">
        <v>757</v>
      </c>
      <c r="B11" s="8" t="s">
        <v>684</v>
      </c>
      <c r="C11" s="8" t="s">
        <v>772</v>
      </c>
      <c r="D11" s="8" t="s">
        <v>166</v>
      </c>
      <c r="E11" s="8" t="s">
        <v>34</v>
      </c>
      <c r="F11" s="8" t="s">
        <v>717</v>
      </c>
      <c r="G11" s="8" t="s">
        <v>695</v>
      </c>
      <c r="H11" s="8" t="s">
        <v>73</v>
      </c>
      <c r="I11" s="8" t="s">
        <v>696</v>
      </c>
      <c r="J11" s="8" t="s">
        <v>771</v>
      </c>
      <c r="K11" s="8" t="s">
        <v>697</v>
      </c>
      <c r="L11" s="8" t="s">
        <v>700</v>
      </c>
      <c r="M11" s="8" t="s">
        <v>701</v>
      </c>
      <c r="N11" s="8" t="s">
        <v>73</v>
      </c>
      <c r="O11" s="8" t="s">
        <v>73</v>
      </c>
    </row>
    <row r="12" spans="1:15" x14ac:dyDescent="0.25">
      <c r="A12" s="8" t="s">
        <v>128</v>
      </c>
      <c r="B12" s="8" t="s">
        <v>168</v>
      </c>
      <c r="C12" s="8" t="s">
        <v>772</v>
      </c>
      <c r="D12" s="8" t="s">
        <v>166</v>
      </c>
      <c r="E12" s="8" t="s">
        <v>34</v>
      </c>
      <c r="F12" s="8" t="s">
        <v>717</v>
      </c>
      <c r="G12" s="8" t="s">
        <v>695</v>
      </c>
      <c r="H12" s="8" t="s">
        <v>73</v>
      </c>
      <c r="I12" s="8" t="s">
        <v>696</v>
      </c>
      <c r="J12" s="8" t="s">
        <v>771</v>
      </c>
      <c r="K12" s="8" t="s">
        <v>697</v>
      </c>
      <c r="L12" s="8" t="s">
        <v>698</v>
      </c>
      <c r="M12" s="8" t="s">
        <v>702</v>
      </c>
      <c r="N12" s="8" t="s">
        <v>73</v>
      </c>
      <c r="O12" s="8" t="s">
        <v>73</v>
      </c>
    </row>
    <row r="13" spans="1:15" x14ac:dyDescent="0.25">
      <c r="A13" s="8" t="s">
        <v>720</v>
      </c>
      <c r="B13" s="8" t="s">
        <v>774</v>
      </c>
      <c r="C13" s="8" t="s">
        <v>772</v>
      </c>
      <c r="D13" s="8" t="s">
        <v>166</v>
      </c>
      <c r="E13" s="8" t="s">
        <v>34</v>
      </c>
      <c r="F13" s="8" t="s">
        <v>717</v>
      </c>
      <c r="G13" s="8" t="s">
        <v>695</v>
      </c>
      <c r="H13" s="8" t="s">
        <v>73</v>
      </c>
      <c r="I13" s="8" t="s">
        <v>696</v>
      </c>
      <c r="J13" s="8" t="s">
        <v>771</v>
      </c>
      <c r="K13" s="8" t="s">
        <v>697</v>
      </c>
      <c r="L13" s="8" t="s">
        <v>698</v>
      </c>
      <c r="M13" s="8" t="s">
        <v>702</v>
      </c>
      <c r="N13" s="8" t="s">
        <v>73</v>
      </c>
      <c r="O13" s="8" t="s">
        <v>73</v>
      </c>
    </row>
    <row r="14" spans="1:15" x14ac:dyDescent="0.25">
      <c r="A14" s="8" t="s">
        <v>676</v>
      </c>
      <c r="B14" s="8" t="s">
        <v>678</v>
      </c>
      <c r="C14" s="8" t="s">
        <v>772</v>
      </c>
      <c r="D14" s="8" t="s">
        <v>166</v>
      </c>
      <c r="E14" s="8" t="s">
        <v>34</v>
      </c>
      <c r="F14" s="8" t="s">
        <v>717</v>
      </c>
      <c r="G14" s="8" t="s">
        <v>695</v>
      </c>
      <c r="H14" s="8" t="s">
        <v>73</v>
      </c>
      <c r="I14" s="8" t="s">
        <v>696</v>
      </c>
      <c r="J14" s="8" t="s">
        <v>771</v>
      </c>
      <c r="K14" s="8" t="s">
        <v>697</v>
      </c>
      <c r="L14" s="8" t="s">
        <v>698</v>
      </c>
      <c r="M14" s="8" t="s">
        <v>702</v>
      </c>
      <c r="N14" s="8" t="s">
        <v>73</v>
      </c>
      <c r="O14" s="8" t="s">
        <v>73</v>
      </c>
    </row>
    <row r="15" spans="1:15" x14ac:dyDescent="0.25">
      <c r="A15" s="8" t="s">
        <v>129</v>
      </c>
      <c r="B15" s="8" t="s">
        <v>387</v>
      </c>
      <c r="C15" s="8" t="s">
        <v>772</v>
      </c>
      <c r="D15" s="8" t="s">
        <v>166</v>
      </c>
      <c r="E15" s="8" t="s">
        <v>34</v>
      </c>
      <c r="F15" s="8" t="s">
        <v>717</v>
      </c>
      <c r="G15" s="8" t="s">
        <v>695</v>
      </c>
      <c r="H15" s="8" t="s">
        <v>73</v>
      </c>
      <c r="I15" s="8" t="s">
        <v>696</v>
      </c>
      <c r="J15" s="8" t="s">
        <v>771</v>
      </c>
      <c r="K15" s="8" t="s">
        <v>697</v>
      </c>
      <c r="L15" s="8" t="s">
        <v>698</v>
      </c>
      <c r="M15" s="8" t="s">
        <v>702</v>
      </c>
      <c r="N15" s="8" t="s">
        <v>73</v>
      </c>
      <c r="O15" s="8" t="s">
        <v>73</v>
      </c>
    </row>
    <row r="16" spans="1:15" x14ac:dyDescent="0.25">
      <c r="A16" s="8" t="s">
        <v>758</v>
      </c>
      <c r="B16" s="8" t="s">
        <v>775</v>
      </c>
      <c r="C16" s="8" t="s">
        <v>772</v>
      </c>
      <c r="D16" s="8" t="s">
        <v>166</v>
      </c>
      <c r="E16" s="8" t="s">
        <v>35</v>
      </c>
      <c r="F16" s="8" t="s">
        <v>717</v>
      </c>
      <c r="G16" s="8" t="s">
        <v>695</v>
      </c>
      <c r="H16" s="8" t="s">
        <v>73</v>
      </c>
      <c r="I16" s="8" t="s">
        <v>696</v>
      </c>
      <c r="J16" s="8" t="s">
        <v>771</v>
      </c>
      <c r="K16" s="8" t="s">
        <v>697</v>
      </c>
      <c r="L16" s="8" t="s">
        <v>703</v>
      </c>
      <c r="M16" s="8" t="s">
        <v>776</v>
      </c>
      <c r="N16" s="8" t="s">
        <v>73</v>
      </c>
      <c r="O16" s="8" t="s">
        <v>73</v>
      </c>
    </row>
    <row r="17" spans="1:15" x14ac:dyDescent="0.25">
      <c r="A17" s="8" t="s">
        <v>246</v>
      </c>
      <c r="B17" s="8" t="s">
        <v>393</v>
      </c>
      <c r="C17" s="8" t="s">
        <v>772</v>
      </c>
      <c r="D17" s="8" t="s">
        <v>166</v>
      </c>
      <c r="E17" s="8" t="s">
        <v>34</v>
      </c>
      <c r="F17" s="8" t="s">
        <v>717</v>
      </c>
      <c r="G17" s="8" t="s">
        <v>695</v>
      </c>
      <c r="H17" s="8" t="s">
        <v>73</v>
      </c>
      <c r="I17" s="8" t="s">
        <v>696</v>
      </c>
      <c r="J17" s="8" t="s">
        <v>771</v>
      </c>
      <c r="K17" s="8" t="s">
        <v>697</v>
      </c>
      <c r="L17" s="8" t="s">
        <v>703</v>
      </c>
      <c r="M17" s="8" t="s">
        <v>704</v>
      </c>
      <c r="N17" s="8" t="s">
        <v>73</v>
      </c>
      <c r="O17" s="8" t="s">
        <v>73</v>
      </c>
    </row>
    <row r="18" spans="1:15" x14ac:dyDescent="0.25">
      <c r="A18" s="8" t="s">
        <v>110</v>
      </c>
      <c r="B18" s="8" t="s">
        <v>395</v>
      </c>
      <c r="C18" s="8" t="s">
        <v>772</v>
      </c>
      <c r="D18" s="8" t="s">
        <v>166</v>
      </c>
      <c r="E18" s="8" t="s">
        <v>34</v>
      </c>
      <c r="F18" s="8" t="s">
        <v>717</v>
      </c>
      <c r="G18" s="8" t="s">
        <v>695</v>
      </c>
      <c r="H18" s="8" t="s">
        <v>73</v>
      </c>
      <c r="I18" s="8" t="s">
        <v>696</v>
      </c>
      <c r="J18" s="8" t="s">
        <v>771</v>
      </c>
      <c r="K18" s="8" t="s">
        <v>697</v>
      </c>
      <c r="L18" s="8" t="s">
        <v>703</v>
      </c>
      <c r="M18" s="8" t="s">
        <v>704</v>
      </c>
      <c r="N18" s="8" t="s">
        <v>73</v>
      </c>
      <c r="O18" s="8" t="s">
        <v>73</v>
      </c>
    </row>
    <row r="19" spans="1:15" x14ac:dyDescent="0.25">
      <c r="A19" s="8" t="s">
        <v>20</v>
      </c>
      <c r="B19" s="8" t="s">
        <v>174</v>
      </c>
      <c r="C19" s="8" t="s">
        <v>772</v>
      </c>
      <c r="D19" s="8" t="s">
        <v>166</v>
      </c>
      <c r="E19" s="8" t="s">
        <v>35</v>
      </c>
      <c r="F19" s="8" t="s">
        <v>717</v>
      </c>
      <c r="G19" s="8" t="s">
        <v>695</v>
      </c>
      <c r="H19" s="8" t="s">
        <v>73</v>
      </c>
      <c r="I19" s="8" t="s">
        <v>696</v>
      </c>
      <c r="J19" s="8" t="s">
        <v>771</v>
      </c>
      <c r="K19" s="8" t="s">
        <v>697</v>
      </c>
      <c r="L19" s="8" t="s">
        <v>700</v>
      </c>
      <c r="M19" s="8" t="s">
        <v>705</v>
      </c>
      <c r="N19" s="8" t="s">
        <v>73</v>
      </c>
      <c r="O19" s="8" t="s">
        <v>73</v>
      </c>
    </row>
    <row r="20" spans="1:15" x14ac:dyDescent="0.25">
      <c r="A20" s="8" t="s">
        <v>18</v>
      </c>
      <c r="B20" s="8" t="s">
        <v>174</v>
      </c>
      <c r="C20" s="8" t="s">
        <v>772</v>
      </c>
      <c r="D20" s="8" t="s">
        <v>166</v>
      </c>
      <c r="E20" s="8" t="s">
        <v>35</v>
      </c>
      <c r="F20" s="8" t="s">
        <v>717</v>
      </c>
      <c r="G20" s="8" t="s">
        <v>695</v>
      </c>
      <c r="H20" s="8" t="s">
        <v>73</v>
      </c>
      <c r="I20" s="8" t="s">
        <v>696</v>
      </c>
      <c r="J20" s="8" t="s">
        <v>771</v>
      </c>
      <c r="K20" s="8" t="s">
        <v>697</v>
      </c>
      <c r="L20" s="8" t="s">
        <v>700</v>
      </c>
      <c r="M20" s="8" t="s">
        <v>705</v>
      </c>
      <c r="N20" s="8" t="s">
        <v>73</v>
      </c>
      <c r="O20" s="8" t="s">
        <v>73</v>
      </c>
    </row>
    <row r="21" spans="1:15" x14ac:dyDescent="0.25">
      <c r="A21" s="8" t="s">
        <v>722</v>
      </c>
      <c r="B21" s="8" t="s">
        <v>175</v>
      </c>
      <c r="C21" s="8" t="s">
        <v>772</v>
      </c>
      <c r="D21" s="8" t="s">
        <v>166</v>
      </c>
      <c r="E21" s="8" t="s">
        <v>35</v>
      </c>
      <c r="F21" s="8" t="s">
        <v>717</v>
      </c>
      <c r="G21" s="8" t="s">
        <v>695</v>
      </c>
      <c r="H21" s="8" t="s">
        <v>73</v>
      </c>
      <c r="I21" s="8" t="s">
        <v>696</v>
      </c>
      <c r="J21" s="8" t="s">
        <v>771</v>
      </c>
      <c r="K21" s="8" t="s">
        <v>697</v>
      </c>
      <c r="L21" s="8" t="s">
        <v>700</v>
      </c>
      <c r="M21" s="8" t="s">
        <v>705</v>
      </c>
      <c r="N21" s="8" t="s">
        <v>73</v>
      </c>
      <c r="O21" s="8" t="s">
        <v>73</v>
      </c>
    </row>
    <row r="22" spans="1:15" x14ac:dyDescent="0.25">
      <c r="A22" s="8" t="s">
        <v>723</v>
      </c>
      <c r="B22" s="8" t="s">
        <v>777</v>
      </c>
      <c r="C22" s="8" t="s">
        <v>772</v>
      </c>
      <c r="D22" s="8" t="s">
        <v>166</v>
      </c>
      <c r="E22" s="8" t="s">
        <v>35</v>
      </c>
      <c r="F22" s="8" t="s">
        <v>717</v>
      </c>
      <c r="G22" s="8" t="s">
        <v>695</v>
      </c>
      <c r="H22" s="8" t="s">
        <v>73</v>
      </c>
      <c r="I22" s="8" t="s">
        <v>696</v>
      </c>
      <c r="J22" s="8" t="s">
        <v>771</v>
      </c>
      <c r="K22" s="8" t="s">
        <v>697</v>
      </c>
      <c r="L22" s="8" t="s">
        <v>700</v>
      </c>
      <c r="M22" s="8" t="s">
        <v>705</v>
      </c>
      <c r="N22" s="8" t="s">
        <v>73</v>
      </c>
      <c r="O22" s="8" t="s">
        <v>73</v>
      </c>
    </row>
    <row r="23" spans="1:15" x14ac:dyDescent="0.25">
      <c r="A23" s="8" t="s">
        <v>51</v>
      </c>
      <c r="B23" s="8" t="s">
        <v>145</v>
      </c>
      <c r="C23" s="8" t="s">
        <v>772</v>
      </c>
      <c r="D23" s="8" t="s">
        <v>166</v>
      </c>
      <c r="E23" s="8" t="s">
        <v>35</v>
      </c>
      <c r="F23" s="8" t="s">
        <v>717</v>
      </c>
      <c r="G23" s="8" t="s">
        <v>695</v>
      </c>
      <c r="H23" s="8" t="s">
        <v>73</v>
      </c>
      <c r="I23" s="8" t="s">
        <v>696</v>
      </c>
      <c r="J23" s="8" t="s">
        <v>771</v>
      </c>
      <c r="K23" s="8" t="s">
        <v>697</v>
      </c>
      <c r="L23" s="8" t="s">
        <v>703</v>
      </c>
      <c r="M23" s="8" t="s">
        <v>707</v>
      </c>
      <c r="N23" s="8" t="s">
        <v>73</v>
      </c>
      <c r="O23" s="8" t="s">
        <v>73</v>
      </c>
    </row>
    <row r="24" spans="1:15" x14ac:dyDescent="0.25">
      <c r="A24" s="8" t="s">
        <v>131</v>
      </c>
      <c r="B24" s="8" t="s">
        <v>145</v>
      </c>
      <c r="C24" s="8" t="s">
        <v>772</v>
      </c>
      <c r="D24" s="8" t="s">
        <v>166</v>
      </c>
      <c r="E24" s="8" t="s">
        <v>35</v>
      </c>
      <c r="F24" s="8" t="s">
        <v>717</v>
      </c>
      <c r="G24" s="8" t="s">
        <v>695</v>
      </c>
      <c r="H24" s="8" t="s">
        <v>73</v>
      </c>
      <c r="I24" s="8" t="s">
        <v>696</v>
      </c>
      <c r="J24" s="8" t="s">
        <v>771</v>
      </c>
      <c r="K24" s="8" t="s">
        <v>697</v>
      </c>
      <c r="L24" s="8" t="s">
        <v>703</v>
      </c>
      <c r="M24" s="8" t="s">
        <v>707</v>
      </c>
      <c r="N24" s="8" t="s">
        <v>73</v>
      </c>
      <c r="O24" s="8" t="s">
        <v>73</v>
      </c>
    </row>
    <row r="25" spans="1:15" x14ac:dyDescent="0.25">
      <c r="A25" s="8" t="s">
        <v>24</v>
      </c>
      <c r="B25" s="8" t="s">
        <v>28</v>
      </c>
      <c r="C25" s="8" t="s">
        <v>772</v>
      </c>
      <c r="D25" s="8" t="s">
        <v>166</v>
      </c>
      <c r="E25" s="8" t="s">
        <v>35</v>
      </c>
      <c r="F25" s="8" t="s">
        <v>717</v>
      </c>
      <c r="G25" s="8" t="s">
        <v>695</v>
      </c>
      <c r="H25" s="8" t="s">
        <v>73</v>
      </c>
      <c r="I25" s="8" t="s">
        <v>696</v>
      </c>
      <c r="J25" s="8" t="s">
        <v>771</v>
      </c>
      <c r="K25" s="8" t="s">
        <v>697</v>
      </c>
      <c r="L25" s="8" t="s">
        <v>703</v>
      </c>
      <c r="M25" s="8" t="s">
        <v>707</v>
      </c>
      <c r="N25" s="8" t="s">
        <v>73</v>
      </c>
      <c r="O25" s="8" t="s">
        <v>73</v>
      </c>
    </row>
    <row r="26" spans="1:15" x14ac:dyDescent="0.25">
      <c r="A26" s="8" t="s">
        <v>778</v>
      </c>
      <c r="B26" s="8" t="s">
        <v>779</v>
      </c>
      <c r="C26" s="8" t="s">
        <v>772</v>
      </c>
      <c r="D26" s="8" t="s">
        <v>166</v>
      </c>
      <c r="E26" s="8" t="s">
        <v>35</v>
      </c>
      <c r="F26" s="8" t="s">
        <v>717</v>
      </c>
      <c r="G26" s="8" t="s">
        <v>695</v>
      </c>
      <c r="H26" s="8" t="s">
        <v>73</v>
      </c>
      <c r="I26" s="8" t="s">
        <v>696</v>
      </c>
      <c r="J26" s="8" t="s">
        <v>771</v>
      </c>
      <c r="K26" s="8" t="s">
        <v>697</v>
      </c>
      <c r="L26" s="8" t="s">
        <v>703</v>
      </c>
      <c r="M26" s="8" t="s">
        <v>707</v>
      </c>
      <c r="N26" s="8" t="s">
        <v>73</v>
      </c>
      <c r="O26" s="8" t="s">
        <v>73</v>
      </c>
    </row>
    <row r="27" spans="1:15" x14ac:dyDescent="0.25">
      <c r="A27" s="8" t="s">
        <v>780</v>
      </c>
      <c r="B27" s="8" t="s">
        <v>781</v>
      </c>
      <c r="C27" s="8" t="s">
        <v>772</v>
      </c>
      <c r="D27" s="8" t="s">
        <v>166</v>
      </c>
      <c r="E27" s="8" t="s">
        <v>35</v>
      </c>
      <c r="F27" s="8" t="s">
        <v>717</v>
      </c>
      <c r="G27" s="8" t="s">
        <v>695</v>
      </c>
      <c r="H27" s="8" t="s">
        <v>73</v>
      </c>
      <c r="I27" s="8" t="s">
        <v>696</v>
      </c>
      <c r="J27" s="8" t="s">
        <v>771</v>
      </c>
      <c r="K27" s="8" t="s">
        <v>697</v>
      </c>
      <c r="L27" s="8" t="s">
        <v>703</v>
      </c>
      <c r="M27" s="8" t="s">
        <v>707</v>
      </c>
      <c r="N27" s="8" t="s">
        <v>73</v>
      </c>
      <c r="O27" s="8" t="s">
        <v>73</v>
      </c>
    </row>
    <row r="28" spans="1:15" x14ac:dyDescent="0.25">
      <c r="A28" s="8" t="s">
        <v>65</v>
      </c>
      <c r="B28" s="8" t="s">
        <v>28</v>
      </c>
      <c r="C28" s="8" t="s">
        <v>772</v>
      </c>
      <c r="D28" s="8" t="s">
        <v>166</v>
      </c>
      <c r="E28" s="8" t="s">
        <v>35</v>
      </c>
      <c r="F28" s="8" t="s">
        <v>717</v>
      </c>
      <c r="G28" s="8" t="s">
        <v>695</v>
      </c>
      <c r="H28" s="8" t="s">
        <v>73</v>
      </c>
      <c r="I28" s="8" t="s">
        <v>696</v>
      </c>
      <c r="J28" s="8" t="s">
        <v>771</v>
      </c>
      <c r="K28" s="8" t="s">
        <v>697</v>
      </c>
      <c r="L28" s="8" t="s">
        <v>703</v>
      </c>
      <c r="M28" s="8" t="s">
        <v>707</v>
      </c>
      <c r="N28" s="8" t="s">
        <v>73</v>
      </c>
      <c r="O28" s="8" t="s">
        <v>73</v>
      </c>
    </row>
    <row r="29" spans="1:15" x14ac:dyDescent="0.25">
      <c r="A29" s="8" t="s">
        <v>683</v>
      </c>
      <c r="B29" s="8" t="s">
        <v>28</v>
      </c>
      <c r="C29" s="8" t="s">
        <v>772</v>
      </c>
      <c r="D29" s="8" t="s">
        <v>166</v>
      </c>
      <c r="E29" s="8" t="s">
        <v>35</v>
      </c>
      <c r="F29" s="8" t="s">
        <v>717</v>
      </c>
      <c r="G29" s="8" t="s">
        <v>695</v>
      </c>
      <c r="H29" s="8" t="s">
        <v>73</v>
      </c>
      <c r="I29" s="8" t="s">
        <v>696</v>
      </c>
      <c r="J29" s="8" t="s">
        <v>771</v>
      </c>
      <c r="K29" s="8" t="s">
        <v>697</v>
      </c>
      <c r="L29" s="8" t="s">
        <v>703</v>
      </c>
      <c r="M29" s="8" t="s">
        <v>707</v>
      </c>
      <c r="N29" s="8" t="s">
        <v>73</v>
      </c>
      <c r="O29" s="8" t="s">
        <v>73</v>
      </c>
    </row>
    <row r="30" spans="1:15" x14ac:dyDescent="0.25">
      <c r="A30" s="8" t="s">
        <v>66</v>
      </c>
      <c r="B30" s="8" t="s">
        <v>116</v>
      </c>
      <c r="C30" s="8" t="s">
        <v>772</v>
      </c>
      <c r="D30" s="8" t="s">
        <v>166</v>
      </c>
      <c r="E30" s="8" t="s">
        <v>35</v>
      </c>
      <c r="F30" s="8" t="s">
        <v>717</v>
      </c>
      <c r="G30" s="8" t="s">
        <v>695</v>
      </c>
      <c r="H30" s="8" t="s">
        <v>73</v>
      </c>
      <c r="I30" s="8" t="s">
        <v>696</v>
      </c>
      <c r="J30" s="8" t="s">
        <v>771</v>
      </c>
      <c r="K30" s="8" t="s">
        <v>697</v>
      </c>
      <c r="L30" s="8" t="s">
        <v>703</v>
      </c>
      <c r="M30" s="8" t="s">
        <v>707</v>
      </c>
      <c r="N30" s="8" t="s">
        <v>73</v>
      </c>
      <c r="O30" s="8" t="s">
        <v>73</v>
      </c>
    </row>
    <row r="31" spans="1:15" x14ac:dyDescent="0.25">
      <c r="A31" s="8" t="s">
        <v>782</v>
      </c>
      <c r="B31" s="8" t="s">
        <v>783</v>
      </c>
      <c r="C31" s="8" t="s">
        <v>772</v>
      </c>
      <c r="D31" s="8" t="s">
        <v>166</v>
      </c>
      <c r="E31" s="8" t="s">
        <v>35</v>
      </c>
      <c r="F31" s="8" t="s">
        <v>717</v>
      </c>
      <c r="G31" s="8" t="s">
        <v>695</v>
      </c>
      <c r="H31" s="8" t="s">
        <v>73</v>
      </c>
      <c r="I31" s="8" t="s">
        <v>696</v>
      </c>
      <c r="J31" s="8" t="s">
        <v>771</v>
      </c>
      <c r="K31" s="8" t="s">
        <v>697</v>
      </c>
      <c r="L31" s="8" t="s">
        <v>703</v>
      </c>
      <c r="M31" s="8" t="s">
        <v>707</v>
      </c>
      <c r="N31" s="8" t="s">
        <v>73</v>
      </c>
      <c r="O31" s="8" t="s">
        <v>73</v>
      </c>
    </row>
    <row r="32" spans="1:15" x14ac:dyDescent="0.25">
      <c r="A32" s="8" t="s">
        <v>724</v>
      </c>
      <c r="B32" s="8" t="s">
        <v>784</v>
      </c>
      <c r="C32" s="8" t="s">
        <v>772</v>
      </c>
      <c r="D32" s="8" t="s">
        <v>166</v>
      </c>
      <c r="E32" s="8" t="s">
        <v>35</v>
      </c>
      <c r="F32" s="8" t="s">
        <v>717</v>
      </c>
      <c r="G32" s="8" t="s">
        <v>695</v>
      </c>
      <c r="H32" s="8" t="s">
        <v>73</v>
      </c>
      <c r="I32" s="8" t="s">
        <v>696</v>
      </c>
      <c r="J32" s="8" t="s">
        <v>771</v>
      </c>
      <c r="K32" s="8" t="s">
        <v>697</v>
      </c>
      <c r="L32" s="8" t="s">
        <v>703</v>
      </c>
      <c r="M32" s="8" t="s">
        <v>707</v>
      </c>
      <c r="N32" s="8" t="s">
        <v>73</v>
      </c>
      <c r="O32" s="8" t="s">
        <v>73</v>
      </c>
    </row>
    <row r="33" spans="1:15" x14ac:dyDescent="0.25">
      <c r="A33" s="8" t="s">
        <v>176</v>
      </c>
      <c r="B33" s="8" t="s">
        <v>116</v>
      </c>
      <c r="C33" s="8" t="s">
        <v>772</v>
      </c>
      <c r="D33" s="8" t="s">
        <v>166</v>
      </c>
      <c r="E33" s="8" t="s">
        <v>35</v>
      </c>
      <c r="F33" s="8" t="s">
        <v>717</v>
      </c>
      <c r="G33" s="8" t="s">
        <v>695</v>
      </c>
      <c r="H33" s="8" t="s">
        <v>73</v>
      </c>
      <c r="I33" s="8" t="s">
        <v>696</v>
      </c>
      <c r="J33" s="8" t="s">
        <v>771</v>
      </c>
      <c r="K33" s="8" t="s">
        <v>697</v>
      </c>
      <c r="L33" s="8" t="s">
        <v>703</v>
      </c>
      <c r="M33" s="8" t="s">
        <v>707</v>
      </c>
      <c r="N33" s="8" t="s">
        <v>73</v>
      </c>
      <c r="O33" s="8" t="s">
        <v>73</v>
      </c>
    </row>
    <row r="34" spans="1:15" x14ac:dyDescent="0.25">
      <c r="A34" s="8" t="s">
        <v>132</v>
      </c>
      <c r="B34" s="8" t="s">
        <v>150</v>
      </c>
      <c r="C34" s="8" t="s">
        <v>772</v>
      </c>
      <c r="D34" s="8" t="s">
        <v>166</v>
      </c>
      <c r="E34" s="8" t="s">
        <v>35</v>
      </c>
      <c r="F34" s="8" t="s">
        <v>717</v>
      </c>
      <c r="G34" s="8" t="s">
        <v>695</v>
      </c>
      <c r="H34" s="8" t="s">
        <v>73</v>
      </c>
      <c r="I34" s="8" t="s">
        <v>696</v>
      </c>
      <c r="J34" s="8" t="s">
        <v>771</v>
      </c>
      <c r="K34" s="8" t="s">
        <v>697</v>
      </c>
      <c r="L34" s="8" t="s">
        <v>703</v>
      </c>
      <c r="M34" s="8" t="s">
        <v>707</v>
      </c>
      <c r="N34" s="8" t="s">
        <v>73</v>
      </c>
      <c r="O34" s="8" t="s">
        <v>73</v>
      </c>
    </row>
    <row r="35" spans="1:15" x14ac:dyDescent="0.25">
      <c r="A35" s="8" t="s">
        <v>725</v>
      </c>
      <c r="B35" s="8" t="s">
        <v>150</v>
      </c>
      <c r="C35" s="8" t="s">
        <v>772</v>
      </c>
      <c r="D35" s="8" t="s">
        <v>166</v>
      </c>
      <c r="E35" s="8" t="s">
        <v>35</v>
      </c>
      <c r="F35" s="8" t="s">
        <v>717</v>
      </c>
      <c r="G35" s="8" t="s">
        <v>695</v>
      </c>
      <c r="H35" s="8" t="s">
        <v>73</v>
      </c>
      <c r="I35" s="8" t="s">
        <v>696</v>
      </c>
      <c r="J35" s="8" t="s">
        <v>771</v>
      </c>
      <c r="K35" s="8" t="s">
        <v>697</v>
      </c>
      <c r="L35" s="8" t="s">
        <v>703</v>
      </c>
      <c r="M35" s="8" t="s">
        <v>707</v>
      </c>
      <c r="N35" s="8" t="s">
        <v>73</v>
      </c>
      <c r="O35" s="8" t="s">
        <v>73</v>
      </c>
    </row>
    <row r="36" spans="1:15" x14ac:dyDescent="0.25">
      <c r="A36" s="8" t="s">
        <v>25</v>
      </c>
      <c r="B36" s="8" t="s">
        <v>177</v>
      </c>
      <c r="C36" s="8" t="s">
        <v>772</v>
      </c>
      <c r="D36" s="8" t="s">
        <v>166</v>
      </c>
      <c r="E36" s="8" t="s">
        <v>35</v>
      </c>
      <c r="F36" s="8" t="s">
        <v>717</v>
      </c>
      <c r="G36" s="8" t="s">
        <v>695</v>
      </c>
      <c r="H36" s="8" t="s">
        <v>73</v>
      </c>
      <c r="I36" s="8" t="s">
        <v>696</v>
      </c>
      <c r="J36" s="8" t="s">
        <v>771</v>
      </c>
      <c r="K36" s="8" t="s">
        <v>697</v>
      </c>
      <c r="L36" s="8" t="s">
        <v>703</v>
      </c>
      <c r="M36" s="8" t="s">
        <v>707</v>
      </c>
      <c r="N36" s="8" t="s">
        <v>73</v>
      </c>
      <c r="O36" s="8" t="s">
        <v>73</v>
      </c>
    </row>
    <row r="37" spans="1:15" x14ac:dyDescent="0.25">
      <c r="A37" s="8" t="s">
        <v>250</v>
      </c>
      <c r="B37" s="8" t="s">
        <v>397</v>
      </c>
      <c r="C37" s="8" t="s">
        <v>772</v>
      </c>
      <c r="D37" s="8" t="s">
        <v>166</v>
      </c>
      <c r="E37" s="8" t="s">
        <v>34</v>
      </c>
      <c r="F37" s="8" t="s">
        <v>717</v>
      </c>
      <c r="G37" s="8" t="s">
        <v>695</v>
      </c>
      <c r="H37" s="8" t="s">
        <v>73</v>
      </c>
      <c r="I37" s="8" t="s">
        <v>696</v>
      </c>
      <c r="J37" s="8" t="s">
        <v>771</v>
      </c>
      <c r="K37" s="8" t="s">
        <v>697</v>
      </c>
      <c r="L37" s="8" t="s">
        <v>785</v>
      </c>
      <c r="M37" s="8" t="s">
        <v>786</v>
      </c>
      <c r="N37" s="8" t="s">
        <v>73</v>
      </c>
      <c r="O37" s="8" t="s">
        <v>73</v>
      </c>
    </row>
    <row r="38" spans="1:15" x14ac:dyDescent="0.25">
      <c r="A38" s="8" t="s">
        <v>726</v>
      </c>
      <c r="B38" s="8" t="s">
        <v>787</v>
      </c>
      <c r="C38" s="8" t="s">
        <v>772</v>
      </c>
      <c r="D38" s="8" t="s">
        <v>166</v>
      </c>
      <c r="E38" s="8" t="s">
        <v>34</v>
      </c>
      <c r="F38" s="8" t="s">
        <v>717</v>
      </c>
      <c r="G38" s="8" t="s">
        <v>695</v>
      </c>
      <c r="H38" s="8" t="s">
        <v>73</v>
      </c>
      <c r="I38" s="8" t="s">
        <v>696</v>
      </c>
      <c r="J38" s="8" t="s">
        <v>771</v>
      </c>
      <c r="K38" s="8" t="s">
        <v>697</v>
      </c>
      <c r="L38" s="8" t="s">
        <v>785</v>
      </c>
      <c r="M38" s="8" t="s">
        <v>786</v>
      </c>
      <c r="N38" s="8" t="s">
        <v>73</v>
      </c>
      <c r="O38" s="8" t="s">
        <v>73</v>
      </c>
    </row>
    <row r="39" spans="1:15" x14ac:dyDescent="0.25">
      <c r="A39" s="8" t="s">
        <v>727</v>
      </c>
      <c r="B39" s="8" t="s">
        <v>788</v>
      </c>
      <c r="C39" s="8" t="s">
        <v>772</v>
      </c>
      <c r="D39" s="8" t="s">
        <v>166</v>
      </c>
      <c r="E39" s="8" t="s">
        <v>34</v>
      </c>
      <c r="F39" s="8" t="s">
        <v>717</v>
      </c>
      <c r="G39" s="8" t="s">
        <v>695</v>
      </c>
      <c r="H39" s="8" t="s">
        <v>73</v>
      </c>
      <c r="I39" s="8" t="s">
        <v>696</v>
      </c>
      <c r="J39" s="8" t="s">
        <v>771</v>
      </c>
      <c r="K39" s="8" t="s">
        <v>697</v>
      </c>
      <c r="L39" s="8" t="s">
        <v>785</v>
      </c>
      <c r="M39" s="8" t="s">
        <v>786</v>
      </c>
      <c r="N39" s="8" t="s">
        <v>73</v>
      </c>
      <c r="O39" s="8" t="s">
        <v>73</v>
      </c>
    </row>
    <row r="40" spans="1:15" x14ac:dyDescent="0.25">
      <c r="A40" s="8" t="s">
        <v>728</v>
      </c>
      <c r="B40" s="8" t="s">
        <v>789</v>
      </c>
      <c r="C40" s="8" t="s">
        <v>772</v>
      </c>
      <c r="D40" s="8" t="s">
        <v>166</v>
      </c>
      <c r="E40" s="8" t="s">
        <v>34</v>
      </c>
      <c r="F40" s="8" t="s">
        <v>717</v>
      </c>
      <c r="G40" s="8" t="s">
        <v>695</v>
      </c>
      <c r="H40" s="8" t="s">
        <v>73</v>
      </c>
      <c r="I40" s="8" t="s">
        <v>696</v>
      </c>
      <c r="J40" s="8" t="s">
        <v>771</v>
      </c>
      <c r="K40" s="8" t="s">
        <v>697</v>
      </c>
      <c r="L40" s="8" t="s">
        <v>785</v>
      </c>
      <c r="M40" s="8" t="s">
        <v>786</v>
      </c>
      <c r="N40" s="8" t="s">
        <v>73</v>
      </c>
      <c r="O40" s="8" t="s">
        <v>73</v>
      </c>
    </row>
    <row r="41" spans="1:15" x14ac:dyDescent="0.25">
      <c r="A41" s="8" t="s">
        <v>760</v>
      </c>
      <c r="B41" s="8" t="s">
        <v>790</v>
      </c>
      <c r="C41" s="8" t="s">
        <v>772</v>
      </c>
      <c r="D41" s="8" t="s">
        <v>166</v>
      </c>
      <c r="E41" s="8" t="s">
        <v>34</v>
      </c>
      <c r="F41" s="8" t="s">
        <v>717</v>
      </c>
      <c r="G41" s="8" t="s">
        <v>695</v>
      </c>
      <c r="H41" s="8" t="s">
        <v>73</v>
      </c>
      <c r="I41" s="8" t="s">
        <v>696</v>
      </c>
      <c r="J41" s="8" t="s">
        <v>771</v>
      </c>
      <c r="K41" s="8" t="s">
        <v>697</v>
      </c>
      <c r="L41" s="8" t="s">
        <v>785</v>
      </c>
      <c r="M41" s="8" t="s">
        <v>791</v>
      </c>
      <c r="N41" s="8" t="s">
        <v>73</v>
      </c>
      <c r="O41" s="8" t="s">
        <v>73</v>
      </c>
    </row>
    <row r="42" spans="1:15" x14ac:dyDescent="0.25">
      <c r="A42" s="8" t="s">
        <v>729</v>
      </c>
      <c r="B42" s="8" t="s">
        <v>792</v>
      </c>
      <c r="C42" s="8" t="s">
        <v>772</v>
      </c>
      <c r="D42" s="8" t="s">
        <v>166</v>
      </c>
      <c r="E42" s="8" t="s">
        <v>34</v>
      </c>
      <c r="F42" s="8" t="s">
        <v>717</v>
      </c>
      <c r="G42" s="8" t="s">
        <v>695</v>
      </c>
      <c r="H42" s="8" t="s">
        <v>73</v>
      </c>
      <c r="I42" s="8" t="s">
        <v>696</v>
      </c>
      <c r="J42" s="8" t="s">
        <v>771</v>
      </c>
      <c r="K42" s="8" t="s">
        <v>697</v>
      </c>
      <c r="L42" s="8" t="s">
        <v>785</v>
      </c>
      <c r="M42" s="8" t="s">
        <v>791</v>
      </c>
      <c r="N42" s="8" t="s">
        <v>73</v>
      </c>
      <c r="O42" s="8" t="s">
        <v>73</v>
      </c>
    </row>
    <row r="43" spans="1:15" x14ac:dyDescent="0.25">
      <c r="A43" s="8" t="s">
        <v>793</v>
      </c>
      <c r="B43" s="8" t="s">
        <v>418</v>
      </c>
      <c r="C43" s="8" t="s">
        <v>772</v>
      </c>
      <c r="D43" s="8" t="s">
        <v>166</v>
      </c>
      <c r="E43" s="8" t="s">
        <v>35</v>
      </c>
      <c r="F43" s="8" t="s">
        <v>717</v>
      </c>
      <c r="G43" s="8" t="s">
        <v>695</v>
      </c>
      <c r="H43" s="8" t="s">
        <v>73</v>
      </c>
      <c r="I43" s="8" t="s">
        <v>696</v>
      </c>
      <c r="J43" s="8" t="s">
        <v>771</v>
      </c>
      <c r="K43" s="8" t="s">
        <v>697</v>
      </c>
      <c r="L43" s="8" t="s">
        <v>700</v>
      </c>
      <c r="M43" s="8" t="s">
        <v>794</v>
      </c>
      <c r="N43" s="8" t="s">
        <v>73</v>
      </c>
      <c r="O43" s="8" t="s">
        <v>73</v>
      </c>
    </row>
    <row r="44" spans="1:15" x14ac:dyDescent="0.25">
      <c r="A44" s="8" t="s">
        <v>15</v>
      </c>
      <c r="B44" s="8" t="s">
        <v>29</v>
      </c>
      <c r="C44" s="8" t="s">
        <v>772</v>
      </c>
      <c r="D44" s="8" t="s">
        <v>166</v>
      </c>
      <c r="E44" s="8" t="s">
        <v>35</v>
      </c>
      <c r="F44" s="8" t="s">
        <v>717</v>
      </c>
      <c r="G44" s="8" t="s">
        <v>695</v>
      </c>
      <c r="H44" s="8" t="s">
        <v>73</v>
      </c>
      <c r="I44" s="8" t="s">
        <v>696</v>
      </c>
      <c r="J44" s="8" t="s">
        <v>771</v>
      </c>
      <c r="K44" s="8" t="s">
        <v>697</v>
      </c>
      <c r="L44" s="8" t="s">
        <v>700</v>
      </c>
      <c r="M44" s="8" t="s">
        <v>708</v>
      </c>
      <c r="N44" s="8" t="s">
        <v>73</v>
      </c>
      <c r="O44" s="8" t="s">
        <v>73</v>
      </c>
    </row>
    <row r="45" spans="1:15" x14ac:dyDescent="0.25">
      <c r="A45" s="8" t="s">
        <v>730</v>
      </c>
      <c r="B45" s="8" t="s">
        <v>179</v>
      </c>
      <c r="C45" s="8" t="s">
        <v>772</v>
      </c>
      <c r="D45" s="8" t="s">
        <v>166</v>
      </c>
      <c r="E45" s="8" t="s">
        <v>35</v>
      </c>
      <c r="F45" s="8" t="s">
        <v>717</v>
      </c>
      <c r="G45" s="8" t="s">
        <v>695</v>
      </c>
      <c r="H45" s="8" t="s">
        <v>73</v>
      </c>
      <c r="I45" s="8" t="s">
        <v>696</v>
      </c>
      <c r="J45" s="8" t="s">
        <v>771</v>
      </c>
      <c r="K45" s="8" t="s">
        <v>697</v>
      </c>
      <c r="L45" s="8" t="s">
        <v>700</v>
      </c>
      <c r="M45" s="8" t="s">
        <v>708</v>
      </c>
      <c r="N45" s="8" t="s">
        <v>73</v>
      </c>
      <c r="O45" s="8" t="s">
        <v>73</v>
      </c>
    </row>
    <row r="46" spans="1:15" x14ac:dyDescent="0.25">
      <c r="A46" s="8" t="s">
        <v>273</v>
      </c>
      <c r="B46" s="8" t="s">
        <v>418</v>
      </c>
      <c r="C46" s="8" t="s">
        <v>772</v>
      </c>
      <c r="D46" s="8" t="s">
        <v>166</v>
      </c>
      <c r="E46" s="8" t="s">
        <v>35</v>
      </c>
      <c r="F46" s="8" t="s">
        <v>717</v>
      </c>
      <c r="G46" s="8" t="s">
        <v>695</v>
      </c>
      <c r="H46" s="8" t="s">
        <v>73</v>
      </c>
      <c r="I46" s="8" t="s">
        <v>696</v>
      </c>
      <c r="J46" s="8" t="s">
        <v>771</v>
      </c>
      <c r="K46" s="8" t="s">
        <v>697</v>
      </c>
      <c r="L46" s="8" t="s">
        <v>700</v>
      </c>
      <c r="M46" s="8" t="s">
        <v>794</v>
      </c>
      <c r="N46" s="8" t="s">
        <v>73</v>
      </c>
      <c r="O46" s="8" t="s">
        <v>73</v>
      </c>
    </row>
    <row r="47" spans="1:15" x14ac:dyDescent="0.25">
      <c r="A47" s="8" t="s">
        <v>178</v>
      </c>
      <c r="B47" s="8" t="s">
        <v>179</v>
      </c>
      <c r="C47" s="8" t="s">
        <v>772</v>
      </c>
      <c r="D47" s="8" t="s">
        <v>166</v>
      </c>
      <c r="E47" s="8" t="s">
        <v>35</v>
      </c>
      <c r="F47" s="8" t="s">
        <v>717</v>
      </c>
      <c r="G47" s="8" t="s">
        <v>695</v>
      </c>
      <c r="H47" s="8" t="s">
        <v>73</v>
      </c>
      <c r="I47" s="8" t="s">
        <v>696</v>
      </c>
      <c r="J47" s="8" t="s">
        <v>771</v>
      </c>
      <c r="K47" s="8" t="s">
        <v>697</v>
      </c>
      <c r="L47" s="8" t="s">
        <v>700</v>
      </c>
      <c r="M47" s="8" t="s">
        <v>708</v>
      </c>
      <c r="N47" s="8" t="s">
        <v>73</v>
      </c>
      <c r="O47" s="8" t="s">
        <v>73</v>
      </c>
    </row>
    <row r="48" spans="1:15" x14ac:dyDescent="0.25">
      <c r="A48" s="8" t="s">
        <v>16</v>
      </c>
      <c r="B48" s="8" t="s">
        <v>29</v>
      </c>
      <c r="C48" s="8" t="s">
        <v>772</v>
      </c>
      <c r="D48" s="8" t="s">
        <v>166</v>
      </c>
      <c r="E48" s="8" t="s">
        <v>35</v>
      </c>
      <c r="F48" s="8" t="s">
        <v>717</v>
      </c>
      <c r="G48" s="8" t="s">
        <v>695</v>
      </c>
      <c r="H48" s="8" t="s">
        <v>73</v>
      </c>
      <c r="I48" s="8" t="s">
        <v>696</v>
      </c>
      <c r="J48" s="8" t="s">
        <v>771</v>
      </c>
      <c r="K48" s="8" t="s">
        <v>697</v>
      </c>
      <c r="L48" s="8" t="s">
        <v>700</v>
      </c>
      <c r="M48" s="8" t="s">
        <v>708</v>
      </c>
      <c r="N48" s="8" t="s">
        <v>73</v>
      </c>
      <c r="O48" s="8" t="s">
        <v>73</v>
      </c>
    </row>
    <row r="49" spans="1:15" x14ac:dyDescent="0.25">
      <c r="A49" s="8" t="s">
        <v>731</v>
      </c>
      <c r="B49" s="8" t="s">
        <v>179</v>
      </c>
      <c r="C49" s="8" t="s">
        <v>772</v>
      </c>
      <c r="D49" s="8" t="s">
        <v>166</v>
      </c>
      <c r="E49" s="8" t="s">
        <v>35</v>
      </c>
      <c r="F49" s="8" t="s">
        <v>717</v>
      </c>
      <c r="G49" s="8" t="s">
        <v>695</v>
      </c>
      <c r="H49" s="8" t="s">
        <v>73</v>
      </c>
      <c r="I49" s="8" t="s">
        <v>696</v>
      </c>
      <c r="J49" s="8" t="s">
        <v>771</v>
      </c>
      <c r="K49" s="8" t="s">
        <v>697</v>
      </c>
      <c r="L49" s="8" t="s">
        <v>700</v>
      </c>
      <c r="M49" s="8" t="s">
        <v>708</v>
      </c>
      <c r="N49" s="8" t="s">
        <v>73</v>
      </c>
      <c r="O49" s="8" t="s">
        <v>73</v>
      </c>
    </row>
    <row r="50" spans="1:15" x14ac:dyDescent="0.25">
      <c r="A50" s="8" t="s">
        <v>761</v>
      </c>
      <c r="B50" s="8" t="s">
        <v>795</v>
      </c>
      <c r="C50" s="8" t="s">
        <v>772</v>
      </c>
      <c r="D50" s="8" t="s">
        <v>166</v>
      </c>
      <c r="E50" s="8" t="s">
        <v>35</v>
      </c>
      <c r="F50" s="8" t="s">
        <v>717</v>
      </c>
      <c r="G50" s="8" t="s">
        <v>695</v>
      </c>
      <c r="H50" s="8" t="s">
        <v>73</v>
      </c>
      <c r="I50" s="8" t="s">
        <v>696</v>
      </c>
      <c r="J50" s="8" t="s">
        <v>771</v>
      </c>
      <c r="K50" s="8" t="s">
        <v>697</v>
      </c>
      <c r="L50" s="8" t="s">
        <v>700</v>
      </c>
      <c r="M50" s="8" t="s">
        <v>708</v>
      </c>
      <c r="N50" s="8" t="s">
        <v>73</v>
      </c>
      <c r="O50" s="8" t="s">
        <v>73</v>
      </c>
    </row>
    <row r="51" spans="1:15" x14ac:dyDescent="0.25">
      <c r="A51" s="8" t="s">
        <v>274</v>
      </c>
      <c r="B51" s="8" t="s">
        <v>419</v>
      </c>
      <c r="C51" s="8" t="s">
        <v>772</v>
      </c>
      <c r="D51" s="8" t="s">
        <v>166</v>
      </c>
      <c r="E51" s="8" t="s">
        <v>35</v>
      </c>
      <c r="F51" s="8" t="s">
        <v>717</v>
      </c>
      <c r="G51" s="8" t="s">
        <v>695</v>
      </c>
      <c r="H51" s="8" t="s">
        <v>73</v>
      </c>
      <c r="I51" s="8" t="s">
        <v>696</v>
      </c>
      <c r="J51" s="8" t="s">
        <v>771</v>
      </c>
      <c r="K51" s="8" t="s">
        <v>697</v>
      </c>
      <c r="L51" s="8" t="s">
        <v>700</v>
      </c>
      <c r="M51" s="8" t="s">
        <v>708</v>
      </c>
      <c r="N51" s="8" t="s">
        <v>73</v>
      </c>
      <c r="O51" s="8" t="s">
        <v>73</v>
      </c>
    </row>
    <row r="52" spans="1:15" x14ac:dyDescent="0.25">
      <c r="A52" s="8" t="s">
        <v>133</v>
      </c>
      <c r="B52" s="8" t="s">
        <v>180</v>
      </c>
      <c r="C52" s="8" t="s">
        <v>772</v>
      </c>
      <c r="D52" s="8" t="s">
        <v>166</v>
      </c>
      <c r="E52" s="8" t="s">
        <v>35</v>
      </c>
      <c r="F52" s="8" t="s">
        <v>717</v>
      </c>
      <c r="G52" s="8" t="s">
        <v>695</v>
      </c>
      <c r="H52" s="8" t="s">
        <v>73</v>
      </c>
      <c r="I52" s="8" t="s">
        <v>696</v>
      </c>
      <c r="J52" s="8" t="s">
        <v>771</v>
      </c>
      <c r="K52" s="8" t="s">
        <v>697</v>
      </c>
      <c r="L52" s="8" t="s">
        <v>703</v>
      </c>
      <c r="M52" s="8" t="s">
        <v>709</v>
      </c>
      <c r="N52" s="8" t="s">
        <v>73</v>
      </c>
      <c r="O52" s="8" t="s">
        <v>73</v>
      </c>
    </row>
    <row r="53" spans="1:15" x14ac:dyDescent="0.25">
      <c r="A53" s="8" t="s">
        <v>796</v>
      </c>
      <c r="B53" s="8" t="s">
        <v>797</v>
      </c>
      <c r="C53" s="8" t="s">
        <v>772</v>
      </c>
      <c r="D53" s="8" t="s">
        <v>166</v>
      </c>
      <c r="E53" s="8" t="s">
        <v>35</v>
      </c>
      <c r="F53" s="8" t="s">
        <v>717</v>
      </c>
      <c r="G53" s="8" t="s">
        <v>695</v>
      </c>
      <c r="H53" s="8" t="s">
        <v>73</v>
      </c>
      <c r="I53" s="8" t="s">
        <v>696</v>
      </c>
      <c r="J53" s="8" t="s">
        <v>771</v>
      </c>
      <c r="K53" s="8" t="s">
        <v>697</v>
      </c>
      <c r="L53" s="8" t="s">
        <v>703</v>
      </c>
      <c r="M53" s="8" t="s">
        <v>709</v>
      </c>
      <c r="N53" s="8" t="s">
        <v>73</v>
      </c>
      <c r="O53" s="8" t="s">
        <v>73</v>
      </c>
    </row>
    <row r="54" spans="1:15" x14ac:dyDescent="0.25">
      <c r="A54" s="8" t="s">
        <v>798</v>
      </c>
      <c r="B54" s="8" t="s">
        <v>799</v>
      </c>
      <c r="C54" s="8" t="s">
        <v>772</v>
      </c>
      <c r="D54" s="8" t="s">
        <v>166</v>
      </c>
      <c r="E54" s="8" t="s">
        <v>35</v>
      </c>
      <c r="F54" s="8" t="s">
        <v>717</v>
      </c>
      <c r="G54" s="8" t="s">
        <v>695</v>
      </c>
      <c r="H54" s="8" t="s">
        <v>73</v>
      </c>
      <c r="I54" s="8" t="s">
        <v>696</v>
      </c>
      <c r="J54" s="8" t="s">
        <v>771</v>
      </c>
      <c r="K54" s="8" t="s">
        <v>697</v>
      </c>
      <c r="L54" s="8" t="s">
        <v>703</v>
      </c>
      <c r="M54" s="8" t="s">
        <v>709</v>
      </c>
      <c r="N54" s="8" t="s">
        <v>73</v>
      </c>
      <c r="O54" s="8" t="s">
        <v>73</v>
      </c>
    </row>
    <row r="55" spans="1:15" x14ac:dyDescent="0.25">
      <c r="A55" s="8" t="s">
        <v>134</v>
      </c>
      <c r="B55" s="8" t="s">
        <v>151</v>
      </c>
      <c r="C55" s="8" t="s">
        <v>772</v>
      </c>
      <c r="D55" s="8" t="s">
        <v>166</v>
      </c>
      <c r="E55" s="8" t="s">
        <v>35</v>
      </c>
      <c r="F55" s="8" t="s">
        <v>717</v>
      </c>
      <c r="G55" s="8" t="s">
        <v>695</v>
      </c>
      <c r="H55" s="8" t="s">
        <v>73</v>
      </c>
      <c r="I55" s="8" t="s">
        <v>696</v>
      </c>
      <c r="J55" s="8" t="s">
        <v>771</v>
      </c>
      <c r="K55" s="8" t="s">
        <v>697</v>
      </c>
      <c r="L55" s="8" t="s">
        <v>703</v>
      </c>
      <c r="M55" s="8" t="s">
        <v>709</v>
      </c>
      <c r="N55" s="8" t="s">
        <v>73</v>
      </c>
      <c r="O55" s="8" t="s">
        <v>73</v>
      </c>
    </row>
    <row r="56" spans="1:15" x14ac:dyDescent="0.25">
      <c r="A56" s="8" t="s">
        <v>762</v>
      </c>
      <c r="B56" s="8" t="s">
        <v>800</v>
      </c>
      <c r="C56" s="8" t="s">
        <v>772</v>
      </c>
      <c r="D56" s="8" t="s">
        <v>166</v>
      </c>
      <c r="E56" s="8" t="s">
        <v>35</v>
      </c>
      <c r="F56" s="8" t="s">
        <v>717</v>
      </c>
      <c r="G56" s="8" t="s">
        <v>695</v>
      </c>
      <c r="H56" s="8" t="s">
        <v>73</v>
      </c>
      <c r="I56" s="8" t="s">
        <v>696</v>
      </c>
      <c r="J56" s="8" t="s">
        <v>771</v>
      </c>
      <c r="K56" s="8" t="s">
        <v>697</v>
      </c>
      <c r="L56" s="8" t="s">
        <v>703</v>
      </c>
      <c r="M56" s="8" t="s">
        <v>709</v>
      </c>
      <c r="N56" s="8" t="s">
        <v>73</v>
      </c>
      <c r="O56" s="8" t="s">
        <v>73</v>
      </c>
    </row>
    <row r="57" spans="1:15" x14ac:dyDescent="0.25">
      <c r="A57" s="8" t="s">
        <v>135</v>
      </c>
      <c r="B57" s="8" t="s">
        <v>181</v>
      </c>
      <c r="C57" s="8" t="s">
        <v>772</v>
      </c>
      <c r="D57" s="8" t="s">
        <v>166</v>
      </c>
      <c r="E57" s="8" t="s">
        <v>35</v>
      </c>
      <c r="F57" s="8" t="s">
        <v>717</v>
      </c>
      <c r="G57" s="8" t="s">
        <v>695</v>
      </c>
      <c r="H57" s="8" t="s">
        <v>73</v>
      </c>
      <c r="I57" s="8" t="s">
        <v>696</v>
      </c>
      <c r="J57" s="8" t="s">
        <v>771</v>
      </c>
      <c r="K57" s="8" t="s">
        <v>697</v>
      </c>
      <c r="L57" s="8" t="s">
        <v>703</v>
      </c>
      <c r="M57" s="8" t="s">
        <v>709</v>
      </c>
      <c r="N57" s="8" t="s">
        <v>73</v>
      </c>
      <c r="O57" s="8" t="s">
        <v>73</v>
      </c>
    </row>
    <row r="58" spans="1:15" x14ac:dyDescent="0.25">
      <c r="A58" s="8" t="s">
        <v>67</v>
      </c>
      <c r="B58" s="8" t="s">
        <v>182</v>
      </c>
      <c r="C58" s="8" t="s">
        <v>165</v>
      </c>
      <c r="D58" s="8" t="s">
        <v>147</v>
      </c>
      <c r="E58" s="8" t="s">
        <v>36</v>
      </c>
      <c r="F58" s="8" t="s">
        <v>717</v>
      </c>
      <c r="G58" s="8" t="s">
        <v>695</v>
      </c>
      <c r="H58" s="8" t="s">
        <v>73</v>
      </c>
      <c r="I58" s="8" t="s">
        <v>696</v>
      </c>
      <c r="J58" s="8" t="s">
        <v>771</v>
      </c>
      <c r="K58" s="8" t="s">
        <v>697</v>
      </c>
      <c r="L58" s="8" t="s">
        <v>703</v>
      </c>
      <c r="M58" s="8" t="s">
        <v>710</v>
      </c>
      <c r="N58" s="8" t="s">
        <v>73</v>
      </c>
      <c r="O58" s="8" t="s">
        <v>73</v>
      </c>
    </row>
    <row r="59" spans="1:15" x14ac:dyDescent="0.25">
      <c r="A59" s="8" t="s">
        <v>93</v>
      </c>
      <c r="B59" s="8" t="s">
        <v>94</v>
      </c>
      <c r="C59" s="8" t="s">
        <v>165</v>
      </c>
      <c r="D59" s="8" t="s">
        <v>147</v>
      </c>
      <c r="E59" s="8" t="s">
        <v>36</v>
      </c>
      <c r="F59" s="8" t="s">
        <v>717</v>
      </c>
      <c r="G59" s="8" t="s">
        <v>695</v>
      </c>
      <c r="H59" s="8" t="s">
        <v>73</v>
      </c>
      <c r="I59" s="8" t="s">
        <v>696</v>
      </c>
      <c r="J59" s="8" t="s">
        <v>771</v>
      </c>
      <c r="K59" s="8" t="s">
        <v>697</v>
      </c>
      <c r="L59" s="8" t="s">
        <v>703</v>
      </c>
      <c r="M59" s="8" t="s">
        <v>710</v>
      </c>
      <c r="N59" s="8" t="s">
        <v>73</v>
      </c>
      <c r="O59" s="8" t="s">
        <v>73</v>
      </c>
    </row>
    <row r="60" spans="1:15" x14ac:dyDescent="0.25">
      <c r="A60" s="8" t="s">
        <v>68</v>
      </c>
      <c r="B60" s="8" t="s">
        <v>183</v>
      </c>
      <c r="C60" s="8" t="s">
        <v>165</v>
      </c>
      <c r="D60" s="8" t="s">
        <v>147</v>
      </c>
      <c r="E60" s="8" t="s">
        <v>36</v>
      </c>
      <c r="F60" s="8" t="s">
        <v>717</v>
      </c>
      <c r="G60" s="8" t="s">
        <v>695</v>
      </c>
      <c r="H60" s="8" t="s">
        <v>73</v>
      </c>
      <c r="I60" s="8" t="s">
        <v>696</v>
      </c>
      <c r="J60" s="8" t="s">
        <v>771</v>
      </c>
      <c r="K60" s="8" t="s">
        <v>697</v>
      </c>
      <c r="L60" s="8" t="s">
        <v>703</v>
      </c>
      <c r="M60" s="8" t="s">
        <v>710</v>
      </c>
      <c r="N60" s="8" t="s">
        <v>73</v>
      </c>
      <c r="O60" s="8" t="s">
        <v>73</v>
      </c>
    </row>
    <row r="61" spans="1:15" x14ac:dyDescent="0.25">
      <c r="A61" s="8" t="s">
        <v>52</v>
      </c>
      <c r="B61" s="8" t="s">
        <v>149</v>
      </c>
      <c r="C61" s="8" t="s">
        <v>165</v>
      </c>
      <c r="D61" s="8" t="s">
        <v>147</v>
      </c>
      <c r="E61" s="8" t="s">
        <v>36</v>
      </c>
      <c r="F61" s="8" t="s">
        <v>717</v>
      </c>
      <c r="G61" s="8" t="s">
        <v>695</v>
      </c>
      <c r="H61" s="8" t="s">
        <v>73</v>
      </c>
      <c r="I61" s="8" t="s">
        <v>696</v>
      </c>
      <c r="J61" s="8" t="s">
        <v>771</v>
      </c>
      <c r="K61" s="8" t="s">
        <v>697</v>
      </c>
      <c r="L61" s="8" t="s">
        <v>703</v>
      </c>
      <c r="M61" s="8" t="s">
        <v>710</v>
      </c>
      <c r="N61" s="8" t="s">
        <v>73</v>
      </c>
      <c r="O61" s="8" t="s">
        <v>73</v>
      </c>
    </row>
    <row r="62" spans="1:15" x14ac:dyDescent="0.25">
      <c r="A62" s="8" t="s">
        <v>103</v>
      </c>
      <c r="B62" s="8" t="s">
        <v>104</v>
      </c>
      <c r="C62" s="8" t="s">
        <v>165</v>
      </c>
      <c r="D62" s="8" t="s">
        <v>147</v>
      </c>
      <c r="E62" s="8" t="s">
        <v>36</v>
      </c>
      <c r="F62" s="8" t="s">
        <v>717</v>
      </c>
      <c r="G62" s="8" t="s">
        <v>695</v>
      </c>
      <c r="H62" s="8" t="s">
        <v>73</v>
      </c>
      <c r="I62" s="8" t="s">
        <v>696</v>
      </c>
      <c r="J62" s="8" t="s">
        <v>771</v>
      </c>
      <c r="K62" s="8" t="s">
        <v>697</v>
      </c>
      <c r="L62" s="8" t="s">
        <v>703</v>
      </c>
      <c r="M62" s="8" t="s">
        <v>710</v>
      </c>
      <c r="N62" s="8" t="s">
        <v>73</v>
      </c>
      <c r="O62" s="8" t="s">
        <v>73</v>
      </c>
    </row>
    <row r="63" spans="1:15" x14ac:dyDescent="0.25">
      <c r="A63" s="8" t="s">
        <v>53</v>
      </c>
      <c r="B63" s="8" t="s">
        <v>117</v>
      </c>
      <c r="C63" s="8" t="s">
        <v>165</v>
      </c>
      <c r="D63" s="8" t="s">
        <v>147</v>
      </c>
      <c r="E63" s="8" t="s">
        <v>36</v>
      </c>
      <c r="F63" s="8" t="s">
        <v>717</v>
      </c>
      <c r="G63" s="8" t="s">
        <v>695</v>
      </c>
      <c r="H63" s="8" t="s">
        <v>73</v>
      </c>
      <c r="I63" s="8" t="s">
        <v>696</v>
      </c>
      <c r="J63" s="8" t="s">
        <v>771</v>
      </c>
      <c r="K63" s="8" t="s">
        <v>697</v>
      </c>
      <c r="L63" s="8" t="s">
        <v>703</v>
      </c>
      <c r="M63" s="8" t="s">
        <v>710</v>
      </c>
      <c r="N63" s="8" t="s">
        <v>73</v>
      </c>
      <c r="O63" s="8" t="s">
        <v>73</v>
      </c>
    </row>
    <row r="64" spans="1:15" x14ac:dyDescent="0.25">
      <c r="A64" s="8" t="s">
        <v>54</v>
      </c>
      <c r="B64" s="8" t="s">
        <v>105</v>
      </c>
      <c r="C64" s="8" t="s">
        <v>165</v>
      </c>
      <c r="D64" s="8" t="s">
        <v>147</v>
      </c>
      <c r="E64" s="8" t="s">
        <v>36</v>
      </c>
      <c r="F64" s="8" t="s">
        <v>717</v>
      </c>
      <c r="G64" s="8" t="s">
        <v>695</v>
      </c>
      <c r="H64" s="8" t="s">
        <v>73</v>
      </c>
      <c r="I64" s="8" t="s">
        <v>696</v>
      </c>
      <c r="J64" s="8" t="s">
        <v>771</v>
      </c>
      <c r="K64" s="8" t="s">
        <v>697</v>
      </c>
      <c r="L64" s="8" t="s">
        <v>703</v>
      </c>
      <c r="M64" s="8" t="s">
        <v>710</v>
      </c>
      <c r="N64" s="8" t="s">
        <v>73</v>
      </c>
      <c r="O64" s="8" t="s">
        <v>73</v>
      </c>
    </row>
    <row r="65" spans="1:15" x14ac:dyDescent="0.25">
      <c r="A65" s="8" t="s">
        <v>89</v>
      </c>
      <c r="B65" s="8" t="s">
        <v>90</v>
      </c>
      <c r="C65" s="8" t="s">
        <v>165</v>
      </c>
      <c r="D65" s="8" t="s">
        <v>147</v>
      </c>
      <c r="E65" s="8" t="s">
        <v>36</v>
      </c>
      <c r="F65" s="8" t="s">
        <v>717</v>
      </c>
      <c r="G65" s="8" t="s">
        <v>695</v>
      </c>
      <c r="H65" s="8" t="s">
        <v>73</v>
      </c>
      <c r="I65" s="8" t="s">
        <v>696</v>
      </c>
      <c r="J65" s="8" t="s">
        <v>771</v>
      </c>
      <c r="K65" s="8" t="s">
        <v>697</v>
      </c>
      <c r="L65" s="8" t="s">
        <v>703</v>
      </c>
      <c r="M65" s="8" t="s">
        <v>710</v>
      </c>
      <c r="N65" s="8" t="s">
        <v>73</v>
      </c>
      <c r="O65" s="8" t="s">
        <v>73</v>
      </c>
    </row>
    <row r="66" spans="1:15" x14ac:dyDescent="0.25">
      <c r="A66" s="8" t="s">
        <v>26</v>
      </c>
      <c r="B66" s="8" t="s">
        <v>30</v>
      </c>
      <c r="C66" s="8" t="s">
        <v>165</v>
      </c>
      <c r="D66" s="8" t="s">
        <v>147</v>
      </c>
      <c r="E66" s="8" t="s">
        <v>36</v>
      </c>
      <c r="F66" s="8" t="s">
        <v>717</v>
      </c>
      <c r="G66" s="8" t="s">
        <v>695</v>
      </c>
      <c r="H66" s="8" t="s">
        <v>73</v>
      </c>
      <c r="I66" s="8" t="s">
        <v>696</v>
      </c>
      <c r="J66" s="8" t="s">
        <v>771</v>
      </c>
      <c r="K66" s="8" t="s">
        <v>697</v>
      </c>
      <c r="L66" s="8" t="s">
        <v>703</v>
      </c>
      <c r="M66" s="8" t="s">
        <v>710</v>
      </c>
      <c r="N66" s="8" t="s">
        <v>73</v>
      </c>
      <c r="O66" s="8" t="s">
        <v>73</v>
      </c>
    </row>
    <row r="67" spans="1:15" x14ac:dyDescent="0.25">
      <c r="A67" s="8" t="s">
        <v>112</v>
      </c>
      <c r="B67" s="8" t="s">
        <v>113</v>
      </c>
      <c r="C67" s="8" t="s">
        <v>165</v>
      </c>
      <c r="D67" s="8" t="s">
        <v>147</v>
      </c>
      <c r="E67" s="8" t="s">
        <v>36</v>
      </c>
      <c r="F67" s="8" t="s">
        <v>717</v>
      </c>
      <c r="G67" s="8" t="s">
        <v>695</v>
      </c>
      <c r="H67" s="8" t="s">
        <v>73</v>
      </c>
      <c r="I67" s="8" t="s">
        <v>696</v>
      </c>
      <c r="J67" s="8" t="s">
        <v>771</v>
      </c>
      <c r="K67" s="8" t="s">
        <v>697</v>
      </c>
      <c r="L67" s="8" t="s">
        <v>703</v>
      </c>
      <c r="M67" s="8" t="s">
        <v>710</v>
      </c>
      <c r="N67" s="8" t="s">
        <v>73</v>
      </c>
      <c r="O67" s="8" t="s">
        <v>73</v>
      </c>
    </row>
    <row r="68" spans="1:15" x14ac:dyDescent="0.25">
      <c r="A68" s="8" t="s">
        <v>98</v>
      </c>
      <c r="B68" s="8" t="s">
        <v>99</v>
      </c>
      <c r="C68" s="8" t="s">
        <v>165</v>
      </c>
      <c r="D68" s="8" t="s">
        <v>147</v>
      </c>
      <c r="E68" s="8" t="s">
        <v>36</v>
      </c>
      <c r="F68" s="8" t="s">
        <v>717</v>
      </c>
      <c r="G68" s="8" t="s">
        <v>695</v>
      </c>
      <c r="H68" s="8" t="s">
        <v>73</v>
      </c>
      <c r="I68" s="8" t="s">
        <v>696</v>
      </c>
      <c r="J68" s="8" t="s">
        <v>771</v>
      </c>
      <c r="K68" s="8" t="s">
        <v>697</v>
      </c>
      <c r="L68" s="8" t="s">
        <v>703</v>
      </c>
      <c r="M68" s="8" t="s">
        <v>710</v>
      </c>
      <c r="N68" s="8" t="s">
        <v>73</v>
      </c>
      <c r="O68" s="8" t="s">
        <v>73</v>
      </c>
    </row>
    <row r="69" spans="1:15" x14ac:dyDescent="0.25">
      <c r="A69" s="8" t="s">
        <v>55</v>
      </c>
      <c r="B69" s="8" t="s">
        <v>118</v>
      </c>
      <c r="C69" s="8" t="s">
        <v>165</v>
      </c>
      <c r="D69" s="8" t="s">
        <v>147</v>
      </c>
      <c r="E69" s="8" t="s">
        <v>36</v>
      </c>
      <c r="F69" s="8" t="s">
        <v>717</v>
      </c>
      <c r="G69" s="8" t="s">
        <v>695</v>
      </c>
      <c r="H69" s="8" t="s">
        <v>73</v>
      </c>
      <c r="I69" s="8" t="s">
        <v>696</v>
      </c>
      <c r="J69" s="8" t="s">
        <v>771</v>
      </c>
      <c r="K69" s="8" t="s">
        <v>697</v>
      </c>
      <c r="L69" s="8" t="s">
        <v>703</v>
      </c>
      <c r="M69" s="8" t="s">
        <v>710</v>
      </c>
      <c r="N69" s="8" t="s">
        <v>73</v>
      </c>
      <c r="O69" s="8" t="s">
        <v>73</v>
      </c>
    </row>
    <row r="70" spans="1:15" x14ac:dyDescent="0.25">
      <c r="A70" s="8" t="s">
        <v>91</v>
      </c>
      <c r="B70" s="8" t="s">
        <v>92</v>
      </c>
      <c r="C70" s="8" t="s">
        <v>165</v>
      </c>
      <c r="D70" s="8" t="s">
        <v>147</v>
      </c>
      <c r="E70" s="8" t="s">
        <v>36</v>
      </c>
      <c r="F70" s="8" t="s">
        <v>717</v>
      </c>
      <c r="G70" s="8" t="s">
        <v>695</v>
      </c>
      <c r="H70" s="8" t="s">
        <v>73</v>
      </c>
      <c r="I70" s="8" t="s">
        <v>696</v>
      </c>
      <c r="J70" s="8" t="s">
        <v>771</v>
      </c>
      <c r="K70" s="8" t="s">
        <v>697</v>
      </c>
      <c r="L70" s="8" t="s">
        <v>703</v>
      </c>
      <c r="M70" s="8" t="s">
        <v>710</v>
      </c>
      <c r="N70" s="8" t="s">
        <v>73</v>
      </c>
      <c r="O70" s="8" t="s">
        <v>73</v>
      </c>
    </row>
    <row r="71" spans="1:15" x14ac:dyDescent="0.25">
      <c r="A71" s="8" t="s">
        <v>56</v>
      </c>
      <c r="B71" s="8" t="s">
        <v>85</v>
      </c>
      <c r="C71" s="8" t="s">
        <v>165</v>
      </c>
      <c r="D71" s="8" t="s">
        <v>147</v>
      </c>
      <c r="E71" s="8" t="s">
        <v>36</v>
      </c>
      <c r="F71" s="8" t="s">
        <v>717</v>
      </c>
      <c r="G71" s="8" t="s">
        <v>695</v>
      </c>
      <c r="H71" s="8" t="s">
        <v>73</v>
      </c>
      <c r="I71" s="8" t="s">
        <v>696</v>
      </c>
      <c r="J71" s="8" t="s">
        <v>771</v>
      </c>
      <c r="K71" s="8" t="s">
        <v>697</v>
      </c>
      <c r="L71" s="8" t="s">
        <v>703</v>
      </c>
      <c r="M71" s="8" t="s">
        <v>710</v>
      </c>
      <c r="N71" s="8" t="s">
        <v>73</v>
      </c>
      <c r="O71" s="8" t="s">
        <v>73</v>
      </c>
    </row>
    <row r="72" spans="1:15" x14ac:dyDescent="0.25">
      <c r="A72" s="8" t="s">
        <v>114</v>
      </c>
      <c r="B72" s="8" t="s">
        <v>115</v>
      </c>
      <c r="C72" s="8" t="s">
        <v>165</v>
      </c>
      <c r="D72" s="8" t="s">
        <v>147</v>
      </c>
      <c r="E72" s="8" t="s">
        <v>36</v>
      </c>
      <c r="F72" s="8" t="s">
        <v>717</v>
      </c>
      <c r="G72" s="8" t="s">
        <v>695</v>
      </c>
      <c r="H72" s="8" t="s">
        <v>73</v>
      </c>
      <c r="I72" s="8" t="s">
        <v>696</v>
      </c>
      <c r="J72" s="8" t="s">
        <v>771</v>
      </c>
      <c r="K72" s="8" t="s">
        <v>697</v>
      </c>
      <c r="L72" s="8" t="s">
        <v>703</v>
      </c>
      <c r="M72" s="8" t="s">
        <v>710</v>
      </c>
      <c r="N72" s="8" t="s">
        <v>73</v>
      </c>
      <c r="O72" s="8" t="s">
        <v>73</v>
      </c>
    </row>
    <row r="73" spans="1:15" x14ac:dyDescent="0.25">
      <c r="A73" s="8" t="s">
        <v>69</v>
      </c>
      <c r="B73" s="8" t="s">
        <v>102</v>
      </c>
      <c r="C73" s="8" t="s">
        <v>165</v>
      </c>
      <c r="D73" s="8" t="s">
        <v>147</v>
      </c>
      <c r="E73" s="8" t="s">
        <v>36</v>
      </c>
      <c r="F73" s="8" t="s">
        <v>717</v>
      </c>
      <c r="G73" s="8" t="s">
        <v>695</v>
      </c>
      <c r="H73" s="8" t="s">
        <v>73</v>
      </c>
      <c r="I73" s="8" t="s">
        <v>696</v>
      </c>
      <c r="J73" s="8" t="s">
        <v>771</v>
      </c>
      <c r="K73" s="8" t="s">
        <v>697</v>
      </c>
      <c r="L73" s="8" t="s">
        <v>703</v>
      </c>
      <c r="M73" s="8" t="s">
        <v>710</v>
      </c>
      <c r="N73" s="8" t="s">
        <v>73</v>
      </c>
      <c r="O73" s="8" t="s">
        <v>73</v>
      </c>
    </row>
    <row r="74" spans="1:15" x14ac:dyDescent="0.25">
      <c r="A74" s="8" t="s">
        <v>732</v>
      </c>
      <c r="B74" s="8" t="s">
        <v>801</v>
      </c>
      <c r="C74" s="8" t="s">
        <v>165</v>
      </c>
      <c r="D74" s="8" t="s">
        <v>147</v>
      </c>
      <c r="E74" s="8" t="s">
        <v>36</v>
      </c>
      <c r="F74" s="8" t="s">
        <v>717</v>
      </c>
      <c r="G74" s="8" t="s">
        <v>695</v>
      </c>
      <c r="H74" s="8" t="s">
        <v>73</v>
      </c>
      <c r="I74" s="8" t="s">
        <v>696</v>
      </c>
      <c r="J74" s="8" t="s">
        <v>771</v>
      </c>
      <c r="K74" s="8" t="s">
        <v>697</v>
      </c>
      <c r="L74" s="8" t="s">
        <v>703</v>
      </c>
      <c r="M74" s="8" t="s">
        <v>711</v>
      </c>
      <c r="N74" s="8" t="s">
        <v>73</v>
      </c>
      <c r="O74" s="8" t="s">
        <v>73</v>
      </c>
    </row>
    <row r="75" spans="1:15" x14ac:dyDescent="0.25">
      <c r="A75" s="8" t="s">
        <v>57</v>
      </c>
      <c r="B75" s="8" t="s">
        <v>184</v>
      </c>
      <c r="C75" s="8" t="s">
        <v>165</v>
      </c>
      <c r="D75" s="8" t="s">
        <v>147</v>
      </c>
      <c r="E75" s="8" t="s">
        <v>36</v>
      </c>
      <c r="F75" s="8" t="s">
        <v>717</v>
      </c>
      <c r="G75" s="8" t="s">
        <v>695</v>
      </c>
      <c r="H75" s="8" t="s">
        <v>73</v>
      </c>
      <c r="I75" s="8" t="s">
        <v>696</v>
      </c>
      <c r="J75" s="8" t="s">
        <v>771</v>
      </c>
      <c r="K75" s="8" t="s">
        <v>697</v>
      </c>
      <c r="L75" s="8" t="s">
        <v>703</v>
      </c>
      <c r="M75" s="8" t="s">
        <v>711</v>
      </c>
      <c r="N75" s="8" t="s">
        <v>73</v>
      </c>
      <c r="O75" s="8" t="s">
        <v>73</v>
      </c>
    </row>
    <row r="76" spans="1:15" ht="30" x14ac:dyDescent="0.25">
      <c r="A76" s="8" t="s">
        <v>733</v>
      </c>
      <c r="B76" s="11" t="s">
        <v>802</v>
      </c>
      <c r="C76" s="8" t="s">
        <v>165</v>
      </c>
      <c r="D76" s="8" t="s">
        <v>147</v>
      </c>
      <c r="E76" s="8" t="s">
        <v>36</v>
      </c>
      <c r="F76" s="8" t="s">
        <v>717</v>
      </c>
      <c r="G76" s="8" t="s">
        <v>695</v>
      </c>
      <c r="H76" s="8" t="s">
        <v>73</v>
      </c>
      <c r="I76" s="8" t="s">
        <v>696</v>
      </c>
      <c r="J76" s="8" t="s">
        <v>771</v>
      </c>
      <c r="K76" s="8" t="s">
        <v>697</v>
      </c>
      <c r="L76" s="8" t="s">
        <v>703</v>
      </c>
      <c r="M76" s="8" t="s">
        <v>711</v>
      </c>
      <c r="N76" s="8" t="s">
        <v>73</v>
      </c>
      <c r="O76" s="8" t="s">
        <v>73</v>
      </c>
    </row>
    <row r="77" spans="1:15" x14ac:dyDescent="0.25">
      <c r="A77" s="8" t="s">
        <v>58</v>
      </c>
      <c r="B77" s="8" t="s">
        <v>185</v>
      </c>
      <c r="C77" s="8" t="s">
        <v>165</v>
      </c>
      <c r="D77" s="8" t="s">
        <v>147</v>
      </c>
      <c r="E77" s="8" t="s">
        <v>36</v>
      </c>
      <c r="F77" s="8" t="s">
        <v>717</v>
      </c>
      <c r="G77" s="8" t="s">
        <v>695</v>
      </c>
      <c r="H77" s="8" t="s">
        <v>73</v>
      </c>
      <c r="I77" s="8" t="s">
        <v>696</v>
      </c>
      <c r="J77" s="8" t="s">
        <v>771</v>
      </c>
      <c r="K77" s="8" t="s">
        <v>697</v>
      </c>
      <c r="L77" s="8" t="s">
        <v>703</v>
      </c>
      <c r="M77" s="8" t="s">
        <v>711</v>
      </c>
      <c r="N77" s="8" t="s">
        <v>73</v>
      </c>
      <c r="O77" s="8" t="s">
        <v>73</v>
      </c>
    </row>
    <row r="78" spans="1:15" x14ac:dyDescent="0.25">
      <c r="A78" s="8" t="s">
        <v>23</v>
      </c>
      <c r="B78" s="8" t="s">
        <v>31</v>
      </c>
      <c r="C78" s="8" t="s">
        <v>165</v>
      </c>
      <c r="D78" s="8" t="s">
        <v>147</v>
      </c>
      <c r="E78" s="8" t="s">
        <v>36</v>
      </c>
      <c r="F78" s="8" t="s">
        <v>717</v>
      </c>
      <c r="G78" s="8" t="s">
        <v>695</v>
      </c>
      <c r="H78" s="8" t="s">
        <v>73</v>
      </c>
      <c r="I78" s="8" t="s">
        <v>696</v>
      </c>
      <c r="J78" s="8" t="s">
        <v>771</v>
      </c>
      <c r="K78" s="8" t="s">
        <v>697</v>
      </c>
      <c r="L78" s="8" t="s">
        <v>703</v>
      </c>
      <c r="M78" s="8" t="s">
        <v>711</v>
      </c>
      <c r="N78" s="8" t="s">
        <v>73</v>
      </c>
      <c r="O78" s="8" t="s">
        <v>73</v>
      </c>
    </row>
    <row r="79" spans="1:15" x14ac:dyDescent="0.25">
      <c r="A79" s="8" t="s">
        <v>70</v>
      </c>
      <c r="B79" s="8" t="s">
        <v>186</v>
      </c>
      <c r="C79" s="8" t="s">
        <v>165</v>
      </c>
      <c r="D79" s="8" t="s">
        <v>147</v>
      </c>
      <c r="E79" s="8" t="s">
        <v>36</v>
      </c>
      <c r="F79" s="8" t="s">
        <v>717</v>
      </c>
      <c r="G79" s="8" t="s">
        <v>695</v>
      </c>
      <c r="H79" s="8" t="s">
        <v>73</v>
      </c>
      <c r="I79" s="8" t="s">
        <v>696</v>
      </c>
      <c r="J79" s="8" t="s">
        <v>771</v>
      </c>
      <c r="K79" s="8" t="s">
        <v>697</v>
      </c>
      <c r="L79" s="8" t="s">
        <v>703</v>
      </c>
      <c r="M79" s="8" t="s">
        <v>711</v>
      </c>
      <c r="N79" s="8" t="s">
        <v>73</v>
      </c>
      <c r="O79" s="8" t="s">
        <v>73</v>
      </c>
    </row>
    <row r="80" spans="1:15" x14ac:dyDescent="0.25">
      <c r="A80" s="8" t="s">
        <v>71</v>
      </c>
      <c r="B80" s="8" t="s">
        <v>148</v>
      </c>
      <c r="C80" s="8" t="s">
        <v>165</v>
      </c>
      <c r="D80" s="8" t="s">
        <v>147</v>
      </c>
      <c r="E80" s="8" t="s">
        <v>36</v>
      </c>
      <c r="F80" s="8" t="s">
        <v>717</v>
      </c>
      <c r="G80" s="8" t="s">
        <v>695</v>
      </c>
      <c r="H80" s="8" t="s">
        <v>73</v>
      </c>
      <c r="I80" s="8" t="s">
        <v>696</v>
      </c>
      <c r="J80" s="8" t="s">
        <v>771</v>
      </c>
      <c r="K80" s="8" t="s">
        <v>697</v>
      </c>
      <c r="L80" s="8" t="s">
        <v>703</v>
      </c>
      <c r="M80" s="8" t="s">
        <v>711</v>
      </c>
      <c r="N80" s="8" t="s">
        <v>73</v>
      </c>
      <c r="O80" s="8" t="s">
        <v>73</v>
      </c>
    </row>
    <row r="81" spans="1:15" x14ac:dyDescent="0.25">
      <c r="A81" s="8" t="s">
        <v>59</v>
      </c>
      <c r="B81" s="8" t="s">
        <v>86</v>
      </c>
      <c r="C81" s="8" t="s">
        <v>165</v>
      </c>
      <c r="D81" s="8" t="s">
        <v>147</v>
      </c>
      <c r="E81" s="8" t="s">
        <v>36</v>
      </c>
      <c r="F81" s="8" t="s">
        <v>717</v>
      </c>
      <c r="G81" s="8" t="s">
        <v>695</v>
      </c>
      <c r="H81" s="8" t="s">
        <v>73</v>
      </c>
      <c r="I81" s="8" t="s">
        <v>696</v>
      </c>
      <c r="J81" s="8" t="s">
        <v>771</v>
      </c>
      <c r="K81" s="8" t="s">
        <v>697</v>
      </c>
      <c r="L81" s="8" t="s">
        <v>703</v>
      </c>
      <c r="M81" s="8" t="s">
        <v>711</v>
      </c>
      <c r="N81" s="8" t="s">
        <v>73</v>
      </c>
      <c r="O81" s="8" t="s">
        <v>73</v>
      </c>
    </row>
    <row r="82" spans="1:15" x14ac:dyDescent="0.25">
      <c r="A82" s="8" t="s">
        <v>60</v>
      </c>
      <c r="B82" s="8" t="s">
        <v>87</v>
      </c>
      <c r="C82" s="8" t="s">
        <v>165</v>
      </c>
      <c r="D82" s="8" t="s">
        <v>147</v>
      </c>
      <c r="E82" s="8" t="s">
        <v>36</v>
      </c>
      <c r="F82" s="8" t="s">
        <v>717</v>
      </c>
      <c r="G82" s="8" t="s">
        <v>695</v>
      </c>
      <c r="H82" s="8" t="s">
        <v>73</v>
      </c>
      <c r="I82" s="8" t="s">
        <v>696</v>
      </c>
      <c r="J82" s="8" t="s">
        <v>771</v>
      </c>
      <c r="K82" s="8" t="s">
        <v>697</v>
      </c>
      <c r="L82" s="8" t="s">
        <v>703</v>
      </c>
      <c r="M82" s="8" t="s">
        <v>711</v>
      </c>
      <c r="N82" s="8" t="s">
        <v>73</v>
      </c>
      <c r="O82" s="8" t="s">
        <v>73</v>
      </c>
    </row>
    <row r="83" spans="1:15" x14ac:dyDescent="0.25">
      <c r="A83" s="8" t="s">
        <v>734</v>
      </c>
      <c r="B83" s="8" t="s">
        <v>803</v>
      </c>
      <c r="C83" s="8" t="s">
        <v>673</v>
      </c>
      <c r="D83" s="8" t="s">
        <v>166</v>
      </c>
      <c r="E83" s="8" t="s">
        <v>111</v>
      </c>
      <c r="F83" s="8" t="s">
        <v>717</v>
      </c>
      <c r="G83" s="8" t="s">
        <v>770</v>
      </c>
      <c r="H83" s="8" t="s">
        <v>73</v>
      </c>
      <c r="I83" s="8" t="s">
        <v>696</v>
      </c>
      <c r="J83" s="8" t="s">
        <v>771</v>
      </c>
      <c r="K83" s="8" t="s">
        <v>697</v>
      </c>
      <c r="L83" s="8" t="s">
        <v>703</v>
      </c>
      <c r="M83" s="8" t="s">
        <v>673</v>
      </c>
      <c r="N83" s="8" t="s">
        <v>73</v>
      </c>
      <c r="O83" s="8" t="s">
        <v>73</v>
      </c>
    </row>
    <row r="84" spans="1:15" x14ac:dyDescent="0.25">
      <c r="A84" s="8" t="s">
        <v>735</v>
      </c>
      <c r="B84" s="8" t="s">
        <v>804</v>
      </c>
      <c r="C84" s="8" t="s">
        <v>673</v>
      </c>
      <c r="D84" s="8" t="s">
        <v>166</v>
      </c>
      <c r="E84" s="8" t="s">
        <v>111</v>
      </c>
      <c r="F84" s="8" t="s">
        <v>717</v>
      </c>
      <c r="G84" s="8" t="s">
        <v>770</v>
      </c>
      <c r="H84" s="8" t="s">
        <v>73</v>
      </c>
      <c r="I84" s="8" t="s">
        <v>696</v>
      </c>
      <c r="J84" s="8" t="s">
        <v>771</v>
      </c>
      <c r="K84" s="8" t="s">
        <v>697</v>
      </c>
      <c r="L84" s="8" t="s">
        <v>703</v>
      </c>
      <c r="M84" s="8" t="s">
        <v>673</v>
      </c>
      <c r="N84" s="8" t="s">
        <v>73</v>
      </c>
      <c r="O84" s="8" t="s">
        <v>73</v>
      </c>
    </row>
    <row r="85" spans="1:15" x14ac:dyDescent="0.25">
      <c r="A85" s="8" t="s">
        <v>72</v>
      </c>
      <c r="B85" s="8" t="s">
        <v>187</v>
      </c>
      <c r="C85" s="8" t="s">
        <v>772</v>
      </c>
      <c r="D85" s="8" t="s">
        <v>166</v>
      </c>
      <c r="E85" s="8" t="s">
        <v>34</v>
      </c>
      <c r="F85" s="8" t="s">
        <v>717</v>
      </c>
      <c r="G85" s="8" t="s">
        <v>695</v>
      </c>
      <c r="H85" s="8" t="s">
        <v>73</v>
      </c>
      <c r="I85" s="8" t="s">
        <v>696</v>
      </c>
      <c r="J85" s="8" t="s">
        <v>771</v>
      </c>
      <c r="K85" s="8" t="s">
        <v>697</v>
      </c>
      <c r="L85" s="8" t="s">
        <v>703</v>
      </c>
      <c r="M85" s="8" t="s">
        <v>713</v>
      </c>
      <c r="N85" s="8" t="s">
        <v>73</v>
      </c>
      <c r="O85" s="8" t="s">
        <v>73</v>
      </c>
    </row>
    <row r="86" spans="1:15" x14ac:dyDescent="0.25">
      <c r="A86" s="8" t="s">
        <v>679</v>
      </c>
      <c r="B86" s="8" t="s">
        <v>805</v>
      </c>
      <c r="C86" s="8" t="s">
        <v>772</v>
      </c>
      <c r="D86" s="8" t="s">
        <v>166</v>
      </c>
      <c r="E86" s="8" t="s">
        <v>34</v>
      </c>
      <c r="F86" s="8" t="s">
        <v>717</v>
      </c>
      <c r="G86" s="8" t="s">
        <v>695</v>
      </c>
      <c r="H86" s="8" t="s">
        <v>73</v>
      </c>
      <c r="I86" s="8" t="s">
        <v>696</v>
      </c>
      <c r="J86" s="8" t="s">
        <v>771</v>
      </c>
      <c r="K86" s="8" t="s">
        <v>697</v>
      </c>
      <c r="L86" s="8" t="s">
        <v>703</v>
      </c>
      <c r="M86" s="8" t="s">
        <v>714</v>
      </c>
      <c r="N86" s="8" t="s">
        <v>73</v>
      </c>
      <c r="O86" s="8" t="s">
        <v>73</v>
      </c>
    </row>
    <row r="87" spans="1:15" x14ac:dyDescent="0.25">
      <c r="A87" s="8" t="s">
        <v>680</v>
      </c>
      <c r="B87" s="8" t="s">
        <v>806</v>
      </c>
      <c r="C87" s="8" t="s">
        <v>772</v>
      </c>
      <c r="D87" s="8" t="s">
        <v>166</v>
      </c>
      <c r="E87" s="8" t="s">
        <v>34</v>
      </c>
      <c r="F87" s="8" t="s">
        <v>717</v>
      </c>
      <c r="G87" s="8" t="s">
        <v>695</v>
      </c>
      <c r="H87" s="8" t="s">
        <v>73</v>
      </c>
      <c r="I87" s="8" t="s">
        <v>696</v>
      </c>
      <c r="J87" s="8" t="s">
        <v>771</v>
      </c>
      <c r="K87" s="8" t="s">
        <v>697</v>
      </c>
      <c r="L87" s="8" t="s">
        <v>703</v>
      </c>
      <c r="M87" s="8" t="s">
        <v>714</v>
      </c>
      <c r="N87" s="8" t="s">
        <v>73</v>
      </c>
      <c r="O87" s="8" t="s">
        <v>73</v>
      </c>
    </row>
    <row r="88" spans="1:15" x14ac:dyDescent="0.25">
      <c r="A88" s="8" t="s">
        <v>681</v>
      </c>
      <c r="B88" s="8" t="s">
        <v>807</v>
      </c>
      <c r="C88" s="8" t="s">
        <v>772</v>
      </c>
      <c r="D88" s="8" t="s">
        <v>166</v>
      </c>
      <c r="E88" s="8" t="s">
        <v>34</v>
      </c>
      <c r="F88" s="8" t="s">
        <v>717</v>
      </c>
      <c r="G88" s="8" t="s">
        <v>695</v>
      </c>
      <c r="H88" s="8" t="s">
        <v>73</v>
      </c>
      <c r="I88" s="8" t="s">
        <v>696</v>
      </c>
      <c r="J88" s="8" t="s">
        <v>771</v>
      </c>
      <c r="K88" s="8" t="s">
        <v>697</v>
      </c>
      <c r="L88" s="8" t="s">
        <v>703</v>
      </c>
      <c r="M88" s="8" t="s">
        <v>714</v>
      </c>
      <c r="N88" s="8" t="s">
        <v>73</v>
      </c>
      <c r="O88" s="8" t="s">
        <v>73</v>
      </c>
    </row>
    <row r="89" spans="1:15" x14ac:dyDescent="0.25">
      <c r="A89" s="8" t="s">
        <v>682</v>
      </c>
      <c r="B89" s="8" t="s">
        <v>808</v>
      </c>
      <c r="C89" s="8" t="s">
        <v>772</v>
      </c>
      <c r="D89" s="8" t="s">
        <v>166</v>
      </c>
      <c r="E89" s="8" t="s">
        <v>34</v>
      </c>
      <c r="F89" s="8" t="s">
        <v>717</v>
      </c>
      <c r="G89" s="8" t="s">
        <v>695</v>
      </c>
      <c r="H89" s="8" t="s">
        <v>73</v>
      </c>
      <c r="I89" s="8" t="s">
        <v>696</v>
      </c>
      <c r="J89" s="8" t="s">
        <v>771</v>
      </c>
      <c r="K89" s="8" t="s">
        <v>697</v>
      </c>
      <c r="L89" s="8" t="s">
        <v>703</v>
      </c>
      <c r="M89" s="8" t="s">
        <v>714</v>
      </c>
      <c r="N89" s="8" t="s">
        <v>73</v>
      </c>
      <c r="O89" s="8" t="s">
        <v>73</v>
      </c>
    </row>
    <row r="90" spans="1:15" x14ac:dyDescent="0.25">
      <c r="A90" s="8" t="s">
        <v>677</v>
      </c>
      <c r="B90" s="8" t="s">
        <v>809</v>
      </c>
      <c r="C90" s="8" t="s">
        <v>772</v>
      </c>
      <c r="D90" s="8" t="s">
        <v>166</v>
      </c>
      <c r="E90" s="8" t="s">
        <v>34</v>
      </c>
      <c r="F90" s="8" t="s">
        <v>717</v>
      </c>
      <c r="G90" s="8" t="s">
        <v>695</v>
      </c>
      <c r="H90" s="8" t="s">
        <v>73</v>
      </c>
      <c r="I90" s="8" t="s">
        <v>696</v>
      </c>
      <c r="J90" s="8" t="s">
        <v>771</v>
      </c>
      <c r="K90" s="8" t="s">
        <v>697</v>
      </c>
      <c r="L90" s="8" t="s">
        <v>703</v>
      </c>
      <c r="M90" s="8" t="s">
        <v>714</v>
      </c>
      <c r="N90" s="8" t="s">
        <v>73</v>
      </c>
      <c r="O90" s="8" t="s">
        <v>73</v>
      </c>
    </row>
    <row r="91" spans="1:15" x14ac:dyDescent="0.25">
      <c r="A91" s="8" t="s">
        <v>61</v>
      </c>
      <c r="B91" s="8" t="s">
        <v>444</v>
      </c>
      <c r="C91" s="8" t="s">
        <v>772</v>
      </c>
      <c r="D91" s="8" t="s">
        <v>166</v>
      </c>
      <c r="E91" s="8" t="s">
        <v>34</v>
      </c>
      <c r="F91" s="8" t="s">
        <v>717</v>
      </c>
      <c r="G91" s="8" t="s">
        <v>695</v>
      </c>
      <c r="H91" s="8" t="s">
        <v>73</v>
      </c>
      <c r="I91" s="8" t="s">
        <v>696</v>
      </c>
      <c r="J91" s="8" t="s">
        <v>771</v>
      </c>
      <c r="K91" s="8" t="s">
        <v>697</v>
      </c>
      <c r="L91" s="8" t="s">
        <v>703</v>
      </c>
      <c r="M91" s="8" t="s">
        <v>701</v>
      </c>
      <c r="N91" s="8" t="s">
        <v>73</v>
      </c>
      <c r="O91" s="8" t="s">
        <v>73</v>
      </c>
    </row>
    <row r="92" spans="1:15" x14ac:dyDescent="0.25">
      <c r="A92" s="8" t="s">
        <v>295</v>
      </c>
      <c r="B92" s="8" t="s">
        <v>445</v>
      </c>
      <c r="C92" s="8" t="s">
        <v>772</v>
      </c>
      <c r="D92" s="8" t="s">
        <v>166</v>
      </c>
      <c r="E92" s="8" t="s">
        <v>34</v>
      </c>
      <c r="F92" s="8" t="s">
        <v>717</v>
      </c>
      <c r="G92" s="8" t="s">
        <v>695</v>
      </c>
      <c r="H92" s="8" t="s">
        <v>73</v>
      </c>
      <c r="I92" s="8" t="s">
        <v>696</v>
      </c>
      <c r="J92" s="8" t="s">
        <v>771</v>
      </c>
      <c r="K92" s="8" t="s">
        <v>697</v>
      </c>
      <c r="L92" s="8" t="s">
        <v>703</v>
      </c>
      <c r="M92" s="8" t="s">
        <v>701</v>
      </c>
      <c r="N92" s="8" t="s">
        <v>73</v>
      </c>
      <c r="O92" s="8" t="s">
        <v>73</v>
      </c>
    </row>
    <row r="93" spans="1:15" x14ac:dyDescent="0.25">
      <c r="A93" s="8" t="s">
        <v>62</v>
      </c>
      <c r="B93" s="8" t="s">
        <v>810</v>
      </c>
      <c r="C93" s="8" t="s">
        <v>772</v>
      </c>
      <c r="D93" s="8" t="s">
        <v>166</v>
      </c>
      <c r="E93" s="8" t="s">
        <v>34</v>
      </c>
      <c r="F93" s="8" t="s">
        <v>717</v>
      </c>
      <c r="G93" s="8" t="s">
        <v>695</v>
      </c>
      <c r="H93" s="8" t="s">
        <v>73</v>
      </c>
      <c r="I93" s="8" t="s">
        <v>696</v>
      </c>
      <c r="J93" s="8" t="s">
        <v>771</v>
      </c>
      <c r="K93" s="8" t="s">
        <v>697</v>
      </c>
      <c r="L93" s="8" t="s">
        <v>703</v>
      </c>
      <c r="M93" s="8" t="s">
        <v>701</v>
      </c>
      <c r="N93" s="8" t="s">
        <v>73</v>
      </c>
      <c r="O93" s="8" t="s">
        <v>73</v>
      </c>
    </row>
    <row r="94" spans="1:15" x14ac:dyDescent="0.25">
      <c r="A94" s="8" t="s">
        <v>299</v>
      </c>
      <c r="B94" s="8" t="s">
        <v>449</v>
      </c>
      <c r="C94" s="8" t="s">
        <v>772</v>
      </c>
      <c r="D94" s="8" t="s">
        <v>166</v>
      </c>
      <c r="E94" s="8" t="s">
        <v>34</v>
      </c>
      <c r="F94" s="8" t="s">
        <v>717</v>
      </c>
      <c r="G94" s="8" t="s">
        <v>695</v>
      </c>
      <c r="H94" s="8" t="s">
        <v>73</v>
      </c>
      <c r="I94" s="8" t="s">
        <v>696</v>
      </c>
      <c r="J94" s="8" t="s">
        <v>771</v>
      </c>
      <c r="K94" s="8" t="s">
        <v>697</v>
      </c>
      <c r="L94" s="8" t="s">
        <v>703</v>
      </c>
      <c r="M94" s="8" t="s">
        <v>704</v>
      </c>
      <c r="N94" s="8" t="s">
        <v>73</v>
      </c>
      <c r="O94" s="8" t="s">
        <v>73</v>
      </c>
    </row>
    <row r="95" spans="1:15" x14ac:dyDescent="0.25">
      <c r="A95" s="8" t="s">
        <v>300</v>
      </c>
      <c r="B95" s="8" t="s">
        <v>450</v>
      </c>
      <c r="C95" s="8" t="s">
        <v>772</v>
      </c>
      <c r="D95" s="8" t="s">
        <v>166</v>
      </c>
      <c r="E95" s="8" t="s">
        <v>34</v>
      </c>
      <c r="F95" s="8" t="s">
        <v>717</v>
      </c>
      <c r="G95" s="8" t="s">
        <v>695</v>
      </c>
      <c r="H95" s="8" t="s">
        <v>73</v>
      </c>
      <c r="I95" s="8" t="s">
        <v>696</v>
      </c>
      <c r="J95" s="8" t="s">
        <v>771</v>
      </c>
      <c r="K95" s="8" t="s">
        <v>697</v>
      </c>
      <c r="L95" s="8" t="s">
        <v>703</v>
      </c>
      <c r="M95" s="8" t="s">
        <v>704</v>
      </c>
      <c r="N95" s="8" t="s">
        <v>73</v>
      </c>
      <c r="O95" s="8" t="s">
        <v>73</v>
      </c>
    </row>
    <row r="96" spans="1:15" x14ac:dyDescent="0.25">
      <c r="A96" s="8" t="s">
        <v>301</v>
      </c>
      <c r="B96" s="8" t="s">
        <v>451</v>
      </c>
      <c r="C96" s="8" t="s">
        <v>772</v>
      </c>
      <c r="D96" s="8" t="s">
        <v>166</v>
      </c>
      <c r="E96" s="8" t="s">
        <v>34</v>
      </c>
      <c r="F96" s="8" t="s">
        <v>717</v>
      </c>
      <c r="G96" s="8" t="s">
        <v>695</v>
      </c>
      <c r="H96" s="8" t="s">
        <v>73</v>
      </c>
      <c r="I96" s="8" t="s">
        <v>696</v>
      </c>
      <c r="J96" s="8" t="s">
        <v>771</v>
      </c>
      <c r="K96" s="8" t="s">
        <v>697</v>
      </c>
      <c r="L96" s="8" t="s">
        <v>703</v>
      </c>
      <c r="M96" s="8" t="s">
        <v>704</v>
      </c>
      <c r="N96" s="8" t="s">
        <v>73</v>
      </c>
      <c r="O96" s="8" t="s">
        <v>73</v>
      </c>
    </row>
    <row r="97" spans="1:15" x14ac:dyDescent="0.25">
      <c r="A97" s="8" t="s">
        <v>736</v>
      </c>
      <c r="B97" s="8" t="s">
        <v>811</v>
      </c>
      <c r="C97" s="8" t="s">
        <v>673</v>
      </c>
      <c r="D97" s="8" t="s">
        <v>166</v>
      </c>
      <c r="E97" s="8" t="s">
        <v>111</v>
      </c>
      <c r="F97" s="8" t="s">
        <v>717</v>
      </c>
      <c r="G97" s="8" t="s">
        <v>770</v>
      </c>
      <c r="H97" s="8" t="s">
        <v>73</v>
      </c>
      <c r="I97" s="8" t="s">
        <v>696</v>
      </c>
      <c r="J97" s="8" t="s">
        <v>771</v>
      </c>
      <c r="K97" s="8" t="s">
        <v>697</v>
      </c>
      <c r="L97" s="8" t="s">
        <v>703</v>
      </c>
      <c r="M97" s="8" t="s">
        <v>673</v>
      </c>
      <c r="N97" s="8" t="s">
        <v>73</v>
      </c>
      <c r="O97" s="8" t="s">
        <v>73</v>
      </c>
    </row>
    <row r="98" spans="1:15" x14ac:dyDescent="0.25">
      <c r="A98" s="8" t="s">
        <v>737</v>
      </c>
      <c r="B98" s="8" t="s">
        <v>812</v>
      </c>
      <c r="C98" s="8" t="s">
        <v>673</v>
      </c>
      <c r="D98" s="8" t="s">
        <v>166</v>
      </c>
      <c r="E98" s="8" t="s">
        <v>111</v>
      </c>
      <c r="F98" s="8" t="s">
        <v>717</v>
      </c>
      <c r="G98" s="8" t="s">
        <v>770</v>
      </c>
      <c r="H98" s="8" t="s">
        <v>73</v>
      </c>
      <c r="I98" s="8" t="s">
        <v>696</v>
      </c>
      <c r="J98" s="8" t="s">
        <v>771</v>
      </c>
      <c r="K98" s="8" t="s">
        <v>697</v>
      </c>
      <c r="L98" s="8" t="s">
        <v>703</v>
      </c>
      <c r="M98" s="8" t="s">
        <v>673</v>
      </c>
      <c r="N98" s="8" t="s">
        <v>73</v>
      </c>
      <c r="O98" s="8" t="s">
        <v>73</v>
      </c>
    </row>
    <row r="99" spans="1:15" x14ac:dyDescent="0.25">
      <c r="A99" s="8" t="s">
        <v>738</v>
      </c>
      <c r="B99" s="8" t="s">
        <v>813</v>
      </c>
      <c r="C99" s="8" t="s">
        <v>673</v>
      </c>
      <c r="D99" s="8" t="s">
        <v>166</v>
      </c>
      <c r="E99" s="8" t="s">
        <v>111</v>
      </c>
      <c r="F99" s="8" t="s">
        <v>717</v>
      </c>
      <c r="G99" s="8" t="s">
        <v>770</v>
      </c>
      <c r="H99" s="8" t="s">
        <v>73</v>
      </c>
      <c r="I99" s="8" t="s">
        <v>696</v>
      </c>
      <c r="J99" s="8" t="s">
        <v>771</v>
      </c>
      <c r="K99" s="8" t="s">
        <v>697</v>
      </c>
      <c r="L99" s="8" t="s">
        <v>703</v>
      </c>
      <c r="M99" s="8" t="s">
        <v>673</v>
      </c>
      <c r="N99" s="8" t="s">
        <v>73</v>
      </c>
      <c r="O99" s="8" t="s">
        <v>73</v>
      </c>
    </row>
    <row r="100" spans="1:15" x14ac:dyDescent="0.25">
      <c r="A100" s="8" t="s">
        <v>814</v>
      </c>
      <c r="B100" s="8" t="s">
        <v>815</v>
      </c>
      <c r="C100" s="8" t="s">
        <v>673</v>
      </c>
      <c r="D100" s="8" t="s">
        <v>166</v>
      </c>
      <c r="E100" s="8" t="s">
        <v>111</v>
      </c>
      <c r="F100" s="8" t="s">
        <v>717</v>
      </c>
      <c r="G100" s="8" t="s">
        <v>770</v>
      </c>
      <c r="H100" s="8" t="s">
        <v>73</v>
      </c>
      <c r="I100" s="8" t="s">
        <v>696</v>
      </c>
      <c r="J100" s="8" t="s">
        <v>771</v>
      </c>
      <c r="K100" s="8" t="s">
        <v>697</v>
      </c>
      <c r="L100" s="8" t="s">
        <v>703</v>
      </c>
      <c r="M100" s="8" t="s">
        <v>673</v>
      </c>
      <c r="N100" s="8" t="s">
        <v>73</v>
      </c>
      <c r="O100" s="8" t="s">
        <v>73</v>
      </c>
    </row>
    <row r="101" spans="1:15" x14ac:dyDescent="0.25">
      <c r="A101" s="8" t="s">
        <v>816</v>
      </c>
      <c r="B101" s="8" t="s">
        <v>817</v>
      </c>
      <c r="C101" s="8" t="s">
        <v>673</v>
      </c>
      <c r="D101" s="8" t="s">
        <v>166</v>
      </c>
      <c r="E101" s="8" t="s">
        <v>111</v>
      </c>
      <c r="F101" s="8" t="s">
        <v>717</v>
      </c>
      <c r="G101" s="8" t="s">
        <v>770</v>
      </c>
      <c r="H101" s="8" t="s">
        <v>73</v>
      </c>
      <c r="I101" s="8" t="s">
        <v>696</v>
      </c>
      <c r="J101" s="8" t="s">
        <v>771</v>
      </c>
      <c r="K101" s="8" t="s">
        <v>697</v>
      </c>
      <c r="L101" s="8" t="s">
        <v>703</v>
      </c>
      <c r="M101" s="8" t="s">
        <v>673</v>
      </c>
      <c r="N101" s="8" t="s">
        <v>73</v>
      </c>
      <c r="O101" s="8" t="s">
        <v>73</v>
      </c>
    </row>
    <row r="102" spans="1:15" x14ac:dyDescent="0.25">
      <c r="A102" s="8" t="s">
        <v>739</v>
      </c>
      <c r="B102" s="8" t="s">
        <v>818</v>
      </c>
      <c r="C102" s="8" t="s">
        <v>673</v>
      </c>
      <c r="D102" s="8" t="s">
        <v>166</v>
      </c>
      <c r="E102" s="8" t="s">
        <v>111</v>
      </c>
      <c r="F102" s="8" t="s">
        <v>717</v>
      </c>
      <c r="G102" s="8" t="s">
        <v>770</v>
      </c>
      <c r="H102" s="8" t="s">
        <v>73</v>
      </c>
      <c r="I102" s="8" t="s">
        <v>696</v>
      </c>
      <c r="J102" s="8" t="s">
        <v>771</v>
      </c>
      <c r="K102" s="8" t="s">
        <v>697</v>
      </c>
      <c r="L102" s="8" t="s">
        <v>703</v>
      </c>
      <c r="M102" s="8" t="s">
        <v>673</v>
      </c>
      <c r="N102" s="8" t="s">
        <v>73</v>
      </c>
      <c r="O102" s="8" t="s">
        <v>73</v>
      </c>
    </row>
    <row r="103" spans="1:15" x14ac:dyDescent="0.25">
      <c r="A103" s="8" t="s">
        <v>740</v>
      </c>
      <c r="B103" s="8" t="s">
        <v>819</v>
      </c>
      <c r="C103" s="8" t="s">
        <v>673</v>
      </c>
      <c r="D103" s="8" t="s">
        <v>166</v>
      </c>
      <c r="E103" s="8" t="s">
        <v>111</v>
      </c>
      <c r="F103" s="8" t="s">
        <v>717</v>
      </c>
      <c r="G103" s="8" t="s">
        <v>770</v>
      </c>
      <c r="H103" s="8" t="s">
        <v>73</v>
      </c>
      <c r="I103" s="8" t="s">
        <v>696</v>
      </c>
      <c r="J103" s="8" t="s">
        <v>771</v>
      </c>
      <c r="K103" s="8" t="s">
        <v>697</v>
      </c>
      <c r="L103" s="8" t="s">
        <v>703</v>
      </c>
      <c r="M103" s="8" t="s">
        <v>673</v>
      </c>
      <c r="N103" s="8" t="s">
        <v>73</v>
      </c>
      <c r="O103" s="8" t="s">
        <v>73</v>
      </c>
    </row>
    <row r="104" spans="1:15" x14ac:dyDescent="0.25">
      <c r="A104" s="8" t="s">
        <v>137</v>
      </c>
      <c r="B104" s="8" t="s">
        <v>188</v>
      </c>
      <c r="C104" s="8" t="s">
        <v>772</v>
      </c>
      <c r="D104" s="8" t="s">
        <v>166</v>
      </c>
      <c r="E104" s="8" t="s">
        <v>34</v>
      </c>
      <c r="F104" s="8" t="s">
        <v>717</v>
      </c>
      <c r="G104" s="8" t="s">
        <v>695</v>
      </c>
      <c r="H104" s="8" t="s">
        <v>73</v>
      </c>
      <c r="I104" s="8" t="s">
        <v>696</v>
      </c>
      <c r="J104" s="8" t="s">
        <v>771</v>
      </c>
      <c r="K104" s="8" t="s">
        <v>697</v>
      </c>
      <c r="L104" s="8" t="s">
        <v>703</v>
      </c>
      <c r="M104" s="8" t="s">
        <v>715</v>
      </c>
      <c r="N104" s="8" t="s">
        <v>73</v>
      </c>
      <c r="O104" s="8" t="s">
        <v>73</v>
      </c>
    </row>
    <row r="105" spans="1:15" x14ac:dyDescent="0.25">
      <c r="A105" s="8" t="s">
        <v>741</v>
      </c>
      <c r="B105" s="8" t="s">
        <v>820</v>
      </c>
      <c r="C105" s="8" t="s">
        <v>772</v>
      </c>
      <c r="D105" s="8" t="s">
        <v>166</v>
      </c>
      <c r="E105" s="8" t="s">
        <v>34</v>
      </c>
      <c r="F105" s="8" t="s">
        <v>717</v>
      </c>
      <c r="G105" s="8" t="s">
        <v>695</v>
      </c>
      <c r="H105" s="8" t="s">
        <v>73</v>
      </c>
      <c r="I105" s="8" t="s">
        <v>696</v>
      </c>
      <c r="J105" s="8" t="s">
        <v>771</v>
      </c>
      <c r="K105" s="8" t="s">
        <v>697</v>
      </c>
      <c r="L105" s="8" t="s">
        <v>703</v>
      </c>
      <c r="M105" s="8" t="s">
        <v>714</v>
      </c>
      <c r="N105" s="8" t="s">
        <v>73</v>
      </c>
      <c r="O105" s="8" t="s">
        <v>73</v>
      </c>
    </row>
    <row r="106" spans="1:15" x14ac:dyDescent="0.25">
      <c r="A106" s="8" t="s">
        <v>742</v>
      </c>
      <c r="B106" s="8" t="s">
        <v>821</v>
      </c>
      <c r="C106" s="8" t="s">
        <v>673</v>
      </c>
      <c r="D106" s="8" t="s">
        <v>166</v>
      </c>
      <c r="E106" s="8" t="s">
        <v>111</v>
      </c>
      <c r="F106" s="8" t="s">
        <v>717</v>
      </c>
      <c r="G106" s="8" t="s">
        <v>770</v>
      </c>
      <c r="H106" s="8" t="s">
        <v>73</v>
      </c>
      <c r="I106" s="8" t="s">
        <v>696</v>
      </c>
      <c r="J106" s="8" t="s">
        <v>771</v>
      </c>
      <c r="K106" s="8" t="s">
        <v>697</v>
      </c>
      <c r="L106" s="8" t="s">
        <v>703</v>
      </c>
      <c r="M106" s="8" t="s">
        <v>673</v>
      </c>
      <c r="N106" s="8" t="s">
        <v>73</v>
      </c>
      <c r="O106" s="8" t="s">
        <v>73</v>
      </c>
    </row>
    <row r="107" spans="1:15" x14ac:dyDescent="0.25">
      <c r="A107" s="8" t="s">
        <v>743</v>
      </c>
      <c r="B107" s="8" t="s">
        <v>822</v>
      </c>
      <c r="C107" s="8" t="s">
        <v>673</v>
      </c>
      <c r="D107" s="8" t="s">
        <v>166</v>
      </c>
      <c r="E107" s="8" t="s">
        <v>111</v>
      </c>
      <c r="F107" s="8" t="s">
        <v>717</v>
      </c>
      <c r="G107" s="8" t="s">
        <v>770</v>
      </c>
      <c r="H107" s="8" t="s">
        <v>73</v>
      </c>
      <c r="I107" s="8" t="s">
        <v>696</v>
      </c>
      <c r="J107" s="8" t="s">
        <v>771</v>
      </c>
      <c r="K107" s="8" t="s">
        <v>697</v>
      </c>
      <c r="L107" s="8" t="s">
        <v>703</v>
      </c>
      <c r="M107" s="8" t="s">
        <v>673</v>
      </c>
      <c r="N107" s="8" t="s">
        <v>73</v>
      </c>
      <c r="O107" s="8" t="s">
        <v>73</v>
      </c>
    </row>
    <row r="108" spans="1:15" x14ac:dyDescent="0.25">
      <c r="A108" s="8" t="s">
        <v>744</v>
      </c>
      <c r="B108" s="8" t="s">
        <v>823</v>
      </c>
      <c r="C108" s="8" t="s">
        <v>673</v>
      </c>
      <c r="D108" s="8" t="s">
        <v>166</v>
      </c>
      <c r="E108" s="8" t="s">
        <v>111</v>
      </c>
      <c r="F108" s="8" t="s">
        <v>717</v>
      </c>
      <c r="G108" s="8" t="s">
        <v>770</v>
      </c>
      <c r="H108" s="8" t="s">
        <v>73</v>
      </c>
      <c r="I108" s="8" t="s">
        <v>696</v>
      </c>
      <c r="J108" s="8" t="s">
        <v>771</v>
      </c>
      <c r="K108" s="8" t="s">
        <v>697</v>
      </c>
      <c r="L108" s="8" t="s">
        <v>703</v>
      </c>
      <c r="M108" s="8" t="s">
        <v>673</v>
      </c>
      <c r="N108" s="8" t="s">
        <v>73</v>
      </c>
      <c r="O108" s="8" t="s">
        <v>73</v>
      </c>
    </row>
    <row r="109" spans="1:15" x14ac:dyDescent="0.25">
      <c r="A109" s="8" t="s">
        <v>745</v>
      </c>
      <c r="B109" s="8" t="s">
        <v>824</v>
      </c>
      <c r="C109" s="8" t="s">
        <v>673</v>
      </c>
      <c r="D109" s="8" t="s">
        <v>166</v>
      </c>
      <c r="E109" s="8" t="s">
        <v>111</v>
      </c>
      <c r="F109" s="8" t="s">
        <v>717</v>
      </c>
      <c r="G109" s="8" t="s">
        <v>770</v>
      </c>
      <c r="H109" s="8" t="s">
        <v>73</v>
      </c>
      <c r="I109" s="8" t="s">
        <v>696</v>
      </c>
      <c r="J109" s="8" t="s">
        <v>771</v>
      </c>
      <c r="K109" s="8" t="s">
        <v>697</v>
      </c>
      <c r="L109" s="8" t="s">
        <v>703</v>
      </c>
      <c r="M109" s="8" t="s">
        <v>673</v>
      </c>
      <c r="N109" s="8" t="s">
        <v>73</v>
      </c>
      <c r="O109" s="8" t="s">
        <v>73</v>
      </c>
    </row>
    <row r="110" spans="1:15" x14ac:dyDescent="0.25">
      <c r="A110" s="8" t="s">
        <v>825</v>
      </c>
      <c r="B110" s="8" t="s">
        <v>826</v>
      </c>
      <c r="C110" s="8" t="s">
        <v>673</v>
      </c>
      <c r="D110" s="8" t="s">
        <v>166</v>
      </c>
      <c r="E110" s="8" t="s">
        <v>111</v>
      </c>
      <c r="F110" s="8" t="s">
        <v>717</v>
      </c>
      <c r="G110" s="8" t="s">
        <v>770</v>
      </c>
      <c r="H110" s="8" t="s">
        <v>73</v>
      </c>
      <c r="I110" s="8" t="s">
        <v>696</v>
      </c>
      <c r="J110" s="8" t="s">
        <v>771</v>
      </c>
      <c r="K110" s="8" t="s">
        <v>697</v>
      </c>
      <c r="L110" s="8" t="s">
        <v>703</v>
      </c>
      <c r="M110" s="8" t="s">
        <v>673</v>
      </c>
      <c r="N110" s="8" t="s">
        <v>73</v>
      </c>
      <c r="O110" s="8" t="s">
        <v>73</v>
      </c>
    </row>
    <row r="111" spans="1:15" x14ac:dyDescent="0.25">
      <c r="A111" s="8" t="s">
        <v>827</v>
      </c>
      <c r="B111" s="8" t="s">
        <v>828</v>
      </c>
      <c r="C111" s="8" t="s">
        <v>673</v>
      </c>
      <c r="D111" s="8" t="s">
        <v>166</v>
      </c>
      <c r="E111" s="8" t="s">
        <v>111</v>
      </c>
      <c r="F111" s="8" t="s">
        <v>717</v>
      </c>
      <c r="G111" s="8" t="s">
        <v>770</v>
      </c>
      <c r="H111" s="8" t="s">
        <v>73</v>
      </c>
      <c r="I111" s="8" t="s">
        <v>696</v>
      </c>
      <c r="J111" s="8" t="s">
        <v>771</v>
      </c>
      <c r="K111" s="8" t="s">
        <v>697</v>
      </c>
      <c r="L111" s="8" t="s">
        <v>703</v>
      </c>
      <c r="M111" s="8" t="s">
        <v>673</v>
      </c>
      <c r="N111" s="8" t="s">
        <v>73</v>
      </c>
      <c r="O111" s="8" t="s">
        <v>73</v>
      </c>
    </row>
    <row r="112" spans="1:15" x14ac:dyDescent="0.25">
      <c r="A112" s="8" t="s">
        <v>22</v>
      </c>
      <c r="B112" s="8" t="s">
        <v>366</v>
      </c>
      <c r="C112" s="8" t="s">
        <v>772</v>
      </c>
      <c r="D112" s="8" t="s">
        <v>166</v>
      </c>
      <c r="E112" s="8" t="s">
        <v>34</v>
      </c>
      <c r="F112" s="8" t="s">
        <v>717</v>
      </c>
      <c r="G112" s="8" t="s">
        <v>695</v>
      </c>
      <c r="H112" s="8" t="s">
        <v>73</v>
      </c>
      <c r="I112" s="8" t="s">
        <v>696</v>
      </c>
      <c r="J112" s="8" t="s">
        <v>771</v>
      </c>
      <c r="K112" s="8" t="s">
        <v>697</v>
      </c>
      <c r="L112" s="8" t="s">
        <v>703</v>
      </c>
      <c r="M112" s="8" t="s">
        <v>706</v>
      </c>
      <c r="N112" s="8" t="s">
        <v>73</v>
      </c>
      <c r="O112" s="8" t="s">
        <v>73</v>
      </c>
    </row>
    <row r="113" spans="1:15" x14ac:dyDescent="0.25">
      <c r="A113" s="8" t="s">
        <v>63</v>
      </c>
      <c r="B113" s="8" t="s">
        <v>367</v>
      </c>
      <c r="C113" s="8" t="s">
        <v>772</v>
      </c>
      <c r="D113" s="8" t="s">
        <v>166</v>
      </c>
      <c r="E113" s="8" t="s">
        <v>34</v>
      </c>
      <c r="F113" s="8" t="s">
        <v>717</v>
      </c>
      <c r="G113" s="8" t="s">
        <v>695</v>
      </c>
      <c r="H113" s="8" t="s">
        <v>73</v>
      </c>
      <c r="I113" s="8" t="s">
        <v>696</v>
      </c>
      <c r="J113" s="8" t="s">
        <v>771</v>
      </c>
      <c r="K113" s="8" t="s">
        <v>697</v>
      </c>
      <c r="L113" s="8" t="s">
        <v>703</v>
      </c>
      <c r="M113" s="8" t="s">
        <v>706</v>
      </c>
      <c r="N113" s="8" t="s">
        <v>73</v>
      </c>
      <c r="O113" s="8" t="s">
        <v>73</v>
      </c>
    </row>
    <row r="114" spans="1:15" x14ac:dyDescent="0.25">
      <c r="A114" s="8" t="s">
        <v>746</v>
      </c>
      <c r="B114" s="8" t="s">
        <v>829</v>
      </c>
      <c r="C114" s="8" t="s">
        <v>673</v>
      </c>
      <c r="D114" s="8" t="s">
        <v>166</v>
      </c>
      <c r="E114" s="8" t="s">
        <v>123</v>
      </c>
      <c r="F114" s="8" t="s">
        <v>717</v>
      </c>
      <c r="G114" s="8" t="s">
        <v>770</v>
      </c>
      <c r="H114" s="8" t="s">
        <v>73</v>
      </c>
      <c r="I114" s="8" t="s">
        <v>696</v>
      </c>
      <c r="J114" s="8" t="s">
        <v>771</v>
      </c>
      <c r="K114" s="8" t="s">
        <v>697</v>
      </c>
      <c r="L114" s="8" t="s">
        <v>703</v>
      </c>
      <c r="M114" s="8" t="s">
        <v>673</v>
      </c>
      <c r="N114" s="8" t="s">
        <v>73</v>
      </c>
      <c r="O114" s="8" t="s">
        <v>73</v>
      </c>
    </row>
    <row r="115" spans="1:15" x14ac:dyDescent="0.25">
      <c r="A115" s="8" t="s">
        <v>763</v>
      </c>
      <c r="B115" s="8" t="s">
        <v>830</v>
      </c>
      <c r="C115" s="8" t="s">
        <v>673</v>
      </c>
      <c r="D115" s="8" t="s">
        <v>166</v>
      </c>
      <c r="E115" s="8" t="s">
        <v>34</v>
      </c>
      <c r="F115" s="8" t="s">
        <v>717</v>
      </c>
      <c r="G115" s="8" t="s">
        <v>695</v>
      </c>
      <c r="H115" s="8" t="s">
        <v>73</v>
      </c>
      <c r="I115" s="8" t="s">
        <v>696</v>
      </c>
      <c r="J115" s="8" t="s">
        <v>771</v>
      </c>
      <c r="K115" s="8" t="s">
        <v>697</v>
      </c>
      <c r="L115" s="8" t="s">
        <v>703</v>
      </c>
      <c r="M115" s="8" t="s">
        <v>706</v>
      </c>
      <c r="N115" s="8" t="s">
        <v>73</v>
      </c>
      <c r="O115" s="8" t="s">
        <v>73</v>
      </c>
    </row>
    <row r="116" spans="1:15" x14ac:dyDescent="0.25">
      <c r="A116" s="8" t="s">
        <v>831</v>
      </c>
      <c r="B116" s="8" t="s">
        <v>832</v>
      </c>
      <c r="C116" s="8" t="s">
        <v>673</v>
      </c>
      <c r="D116" s="8" t="s">
        <v>166</v>
      </c>
      <c r="E116" s="8" t="s">
        <v>111</v>
      </c>
      <c r="F116" s="8" t="s">
        <v>717</v>
      </c>
      <c r="G116" s="8" t="s">
        <v>695</v>
      </c>
      <c r="H116" s="8" t="s">
        <v>73</v>
      </c>
      <c r="I116" s="8" t="s">
        <v>696</v>
      </c>
      <c r="J116" s="8" t="s">
        <v>771</v>
      </c>
      <c r="K116" s="8" t="s">
        <v>697</v>
      </c>
      <c r="L116" s="8" t="s">
        <v>703</v>
      </c>
      <c r="M116" s="8" t="s">
        <v>673</v>
      </c>
      <c r="N116" s="8" t="s">
        <v>73</v>
      </c>
      <c r="O116" s="8" t="s">
        <v>73</v>
      </c>
    </row>
    <row r="117" spans="1:15" x14ac:dyDescent="0.25">
      <c r="A117" s="8" t="s">
        <v>833</v>
      </c>
      <c r="B117" s="8" t="s">
        <v>834</v>
      </c>
      <c r="C117" s="8" t="s">
        <v>673</v>
      </c>
      <c r="D117" s="8" t="s">
        <v>166</v>
      </c>
      <c r="E117" s="8" t="s">
        <v>111</v>
      </c>
      <c r="F117" s="8" t="s">
        <v>717</v>
      </c>
      <c r="G117" s="8" t="s">
        <v>770</v>
      </c>
      <c r="H117" s="8" t="s">
        <v>73</v>
      </c>
      <c r="I117" s="8" t="s">
        <v>696</v>
      </c>
      <c r="J117" s="8" t="s">
        <v>771</v>
      </c>
      <c r="K117" s="8" t="s">
        <v>697</v>
      </c>
      <c r="L117" s="8" t="s">
        <v>703</v>
      </c>
      <c r="M117" s="8" t="s">
        <v>673</v>
      </c>
      <c r="N117" s="8" t="s">
        <v>73</v>
      </c>
      <c r="O117" s="8" t="s">
        <v>73</v>
      </c>
    </row>
    <row r="118" spans="1:15" x14ac:dyDescent="0.25">
      <c r="A118" s="8" t="s">
        <v>747</v>
      </c>
      <c r="B118" s="8" t="s">
        <v>835</v>
      </c>
      <c r="C118" s="8" t="s">
        <v>673</v>
      </c>
      <c r="D118" s="8" t="s">
        <v>166</v>
      </c>
      <c r="E118" s="8" t="s">
        <v>111</v>
      </c>
      <c r="F118" s="8" t="s">
        <v>717</v>
      </c>
      <c r="G118" s="8" t="s">
        <v>770</v>
      </c>
      <c r="H118" s="8" t="s">
        <v>73</v>
      </c>
      <c r="I118" s="8" t="s">
        <v>696</v>
      </c>
      <c r="J118" s="8" t="s">
        <v>771</v>
      </c>
      <c r="K118" s="8" t="s">
        <v>697</v>
      </c>
      <c r="L118" s="8" t="s">
        <v>703</v>
      </c>
      <c r="M118" s="8" t="s">
        <v>673</v>
      </c>
      <c r="N118" s="8" t="s">
        <v>73</v>
      </c>
      <c r="O118" s="8" t="s">
        <v>73</v>
      </c>
    </row>
    <row r="119" spans="1:15" x14ac:dyDescent="0.25">
      <c r="A119" s="8" t="s">
        <v>836</v>
      </c>
      <c r="B119" s="8" t="s">
        <v>837</v>
      </c>
      <c r="C119" s="8" t="s">
        <v>673</v>
      </c>
      <c r="D119" s="8" t="s">
        <v>166</v>
      </c>
      <c r="E119" s="8" t="s">
        <v>111</v>
      </c>
      <c r="F119" s="8" t="s">
        <v>717</v>
      </c>
      <c r="G119" s="8" t="s">
        <v>770</v>
      </c>
      <c r="H119" s="8" t="s">
        <v>73</v>
      </c>
      <c r="I119" s="8" t="s">
        <v>696</v>
      </c>
      <c r="J119" s="8" t="s">
        <v>771</v>
      </c>
      <c r="K119" s="8" t="s">
        <v>697</v>
      </c>
      <c r="L119" s="8" t="s">
        <v>703</v>
      </c>
      <c r="M119" s="8" t="s">
        <v>673</v>
      </c>
      <c r="N119" s="8" t="s">
        <v>73</v>
      </c>
      <c r="O119" s="8" t="s">
        <v>73</v>
      </c>
    </row>
    <row r="120" spans="1:15" x14ac:dyDescent="0.25">
      <c r="A120" s="8" t="s">
        <v>748</v>
      </c>
      <c r="B120" s="8" t="s">
        <v>838</v>
      </c>
      <c r="C120" s="8" t="s">
        <v>673</v>
      </c>
      <c r="D120" s="8" t="s">
        <v>166</v>
      </c>
      <c r="E120" s="8" t="s">
        <v>111</v>
      </c>
      <c r="F120" s="8" t="s">
        <v>717</v>
      </c>
      <c r="G120" s="8" t="s">
        <v>770</v>
      </c>
      <c r="H120" s="8" t="s">
        <v>73</v>
      </c>
      <c r="I120" s="8" t="s">
        <v>696</v>
      </c>
      <c r="J120" s="8" t="s">
        <v>771</v>
      </c>
      <c r="K120" s="8" t="s">
        <v>697</v>
      </c>
      <c r="L120" s="8" t="s">
        <v>703</v>
      </c>
      <c r="M120" s="8" t="s">
        <v>712</v>
      </c>
      <c r="N120" s="8" t="s">
        <v>73</v>
      </c>
      <c r="O120" s="8" t="s">
        <v>73</v>
      </c>
    </row>
    <row r="121" spans="1:15" ht="30" x14ac:dyDescent="0.25">
      <c r="A121" s="8" t="s">
        <v>749</v>
      </c>
      <c r="B121" s="11" t="s">
        <v>839</v>
      </c>
      <c r="C121" s="8" t="s">
        <v>673</v>
      </c>
      <c r="D121" s="8" t="s">
        <v>166</v>
      </c>
      <c r="E121" s="8" t="s">
        <v>111</v>
      </c>
      <c r="F121" s="8" t="s">
        <v>717</v>
      </c>
      <c r="G121" s="8" t="s">
        <v>770</v>
      </c>
      <c r="H121" s="8" t="s">
        <v>73</v>
      </c>
      <c r="I121" s="8" t="s">
        <v>696</v>
      </c>
      <c r="J121" s="8" t="s">
        <v>771</v>
      </c>
      <c r="K121" s="8" t="s">
        <v>697</v>
      </c>
      <c r="L121" s="8" t="s">
        <v>703</v>
      </c>
      <c r="M121" s="8" t="s">
        <v>673</v>
      </c>
      <c r="N121" s="8" t="s">
        <v>73</v>
      </c>
      <c r="O121" s="8" t="s">
        <v>73</v>
      </c>
    </row>
    <row r="122" spans="1:15" x14ac:dyDescent="0.25">
      <c r="A122" s="8" t="s">
        <v>750</v>
      </c>
      <c r="B122" s="8" t="s">
        <v>840</v>
      </c>
      <c r="C122" s="8" t="s">
        <v>673</v>
      </c>
      <c r="D122" s="8" t="s">
        <v>166</v>
      </c>
      <c r="E122" s="8" t="s">
        <v>34</v>
      </c>
      <c r="F122" s="8" t="s">
        <v>717</v>
      </c>
      <c r="G122" s="8" t="s">
        <v>770</v>
      </c>
      <c r="H122" s="8" t="s">
        <v>73</v>
      </c>
      <c r="I122" s="8" t="s">
        <v>696</v>
      </c>
      <c r="J122" s="8" t="s">
        <v>771</v>
      </c>
      <c r="K122" s="8" t="s">
        <v>697</v>
      </c>
      <c r="L122" s="8" t="s">
        <v>703</v>
      </c>
      <c r="M122" s="8" t="s">
        <v>673</v>
      </c>
      <c r="N122" s="8" t="s">
        <v>73</v>
      </c>
      <c r="O122" s="8" t="s">
        <v>73</v>
      </c>
    </row>
    <row r="123" spans="1:15" x14ac:dyDescent="0.25">
      <c r="A123" s="8" t="s">
        <v>751</v>
      </c>
      <c r="B123" s="8" t="s">
        <v>841</v>
      </c>
      <c r="C123" s="8" t="s">
        <v>772</v>
      </c>
      <c r="D123" s="8" t="s">
        <v>166</v>
      </c>
      <c r="E123" s="8" t="s">
        <v>34</v>
      </c>
      <c r="F123" s="8" t="s">
        <v>717</v>
      </c>
      <c r="G123" s="8" t="s">
        <v>695</v>
      </c>
      <c r="H123" s="8" t="s">
        <v>73</v>
      </c>
      <c r="I123" s="8" t="s">
        <v>696</v>
      </c>
      <c r="J123" s="8" t="s">
        <v>771</v>
      </c>
      <c r="K123" s="8" t="s">
        <v>697</v>
      </c>
      <c r="L123" s="8" t="s">
        <v>703</v>
      </c>
      <c r="M123" s="8" t="s">
        <v>706</v>
      </c>
      <c r="N123" s="8" t="s">
        <v>73</v>
      </c>
      <c r="O123" s="8" t="s">
        <v>73</v>
      </c>
    </row>
    <row r="124" spans="1:15" x14ac:dyDescent="0.25">
      <c r="A124" s="8" t="s">
        <v>764</v>
      </c>
      <c r="B124" s="8" t="s">
        <v>842</v>
      </c>
      <c r="C124" s="8" t="s">
        <v>772</v>
      </c>
      <c r="D124" s="8" t="s">
        <v>166</v>
      </c>
      <c r="E124" s="8" t="s">
        <v>34</v>
      </c>
      <c r="F124" s="8" t="s">
        <v>717</v>
      </c>
      <c r="G124" s="8" t="s">
        <v>695</v>
      </c>
      <c r="H124" s="8" t="s">
        <v>73</v>
      </c>
      <c r="I124" s="8" t="s">
        <v>696</v>
      </c>
      <c r="J124" s="8" t="s">
        <v>771</v>
      </c>
      <c r="K124" s="8" t="s">
        <v>697</v>
      </c>
      <c r="L124" s="8" t="s">
        <v>703</v>
      </c>
      <c r="M124" s="8" t="s">
        <v>706</v>
      </c>
      <c r="N124" s="8" t="s">
        <v>73</v>
      </c>
      <c r="O124" s="8" t="s">
        <v>73</v>
      </c>
    </row>
    <row r="125" spans="1:15" x14ac:dyDescent="0.25">
      <c r="A125" s="8" t="s">
        <v>765</v>
      </c>
      <c r="B125" s="8" t="s">
        <v>843</v>
      </c>
      <c r="C125" s="8" t="s">
        <v>772</v>
      </c>
      <c r="D125" s="8" t="s">
        <v>166</v>
      </c>
      <c r="E125" s="8" t="s">
        <v>34</v>
      </c>
      <c r="F125" s="8" t="s">
        <v>717</v>
      </c>
      <c r="G125" s="8" t="s">
        <v>695</v>
      </c>
      <c r="H125" s="8" t="s">
        <v>73</v>
      </c>
      <c r="I125" s="8" t="s">
        <v>696</v>
      </c>
      <c r="J125" s="8" t="s">
        <v>771</v>
      </c>
      <c r="K125" s="8" t="s">
        <v>697</v>
      </c>
      <c r="L125" s="8" t="s">
        <v>703</v>
      </c>
      <c r="M125" s="8" t="s">
        <v>706</v>
      </c>
      <c r="N125" s="8" t="s">
        <v>73</v>
      </c>
      <c r="O125" s="8" t="s">
        <v>73</v>
      </c>
    </row>
    <row r="126" spans="1:15" x14ac:dyDescent="0.25">
      <c r="A126" s="8" t="s">
        <v>64</v>
      </c>
      <c r="B126" s="8" t="s">
        <v>844</v>
      </c>
      <c r="C126" s="8" t="s">
        <v>772</v>
      </c>
      <c r="D126" s="8" t="s">
        <v>166</v>
      </c>
      <c r="E126" s="8" t="s">
        <v>34</v>
      </c>
      <c r="F126" s="8" t="s">
        <v>717</v>
      </c>
      <c r="G126" s="8" t="s">
        <v>695</v>
      </c>
      <c r="H126" s="8" t="s">
        <v>73</v>
      </c>
      <c r="I126" s="8" t="s">
        <v>696</v>
      </c>
      <c r="J126" s="8" t="s">
        <v>771</v>
      </c>
      <c r="K126" s="8" t="s">
        <v>697</v>
      </c>
      <c r="L126" s="8" t="s">
        <v>703</v>
      </c>
      <c r="M126" s="8" t="s">
        <v>706</v>
      </c>
      <c r="N126" s="8" t="s">
        <v>73</v>
      </c>
      <c r="O126" s="8" t="s">
        <v>73</v>
      </c>
    </row>
    <row r="127" spans="1:15" x14ac:dyDescent="0.25">
      <c r="A127" s="8" t="s">
        <v>845</v>
      </c>
      <c r="B127" s="8" t="s">
        <v>846</v>
      </c>
      <c r="C127" s="8" t="s">
        <v>772</v>
      </c>
      <c r="D127" s="8" t="s">
        <v>166</v>
      </c>
      <c r="E127" s="8" t="s">
        <v>34</v>
      </c>
      <c r="F127" s="8" t="s">
        <v>717</v>
      </c>
      <c r="G127" s="8" t="s">
        <v>695</v>
      </c>
      <c r="H127" s="8" t="s">
        <v>73</v>
      </c>
      <c r="I127" s="8" t="s">
        <v>696</v>
      </c>
      <c r="J127" s="8" t="s">
        <v>771</v>
      </c>
      <c r="K127" s="8" t="s">
        <v>697</v>
      </c>
      <c r="L127" s="8" t="s">
        <v>703</v>
      </c>
      <c r="M127" s="8" t="s">
        <v>706</v>
      </c>
      <c r="N127" s="8" t="s">
        <v>73</v>
      </c>
      <c r="O127" s="8" t="s">
        <v>73</v>
      </c>
    </row>
    <row r="128" spans="1:15" x14ac:dyDescent="0.25">
      <c r="A128" s="8" t="s">
        <v>847</v>
      </c>
      <c r="B128" s="8" t="s">
        <v>848</v>
      </c>
      <c r="C128" s="8" t="s">
        <v>772</v>
      </c>
      <c r="D128" s="8" t="s">
        <v>166</v>
      </c>
      <c r="E128" s="8" t="s">
        <v>34</v>
      </c>
      <c r="F128" s="8" t="s">
        <v>717</v>
      </c>
      <c r="G128" s="8" t="s">
        <v>695</v>
      </c>
      <c r="H128" s="8" t="s">
        <v>73</v>
      </c>
      <c r="I128" s="8" t="s">
        <v>696</v>
      </c>
      <c r="J128" s="8" t="s">
        <v>771</v>
      </c>
      <c r="K128" s="8" t="s">
        <v>697</v>
      </c>
      <c r="L128" s="8" t="s">
        <v>703</v>
      </c>
      <c r="M128" s="8" t="s">
        <v>706</v>
      </c>
      <c r="N128" s="8" t="s">
        <v>73</v>
      </c>
      <c r="O128" s="8" t="s">
        <v>73</v>
      </c>
    </row>
    <row r="129" spans="1:15" x14ac:dyDescent="0.25">
      <c r="A129" s="8" t="s">
        <v>766</v>
      </c>
      <c r="B129" s="8" t="s">
        <v>849</v>
      </c>
      <c r="C129" s="8" t="s">
        <v>673</v>
      </c>
      <c r="D129" s="8" t="s">
        <v>166</v>
      </c>
      <c r="E129" s="8" t="s">
        <v>34</v>
      </c>
      <c r="F129" s="8" t="s">
        <v>717</v>
      </c>
      <c r="G129" s="8" t="s">
        <v>695</v>
      </c>
      <c r="H129" s="8" t="s">
        <v>73</v>
      </c>
      <c r="I129" s="8" t="s">
        <v>696</v>
      </c>
      <c r="J129" s="8" t="s">
        <v>771</v>
      </c>
      <c r="K129" s="8" t="s">
        <v>697</v>
      </c>
      <c r="L129" s="8" t="s">
        <v>703</v>
      </c>
      <c r="M129" s="8" t="s">
        <v>706</v>
      </c>
      <c r="N129" s="8" t="s">
        <v>73</v>
      </c>
      <c r="O129" s="8" t="s">
        <v>73</v>
      </c>
    </row>
    <row r="130" spans="1:15" x14ac:dyDescent="0.25">
      <c r="A130" s="8" t="s">
        <v>109</v>
      </c>
      <c r="B130" s="8" t="s">
        <v>850</v>
      </c>
      <c r="C130" s="8" t="s">
        <v>772</v>
      </c>
      <c r="D130" s="8" t="s">
        <v>166</v>
      </c>
      <c r="E130" s="8" t="s">
        <v>34</v>
      </c>
      <c r="F130" s="8" t="s">
        <v>717</v>
      </c>
      <c r="G130" s="8" t="s">
        <v>695</v>
      </c>
      <c r="H130" s="8" t="s">
        <v>73</v>
      </c>
      <c r="I130" s="8" t="s">
        <v>696</v>
      </c>
      <c r="J130" s="8" t="s">
        <v>771</v>
      </c>
      <c r="K130" s="8" t="s">
        <v>697</v>
      </c>
      <c r="L130" s="8" t="s">
        <v>703</v>
      </c>
      <c r="M130" s="8" t="s">
        <v>706</v>
      </c>
      <c r="N130" s="8" t="s">
        <v>73</v>
      </c>
      <c r="O130" s="8" t="s">
        <v>73</v>
      </c>
    </row>
    <row r="131" spans="1:15" x14ac:dyDescent="0.25">
      <c r="A131" s="8" t="s">
        <v>322</v>
      </c>
      <c r="B131" s="8" t="s">
        <v>473</v>
      </c>
      <c r="C131" s="8" t="s">
        <v>673</v>
      </c>
      <c r="D131" s="8" t="s">
        <v>166</v>
      </c>
      <c r="E131" s="8" t="s">
        <v>34</v>
      </c>
      <c r="F131" s="8" t="s">
        <v>717</v>
      </c>
      <c r="G131" s="8" t="s">
        <v>695</v>
      </c>
      <c r="H131" s="8" t="s">
        <v>73</v>
      </c>
      <c r="I131" s="8" t="s">
        <v>696</v>
      </c>
      <c r="J131" s="8" t="s">
        <v>771</v>
      </c>
      <c r="K131" s="8" t="s">
        <v>697</v>
      </c>
      <c r="L131" s="8" t="s">
        <v>703</v>
      </c>
      <c r="M131" s="8" t="s">
        <v>706</v>
      </c>
      <c r="N131" s="8" t="s">
        <v>73</v>
      </c>
      <c r="O131" s="8" t="s">
        <v>73</v>
      </c>
    </row>
    <row r="132" spans="1:15" x14ac:dyDescent="0.25">
      <c r="A132" s="8" t="s">
        <v>851</v>
      </c>
      <c r="B132" s="8" t="s">
        <v>852</v>
      </c>
      <c r="C132" s="8" t="s">
        <v>673</v>
      </c>
      <c r="D132" s="8" t="s">
        <v>166</v>
      </c>
      <c r="E132" s="8" t="s">
        <v>34</v>
      </c>
      <c r="F132" s="8" t="s">
        <v>717</v>
      </c>
      <c r="G132" s="8" t="s">
        <v>770</v>
      </c>
      <c r="H132" s="8" t="s">
        <v>73</v>
      </c>
      <c r="I132" s="8" t="s">
        <v>696</v>
      </c>
      <c r="J132" s="8" t="s">
        <v>771</v>
      </c>
      <c r="K132" s="8" t="s">
        <v>697</v>
      </c>
      <c r="L132" s="8" t="s">
        <v>703</v>
      </c>
      <c r="M132" s="8" t="s">
        <v>706</v>
      </c>
      <c r="N132" s="8" t="s">
        <v>73</v>
      </c>
      <c r="O132" s="8" t="s">
        <v>73</v>
      </c>
    </row>
    <row r="133" spans="1:15" x14ac:dyDescent="0.25">
      <c r="A133" s="8" t="s">
        <v>767</v>
      </c>
      <c r="B133" s="8" t="s">
        <v>853</v>
      </c>
      <c r="C133" s="8" t="s">
        <v>673</v>
      </c>
      <c r="D133" s="8" t="s">
        <v>166</v>
      </c>
      <c r="E133" s="8" t="s">
        <v>111</v>
      </c>
      <c r="F133" s="8" t="s">
        <v>717</v>
      </c>
      <c r="G133" s="8" t="s">
        <v>770</v>
      </c>
      <c r="H133" s="8" t="s">
        <v>73</v>
      </c>
      <c r="I133" s="8" t="s">
        <v>696</v>
      </c>
      <c r="J133" s="8" t="s">
        <v>771</v>
      </c>
      <c r="K133" s="8" t="s">
        <v>697</v>
      </c>
      <c r="L133" s="8" t="s">
        <v>703</v>
      </c>
      <c r="M133" s="8" t="s">
        <v>706</v>
      </c>
      <c r="N133" s="8" t="s">
        <v>73</v>
      </c>
      <c r="O133" s="8" t="s">
        <v>73</v>
      </c>
    </row>
    <row r="134" spans="1:15" x14ac:dyDescent="0.25">
      <c r="A134" s="8" t="s">
        <v>854</v>
      </c>
      <c r="B134" s="8" t="s">
        <v>855</v>
      </c>
      <c r="C134" s="8" t="s">
        <v>673</v>
      </c>
      <c r="D134" s="8" t="s">
        <v>166</v>
      </c>
      <c r="E134" s="8" t="s">
        <v>34</v>
      </c>
      <c r="F134" s="8" t="s">
        <v>717</v>
      </c>
      <c r="G134" s="8" t="s">
        <v>770</v>
      </c>
      <c r="H134" s="8" t="s">
        <v>73</v>
      </c>
      <c r="I134" s="8" t="s">
        <v>696</v>
      </c>
      <c r="J134" s="8" t="s">
        <v>771</v>
      </c>
      <c r="K134" s="8" t="s">
        <v>697</v>
      </c>
      <c r="L134" s="8" t="s">
        <v>703</v>
      </c>
      <c r="M134" s="8" t="s">
        <v>706</v>
      </c>
      <c r="N134" s="8" t="s">
        <v>73</v>
      </c>
      <c r="O134" s="8" t="s">
        <v>73</v>
      </c>
    </row>
    <row r="135" spans="1:15" x14ac:dyDescent="0.25">
      <c r="A135" s="8" t="s">
        <v>768</v>
      </c>
      <c r="B135" s="8" t="s">
        <v>856</v>
      </c>
      <c r="C135" s="8" t="s">
        <v>673</v>
      </c>
      <c r="D135" s="8" t="s">
        <v>166</v>
      </c>
      <c r="E135" s="8" t="s">
        <v>111</v>
      </c>
      <c r="F135" s="8" t="s">
        <v>717</v>
      </c>
      <c r="G135" s="8" t="s">
        <v>770</v>
      </c>
      <c r="H135" s="8" t="s">
        <v>73</v>
      </c>
      <c r="I135" s="8" t="s">
        <v>696</v>
      </c>
      <c r="J135" s="8" t="s">
        <v>771</v>
      </c>
      <c r="K135" s="8" t="s">
        <v>697</v>
      </c>
      <c r="L135" s="8" t="s">
        <v>703</v>
      </c>
      <c r="M135" s="8" t="s">
        <v>706</v>
      </c>
      <c r="N135" s="8" t="s">
        <v>73</v>
      </c>
      <c r="O135" s="8" t="s">
        <v>73</v>
      </c>
    </row>
    <row r="136" spans="1:15" x14ac:dyDescent="0.25">
      <c r="A136" s="8" t="s">
        <v>752</v>
      </c>
      <c r="B136" s="8" t="s">
        <v>857</v>
      </c>
      <c r="C136" s="8" t="s">
        <v>673</v>
      </c>
      <c r="D136" s="8" t="s">
        <v>166</v>
      </c>
      <c r="E136" s="8" t="s">
        <v>111</v>
      </c>
      <c r="F136" s="8" t="s">
        <v>717</v>
      </c>
      <c r="G136" s="8" t="s">
        <v>770</v>
      </c>
      <c r="H136" s="8" t="s">
        <v>73</v>
      </c>
      <c r="I136" s="8" t="s">
        <v>696</v>
      </c>
      <c r="J136" s="8" t="s">
        <v>771</v>
      </c>
      <c r="K136" s="8" t="s">
        <v>697</v>
      </c>
      <c r="L136" s="8" t="s">
        <v>703</v>
      </c>
      <c r="M136" s="8" t="s">
        <v>673</v>
      </c>
      <c r="N136" s="8" t="s">
        <v>73</v>
      </c>
      <c r="O136" s="8" t="s">
        <v>73</v>
      </c>
    </row>
    <row r="137" spans="1:15" x14ac:dyDescent="0.25">
      <c r="A137" s="8" t="s">
        <v>753</v>
      </c>
      <c r="B137" s="8" t="s">
        <v>858</v>
      </c>
      <c r="C137" s="8" t="s">
        <v>673</v>
      </c>
      <c r="D137" s="8" t="s">
        <v>166</v>
      </c>
      <c r="E137" s="8" t="s">
        <v>111</v>
      </c>
      <c r="F137" s="8" t="s">
        <v>717</v>
      </c>
      <c r="G137" s="8" t="s">
        <v>770</v>
      </c>
      <c r="H137" s="8" t="s">
        <v>73</v>
      </c>
      <c r="I137" s="8" t="s">
        <v>696</v>
      </c>
      <c r="J137" s="8" t="s">
        <v>771</v>
      </c>
      <c r="K137" s="8" t="s">
        <v>697</v>
      </c>
      <c r="L137" s="8" t="s">
        <v>703</v>
      </c>
      <c r="M137" s="8" t="s">
        <v>673</v>
      </c>
      <c r="N137" s="8" t="s">
        <v>73</v>
      </c>
      <c r="O137" s="8" t="s">
        <v>73</v>
      </c>
    </row>
    <row r="138" spans="1:15" x14ac:dyDescent="0.25">
      <c r="A138" s="8" t="s">
        <v>754</v>
      </c>
      <c r="B138" s="8" t="s">
        <v>859</v>
      </c>
      <c r="C138" s="8" t="s">
        <v>673</v>
      </c>
      <c r="D138" s="8" t="s">
        <v>166</v>
      </c>
      <c r="E138" s="8" t="s">
        <v>111</v>
      </c>
      <c r="F138" s="8" t="s">
        <v>717</v>
      </c>
      <c r="G138" s="8" t="s">
        <v>770</v>
      </c>
      <c r="H138" s="8" t="s">
        <v>73</v>
      </c>
      <c r="I138" s="8" t="s">
        <v>696</v>
      </c>
      <c r="J138" s="8" t="s">
        <v>771</v>
      </c>
      <c r="K138" s="8" t="s">
        <v>697</v>
      </c>
      <c r="L138" s="8" t="s">
        <v>703</v>
      </c>
      <c r="M138" s="8" t="s">
        <v>673</v>
      </c>
      <c r="N138" s="8" t="s">
        <v>73</v>
      </c>
      <c r="O138" s="8" t="s">
        <v>73</v>
      </c>
    </row>
    <row r="139" spans="1:15" x14ac:dyDescent="0.25">
      <c r="A139" s="8" t="s">
        <v>755</v>
      </c>
      <c r="B139" s="8" t="s">
        <v>860</v>
      </c>
      <c r="C139" s="8" t="s">
        <v>673</v>
      </c>
      <c r="D139" s="8" t="s">
        <v>166</v>
      </c>
      <c r="E139" s="8" t="s">
        <v>111</v>
      </c>
      <c r="F139" s="8" t="s">
        <v>717</v>
      </c>
      <c r="G139" s="8" t="s">
        <v>770</v>
      </c>
      <c r="H139" s="8" t="s">
        <v>73</v>
      </c>
      <c r="I139" s="8" t="s">
        <v>696</v>
      </c>
      <c r="J139" s="8" t="s">
        <v>771</v>
      </c>
      <c r="K139" s="8" t="s">
        <v>697</v>
      </c>
      <c r="L139" s="8" t="s">
        <v>703</v>
      </c>
      <c r="M139" s="8" t="s">
        <v>673</v>
      </c>
      <c r="N139" s="8" t="s">
        <v>73</v>
      </c>
      <c r="O139" s="8" t="s">
        <v>73</v>
      </c>
    </row>
    <row r="140" spans="1:15" x14ac:dyDescent="0.25">
      <c r="A140" s="8" t="s">
        <v>861</v>
      </c>
      <c r="B140" s="8" t="s">
        <v>862</v>
      </c>
      <c r="C140" s="8" t="s">
        <v>673</v>
      </c>
      <c r="D140" s="8" t="s">
        <v>166</v>
      </c>
      <c r="E140" s="8" t="s">
        <v>111</v>
      </c>
      <c r="F140" s="8" t="s">
        <v>717</v>
      </c>
      <c r="G140" s="8" t="s">
        <v>770</v>
      </c>
      <c r="H140" s="8" t="s">
        <v>73</v>
      </c>
      <c r="I140" s="8" t="s">
        <v>696</v>
      </c>
      <c r="J140" s="8" t="s">
        <v>771</v>
      </c>
      <c r="K140" s="8" t="s">
        <v>697</v>
      </c>
      <c r="L140" s="8" t="s">
        <v>703</v>
      </c>
      <c r="M140" s="8" t="s">
        <v>673</v>
      </c>
      <c r="N140" s="8" t="s">
        <v>73</v>
      </c>
      <c r="O140" s="8" t="s">
        <v>73</v>
      </c>
    </row>
    <row r="141" spans="1: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"/>
  <sheetViews>
    <sheetView workbookViewId="0">
      <pane ySplit="10" topLeftCell="A59" activePane="bottomLeft" state="frozen"/>
      <selection pane="bottomLeft" activeCell="A73" sqref="A73:A76"/>
    </sheetView>
  </sheetViews>
  <sheetFormatPr defaultRowHeight="15" x14ac:dyDescent="0.25"/>
  <cols>
    <col min="1" max="1" width="11.42578125" bestFit="1" customWidth="1"/>
    <col min="2" max="3" width="26.85546875" bestFit="1" customWidth="1"/>
  </cols>
  <sheetData>
    <row r="1" spans="1:3" x14ac:dyDescent="0.25">
      <c r="A1" t="s">
        <v>152</v>
      </c>
    </row>
    <row r="2" spans="1:3" x14ac:dyDescent="0.25">
      <c r="A2" t="s">
        <v>158</v>
      </c>
      <c r="B2" t="s">
        <v>159</v>
      </c>
    </row>
    <row r="3" spans="1:3" x14ac:dyDescent="0.25">
      <c r="A3" t="s">
        <v>153</v>
      </c>
      <c r="B3" t="s">
        <v>153</v>
      </c>
    </row>
    <row r="4" spans="1:3" x14ac:dyDescent="0.25">
      <c r="A4" t="s">
        <v>154</v>
      </c>
      <c r="B4" t="s">
        <v>154</v>
      </c>
    </row>
    <row r="5" spans="1:3" x14ac:dyDescent="0.25">
      <c r="A5" t="s">
        <v>155</v>
      </c>
      <c r="B5" t="s">
        <v>155</v>
      </c>
    </row>
    <row r="6" spans="1:3" x14ac:dyDescent="0.25">
      <c r="A6" t="s">
        <v>156</v>
      </c>
      <c r="B6" t="s">
        <v>156</v>
      </c>
    </row>
    <row r="7" spans="1:3" x14ac:dyDescent="0.25">
      <c r="A7" t="s">
        <v>194</v>
      </c>
      <c r="B7" t="s">
        <v>194</v>
      </c>
    </row>
    <row r="9" spans="1:3" x14ac:dyDescent="0.25">
      <c r="A9" t="s">
        <v>157</v>
      </c>
    </row>
    <row r="10" spans="1:3" x14ac:dyDescent="0.25">
      <c r="A10" t="s">
        <v>158</v>
      </c>
      <c r="B10" t="s">
        <v>160</v>
      </c>
      <c r="C10" t="s">
        <v>161</v>
      </c>
    </row>
    <row r="11" spans="1:3" x14ac:dyDescent="0.25">
      <c r="A11" t="s">
        <v>153</v>
      </c>
      <c r="B11" t="s">
        <v>6</v>
      </c>
      <c r="C11" t="s">
        <v>6</v>
      </c>
    </row>
    <row r="12" spans="1:3" x14ac:dyDescent="0.25">
      <c r="A12" t="s">
        <v>153</v>
      </c>
      <c r="B12" t="s">
        <v>46</v>
      </c>
      <c r="C12" t="s">
        <v>46</v>
      </c>
    </row>
    <row r="13" spans="1:3" x14ac:dyDescent="0.25">
      <c r="A13" t="s">
        <v>153</v>
      </c>
      <c r="B13" t="s">
        <v>47</v>
      </c>
      <c r="C13" t="s">
        <v>47</v>
      </c>
    </row>
    <row r="14" spans="1:3" x14ac:dyDescent="0.25">
      <c r="A14" t="s">
        <v>153</v>
      </c>
      <c r="B14" t="s">
        <v>74</v>
      </c>
      <c r="C14" t="s">
        <v>74</v>
      </c>
    </row>
    <row r="15" spans="1:3" x14ac:dyDescent="0.25">
      <c r="A15" t="s">
        <v>153</v>
      </c>
      <c r="B15" t="s">
        <v>79</v>
      </c>
      <c r="C15" t="s">
        <v>79</v>
      </c>
    </row>
    <row r="16" spans="1:3" x14ac:dyDescent="0.25">
      <c r="A16" t="s">
        <v>153</v>
      </c>
      <c r="B16" t="s">
        <v>80</v>
      </c>
      <c r="C16" t="s">
        <v>80</v>
      </c>
    </row>
    <row r="17" spans="1:3" x14ac:dyDescent="0.25">
      <c r="A17" t="s">
        <v>153</v>
      </c>
      <c r="B17" t="s">
        <v>75</v>
      </c>
      <c r="C17" t="s">
        <v>75</v>
      </c>
    </row>
    <row r="18" spans="1:3" x14ac:dyDescent="0.25">
      <c r="A18" t="s">
        <v>153</v>
      </c>
      <c r="B18" t="s">
        <v>76</v>
      </c>
      <c r="C18" t="s">
        <v>76</v>
      </c>
    </row>
    <row r="19" spans="1:3" x14ac:dyDescent="0.25">
      <c r="A19" s="12" t="s">
        <v>154</v>
      </c>
      <c r="B19" t="s">
        <v>6</v>
      </c>
      <c r="C19" t="s">
        <v>6</v>
      </c>
    </row>
    <row r="20" spans="1:3" x14ac:dyDescent="0.25">
      <c r="A20" s="12" t="s">
        <v>154</v>
      </c>
      <c r="B20" t="s">
        <v>46</v>
      </c>
      <c r="C20" t="s">
        <v>46</v>
      </c>
    </row>
    <row r="21" spans="1:3" x14ac:dyDescent="0.25">
      <c r="A21" s="12" t="s">
        <v>154</v>
      </c>
      <c r="B21" t="s">
        <v>47</v>
      </c>
      <c r="C21" t="s">
        <v>47</v>
      </c>
    </row>
    <row r="22" spans="1:3" x14ac:dyDescent="0.25">
      <c r="A22" s="12" t="s">
        <v>154</v>
      </c>
      <c r="B22" t="s">
        <v>12</v>
      </c>
      <c r="C22" t="s">
        <v>12</v>
      </c>
    </row>
    <row r="23" spans="1:3" x14ac:dyDescent="0.25">
      <c r="A23" s="12" t="s">
        <v>154</v>
      </c>
      <c r="B23" t="s">
        <v>39</v>
      </c>
      <c r="C23" t="s">
        <v>39</v>
      </c>
    </row>
    <row r="24" spans="1:3" x14ac:dyDescent="0.25">
      <c r="A24" s="12" t="s">
        <v>154</v>
      </c>
      <c r="B24" t="s">
        <v>141</v>
      </c>
      <c r="C24" t="s">
        <v>141</v>
      </c>
    </row>
    <row r="25" spans="1:3" x14ac:dyDescent="0.25">
      <c r="A25" s="12" t="s">
        <v>154</v>
      </c>
      <c r="B25" t="s">
        <v>142</v>
      </c>
      <c r="C25" t="s">
        <v>142</v>
      </c>
    </row>
    <row r="26" spans="1:3" x14ac:dyDescent="0.25">
      <c r="A26" s="12" t="s">
        <v>154</v>
      </c>
      <c r="B26" t="s">
        <v>82</v>
      </c>
      <c r="C26" t="s">
        <v>82</v>
      </c>
    </row>
    <row r="27" spans="1:3" x14ac:dyDescent="0.25">
      <c r="A27" s="12" t="s">
        <v>154</v>
      </c>
      <c r="B27" t="s">
        <v>83</v>
      </c>
      <c r="C27" t="s">
        <v>83</v>
      </c>
    </row>
    <row r="28" spans="1:3" x14ac:dyDescent="0.25">
      <c r="A28" s="12" t="s">
        <v>154</v>
      </c>
      <c r="B28" t="s">
        <v>143</v>
      </c>
      <c r="C28" t="s">
        <v>143</v>
      </c>
    </row>
    <row r="29" spans="1:3" x14ac:dyDescent="0.25">
      <c r="A29" s="12" t="s">
        <v>154</v>
      </c>
      <c r="B29" t="s">
        <v>144</v>
      </c>
      <c r="C29" t="s">
        <v>144</v>
      </c>
    </row>
    <row r="30" spans="1:3" x14ac:dyDescent="0.25">
      <c r="A30" s="12" t="s">
        <v>154</v>
      </c>
      <c r="B30" t="s">
        <v>139</v>
      </c>
      <c r="C30" t="s">
        <v>139</v>
      </c>
    </row>
    <row r="31" spans="1:3" x14ac:dyDescent="0.25">
      <c r="A31" s="12" t="s">
        <v>154</v>
      </c>
      <c r="B31" t="s">
        <v>140</v>
      </c>
      <c r="C31" t="s">
        <v>140</v>
      </c>
    </row>
    <row r="32" spans="1:3" x14ac:dyDescent="0.25">
      <c r="A32" s="13" t="s">
        <v>155</v>
      </c>
      <c r="B32" t="s">
        <v>8</v>
      </c>
      <c r="C32" t="s">
        <v>8</v>
      </c>
    </row>
    <row r="33" spans="1:3" x14ac:dyDescent="0.25">
      <c r="A33" s="13" t="s">
        <v>155</v>
      </c>
      <c r="B33" t="s">
        <v>9</v>
      </c>
      <c r="C33" t="s">
        <v>9</v>
      </c>
    </row>
    <row r="34" spans="1:3" x14ac:dyDescent="0.25">
      <c r="A34" s="13" t="s">
        <v>155</v>
      </c>
      <c r="B34" t="s">
        <v>6</v>
      </c>
      <c r="C34" t="s">
        <v>6</v>
      </c>
    </row>
    <row r="35" spans="1:3" x14ac:dyDescent="0.25">
      <c r="A35" s="13" t="s">
        <v>155</v>
      </c>
      <c r="B35" t="s">
        <v>27</v>
      </c>
      <c r="C35" t="s">
        <v>27</v>
      </c>
    </row>
    <row r="36" spans="1:3" x14ac:dyDescent="0.25">
      <c r="A36" s="13" t="s">
        <v>155</v>
      </c>
      <c r="B36" t="s">
        <v>46</v>
      </c>
      <c r="C36" t="s">
        <v>46</v>
      </c>
    </row>
    <row r="37" spans="1:3" x14ac:dyDescent="0.25">
      <c r="A37" s="13" t="s">
        <v>155</v>
      </c>
      <c r="B37" t="s">
        <v>47</v>
      </c>
      <c r="C37" t="s">
        <v>47</v>
      </c>
    </row>
    <row r="38" spans="1:3" x14ac:dyDescent="0.25">
      <c r="A38" s="13" t="s">
        <v>155</v>
      </c>
      <c r="B38" t="s">
        <v>10</v>
      </c>
      <c r="C38" t="s">
        <v>10</v>
      </c>
    </row>
    <row r="39" spans="1:3" x14ac:dyDescent="0.25">
      <c r="A39" s="13" t="s">
        <v>155</v>
      </c>
      <c r="B39" t="s">
        <v>11</v>
      </c>
      <c r="C39" t="s">
        <v>11</v>
      </c>
    </row>
    <row r="40" spans="1:3" x14ac:dyDescent="0.25">
      <c r="A40" s="13" t="s">
        <v>155</v>
      </c>
      <c r="B40" t="s">
        <v>12</v>
      </c>
      <c r="C40" t="s">
        <v>12</v>
      </c>
    </row>
    <row r="41" spans="1:3" x14ac:dyDescent="0.25">
      <c r="A41" s="13" t="s">
        <v>155</v>
      </c>
      <c r="B41" t="s">
        <v>33</v>
      </c>
      <c r="C41" t="s">
        <v>33</v>
      </c>
    </row>
    <row r="42" spans="1:3" x14ac:dyDescent="0.25">
      <c r="A42" s="13" t="s">
        <v>155</v>
      </c>
      <c r="B42" t="s">
        <v>7</v>
      </c>
      <c r="C42" t="s">
        <v>7</v>
      </c>
    </row>
    <row r="43" spans="1:3" x14ac:dyDescent="0.25">
      <c r="A43" s="13" t="s">
        <v>155</v>
      </c>
      <c r="B43" t="s">
        <v>138</v>
      </c>
      <c r="C43" t="s">
        <v>138</v>
      </c>
    </row>
    <row r="44" spans="1:3" x14ac:dyDescent="0.25">
      <c r="A44" s="13" t="s">
        <v>155</v>
      </c>
      <c r="B44" t="s">
        <v>42</v>
      </c>
      <c r="C44" t="s">
        <v>42</v>
      </c>
    </row>
    <row r="45" spans="1:3" x14ac:dyDescent="0.25">
      <c r="A45" s="13" t="s">
        <v>155</v>
      </c>
      <c r="B45" t="s">
        <v>84</v>
      </c>
      <c r="C45" t="s">
        <v>84</v>
      </c>
    </row>
    <row r="46" spans="1:3" x14ac:dyDescent="0.25">
      <c r="A46" s="13" t="s">
        <v>156</v>
      </c>
      <c r="B46" t="s">
        <v>8</v>
      </c>
      <c r="C46" t="s">
        <v>8</v>
      </c>
    </row>
    <row r="47" spans="1:3" x14ac:dyDescent="0.25">
      <c r="A47" s="13" t="s">
        <v>156</v>
      </c>
      <c r="B47" t="s">
        <v>9</v>
      </c>
      <c r="C47" t="s">
        <v>9</v>
      </c>
    </row>
    <row r="48" spans="1:3" x14ac:dyDescent="0.25">
      <c r="A48" s="13" t="s">
        <v>156</v>
      </c>
      <c r="B48" t="s">
        <v>6</v>
      </c>
      <c r="C48" t="s">
        <v>6</v>
      </c>
    </row>
    <row r="49" spans="1:3" x14ac:dyDescent="0.25">
      <c r="A49" s="13" t="s">
        <v>156</v>
      </c>
      <c r="B49" t="s">
        <v>27</v>
      </c>
      <c r="C49" t="s">
        <v>27</v>
      </c>
    </row>
    <row r="50" spans="1:3" x14ac:dyDescent="0.25">
      <c r="A50" s="13" t="s">
        <v>156</v>
      </c>
      <c r="B50" t="s">
        <v>44</v>
      </c>
      <c r="C50" t="s">
        <v>44</v>
      </c>
    </row>
    <row r="51" spans="1:3" x14ac:dyDescent="0.25">
      <c r="A51" s="13" t="s">
        <v>156</v>
      </c>
      <c r="B51" t="s">
        <v>46</v>
      </c>
      <c r="C51" t="s">
        <v>46</v>
      </c>
    </row>
    <row r="52" spans="1:3" x14ac:dyDescent="0.25">
      <c r="A52" s="13" t="s">
        <v>156</v>
      </c>
      <c r="B52" t="s">
        <v>47</v>
      </c>
      <c r="C52" t="s">
        <v>47</v>
      </c>
    </row>
    <row r="53" spans="1:3" x14ac:dyDescent="0.25">
      <c r="A53" s="13" t="s">
        <v>156</v>
      </c>
      <c r="B53" t="s">
        <v>12</v>
      </c>
      <c r="C53" t="s">
        <v>12</v>
      </c>
    </row>
    <row r="54" spans="1:3" x14ac:dyDescent="0.25">
      <c r="A54" s="13" t="s">
        <v>156</v>
      </c>
      <c r="B54" t="s">
        <v>33</v>
      </c>
      <c r="C54" t="s">
        <v>33</v>
      </c>
    </row>
    <row r="55" spans="1:3" x14ac:dyDescent="0.25">
      <c r="A55" s="13" t="s">
        <v>156</v>
      </c>
      <c r="B55" t="s">
        <v>38</v>
      </c>
      <c r="C55" t="s">
        <v>38</v>
      </c>
    </row>
    <row r="56" spans="1:3" x14ac:dyDescent="0.25">
      <c r="A56" s="13" t="s">
        <v>156</v>
      </c>
      <c r="B56" t="s">
        <v>39</v>
      </c>
      <c r="C56" t="s">
        <v>39</v>
      </c>
    </row>
    <row r="57" spans="1:3" x14ac:dyDescent="0.25">
      <c r="A57" s="13" t="s">
        <v>156</v>
      </c>
      <c r="B57" t="s">
        <v>42</v>
      </c>
      <c r="C57" t="s">
        <v>42</v>
      </c>
    </row>
    <row r="58" spans="1:3" x14ac:dyDescent="0.25">
      <c r="A58" s="13" t="s">
        <v>156</v>
      </c>
      <c r="B58" t="s">
        <v>40</v>
      </c>
      <c r="C58" t="s">
        <v>40</v>
      </c>
    </row>
    <row r="59" spans="1:3" x14ac:dyDescent="0.25">
      <c r="A59" s="13" t="s">
        <v>156</v>
      </c>
      <c r="B59" t="s">
        <v>41</v>
      </c>
      <c r="C59" t="s">
        <v>41</v>
      </c>
    </row>
    <row r="60" spans="1:3" x14ac:dyDescent="0.25">
      <c r="A60" s="13" t="s">
        <v>156</v>
      </c>
      <c r="B60" t="s">
        <v>7</v>
      </c>
      <c r="C60" t="s">
        <v>7</v>
      </c>
    </row>
    <row r="61" spans="1:3" x14ac:dyDescent="0.25">
      <c r="A61" s="13" t="s">
        <v>156</v>
      </c>
      <c r="B61" t="s">
        <v>43</v>
      </c>
      <c r="C61" t="s">
        <v>43</v>
      </c>
    </row>
    <row r="62" spans="1:3" x14ac:dyDescent="0.25">
      <c r="A62" s="13" t="s">
        <v>156</v>
      </c>
      <c r="B62" t="s">
        <v>45</v>
      </c>
      <c r="C62" t="s">
        <v>45</v>
      </c>
    </row>
    <row r="63" spans="1:3" x14ac:dyDescent="0.25">
      <c r="A63" s="13" t="s">
        <v>194</v>
      </c>
      <c r="B63" t="s">
        <v>6</v>
      </c>
      <c r="C63" t="s">
        <v>6</v>
      </c>
    </row>
    <row r="64" spans="1:3" x14ac:dyDescent="0.25">
      <c r="A64" s="13" t="s">
        <v>194</v>
      </c>
      <c r="B64" t="s">
        <v>27</v>
      </c>
      <c r="C64" t="s">
        <v>27</v>
      </c>
    </row>
    <row r="65" spans="1:3" x14ac:dyDescent="0.25">
      <c r="A65" s="13" t="s">
        <v>194</v>
      </c>
      <c r="B65" t="s">
        <v>163</v>
      </c>
      <c r="C65" t="s">
        <v>163</v>
      </c>
    </row>
    <row r="66" spans="1:3" x14ac:dyDescent="0.25">
      <c r="A66" s="13" t="s">
        <v>194</v>
      </c>
      <c r="B66" t="s">
        <v>164</v>
      </c>
      <c r="C66" t="s">
        <v>164</v>
      </c>
    </row>
    <row r="67" spans="1:3" x14ac:dyDescent="0.25">
      <c r="A67" s="13" t="s">
        <v>194</v>
      </c>
      <c r="B67" t="s">
        <v>33</v>
      </c>
      <c r="C67" t="s">
        <v>33</v>
      </c>
    </row>
    <row r="72" spans="1:3" x14ac:dyDescent="0.25">
      <c r="A72" t="s">
        <v>572</v>
      </c>
      <c r="B72" t="s">
        <v>573</v>
      </c>
    </row>
    <row r="73" spans="1:3" x14ac:dyDescent="0.25">
      <c r="A73" t="s">
        <v>574</v>
      </c>
      <c r="B73" t="s">
        <v>571</v>
      </c>
    </row>
    <row r="74" spans="1:3" x14ac:dyDescent="0.25">
      <c r="A74" t="s">
        <v>575</v>
      </c>
      <c r="B74" t="s">
        <v>576</v>
      </c>
    </row>
    <row r="75" spans="1:3" x14ac:dyDescent="0.25">
      <c r="A75" t="s">
        <v>577</v>
      </c>
      <c r="B75" t="s">
        <v>578</v>
      </c>
    </row>
    <row r="76" spans="1:3" x14ac:dyDescent="0.25">
      <c r="A76" t="s">
        <v>579</v>
      </c>
      <c r="B76" t="s">
        <v>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8wA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kgAQAABwAAAAkhAQAAATcAAAApAAAACSIBAAABAAAAAQAAAAE4AAAAKgAAAPIAAAAJHgEAAAcAAAAJJAEAAAE5AAAAKwAAAO4AAAAJIAEAAAcAAAAJJgEAAAFFAAAAKQAAAAknAQAAAQAAAAEAAAABRgAAACoAAADyAAAACR4BAAAHAAAACSkBAAABRwAAACsAAADuAAAACSABAAAHAAAACSsBAAABUwAAACkAAAAJLAEAAAEAAAABAAAAAVQAAAAqAAAAwAAAAAktAQAABwAAAAkuAQAAAVUAAAArAAAAvQAAAAkvAQAABwAAAAkwAQAAAWEAAAApAAAACTEBAAABAAAAAQAAAAFiAAAAKgAAAOoAAAAJHgEAAAcAAAAJMwEAAAFjAAAAKwAAAOcAAAAJIAEAAAcAAAAJNQEAAAFvAAAAKQAAAAk2AQAAAQAAAAEAAAABcAAAACoAAADOAAAACS0BAAAHAAAACTgBAAABcQAAACsAAADLAAAACS8BAAAHAAAACToBAAABfQAAACkAAAAJOwEAAAEAAAABAAAAAX4AAAAqAAAAzgAAAAktAQAABwAAAAk9AQAAAX8AAAArAAAAywAAAAkvAQAABwAAAAk/AQAAAYsAAAApAAAACUABAAABAAAAAQAAAAGMAAAAKgAAAPIAAAAJHgEAAAcAAAAJQgEAAAGNAAAAKwAAAO4AAAAJIAEAAAcAAAAJRAEAAAGZAAAAKQAAAAlFAQAAAQAAAAEAAAABmgAAACoAAADOAAAACS0BAAAHAAAACUcBAAABmwAAACsAAADLAAAACS8BAAAHAAAACUkBAAABpwAAACkAAAAJSgEAAAEAAAABAAAAAagAAAAqAAAA8wAAAAkeAQAABwAAAAlMAQAAAakAAAArAAAA7gAAAAkgAQAABwAAAAlOAQAAAbUAAAApAAAACU8BAAABAAAAAQAAAAG2AAAAKgAAAPIAAAAJHgEAAAcAAAAJUQEAAAG3AAAAKwAAAO4AAAAJIAEAAAcAAAAJUwEAAAHDAAAAKQAAAAlUAQAAAQAAAAEAAAABxAAAACoAAADyAAAACR4BAAAHAAAACVYBAAABxQAAACsAAADuAAAACSABAAAHAAAACVgBAAAB0QAAACkAAAAJWQEAAAEAAAABAAAAAdIAAAAqAAAA8gAAAAkeAQAABwAAAAlbAQAAAdMAAAArAAAA7gAAAAkgAQAABwAAAAldAQAAAd8AAAApAAAACV4BAAABAAAAAQAAAAHgAAAAKgAAAPIAAAAJHgEAAAcAAAAJYAEAAAHhAAAAKwAAAO4AAAAJIAEAAAcAAAAJYgEAAAHtAAAAKQAAAAljAQAAAQAAAAEAAAAB7gAAACoAAADyAAAACR4BAAAHAAAACWUBAAAB7wAAACsAAADuAAAACSABAAAHAAAACWcBAAAB+wAAACkAAAAJaAEAAAEAAAABAAAAAfwAAAAqAAAA8gAAAAkeAQAABwAAAAlqAQAAAf0AAAArAAAA7gAAAAkgAQAABwAAAAlsAQAAAQkBAAApAAAACW0BAAABAAAAAQAAAAEKAQAAKgAAAO4AAAAJHgEAAAcAAAAJbwEAAAELAQAAKwAAAOcA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DEuMjguMjAxOCAuLiAwMS4zMS4yMDE4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bQAAAAkgAQAAAwAAAAkkBQAAAToEAAArAAAAbQAAAAkgAQAAAwAAAAkmBQAAAUgEAAArAAAAbQ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BAAAAACS8BAAADAAAACTwFAAABXQQAACMEAAD/////Bj0FAAAMVFBQVHJhbnNfc3N0Bj4FAAAQVFBQIHRyYW5zYWN0aW9ucwkvAAAACS8AAAAJLwAAAAHA+v//5/r//wAAAAAJQQUAAAlCBQAAAb36///k+v//CfP3hxhf70qh4YtroFWDEwkvAAAACS8AAAAJRQUAAAlgBAAACgoKCgoBAAAAAbn6///g+v//AAAAAAG4+v//3/r//wAAAAAACUkFAAABZgQAACsAAABk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BMAAAACS8BAAADAAAACV8FAAABhgQAACsAAABMAAAACS8BAAADAAAACWEFAAABlAQAACsAAABt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BMAAAACS8BAAADAAAACXcFAAABsgQAACsAAABtAAAACSABAAADAAAACXkFAAABwAQAACsAAABtAAAACSABAAADAAAACXsFAAABzgQAACsAAABtAAAACSABAAADAAAACX0FAAAB3AQAACsAAABtAAAACSABAAADAAAACX8FAAAB6gQAACsAAABtAAAACSABAAADAAAACYEFAAAB+AQAACsAAABtAAAACSABAAADAAAACYMFAAABBgUAACsAAABtAAAACSABAAADAAAACYUFAAABFAUAACsAAABk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asF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sF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qwU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AasFAAAMAA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bAAAACasFAAADAAAACV8HAAABKgcAACsAAAASAAAACSABAAADAAAACWEHAAABOAcAACsAAAASAAAACSABAAADAAAACWMHAAABRgcAACsAAAASAAAACSABAAADAAAACWUHAAABTwcAACsAAAAlAAAACSABAAADAAAACWcHAAABWQcAACsAAAAaAAAACasF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2.xml><?xml version="1.0" encoding="utf-8"?>
<Atlas>
  <Query type="ReportList" id="7651b767-e078-4341-af16-f0b4190434b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PAAAAD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JV6QBBotbIRqfQsU+nHi/u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BAAAAAELUdsb2JlU29mdHdhcmUuQXRsYXM0MC5BdGxhc0NvbW1vbi5UeXBlLkNvbHVtbgIAAAAJMgAAAAkzAAAACTQAAAAJNQAAAAk2AAAACTcAAAAJOAAAAAk5AAAACToAAAAJOwAAAAk8AAAACT0AAAAJPgAAAAk/AAAACUAAAAAKERUAAAAEAAAABkEAAAANQXRsYXNSZXBvcnRfN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v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vP///77///8GRQAAABdUYWJsZS5JbnZlbnRUYWJsZU1vZHV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5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j///8+R2xvYmVTb2Z0d2FyZS5BdGxhczQwLkF0bGFzQ29tbW9uLlR5cGUuQXRsYXNRdWVyeUF0dHJpYnV0ZU5hbWUBAAAAB3ZhbHVlX18ACAIAAAACAAAABkkAAAAkNzY1MWI3NjctZTA3OC00MzQxLWFmMTYtZjBiNDE5MDQzNGI5Abb///+5////AbX///+4////AAAAAAZMAAAABHRydWUBs////7n///8Bsv///7j///8LAAAABk8AAAAFSXRlbXMBsP///7n///8Br////7j///8bAAAABlIAAAAEVHJ1ZQGt////uf///wGs////uP///wYAAAAGVQAAAAVGYWxzZQGq////uf///wGp////uP///xwAAAAJUgAAAAGn////uf///wGm////uP///x0AAAAJVQAAAAGk////uf///wGj////uP///yoAAAAJUgAAAAGh////uf///wGg////uP///wEAAAAGYQAAAAMzNjUBnv///7n///8Bnf///7j///8nAAAABmQAAAALPURhdGFBcmVhSWQBm////7n///8Bmv///7j///8ZAAAABmcAAAAPQ2VsbHNWZXJ0aWNhbGx5AZj///+5////AZf///+4////CQAAAAoBlv///7n///8Blf///7j///8oAAAABmwAAAACMTUBk////7n///8Bkv///7j///8rAAAABm8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D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cQAAAAtJbnZlbnRUYWJsZQEAAAABjv///5D///8Gc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4AAAAJdAAAABEAAAAJd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XcAAAABJQAAAAQAAAABAAAACXQAAAADAAAACXk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gAAAAAAAAAHKgAAAAABAAAAAAAAAAQtR2xvYmVTb2Z0d2FyZS5BdGxhczQwLkF0bGFzQ29tbW9uLlR5cGUuQ29sdW1uAgAAAAExAAAADgAAAP////8GewAAABFJbnZlbnRUYWJsZU1vZHVsZQZ8AAAAG0ludmVudG9yeSBtb2R1bGUgcGFyYW1ldGVycwkIAAAACQgAAAAJCAAAAAGC////4P///wAAAAAJfwAAAAmAAAAAAX/////d////bBVrjMpB2UG+KhapGbAntQkIAAAACQgAAAAJgwAAAAkwAAAABoUAAAALSW52ZW50VGFibGUGhgAAABFUYWJsZS5JbnZlbnRUYWJsZQaHAAAAGFRhYmxlLkludmVudFRhYmxlLkl0ZW1JZAaIAAAABkl0ZW1JZAaJAAAABkl0ZW1JZAEAAAABdv///9n///8AAAAAAXX////Y////AAAAAAAJj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NAAAACY4AAAAJjwAAAAaQAAAABkl0ZW1JZAaRAAAAC0l0ZW0gbnVtYmVyBpIAAAAGU3RyaW5nCQgAAAAGlAAAACQyNTRiMTdhYS0xZWNmLTQyNWEtOThhYi1iMmRlNjJhZTczNGYFa////y1HbG9iZVNvZnR3YXJlLkF0bGFzNDAuQXRsYXNDb21tb24uQWdncmVnYXRpb24BAAAAB3ZhbHVlX18ACAIAAAD/////AAAAAAVq////LEdsb2JlU29mdHdhcmUuQXRsYXM0MC5BdGxhc0NvbW1vbi5Db2x1bW5UeXBlAQAAAAd2YWx1ZV9fAAgCAAAAAAAAAAVp////K0dsb2JlU29mdHdhcmUuQXRsYXM0MC5BdGxhc0NvbW1vbi5Tb3J0T3JkZXIBAAAAB3ZhbHVlX18ACAIAAAACAAAAAAAAAAAFaP///0BHbG9iZVNvZnR3YXJlLkF0bGFzNDAuQXRsYXNDb21tb24uVHlwZS5Db2x1bW4rQ3Jvc3NUYWJDb2x1bW5UeXBlAQAAAAd2YWx1ZV9fAAgCAAAAAAAAAAoBAAAAAAAAAAAAAAAAAAaZAAAAJGJjOGVmZTc5LTg3MzgtNGE5Mi05YmIxLTdhN2Q2ODk3YWJkMgaaAAAAGFRhYmxlLkludmVudFRhYmxlLkl0ZW1JZAoKCgoBMwAAADIAAAAJmwAAAAmcAAAACZ0AAAAGngAAAAhJdGVtTmFtZQafAAAACUl0ZW0gbmFtZQagAAAABlN0cmluZwkIAAAABqIAAAAkMWI3Mzk0MWYtNWFhMS00MTE0LTk0ZjgtMTI5M2VjODliYzg1AV3///9r/////////wEAAAABXP///2r///8AAAAAAVv///9p////AgAAAAAAAAAAAVr///9o////AAAAAAoBAAAAAAAAAAABAAAAAAanAAAAJDg4OTZjNTdjLWU2MDYtNGQxYS1hNmZmLTFmNGJjZmQ4YzcwNgaoAAAAGlRhYmxlLkludmVudFRhYmxlLkl0ZW1OYW1lCgoKCgE0AAAAMgAAAAmpAAAACaoAAAAJqwAAAAasAAAAC0l0ZW1Hcm91cElkBq0AAAAKSXRlbSBncm91cAauAAAABlN0cmluZwkIAAAABrAAAAAkODU5MzMyNjctMTlkYi00ZTcxLWJkYjUtZjcwNjAwMDJhYzM3AU////9r/////////wIAAAABTv///2r///8AAAAAAU3///9p////AgAAAAAAAAAAAUz///9o////AAAAAAoBAAAAAAAAAAACAAAAAAa1AAAAJDkwNjAyZGFiLWMwNDktNDg0Mi05MjNiLTFiMjE2MTc2Y2UxYwa2AAAAHVRhYmxlLkludmVudFRhYmxlLkl0ZW1Hcm91cElkCgoKCgE1AAAAMgAAAAm3AAAACbgAAAAJuQAAAAa6AAAACEl0ZW1UeXBlBrsAAAAJSXRlbSB0eXBlBrwAAAAERW51bQkIAAAABr4AAAAkNDlmNTBkYjUtN2E5My00Nzk4LTlkODctOGI2OThhMzlmZTE0AUH///9r/////////wMAAAABQP///2r///8AAAAAAT////9p////AgAAAAAAAAAAAT7///9o////AAAAAAoBAAAAAAAAAAADAAAAAAbDAAAAJGZlZjI1NzllLTY1ZDUtNGUzNS05Yzg1LTk3ZjY0OGFjZmFkMQbEAAAAGlRhYmxlLkludmVudFRhYmxlLkl0ZW1UeXBlCgoKCgE2AAAAMgAAAAnFAAAACcYAAAAJxwAAAAbIAAAABlVuaXRJZAbJAAAABFVuaXQGygAAAAZTdHJpbmcJCAAAAAbMAAAAJGZiNzdmZDkxLThkNjctNGNhMy1hODA4LTk0NjdhMmI2MGZmYwEz////a/////////8EAAAAATL///9q////AAAAAAEx////af///wIAAAAAAAAAAAEw////aP///wAAAAAKAQAAAAAAAAAABAAAAAAG0QAAACRiMjkxYThhMy0zYzVjLTRmNWEtYmQwMi0wMzU4MDYzZTQ3ODEG0gAAADdUYWJsZS5JbnZlbnRUYWJsZS5JdGVtSWR+VGFibGUuSW52ZW50VGFibGVNb2R1bGUuVW5pdElkCgoKCgE3AAAAMgAAAAnTAAAACdQAAAAJ1QAAAAbWAAAADERpbWVuc2lvblsxXQbXAAAABkJyYW5jaAbYAAAABlN0cmluZwkIAAAABtoAAAAkYjViNmM5MzQtZDc1Mi00MDRiLTlhMjAtMTM2YWMzMTE0N2FlASX///9r/////////wUAAAABJP///2r///8AAAAAASP///9p////AgAAAAAAAAAAASL///9o////AAAAAAoBAAAAAAAAAAAFAAAAAAbfAAAAJDViZDU5ZmM5LTJhYWMtNGViNi1iODM2LTczZWUxN2ZkODA0OQbgAAAAHlRhYmxlLkludmVudFRhYmxlLkRpbWVuc2lvblsxXQoKCgoBOAAAADIAAAAJ4QAAAAniAAAACeMAAAAG5AAAAAxEaW1lbnNpb25bMl0G5QAAAApEZXBhcnRtZW50CdgAAAAJCAAAAAboAAAAJGJkODllYzQ1LTgwZTMtNGU2MS05ZDA3LWQ1NGIzMjBhNDliYgEX////a/////////8GAAAAARb///9q////AAAAAAEV////af///wIAAAAAAAAAAAEU////aP///wAAAAAKAQAAAAAAAAAABgAAAAAG7QAAACQ3ZTI5NWIyNy1jOTk0LTRiOTctOTE5MC1hMTI5MzliM2I5YjkG7gAAAB5UYWJsZS5JbnZlbnRUYWJsZS5EaW1lbnNpb25bMl0KCgoKATkAAAAyAAAACe8AAAAJ8AAAAAnxAAAABvIAAAAMRGltZW5zaW9uWzNdBvMAAAALQ29zdCBDZW50ZXIJ2AAAAAkIAAAABvYAAAAkOTJmNTAwZmItMGU3My00NzVlLWI0MzAtMzczYmY1Nzg0YTQ4AQn///9r/////////wcAAAABCP///2r///8AAAAAAQf///9p////AgAAAAAAAAAAAQb///9o////AAAAAAoBAAAAAAAAAAAHAAAAAAb7AAAAJGJjZjZmYzcwLTgwODUtNDRhZC05OGJjLWIxOWFkNTFkNDg5ZQb8AAAAHlRhYmxlLkludmVudFRhYmxlLkRpbWVuc2lvblszXQoKCgoBOgAAADIAAAAJ/QAAAAn+AAAACf8AAAAGAAEAAAxEaW1lbnNpb25bNF0GAQEAAAdQdXJwb3NlCdgAAAAJCAAAAAYEAQAAJDM5OGIzNmRmLTFjYTUtNDAxYS04MzBkLTMzNzBmNmNmOWM4ZQH7/v//a/////////8IAAAAAfr+//9q////AAAAAAH5/v//af///wIAAAAAAAAAAAH4/v//aP///wAAAAAKAQAAAAAAAAAACAAAAAAGCQEAACQxYTY3NjlhZi03NjM1LTRkOGUtYTE4NS1mMTU0N2JkZWE5ZGMGCgEAAB5UYWJsZS5JbnZlbnRUYWJsZS5EaW1lbnNpb25bNF0KCgoKATsAAAAyAAAACQsBAAAJDAEAAAkNAQAABg4BAAAMRGltZW5zaW9uWzVdBg8BAAAJVGF4IEdyb3VwCdgAAAAJCAAAAAYSAQAAJDA4ZDE5NzUxLTZmMjgtNDZiOS04ZWFmLTE3MWQ2ZWM2ZDhlZQHt/v//a/////////8JAAAAAez+//9q////AAAAAAHr/v//af///wIAAAAAAAAAAAHq/v//aP///wAAAAAKAQAAAAAAAAAACQAAAAAGFwEAACQ0ZWIxOGZhOC1jYzM5LTRhNjMtYmQ1Zi02NWU3YmEwOTJlMDcGGAEAAB5UYWJsZS5JbnZlbnRUYWJsZS5EaW1lbnNpb25bNV0KCgoKATwAAAAyAAAACRkBAAAJGgEAAAkbAQAABhwBAAAMRGltZW5zaW9uWzZdBh0BAAAHU2VnbWVudAnYAAAACQgAAAAGIAEAACRjZWYxZDg3Ny1iMDgzLTRkYjctODRkYy0xZjNjZTM1M2ZkNjAB3/7//2v/////////CgAAAAHe/v//av///wAAAAAB3f7//2n///8CAAAAAAAAAAAB3P7//2j///8AAAAACgEAAAAAAAAAAAoAAAAABiUBAAAkODA3MjExYTEtYzRhZS00ZjA1LTk3NjgtODM1ZGZkYThiNGQ3BiYBAAAeVGFibGUuSW52ZW50VGFibGUuRGltZW5zaW9uWzZdCgoKCgE9AAAAMgAAAAknAQAACSgBAAAJKQEAAAYqAQAADERpbWVuc2lvbls3XQYrAQAAFU1ham9yIE1hcmtldGluZyBHcm91cAnYAAAACQgAAAAGLgEAACRjODFjYmVkNy0yYzVkLTRhNmMtYjJkNC1mYTViNzg0YmEzYWEB0f7//2v/////////CwAAAAHQ/v//av///wAAAAABz/7//2n///8CAAAAAAAAAAABzv7//2j///8AAAAACgEAAAAAAAAAAAsAAAAABjMBAAAkNTQ1YzZjNzMtMzg0YS00ZTJmLTgzZDUtNTQzOGRlZjMxMjVhBjQBAAAeVGFibGUuSW52ZW50VGFibGUuRGltZW5zaW9uWzddCgoKCgE+AAAAMgAAAAk1AQAACTYBAAAJNwEAAAY4AQAADERpbWVuc2lvbls4XQY5AQAAFkRldGFpbCBNYXJrZXRpbmcgR3JvdXAJ2AAAAAkIAAAABjwBAAAkYmRhNDMzYjMtOTRiNC00OGE3LThiODktOTIxMGIzYmJlNTgyAcP+//9r/////////wwAAAABwv7//2r///8AAAAAAcH+//9p////AgAAAAAAAAAAAcD+//9o////AAAAAAoBAAAAAAAAAAAMAAAAAAZBAQAAJDhjZDBmZTQ1LWI5Y2QtNGJjMi04ZWMwLWY4MjRmYzM5NzQxMgZCAQAAHlRhYmxlLkludmVudFRhYmxlLkRpbWVuc2lvbls4XQoKCgoBPwAAADIAAAAJQwEAAAlEAQAACUUBAAAGRgEAAAxEaW1lbnNpb25bOV0GRwEAAAlTdGF0dXRvcnkJ2AAAAAkIAAAABkoBAAAkMmEwMmY3MWItNmRjZC00NGI0LWIzNDgtZjEwNDY1N2VjNTUwAbX+//9r/////////w0AAAABtP7//2r///8AAAAAAbP+//9p////AgAAAAAAAAAAAbL+//9o////AAAAAAoBAAAAAAAAAAANAAAAAAZPAQAAJDQwNzY3NjNiLTliNGEtNDUwNS05Yjg0LTdmODRhODcyODQ0YQZQAQAAHlRhYmxlLkludmVudFRhYmxlLkRpbWVuc2lvbls5XQoKCgoBQAAAADIAAAAJUQEAAAlSAQAACVMBAAAGVAEAAA1EaW1lbnNpb25bMTBdBlUBAAAHQ2hhbm5lbAnYAAAACQgAAAAGWAEAACRlNzM3ODE1Ny1kOTI3LTQ1YmItOGFhZC04ZmNmOTViNzI1MTkBp/7//2v/////////DgAAAAGm/v//av///wAAAAABpf7//2n///8CAAAAAAAAAAABpP7//2j///8AAAAACgEAAAAAAAAAAA4AAAAABl0BAAAkZDYwYjE5NzctNTk4YS00NjE1LWFlZjQtMDA4ZTZjNjQ2NzdiBl4BAAAfVGFibGUuSW52ZW50VGFibGUuRGltZW5zaW9uWzEwXQoKCgoBdAAAABIAAAAHdQAAAAABAAAAD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AEAABhUYWJsZS5JbnZlbnRUYWJsZS5JdGVtSWQJYQEAAAGe/v//of7//wZjAQAAGlRhYmxlLkludmVudFRhYmxlLkl0ZW1OYW1lCWQBAAABm/7//6H+//8GZgEAAB1UYWJsZS5JbnZlbnRUYWJsZS5JdGVtR3JvdXBJZAlnAQAAAZj+//+h/v//BmkBAAAaVGFibGUuSW52ZW50VGFibGUuSXRlbVR5cGUJagEAAAGV/v//of7//wZsAQAAHlRhYmxlLkludmVudFRhYmxlLkRpbWVuc2lvblsxXQltAQAAAZL+//+h/v//Bm8BAAAeVGFibGUuSW52ZW50VGFibGUuRGltZW5zaW9uWzJdCXABAAABj/7//6H+//8GcgEAAB5UYWJsZS5JbnZlbnRUYWJsZS5EaW1lbnNpb25bM10JcwEAAAGM/v//of7//wZ1AQAAHlRhYmxlLkludmVudFRhYmxlLkRpbWVuc2lvbls0XQl2AQAAAYn+//+h/v//BngBAAAeVGFibGUuSW52ZW50VGFibGUuRGltZW5zaW9uWzVdCXkBAAABhv7//6H+//8GewEAAB5UYWJsZS5JbnZlbnRUYWJsZS5EaW1lbnNpb25bNl0JfAEAAAGD/v//of7//wZ+AQAAHlRhYmxlLkludmVudFRhYmxlLkRpbWVuc2lvbls3XQl/AQAAAYD+//+h/v//BoEBAAAeVGFibGUuSW52ZW50VGFibGUuRGltZW5zaW9uWzhdCYIBAAABff7//6H+//8GhAEAAB5UYWJsZS5JbnZlbnRUYWJsZS5EaW1lbnNpb25bOV0JhQEAAAF6/v//of7//waHAQAAH1RhYmxlLkludmVudFRhYmxlLkRpbWVuc2lvblsxMF0JiAEAAAd3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d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KAQAAGFRhYmxlLkludmVudFRhYmxlLkl0ZW1JZAmLAQAAAXT+//93/v//Bo0BAAAaVGFibGUuSW52ZW50VGFibGUuSXRlbVR5cGUJjgEAAAd5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x/v//1P///wkwAAAACTEAAAAEe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8AAAAhAAAAAQAAAAmSAQAAAwAAAAmTAQAAAYAAAAAiAAAAAQAAAAkSAAAAAwAAAAmVAQAABI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AQAAAAAAAAGMAAAAKQAAAAAAAAAJlwEAAAAAAAA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EAAAEAAAABAAAABI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rQAAAAmZAQAABwAAAAmaAQAABI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mSAQAABwAAAAmcAQAAAZsAAACNAAAACZ0BAAABAAAAAQAAAAGcAAAAjgAAAKwAAAAJmQEAAAcAAAAJnwEAAAS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gAAAAJkgEAAAcAAAAJoQEAAAGpAAAAjQAAAAmiAQAAAQAAAAEAAAABqgAAAI4AAACsAAAACZkBAAAHAAAACaQBAAAEq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oAAAACZIBAAAHAAAACaYBAAABtwAAAI0AAAAJpwEAAAEAAAABAAAAAbgAAACOAAAArAAAAAmZAQAABwAAAAmpAQAABL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mSAQAABwAAAAmrAQAAAcUAAACNAAAACawBAAABAAAAAQAAAAHGAAAAjgAAAKsAAAAJmQEAAAcAAAAJrgE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gAAAAJkgEAAAcAAAAJsAEAAAHTAAAAjQAAAAmxAQAAAQAAAAEAAAAB1AAAAI4AAAARAAAACbIBAAAHAAAACbMBAAAE1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bUBAAAB4QAAAI0AAAAJtgEAAAEAAAABAAAAAeIAAACOAAAAEQAAAAmyAQAABwAAAAm4AQAABO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m6AQAAAe8AAACNAAAACbsBAAABAAAAAQAAAAHwAAAAjgAAABEAAAAJsgEAAAcAAAAJvQEAAAT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vwEAAAH9AAAAjQAAAAnAAQAAAQAAAAEAAAAB/gAAAI4AAAARAAAACbIBAAAHAAAACcIBAAAE/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cQBAAABCwEAAI0AAAAJxQEAAAEAAAABAAAAAQwBAACOAAAAEQAAAAmyAQAABwAAAAnHAQAABA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JAQAAARkBAACNAAAACcoBAAABAAAAAQAAAAEaAQAAjgAAABEAAAAJsgEAAAcAAAAJzAEAAAQb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zgEAAAEnAQAAjQAAAAnPAQAAAQAAAAEAAAABKAEAAI4AAAARAAAACbIBAAAHAAAACdEBAAAEK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dMBAAABNQEAAI0AAAAJ1AEAAAEAAAABAAAAATYBAACOAAAAEQAAAAmyAQAABwAAAAnWAQAABD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YAQAAAUMBAACNAAAACdkBAAABAAAAAQAAAAFEAQAAjgAAABEAAAAJsgEAAAcAAAAJ2wE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3QEAAAFRAQAAjQAAAAneAQAAAQAAAAEAAAABUgEAAI4AAAARAAAACbIBAAAHAAAACeABAAAEU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IBAAAFY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Hf7//2v/////////AAbkAQAABlN0cmluZwblAQAAC0l0ZW0gbnVtYmVyCeYBAAABGf7//2n///8CAAAABRj+//85R2xvYmVTb2Z0d2FyZS5BdGxhczQwLkF0bGFzQ29tbW9uLk51bWJlclNlcXVlbmNlQ29uZGl0aW9uAQAAAAd2YWx1ZV9fAAgCAAAAAQAAAAAABukBAAARVGFibGUuSW52ZW50VGFibGUJkAAAAAkIAAAACv////8J6QEAAAoJkAAAAAoKCgkIAAAACe8BAAAJCAAAAAFkAQAAYQEAAAEP/v//a/////////8ABvIBAAAGU3RyaW5nBvMBAAAJSXRlbSBuYW1lCeYBAAABC/7//2n///8CAAAAAQr+//8Y/v//AQAAAAAACekBAAAJngAAAAkIAAAACv////8J6QEAAAoJngAAAAoKCgkIAAAACf0BAAAJCAAAAAFnAQAAYQEAAAEB/v//a/////////8ABgACAAAGU3RyaW5nBgECAAAKSXRlbSBncm91cAnmAQAAAf39//9p////AgAAAAH8/f//GP7//wEAAAAAAAnpAQAACawAAAAJCAAAAAr/////CekBAAAKCawAAAAKCgoJCAAAAAkLAgAACQgAAAABagEAAGEBAAAB8/3//2v/////////AAYOAgAABEVudW0GDwIAAAlJdGVtIHR5cGUJ5gEAAAHv/f//af///wIAAAAB7v3//xj+//8BAAAAAAAJ6QEAAAm6AAAACQgAAAAK/////wnpAQAACgm6AAAACgoKCQgAAAAJGQIAAAkIAAAAAW0BAABhAQAAAeX9//9r/////////wAGHAIAAAZTdHJpbmcGHQIAAAZCcmFuY2gJHgIAAAHh/f//af///wIAAAAB4P3//xj+//8BAAAAAAAGIQIAABFUYWJsZS5JbnZlbnRUYWJsZQnWAAAACQgAAAAK/////wkhAgAACgnWAAAACgoKCQgAAAAJJwIAAAkIAAAAAXABAABhAQAAAdf9//9r/////////wAJHAIAAAYrAgAACkRlcGFydG1lbnQJHgIAAAHT/f//af///wIAAAAB0v3//xj+//8BAAAAAAAJIQIAAAnkAAAACQgAAAAK/////wkhAgAACgnkAAAACgoKCQgAAAAJNQIAAAkIAAAAAXMBAABhAQAAAcn9//9r/////////wAJHAIAAAY5AgAAC0Nvc3QgQ2VudGVyCR4CAAABxf3//2n///8CAAAAAcT9//8Y/v//AQAAAAAACSECAAAJ8gAAAAkIAAAACv////8JIQIAAAoJ8gAAAAoKCgkIAAAACUMCAAAJCAAAAAF2AQAAYQEAAAG7/f//a/////////8ACRwCAAAGRwIAAAdQdXJwb3NlCR4CAAABt/3//2n///8CAAAAAbb9//8Y/v//AQAAAAAACSECAAAJAAEAAAkIAAAACv////8JIQIAAAoJAAEAAAoKCgkIAAAACVECAAAJCAAAAAF5AQAAYQEAAAGt/f//a/////////8ACRwCAAAGVQIAAAlUYXggR3JvdXAJHgIAAAGp/f//af///wIAAAABqP3//xj+//8BAAAAAAAJIQIAAAkOAQAACQgAAAAK/////wkhAgAACgkOAQAACgoKCQgAAAAJXwIAAAkIAAAAAXwBAABhAQAAAZ/9//9r/////////wAJHAIAAAZjAgAAB1NlZ21lbnQJHgIAAAGb/f//af///wIAAAABmv3//xj+//8BAAAAAAAJIQIAAAkcAQAACQgAAAAK/////wkhAgAACgkcAQAACgoKCQgAAAAJbQIAAAkIAAAAAX8BAABhAQAAAZH9//9r/////////wAJHAIAAAZxAgAAFU1ham9yIE1hcmtldGluZyBHcm91cAkeAgAAAY39//9p////AgAAAAGM/f//GP7//wEAAAAAAAkhAgAACSoBAAAJCAAAAAr/////CSECAAAKCSoBAAAKCgoJCAAAAAl7AgAACQgAAAABggEAAGEBAAABg/3//2v/////////AAkcAgAABn8CAAAWRGV0YWlsIE1hcmtldGluZyBHcm91cAkeAgAAAX/9//9p////AgAAAAF+/f//GP7//wEAAAAAAAkhAgAACTgBAAAJCAAAAAr/////CSECAAAKCTgBAAAKCgoJCAAAAAmJAgAACQgAAAABhQEAAGEBAAABdf3//2v/////////AAkcAgAABo0CAAAJU3RhdHV0b3J5CR4CAAABcf3//2n///8CAAAAAXD9//8Y/v//AQAAAAAACSECAAAJRgEAAAkIAAAACv////8JIQIAAAoJRgEAAAoKCgkIAAAACZcCAAAJCAAAAAGIAQAAYQEAAAFn/f//a/////////8ACRwCAAAGmwIAAAdDaGFubmVsCR4CAAABY/3//2n///8CAAAAAWL9//8Y/v//AQAAAAAACSECAAAJVAEAAAkIAAAACv////8JIQIAAAoJVAEAAAoKCgkIAAAACaUCAAAJCAAAAAWL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pwIAABFUYWJsZS5JbnZlbnRUYWJsZQaoAgAABkl0ZW1JZAkIAAAABqoCAAABKv////8JpwIAAAoJqAIAAAoKCgkIAAAACa4CAAAJCAAAAAGOAQAAiwEAAAmnAgAABrECAAAISXRlbVR5cGUJCAAAAAazAgAACCFTZXJ2aWNl/////wmnAgAACgmxAgAACgoKCQgAAAAJtwIAAAkIAAAAAZIBAAASAAAAB5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f9//+h/v//BroCAAA3VGFibGUuSW52ZW50VGFibGUuSXRlbUlkflRhYmxlLkludmVudFRhYmxlTW9kdWxlLlVuaXRJZAm7AgAAB5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E/f//d/7//wa9AgAAO1RhYmxlLkludmVudFRhYmxlLkl0ZW1JZH5UYWJsZS5JbnZlbnRUYWJsZU1vZHVsZS5Nb2R1bGVUeXBlCb4CAAABlwEAAHoAAAAHmAEAAAABAAAABAAAAAQ3R2xvYmVTb2Z0d2FyZS5BdGxhczQwLkF0bGFzQ29tbW9uLlR5cGUuRmllbGRPdXRwdXRGaWVsZAIAAAAJYQEAAA0DBJ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A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/9//8yR2xvYmVTb2Z0d2FyZS5BdGxhczQwLkF0bGFzQ29tbW9uLkNvbHVtbkF0dHJpYnV0ZXMBAAAAB3ZhbHVlX18ACAIAAAAGAAAABsICAAAFVG90YWwBPf3//0D9//8BPP3//z/9//8QAAAABsUCAAAETm9uZQE6/f//QP3//wE5/f//P/3//wkAAAAJCAAAAAE3/f//QP3//wE2/f//P/3//wsAAAAGywIAAAEwATT9//9A/f//ATP9//8//f//BAAAAAbOAgAAB0dlbmVyYWwBMf3//0D9//8BMP3//z/9//8CAAAABtECAAABMQEu/f//QP3//wEt/f//P/3//wAAAAAG1AIAAAUyMC40Mw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v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1gIAAAhGb250Qm9sZAbXAgAABUZhbHNlASj9//8r/f//BtkCAAAKRm9udEl0YWxpYwnXAgAAASX9//8r/f//BtwCAAANRm9udFVuZGVybGluZQbdAgAABS00MTQyASL9//8r/f//Bt8CAAAIRm9udE5hbWUG4AIAAAdDYWxpYnJpAR/9//8r/f//BuICAAAJRm9udENvbG9yBuMCAAABMAEc/f//K/3//wblAgAACEZvbnRTaXplBuYCAAACMTEBGf3//yv9//8G6AIAAAlGb250U3R5bGUG6QIAAAdSZWd1bGFyB50BAAAAAQAAAAQAAAAEN0dsb2JlU29mdHdhcmUuQXRsYXM0MC5BdGxhc0NvbW1vbi5UeXBlLkZpZWxkT3V0cHV0RmllbGQCAAAACWQBAAANAw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f3//0D9//8BFP3//z/9//8QAAAACcUCAAABEv3//0D9//8BEf3//z/9//8JAAAACQgAAAABD/3//0D9//8BDv3//z/9//8LAAAABvMCAAABMQEM/f//QP3//wEL/f//P/3//wQAAAAG9gIAAAdHZW5lcmFsAQn9//9A/f//AQj9//8//f//AgAAAAb5AgAAATEBBv3//0D9//8BBf3//z/9//8AAAAABvwCAAACNTY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f//K/3//wnWAgAACdcCAAABAP3//yv9//8J2QIAAAnXAgAAAf38//8r/f//CdwCAAAGBQMAAAUtNDE0MgH6/P//K/3//wnfAgAABggDAAAHQ2FsaWJyaQH3/P//K/3//wniAgAABgsDAAABMAH0/P//K/3//wnlAgAABg4DAAACMTEB8fz//yv9//8J6AIAAAYRAwAAB1JlZ3VsYXIHogEAAAABAAAABAAAAAQ3R2xvYmVTb2Z0d2FyZS5BdGxhczQwLkF0bGFzQ29tbW9uLlR5cGUuRmllbGRPdXRwdXRGaWVsZAIAAAAJZwEAAA0DB6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P//QP3//wHs/P//P/3//xAAAAAJxQIAAAHq/P//QP3//wHp/P//P/3//wkAAAAJCAAAAAHn/P//QP3//wHm/P//P/3//wsAAAAGGwMAAAEyAeT8//9A/f//AeP8//8//f//BAAAAAYeAwAAB0dlbmVyYWwB4fz//0D9//8B4Pz//z/9//8CAAAABiEDAAABMQHe/P//QP3//wHd/P//P/3//wAAAAAGJAMAAAUxMi4yOQe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8//8r/f//CdYCAAAJ1wIAAAHY/P//K/3//wnZAgAACdcCAAAB1fz//yv9//8J3AIAAAYtAwAABS00MTQyAdL8//8r/f//Cd8CAAAGMAMAAAdDYWxpYnJpAc/8//8r/f//CeICAAAGMwMAAAEwAcz8//8r/f//CeUCAAAGNgMAAAIxMQHJ/P//K/3//wnoAgAABjkDAAAHUmVndWxhcgenAQAAAAEAAAAEAAAABDdHbG9iZVNvZnR3YXJlLkF0bGFzNDAuQXRsYXNDb21tb24uVHlwZS5GaWVsZE91dHB1dEZpZWxkAgAAAAlqAQAADQMHq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9A/f//AcT8//8//f//EAAAAAnFAgAAAcL8//9A/f//AcH8//8//f//CQAAAAkIAAAAAb/8//9A/f//Ab78//8//f//CwAAAAZDAwAAATMBvPz//0D9//8Bu/z//z/9//8EAAAABkYDAAAHR2VuZXJhbAG5/P//QP3//wG4/P//P/3//wIAAAAGSQMAAAExAbb8//9A/f//AbX8//8//f//AAAAAAZMAwAABTExLjE0B6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yv9//8J1gIAAAnXAgAAAbD8//8r/f//CdkCAAAJ1wIAAAGt/P//K/3//wncAgAABlUDAAAFLTQxNDIBqvz//yv9//8J3wIAAAZYAwAAB0NhbGlicmkBp/z//yv9//8J4gIAAAZbAwAAATABpPz//yv9//8J5QIAAAZeAwAAAjExAaH8//8r/f//CegCAAAGYQMAAAdSZWd1bGFyB6wBAAAAAQAAAAQAAAAEN0dsb2JlU29mdHdhcmUuQXRsYXM0MC5BdGxhc0NvbW1vbi5UeXBlLkZpZWxkT3V0cHV0RmllbGQCAAAACbsCAAANAwe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fz//0D9//8BnPz//z/9//8JAAAACQgAAAABmvz//0D9//8Bmfz//z/9//8LAAAABmgDAAABNAGX/P//QP3//wGW/P//P/3//wQAAAAGawMAAAdHZW5lcmFsAZT8//9A/f//AZP8//8//f//AgAAAAZuAwAAATEBkfz//0D9//8BkPz//z/9//8AAAAABnEDAAAENi40Mwe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78//8r/f//CdYCAAAJ1wIAAAGL/P//K/3//wnZAgAACdcCAAABiPz//yv9//8J3AIAAAZ6AwAABS00MTQyAYX8//8r/f//Cd8CAAAGfQMAAAdDYWxpYnJpAYL8//8r/f//CeICAAAGgAMAAAEwAX/8//8r/f//CeUCAAAGgwMAAAIxMQF8/P//K/3//wnoAgAABoYDAAAHUmVndWxhcgexAQAAAAEAAAAEAAAABDdHbG9iZVNvZnR3YXJlLkF0bGFzNDAuQXRsYXNDb21tb24uVHlwZS5GaWVsZE91dHB1dEZpZWxkAgAAAAltAQAADQMBsgEAAJkBAAAHs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j8//9A/f//AXf8//8//f//CQAAAAkIAAAAAXX8//9A/f//AXT8//8//f//CwAAAAaNAwAAATUBcvz//0D9//8Bcfz//z/9//8EAAAABpADAAAHR2VuZXJhbAFv/P//QP3//wFu/P//P/3//wIAAAAGkwMAAAExAWz8//9A/f//AWv8//8//f//AAAAAAaWAwAABDguNTcHt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K/3//waYAwAACEZvbnRCb2xkCdcCAAABZvz//yv9//8GmwMAAApGb250SXRhbGljCdcCAAABY/z//yv9//8GngMAAA1Gb250VW5kZXJsaW5lBp8DAAAFLTQxNDIBYPz//yv9//8GoQMAAAhGb250TmFtZQaiAwAAB0NhbGlicmkBXfz//yv9//8GpAMAAAlGb250Q29sb3IGpQMAAAEwAVr8//8r/f//BqcDAAAIRm9udFNpemUGqAMAAAIxMQFX/P//K/3//waqAwAACUZvbnRTdHlsZQarAwAAB1JlZ3VsYXIHtgEAAAABAAAABAAAAAQ3R2xvYmVTb2Z0d2FyZS5BdGxhczQwLkF0bGFzQ29tbW9uLlR5cGUuRmllbGRPdXRwdXRGaWVsZAIAAAAJcAEAAA0DB7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QP3//wFS/P//P/3//wkAAAAJCAAAAAFQ/P//QP3//wFP/P//P/3//wsAAAAGsgMAAAE2AU38//9A/f//AUz8//8//f//BAAAAAa1AwAAB0dlbmVyYWwBSvz//0D9//8BSfz//z/9//8CAAAABrgDAAABMQFH/P//QP3//wFG/P//P/3//wAAAAAGuwMAAAUxMy4yOQe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T8//8r/f//CZgDAAAJ1wIAAAFB/P//K/3//wmbAwAACdcCAAABPvz//yv9//8JngMAAAbEAwAABS00MTQyATv8//8r/f//CaEDAAAGxwMAAAdDYWxpYnJpATj8//8r/f//CaQDAAAGygMAAAEwATX8//8r/f//CacDAAAGzQMAAAIxMQEy/P//K/3//wmqAwAABtADAAAHUmVndWxhcge7AQAAAAEAAAAEAAAABDdHbG9iZVNvZnR3YXJlLkF0bGFzNDAuQXRsYXNDb21tb24uVHlwZS5GaWVsZE91dHB1dEZpZWxkAgAAAAlzAQAADQMHv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78//9A/f//AS38//8//f//CQAAAAkIAAAAASv8//9A/f//ASr8//8//f//CwAAAAbXAwAAATcBKPz//0D9//8BJ/z//z/9//8EAAAABtoDAAAHR2VuZXJhbAEl/P//QP3//wEk/P//P/3//wIAAAAG3QMAAAExASL8//9A/f//ASH8//8//f//AAAAAAbgAwAABTEyLjg2B78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yv9//8JmAMAAAnXAgAAARz8//8r/f//CZsDAAAJ1wIAAAEZ/P//K/3//wmeAwAABukDAAAFLTQxNDIBFvz//yv9//8JoQMAAAbsAwAAB0NhbGlicmkBE/z//yv9//8JpAMAAAbvAwAAATABEPz//yv9//8JpwMAAAbyAwAAAjExAQ38//8r/f//CaoDAAAG9QMAAAdSZWd1bGFyB8ABAAAAAQAAAAQAAAAEN0dsb2JlU29mdHdhcmUuQXRsYXM0MC5BdGxhc0NvbW1vbi5UeXBlLkZpZWxkT3V0cHV0RmllbGQCAAAACXYBAAANAwf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0D9//8BCPz//z/9//8JAAAACQgAAAABBvz//0D9//8BBfz//z/9//8LAAAABvwDAAABOAED/P//QP3//wEC/P//P/3//wQAAAAG/wMAAAdHZW5lcmFsAQD8//9A/f//Af/7//8//f//AgAAAAYCBAAAATEB/fv//0D9//8B/Pv//z/9//8AAAAABgUEAAAEOS44NgfE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7//8r/f//CZgDAAAJ1wIAAAH3+///K/3//wmbAwAACdcCAAAB9Pv//yv9//8JngMAAAYOBAAABS00MTQyAfH7//8r/f//CaEDAAAGEQQAAAdDYWxpYnJpAe77//8r/f//CaQDAAAGFAQAAAEwAev7//8r/f//CacDAAAGFwQAAAIxMQHo+///K/3//wmqAwAABhoEAAAHUmVndWxhcgfFAQAAAAEAAAAEAAAABDdHbG9iZVNvZnR3YXJlLkF0bGFzNDAuQXRsYXNDb21tb24uVHlwZS5GaWVsZE91dHB1dEZpZWxkAgAAAAl5AQAADQMHx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7//9A/f//AeP7//8//f//CQAAAAkIAAAAAeH7//9A/f//AeD7//8//f//CwAAAAYhBAAAATkB3vv//0D9//8B3fv//z/9//8EAAAABiQEAAAHR2VuZXJhbAHb+///QP3//wHa+///P/3//wIAAAAGJwQAAAExAdj7//9A/f//Adf7//8//f//AAAAAAYqBAAABTExLjU3B8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v//yv9//8JmAMAAAnXAgAAAdL7//8r/f//CZsDAAAJ1wIAAAHP+///K/3//wmeAwAABjMEAAAFLTQxNDIBzPv//yv9//8JoQMAAAY2BAAAB0NhbGlicmkByfv//yv9//8JpAMAAAY5BAAAATABxvv//yv9//8JpwMAAAY8BAAAAjExAcP7//8r/f//CaoDAAAGPwQAAAdSZWd1bGFyB8oBAAAAAQAAAAQAAAAEN0dsb2JlU29mdHdhcmUuQXRsYXM0MC5BdGxhc0NvbW1vbi5UeXBlLkZpZWxkT3V0cHV0RmllbGQCAAAACXwBAAANAwfM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v//0D9//8Bvvv//z/9//8JAAAACQgAAAABvPv//0D9//8Bu/v//z/9//8LAAAABkYEAAACMTABufv//0D9//8BuPv//z/9//8EAAAABkkEAAAHR2VuZXJhbAG2+///QP3//wG1+///P/3//wIAAAAGTAQAAAExAbP7//9A/f//AbL7//8//f//AAAAAAZPBAAABTEwLjQzB84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v//yv9//8JmAMAAAnXAgAAAa37//8r/f//CZsDAAAJ1wIAAAGq+///K/3//wmeAwAABlgEAAAFLTQxNDIBp/v//yv9//8JoQMAAAZbBAAAB0NhbGlicmkBpPv//yv9//8JpAMAAAZeBAAAATABofv//yv9//8JpwMAAAZhBAAAAjExAZ77//8r/f//CaoDAAAGZAQAAAdSZWd1bGFyB88BAAAAAQAAAAQAAAAEN0dsb2JlU29mdHdhcmUuQXRsYXM0MC5BdGxhc0NvbW1vbi5UeXBlLkZpZWxkT3V0cHV0RmllbGQCAAAACX8BAAANAwfR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vv//0D9//8Bmfv//z/9//8JAAAACQgAAAABl/v//0D9//8Blvv//z/9//8LAAAABmsEAAACMTEBlPv//0D9//8Bk/v//z/9//8EAAAABm4EAAAHR2VuZXJhbAGR+///QP3//wGQ+///P/3//wIAAAAGcQQAAAExAY77//9A/f//AY37//8//f//AAAAAAZ0BAAABTIzLjg2B9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v//yv9//8JmAMAAAnXAgAAAYj7//8r/f//CZsDAAAJ1wIAAAGF+///K/3//wmeAwAABn0EAAAFLTQxNDIBgvv//yv9//8JoQMAAAaABAAAB0NhbGlicmkBf/v//yv9//8JpAMAAAaDBAAAATABfPv//yv9//8JpwMAAAaGBAAAAjExAXn7//8r/f//CaoDAAAGiQQAAAdSZWd1bGFyB9QBAAAAAQAAAAQAAAAEN0dsb2JlU29mdHdhcmUuQXRsYXM0MC5BdGxhc0NvbW1vbi5UeXBlLkZpZWxkT3V0cHV0RmllbGQCAAAACYIBAAANAwfW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fv//0D9//8BdPv//z/9//8JAAAACQgAAAABcvv//0D9//8Bcfv//z/9//8LAAAABpAEAAACMTIBb/v//0D9//8Bbvv//z/9//8EAAAABpMEAAAHR2VuZXJhbAFs+///QP3//wFr+///P/3//wIAAAAGlgQAAAExAWn7//9A/f//AWj7//8//f//AAAAAAaZBAAABTIzLjg2B9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v//yv9//8JmAMAAAnXAgAAAWP7//8r/f//CZsDAAAJ1wIAAAFg+///K/3//wmeAwAABqIEAAAFLTQxNDIBXfv//yv9//8JoQMAAAalBAAAB0NhbGlicmkBWvv//yv9//8JpAMAAAaoBAAAATABV/v//yv9//8JpwMAAAarBAAAAjExAVT7//8r/f//CaoDAAAGrgQAAAdSZWd1bGFyB9kBAAAAAQAAAAQAAAAEN0dsb2JlU29mdHdhcmUuQXRsYXM0MC5BdGxhc0NvbW1vbi5UeXBlLkZpZWxkT3V0cHV0RmllbGQCAAAACYUBAAANAwfb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v//0D9//8BT/v//z/9//8JAAAACQgAAAABTfv//0D9//8BTPv//z/9//8LAAAABrUEAAACMTMBSvv//0D9//8BSfv//z/9//8EAAAABrgEAAAHR2VuZXJhbAFH+///QP3//wFG+///P/3//wIAAAAGuwQAAAExAUT7//9A/f//AUP7//8//f//AAAAAAa+BAAABTEwLjcxB90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yv9//8JmAMAAAnXAgAAAT77//8r/f//CZsDAAAJ1wIAAAE7+///K/3//wmeAwAABscEAAAFLTQxNDIBOPv//yv9//8JoQMAAAbKBAAAB0NhbGlicmkBNfv//yv9//8JpAMAAAbNBAAAATABMvv//yv9//8JpwMAAAbQBAAAAjExAS/7//8r/f//CaoDAAAG0wQAAAdSZWd1bGFyB94BAAAAAQAAAAQAAAAEN0dsb2JlU29mdHdhcmUuQXRsYXM0MC5BdGxhc0NvbW1vbi5UeXBlLkZpZWxkT3V0cHV0RmllbGQCAAAACYgBAAANAwf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v//0D9//8BKvv//z/9//8JAAAACQgAAAABKPv//0D9//8BJ/v//z/9//8LAAAABtoEAAACMTQBJfv//0D9//8BJPv//z/9//8EAAAABt0EAAAHR2VuZXJhbAEi+///QP3//wEh+///P/3//wIAAAAG4AQAAAExAR/7//9A/f//AR77//8//f//AAAAAAbjBAAABDkuODYH4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+///K/3//wmYAwAACdcCAAABGfv//yv9//8JmwMAAAnXAgAAARb7//8r/f//CZ4DAAAG7AQAAAUtNDE0MgET+///K/3//wmhAwAABu8EAAAHQ2FsaWJyaQEQ+///K/3//wmkAwAABvIEAAABMAEN+///K/3//wmnAwAABvUEAAACMTEBCvv//yv9//8JqgMAAAb4BAAAB1JlZ3VsYXIB5gEAAA4AAACvAAAABvkEAAALSW52ZW50VGFibGUG+gQAAAVJdGVtcwkIAAAACQgAAAAJCAAAAAEE+///4P///wAAAAAJ/QQAAAn+BAAAAQH7///d////4kGfOgXEU0iC0ewZNyouAwkIAAAACQgAAAAJAQUAAAnpAQAACgoKCgoBAAAAAf36///Z////AAAAAAH8+v//2P///wAAAAAACQUFAAAE7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IBAAADAAAACQcFAAAE/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IBAAADAAAACQkFAAAEC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IBAAADAAAACQsFAAAEG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IBAAADAAAACQ0FAAABHgIAAA4AAAD/////Bg4FAAALSW52ZW50VGFibGUGDwUAAAVJdGVtcwkIAAAACQgAAAAJCAAAAAHv+v//4P///wAAAAAJEgUAAAkTBQAAAez6///d////scQuooJFuEe2SNJ9pzXZ+AkIAAAACQgAAAAJFgUAAAkhAgAACgoKCgoBAAAAAej6///Z////AAAAAAHn+v//2P///wAAAAAACRoFAAAEJ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RwFAAAEN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R4FAAAEQ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AFAAAEU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IFAAAEX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QFAAAEb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YFAAAEe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gFAAAEi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oFAAAEl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wFAAAEp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S4F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S8FAAADAAAACTAFAAAEt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S8FAAADAAAACTIFAAABuwIAAGEBAAABzfr//2v/////////AAY0BQAABlN0cmluZwY1BQAABFVuaXQJMQAAAAHJ+v//af///wIAAAAByPr//xj+//8BAAAAAAAJMAAAAAnIAAAACQgAAAAK/////wkwAAAACgnIAAAABj4FAAAGSXRlbUlkBj8FAAALSW52ZW50VGFibGUKCQgAAAAJQQUAAAkIAAAAAb4CAACLAQAACTAAAAAGRAUAAApNb2R1bGVUeXBlCQgAAAAGRgUAAAZJbnZlbnT/////CTAAAAAKCUQFAAAGSQUAAAZJdGVtSWQKCgkIAAAACUsFAAAJCAAAAAH9BAAAIQAAAAgAAAAJTQUAAAcAAAAJTgUAAAT+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0FAAAAAAAAAQEFAAAEAAAAAQAAAAlNBQAAAwAAAAlQBQAAAQUFAAApAAAAAAAAAAlRBQAAAAAAAAc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76//8r/f//BlMFAAAISGVscFRleHQGVAUAAA5JZGVudGlmeSBpdGVtLgGr+v//K/3//wZWBQAABUxhYmVsCeUBAAABqPr//yv9//8GWQUAAARUeXBlCeQBAAAHC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+v//K/3//wlTBQAABl0FAAAYRGVzY3JpcHRpb24gb2YgdGhlIGl0ZW0uAaL6//8r/f//CVYFAAAJ8wEAAAGf+v//K/3//wlZBQAACfIB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v//K/3//wlTBQAABmYFAAAoSXRlbSBncm91cCB0aGF0IHRoZSBpdGVtIGlzIGF0dGFjaGVkIHRvLgGZ+v//K/3//wlWBQAACQECAAABlvr//yv9//8JWQUAAAkAAgAABw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r//yv9//8JUwUAAAZvBQAALlR5cGUgZGV0ZXJtaW5pbmcgaG93IHRoZSBpdGVtIGlzIGFkbWluaXN0ZXJlZC4BkPr//yv9//8JVgUAAAkPAgAAAY36//8r/f//CVkFAAAJDgIAAAESBQAAIQAAAA4AAAAJdgUAABEAAAAJdwUAAAETBQAAIgAAAAIAAAAJLwUAAAMAAAAJeQUAAAEWBQAABAAAAAEAAAAJdgUAAAMAAAAJewUAAAEaBQAAKQAAAAAAAAAJfAUAAAAAAAAHH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v//K/3//wZ+BQAABUxhYmVsCR0CAAABgPr//yv9//8GgQUAAARUeXBlCRwCAAAHH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v//K/3//wl+BQAACSsCAAABevr//yv9//8JgQUAAAkcAgAAByA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yv9//8JfgUAAAk5AgAAAXT6//8r/f//CYEFAAAJHAIAAAci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6//8r/f//CX4FAAAJRwIAAAFu+v//K/3//wmBBQAACRwCAAAHJ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K/3//wl+BQAACVUCAAABaPr//yv9//8JgQUAAAkcAgAAByY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r//yv9//8JfgUAAAljAgAAAWL6//8r/f//CYEFAAAJHAIAAAc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/6//8r/f//CX4FAAAJcQIAAAFc+v//K/3//wmBBQAACRwCAAAHK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v//K/3//wl+BQAACX8CAAABVvr//yv9//8JgQUAAAkcAgAAByw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r//yv9//8JfgUAAAmNAgAAAVD6//8r/f//CYEFAAAJHAIAAAcu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36//8r/f//CX4FAAAJmwIAAAFK+v//K/3//wmBBQAACRwCAAABLwUAABIA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v//K/3//wa6BQAABFR5cGUJ5AEAAAFE+v//K/3//wa9BQAABUxhYmVsCeUBAAABQfr//yv9//8GwAUAAAhSZWZlcnNUbwbBBQAACz1JdGVtTnVtYmVy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r//yv9//8JugUAAAkOAgAAATv6//8r/f//Cb0FAAAJDwIAAAE4+v//K/3//wnABQAABsoFAAAJPUl0ZW1UeXBlBE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gAAAAmSAQAAAwAAAAnMBQAABE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AAAAkvBQAAAwAAAAnOBQAAAU0FAAASAAAAB04F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6//+h/v//BtAFAAAYVGFibGUuSW52ZW50VGFibGUuSXRlbUlkCWEBAAABLvr//6H+//8G0wUAABpUYWJsZS5JbnZlbnRUYWJsZS5JdGVtTmFtZQlkAQAAASv6//+h/v//BtYFAAAdVGFibGUuSW52ZW50VGFibGUuSXRlbUdyb3VwSWQJZwEAAAEo+v//of7//wbZBQAAGlRhYmxlLkludmVudFRhYmxlLkl0ZW1UeXBlCWoBAAAHUAU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fr//9T///8JMAAAAAkxAAAAAVEFAAB6AAAAAXYFAAASAAAAB3cFAAAAAQAAAA4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6//+h/v//Bt8FAAAYVGFibGUuSW52ZW50VGFibGUuSXRlbUlkCWEBAAABH/r//6H+//8G4gUAABpUYWJsZS5JbnZlbnRUYWJsZS5JdGVtTmFtZQlkAQAAARz6//+h/v//BuUFAAAdVGFibGUuSW52ZW50VGFibGUuSXRlbUdyb3VwSWQJZwEAAAEZ+v//of7//wboBQAAGlRhYmxlLkludmVudFRhYmxlLkl0ZW1UeXBlCWoBAAABFvr//6H+//8G6wUAAB5UYWJsZS5JbnZlbnRUYWJsZS5EaW1lbnNpb25bMV0JbQEAAAET+v//of7//wbuBQAAH1RhYmxlLkludmVudFRhYmxlLkRpbWVuc2lvblsxMF0JiAEAAAEQ+v//of7//wbxBQAAHlRhYmxlLkludmVudFRhYmxlLkRpbWVuc2lvblszXQlzAQAAAQ36//+h/v//BvQFAAAeVGFibGUuSW52ZW50VGFibGUuRGltZW5zaW9uWzJdCXABAAABCvr//6H+//8G9wUAAB5UYWJsZS5JbnZlbnRUYWJsZS5EaW1lbnNpb25bOF0JggEAAAEH+v//of7//wb6BQAAHlRhYmxlLkludmVudFRhYmxlLkRpbWVuc2lvbls3XQl/AQAAAQT6//+h/v//Bv0FAAAeVGFibGUuSW52ZW50VGFibGUuRGltZW5zaW9uWzRdCXYBAAABAfr//6H+//8GAAYAAB5UYWJsZS5JbnZlbnRUYWJsZS5EaW1lbnNpb25bNl0JfAEAAAH++f//of7//wYDBgAAHlRhYmxlLkludmVudFRhYmxlLkRpbWVuc2lvbls5XQmFAQAAAfv5//+h/v//BgYGAAAeVGFibGUuSW52ZW50VGFibGUuRGltZW5zaW9uWzVdCXkBAAAHeQ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j5//93/v//BgkGAAAYVGFibGUuSW52ZW50VGFibGUuSXRlbUlkCYsBAAAB9fn//3f+//8GDAYAABpUYWJsZS5JbnZlbnRUYWJsZS5JdGVtVHlwZQmOAQAAB3sF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L5///U////CTAAAAAJMQAAAAF8BQAAegAAAAf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5//8r/f//CVYFAAAJNQUAAAHs+f//K/3//wlZBQAACTQF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f//K/3//wm6BQAABhkGAAAERW51bQHm+f//K/3//wm9BQAABhwGAAALTW9kdWxlIHR5cGUL
    <Output>
      <OutputObject name="AtlasReport_5"/>
    </Output>
  </Query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U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zAA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fsBAAAHAAAACfwBAAAB0QAAAMMAAAAJ/QEAAAEAAAABAAAAAdIAAADEAAAA8gA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n7AQAABwAAAAkBAgAAAd8AAADDAAAACQICAAABAAAAAQAAAAHgAAAAxAAAAPIA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+wEAAAcAAAAJBgIAAAHtAAAAwwAAAAkHAgAAAQAAAAEAAAAB7gAAAMQAAADA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ecBAAAHAAAACQsCAAAB+wAAAMMAAAAJDAIAAAEAAAABAAAAAfwAAADEAAAA6gA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n7AQAABwAAAAkQAgAAAQkBAADDAAAACRECAAABAAAAAQAAAAEKAQAAxAAAAM4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sAAAAJ5wEAAAcAAAAJFQIAAAEXAQAAwwAAAAkWAgAAAQAAAAEAAAABGAEAAMQAAADO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ecBAAAHAAAACRoCAAABJQEAAMMAAAAJGwIAAAEAAAABAAAAASYBAADEAAAA8gA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n7AQAABwAAAAkfAgAAATMBAADDAAAACSACAAABAAAAAQAAAAE0AQAAxAAAAM4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sAAAAJ5wEAAAcAAAAJJAIAAAFBAQAAwwAAAAklAgAAAQAAAAEAAAABQgEAAMQAAADzAA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fsBAAAHAAAACSkCAAABTwEAAMMAAAAJKgIAAAEAAAABAAAAAVABAADEAAAA8gA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n7AQAABwAAAAkuAgAAAV0BAADDAAAACS8CAAABAAAAAQAAAAFeAQAAxAAAAPIA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+wEAAAcAAAAJMwIAAAFrAQAAwwAAAAk0AgAAAQAAAAEAAAABbAEAAMQAAADyAA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fsBAAAHAAAACTgCAAABeQEAAMMAAAAJOQIAAAEAAAABAAAAAXoBAADEAAAA8gA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n7AQAABwAAAAk9AgAAAYcBAADDAAAACT4CAAABAAAAAQAAAAGIAQAAxAAAAPIA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+wEAAAcAAAAJQgIAAAGVAQAAwwAAAAlDAgAAAQAAAAEAAAABlgEAAMQAAADyAA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fsBAAAHAAAACUcCAAABowEAAMMAAAAJSAIAAAEAAAABAAAAAaQBAADEAAAA7gA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DEuMjguMjAxOCAuLiAwMS4zMS4yMDE4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Q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0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Q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M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M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M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A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5AA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naAAAABwAAAAnbAAAAATMAAAAlAAAACdwAAAABAAAAAQAAAAE0AAAAJgAAANwAAAAJ2AAAAAcAAAAJ3gAAAAE1AAAAJwAAANkAAAAJ2gAAAAcAAAAJ4AAAAAFBAAAAJQAAAAnhAAAAAQAAAAEAAAABQgAAACYAAADcAAAACdgAAAAHAAAACeMAAAABQwAAACcAAADZAAAACdoAAAAHAAAACeUAAAABTwAAACUAAAAJ5gAAAAEAAAABAAAAAVAAAAAmAAAA5AAAAAnYAAAABwAAAAnoAAAAAVEAAAAnAAAA4AAAAAnaAAAABwAAAAnqAAAAAV0AAAAlAAAACesAAAABAAAAAQAAAAFeAAAAJgAAAOQAAAAJ2AAAAAcAAAAJ7QAAAAFfAAAAJwAAAOAAAAAJ2gAAAAcAAAAJ7wAAAAFrAAAAJQAAAAnwAAAAAAAAAAAAAAABbAAAACYAAADbAAAACdgAAAAHAAAACfIAAAABbQAAACcAAADSAAAACdoAAAAHAAAACfQAAAABeAAAACUAAAAJ8AAAAAAAAAAAAAAAAXkAAAAmAAAA2wAAAAnYAAAABwAAAAn3AAAAAXoAAAAnAAAA0gAAAAnaAAAABwAAAAn5AAAAAYUAAAAlAAAACfAAAAAAAAAAAAAAAAGGAAAAJgAAANoAAAAJ2AAAAAcAAAAJ/AAAAAGHAAAAJwAAANIAAAAJ2gAAAAcAAAAJ/gAAAAGSAAAAJQAAAAnwAAAAAAAAAAAAAAABkwAAACYAAADaAAAACdgAAAAHAAAACQEBAAABlAAAACcAAADSAAAACdoAAAAHAAAACQMBAAABnwAAACUAAAAJBAEAAAAAAAAAAAAAAaAAAAAmAAAAvAAAAAkFAQAABwAAAAkGAQAAAaEAAAAnAAAAtgAAAAkHAQAABwAAAAkIAQAAAawAAAAlAAAACQQBAAAAAAAAAAAAAAGtAAAAJgAAALwAAAAJBQEAAAcAAAAJCwEAAAGuAAAAJwAAALYAAAAJBwEAAAcAAAAJDQEAAAG5AAAAJQAAAAkEAQAAAAAAAAAAAAABugAAACYAAADEAAAACQUBAAAHAAAACRABAAABuwAAACcAAAC9AAAACQcBAAAHAAAACRIBAAABxgAAACUAAAAJBAEAAAAAAAAAAAAAAccAAAAmAAAAxAAAAAkFAQAABwAAAAkVAQAAAcgAAAAnAAAAvQ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Pz1bQFtUUFAgY29zdCBhbW91bnRdXS1bQFtUUFAgdHJhbnMgYmFja3dhcmRzIGJhbGFuY2UgKEVuZGluZyldXQ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8///M/v//CZICAAAJNgEAAAH3/P//zP7//wmVAgAACTYBAAAB9Pz//8z+//8JmAIAAAYOAwAABS00MTQyAfH8///M/v//CZsCAAAGEQMAAAdDYWxpYnJpAe78///M/v//CZ4CAAAGFAMAAAEwAev8///M/v//CaECAAAGFwMAAAIxMQHo/P//zP7//wmkAgAABhoDAAAHUmVndWxhcgUh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l/P//0/////////8ABhwDAAAGU3RyaW5nBh0DAAALSXRlbSBudW1iZXIJHgMAAAHh/P//0f///wIAAAAF4Pz//zlHbG9iZVNvZnR3YXJlLkF0bGFzNDAuQXRsYXNDb21tb24uTnVtYmVyU2VxdWVuY2VDb25kaXRpb24BAAAAB3ZhbHVlX18ACA4AAAABAAAAAAAGIQMAABBUYWJsZS5UUFBTdW1fc3N0CSgAAAAJKwAAAAr/////CSEDAAAKCSgAAAAKCgoJKwAAAAknAwAACSsAAAABSQEAACEBAAAB1/z//9P/////////AAYqAwAABlN0cmluZwYrAwAABFNpdGUJLAMAAAHT/P//0f///wIAAAAB0vz//+D8//8BAAAAAAAGLwMAACxUYWJsZS5UUFBTdW1fc3N0LkludmVudERpbUlkflRhYmxlLkludmVudERpbQk2AAAACSsAAAAK/////wkvAwAACgk2AAAABjQDAAALSW52ZW50RGltSWQGNQMAAApUUFBTdW1fc3N0CgkrAAAACTcDAAAJKwAAAAFuAQAAIQEAAAHH/P//0/////////8ABjoDAAAGU3RyaW5nBjsDAAAJV2FyZWhvdXNlCSwDAAABw/z//9H///8CAAAAAcL8///g/P//AQAAAAAACS8DAAAJRAAAAAkrAAAACv////8JLwMAAAoJRAAAAAZEAwAAC0ludmVudERpbUlkBkUDAAAKVFBQU3VtX3NzdAoJKwAAAAlHAwAACSsAAAABkwEAACEBAAABt/z//9P///8BAAAAAAZKAwAABFJlYWwGSwMAAAhRdWFudGl0eQkeAwAAAbP8///R////AgAAAAGy/P//4Pz//wEAAAAAAAkhAwAACVIAAAAJKwAAAAr/////CSEDAAAKCVIAAAAKCgoJKwAAAAlVAwAACSsAAAABuwEAACEBAAABqfz//9P///8BAAAAAAZYAwAABFJlYWwGWQMAAA9UUFAgY29zdCBhbW91bnQJHgMAAAGl/P//0f///wIAAAABpPz//+D8//8BAAAAAAAJIQMAAAlgAAAACSsAAAAK/////wkhAwAACglgAAAACgoKCSsAAAAJYwMAAAkrAAAABR4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WdAAAGZQMAAApUUFBTdW1fc3N0BmYDAAALVFBQIHN1bW1hcnkJKwAAAAkrAAAACSsAAAAFmPz//zBHbG9iZVNvZnR3YXJlLkF0bGFzNDAuQXRsYXNDb21tb24uRGF0YVNvdXJjZVR5cGUBAAAAB3ZhbHVlX18ACA4AAAAAAAAACWkDAAAJagMAAASV/P//C1N5c3RlbS5HdWlkCwAAAAJfYQJfYgJfYwJfZAJfZQJfZgJfZwJfaAJfaQJfagJfawAAAAAAAAAAAAAACAcHAgICAgICAgJ474t5KEGIRJLudDjfptVWCSsAAAAJKwAAAAltAwAACSEDAAAKCgoKCgEAAAAFkfz//zRHbG9iZVNvZnR3YXJlLkF0bGFzNDAuQXRsYXNDb21tb24uRGF0YVNvdXJjZUpvaW5Nb2RlAQAAAAd2YWx1ZV9fAAgOAAAAAAAAAAWQ/P//NUdsb2JlU29mdHdhcmUuQXRsYXM0MC5BdGxhc0NvbW1vbi5EYXRhU291cmNlRmV0Y2hNb2RlAQAAAAd2YWx1ZV9fAAgOAAAAAAAAAAAJcQMAAAEnAwAAJwAAAGEAAAAJ2gAAAAMAAAAJcwMAAAEsAwAAHgMAAP////8GdAMAAAlJbnZlbnREaW0GdQMAABRJbnZlbnRvcnkgZGltZW5zaW9ucwkrAAAACSsAAAAJKwAAAAGJ/P//mPz//wAAAAAJeAMAAAl5AwAAAYb8//+V/P//OabvUY/mGUuU7DdKKKJolQkrAAAACSsAAAAJfAMAAAkvAwAABn4DAAAKVFBQU3VtX3NzdAZ/AwAAEFRhYmxlLlRQUFN1bV9zc3QGgAMAABxUYWJsZS5UUFBTdW1fc3N0LkludmVudERpbUlkBoEDAAALSW52ZW50RGltSWQGggMAAAtpbnZlbnREaW1JZAEAAAABffz//5H8//8AAAAAAXz8//+Q/P//AAAAAAAJhQMAAAE3AwAAJwAAAFgAAAAJ2gAAAAMAAAAJhwMAAAFHAwAAJwAAAFgAAAAJ2gAAAAMAAAAJiQMAAAFVAwAAJwAAAGEAAAAJ2gAAAAMAAAAJiwMAAAFjAwAAJwAAAGEAAAAJ2gAAAAMAAAAJjQMAAARp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mOAwAABwAAAAmPAwAABG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b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4DAAAAAAAABHE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ZEDAAAAAAAAB3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8z+//8GkwMAAAhIZWxwVGV4dAaUAwAADklkZW50aWZ5IGl0ZW0uAWv8///M/v//BpYDAAAFTGFiZWwJHQMAAAFo/P//zP7//waZAwAABFR5cGUJHAMAAAF4AwAAaQMAAAIAAAAJ2gAAAAMAAAAJnAMAAAF5AwAAagMAAAAAAAAJnQMAAAAAAAABfAMAAG0DAAAAAAAACdoAAAAAAAAAAYUDAABxAwAAAAAAAAmfAwAAAAAAAAe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8///M/v//CZYDAAAJKwMAAAFd/P//zP7//wmZAwAACSoDAAAHi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zP7//wmWAwAACTsDAAABV/z//8z+//8JmQMAAAk6AwAAB4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8z+//8JkwMAAAauAwAAJFF1YW50aXR5IGF0dGFjaGVkIHRvIHRoZSB0cmFuc2FjdGlvbgFR/P//zP7//wmWAwAACUsDAAABTvz//8z+//8JmQMAAAlKAwAAB40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8z+//8JkwMAAAa3AwAAEFRQUCBjb3N0IGFtb3VudC4BSPz//8z+//8JlgMAAAlZAwAAAUX8///M/v//CZkDAAAJWAMAAAGOAwAADAAAAAeP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C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/AwAAHFRhYmxlLlRQUFN1bV9zc3QuSW52ZW50RGltSWQJwAMAAAE//P//Qvz//wbCAwAAF1RhYmxlLlRQUFN1bV9zc3QuSXRlbUlkCSEBAAABPPz//0L8//8GxQMAABRUYWJsZS5UUFBTdW1fc3N0LlF0eQmTAQAAATn8//9C/P//BsgDAAAbVGFibGUuVFBQU3VtX3NzdC5Db3N0QW1vdW50CbsBAAAEk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5w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b8//9C/P//BssDAAA5VGFibGUuVFBQU3VtX3NzdC5JbnZlbnREaW1JZH5UYWJsZS5JbnZlbnREaW0uSW52ZW50U2l0ZUlkCUkBAAABM/z//0L8//8GzgMAAD1UYWJsZS5UUFBTdW1fc3N0LkludmVudERpbUlkflRhYmxlLkludmVudERpbS5JbnZlbnRMb2NhdGlvbklkCW4BAAABnQMAAAwAAAABnwMAAJEDAAABwAMAACEBAAABMPz//9P/////////AAbRAwAABlN0cmluZwbSAwAADURpbWVuc2lvbiBOby4JHgMAAAEs/P//0f///wIAAAABK/z//+D8//8BAAAAAAAJIQMAAAbXAwAAC0ludmVudERpbUlkCSsAAAAK/////wkhAwAACgnXAwAACgoKCSsAAAAJ3AMAAAkrAAAAAdwDAAAnAAAACQAAAAnaAAAAAwAAAAnfAwAAB98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//8z+//8JkwMAAAbiAwAAKklkZW50aWZpY2F0aW9uIG9mIGRpbWVuc2lvbnMgZm9yIHRoZSBpdGVtLgEd/P//zP7//wmWAwAACdIDAAABGvz//8z+//8JmQMAAAnRAwAACw==</Report>
</Atlas>
</file>

<file path=customXml/item5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7AA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5wAAAAmTAAAABwAAAAmUAAAAAS4AAAAgAAAACZUAAAABAAAAAQAAAAEvAAAAIQAAAOMAAAAJlgAAAAcAAAAJlwAAAAEwAAAAIgAAAOAAAAAJmAAAAAcAAAAJmQAAAAE8AAAAIAAAAAmaAAAAAQAAAAEAAAABPQAAACEAAADjAAAACZYAAAAHAAAACZwAAAABPgAAACIAAADgAAAACZgAAAAHAAAACZ4AAAABSgAAACAAAAAJnwAAAAEAAAABAAAAAUsAAAAhAAAA7wAAAAmRAAAABwAAAAmhAAAAAUwAAAAiAAAA5wAAAAmTAAAABwAAAAmjAAAAAVgAAAAgAAAACaQAAAAAAAAAAAAAAAFZAAAAIQAAAN0AAAAJlgAAAAcAAAAJpgAAAAFaAAAAIgAAANIAAAAJmAAAAAcAAAAJqAAAAAFlAAAAIAAAAAmkAAAAAAAAAAAAAAABZgAAACEAAADbAAAACZYAAAAHAAAACasAAAABZwAAACIAAADSAAAACZgAAAAHAAAACa0AAAABcgAAACAAAAAJrgAAAAAAAAAAAAAAAXMAAAAhAAAAygAAAAmvAAAABwAAAAmwAAAAAXQAAAAiAAAAxAAAAAmxAAAABwAAAAmyAAAAAX8AAAAgAAAACa4AAAAAAAAAAAAAAAGAAAAAIQAAAMoAAAAJrwAAAAcAAAAJtQAAAAGBAAAAIgAAAMQ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n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eAAAACZgAAAADAAAACVsCAAABKQIAACIAAABeAAAACZgAAAADAAAACV0CAAABNwIAACIAAABn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W8C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vAgAADAA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4B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8AAAAAcAAAAJ8QAAAAE0AAAAJgAAAAnyAAAAAQAAAAEAAAABNQAAACcAAAAOAQAACe4AAAAHAAAACfQAAAABNgAAACgAAAAKAQAACfAAAAAHAAAACfYAAAABQgAAACYAAAAJ9wAAAAEAAAABAAAAAUMAAAAnAAAADwEAAAnuAAAABwAAAAn5AAAAAUQAAAAoAAAACgEAAAnwAAAABwAAAAn7AAAAAVAAAAAmAAAACfwAAAABAAAAAQAAAAFRAAAAJwAAAAYBAAAJ/QAAAAcAAAAJ/gAAAAFSAAAAKAAAAAMBAAAJ/wAAAAcAAAAJAAEAAAFeAAAAJgAAAAkBAQAAAQAAAAEAAAABXwAAACcAAAAGAQAACf0AAAAHAAAACQMBAAABYAAAACgAAAADAQAACf8AAAAHAAAACQUBAAABbAAAACYAAAAJBgEAAAEAAAABAAAAAW0AAAAnAAAABgEAAAn9AAAABwAAAAkIAQAAAW4AAAAoAAAAAwEAAAn/AAAABwAAAAkKAQAAAXoAAAAmAAAACQsBAAABAAAAAQAAAAF7AAAAJwAAAA4BAAAJ7gAAAAcAAAAJDQEAAAF8AAAAKAAAAAoBAAAJ8AAAAAcAAAAJDwEAAAGIAAAAJgAAAAkQAQAAAQAAAAEAAAABiQAAACcAAAAOAQAACe4AAAAHAAAACRIBAAABigAAACgAAAAKAQAACfAAAAAHAAAACRQBAAABlgAAACYAAAAJFQEAAAEAAAABAAAAAZcAAAAnAAAADgEAAAnuAAAABwAAAAkXAQAAAZgAAAAoAAAACgEAAAnwAAAABwAAAAkZAQAAAaQAAAAmAAAACRoBAAABAAAAAQAAAAGlAAAAJwAAAAYBAAAJ/QAAAAcAAAAJHAEAAAGmAAAAKAAAAAMBAAAJ/wAAAAcAAAAJHgEAAAGyAAAAJgAAAAkfAQAAAQAAAAEAAAABswAAACcAAAAOAQAACe4AAAAHAAAACSEBAAABtAAAACgAAAAKAQAACfAAAAAHAAAACSMBAAABwAAAACYAAAAJJAEAAAAAAAAAAAAAAcEAAAAnAAAA0AAAAAklAQAABwAAAAkmAQAAAcIAAAAoAAAAywAAAAknAQAABwAAAAkoAQAAAc0AAAAmAAAACSkBAAAAAAAAAAAAAAHOAAAAJwAAAPcAAAAJKgEAAAcAAAAJKwEAAAHPAAAAKAAAAO4AAAAJLAEAAAcAAAAJLQEAAAHaAAAAJgAAAAkpAQAAAAAAAAAAAAAB2wAAACcAAAD3AAAACSoBAAAHAAAACTABAAAB3AAAACgAAADuAA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AxLjI4LjIwMTggLi4gMDEuMzEuMjAxOAHqAAAA6AAAAAAJMwEAAAY6AQAABkl0ZW1JZAY7AQAAASoB6wAAAOgAAAAABjwBAAAqVGFibGUuSW52ZW50VHJhbnMuSXRlbUlkflRhYmxlLkludmVudFRhYmxlBj0BAAAISXRlbVR5cGUGPgEAAAghU2VydmljZQHsAAAA6AAAAAAGPwEAAElUYWJsZS5JbnZlbnRUcmFucy5JdGVtSWR+VGFibGUuSW52ZW50VGFibGUuSXRlbUlkflRhYmxlLkludmVudFRhYmxlTW9kdWxlBkABAAAKTW9kdWxlVHlwZQZBAQAABkludmVudAftAAAAAAEAAAAEAAAABDdHbG9iZVNvZnR3YXJlLkF0bGFzNDAuQXRsYXNDb21tb24uVHlwZS5GaWVsZE91dHB1dEZpZWxkDgAAAAlCAQAADQME7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P7//zJHbG9iZVNvZnR3YXJlLkF0bGFzNDAuQXRsYXNDb21tb24uQ29sdW1uQXR0cmlidXRlcwEAAAAHdmFsdWVfXwAIDgAAABAAAAAGRQEAAAROb25lAbr+//+9/v//Abn+//+8/v//CQAAAAksAAAAAbf+//+9/v//Abb+//+8/v//CwAAAAZLAQAAATABtP7//73+//8Bs/7//7z+//8EAAAABk4BAAAHR2VuZXJhbAGx/v//vf7//wGw/v//vP7//wIAAAAGUQEAAAExAa7+//+9/v//Aa3+//+8/v//AAAAAAZUAQAABTEzLjcxAfAAAAAMAAAAB/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QAACEZvbnRCb2xkBlcBAAAFRmFsc2UBqP7//6v+//8GWQEAAApGb250SXRhbGljCVcBAAABpf7//6v+//8GXAEAAA1Gb250VW5kZXJsaW5lBl0BAAAFLTQxNDIBov7//6v+//8GXwEAAAhGb250TmFtZQZgAQAAB0NhbGlicmkBn/7//6v+//8GYgEAAAlGb250Q29sb3IGYwEAAAEwAZz+//+r/v//BmUBAAAIRm9udFNpemUGZgEAAAIxMQGZ/v//q/7//wZoAQAACUZvbnRTdHlsZQZpAQAAB1JlZ3VsYXIH8gAAAAABAAAABAAAAAQ3R2xvYmVTb2Z0d2FyZS5BdGxhczQwLkF0bGFzQ29tbW9uLlR5cGUuRmllbGRPdXRwdXRGaWVsZA4AAAAJagEAAA0DB/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vf7//wGU/v//vP7//xAAAAAJRQEAAAGS/v//vf7//wGR/v//vP7//wkAAAAJLAAAAAGP/v//vf7//wGO/v//vP7//wsAAAAGcwEAAAExAYz+//+9/v//AYv+//+8/v//BAAAAAZ2AQAAB0dlbmVyYWwBif7//73+//8BiP7//7z+//8CAAAABnkBAAABMQGG/v//vf7//wGF/v//vP7//wAAAAAGfAEAAAUxMC44Ngf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+//+r/v//CVYBAAAJVwEAAAGA/v//q/7//wlZAQAACVcBAAABff7//6v+//8JXAEAAAaFAQAABS00MTQyAXr+//+r/v//CV8BAAAGiAEAAAdDYWxpYnJpAXf+//+r/v//CWIBAAAGiwEAAAEwAXT+//+r/v//CWUBAAAGjgEAAAIxMQFx/v//q/7//wloAQAABpEBAAAHUmVndWxhcgf3AAAAAAEAAAAEAAAABDdHbG9iZVNvZnR3YXJlLkF0bGFzNDAuQXRsYXNDb21tb24uVHlwZS5GaWVsZE91dHB1dEZpZWxkDgAAAAmSAQAADQMH+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3+//+9/v//AWz+//+8/v//BgAAAAaVAQAABVRvdGFsAWr+//+9/v//AWn+//+8/v//EAAAAAlFAQAAAWf+//+9/v//AWb+//+8/v//CQAAAAksAAAAAWT+//+9/v//AWP+//+8/v//CwAAAAaeAQAAATIBYf7//73+//8BYP7//7z+//8EAAAABqEBAAAHR2VuZXJhbAFe/v//vf7//wFd/v//vP7//wIAAAAGpAEAAAExAVv+//+9/v//AVr+//+8/v//AAAAAAanAQAABTEzLjcxB/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6v+//8JVgEAAAlXAQAAAVX+//+r/v//CVkBAAAJVwEAAAFS/v//q/7//wlcAQAABrABAAAFLTQxNDIBT/7//6v+//8JXwEAAAazAQAAB0NhbGlicmkBTP7//6v+//8JYgEAAAa2AQAAATABSf7//6v+//8JZQEAAAa5AQAAAjExAUb+//+r/v//CWgBAAAGvAEAAAdSZWd1bGFyB/wAAAAAAQAAAAQAAAAEN0dsb2JlU29mdHdhcmUuQXRsYXM0MC5BdGxhc0NvbW1vbi5UeXBlLkZpZWxkT3V0cHV0RmllbGQOAAAACb0BAAANAwH9AAAA7gAAAAf+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73+//8BQf7//7z+//8JAAAACSwAAAABP/7//73+//8BPv7//7z+//8LAAAABsMBAAABMwE8/v//vf7//wE7/v//vP7//wQAAAAGxgEAAAdHZW5lcmFsATn+//+9/v//ATj+//+8/v//AgAAAAbJAQAAATEBNv7//73+//8BNf7//7z+//8AAAAABswBAAAFMzQuMTQB/wAAAAwAAAAHA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v//q/7//wlWAQAACVcBAAABMP7//6v+//8JWQEAAAlXAQAAAS3+//+r/v//CVwBAAAG1QEAAAUtNDE0MgEq/v//q/7//wlfAQAABtgBAAAHQ2FsaWJyaQEn/v//q/7//wliAQAABtsBAAABMAEk/v//q/7//wllAQAABt4BAAACMTEBIf7//6v+//8JaAEAAAbhAQAAB1JlZ3VsYXIHAQEAAAABAAAABAAAAAQ3R2xvYmVTb2Z0d2FyZS5BdGxhczQwLkF0bGFzQ29tbW9uLlR5cGUuRmllbGRPdXRwdXRGaWVsZA4AAAAJ4gEAAA0DBw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v//vf7//wEc/v//vP7//wkAAAAJLAAAAAEa/v//vf7//wEZ/v//vP7//wsAAAAG6AEAAAE0ARf+//+9/v//ARb+//+8/v//BAAAAAbrAQAAB0dlbmVyYWwBFP7//73+//8BE/7//7z+//8CAAAABu4BAAABMQER/v//vf7//wEQ/v//vP7//wAAAAAG8QEAAAE2Bw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7//6v+//8JVgEAAAlXAQAAAQv+//+r/v//CVkBAAAJVwEAAAEI/v//q/7//wlcAQAABvoBAAAFLTQxNDIBBf7//6v+//8JXwEAAAb9AQAAB0NhbGlicmkBAv7//6v+//8JYgEAAAYAAgAAATAB//3//6v+//8JZQEAAAYDAgAAAjExAfz9//+r/v//CWgBAAAGBgIAAAdSZWd1bGFyBwYBAAAAAQAAAAQAAAAEN0dsb2JlU29mdHdhcmUuQXRsYXM0MC5BdGxhc0NvbW1vbi5UeXBlLkZpZWxkT3V0cHV0RmllbGQOAAAACQcCAAANAwc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P3//73+//8B9/3//7z+//8JAAAACSwAAAAB9f3//73+//8B9P3//7z+//8LAAAABg0CAAABNQHy/f//vf7//wHx/f//vP7//wQAAAAGEAIAAAdHZW5lcmFsAe/9//+9/v//Ae79//+8/v//AgAAAAYTAgAAATEB7P3//73+//8B6/3//7z+//8AAAAABhYCAAAFMTIuODY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f//q/7//wlWAQAACVcBAAAB5v3//6v+//8JWQEAAAlXAQAAAeP9//+r/v//CVwBAAAGHwIAAAUtNDE0MgHg/f//q/7//wlfAQAABiICAAAHQ2FsaWJyaQHd/f//q/7//wliAQAABiUCAAABMAHa/f//q/7//wllAQAABigCAAACMTEB1/3//6v+//8JaAEAAAYrAgAAB1JlZ3VsYXIHCwEAAAABAAAABAAAAAQ3R2xvYmVTb2Z0d2FyZS5BdGxhczQwLkF0bGFzQ29tbW9uLlR5cGUuRmllbGRPdXRwdXRGaWVsZA4AAAAJLAIAAA0DBw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f//vf7//wHS/f//vP7//xAAAAAJRQEAAAHQ/f//vf7//wHP/f//vP7//wkAAAAJLAAAAAHN/f//vf7//wHM/f//vP7//wsAAAAGNQIAAAE2Acr9//+9/v//Acn9//+8/v//BAAAAAY4AgAACG0vZC95eXl5Acf9//+9/v//Acb9//+8/v//AgAAAAY7AgAAATEBxP3//73+//8Bw/3//7z+//8AAAAABj4CAAAFMTQuMTQ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q/7//wlWAQAACVcBAAABvv3//6v+//8JWQEAAAlXAQAAAbv9//+r/v//CVwBAAAGRwIAAAUtNDE0MgG4/f//q/7//wlfAQAABkoCAAAHQ2FsaWJyaQG1/f//q/7//wliAQAABk0CAAABMAGy/f//q/7//wllAQAABlACAAACMTEBr/3//6v+//8JaAEAAAZTAgAAB1JlZ3VsYXIHEAEAAAABAAAABAAAAAQ3R2xvYmVTb2Z0d2FyZS5BdGxhczQwLkF0bGFzQ29tbW9uLlR5cGUuRmllbGRPdXRwdXRGaWVsZA4AAAAJVAIAAA0DBx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vf7//wGq/f//vP7//xAAAAAJRQEAAAGo/f//vf7//wGn/f//vP7//wkAAAAJLAAAAAGl/f//vf7//wGk/f//vP7//wsAAAAGXQIAAAE3AaL9//+9/v//AaH9//+8/v//BAAAAAZgAgAACG0vZC95eXl5AZ/9//+9/v//AZ79//+8/v//AgAAAAZjAgAAATEBnP3//73+//8Bm/3//7z+//8AAAAABmYCAAACMTUHF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q/7//wlWAQAACVcBAAABlv3//6v+//8JWQEAAAlXAQAAAZP9//+r/v//CVwBAAAGbwIAAAUtNDE0MgGQ/f//q/7//wlfAQAABnICAAAHQ2FsaWJyaQGN/f//q/7//wliAQAABnUCAAABMAGK/f//q/7//wllAQAABngCAAACMTEBh/3//6v+//8JaAEAAAZ7AgAAB1JlZ3VsYXIHFQEAAAABAAAABAAAAAQ3R2xvYmVTb2Z0d2FyZS5BdGxhczQwLkF0bGFzQ29tbW9uLlR5cGUuRmllbGRPdXRwdXRGaWVsZA4AAAAJfAIAAA0DBx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f//vf7//wGC/f//vP7//xAAAAAJRQEAAAGA/f//vf7//wF//f//vP7//wkAAAAJLAAAAAF9/f//vf7//wF8/f//vP7//wsAAAAGhQIAAAE4AXr9//+9/v//AXn9//+8/v//BAAAAAaIAgAAB0dlbmVyYWwBd/3//73+//8Bdv3//7z+//8CAAAABosCAAABMQF0/f//vf7//wFz/f//vP7//wAAAAAGjgIAAAUxMC4yO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9//+r/v//CVYBAAAJVwEAAAFu/f//q/7//wlZAQAACVcBAAABa/3//6v+//8JXAEAAAaXAgAABS00MTQyAWj9//+r/v//CV8BAAAGmgIAAAdDYWxpYnJpAWX9//+r/v//CWIBAAAGnQIAAAEwAWL9//+r/v//CWUBAAAGoAIAAAIxMQFf/f//q/7//wloAQAABqMCAAAHUmVndWxhcgcaAQAAAAEAAAAEAAAABDdHbG9iZVNvZnR3YXJlLkF0bGFzNDAuQXRsYXNDb21tb24uVHlwZS5GaWVsZE91dHB1dEZpZWxkDgAAAAmkAgAADQMHH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9//+9/v//AVr9//+8/v//CQAAAAksAAAAAVj9//+9/v//AVf9//+8/v//CwAAAAaqAgAAATkBVf3//73+//8BVP3//7z+//8EAAAABq0CAAAHR2VuZXJhbAFS/f//vf7//wFR/f//vP7//wIAAAAGsAIAAAExAU/9//+9/v//AU79//+8/v//AAAAAAazAgAABDYuNDM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q/7//wlWAQAACVcBAAABSf3//6v+//8JWQEAAAlXAQAAAUb9//+r/v//CVwBAAAGvAIAAAUtNDE0MgFD/f//q/7//wlfAQAABr8CAAAHQ2FsaWJyaQFA/f//q/7//wliAQAABsICAAABMAE9/f//q/7//wllAQAABsUCAAACMTEBOv3//6v+//8JaAEAAAbIAgAAB1JlZ3VsYXIHHwEAAAABAAAABAAAAAQ3R2xvYmVTb2Z0d2FyZS5BdGxhczQwLkF0bGFzQ29tbW9uLlR5cGUuRmllbGRPdXRwdXRGaWVsZA4AAAAJyQIAAA0DBy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vf7//wE1/f//vP7//xAAAAAJRQEAAAEz/f//vf7//wEy/f//vP7//wkAAAAJLAAAAAEw/f//vf7//wEv/f//vP7//wsAAAAG0gIAAAIxMAEt/f//vf7//wEs/f//vP7//wQAAAAG1QIAAAdHZW5lcmFsASr9//+9/v//ASn9//+8/v//AgAAAAbYAgAAATEBJ/3//73+//8BJv3//7z+//8AAAAABtsCAAAEOS40Mw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9//+r/v//CVYBAAAJVwEAAAEh/f//q/7//wlZAQAACVcBAAABHv3//6v+//8JXAEAAAbkAgAABS00MTQyARv9//+r/v//CV8BAAAG5wIAAAdDYWxpYnJpARj9//+r/v//CWIBAAAG6gIAAAEwARX9//+r/v//CWUBAAAG7QIAAAIxMQES/f//q/7//wloAQAABvACAAAHUmVndWxhcgckAQAAAAEAAAAAAAAABDdHbG9iZVNvZnR3YXJlLkF0bGFzNDAuQXRsYXNDb21tb24uVHlwZS5GaWVsZE91dHB1dEZpZWxkDgAAAAElAQAA7gAAAAc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73+//8BDv3//7z+//8kAAAACcQAAAABDP3//73+//8BC/3//7z+//8LAAAABvYCAAACMTEBCf3//73+//8BCP3//7z+//8EAAAABvkCAAAHR2VuZXJhbAEG/f//vf7//wEF/f//vP7//wIAAAAG/AIAAAExAQP9//+9/v//AQL9//+8/v//AAAAAAb/AgAABTIwLjQzAQD9//+9/v//Af/8//+8/v//AwAAAAYCAwAAnQE9SUYoW0BSZWZlcmVuY2VdPSJQdXJjaGFzZSBvcmRlciIsQXRsYXNUYWJsZSgiVUFUIixEYXRhQXJlYUlkLCJULlZlbmRJbnZvaWNlVHJhbnMiLCIlUmVjSWQiLCIiLCIiLCIiLCIiLCIiLCIiLCJJdGVtSWR8UHVyY2hJRHxJbnZlbnRUcmFuc0lkIiwkQzMsJEIzLCRLMyksIiIpAScBAAAMAAAABy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z//6v+//8GBAMAAAhGb250Qm9sZAlXAQAAAfr8//+r/v//BgcDAAAKRm9udEl0YWxpYwlXAQAAAff8//+r/v//BgoDAAANRm9udFVuZGVybGluZQYLAwAABS00MTQyAfT8//+r/v//Bg0DAAAIRm9udE5hbWUGDgMAAAdDYWxpYnJpAfH8//+r/v//BhADAAAJRm9udENvbG9yBhEDAAABMAHu/P//q/7//wYTAwAACEZvbnRTaXplBhQDAAACMTEB6/z//6v+//8GFgMAAAlGb250U3R5bGUGFwMAAAdSZWd1bGFyBykBAAAAAQAAAAAAAAAEN0dsb2JlU29mdHdhcmUuQXRsYXM0MC5BdGxhc0NvbW1vbi5UeXBlLkZpZWxkT3V0cHV0RmllbGQOAAAAASoBAADuAAAABy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P//vf7//wHn/P//vP7//yQAAAAJ0QAAAAHl/P//vf7//wHk/P//vP7//wsAAAAGHQMAAAIxMgHi/P//vf7//wHh/P//vP7//wQAAAAGIAMAAAdHZW5lcmFsAd/8//+9/v//Ad78//+8/v//AgAAAAYjAwAAATEB3Pz//73+//8B2/z//7z+//8AAAAABiYDAAAFMTAuNDMB2fz//73+//8B2Pz//7z+//8DAAAABikDAACpAT1JRihbQFJlZmVyZW5jZV09IlB1cmNoYXNlIG9yZGVyIixBdGxhc1RhYmxlKCJVQVQiLERhdGFBcmVhSWQsIlQuTWFya3VwVHJhbnMiLCIlQ3VycmVuY3lDb2RlIiwiIiwiIiwiIiwiIiwiIiwiIiwiTWFya3VwQ29kZXxUcmFuc1JlY0lkfFRyYW5zVGFibGVJZCIsIlRQUCIsJEwzLCI0OTIiKSwiIikBLAEAAAwAAAA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q/7//wYrAwAACEZvbnRCb2xkCVcBAAAB0/z//6v+//8GLgMAAApGb250SXRhbGljCVcBAAAB0Pz//6v+//8GMQMAAA1Gb250VW5kZXJsaW5lBjIDAAAFLTQxNDIBzfz//6v+//8GNAMAAAhGb250TmFtZQY1AwAAB0NhbGlicmkByvz//6v+//8GNwMAAAlGb250Q29sb3IGOAMAAAEwAcf8//+r/v//BjoDAAAIRm9udFNpemUGOwMAAAIxMQHE/P//q/7//wY9AwAACUZvbnRTdHlsZQY+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+9/v//AcD8//+8/v//JAAAAAneAAAAAb78//+9/v//Ab38//+8/v//CwAAAAZEAwAAAjEzAbv8//+9/v//Abr8//+8/v//BAAAAAZHAwAAB0dlbmVyYWwBuPz//73+//8Bt/z//7z+//8CAAAABkoDAAABMQG1/P//vf7//wG0/P//vP7//wAAAAAGTQMAAAIyOAGy/P//vf7//wGx/P//vP7//wMAAAAGUAMAAKoBPUlGKFtAUmVmZXJlbmNlXT0iUHVyY2hhc2Ugb3JkZXIiLEF0bGFzQmFsYW5jZSgiVUFUIixEYXRhQXJlYUlkLCJULk1hcmt1cFRyYW5zIiwiU3VtfFBvc3RlZHwwIiwiIiwiIiwiIiwiIiwiIiwiIiwiTWFya3VwQ29kZXxUcmFuc1RhYmxlSWR8VHJhbnNSZWNJZCIsIlRQUCIsIjQ5MiIsJEwzKSwiIik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q/7//wkrAwAACVcBAAABrPz//6v+//8JLgMAAAlXAQAAAan8//+r/v//CTEDAAAGWQMAAAUtNDE0MgGm/P//q/7//wk0AwAABlwDAAAHQ2FsaWJyaQGj/P//q/7//wk3AwAABl8DAAABMAGg/P//q/7//wk6AwAABmIDAAACMTEBnfz//6v+//8JPQMAAAZlAwAAB1JlZ3VsYXIFQ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mvz//9L/////////AAZnAwAABEVudW0GaAMAAAlSZWZlcmVuY2UJaQMAAAGW/P//0P///wIAAAAFlfz//zlHbG9iZVNvZnR3YXJlLkF0bGFzNDAuQXRsYXNDb21tb24uTnVtYmVyU2VxdWVuY2VDb25kaXRpb24BAAAAB3ZhbHVlX18ACA4AAAABAAAAAAAGbAMAABFUYWJsZS5JbnZlbnRUcmFucwkpAAAACSwAAAAK/////wlsAwAACgkpAAAACgoKCSwAAAAJcgMAAAksAAAAAWoBAABCAQAAAYz8///S/////////wAGdQMAAAZTdHJpbmcGdgMAAAZOdW1iZXIJaQMAAAGI/P//0P///wIAAAABh/z//5X8//8BAAAAAAAJbAMAAAk3AAAACSwAAAAK/////wlsAwAACgk3AAAACgoKCSwAAAAJgAMAAAksAAAAAZIBAABCAQAAAX78///S/////////wAGgwMAAAZTdHJpbmcGhAMAAAtJdGVtIG51bWJlcglpAwAAAXr8///Q////AgAAAAF5/P//lfz//wEAAAAAAAlsAwAACUUAAAAJLAAAAAr/////CWwDAAAKCUUAAAAKCgoJLAAAAAmOAwAACSwAAAABvQEAAEIBAAABcPz//9L/////////AAaRAwAABlN0cmluZwaSAwAACUl0ZW0gbmFtZQmTAwAAAWz8///Q////AgAAAAFr/P//lfz//wEAAAAAAAk8AQAACVMAAAAJLAAAAAr/////CTwBAAAKCVMAAAAGmwMAAAZJdGVtSWQGnAMAAAtJbnZlbnRUcmFucwoJLAAAAAmeAwAACSwAAAAB4gEAAEIBAAABYPz//9L/////////AAahAwAABlN0cmluZwaiAwAABFNpdGUJowMAAAFc/P//0P///wIAAAABW/z//5X8//8BAAAAAAAGpgMAAC1UYWJsZS5JbnZlbnRUcmFucy5pbnZlbnREaW1JZH5UYWJsZS5JbnZlbnREaW0JYQAAAAksAAAACv////8JpgMAAAoJYQAAAAarAwAAC2ludmVudERpbUlkBqwDAAALSW52ZW50VHJhbnMKCSwAAAAJrgMAAAksAAAAAQcCAABCAQAAAVD8///S/////////wAGsQMAAAZTdHJpbmcGsgMAAAlXYXJlaG91c2UJowMAAAFM/P//0P///wIAAAABS/z//5X8//8BAAAAAAAJpgMAAAlvAAAACSwAAAAK/////wmmAwAACglvAAAABrsDAAALaW52ZW50RGltSWQGvAMAAAtJbnZlbnRUcmFucwoJLAAAAAm+AwAACSwAAAABLAIAAEIBAAABQPz//9L/////////AAbBAwAABERhdGUGwgMAAA1QaHlzaWNhbCBkYXRlCWkDAAABPPz//9D///8CAAAAATv8//+V/P//AQAAAAAACWwDAAAJfQAAAAksAAAACv////8JbAMAAAoJfQAAAAoKCgksAAAACcwDAAAJLAAAAAFUAgAAQgEAAAEy/P//0v////////8ABs8DAAAERGF0ZQbQAwAADkZpbmFuY2lhbCBkYXRlCWkDAAABLvz//9D///8CAAAAAS38//+V/P//AQAAAAAACWwDAAAJiwAAAAksAAAACv////8JbAMAAAoJiwAAAAoKCgksAAAACdoDAAAJLAAAAAF8AgAAQgEAAAEk/P//0v///wEAAAAABt0DAAAEUmVhbAbeAwAACFF1YW50aXR5CWkDAAABIPz//9D///8CAAAAAR/8//+V/P//AQAAAAAACWwDAAAJmQAAAAksAAAACv////8JbAMAAAoJmQAAAAoKCgksAAAACegDAAAJLAAAAAGkAgAAQgEAAAEW/P//0v////////8ABusDAAAGU3RyaW5nBuwDAAAEVW5pdAntAwAAARL8///Q////AgAAAAER/P//lfz//wEAAAAAAAk/AQAACacAAAAJLAAAAAr/////CT8BAAAKCacAAAAG9QMAAAZJdGVtSWQG9gMAAAtJbnZlbnRUYWJsZQoJLAAAAAn4AwAACSwAAAAByQIAAEIBAAABBvz//9L/////////AAb7AwAABlN0cmluZwb8AwAABkxvdCBJRAlpAwAAAQL8///Q////AgAAAAEB/P//lfz//wEAAAAAAAlsAwAACbUAAAAJLAAAAAr/////CWwDAAAKCbUAAAAKCgoJLAAAAAkGBAAACSwAAAAFa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IBAAAC0ludmVudFRyYW5zBgkEAAAWSW52ZW50b3J5IHRyYW5zYWN0aW9ucwksAAAACSwAAAAJLAAAAAX1+///MEdsb2JlU29mdHdhcmUuQXRsYXM0MC5BdGxhc0NvbW1vbi5EYXRhU291cmNlVHlwZQEAAAAHdmFsdWVfXwAIDgAAAAAAAAAJDAQAAAkNBAAABPL7//8LU3lzdGVtLkd1aWQLAAAAAl9hAl9iAl9jAl9kAl9lAl9mAl9nAl9oAl9pAl9qAl9rAAAAAAAAAAAAAAAIBwcCAgICAgICAv7aE81QoYxHvFB5UBqg0c8JLAAAAAksAAAACRAEAAAJbAMAAAoKCgoKAQAAAAXu+///NEdsb2JlU29mdHdhcmUuQXRsYXM0MC5BdGxhc0NvbW1vbi5EYXRhU291cmNlSm9pbk1vZGUBAAAAB3ZhbHVlX18ACA4AAAAAAAAABe37//81R2xvYmVTb2Z0d2FyZS5BdGxhczQwLkF0bGFzQ29tbW9uLkRhdGFTb3VyY2VGZXRjaE1vZGUBAAAAB3ZhbHVlX18ACA4AAAAAAAAAAAkUBAAAAXIDAAAoAAAAgQAAAAnwAAAAAwAAAAkWBAAAAYADAAAoAAAAgQAAAAnwAAAAAwAAAAkYBAAAAY4DAAAoAAAAgQAAAAnwAAAAAwAAAAkaBAAAAZMDAABpAwAA/////wYbBAAAC0ludmVudFRhYmxlBhwEAAAFSXRlbXMJLAAAAAksAAAACSwAAAAB4vv///X7//8AAAAACR8EAAAJIAQAAAHf+///8vv//wqOWgyyI0xBmFF5xzU0QxwJLAAAAAksAAAACSMEAAAJPAEAAAYlBAAAC0ludmVudFRyYW5zBiYEAAARVGFibGUuSW52ZW50VHJhbnMGJwQAABhUYWJsZS5JbnZlbnRUcmFucy5JdGVtSWQGKAQAAAZJdGVtSWQGKQQAAAZJdGVtSWQBAAAAAdb7///u+///AAAAAAHV+///7fv//wAAAAAACSwEAAABngMAACgAAAB4AAAACf8AAAADAAAACS4EAAABowMAAGkDAAD/////Bi8EAAAJSW52ZW50RGltBjAEAAAUSW52ZW50b3J5IGRpbWVuc2lvbnMJLAAAAAksAAAACSwAAAABzvv///X7//8AAAAACTMEAAAJNAQAAAHL+///8vv//5Xzl87Gf89Ag/K4qceVhPYJLAAAAAksAAAACTcEAAAJpgMAAAY5BAAAC0ludmVudFRyYW5zBjoEAAARVGFibGUuSW52ZW50VHJhbnMGOwQAAB1UYWJsZS5JbnZlbnRUcmFucy5pbnZlbnREaW1JZAY8BAAAC2ludmVudERpbUlkBj0EAAALaW52ZW50RGltSWQBAAAAAcL7///u+///AAAAAAHB+///7fv//wAAAAAACUAEAAABrgMAACgAAAB4AAAACf8AAAADAAAACUIEAAABvgMAACgAAAB4AAAACf8AAAADAAAACUQEAAABzAMAACgAAACBAAAACfAAAAADAAAACUYEAAAB2gMAACgAAACBAAAACfAAAAADAAAACUgEAAAB6AMAACgAAACBAAAACfAAAAADAAAACUoEAAAB7QMAAGkDAAD/////BksEAAARSW52ZW50VGFibGVNb2R1bGUGTAQAABtJbnZlbnRvcnkgbW9kdWxlIHBhcmFtZXRlcnMJLAAAAAksAAAACSwAAAABsvv///X7//8AAAAACU8EAAAJUAQAAAGv+///8vv//4w2O26NI6BAm/jVlJckBqQJLAAAAAksAAAACVMEAAAJPwEAAAZVBAAAC0ludmVudFRhYmxlBlYEAAAqVGFibGUuSW52ZW50VHJhbnMuSXRlbUlkflRhYmxlLkludmVudFRhYmxlBlcEAAAxVGFibGUuSW52ZW50VHJhbnMuSXRlbUlkflRhYmxlLkludmVudFRhYmxlLkl0ZW1JZAZYBAAABkl0ZW1JZAZZBAAABkl0ZW1JZAEAAAABpvv//+77//8AAAAAAaX7///t+///AAAAAAAJXAQAAAH4AwAAKAAAAHgAAAAJ/wAAAAMAAAAJXgQAAAEGBAAAKAAAAIEAAAAJ8AAAAAMAAAAJYAQAAAQM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hBAAAEQAAAAliBAAABA0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QQAAAAAAAAEE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Q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EAAAAAA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v//6v+//8GZgQAAAhIZWxwVGV4dAZnBAAAMlNwZWNpZnkgdGhlIG1vZHVsZSB0aGF0IGdlbmVyYXRlZCB0aGUgdHJhbnNhY3Rpb24uAZj7//+r/v//BmkEAAAFTGFiZWwJaAMAAAGV+///q/7//wZsBAAABFR5cGUJZwMAAAc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7//+r/v//CWYEAAAGcAQAADVPcmRlciBudW1iZXIsIHByb2plY3QgbnVtYmVyLCBwcm9kdWN0aW9uIG51bWJlciwgZXRjLgGP+///q/7//wlpBAAACXYDAAABjPv//6v+//8JbAQAAAl1Aw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v//6v+//8JZgQAAAZ5BAAADklkZW50aWZ5IGl0ZW0uAYb7//+r/v//CWkEAAAJhAMAAAGD+///q/7//wlsBAAACYMDAAABHwQAAAwEAAABAAAACf8AAAADAAAACYEEAAAEI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DBAAABCM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8AAAADAAAACYUEAAABLAQAABQEAAAAAAAACYYEAAAAAAAABy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v//6v+//8GiAQAAAVMYWJlbAmSAwAAAXb7//+r/v//BosEAAAEVHlwZQmRAwAAATMEAAAMBAAAAgAAAAn/AAAAAwAAAAmOBAAAATQEAAANBAAAAAAAAAmCBAAAAAAAAAE3BAAAEAQAAAAAAAAJ/wAAAAAAAAABQAQAABQEAAAAAAAACYYEAAAAAAAAB0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6v+//8JiAQAAAmiAwAAAWv7//+r/v//CYsEAAAJoQMAAAd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7//+r/v//CYgEAAAJsgMAAAFl+///q/7//wmLBAAACbE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q/7//wlmBAAABqAEAAAcRGF0ZSBvZiBwaHlzaWNhbCB0cmFuc2FjdGlvbgFf+///q/7//wlpBAAACcIDAAABXPv//6v+//8JbAQAAAnBAwAAB0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6v+//8JZgQAAAapBAAAHURhdGUgb2YgZmluYW5jaWFsIHRyYW5zYWN0aW9uAVb7//+r/v//CWkEAAAJ0AMAAAFT+///q/7//wlsBAAACc8DAAAHS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///q/7//wlmBAAABrIEAAAkUXVhbnRpdHkgYXR0YWNoZWQgdG8gdGhlIHRyYW5zYWN0aW9uAU37//+r/v//CWkEAAAJ3gMAAAFK+///q/7//wlsBAAACd0DAAABTwQAAAwEAAABAAAACf8AAAADAAAACboEAAAEU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8BAAAAVMEAAAQBAAAAAAAAAn/AAAAAAAAAAFcBAAAFAQAAAAAAAAJhgQAAAAA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q/7//wmIBAAACewDAAABPvv//6v+//8JiwQAAAnrAwAAB2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v+//8JZgQAAAbHBAAAUlN1bW1hcnkgbnVtYmVyL0xvdCBJRCBmb3IgdHJhbnNhY3Rpb25zIGF0dGFjaGVkIHRvIHRoZSBzYW1lIGludmVudG9yeSB0cmFuc2FjdGlvbi4BOPv//6v+//8JaQQAAAn8AwAAATX7//+r/v//CWwEAAAJ+wMAAAFhBAAADAAAAAdi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y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PBAAAGFRhYmxlLkludmVudFRyYW5zLkl0ZW1JZAmSAQAAAS/7//8y+///BtIEAAAfVGFibGUuSW52ZW50VHJhbnMuSW52ZW50VHJhbnNJZAnJAgAAASz7//8y+///BtUEAAAbVGFibGUuSW52ZW50VHJhbnMuVHJhbnNUeXBlCUIBAAABKfv//zL7//8G2AQAABxUYWJsZS5JbnZlbnRUcmFucy5UcmFuc1JlZklkCWoBAAABJvv//zL7//8G2wQAAB5UYWJsZS5JbnZlbnRUcmFucy5EYXRlUGh5c2ljYWwJLAIAAAEj+///Mvv//wbeBAAAH1RhYmxlLkludmVudFRyYW5zLkRhdGVGaW5hbmNpYWwJVAIAAAEg+///Mvv//wbhBAAAH1RhYmxlLkludmVudFRyYW5zLlN0YXR1c1JlY2VpcHQJ4gQAAAEd+///Mvv//wbkBAAAHVRhYmxlLkludmVudFRyYW5zLlN0YXR1c0lzc3VlCeUEAAABGvv//zL7//8G5wQAABVUYWJsZS5JbnZlbnRUcmFucy5RdHkJfAIAAAEX+///Mvv//wbqBAAAIlRhYmxlLkludmVudFRyYW5zLkNvc3RBbW91bnRQb3N0ZWQJ6wQAAARk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g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Pv//zL7//8G7QQAADNUYWJsZS5JbnZlbnRUcmFucy5JdGVtSWR+VGFibGUuSW52ZW50VGFibGUuSXRlbU5hbWUJvQEAAAGCBAAADAAAAAeD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Ef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wBAAAM1RhYmxlLkludmVudFRyYW5zLkl0ZW1JZH5UYWJsZS5JbnZlbnRUYWJsZS5JdGVtVHlwZQnxBAAAB4U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77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T8BAAAJ7QMAAAGGBAAAZAQAAAeO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///Mvv//wb2BAAAOlRhYmxlLkludmVudFRyYW5zLmludmVudERpbUlkflRhYmxlLkludmVudERpbS5JbnZlbnRTaXRlSWQJ4gEAAAEI+///Mvv//wb5BAAAPlRhYmxlLkludmVudFRyYW5zLmludmVudERpbUlkflRhYmxlLkludmVudERpbS5JbnZlbnRMb2NhdGlvbklkCQcCAAAHu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fv//zL7//8G/AQAAFBUYWJsZS5JbnZlbnRUcmFucy5JdGVtSWR+VGFibGUuSW52ZW50VGFibGUuSXRlbUlkflRhYmxlLkludmVudFRhYmxlTW9kdWxlLlVuaXRJZAmkAgAAB7w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C+///Efv//wb/BAAAVFRhYmxlLkludmVudFRyYW5zLkl0ZW1JZH5UYWJsZS5JbnZlbnRUYWJsZS5JdGVtSWR+VGFibGUuSW52ZW50VGFibGVNb2R1bGUuTW9kdWxlVHlwZQkABQAAAeIEAABCAQAAAf/6///S/////////wAGAgUAAARFbnVtBgMFAAAOUmVjZWlwdCBzdGF0dXMJaQMAAAH7+v//0P///wIAAAAB+vr//5X8//8BAAAAAAAJbAMAAAYIBQAADVN0YXR1c1JlY2VpcHQJLAAAAAr/////CWwDAAAKCQgFAAAKCgoJLAAAAAkNBQAACSwAAAAB5QQAAEIBAAAB8fr//9L/////////AAYQBQAABEVudW0GEQUAAAxJc3N1ZSBzdGF0dXMJaQMAAAHt+v//0P///wIAAAAB7Pr//5X8//8BAAAAAAAJbAMAAAYWBQAAC1N0YXR1c0lzc3VlCSwAAAAK/////wlsAwAACgkWBQAACgoKCSwAAAAJGwUAAAksAAAAAesEAABCAQAAAeP6///S/////////wAGHgUAAARSZWFsBh8FAAAVRmluYW5jaWFsIGNvc3QgYW1vdW50CWkDAAAB3/r//9D///8CAAAAAd76//+V/P//AQAAAAAACWwDAAAGJAUAABBDb3N0QW1vdW50UG9zdGVkCSwAAAAK/////wlsAwAACgkkBQAACgoKCSwAAAAJKQUAAAksAAAABfE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8AQAACT0BAAAJLAAAAAk+AQAA/////wk8AQAABjAFAAALSW52ZW50VGFibGUJPQEAAAYyBQAABkl0ZW1JZAoKCSwAAAAJNAUAAAksAAAAAQAFAADxBAAACT8BAAAJQAEAAAksAAAACUEBAAD/////CT8BAAAKCUABAAAGPAUAAAZJdGVtSWQKCgksAAAACT4FAAAJLAAAAAENBQAAKAAAAA8AAAAJ8AAAAAMAAAAJQQUAAAEbBQAAKAAAAA8AAAAJ8AAAAAMAAAAJQwUAAAEpBQAAKAAAAA8AAAAJ8AAAAAMAAAAJRQUAAAE0BQAAKAAAADAAAAAJRgUAAAMAAAAJRwUAAAE+BQAAKAAAACwAAAAJRgUAAAMAAAAJSQUAAAd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+r/v//CWYEAAAGTAUAAClTdGF0dXMgb2YgcXVhbnRpdHkgaW4gcmVsYXRpb24gdG8gcmVjZWlwdAGz+v//q/7//wlpBAAACQMFAAABsPr//6v+//8JbAQAAAkCBQ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6v+//8JZgQAAAZVBQAAKVN0YXR1cyBmb3IgcXVhbnRpdHkgaW4gcmVsYXRpb24gdG8gaXNzdWVzAar6//+r/v//CWkEAAAJEQUAAAGn+v//q/7//wlsBAAACRAF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+v//q/7//wlmBAAABl4FAAA1SW52ZW50b3J5IHZhbHVlIGZvciB0aGUgZmluYW5jaWFsbHkgdXBkYXRlZCBxdWFudGl0eS4Bofr//6v+//8JaQQAAAkfBQAAAZ76//+r/v//CWwEAAAJHgUAAAFGBQAADAAAAAd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+r/v//BmYFAAAEVHlwZQZnBQAABEVudW0BmPr//6v+//8GaQUAAAVMYWJlbAZqBQAACUl0ZW0gdHlwZQGV+v//q/7//wZsBQAACFJlZmVyc1RvBm0FAAAJPUl0ZW1UeXBlB0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r//6v+//8JZgUAAAZwBQAABEVudW0Bj/r//6v+//8JaQUAAAZzBQAAC01vZHVsZSB0eXBlCw==</Report>
</Atlas>
</file>

<file path=customXml/item7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jU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eQA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ZQEAAAcAAAAJcgEAAAGzAAAApQAAAAlzAQAAAQAAAAEAAAABtAAAAKYAAADcAA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WUBAAAHAAAACXcBAAABwQAAAKUAAAAJeAEAAAEAAAABAAAAAcIAAACmAAAA3AA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llAQAABwAAAAl8AQAAAc8AAAClAAAACX0BAAABAAAAAQAAAAHQAAAApgAAAOQA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ZQEAAAcAAAAJgQEAAAHdAAAApQAAAAmCAQAAAQAAAAEAAAAB3gAAAKYAAADkAA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WUBAAAHAAAACYYBAAAB6wAAAKUAAAAJhwEAAAAAAAAAAAAAAewAAACmAAAA2wA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llAQAABwAAAAmLAQAAAfgAAAClAAAACYcBAAAAAAAAAAAAAAH5AAAApgAAANsA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ZQEAAAcAAAAJkAEAAAEFAQAApQAAAAmHAQAAAAAAAAAAAAABBgEAAKYAAADaAA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WUBAAAHAAAACZUBAAABEgEAAKUAAAAJhwEAAAAAAAAAAAAAARMBAACmAAAA2gA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llAQAABwAAAAmaAQAAAR8BAAClAAAACZsBAAAAAAAAAAAAAAEgAQAApgAAALw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YAAAAJngEAAAcAAAAJnwEAAAEsAQAApQAAAAmbAQAAAAAAAAAAAAABLQEAAKYAAAC8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Z4BAAAHAAAACaQBAAABOQEAAKUAAAAJmwEAAAAAAAAAAAAAAToBAACmAAAAxA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meAQAABwAAAAmpAQAAAUYBAAClAAAACZsBAAAAAAAAAAAAAAFHAQAApgAAAMQ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89W0BbVFBQIGNvc3QgYW1vdW50XV0tW0BbVFBQIHRyYW5zIGJhY2t3YXJkcyBiYWxhbmNlIChFbmRpbmcpXV0Hr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P//Av7//wlcAwAACQACAAABLfz//wL+//8JXwMAAAkAAgAAASr8//8C/v//CWIDAAAG2AMAAAUtNDE0MgEn/P//Av7//wllAwAABtsDAAAHQ2FsaWJyaQEk/P//Av7//wloAwAABt4DAAABMAEh/P//Av7//wlrAwAABuEDAAACMTEBHvz//wL+//8JbgMAAAbkAwAAB1JlZ3VsYXIBsgEAAA4AAAAFnQAABuUDAAAKVFBQU3VtX3NzdAbmAwAAC1RQUCBzdW1tYXJ5CQgAAAAJCAAAAAkIAAAAARj8///g////AAAAAAnpAwAACeoDAAABFfz//93///9474t5KEGIRJLudDjfptVWCQgAAAAJCAAAAAntAwAACbUBAAAKCgoKCgEAAAABEfz//9n///8AAAAAARD8///Y////AAAAAAAJ8Q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EAAAAJZQEAAAMAAAAJ8w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EAAAAJZQEAAAMAAAAJ9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EAAAAJZQEAAAMAAAAJ9wMAAAT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+QMAAAHkAQAAVQEAAAEG/P//U/////////8ABvsDAAAGU3RyaW5nBvwDAAAEU2l0ZQkxAAAAAQL8//9R////AgAAAAEB/P//TP7//wEAAAAAAAkwAAAACbYAAAAJCAAAAAr/////CTAAAAAKCbYAAAAGBQQAAAtJbnZlbnREaW1JZAYGBAAAClRQUFN1bV9zc3QKCQgAAAAJCAQAAAkIAAAAAecBAABVAQAAAfb7//9T/////////wAGCwQAAAZTdHJpbmcGDAQAAAlXYXJlaG91c2UJMQAAAAHy+///Uf///wIAAAAB8fv//0z+//8BAAAAAAAJMAAAAAnEAAAACQgAAAAK/////wkwAAAACgnEAAAABhUEAAALSW52ZW50RGltSWQGFgQAAApUUFBTdW1fc3N0CgkIAAAACRgEAAAJCAAAAAHqAQAAXgEAAAkzAAAABhsEAAAISXRlbVR5cGUJCAAAAAYdBAAACCFTZXJ2aWNl/////wkzAAAACgkbBAAABiAEAAAGSXRlbUlkCgoJCAAAAAkiBAAACQgAAAAB6QMAACEAAAAEAAAACSQEAAAHAAAACSUEAAAE6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T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AQAAAAAAAAB8QMAACkAAAAAAAAACScEAAAAAAAAB/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v//wL+//8GKQQAAAhIZWxwVGV4dAYqBAAADklkZW50aWZ5IGl0ZW0uAdX7//8C/v//BiwEAAAFTGFiZWwJsQEAAAHS+///Av7//wYvBAAABFR5cGUJsAEAAAf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7//8C/v//CSkEAAAGMwQAACRRdWFudGl0eSBhdHRhY2hlZCB0byB0aGUgdHJhbnNhY3Rpb24BzPv//wL+//8JLAQAAAm/AQAAAcn7//8C/v//CS8EAAAJvgEAAAf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7//8C/v//CSkEAAAGPAQAABBUUFAgY29zdCBhbW91bnQuAcP7//8C/v//CSwEAAAJzQEAAAHA+///Av7//wkvBAAACcwBAAAH+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///Av7//wZEBAAABFR5cGUJsAEAAAG6+///Av7//wZHBAAABUxhYmVsCbEBAAABt/v//wL+//8GSgQAAAhSZWZlcnNUbwZLBAAACz1JdGVtTnVtYmVyBA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AAAAAllAQAAAwAAAAlNBAAABB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AAAAAllAQAAAwAAAAlPBAAABC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kSAAAAAwAAAAlRBAAAASQEAAASAAAAByUE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77//+t/v//BlMEAAAcVGFibGUuVFBQU3VtX3NzdC5JbnZlbnREaW1JZAlUBAAAAav7//+t/v//BlYEAAAXVGFibGUuVFBQU3VtX3NzdC5JdGVtSWQJVQEAAAGo+///rf7//wZZBAAAFFRhYmxlLlRQUFN1bV9zc3QuUXR5CVgBAAABpfv//63+//8GXAQAABtUYWJsZS5UUFBTdW1fc3N0LkNvc3RBbW91bnQJWwEAAAEnBAAAgAAAAAd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7//8C/v//CSwEAAAJ/AMAAAGf+///Av7//wkvBAAACfsDAAAHT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///Av7//wksBAAACQwEAAABmfv//wL+//8JLwQAAAkLBAAAB1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v//wL+//8JRAQAAAZsBAAABEVudW0Bk/v//wL+//8JRwQAAAZvBAAACUl0ZW0gdHlwZQGQ+///Av7//wlKBAAABnIEAAAJPUl0ZW1UeXBlAVQEAABVAQAAAY37//9T/////////wAGdAQAAAZTdHJpbmcGdQQAAA1EaW1lbnNpb24gTm8uCbIBAAABifv//1H///8CAAAAAYj7//9M/v//AQAAAAAACbUBAAAGegQAAAtJbnZlbnREaW1JZAkIAAAACv////8JtQEAAAoJegQAAAoKCgkIAAAACX8EAAAJCAAAAAR/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ZQEAAAMAAAAJggQAAAe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37//8C/v//CSkEAAAGhQQAACpJZGVudGlmaWNhdGlvbiBvZiBkaW1lbnNpb25zIGZvciB0aGUgaXRlbS4Bevv//wL+//8JLAQAAAl1BAAAAXf7//8C/v//CS8EAAAJdAQAAAs=
    <Output>
      <OutputObject name="AtlasReport_4"/>
    </Output>
  </Query>
</Atlas>
</file>

<file path=customXml/item8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U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gE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m3AQAABwAAAAm4AQAAAc4AAADAAAAACbkBAAABAAAAAQAAAAHPAAAAwQAAAA4B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twEAAAcAAAAJvQEAAAHcAAAAwAAAAAm+AQAAAQAAAAEAAAAB3QAAAMEAAAAPAQ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bcBAAAHAAAACcIBAAAB6gAAAMAAAAAJwwEAAAEAAAABAAAAAesAAADBAAAABgE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miAQAABwAAAAnHAQAAAfgAAADAAAAACcgBAAABAAAAAQAAAAH5AAAAwQAAAAYB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MBAAAJogEAAAcAAAAJzAEAAAEGAQAAwAAAAAnNAQAAAQAAAAEAAAABBwEAAMEAAAAGAQ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aIBAAAHAAAACdEBAAABFAEAAMAAAAAJ0gEAAAEAAAABAAAAARUBAADBAAAADgE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m3AQAABwAAAAnWAQAAASIBAADAAAAACdcBAAABAAAAAQAAAAEjAQAAwQAAAA4B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twEAAAcAAAAJ2wEAAAEwAQAAwAAAAAncAQAAAQAAAAEAAAABMQEAAMEAAAAOAQ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bcBAAAHAAAACeABAAABPgEAAMAAAAAJ4QEAAAEAAAABAAAAAT8BAADBAAAABgE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miAQAABwAAAAnlAQAAAUwBAADAAAAACeYBAAABAAAAAQAAAAFNAQAAwQAAAA4B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twEAAAcAAAAJ6gEAAAFaAQAAwAAAAAnrAQAAAAAAAAAAAAABWwEAAMEAAADQAA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e4BAAAHAAAACe8BAAABZwEAAMAAAAAJ8AEAAAAAAAAAAAAAAWgBAADBAAAA9wA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nzAQAABwAAAAn0AQAAAXQBAADAAAAACfABAAAAAAAAAAAAAAF1AQAAwQAAAPcA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DEuMjguMjAxOCAuLiAwMS4zMS4yMDE4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E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CFTZXJ2aWNl/////wkwAAAABtsEAAALSW52ZW50VGFibGUJ1wQAAAbdBAAABkl0ZW1JZAoKCQgAAAAJ3wQAAAkIAAAAAXkCAACDAQAAAR/7//84/////////wAG4gQAAAZTdHJpbmcG4wQAAARVbml0CTQAAAABG/v//zb///8CAAAAARr7//8B/v//AQAAAAAACTMAAAAJQQEAAAkIAAAACv////8JMwAAAAoJQQEAAAbsBAAABkl0ZW1JZAbtBAAAC0ludmVudFRhYmxlCgkIAAAACe8EAAAJCAAAAAF8AgAAmAEAAAkzAAAABvIEAAAKTW9kdWxlVHlwZQkIAAAABvQEAAAGSW52ZW50/////wkzAAAACgnyBAAABvcEAAAGSXRlbUlkCgoJCAAAAAn5BAAACQgAAAABfwIAAIMBAAABBfv//zj/////////AAb8BAAABlN0cmluZwb9BAAABFNpdGUJNwAAAAEB+///Nv///wIAAAABAPv//wH+//8BAAAAAAAJNgAAAAn7AAAACQgAAAAK/////wk2AAAACgn7AAAABgYFAAALaW52ZW50RGltSWQGBwUAAAtJbnZlbnRUcmFucwoJCAAAAAkJBQAACQgAAAABggIAAIMBAAAB9fr//zj/////////AAYMBQAABlN0cmluZwYNBQAACVdhcmVob3VzZQk3AAAAAfH6//82////AgAAAAHw+v//Af7//wEAAAAAAAk2AAAACQkBAAAJCAAAAAr/////CTYAAAAKCQkBAAAGFgUAAAtpbnZlbnREaW1JZAYXBQAAC0ludmVudFRyYW5zCgkIAAAACRkFAAAJCAAAAAGrBAAAIQAAAAoAAAAJGwUAABEAAAAJHAUAAASs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FAAAAAAAABK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GzBAAAKQAAAAAAAAAJHgUAAAAA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av3//wYgBQAACEhlbHBUZXh0BiEFAAAyU3BlY2lmeSB0aGUgbW9kdWxlIHRoYXQgZ2VuZXJhdGVkIHRoZSB0cmFuc2FjdGlvbi4B3vr//2r9//8GIwUAAAVMYWJlbAn8AQAAAdv6//9q/f//BiYFAAAEVHlwZQn7AQAAB7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2r9//8JIAUAAAYqBQAANU9yZGVyIG51bWJlciwgcHJvamVjdCBudW1iZXIsIHByb2R1Y3Rpb24gbnVtYmVyLCBldGMuAdX6//9q/f//CSMFAAAJCgIAAAHS+v//av3//wkmBQAACQk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v//av3//wkgBQAABjMFAAAOSWRlbnRpZnkgaXRlbS4BzPr//2r9//8JIwUAAAkYAgAAAcn6//9q/f//CSYFAAAJFw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6//9q/f//CSAFAAAGPAUAABxEYXRlIG9mIHBoeXNpY2FsIHRyYW5zYWN0aW9uAcP6//9q/f//CSMFAAAJJgIAAAHA+v//av3//wkmBQAACSU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v//av3//wkgBQAABkUFAAAdRGF0ZSBvZiBmaW5hbmNpYWwgdHJhbnNhY3Rpb24Buvr//2r9//8JIwUAAAk0AgAAAbf6//9q/f//CSYFAAAJMwIAAAe/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9q/f//CSAFAAAGTgUAACRRdWFudGl0eSBhdHRhY2hlZCB0byB0aGUgdHJhbnNhY3Rpb24Bsfr//2r9//8JIwUAAAlCAgAAAa76//9q/f//CSYFAAAJQQIAA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6//9q/f//CSAFAAAGVwUAAFJTdW1tYXJ5IG51bWJlci9Mb3QgSUQgZm9yIHRyYW5zYWN0aW9ucyBhdHRhY2hlZCB0byB0aGUgc2FtZSBpbnZlbnRvcnkgdHJhbnNhY3Rpb24uAaj6//9q/f//CSMFAAAJUAIAAAGl+v//av3//wkmBQAACU8CAAABwgQAABIAAAAHw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av3//wZfBQAABFR5cGUJMwIAAAGf+v//av3//wZiBQAABUxhYmVsCTQCAAABnPr//2r9//8GZQUAAAhSZWZlcnNUbwZmBQAACz1EYXRlUGVyaW9kB8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r//2r9//8JXwUAAAkXAgAAAZb6//9q/f//CWIFAAAJGAIAAAGT+v//av3//wllBQAABm8FAAALPUl0ZW1OdW1iZXI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114AAAACaIBAAADAAAACXEF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cIEAAADAAAACXMF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114AAAACaIBAAADAAAACXUFAAAE+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cIEAAADAAAACXcFAAAEC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114AAAACaIBAAADAAAACXkFAAAEG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114AAAACaIBAAADAAAACXsFAAABGwUAABIAAAAHHAU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Pr//3/+//8GfQUAABhUYWJsZS5JbnZlbnRUcmFucy5JdGVtSWQJiQEAAAGB+v//f/7//waABQAAH1RhYmxlLkludmVudFRyYW5zLkludmVudFRyYW5zSWQJlQEAAAF++v//f/7//waDBQAAG1RhYmxlLkludmVudFRyYW5zLlRyYW5zVHlwZQmDAQAAAXv6//9//v//BoYFAAAcVGFibGUuSW52ZW50VHJhbnMuVHJhbnNSZWZJZAmGAQAAAXj6//9//v//BokFAAAeVGFibGUuSW52ZW50VHJhbnMuRGF0ZVBoeXNpY2FsCYwBAAABdfr//3/+//8GjAUAAB9UYWJsZS5JbnZlbnRUcmFucy5EYXRlRmluYW5jaWFsCY8BAAABcvr//3/+//8GjwUAAB9UYWJsZS5JbnZlbnRUcmFucy5TdGF0dXNSZWNlaXB0CZAFAAABb/r//3/+//8GkgUAAB1UYWJsZS5JbnZlbnRUcmFucy5TdGF0dXNJc3N1ZQmTBQAAAWz6//9//v//BpUFAAAVVGFibGUuSW52ZW50VHJhbnMuUXR5CZIBAAABafr//3/+//8GmAUAACJUYWJsZS5JbnZlbnRUcmFucy5Db3N0QW1vdW50UG9zdGVkCZkFAAABHgUAAIkAAAAHc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+v//av3//wabBQAABUxhYmVsCcgEAAABY/r//2r9//8GngUAAARUeXBlCccE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v//av3//wlfBQAABqIFAAAERW51bQFd+v//av3//wliBQAABqUFAAAJSXRlbSB0eXBlAVr6//9q/f//CWUFAAAGqAUAAAk9SXRlbVR5cGUHd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av3//wmbBQAACeMEAAABVPr//2r9//8JngUAAAniB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2r9//8JXwUAAAaxBQAABEVudW0BTvr//2r9//8JYgUAAAa0BQAAC01vZHVsZSB0eXBlB3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r//2r9//8JmwUAAAn9BAAAAUj6//9q/f//CZ4FAAAJ/AQAAAd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6//9q/f//CZsFAAAJDQUAAAFC+v//av3//wmeBQAACQwFAAABkAUAAIMBAAABP/r//zj/////////AAbCBQAABEVudW0GwwUAAA5SZWNlaXB0IHN0YXR1cwn9AQAAATv6//82////AgAAAAE6+v//Af7//wEAAAAAAAkAAgAABsgFAAANU3RhdHVzUmVjZWlwdAkIAAAACv////8JAAIAAAoJyAUAAAoKCgkIAAAACc0FAAAJCAAAAAGTBQAAgwEAAAEx+v//OP////////8ABtAFAAAERW51bQbRBQAADElzc3VlIHN0YXR1cwn9AQAAAS36//82////AgAAAAEs+v//Af7//wEAAAAAAAkAAgAABtYFAAALU3RhdHVzSXNzdWUJCAAAAAr/////CQACAAAKCdYFAAAKCgoJCAAAAAnbBQAACQgAAAABmQUAAIMBAAABI/r//zj/////////AAbeBQAABFJlYWwG3wUAABVGaW5hbmNpYWwgY29zdCBhbW91bnQJ/QEAAAEf+v//Nv///wIAAAABHvr//wH+//8BAAAAAAAJAAIAAAbkBQAAEENvc3RBbW91bnRQb3N0ZWQJCAAAAAr/////CQACAAAKCeQFAAAKCgoJCAAAAAnpBQAACQgAAAAEz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wFAAAE2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4FAAAE6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fAFAAAH7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v//av3//wkgBQAABvMFAAApU3RhdHVzIG9mIHF1YW50aXR5IGluIHJlbGF0aW9uIHRvIHJlY2VpcHQBDPr//2r9//8JIwUAAAnDBQAAAQn6//9q/f//CSYFAAAJwgU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6//9q/f//CSAFAAAG/AUAAClTdGF0dXMgZm9yIHF1YW50aXR5IGluIHJlbGF0aW9uIHRvIGlzc3VlcwED+v//av3//wkjBQAACdEFAAABAPr//2r9//8JJgUAAAnQBQAAB/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n//2r9//8JIAUAAAYFBgAANUludmVudG9yeSB2YWx1ZSBmb3IgdGhlIGZpbmFuY2lhbGx5IHVwZGF0ZWQgcXVhbnRpdHkuAfr5//9q/f//CSMFAAAJ3wUAAAH3+f//av3//wkmBQAACd4FAAAL
    <Output>
      <OutputObject name="AtlasReport_1"/>
    </Output>
  </Query>
</Atlas>
</file>

<file path=customXml/item9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2NQ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sAA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ScBAAAHAAAACSgBAAABrgAAAKAAAAAJKQEAAAEAAAABAAAAAa8AAAChAAAA4wA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kbAQAABwAAAAktAQAAAbwAAACgAAAACS4BAAABAAAAAQAAAAG9AAAAoQAAAOMA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GwEAAAcAAAAJMgEAAAHKAAAAoAAAAAkzAQAAAQAAAAEAAAABywAAAKEAAADvAA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ScBAAAHAAAACTcBAAAB2AAAAKAAAAAJOAEAAAAAAAAAAAAAAdkAAAChAAAA3QA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kbAQAABwAAAAk8AQAAAeUAAACgAAAACTgBAAAAAAAAAAAAAAHmAAAAoQAAANsA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GwEAAAcAAAAJQQEAAAHyAAAAoAAAAAlCAQAAAAAAAAAAAAAB8wAAAKEAAADK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EAAAACUUBAAAHAAAACUYBAAAB/wAAAKAAAAAJQgEAAAAAAAAAAAAAAQABAAChAAAAyg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A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c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c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4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4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PAAAAD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gwj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MAAAAIAgAAAAYkAAAAFUF0bGFzUmVwb3J0XzVfVGFibGVfMQkl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jAAAACAgJJg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cAAAAJKAAAAAkpAAAABioAAAAGSXRlbUlkBisAAAALSXRlbSBudW1iZXIGLAAAAAZTdHJpbmcGLQAAAAAGLgAAACQyNTRiMTdhYS0xZWNmLTQyNWEtOThhYi1iMmRlNjJhZTczNGYF0f///y1HbG9iZVNvZnR3YXJlLkF0bGFzNDAuQXRsYXNDb21tb24uQWdncmVnYXRpb24BAAAAB3ZhbHVlX18ACA4AAAD/////AAAAAAXQ////LEdsb2JlU29mdHdhcmUuQXRsYXM0MC5BdGxhc0NvbW1vbi5Db2x1bW5UeXBlAQAAAAd2YWx1ZV9fAAgOAAAAAAAAAAXP////K0dsb2JlU29mdHdhcmUuQXRsYXM0MC5BdGxhc0NvbW1vbi5Tb3J0T3JkZXIBAAAAB3ZhbHVlX18ACA4AAAACAAAAAAAAAAAFzv///0BHbG9iZVNvZnR3YXJlLkF0bGFzNDAuQXRsYXNDb21tb24uVHlwZS5Db2x1bW4rQ3Jvc3NUYWJDb2x1bW5UeXBlAQAAAAd2YWx1ZV9fAAgOAAAAAAAAAAoBAAAAAAAAAAAAAAAAAAYzAAAAJGJjOGVmZTc5LTg3MzgtNGE5Mi05YmIxLTdhN2Q2ODk3YWJkMgY0AAAAGFRhYmxlLkludmVudFRhYmxlLkl0ZW1JZAoKCgoBFQAAABQAAAAJNQAAAAk2AAAACTcAAAAGOAAAAAhJdGVtTmFtZQY5AAAACUl0ZW0gbmFtZQY6AAAABlN0cmluZwktAAAABjwAAAAkMWI3Mzk0MWYtNWFhMS00MTE0LTk0ZjgtMTI5M2VjODliYzg1AcP////R/////////wEAAAABwv///9D///8AAAAAAcH////P////AgAAAAAAAAAAAcD////O////AAAAAAoBAAAAAAAAAAABAAAAAAZBAAAAJDg4OTZjNTdjLWU2MDYtNGQxYS1hNmZmLTFmNGJjZmQ4YzcwNgZCAAAAGlRhYmxlLkludmVudFRhYmxlLkl0ZW1OYW1lCgoKCgEWAAAAFAAAAAlDAAAACUQAAAAJRQAAAAZGAAAAC0l0ZW1Hcm91cElkBkcAAAAKSXRlbSBncm91cAZIAAAABlN0cmluZwktAAAABkoAAAAkODU5MzMyNjctMTlkYi00ZTcxLWJkYjUtZjcwNjAwMDJhYzM3AbX////R/////////wIAAAABtP///9D///8AAAAAAbP////P////AgAAAAAAAAAAAbL////O////AAAAAAoBAAAAAAAAAAACAAAAAAZPAAAAJDkwNjAyZGFiLWMwNDktNDg0Mi05MjNiLTFiMjE2MTc2Y2UxYwZQAAAAHVRhYmxlLkludmVudFRhYmxlLkl0ZW1Hcm91cElkCgoKCgEXAAAAFAAAAAlRAAAACVIAAAAJUwAAAAZUAAAACEl0ZW1UeXBlBlUAAAAJSXRlbSB0eXBlBlYAAAAERW51bQktAAAABlgAAAAkNDlmNTBkYjUtN2E5My00Nzk4LTlkODctOGI2OThhMzlmZTE0Aaf////R/////////wMAAAABpv///9D///8AAAAAAaX////P////AgAAAAAAAAAAAaT////O////AAAAAAoBAAAAAAAAAAADAAAAAAZdAAAAJGZlZjI1NzllLTY1ZDUtNGUzNS05Yzg1LTk3ZjY0OGFjZmFkMQZeAAAAGlRhYmxlLkludmVudFRhYmxlLkl0ZW1UeXBlCgoKCgEYAAAAFAAAAAlfAAAACWAAAAAJYQAAAAZiAAAABlVuaXRJZAZjAAAABFVuaXQGZAAAAAZTdHJpbmcJLQAAAAZmAAAAJGZiNzdmZDkxLThkNjctNGNhMy1hODA4LTk0NjdhMmI2MGZmYwGZ////0f////////8EAAAAAZj////Q////AAAAAAGX////z////wIAAAAAAAAAAAGW////zv///wAAAAAKAQAAAAAAAAAABAAAAAAGawAAACRiMjkxYThhMy0zYzVjLTRmNWEtYmQwMi0wMzU4MDYzZTQ3ODEGbAAAADdUYWJsZS5JbnZlbnRUYWJsZS5JdGVtSWR+VGFibGUuSW52ZW50VGFibGVNb2R1bGUuVW5pdElkCgoKCgEZAAAAFAAAAAltAAAACW4AAAAJbwAAAAZwAAAADERpbWVuc2lvblsxXQZxAAAABkJyYW5jaAZyAAAABlN0cmluZwktAAAABnQAAAAkYjViNmM5MzQtZDc1Mi00MDRiLTlhMjAtMTM2YWMzMTE0N2FlAYv////R/////////wUAAAABiv///9D///8AAAAAAYn////P////AgAAAAAAAAAAAYj////O////AAAAAAoBAAAAAAAAAAAFAAAAAAZ5AAAAJDViZDU5ZmM5LTJhYWMtNGViNi1iODM2LTczZWUxN2ZkODA0OQZ6AAAAHlRhYmxlLkludmVudFRhYmxlLkRpbWVuc2lvblsxXQoKCgoBGgAAABQAAAAJewAAAAl8AAAACX0AAAAGfgAAAAxEaW1lbnNpb25bMl0GfwAAAApEZXBhcnRtZW50CXIAAAAJLQAAAAaCAAAAJGJkODllYzQ1LTgwZTMtNGU2MS05ZDA3LWQ1NGIzMjBhNDliYgF9////0f////////8GAAAAAXz////Q////AAAAAAF7////z////wIAAAAAAAAAAAF6////zv///wAAAAAKAQAAAAAAAAAABgAAAAAGhwAAACQ3ZTI5NWIyNy1jOTk0LTRiOTctOTE5MC1hMTI5MzliM2I5YjkGiAAAAB5UYWJsZS5JbnZlbnRUYWJsZS5EaW1lbnNpb25bMl0KCgoKARsAAAAUAAAACYkAAAAJigAAAAmLAAAABowAAAAMRGltZW5zaW9uWzNdBo0AAAALQ29zdCBDZW50ZXIJcgAAAAktAAAABpAAAAAkOTJmNTAwZmItMGU3My00NzVlLWI0MzAtMzczYmY1Nzg0YTQ4AW/////R/////////wcAAAABbv///9D///8AAAAAAW3////P////AgAAAAAAAAAAAWz////O////AAAAAAoBAAAAAAAAAAAHAAAAAAaVAAAAJGJjZjZmYzcwLTgwODUtNDRhZC05OGJjLWIxOWFkNTFkNDg5ZQaWAAAAHlRhYmxlLkludmVudFRhYmxlLkRpbWVuc2lvblszXQoKCgoBHAAAABQAAAAJlwAAAAmYAAAACZkAAAAGmgAAAAxEaW1lbnNpb25bNF0GmwAAAAdQdXJwb3NlCXIAAAAJLQAAAAaeAAAAJDM5OGIzNmRmLTFjYTUtNDAxYS04MzBkLTMzNzBmNmNmOWM4ZQFh////0f////////8IAAAAAWD////Q////AAAAAAFf////z////wIAAAAAAAAAAAFe////zv///wAAAAAKAQAAAAAAAAAACAAAAAAGowAAACQxYTY3NjlhZi03NjM1LTRkOGUtYTE4NS1mMTU0N2JkZWE5ZGMGpAAAAB5UYWJsZS5JbnZlbnRUYWJsZS5EaW1lbnNpb25bNF0KCgoKAR0AAAAUAAAACaUAAAAJpgAAAAmnAAAABqgAAAAMRGltZW5zaW9uWzVdBqkAAAAJVGF4IEdyb3VwCXIAAAAJLQAAAAasAAAAJDA4ZDE5NzUxLTZmMjgtNDZiOS04ZWFmLTE3MWQ2ZWM2ZDhlZQFT////0f////////8JAAAAAVL////Q////AAAAAAFR////z////wIAAAAAAAAAAAFQ////zv///wAAAAAKAQAAAAAAAAAACQAAAAAGsQAAACQ0ZWIxOGZhOC1jYzM5LTRhNjMtYmQ1Zi02NWU3YmEwOTJlMDcGsgAAAB5UYWJsZS5JbnZlbnRUYWJsZS5EaW1lbnNpb25bNV0KCgoKAR4AAAAUAAAACbMAAAAJtAAAAAm1AAAABrYAAAAMRGltZW5zaW9uWzZdBrcAAAAHU2VnbWVudAlyAAAACS0AAAAGugAAACRjZWYxZDg3Ny1iMDgzLTRkYjctODRkYy0xZjNjZTM1M2ZkNjABRf///9H/////////CgAAAAFE////0P///wAAAAABQ////8////8CAAAAAAAAAAABQv///87///8AAAAACgEAAAAAAAAAAAoAAAAABr8AAAAkODA3MjExYTEtYzRhZS00ZjA1LTk3NjgtODM1ZGZkYThiNGQ3BsAAAAAeVGFibGUuSW52ZW50VGFibGUuRGltZW5zaW9uWzZdCgoKCgEfAAAAFAAAAAnBAAAACcIAAAAJwwAAAAbEAAAADERpbWVuc2lvbls3XQbFAAAAFU1ham9yIE1hcmtldGluZyBHcm91cAlyAAAACS0AAAAGyAAAACRjODFjYmVkNy0yYzVkLTRhNmMtYjJkNC1mYTViNzg0YmEzYWEBN////9H/////////CwAAAAE2////0P///wAAAAABNf///8////8CAAAAAAAAAAABNP///87///8AAAAACgEAAAAAAAAAAAsAAAAABs0AAAAkNTQ1YzZjNzMtMzg0YS00ZTJmLTgzZDUtNTQzOGRlZjMxMjVhBs4AAAAeVGFibGUuSW52ZW50VGFibGUuRGltZW5zaW9uWzddCgoKCgEgAAAAFAAAAAnPAAAACdAAAAAJ0QAAAAbSAAAADERpbWVuc2lvbls4XQbTAAAAFkRldGFpbCBNYXJrZXRpbmcgR3JvdXAJcgAAAAktAAAABtYAAAAkYmRhNDMzYjMtOTRiNC00OGE3LThiODktOTIxMGIzYmJlNTgyASn////R/////////wwAAAABKP///9D///8AAAAAASf////P////AgAAAAAAAAAAASb////O////AAAAAAoBAAAAAAAAAAAMAAAAAAbbAAAAJDhjZDBmZTQ1LWI5Y2QtNGJjMi04ZWMwLWY4MjRmYzM5NzQxMgbcAAAAHlRhYmxlLkludmVudFRhYmxlLkRpbWVuc2lvbls4XQoKCgoBIQAAABQAAAAJ3QAAAAneAAAACd8AAAAG4AAAAAxEaW1lbnNpb25bOV0G4QAAAAlTdGF0dXRvcnkJcgAAAAktAAAABuQAAAAkMmEwMmY3MWItNmRjZC00NGI0LWIzNDgtZjEwNDY1N2VjNTUwARv////R/////////w0AAAABGv///9D///8AAAAAARn////P////AgAAAAAAAAAAARj////O////AAAAAAoBAAAAAAAAAAANAAAAAAbpAAAAJDQwNzY3NjNiLTliNGEtNDUwNS05Yjg0LTdmODRhODcyODQ0YQbqAAAAHlRhYmxlLkludmVudFRhYmxlLkRpbWVuc2lvbls5XQoKCgoBIgAAABQAAAAJ6wAAAAnsAAAACe0AAAAG7gAAAA1EaW1lbnNpb25bMTBdBu8AAAAHQ2hhbm5lbAlyAAAACS0AAAAG8gAAACRlNzM3ODE1Ny1kOTI3LTQ1YmItOGFhZC04ZmNmOTViNzI1MTkBDf///9H/////////DgAAAAEM////0P///wAAAAABC////8////8CAAAAAAAAAAABCv///87///8AAAAACgEAAAAAAAAAAA4AAAAABvcAAAAkZDYwYjE5NzctNTk4YS00NjE1LWFlZjQtMDA4ZTZjNjQ2NzdiBvgAAAAfVGFibGUuSW52ZW50VGFibGUuRGltZW5zaW9uWzEwXQoKCgoFJQAAADhHbG9iZVNvZnR3YXJlLkF0bGFzNDAuQXRsYXNDb21tb25DbGllbnQuUmVwb3J0LlJlZmVyZW5jZQEAAAAKX3JlZmVyZW5jZQcIIwAAAAn5AAAAByYAAAAAAQAAAAQAAAAEPEdsb2JlU29mdHdhcmUuQXRsYXM0MC5BdGxhc0NvbW1vbkNsaWVudC5EYXRhU291cmNlRmllbGRWYWx1ZSMAAAAJ+gAAAAn7AAAACfwAAAAJ/QAAAAQn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+AAAAAQAAAAEAAAAEK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tAAAACf8AAAAHAAAACQABAAAEK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oAAAACQEBAAAHAAAACQIBAAABNQAAACcAAAAJAwEAAAEAAAABAAAAATYAAAAoAAAArAAAAAn/AAAABwAAAAkFAQAAATcAAAApAAAAqAAAAAkBAQAABwAAAAkHAQAAAUMAAAAnAAAACQgBAAABAAAAAQAAAAFEAAAAKAAAAKwAAAAJ/wAAAAcAAAAJCgEAAAFFAAAAKQAAAKgAAAAJAQEAAAcAAAAJDAEAAAFRAAAAJwAAAAkNAQAAAQAAAAEAAAABUgAAACgAAACsAAAACf8AAAAHAAAACQ8BAAABUwAAACkAAACoAAAACQEBAAAHAAAACREBAAABXwAAACcAAAAJEgEAAAEAAAABAAAAAWAAAAAoAAAAqwAAAAn/AAAABwAAAAkUAQAAAWEAAAApAAAAqAAAAAkBAQAABwAAAAkWAQAAAW0AAAAnAAAACRcBAAABAAAAAQAAAAFuAAAAKAAAABEAAAAJGAEAAAcAAAAJGQEAAAFvAAAAKQAAAA4AAAAJGgEAAAcAAAAJGwEAAAF7AAAAJwAAAAkcAQAAAQAAAAEAAAABfAAAACgAAAARAAAACRgBAAAHAAAACR4BAAABfQAAACkAAAAOAAAACRoBAAAHAAAACSABAAABiQAAACcAAAAJIQEAAAEAAAABAAAAAYoAAAAoAAAAEQAAAAkYAQAABwAAAAkjAQAAAYsAAAApAAAADgAAAAkaAQAABwAAAAklAQAAAZcAAAAnAAAACSYBAAABAAAAAQAAAAGYAAAAKAAAABEAAAAJGAEAAAcAAAAJKAEAAAGZAAAAKQAAAA4AAAAJGgEAAAcAAAAJKgEAAAGlAAAAJwAAAAkrAQAAAQAAAAEAAAABpgAAACgAAAARAAAACRgBAAAHAAAACS0BAAABpwAAACkAAAAOAAAACRoBAAAHAAAACS8BAAABswAAACcAAAAJMAEAAAEAAAABAAAAAbQAAAAoAAAAEQAAAAkYAQAABwAAAAkyAQAAAbUAAAApAAAADgAAAAkaAQAABwAAAAk0AQAAAcEAAAAnAAAACTUBAAABAAAAAQAAAAHCAAAAKAAAABEAAAAJGAEAAAcAAAAJNwEAAAHDAAAAKQAAAA4AAAAJGgEAAAcAAAAJOQEAAAHPAAAAJwAAAAk6AQAAAQAAAAEAAAAB0AAAACgAAAARAAAACRgBAAAHAAAACTwBAAAB0QAAACkAAAAOAAAACRoBAAAHAAAACT4BAAAB3QAAACcAAAAJPwEAAAEAAAABAAAAAd4AAAAoAAAAEQAAAAkYAQAABwAAAAlBAQAAAd8AAAApAAAADgAAAAkaAQAABwAAAAlDAQAAAesAAAAnAAAACUQBAAABAAAAAQAAAAHsAAAAKAAAABEAAAAJGAEAAAcAAAAJRgEAAAHtAAAAKQAAAA4AAAAJGgEAAAcAAAAJSAEAAA/5AAAAAQAAAAgBAAAABfoAAAA8R2xvYmVTb2Z0d2FyZS5BdGxhczQwLkF0bGFzQ29tbW9uQ2xpZW50LkRhdGFTb3VyY2VGaWVsZFZhbHVlBAAAABJfaXNEcmlsbERvd25GaWx0ZXIGX2RzS2V5Cl9maWVsZG5hbWULX2ZpZWxkVmFsdWUAAQEBASMAAAAABkkBAAARVGFibGUuSW52ZW50VGFibGUGSgEAAApEYXRhQXJlYUlkCQYAAAAB+wAAAPoAAAAACUkBAAAGTQEAAAZJdGVtSWQGTgEAAAEqAfwAAAD6AAAAAAlJAQAABlABAAAISXRlbVR5cGUGUQEAAAghU2VydmljZQH9AAAA+gAAAAAGUgEAADBUYWJsZS5JbnZlbnRUYWJsZS5JdGVtSWR+VGFibGUuSW52ZW50VGFibGVNb2R1bGUGUwEAAApNb2R1bGVUeXBlBlQBAAAGSW52ZW50B/4AAAAAAQAAAAQAAAAEN0dsb2JlU29mdHdhcmUuQXRsYXM0MC5BdGxhc0NvbW1vbi5UeXBlLkZpZWxkT3V0cHV0RmllbGQOAAAACVUBAAANAwT/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A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p/v//Mkdsb2JlU29mdHdhcmUuQXRsYXM0MC5BdGxhc0NvbW1vbi5Db2x1bW5BdHRyaWJ1dGVzAQAAAAd2YWx1ZV9fAAgOAAAABgAAAAZYAQAABVRvdGFsAaf+//+q/v//Aab+//+p/v//EAAAAAZbAQAABE5vbmUBpP7//6r+//8Bo/7//6n+//8JAAAACS0AAAABof7//6r+//8BoP7//6n+//8LAAAABmEBAAABMAGe/v//qv7//wGd/v//qf7//wQAAAAGZAEAAAdHZW5lcmFsAZv+//+q/v//AZr+//+p/v//AgAAAAZnAQAAATEBmP7//6r+//8Bl/7//6n+//8AAAAABmoBAAAFMjAuNDM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V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wBAAAIRm9udEJvbGQGbQEAAAVGYWxzZQGS/v//lf7//wZvAQAACkZvbnRJdGFsaWMJbQEAAAGP/v//lf7//wZyAQAADUZvbnRVbmRlcmxpbmUGcwEAAAUtNDE0MgGM/v//lf7//wZ1AQAACEZvbnROYW1lBnYBAAAHQ2FsaWJyaQGJ/v//lf7//wZ4AQAACUZvbnRDb2xvcgZ5AQAAATABhv7//5X+//8GewEAAAhGb250U2l6ZQZ8AQAAAjExAYP+//+V/v//Bn4BAAAJRm9udFN0eWxlBn8BAAAHUmVndWxhcgcDAQAAAAEAAAAEAAAABDdHbG9iZVNvZnR3YXJlLkF0bGFzNDAuQXRsYXNDb21tb24uVHlwZS5GaWVsZE91dHB1dEZpZWxkDgAAAAmAAQAADQM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/+//+q/v//AX7+//+p/v//EAAAAAlbAQAAAXz+//+q/v//AXv+//+p/v//CQAAAAktAAAAAXn+//+q/v//AXj+//+p/v//CwAAAAaJAQAAATEBdv7//6r+//8Bdf7//6n+//8EAAAABowBAAAHR2VuZXJhbAFz/v//qv7//wFy/v//qf7//wIAAAAGjwEAAAExAXD+//+q/v//AW/+//+p/v//AAAAAAaSAQAAAjU2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7//5X+//8JbAEAAAltAQAAAWr+//+V/v//CW8BAAAJbQEAAAFn/v//lf7//wlyAQAABpsBAAAFLTQxNDIBZP7//5X+//8JdQEAAAaeAQAAB0NhbGlicmkBYf7//5X+//8JeAEAAAahAQAAATABXv7//5X+//8JewEAAAakAQAAAjExAVv+//+V/v//CX4BAAAGpwEAAAdSZWd1bGFyBwgBAAAAAQAAAAQAAAAEN0dsb2JlU29mdHdhcmUuQXRsYXM0MC5BdGxhc0NvbW1vbi5UeXBlLkZpZWxkT3V0cHV0RmllbGQOAAAACagB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7//6r+//8BVv7//6n+//8QAAAACVsBAAABVP7//6r+//8BU/7//6n+//8JAAAACS0AAAABUf7//6r+//8BUP7//6n+//8LAAAABrEBAAABMgFO/v//qv7//wFN/v//qf7//wQAAAAGtAEAAAdHZW5lcmFsAUv+//+q/v//AUr+//+p/v//AgAAAAa3AQAAATEBSP7//6r+//8BR/7//6n+//8AAAAABroBAAAFMTIuMjk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lf7//wlsAQAACW0BAAABQv7//5X+//8JbwEAAAltAQAAAT/+//+V/v//CXIBAAAGwwEAAAUtNDE0MgE8/v//lf7//wl1AQAABsYBAAAHQ2FsaWJyaQE5/v//lf7//wl4AQAABskBAAABMAE2/v//lf7//wl7AQAABswBAAACMTEBM/7//5X+//8JfgEAAAbPAQAAB1JlZ3VsYXIHDQEAAAABAAAABAAAAAQ3R2xvYmVTb2Z0d2FyZS5BdGxhczQwLkF0bGFzQ29tbW9uLlR5cGUuRmllbGRPdXRwdXRGaWVsZA4AAAAJ0AEAAA0DBw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v//qv7//wEu/v//qf7//xAAAAAJWwEAAAEs/v//qv7//wEr/v//qf7//wkAAAAJLQAAAAEp/v//qv7//wEo/v//qf7//wsAAAAG2QEAAAEzASb+//+q/v//ASX+//+p/v//BAAAAAbcAQAAB0dlbmVyYWwBI/7//6r+//8BIv7//6n+//8CAAAABt8BAAABMQEg/v//qv7//wEf/v//qf7//wAAAAAG4gEAAAUxMS4xNA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+V/v//CWwBAAAJbQEAAAEa/v//lf7//wlvAQAACW0BAAABF/7//5X+//8JcgEAAAbrAQAABS00MTQyART+//+V/v//CXUBAAAG7gEAAAdDYWxpYnJpARH+//+V/v//CXgBAAAG8QEAAAEwAQ7+//+V/v//CXsBAAAG9AEAAAIxMQEL/v//lf7//wl+AQAABvcBAAAHUmVndWxhcgcSAQAAAAEAAAAEAAAABDdHbG9iZVNvZnR3YXJlLkF0bGFzNDAuQXRsYXNDb21tb24uVHlwZS5GaWVsZE91dHB1dEZpZWxkDgAAAAn4AQAADQM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+q/v//AQb+//+p/v//CQAAAAktAAAAAQT+//+q/v//AQP+//+p/v//CwAAAAb+AQAAATQBAf7//6r+//8BAP7//6n+//8EAAAABgECAAAHR2VuZXJhbAH+/f//qv7//wH9/f//qf7//wIAAAAGBAIAAAExAfv9//+q/v//Afr9//+p/v//AAAAAAYHAgAABDYuNDM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lf7//wlsAQAACW0BAAAB9f3//5X+//8JbwEAAAltAQAAAfL9//+V/v//CXIBAAAGEAIAAAUtNDE0MgHv/f//lf7//wl1AQAABhMCAAAHQ2FsaWJyaQHs/f//lf7//wl4AQAABhYCAAABMAHp/f//lf7//wl7AQAABhkCAAACMTEB5v3//5X+//8JfgEAAAYcAgAAB1JlZ3VsYXIHFwEAAAABAAAABAAAAAQ3R2xvYmVTb2Z0d2FyZS5BdGxhczQwLkF0bGFzQ29tbW9uLlR5cGUuRmllbGRPdXRwdXRGaWVsZA4AAAAJHQIAAA0DARgBAAD/AAAABx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i/f//qv7//wHh/f//qf7//wkAAAAJLQAAAAHf/f//qv7//wHe/f//qf7//wsAAAAGIwIAAAE1Adz9//+q/v//Adv9//+p/v//BAAAAAYmAgAAB0dlbmVyYWwB2f3//6r+//8B2P3//6n+//8CAAAABikCAAABMQHW/f//qv7//wHV/f//qf7//wAAAAAGLAIAAAQ4LjU3ARoBAAAMAAAA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5X+//8GLgIAAAhGb250Qm9sZAltAQAAAdD9//+V/v//BjECAAAKRm9udEl0YWxpYwltAQAAAc39//+V/v//BjQCAAANRm9udFVuZGVybGluZQY1AgAABS00MTQyAcr9//+V/v//BjcCAAAIRm9udE5hbWUGOAIAAAdDYWxpYnJpAcf9//+V/v//BjoCAAAJRm9udENvbG9yBjsCAAABMAHE/f//lf7//wY9AgAACEZvbnRTaXplBj4CAAACMTEBwf3//5X+//8GQAIAAAlGb250U3R5bGUGQQIAAAdSZWd1bGFyBxwBAAAAAQAAAAQAAAAEN0dsb2JlU29mdHdhcmUuQXRsYXM0MC5BdGxhc0NvbW1vbi5UeXBlLkZpZWxkT3V0cHV0RmllbGQOAAAACUICAAANAwc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6r+//8BvP3//6n+//8JAAAACS0AAAABuv3//6r+//8Buf3//6n+//8LAAAABkgCAAABNgG3/f//qv7//wG2/f//qf7//wQAAAAGSwIAAAdHZW5lcmFsAbT9//+q/v//AbP9//+p/v//AgAAAAZOAgAAATEBsf3//6r+//8BsP3//6n+//8AAAAABlECAAAFMTMuMjk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f//lf7//wkuAgAACW0BAAABq/3//5X+//8JMQIAAAltAQAAAaj9//+V/v//CTQCAAAGWgIAAAUtNDE0MgGl/f//lf7//wk3AgAABl0CAAAHQ2FsaWJyaQGi/f//lf7//wk6AgAABmACAAABMAGf/f//lf7//wk9AgAABmMCAAACMTEBnP3//5X+//8JQAIAAAZmAgAAB1JlZ3VsYXIHIQEAAAABAAAABAAAAAQ3R2xvYmVTb2Z0d2FyZS5BdGxhczQwLkF0bGFzQ29tbW9uLlR5cGUuRmllbGRPdXRwdXRGaWVsZA4AAAAJZwIAAA0DBy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qv7//wGX/f//qf7//wkAAAAJLQAAAAGV/f//qv7//wGU/f//qf7//wsAAAAGbQIAAAE3AZL9//+q/v//AZH9//+p/v//BAAAAAZwAgAAB0dlbmVyYWwBj/3//6r+//8Bjv3//6n+//8CAAAABnMCAAABMQGM/f//qv7//wGL/f//qf7//wAAAAAGdgIAAAUxMi44Ng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9//+V/v//CS4CAAAJbQEAAAGG/f//lf7//wkxAgAACW0BAAABg/3//5X+//8JNAIAAAZ/AgAABS00MTQyAYD9//+V/v//CTcCAAAGggIAAAdDYWxpYnJpAX39//+V/v//CToCAAAGhQIAAAEwAXr9//+V/v//CT0CAAAGiAIAAAIxMQF3/f//lf7//wlAAgAABosCAAAHUmVndWxhcgcmAQAAAAEAAAAEAAAABDdHbG9iZVNvZnR3YXJlLkF0bGFzNDAuQXRsYXNDb21tb24uVHlwZS5GaWVsZE91dHB1dEZpZWxkDgAAAAmMAgAADQMHK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9//+q/v//AXL9//+p/v//CQAAAAktAAAAAXD9//+q/v//AW/9//+p/v//CwAAAAaSAgAAATgBbf3//6r+//8BbP3//6n+//8EAAAABpUCAAAHR2VuZXJhbAFq/f//qv7//wFp/f//qf7//wIAAAAGmAIAAAExAWf9//+q/v//AWb9//+p/v//AAAAAAabAgAABDkuODY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lf7//wkuAgAACW0BAAABYf3//5X+//8JMQIAAAltAQAAAV79//+V/v//CTQCAAAGpAIAAAUtNDE0MgFb/f//lf7//wk3AgAABqcCAAAHQ2FsaWJyaQFY/f//lf7//wk6AgAABqoCAAABMAFV/f//lf7//wk9AgAABq0CAAACMTEBUv3//5X+//8JQAIAAAawAgAAB1JlZ3VsYXIHKwEAAAABAAAABAAAAAQ3R2xvYmVTb2Z0d2FyZS5BdGxhczQwLkF0bGFzQ29tbW9uLlR5cGUuRmllbGRPdXRwdXRGaWVsZA4AAAAJsQIAAA0DBy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f//qv7//wFN/f//qf7//wkAAAAJLQAAAAFL/f//qv7//wFK/f//qf7//wsAAAAGtwIAAAE5AUj9//+q/v//AUf9//+p/v//BAAAAAa6AgAAB0dlbmVyYWwBRf3//6r+//8BRP3//6n+//8CAAAABr0CAAABMQFC/f//qv7//wFB/f//qf7//wAAAAAGwAIAAAUxMS41Nwc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9//+V/v//CS4CAAAJbQEAAAE8/f//lf7//wkxAgAACW0BAAABOf3//5X+//8JNAIAAAbJAgAABS00MTQyATb9//+V/v//CTcCAAAGzAIAAAdDYWxpYnJpATP9//+V/v//CToCAAAGzwIAAAEwATD9//+V/v//CT0CAAAG0gIAAAIxMQEt/f//lf7//wlAAgAABtUCAAAHUmVndWxhcgcwAQAAAAEAAAAEAAAABDdHbG9iZVNvZnR3YXJlLkF0bGFzNDAuQXRsYXNDb21tb24uVHlwZS5GaWVsZE91dHB1dEZpZWxkDgAAAAnWAgAADQMHM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9//+q/v//ASj9//+p/v//CQAAAAktAAAAASb9//+q/v//ASX9//+p/v//CwAAAAbcAgAAAjEwASP9//+q/v//ASL9//+p/v//BAAAAAbfAgAAB0dlbmVyYWwBIP3//6r+//8BH/3//6n+//8CAAAABuICAAABMQEd/f//qv7//wEc/f//qf7//wAAAAAG5QIAAAUxMC40Mwc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9//+V/v//CS4CAAAJbQEAAAEX/f//lf7//wkxAgAACW0BAAABFP3//5X+//8JNAIAAAbuAgAABS00MTQyARH9//+V/v//CTcCAAAG8QIAAAdDYWxpYnJpAQ79//+V/v//CToCAAAG9AIAAAEwAQv9//+V/v//CT0CAAAG9wIAAAIxMQEI/f//lf7//wlAAgAABvoCAAAHUmVndWxhcgc1AQAAAAEAAAAEAAAABDdHbG9iZVNvZnR3YXJlLkF0bGFzNDAuQXRsYXNDb21tb24uVHlwZS5GaWVsZE91dHB1dEZpZWxkDgAAAAn7AgAADQMHN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9//+q/v//AQP9//+p/v//CQAAAAktAAAAAQH9//+q/v//AQD9//+p/v//CwAAAAYBAwAAAjExAf78//+q/v//Af38//+p/v//BAAAAAYEAwAAB0dlbmVyYWwB+/z//6r+//8B+vz//6n+//8CAAAABgcDAAABMQH4/P//qv7//wH3/P//qf7//wAAAAAGCgMAAAUyMy44Ngc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8//+V/v//CS4CAAAJbQEAAAHy/P//lf7//wkxAgAACW0BAAAB7/z//5X+//8JNAIAAAYTAwAABS00MTQyAez8//+V/v//CTcCAAAGFgMAAAdDYWxpYnJpAen8//+V/v//CToCAAAGGQMAAAEwAeb8//+V/v//CT0CAAAGHAMAAAIxMQHj/P//lf7//wlAAgAABh8DAAAHUmVndWxhcgc6AQAAAAEAAAAEAAAABDdHbG9iZVNvZnR3YXJlLkF0bGFzNDAuQXRsYXNDb21tb24uVHlwZS5GaWVsZE91dHB1dEZpZWxkDgAAAAkgAwAADQMHP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/8//+q/v//Ad78//+p/v//CQAAAAktAAAAAdz8//+q/v//Adv8//+p/v//CwAAAAYmAwAAAjEyAdn8//+q/v//Adj8//+p/v//BAAAAAYpAwAAB0dlbmVyYWwB1vz//6r+//8B1fz//6n+//8CAAAABiwDAAABMQHT/P//qv7//wHS/P//qf7//wAAAAAGLwMAAAUyMy44Ngc+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8//+V/v//CS4CAAAJbQEAAAHN/P//lf7//wkxAgAACW0BAAAByvz//5X+//8JNAIAAAY4AwAABS00MTQyAcf8//+V/v//CTcCAAAGOwMAAAdDYWxpYnJpAcT8//+V/v//CToCAAAGPgMAAAEwAcH8//+V/v//CT0CAAAGQQMAAAIxMQG+/P//lf7//wlAAgAABkQDAAAHUmVndWxhcgc/AQAAAAEAAAAEAAAABDdHbG9iZVNvZnR3YXJlLkF0bGFzNDAuQXRsYXNDb21tb24uVHlwZS5GaWVsZE91dHB1dEZpZWxkDgAAAAlFAwAADQMHQ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r8//+q/v//Abn8//+p/v//CQAAAAktAAAAAbf8//+q/v//Abb8//+p/v//CwAAAAZLAwAAAjEzAbT8//+q/v//AbP8//+p/v//BAAAAAZOAwAAB0dlbmVyYWwBsfz//6r+//8BsPz//6n+//8CAAAABlEDAAABMQGu/P//qv7//wGt/P//qf7//wAAAAAGVAMAAAUxMC43M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8//+V/v//CS4CAAAJbQEAAAGo/P//lf7//wkxAgAACW0BAAABpfz//5X+//8JNAIAAAZdAwAABS00MTQyAaL8//+V/v//CTcCAAAGYAMAAAdDYWxpYnJpAZ/8//+V/v//CToCAAAGYwMAAAEwAZz8//+V/v//CT0CAAAGZgMAAAIxMQGZ/P//lf7//wlAAgAABmkDAAAHUmVndWxhcgdEAQAAAAEAAAAEAAAABDdHbG9iZVNvZnR3YXJlLkF0bGFzNDAuQXRsYXNDb21tb24uVHlwZS5GaWVsZE91dHB1dEZpZWxkDgAAAAlqAw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8//+q/v//AZT8//+p/v//CQAAAAktAAAAAZL8//+q/v//AZH8//+p/v//CwAAAAZwAwAAAjE0AY/8//+q/v//AY78//+p/v//BAAAAAZzAwAAB0dlbmVyYWwBjPz//6r+//8Bi/z//6n+//8CAAAABnYDAAABMQGJ/P//qv7//wGI/P//qf7//wAAAAAGeQMAAAQ5Ljg2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z//5X+//8JLgIAAAltAQAAAYP8//+V/v//CTECAAAJbQEAAAGA/P//lf7//wk0AgAABoIDAAAFLTQxNDIBffz//5X+//8JNwIAAAaFAwAAB0NhbGlicmkBevz//5X+//8JOgIAAAaIAwAAATABd/z//5X+//8JPQIAAAaLAwAAAjExAXT8//+V/v//CUACAAAGjgMAAAdSZWd1bGFyBV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H8///R/////////wAGkAMAAAZTdHJpbmcGkQMAAAtJdGVtIG51bWJlcgmSAwAAAW38///P////AgAAAAVs/P//OUdsb2JlU29mdHdhcmUuQXRsYXM0MC5BdGxhc0NvbW1vbi5OdW1iZXJTZXF1ZW5jZUNvbmRpdGlvbgEAAAAHdmFsdWVfXwAIDgAAAAEAAAAAAAaVAwAAEVRhYmxlLkludmVudFRhYmxlCSoAAAAJLQAAAAr/////CZUDAAAKCSoAAAAKCgoJLQAAAAmbAwAACS0AAAABgAEAAFUBAAABY/z//9H/////////AAaeAwAABlN0cmluZwafAwAACUl0ZW0gbmFtZQmSAwAAAV/8///P////AgAAAAFe/P//bPz//wEAAAAAAAmVAwAACTgAAAAJLQAAAAr/////CZUDAAAKCTgAAAAKCgoJLQAAAAmpAwAACS0AAAABqAEAAFUBAAABVfz//9H/////////AAasAwAABlN0cmluZwatAwAACkl0ZW0gZ3JvdXAJkgMAAAFR/P//z////wIAAAABUPz//2z8//8BAAAAAAAJlQMAAAlGAAAACS0AAAAK/////wmVAwAACglGAAAACgoKCS0AAAAJtwMAAAktAAAAAdABAABVAQAAAUf8///R/////////wAGugMAAARFbnVtBrsDAAAJSXRlbSB0eXBlCZIDAAABQ/z//8////8CAAAAAUL8//9s/P//AQAAAAAACZUDAAAJVAAAAAktAAAACv////8JlQMAAAoJVAAAAAoKCgktAAAACcUDAAAJLQAAAAH4AQAAVQEAAAE5/P//0f////////8ABsgDAAAGU3RyaW5nBskDAAAEVW5pdAnKAwAAATX8///P////AgAAAAE0/P//bPz//wEAAAAAAAlSAQAACWIAAAAJLQAAAAr/////CVIBAAAKCWIAAAAG0gMAAAZJdGVtSWQG0wMAAAtJbnZlbnRUYWJsZQoJLQAAAAnVAwAACS0AAAABHQIAAFUBAAABKfz//9H/////////AAbYAwAABlN0cmluZwbZAwAABkJyYW5jaAnaAwAAASX8///P////AgAAAAEk/P//bPz//wEAAAAAAAbdAwAAEVRhYmxlLkludmVudFRhYmxlCXAAAAAJLQAAAAr/////Cd0DAAAKCXAAAAAKCgoJLQAAAAnjAwAACS0AAAABQgIAAFUBAAABG/z//9H/////////AAnYAwAABucDAAAKRGVwYXJ0bWVudAnaAwAAARf8///P////AgAAAAEW/P//bPz//wEAAAAAAAndAwAACX4AAAAJLQAAAAr/////Cd0DAAAKCX4AAAAKCgoJLQAAAAnxAwAACS0AAAABZwIAAFUBAAABDfz//9H/////////AAnYAwAABvUDAAALQ29zdCBDZW50ZXIJ2gMAAAEJ/P//z////wIAAAABCPz//2z8//8BAAAAAAAJ3QMAAAmMAAAACS0AAAAK/////wndAwAACgmMAAAACgoKCS0AAAAJ/wMAAAktAAAAAYwCAABVAQAAAf/7///R/////////wAJ2AMAAAYDBAAAB1B1cnBvc2UJ2gMAAAH7+///z////wIAAAAB+vv//2z8//8BAAAAAAAJ3QMAAAmaAAAACS0AAAAK/////wndAwAACgmaAAAACgoKCS0AAAAJDQQAAAktAAAAAbECAABVAQAAAfH7///R/////////wAJ2AMAAAYRBAAACVRheCBHcm91cAnaAwAAAe37///P////AgAAAAHs+///bPz//wEAAAAAAAndAwAACagAAAAJLQAAAAr/////Cd0DAAAKCagAAAAKCgoJLQAAAAkbBAAACS0AAAAB1gIAAFUBAAAB4/v//9H/////////AAnYAwAABh8EAAAHU2VnbWVudAnaAwAAAd/7///P////AgAAAAHe+///bPz//wEAAAAAAAndAwAACbYAAAAJLQAAAAr/////Cd0DAAAKCbYAAAAKCgoJLQAAAAkpBAAACS0AAAAB+wIAAFUBAAAB1fv//9H/////////AAnYAwAABi0EAAAVTWFqb3IgTWFya2V0aW5nIEdyb3VwCdoDAAAB0fv//8////8CAAAAAdD7//9s/P//AQAAAAAACd0DAAAJxAAAAAktAAAACv////8J3QMAAAoJxAAAAAoKCgktAAAACTcEAAAJLQAAAAEgAwAAVQEAAAHH+///0f////////8ACdgDAAAGOwQAABZEZXRhaWwgTWFya2V0aW5nIEdyb3VwCdoDAAABw/v//8////8CAAAAAcL7//9s/P//AQAAAAAACd0DAAAJ0gAAAAktAAAACv////8J3QMAAAoJ0gAAAAoKCgktAAAACUUEAAAJLQAAAAFFAwAAVQEAAAG5+///0f////////8ACdgDAAAGSQQAAAlTdGF0dXRvcnkJ2gMAAAG1+///z////wIAAAABtPv//2z8//8BAAAAAAAJ3QMAAAngAAAACS0AAAAK/////wndAwAACgngAAAACgoKCS0AAAAJUwQAAAktAAAAAWoDAABVAQAAAav7///R/////////wAJ2AMAAAZXBAAAB0NoYW5uZWwJ2gMAAAGn+///z////wIAAAABpvv//2z8//8BAAAAAAAJ3QMAAAnuAAAACS0AAAAK/////wndAwAACgnuAAAACgoKCS0AAAAJYQQAAAktAAAABZI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YwQAAAtJbnZlbnRUYWJsZQZkBAAABUl0ZW1zCS0AAAAJLQAAAAktAAAABZr7//8wR2xvYmVTb2Z0d2FyZS5BdGxhczQwLkF0bGFzQ29tbW9uLkRhdGFTb3VyY2VUeXBlAQAAAAd2YWx1ZV9fAAgOAAAAAAAAAAlnBAAACWgEAAAEl/v//wtTeXN0ZW0uR3VpZAsAAAACX2ECX2ICX2MCX2QCX2UCX2YCX2cCX2gCX2kCX2oCX2sAAAAAAAAAAAAAAAgHBwICAgICAgIC4kGfOgXEU0iC0ewZNyouAwktAAAACS0AAAAJawQAAAmVAwAACgoKCgoBAAAABZP7//80R2xvYmVTb2Z0d2FyZS5BdGxhczQwLkF0bGFzQ29tbW9uLkRhdGFTb3VyY2VKb2luTW9kZQEAAAAHdmFsdWVfXwAIDgAAAAAAAAAFkvv//zVHbG9iZVNvZnR3YXJlLkF0bGFzNDAuQXRsYXNDb21tb24uRGF0YVNvdXJjZUZldGNoTW9kZQEAAAAHdmFsdWVfXwAIDgAAAAAAAAAACW8EAAABmwMAACkAAABBAAAACQEBAAADAAAACXEEAAABqQMAACkAAABBAAAACQEBAAADAAAACXMEAAABtwMAACkAAABBAAAACQEBAAADAAAACXUEAAABxQMAACkAAABBAAAACQEBAAADAAAACXcEAAABygMAAJIDAAD/////BngEAAARSW52ZW50VGFibGVNb2R1bGUGeQQAABtJbnZlbnRvcnkgbW9kdWxlIHBhcmFtZXRlcnMJLQAAAAktAAAACS0AAAABhfv//5r7//8AAAAACXwEAAAJfQQAAAGC+///l/v//2wVa4zKQdlBvioWqRmwJ7UJLQAAAAktAAAACYAEAAAJUgEAAAaCBAAAC0ludmVudFRhYmxlBoMEAAARVGFibGUuSW52ZW50VGFibGUGhAQAABhUYWJsZS5JbnZlbnRUYWJsZS5JdGVtSWQGhQQAAAZJdGVtSWQGhgQAAAZJdGVtSWQBAAAAAXn7//+T+///AAAAAAF4+///kvv//wAAAAAACYkEAAAB1QMAACkAAAA+AAAACQEBAAADAAAACYsEAAAB2gMAAJIDAAD/////BowEAAALSW52ZW50VGFibGUGjQQAAAVJdGVtcwktAAAACS0AAAAJLQAAAAFx+///mvv//wAAAAAJkAQAAAmRBAAAAW77//+X+///scQuooJFuEe2SNJ9pzXZ+AktAAAACS0AAAAJlAQAAAndAwAACgoKCgoBAAAAAWr7//+T+///AAAAAAFp+///kvv//wAAAAAACZgEAAAB4wMAACkAAAAGAAAACRoBAAADAAAACZoEAAAB8QMAACkAAAAGAAAACRoBAAADAAAACZwEAAAB/wMAACkAAAAGAAAACRoBAAADAAAACZ4EAAABDQQAACkAAAAGAAAACRoBAAADAAAACaAEAAABGwQAACkAAAAGAAAACRoBAAADAAAACaIEAAABKQQAACkAAAAGAAAACRoBAAADAAAACaQEAAABNwQAACkAAAAGAAAACRoBAAADAAAACaYEAAABRQQAACkAAAAGAAAACRoBAAADAAAACagEAAABUwQAACkAAAAGAAAACRoBAAADAAAACaoEAAABYQQAACkAAAAGAAAACRoBAAADAAAACawEAAAEZw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rQQAAAcAAAAJrgQAAARo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0EAAAAAAAABGs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0EAAADAAAACbAEAAAEbwQ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sQQAAAAAAAAHc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lf7//wazBAAACEhlbHBUZXh0BrQEAAAOSWRlbnRpZnkgaXRlbS4BS/v//5X+//8GtgQAAAVMYWJlbAmRAwAAAUj7//+V/v//BrkEAAAEVHlwZQmQAwAAB3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5X+//8JswQAAAa9BAAAGERlc2NyaXB0aW9uIG9mIHRoZSBpdGVtLgFC+///lf7//wm2BAAACZ8DAAABP/v//5X+//8JuQQAAAmeAwAAB3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5X+//8JswQAAAbGBAAAKEl0ZW0gZ3JvdXAgdGhhdCB0aGUgaXRlbSBpcyBhdHRhY2hlZCB0by4BOfv//5X+//8JtgQAAAmtAwAAATb7//+V/v//CbkEAAAJrAMAAAd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P7//+V/v//CbMEAAAGzwQAAC5UeXBlIGRldGVybWluaW5nIGhvdyB0aGUgaXRlbSBpcyBhZG1pbmlzdGVyZWQuATD7//+V/v//CbYEAAAJuwMAAAEt+///lf7//wm5BAAACboDAAABfAQAAGcEAAABAAAACQEBAAADAAAACdcEAAAEfQ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aAQAAAwAAAAnZBAAABI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AQAAAAAAAAGJBAAAbwQAAAAAAAAJ2wQAAAAAAAAHi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///lf7//wm2BAAACckDAAABIfv//5X+//8JuQQAAAnIAwAAAZAEAABnBAAADgAAAAniBAAAEQAAAAnjBAAABJE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5AQAAAMAAAAJ5QQAAAGUBAAAawQAAAEAAAAJ4gQAAAMAAAAJ5wQAAAGYBAAAbwQAAAAAAAAJ6AQAAAAAAAAHm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+///lf7//wbqBAAABUxhYmVsCdkDAAABFPv//5X+//8G7QQAAARUeXBlCdgDAAAHn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///lf7//wnqBAAACecDAAABDvv//5X+//8J7QQAAAnYAwAAB54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5X+//8J6gQAAAn1AwAAAQj7//+V/v//Ce0EAAAJ2AMAAAeg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7//+V/v//CeoEAAAJAwQAAAEC+///lf7//wntBAAACdgDAAAHo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v//lf7//wnqBAAACREEAAAB/Pr//5X+//8J7QQAAAnYAwAAB6Q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r//5X+//8J6gQAAAkfBAAAAfb6//+V/v//Ce0EAAAJ2AMAAAe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P6//+V/v//CeoEAAAJLQQAAAHw+v//lf7//wntBAAACdgDAAAHq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v//lf7//wnqBAAACTsEAAAB6vr//5X+//8J7QQAAAnYAwAAB6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r//5X+//8J6gQAAAlJBAAAAeT6//+V/v//Ce0EAAAJ2AMAAAes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6//+V/v//CeoEAAAJVwQAAAHe+v//lf7//wntBAAACdgDAAABrQQAAAwAAAAHrg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2/r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JgUAABhUYWJsZS5JbnZlbnRUYWJsZS5JdGVtSWQJVQEAAAHY+v//2/r//wYpBQAAGlRhYmxlLkludmVudFRhYmxlLkl0ZW1OYW1lCYABAAAB1fr//9v6//8GLAUAAB1UYWJsZS5JbnZlbnRUYWJsZS5JdGVtR3JvdXBJZAmoAQAAAdL6///b+v//Bi8FAAAaVGFibGUuSW52ZW50VGFibGUuSXRlbVR5cGUJ0AEAAAew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P+v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lSAQAACcoDAAAEsQ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9c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z6///b+v//BjUFAAA3VGFibGUuSW52ZW50VGFibGUuSXRlbUlkflRhYmxlLkludmVudFRhYmxlTW9kdWxlLlVuaXRJZAn4AQAAB9k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J+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jgFAAA7VGFibGUuSW52ZW50VGFibGUuSXRlbUlkflRhYmxlLkludmVudFRhYmxlTW9kdWxlLk1vZHVsZVR5cGUJOQUAAAHbBAAAsQQAAAHiBAAADAAAAAfjBAAAAAEAAAAO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G+v//2/r//wY7BQAAGFRhYmxlLkludmVudFRhYmxlLkl0ZW1JZAlVAQAAAcP6///b+v//Bj4FAAAaVGFibGUuSW52ZW50VGFibGUuSXRlbU5hbWUJgAEAAAHA+v//2/r//wZBBQAAHVRhYmxlLkludmVudFRhYmxlLkl0ZW1Hcm91cElkCagBAAABvfr//9v6//8GRAUAABpUYWJsZS5JbnZlbnRUYWJsZS5JdGVtVHlwZQnQAQAAAbr6///b+v//BkcFAAAeVGFibGUuSW52ZW50VGFibGUuRGltZW5zaW9uWzFdCR0CAAABt/r//9v6//8GSgUAAB9UYWJsZS5JbnZlbnRUYWJsZS5EaW1lbnNpb25bMTBdCWoDAAABtPr//9v6//8GTQUAAB5UYWJsZS5JbnZlbnRUYWJsZS5EaW1lbnNpb25bM10JZwIAAAGx+v//2/r//wZQBQAAHlRhYmxlLkludmVudFRhYmxlLkRpbWVuc2lvblsyXQlCAgAAAa76///b+v//BlMFAAAeVGFibGUuSW52ZW50VGFibGUuRGltZW5zaW9uWzhdCSADAAABq/r//9v6//8GVgUAAB5UYWJsZS5JbnZlbnRUYWJsZS5EaW1lbnNpb25bN10J+wIAAAGo+v//2/r//wZZBQAAHlRhYmxlLkludmVudFRhYmxlLkRpbWVuc2lvbls0XQmMAgAAAaX6///b+v//BlwFAAAeVGFibGUuSW52ZW50VGFibGUuRGltZW5zaW9uWzZdCdYCAAABovr//9v6//8GXwUAAB5UYWJsZS5JbnZlbnRUYWJsZS5EaW1lbnNpb25bOV0JRQMAAAGf+v//2/r//wZiBQAAHlRhYmxlLkludmVudFRhYmxlLkRpbWVuc2lvbls1XQmxAgAAAeQEAAAMAAAAB+UE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c+v//yfr//wZlBQAAGFRhYmxlLkludmVudFRhYmxlLkl0ZW1JZAlmBQAAAZn6///J+v//BmgFAAAaVGFibGUuSW52ZW50VGFibGUuSXRlbVR5cGUJaQUAAAfn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W+v//z/r//wlSAQAACcoDAAAB6AQAALEEAAAFOQU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VIBAAAJUwEAAAktAAAACVQBAAD/////CVIBAAAKCVMBAAAGcwUAAAZJdGVtSWQKCgktAAAACXUFAAAJLQAAAAFmBQAAOQUAAAZ3BQAAEVRhYmxlLkludmVudFRhYmxlCU0BAAAJLQAAAAlOAQAA/////wl3BQAACglNAQAACgoKCS0AAAAJfgUAAAktAAAAAWkFAAA5BQAACXcFAAAJUAEAAAktAAAACVEBAAD/////CXcFAAAKCVABAAAKCgoJLQAAAAmHBQAACS0AAAABdQUAACkAAAAgAAAACeQEAAADAAAACYoFAAABfgUAACkAAAAiAAAACeQEAAADAAAACYwFAAABhwUAACkAAAAiAAAACeQEAAADAAAACY4FAAAHi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lf7//waQBQAABFR5cGUGkQUAAARFbnVtAW76//+V/v//BpMFAAAFTGFiZWwGlAUAAAtNb2R1bGUgdHlwZQe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6//+V/v//CZAFAAAJkAMAAAFo+v//lf7//wmTBQAACZEDAAABZfr//5X+//8GnAUAAAhSZWZlcnNUbwadBQAACz1JdGVtTnVtYmVyB44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r//5X+//8JkAUAAAm6AwAAAV/6//+V/v//CZMFAAAJuwMAAAFc+v//lf7//wmcBQAABqYFAAAJPUl0ZW1UeXBlCw==</Report>
</Atlas>
</file>

<file path=customXml/itemProps1.xml><?xml version="1.0" encoding="utf-8"?>
<ds:datastoreItem xmlns:ds="http://schemas.openxmlformats.org/officeDocument/2006/customXml" ds:itemID="{3C87811B-2ECE-4BA8-8742-22EB7BA3AD84}">
  <ds:schemaRefs/>
</ds:datastoreItem>
</file>

<file path=customXml/itemProps2.xml><?xml version="1.0" encoding="utf-8"?>
<ds:datastoreItem xmlns:ds="http://schemas.openxmlformats.org/officeDocument/2006/customXml" ds:itemID="{6BFB8B77-9626-4856-8F20-5A177BF92E14}">
  <ds:schemaRefs/>
</ds:datastoreItem>
</file>

<file path=customXml/itemProps3.xml><?xml version="1.0" encoding="utf-8"?>
<ds:datastoreItem xmlns:ds="http://schemas.openxmlformats.org/officeDocument/2006/customXml" ds:itemID="{7DAFE024-4DD2-4419-80E7-6A03AC6C873D}">
  <ds:schemaRefs/>
</ds:datastoreItem>
</file>

<file path=customXml/itemProps4.xml><?xml version="1.0" encoding="utf-8"?>
<ds:datastoreItem xmlns:ds="http://schemas.openxmlformats.org/officeDocument/2006/customXml" ds:itemID="{8F74612C-6DD7-4145-8AB0-6F05BC853850}">
  <ds:schemaRefs/>
</ds:datastoreItem>
</file>

<file path=customXml/itemProps5.xml><?xml version="1.0" encoding="utf-8"?>
<ds:datastoreItem xmlns:ds="http://schemas.openxmlformats.org/officeDocument/2006/customXml" ds:itemID="{99A3BD61-75BE-45F2-9658-7607F5FC25C0}">
  <ds:schemaRefs/>
</ds:datastoreItem>
</file>

<file path=customXml/itemProps6.xml><?xml version="1.0" encoding="utf-8"?>
<ds:datastoreItem xmlns:ds="http://schemas.openxmlformats.org/officeDocument/2006/customXml" ds:itemID="{329ECB6F-DD23-4E8B-B9DF-DD168CB3740B}">
  <ds:schemaRefs/>
</ds:datastoreItem>
</file>

<file path=customXml/itemProps7.xml><?xml version="1.0" encoding="utf-8"?>
<ds:datastoreItem xmlns:ds="http://schemas.openxmlformats.org/officeDocument/2006/customXml" ds:itemID="{41C9A912-05AE-4776-9634-E19147E8FEF6}">
  <ds:schemaRefs/>
</ds:datastoreItem>
</file>

<file path=customXml/itemProps8.xml><?xml version="1.0" encoding="utf-8"?>
<ds:datastoreItem xmlns:ds="http://schemas.openxmlformats.org/officeDocument/2006/customXml" ds:itemID="{755DEF8E-D777-4493-90BD-FBA7DC1AAB04}">
  <ds:schemaRefs/>
</ds:datastoreItem>
</file>

<file path=customXml/itemProps9.xml><?xml version="1.0" encoding="utf-8"?>
<ds:datastoreItem xmlns:ds="http://schemas.openxmlformats.org/officeDocument/2006/customXml" ds:itemID="{27963679-7EF1-418E-A5DC-C8137FEF34C8}">
  <ds:schemaRefs/>
</ds:datastoreItem>
</file>

<file path=customXml/itemProps10.xml><?xml version="1.0" encoding="utf-8"?>
<ds:datastoreItem xmlns:ds="http://schemas.openxmlformats.org/officeDocument/2006/customXml" ds:itemID="{E5A63FB7-A8BB-4923-9BC3-888E74C949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2018-02-06T13:20:23Z</dcterms:modified>
</cp:coreProperties>
</file>