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impson\Companies\S&amp;P\TPP Project\"/>
    </mc:Choice>
  </mc:AlternateContent>
  <bookViews>
    <workbookView xWindow="240" yWindow="75" windowWidth="21075" windowHeight="10005"/>
  </bookViews>
  <sheets>
    <sheet name="General" sheetId="1" r:id="rId1"/>
    <sheet name="On-hand statement" sheetId="6" r:id="rId2"/>
    <sheet name="Adjustment suggestion" sheetId="9" r:id="rId3"/>
    <sheet name="InventTrans" sheetId="2" r:id="rId4"/>
    <sheet name="TPPTrans" sheetId="3" r:id="rId5"/>
    <sheet name="InventSum" sheetId="4" r:id="rId6"/>
    <sheet name="TPPSum" sheetId="5" r:id="rId7"/>
    <sheet name="InventTable" sheetId="8" r:id="rId8"/>
    <sheet name="Parameter" sheetId="7" r:id="rId9"/>
  </sheets>
  <functionGroups builtInGroupCount="18"/>
  <definedNames>
    <definedName name="_xlnm._FilterDatabase" localSheetId="2" hidden="1">'Adjustment suggestion'!#REF!</definedName>
    <definedName name="AtlasReport_1" localSheetId="3">InventTrans!$A$1:$N$1091</definedName>
    <definedName name="AtlasReport_2" localSheetId="4">TPPTrans!$A$1:$Q$6</definedName>
    <definedName name="AtlasReport_3" localSheetId="5">InventSum!$A$1:$H$171</definedName>
    <definedName name="AtlasReport_4" localSheetId="6">TPPSum!$A$1:$M$81</definedName>
    <definedName name="AtlasReport_5" localSheetId="7">InventTable!$A$1:$E$160</definedName>
    <definedName name="DataAreaId">General!$C$1</definedName>
    <definedName name="DateFormat">General!$H$1</definedName>
    <definedName name="DatePeriod">General!$C$4</definedName>
    <definedName name="FromDate">General!$C$2</definedName>
    <definedName name="PeriodBeginning">General!$G$4</definedName>
    <definedName name="PeriodEnding">General!$G$5</definedName>
    <definedName name="ToDate">General!$C$3</definedName>
  </definedNames>
  <calcPr calcId="162913"/>
</workbook>
</file>

<file path=xl/calcChain.xml><?xml version="1.0" encoding="utf-8"?>
<calcChain xmlns="http://schemas.openxmlformats.org/spreadsheetml/2006/main">
  <c r="D170" i="4" l="1"/>
  <c r="E80" i="5"/>
  <c r="D80" i="5"/>
  <c r="M5" i="3"/>
  <c r="K5" i="3"/>
  <c r="J5" i="3"/>
  <c r="H5" i="3"/>
  <c r="Q5" i="3"/>
  <c r="I1090" i="2"/>
  <c r="G5" i="1" l="1"/>
  <c r="G4" i="1"/>
  <c r="I63" i="5" l="1"/>
  <c r="I26" i="5"/>
  <c r="I45" i="5"/>
  <c r="L18" i="5"/>
  <c r="M18" i="5" s="1"/>
  <c r="L68" i="5"/>
  <c r="M68" i="5" s="1"/>
  <c r="G19" i="4"/>
  <c r="H76" i="4"/>
  <c r="H79" i="5"/>
  <c r="H15" i="5"/>
  <c r="I28" i="5"/>
  <c r="H42" i="5"/>
  <c r="I55" i="5"/>
  <c r="H69" i="5"/>
  <c r="H5" i="5"/>
  <c r="I18" i="5"/>
  <c r="H32" i="5"/>
  <c r="I33" i="5"/>
  <c r="L27" i="5"/>
  <c r="M27" i="5" s="1"/>
  <c r="L6" i="5"/>
  <c r="M6" i="5" s="1"/>
  <c r="L77" i="5"/>
  <c r="M77" i="5" s="1"/>
  <c r="L52" i="5"/>
  <c r="M52" i="5" s="1"/>
  <c r="G140" i="4"/>
  <c r="G128" i="4"/>
  <c r="H154" i="4"/>
  <c r="G58" i="4"/>
  <c r="G133" i="4"/>
  <c r="H44" i="4"/>
  <c r="I36" i="5"/>
  <c r="H13" i="5"/>
  <c r="L35" i="5"/>
  <c r="M35" i="5" s="1"/>
  <c r="G165" i="4"/>
  <c r="H55" i="5"/>
  <c r="I68" i="5"/>
  <c r="I4" i="5"/>
  <c r="H18" i="5"/>
  <c r="I31" i="5"/>
  <c r="H45" i="5"/>
  <c r="I58" i="5"/>
  <c r="H72" i="5"/>
  <c r="H8" i="5"/>
  <c r="L78" i="5"/>
  <c r="M78" i="5" s="1"/>
  <c r="L58" i="5"/>
  <c r="M58" i="5" s="1"/>
  <c r="L45" i="5"/>
  <c r="M45" i="5" s="1"/>
  <c r="L4" i="5"/>
  <c r="M4" i="5" s="1"/>
  <c r="H63" i="4"/>
  <c r="G147" i="4"/>
  <c r="H58" i="4"/>
  <c r="H129" i="4"/>
  <c r="G37" i="4"/>
  <c r="H23" i="5"/>
  <c r="H50" i="5"/>
  <c r="H77" i="5"/>
  <c r="H40" i="5"/>
  <c r="G92" i="4"/>
  <c r="G90" i="4"/>
  <c r="H47" i="5"/>
  <c r="I60" i="5"/>
  <c r="H74" i="5"/>
  <c r="H10" i="5"/>
  <c r="I23" i="5"/>
  <c r="H37" i="5"/>
  <c r="I50" i="5"/>
  <c r="H64" i="5"/>
  <c r="I77" i="5"/>
  <c r="L67" i="5"/>
  <c r="M67" i="5" s="1"/>
  <c r="L50" i="5"/>
  <c r="M50" i="5" s="1"/>
  <c r="L33" i="5"/>
  <c r="M33" i="5" s="1"/>
  <c r="H115" i="4"/>
  <c r="G115" i="4"/>
  <c r="H26" i="4"/>
  <c r="H97" i="4"/>
  <c r="G5" i="4"/>
  <c r="H71" i="5"/>
  <c r="H39" i="5"/>
  <c r="H7" i="5"/>
  <c r="I52" i="5"/>
  <c r="I20" i="5"/>
  <c r="H66" i="5"/>
  <c r="H34" i="5"/>
  <c r="I79" i="5"/>
  <c r="I47" i="5"/>
  <c r="I15" i="5"/>
  <c r="H61" i="5"/>
  <c r="H29" i="5"/>
  <c r="I74" i="5"/>
  <c r="I42" i="5"/>
  <c r="I10" i="5"/>
  <c r="H56" i="5"/>
  <c r="H24" i="5"/>
  <c r="I65" i="5"/>
  <c r="I21" i="5"/>
  <c r="L59" i="5"/>
  <c r="M59" i="5" s="1"/>
  <c r="L15" i="5"/>
  <c r="M15" i="5" s="1"/>
  <c r="L38" i="5"/>
  <c r="M38" i="5" s="1"/>
  <c r="L65" i="5"/>
  <c r="M65" i="5" s="1"/>
  <c r="L21" i="5"/>
  <c r="M21" i="5" s="1"/>
  <c r="L36" i="5"/>
  <c r="M36" i="5" s="1"/>
  <c r="G152" i="4"/>
  <c r="G68" i="4"/>
  <c r="H167" i="4"/>
  <c r="G83" i="4"/>
  <c r="H122" i="4"/>
  <c r="G154" i="4"/>
  <c r="G26" i="4"/>
  <c r="H65" i="4"/>
  <c r="G101" i="4"/>
  <c r="H140" i="4"/>
  <c r="H12" i="4"/>
  <c r="H63" i="5"/>
  <c r="H31" i="5"/>
  <c r="I76" i="5"/>
  <c r="I44" i="5"/>
  <c r="I12" i="5"/>
  <c r="H58" i="5"/>
  <c r="H26" i="5"/>
  <c r="I71" i="5"/>
  <c r="I39" i="5"/>
  <c r="I7" i="5"/>
  <c r="H53" i="5"/>
  <c r="H21" i="5"/>
  <c r="I66" i="5"/>
  <c r="I34" i="5"/>
  <c r="L79" i="5"/>
  <c r="M79" i="5" s="1"/>
  <c r="H48" i="5"/>
  <c r="H16" i="5"/>
  <c r="I53" i="5"/>
  <c r="I13" i="5"/>
  <c r="L47" i="5"/>
  <c r="M47" i="5" s="1"/>
  <c r="L3" i="5"/>
  <c r="M3" i="5" s="1"/>
  <c r="L70" i="5"/>
  <c r="M70" i="5" s="1"/>
  <c r="L26" i="5"/>
  <c r="M26" i="5" s="1"/>
  <c r="L53" i="5"/>
  <c r="M53" i="5" s="1"/>
  <c r="L13" i="5"/>
  <c r="M13" i="5" s="1"/>
  <c r="L76" i="5"/>
  <c r="M76" i="5" s="1"/>
  <c r="L20" i="5"/>
  <c r="M20" i="5" s="1"/>
  <c r="G24" i="4"/>
  <c r="H107" i="4"/>
  <c r="H39" i="4"/>
  <c r="G51" i="4"/>
  <c r="H90" i="4"/>
  <c r="G122" i="4"/>
  <c r="H161" i="4"/>
  <c r="H33" i="4"/>
  <c r="G69" i="4"/>
  <c r="H108" i="4"/>
  <c r="H67" i="5"/>
  <c r="H51" i="5"/>
  <c r="H35" i="5"/>
  <c r="H19" i="5"/>
  <c r="H3" i="5"/>
  <c r="I64" i="5"/>
  <c r="I48" i="5"/>
  <c r="I32" i="5"/>
  <c r="I16" i="5"/>
  <c r="H78" i="5"/>
  <c r="H62" i="5"/>
  <c r="H46" i="5"/>
  <c r="H30" i="5"/>
  <c r="H14" i="5"/>
  <c r="I75" i="5"/>
  <c r="I59" i="5"/>
  <c r="I43" i="5"/>
  <c r="I27" i="5"/>
  <c r="I11" i="5"/>
  <c r="H73" i="5"/>
  <c r="H57" i="5"/>
  <c r="H41" i="5"/>
  <c r="H25" i="5"/>
  <c r="H9" i="5"/>
  <c r="I70" i="5"/>
  <c r="I54" i="5"/>
  <c r="I38" i="5"/>
  <c r="I22" i="5"/>
  <c r="I6" i="5"/>
  <c r="H68" i="5"/>
  <c r="H52" i="5"/>
  <c r="H36" i="5"/>
  <c r="H20" i="5"/>
  <c r="H4" i="5"/>
  <c r="I61" i="5"/>
  <c r="I37" i="5"/>
  <c r="I17" i="5"/>
  <c r="L75" i="5"/>
  <c r="M75" i="5" s="1"/>
  <c r="L51" i="5"/>
  <c r="M51" i="5" s="1"/>
  <c r="L31" i="5"/>
  <c r="M31" i="5" s="1"/>
  <c r="L11" i="5"/>
  <c r="M11" i="5" s="1"/>
  <c r="L74" i="5"/>
  <c r="M74" i="5" s="1"/>
  <c r="L54" i="5"/>
  <c r="M54" i="5" s="1"/>
  <c r="L34" i="5"/>
  <c r="M34" i="5" s="1"/>
  <c r="L10" i="5"/>
  <c r="M10" i="5" s="1"/>
  <c r="L61" i="5"/>
  <c r="M61" i="5" s="1"/>
  <c r="L37" i="5"/>
  <c r="M37" i="5" s="1"/>
  <c r="L17" i="5"/>
  <c r="M17" i="5" s="1"/>
  <c r="L56" i="5"/>
  <c r="M56" i="5" s="1"/>
  <c r="L24" i="5"/>
  <c r="M24" i="5" s="1"/>
  <c r="G88" i="4"/>
  <c r="G156" i="4"/>
  <c r="G4" i="4"/>
  <c r="H99" i="4"/>
  <c r="H103" i="4"/>
  <c r="G131" i="4"/>
  <c r="G67" i="4"/>
  <c r="E170" i="4"/>
  <c r="G3" i="4"/>
  <c r="H106" i="4"/>
  <c r="H42" i="4"/>
  <c r="G138" i="4"/>
  <c r="G74" i="4"/>
  <c r="G10" i="4"/>
  <c r="H113" i="4"/>
  <c r="H49" i="4"/>
  <c r="G149" i="4"/>
  <c r="G85" i="4"/>
  <c r="G21" i="4"/>
  <c r="H124" i="4"/>
  <c r="H60" i="4"/>
  <c r="H6" i="4"/>
  <c r="H75" i="5"/>
  <c r="H59" i="5"/>
  <c r="H43" i="5"/>
  <c r="H27" i="5"/>
  <c r="H11" i="5"/>
  <c r="I72" i="5"/>
  <c r="I56" i="5"/>
  <c r="I40" i="5"/>
  <c r="I24" i="5"/>
  <c r="I8" i="5"/>
  <c r="H70" i="5"/>
  <c r="H54" i="5"/>
  <c r="H38" i="5"/>
  <c r="H22" i="5"/>
  <c r="H6" i="5"/>
  <c r="I67" i="5"/>
  <c r="I51" i="5"/>
  <c r="I35" i="5"/>
  <c r="I19" i="5"/>
  <c r="I3" i="5"/>
  <c r="H65" i="5"/>
  <c r="H49" i="5"/>
  <c r="H33" i="5"/>
  <c r="H17" i="5"/>
  <c r="I78" i="5"/>
  <c r="I62" i="5"/>
  <c r="I46" i="5"/>
  <c r="I30" i="5"/>
  <c r="I14" i="5"/>
  <c r="H76" i="5"/>
  <c r="H60" i="5"/>
  <c r="H44" i="5"/>
  <c r="H28" i="5"/>
  <c r="H12" i="5"/>
  <c r="I69" i="5"/>
  <c r="I49" i="5"/>
  <c r="I29" i="5"/>
  <c r="I5" i="5"/>
  <c r="L63" i="5"/>
  <c r="M63" i="5" s="1"/>
  <c r="L43" i="5"/>
  <c r="M43" i="5" s="1"/>
  <c r="L19" i="5"/>
  <c r="M19" i="5" s="1"/>
  <c r="L66" i="5"/>
  <c r="M66" i="5" s="1"/>
  <c r="L42" i="5"/>
  <c r="M42" i="5" s="1"/>
  <c r="L22" i="5"/>
  <c r="M22" i="5" s="1"/>
  <c r="L69" i="5"/>
  <c r="M69" i="5" s="1"/>
  <c r="L49" i="5"/>
  <c r="M49" i="5" s="1"/>
  <c r="L29" i="5"/>
  <c r="M29" i="5" s="1"/>
  <c r="L5" i="5"/>
  <c r="M5" i="5" s="1"/>
  <c r="L72" i="5"/>
  <c r="M72" i="5" s="1"/>
  <c r="L40" i="5"/>
  <c r="M40" i="5" s="1"/>
  <c r="L8" i="5"/>
  <c r="M8" i="5" s="1"/>
  <c r="H83" i="4"/>
  <c r="H127" i="4"/>
  <c r="G132" i="4"/>
  <c r="H43" i="4"/>
  <c r="G64" i="4"/>
  <c r="G163" i="4"/>
  <c r="G99" i="4"/>
  <c r="G35" i="4"/>
  <c r="H138" i="4"/>
  <c r="H74" i="4"/>
  <c r="H10" i="4"/>
  <c r="G106" i="4"/>
  <c r="G42" i="4"/>
  <c r="H145" i="4"/>
  <c r="H81" i="4"/>
  <c r="H17" i="4"/>
  <c r="G117" i="4"/>
  <c r="G53" i="4"/>
  <c r="H156" i="4"/>
  <c r="H92" i="4"/>
  <c r="H28" i="4"/>
  <c r="L60" i="5"/>
  <c r="M60" i="5" s="1"/>
  <c r="L44" i="5"/>
  <c r="M44" i="5" s="1"/>
  <c r="L28" i="5"/>
  <c r="M28" i="5" s="1"/>
  <c r="L12" i="5"/>
  <c r="M12" i="5" s="1"/>
  <c r="G44" i="4"/>
  <c r="H19" i="4"/>
  <c r="G120" i="4"/>
  <c r="G56" i="4"/>
  <c r="H159" i="4"/>
  <c r="H95" i="4"/>
  <c r="H31" i="4"/>
  <c r="G28" i="4"/>
  <c r="G164" i="4"/>
  <c r="G100" i="4"/>
  <c r="G36" i="4"/>
  <c r="H139" i="4"/>
  <c r="H75" i="4"/>
  <c r="H11" i="4"/>
  <c r="G12" i="4"/>
  <c r="G160" i="4"/>
  <c r="G96" i="4"/>
  <c r="G32" i="4"/>
  <c r="H135" i="4"/>
  <c r="H71" i="4"/>
  <c r="H4" i="4"/>
  <c r="G155" i="4"/>
  <c r="G139" i="4"/>
  <c r="G123" i="4"/>
  <c r="G107" i="4"/>
  <c r="G91" i="4"/>
  <c r="G75" i="4"/>
  <c r="G59" i="4"/>
  <c r="G43" i="4"/>
  <c r="G27" i="4"/>
  <c r="G11" i="4"/>
  <c r="H162" i="4"/>
  <c r="H146" i="4"/>
  <c r="H130" i="4"/>
  <c r="H114" i="4"/>
  <c r="H98" i="4"/>
  <c r="H82" i="4"/>
  <c r="H66" i="4"/>
  <c r="H50" i="4"/>
  <c r="H34" i="4"/>
  <c r="H18" i="4"/>
  <c r="G162" i="4"/>
  <c r="G146" i="4"/>
  <c r="G130" i="4"/>
  <c r="G114" i="4"/>
  <c r="G98" i="4"/>
  <c r="G82" i="4"/>
  <c r="G66" i="4"/>
  <c r="G50" i="4"/>
  <c r="G34" i="4"/>
  <c r="G18" i="4"/>
  <c r="H169" i="4"/>
  <c r="H153" i="4"/>
  <c r="H137" i="4"/>
  <c r="H121" i="4"/>
  <c r="H105" i="4"/>
  <c r="H89" i="4"/>
  <c r="H73" i="4"/>
  <c r="H57" i="4"/>
  <c r="H41" i="4"/>
  <c r="H25" i="4"/>
  <c r="H9" i="4"/>
  <c r="G157" i="4"/>
  <c r="G141" i="4"/>
  <c r="G125" i="4"/>
  <c r="G109" i="4"/>
  <c r="G93" i="4"/>
  <c r="G77" i="4"/>
  <c r="G61" i="4"/>
  <c r="G45" i="4"/>
  <c r="G29" i="4"/>
  <c r="G13" i="4"/>
  <c r="H164" i="4"/>
  <c r="H148" i="4"/>
  <c r="H132" i="4"/>
  <c r="H116" i="4"/>
  <c r="H100" i="4"/>
  <c r="H84" i="4"/>
  <c r="H68" i="4"/>
  <c r="H52" i="4"/>
  <c r="H36" i="4"/>
  <c r="H20" i="4"/>
  <c r="H7" i="4"/>
  <c r="H163" i="4"/>
  <c r="G168" i="4"/>
  <c r="G104" i="4"/>
  <c r="G40" i="4"/>
  <c r="H143" i="4"/>
  <c r="H79" i="4"/>
  <c r="H15" i="4"/>
  <c r="H147" i="4"/>
  <c r="G148" i="4"/>
  <c r="G84" i="4"/>
  <c r="G20" i="4"/>
  <c r="H123" i="4"/>
  <c r="H59" i="4"/>
  <c r="G124" i="4"/>
  <c r="H131" i="4"/>
  <c r="G144" i="4"/>
  <c r="G80" i="4"/>
  <c r="G16" i="4"/>
  <c r="H119" i="4"/>
  <c r="H55" i="4"/>
  <c r="G167" i="4"/>
  <c r="G151" i="4"/>
  <c r="G135" i="4"/>
  <c r="G119" i="4"/>
  <c r="G103" i="4"/>
  <c r="G87" i="4"/>
  <c r="G71" i="4"/>
  <c r="G55" i="4"/>
  <c r="G39" i="4"/>
  <c r="G23" i="4"/>
  <c r="G7" i="4"/>
  <c r="H158" i="4"/>
  <c r="H142" i="4"/>
  <c r="H126" i="4"/>
  <c r="H110" i="4"/>
  <c r="H94" i="4"/>
  <c r="H78" i="4"/>
  <c r="H62" i="4"/>
  <c r="H46" i="4"/>
  <c r="H30" i="4"/>
  <c r="H14" i="4"/>
  <c r="G158" i="4"/>
  <c r="G142" i="4"/>
  <c r="G126" i="4"/>
  <c r="G110" i="4"/>
  <c r="G94" i="4"/>
  <c r="G78" i="4"/>
  <c r="G62" i="4"/>
  <c r="G46" i="4"/>
  <c r="G30" i="4"/>
  <c r="G14" i="4"/>
  <c r="H165" i="4"/>
  <c r="H149" i="4"/>
  <c r="H133" i="4"/>
  <c r="H117" i="4"/>
  <c r="H101" i="4"/>
  <c r="H85" i="4"/>
  <c r="H69" i="4"/>
  <c r="H53" i="4"/>
  <c r="H37" i="4"/>
  <c r="H21" i="4"/>
  <c r="G169" i="4"/>
  <c r="G153" i="4"/>
  <c r="G137" i="4"/>
  <c r="G121" i="4"/>
  <c r="G105" i="4"/>
  <c r="G89" i="4"/>
  <c r="G73" i="4"/>
  <c r="G57" i="4"/>
  <c r="G41" i="4"/>
  <c r="G25" i="4"/>
  <c r="G9" i="4"/>
  <c r="H160" i="4"/>
  <c r="H144" i="4"/>
  <c r="H128" i="4"/>
  <c r="H112" i="4"/>
  <c r="H96" i="4"/>
  <c r="H80" i="4"/>
  <c r="H64" i="4"/>
  <c r="H48" i="4"/>
  <c r="H32" i="4"/>
  <c r="H16" i="4"/>
  <c r="H3" i="4"/>
  <c r="F170" i="4"/>
  <c r="I73" i="5"/>
  <c r="I57" i="5"/>
  <c r="I41" i="5"/>
  <c r="I25" i="5"/>
  <c r="I9" i="5"/>
  <c r="L71" i="5"/>
  <c r="M71" i="5" s="1"/>
  <c r="L55" i="5"/>
  <c r="M55" i="5" s="1"/>
  <c r="L39" i="5"/>
  <c r="M39" i="5" s="1"/>
  <c r="L23" i="5"/>
  <c r="M23" i="5" s="1"/>
  <c r="L7" i="5"/>
  <c r="M7" i="5" s="1"/>
  <c r="L62" i="5"/>
  <c r="M62" i="5" s="1"/>
  <c r="L46" i="5"/>
  <c r="M46" i="5" s="1"/>
  <c r="L30" i="5"/>
  <c r="M30" i="5" s="1"/>
  <c r="L14" i="5"/>
  <c r="M14" i="5" s="1"/>
  <c r="L73" i="5"/>
  <c r="M73" i="5" s="1"/>
  <c r="L57" i="5"/>
  <c r="M57" i="5" s="1"/>
  <c r="L41" i="5"/>
  <c r="M41" i="5" s="1"/>
  <c r="L25" i="5"/>
  <c r="M25" i="5" s="1"/>
  <c r="L9" i="5"/>
  <c r="M9" i="5" s="1"/>
  <c r="L64" i="5"/>
  <c r="M64" i="5" s="1"/>
  <c r="L48" i="5"/>
  <c r="M48" i="5" s="1"/>
  <c r="L32" i="5"/>
  <c r="M32" i="5" s="1"/>
  <c r="L16" i="5"/>
  <c r="M16" i="5" s="1"/>
  <c r="G76" i="4"/>
  <c r="H35" i="4"/>
  <c r="G136" i="4"/>
  <c r="G72" i="4"/>
  <c r="G8" i="4"/>
  <c r="H111" i="4"/>
  <c r="H47" i="4"/>
  <c r="G108" i="4"/>
  <c r="H51" i="4"/>
  <c r="G116" i="4"/>
  <c r="G52" i="4"/>
  <c r="H155" i="4"/>
  <c r="H91" i="4"/>
  <c r="H27" i="4"/>
  <c r="G60" i="4"/>
  <c r="H67" i="4"/>
  <c r="G112" i="4"/>
  <c r="G48" i="4"/>
  <c r="H151" i="4"/>
  <c r="H87" i="4"/>
  <c r="H23" i="4"/>
  <c r="G159" i="4"/>
  <c r="G143" i="4"/>
  <c r="G127" i="4"/>
  <c r="G111" i="4"/>
  <c r="G95" i="4"/>
  <c r="G79" i="4"/>
  <c r="G63" i="4"/>
  <c r="G47" i="4"/>
  <c r="G31" i="4"/>
  <c r="G15" i="4"/>
  <c r="H166" i="4"/>
  <c r="H150" i="4"/>
  <c r="H134" i="4"/>
  <c r="H118" i="4"/>
  <c r="H102" i="4"/>
  <c r="H86" i="4"/>
  <c r="H70" i="4"/>
  <c r="H54" i="4"/>
  <c r="H38" i="4"/>
  <c r="H22" i="4"/>
  <c r="G166" i="4"/>
  <c r="G150" i="4"/>
  <c r="G134" i="4"/>
  <c r="G118" i="4"/>
  <c r="G102" i="4"/>
  <c r="G86" i="4"/>
  <c r="G70" i="4"/>
  <c r="G54" i="4"/>
  <c r="G38" i="4"/>
  <c r="G22" i="4"/>
  <c r="G6" i="4"/>
  <c r="H157" i="4"/>
  <c r="H141" i="4"/>
  <c r="H125" i="4"/>
  <c r="H109" i="4"/>
  <c r="H93" i="4"/>
  <c r="H77" i="4"/>
  <c r="H61" i="4"/>
  <c r="H45" i="4"/>
  <c r="H29" i="4"/>
  <c r="H13" i="4"/>
  <c r="G161" i="4"/>
  <c r="G145" i="4"/>
  <c r="G129" i="4"/>
  <c r="G113" i="4"/>
  <c r="G97" i="4"/>
  <c r="G81" i="4"/>
  <c r="G65" i="4"/>
  <c r="G49" i="4"/>
  <c r="G33" i="4"/>
  <c r="G17" i="4"/>
  <c r="H168" i="4"/>
  <c r="H152" i="4"/>
  <c r="H136" i="4"/>
  <c r="H120" i="4"/>
  <c r="H104" i="4"/>
  <c r="H88" i="4"/>
  <c r="H72" i="4"/>
  <c r="H56" i="4"/>
  <c r="H40" i="4"/>
  <c r="H24" i="4"/>
  <c r="H8" i="4"/>
  <c r="H5" i="4"/>
  <c r="C4" i="1"/>
  <c r="G170" i="4" l="1"/>
  <c r="H170" i="4"/>
</calcChain>
</file>

<file path=xl/sharedStrings.xml><?xml version="1.0" encoding="utf-8"?>
<sst xmlns="http://schemas.openxmlformats.org/spreadsheetml/2006/main" count="26168" uniqueCount="1921">
  <si>
    <t>Company:</t>
  </si>
  <si>
    <t>From Date:</t>
  </si>
  <si>
    <t>To Date:</t>
  </si>
  <si>
    <t>Date format:</t>
  </si>
  <si>
    <t>MM.DD.YYYY</t>
  </si>
  <si>
    <t>Date Period:</t>
  </si>
  <si>
    <t>Item number</t>
  </si>
  <si>
    <t>Lot ID</t>
  </si>
  <si>
    <t>Reference</t>
  </si>
  <si>
    <t>Number</t>
  </si>
  <si>
    <t>Physical date</t>
  </si>
  <si>
    <t>Financial date</t>
  </si>
  <si>
    <t>Quantity</t>
  </si>
  <si>
    <t>Total</t>
  </si>
  <si>
    <t>Inventory transactions</t>
  </si>
  <si>
    <t>GLG0097120</t>
  </si>
  <si>
    <t>GLG0195120</t>
  </si>
  <si>
    <t>Purchase order</t>
  </si>
  <si>
    <t>CAG0195200</t>
  </si>
  <si>
    <t>TRSPEDI001</t>
  </si>
  <si>
    <t>CAG0097200</t>
  </si>
  <si>
    <t>Counting</t>
  </si>
  <si>
    <t>ASMIETG990</t>
  </si>
  <si>
    <t>LARESI22005</t>
  </si>
  <si>
    <t>LA20006014</t>
  </si>
  <si>
    <t>CS240300300</t>
  </si>
  <si>
    <t>CS640400300</t>
  </si>
  <si>
    <t>GLG0150120</t>
  </si>
  <si>
    <t>LARESI230AB</t>
  </si>
  <si>
    <t>LA15008014</t>
  </si>
  <si>
    <t>Item name</t>
  </si>
  <si>
    <t>S&amp;P C-Sheet 240 300 g/m2</t>
  </si>
  <si>
    <t>S&amp;P Glasphalt G (120/120kN)</t>
  </si>
  <si>
    <t>S&amp;P C-Laminate SM (150/2000) 80/1.4</t>
  </si>
  <si>
    <t>S&amp;P C-Laminate HM (200/2000) 60/1.4</t>
  </si>
  <si>
    <t>Transportkosten (Spedition)</t>
  </si>
  <si>
    <t>Unit</t>
  </si>
  <si>
    <t>PCS</t>
  </si>
  <si>
    <t>M²</t>
  </si>
  <si>
    <t>M</t>
  </si>
  <si>
    <t>TPP transactions</t>
  </si>
  <si>
    <t>TPP cost price</t>
  </si>
  <si>
    <t>TPP cost amount</t>
  </si>
  <si>
    <t>TPP cost amount currency</t>
  </si>
  <si>
    <t>Financial voucher</t>
  </si>
  <si>
    <t>Currency</t>
  </si>
  <si>
    <t>Status</t>
  </si>
  <si>
    <t>Date</t>
  </si>
  <si>
    <t>InventTransRecId</t>
  </si>
  <si>
    <t>Site</t>
  </si>
  <si>
    <t>Warehouse</t>
  </si>
  <si>
    <t>On-hand inventory</t>
  </si>
  <si>
    <t>AM20020019550</t>
  </si>
  <si>
    <t>ARAPTOOL001</t>
  </si>
  <si>
    <t>CS240200300</t>
  </si>
  <si>
    <t>LA15002014</t>
  </si>
  <si>
    <t>LA15005014</t>
  </si>
  <si>
    <t>LA15006014</t>
  </si>
  <si>
    <t>LA15010014</t>
  </si>
  <si>
    <t>LA15012014</t>
  </si>
  <si>
    <t>LA20002014</t>
  </si>
  <si>
    <t>LA20005014</t>
  </si>
  <si>
    <t>LA20010014</t>
  </si>
  <si>
    <t>LA20012014</t>
  </si>
  <si>
    <t>LAENACS050</t>
  </si>
  <si>
    <t>LAFRPTO001</t>
  </si>
  <si>
    <t>LAFRPTO002</t>
  </si>
  <si>
    <t>LARESI22015</t>
  </si>
  <si>
    <t>SHRESEPO55</t>
  </si>
  <si>
    <t>Supplies - other</t>
  </si>
  <si>
    <t>ARAPTOOL002</t>
  </si>
  <si>
    <t>CAG0150200</t>
  </si>
  <si>
    <t>CS240300600</t>
  </si>
  <si>
    <t>CS240400300</t>
  </si>
  <si>
    <t>LA15001014</t>
  </si>
  <si>
    <t>LA15001525</t>
  </si>
  <si>
    <t>LA15015014</t>
  </si>
  <si>
    <t>LA20008014</t>
  </si>
  <si>
    <t>LA20009014</t>
  </si>
  <si>
    <t>LACLEAN002</t>
  </si>
  <si>
    <t>LAENACS100</t>
  </si>
  <si>
    <t/>
  </si>
  <si>
    <t>Current On-hand</t>
  </si>
  <si>
    <t>Beginning On-hand</t>
  </si>
  <si>
    <t>Ending On-hand</t>
  </si>
  <si>
    <t>Date for Beginning balance:</t>
  </si>
  <si>
    <t>Date for Ending balance:</t>
  </si>
  <si>
    <t>Trans backwords (Beginning)</t>
  </si>
  <si>
    <t>Trans backwords (Ending)</t>
  </si>
  <si>
    <t>TPP summary</t>
  </si>
  <si>
    <t>TPP On-hand (Beginning)</t>
  </si>
  <si>
    <t>TPP On-hand (Ending)</t>
  </si>
  <si>
    <t>TPP (Purchase invoice trans)</t>
  </si>
  <si>
    <t>S&amp;P C-Laminate SM (150/2000) 120/1.4</t>
  </si>
  <si>
    <t>S&amp;P C-Laminate HM (200/2000) 100/1.4</t>
  </si>
  <si>
    <t>S&amp;P C-Laminate HM (200/2000) 120/1.4</t>
  </si>
  <si>
    <t>S&amp;P ARMO-mesh 200/200</t>
  </si>
  <si>
    <t>LA15008012</t>
  </si>
  <si>
    <t>S&amp;P C-Laminate SM (150/2000) 80/1.2</t>
  </si>
  <si>
    <t>LA15012012</t>
  </si>
  <si>
    <t>S&amp;P C-Laminate SM (150/2000) 120/1.2</t>
  </si>
  <si>
    <t>LA15001028</t>
  </si>
  <si>
    <t>S&amp;P C-Laminate SM (150/2000) 10/2.8</t>
  </si>
  <si>
    <t>LAANCSTB001</t>
  </si>
  <si>
    <t>S&amp;P Stahlbauteile</t>
  </si>
  <si>
    <t>SHTEFROL13030</t>
  </si>
  <si>
    <t>LA15010012</t>
  </si>
  <si>
    <t>S&amp;P C-Laminate SM (150/2000) 100/1.2</t>
  </si>
  <si>
    <t>LACLEAN010</t>
  </si>
  <si>
    <t>S&amp;P Cleaner 10 lt</t>
  </si>
  <si>
    <t>S&amp;P C-Laminate SM (150/2000) 150/1.4</t>
  </si>
  <si>
    <t>LA15005012</t>
  </si>
  <si>
    <t>S&amp;P C-Laminate SM (150/2000) 50/1.2</t>
  </si>
  <si>
    <t>S&amp;P C-Laminate SM (150/2000) 60/1.4</t>
  </si>
  <si>
    <t>LAQUARZ015</t>
  </si>
  <si>
    <t>S&amp;P Resin 230 Komp. F</t>
  </si>
  <si>
    <t>S&amp;P Aufziehgerät Kleber Lamellen</t>
  </si>
  <si>
    <t>SHRESICE010</t>
  </si>
  <si>
    <t>S&amp;P Resicem Impregnierharz (wasserdampfoffen), Set à 10 kg</t>
  </si>
  <si>
    <t>BOAXII16085020A4</t>
  </si>
  <si>
    <t>KG</t>
  </si>
  <si>
    <t>LA15009014</t>
  </si>
  <si>
    <t>S&amp;P C-Laminate SM (150/2000) 90/1.4</t>
  </si>
  <si>
    <t>LA15015012</t>
  </si>
  <si>
    <t>S&amp;P C-Laminate SM (150/2000) 150/1.2</t>
  </si>
  <si>
    <t>S&amp;P C-Sheet 240 400 g/m2</t>
  </si>
  <si>
    <t>S&amp;P C-Laminate SM (150/2000) 50/1.4</t>
  </si>
  <si>
    <t>S&amp;P C-Laminate SM (150/2000) 100/1.4</t>
  </si>
  <si>
    <t>LAENACS080</t>
  </si>
  <si>
    <t>LAANCSTM001</t>
  </si>
  <si>
    <t>S&amp;P Stahlteile</t>
  </si>
  <si>
    <t>LACAN02PET</t>
  </si>
  <si>
    <t>Plastikkanister weiss 2 lt</t>
  </si>
  <si>
    <t>L</t>
  </si>
  <si>
    <t>LACAN10PET</t>
  </si>
  <si>
    <t>Plastikkanister weiss 10 lt</t>
  </si>
  <si>
    <t>AM50050019550</t>
  </si>
  <si>
    <t>AML500195050</t>
  </si>
  <si>
    <t>ARMOMUR025</t>
  </si>
  <si>
    <t>ARMOWET025RQ</t>
  </si>
  <si>
    <t>BOAXII12070065</t>
  </si>
  <si>
    <t>CS240200600</t>
  </si>
  <si>
    <t>CS240600300</t>
  </si>
  <si>
    <t>GSAR0505067</t>
  </si>
  <si>
    <t>GSE0505067</t>
  </si>
  <si>
    <t>GSE09010B67</t>
  </si>
  <si>
    <t>LAENACS060</t>
  </si>
  <si>
    <t>LAENACS090</t>
  </si>
  <si>
    <t>LAENACS120</t>
  </si>
  <si>
    <t>LAPSTKO100</t>
  </si>
  <si>
    <t>SHEPO1000A</t>
  </si>
  <si>
    <t>SHEPO1000B</t>
  </si>
  <si>
    <t>VendInvoiceTransId</t>
  </si>
  <si>
    <t>TPP Balance (Beginning)</t>
  </si>
  <si>
    <t>TPP Balance (Ending)</t>
  </si>
  <si>
    <t>TPP trans backwards (Beginning)</t>
  </si>
  <si>
    <t>TPP trans backwards (Ending)</t>
  </si>
  <si>
    <t>TPP trans backwards balance (Beginning)</t>
  </si>
  <si>
    <t>TPP trans backwards balance (Ending)</t>
  </si>
  <si>
    <t>S&amp;P Resin 220 (Gebinde à 5 kg)</t>
  </si>
  <si>
    <t>163</t>
  </si>
  <si>
    <t>AT</t>
  </si>
  <si>
    <t>S&amp;P Resin 220 (Gebinde à 15 kg)</t>
  </si>
  <si>
    <t>S&amp;P Endverankerung Typ 100</t>
  </si>
  <si>
    <t>LACLEAN005</t>
  </si>
  <si>
    <t xml:space="preserve">S&amp;P Cleaner 5 lt
</t>
  </si>
  <si>
    <t>S&amp;P Resin Epoxy 55 , Laminierharz (Set à 6 kg) (PL)</t>
  </si>
  <si>
    <t>LAKLIMASANF</t>
  </si>
  <si>
    <t>Klimansan F</t>
  </si>
  <si>
    <t>S&amp;P C-Sheet 240 200 g/m2</t>
  </si>
  <si>
    <t>S&amp;P Endverankerung Typ 120</t>
  </si>
  <si>
    <t>S&amp;P Asphalt Handabrollgerät</t>
  </si>
  <si>
    <t>S&amp;P Abrollgerät Lamellen</t>
  </si>
  <si>
    <t>S&amp;P Asphalt Abrollgerät maschinell</t>
  </si>
  <si>
    <t>S&amp;PARMO-mesh 500/500
roll 1.95 x 50 m</t>
  </si>
  <si>
    <t>LACAFIBROD</t>
  </si>
  <si>
    <t>S&amp;P carbon fiber rod</t>
  </si>
  <si>
    <t>BOM line</t>
  </si>
  <si>
    <t>InvJ000093</t>
  </si>
  <si>
    <t>LACAN05PET</t>
  </si>
  <si>
    <t xml:space="preserve">Plastikkanister weiss 5 lt
</t>
  </si>
  <si>
    <t>LACLEAN20AT</t>
  </si>
  <si>
    <t xml:space="preserve">Epoxy Cleaner 20 kg (Austria)
</t>
  </si>
  <si>
    <t>Lot 003457</t>
  </si>
  <si>
    <t>InvJ000095</t>
  </si>
  <si>
    <t>Lot 003525</t>
  </si>
  <si>
    <t>BOM</t>
  </si>
  <si>
    <t>InvJ000097</t>
  </si>
  <si>
    <t>S&amp;P Asphalt Mietgeräte</t>
  </si>
  <si>
    <t>S&amp;P Bolzenanker M16 (Vorspannung)</t>
  </si>
  <si>
    <t>Lot 003958</t>
  </si>
  <si>
    <t>CETEPOX 1613H</t>
  </si>
  <si>
    <t>CS240200600Z</t>
  </si>
  <si>
    <t>CS240300300Z</t>
  </si>
  <si>
    <t>CS240300600Z</t>
  </si>
  <si>
    <t>KOESTER21</t>
  </si>
  <si>
    <t>KOESTERPU907</t>
  </si>
  <si>
    <t>LA15001517</t>
  </si>
  <si>
    <t>MAPEIL</t>
  </si>
  <si>
    <t>SHRESEPO50S</t>
  </si>
  <si>
    <t>SHTEFROL10030</t>
  </si>
  <si>
    <t>SHTEFROL15030</t>
  </si>
  <si>
    <t>S&amp;P Resin 230 Komp. A + B</t>
  </si>
  <si>
    <t>S&amp;P C-Laminate HM (200/2000) 90/1.4</t>
  </si>
  <si>
    <t>S&amp;P C-Laminate SM (150/2000) 20/1.4</t>
  </si>
  <si>
    <t>Services - other</t>
  </si>
  <si>
    <t>S&amp;P C-Sheet 240 600 g/m2</t>
  </si>
  <si>
    <t>Taxes - WH RSU</t>
  </si>
  <si>
    <t>Taxes - Withheld on RSU
charges to Home Office (US)</t>
  </si>
  <si>
    <t>Trade - other</t>
  </si>
  <si>
    <t>MAPEI in Liter</t>
  </si>
  <si>
    <t>S&amp;P G-Sheet E 50/50</t>
  </si>
  <si>
    <t>S&amp;P Endverankerung Typ 80</t>
  </si>
  <si>
    <t xml:space="preserve">S&amp;P C-Laminate SM (150/2000) 15/1,7
</t>
  </si>
  <si>
    <t>FACAPEX001</t>
  </si>
  <si>
    <t>Fixed Asset Item</t>
  </si>
  <si>
    <t>ApP0000186</t>
  </si>
  <si>
    <t>Lot 003174</t>
  </si>
  <si>
    <t>Tooling - maint</t>
  </si>
  <si>
    <t>Warehousing</t>
  </si>
  <si>
    <t>ApP0000200</t>
  </si>
  <si>
    <t>Lot 003278</t>
  </si>
  <si>
    <t>InvJ000081</t>
  </si>
  <si>
    <t>Lot 003165</t>
  </si>
  <si>
    <t>InvJ000082</t>
  </si>
  <si>
    <t>Lot 003172</t>
  </si>
  <si>
    <t>InvJ000085</t>
  </si>
  <si>
    <t>Lot 003197</t>
  </si>
  <si>
    <t>InvJ000087</t>
  </si>
  <si>
    <t>Lot 003239</t>
  </si>
  <si>
    <t>InvJ000089</t>
  </si>
  <si>
    <t>Lot 003325</t>
  </si>
  <si>
    <t>InvJ000090</t>
  </si>
  <si>
    <t>Lot 003350</t>
  </si>
  <si>
    <t>InvJ000091</t>
  </si>
  <si>
    <t>Lot 003368</t>
  </si>
  <si>
    <t>InvJ000092</t>
  </si>
  <si>
    <t>Lot 003383</t>
  </si>
  <si>
    <t>Tables</t>
  </si>
  <si>
    <t>InventSum</t>
  </si>
  <si>
    <t>TPPSum</t>
  </si>
  <si>
    <t>InventTrans</t>
  </si>
  <si>
    <t>TPPTrans</t>
  </si>
  <si>
    <t>Fields</t>
  </si>
  <si>
    <t>TableId</t>
  </si>
  <si>
    <t>SheetName</t>
  </si>
  <si>
    <t>FieldId</t>
  </si>
  <si>
    <t>ColumnName</t>
  </si>
  <si>
    <t>Items</t>
  </si>
  <si>
    <t>Item group</t>
  </si>
  <si>
    <t>Item type</t>
  </si>
  <si>
    <t>Product</t>
  </si>
  <si>
    <t>Item</t>
  </si>
  <si>
    <t>S&amp;P ARMO-mesh L500</t>
  </si>
  <si>
    <t>Supplies</t>
  </si>
  <si>
    <t>S&amp;P ARMO-mur , bag of 25kg</t>
  </si>
  <si>
    <t>S&amp;P ARMO-crete w , Säcke à 25kg</t>
  </si>
  <si>
    <t>ARMOWET025RS</t>
  </si>
  <si>
    <t>S&amp;P ARMO-crete w , Säcke à 25 kg</t>
  </si>
  <si>
    <t>ASPDIEN002</t>
  </si>
  <si>
    <t>Asphalt application work</t>
  </si>
  <si>
    <t>Services</t>
  </si>
  <si>
    <t>Service</t>
  </si>
  <si>
    <t>ASPINST001</t>
  </si>
  <si>
    <t>Asphalt Verlegearbeit Installation</t>
  </si>
  <si>
    <t>H</t>
  </si>
  <si>
    <t>AVENARIUSKG</t>
  </si>
  <si>
    <t>AVENARIUSL</t>
  </si>
  <si>
    <t>S&amp;P Bolzenanker M12 (Vorspannung)</t>
  </si>
  <si>
    <t>S&amp;P Carbophalt G (120/200kN)</t>
  </si>
  <si>
    <t>CAG0150200GV</t>
  </si>
  <si>
    <t>S&amp;P Carbophalt GV (120/200kN)</t>
  </si>
  <si>
    <t>S&amp;P Härter CeTePox 1613 H</t>
  </si>
  <si>
    <t xml:space="preserve">S&amp;P C-Sheet 240 200 g/m2
</t>
  </si>
  <si>
    <t xml:space="preserve">S&amp;P C-Sheet 240 300 g/m2 Z
</t>
  </si>
  <si>
    <t>CS240400600</t>
  </si>
  <si>
    <t>S&amp;P C-Sheet 640 400 g/m2</t>
  </si>
  <si>
    <t>GLG0150120GV</t>
  </si>
  <si>
    <t>S&amp;P Glasphalt GV (120/120kN)</t>
  </si>
  <si>
    <t>S&amp;P G-Sheet AR 50/50</t>
  </si>
  <si>
    <t>S&amp;P G-Sheet E 90/10 Typ B</t>
  </si>
  <si>
    <t>KOESTER 21 
2 component waterproofing product; 20kg set</t>
  </si>
  <si>
    <t>KOESTER PU 907, RAL
600 ml bag</t>
  </si>
  <si>
    <t>S&amp;P C-Laminate SM (150/2000) 10/1.4</t>
  </si>
  <si>
    <t>S&amp;P C-Laminate SM (150/2000) 15/2.5</t>
  </si>
  <si>
    <t>S&amp;P C-Laminate HM (200/2000) 20/1.4</t>
  </si>
  <si>
    <t>S&amp;P C-Laminate HM (200/2000) 50/1.4</t>
  </si>
  <si>
    <t>S&amp;P C-Laminate HM (200/2000) 80/1.4</t>
  </si>
  <si>
    <t>Component</t>
  </si>
  <si>
    <t>S&amp;P Cleaner 2 lt</t>
  </si>
  <si>
    <t>S&amp;P Endverankerung Typ 50</t>
  </si>
  <si>
    <t>S&amp;P Endverankerung Typ 60</t>
  </si>
  <si>
    <t>S&amp;P Endverankerung Typ 90</t>
  </si>
  <si>
    <t>LAPSTKO001</t>
  </si>
  <si>
    <t>S&amp;P Vorspann-Set CFK (Standard)</t>
  </si>
  <si>
    <t>S&amp;P Anchor plate prestressed</t>
  </si>
  <si>
    <t>Legal - labor</t>
  </si>
  <si>
    <t>Legal - other</t>
  </si>
  <si>
    <t>Maint - equip</t>
  </si>
  <si>
    <t>Maint - facility</t>
  </si>
  <si>
    <t>Maint - office equip</t>
  </si>
  <si>
    <t>Maint - vehicles</t>
  </si>
  <si>
    <t>MAPEIKG</t>
  </si>
  <si>
    <t>MAPEI in KG</t>
  </si>
  <si>
    <t>Materials - freight</t>
  </si>
  <si>
    <t>Meals &amp; entertainmen</t>
  </si>
  <si>
    <t>Phone - office</t>
  </si>
  <si>
    <t>Postage</t>
  </si>
  <si>
    <t>Prof svc - audit</t>
  </si>
  <si>
    <t>Prof svc - emp agent</t>
  </si>
  <si>
    <t>Prof svc - other</t>
  </si>
  <si>
    <t>Prof svc - prod test</t>
  </si>
  <si>
    <t>Prof svc - tax</t>
  </si>
  <si>
    <t>Relocation - emp</t>
  </si>
  <si>
    <t>Rent</t>
  </si>
  <si>
    <t>Services - janitoria</t>
  </si>
  <si>
    <t>Services - security</t>
  </si>
  <si>
    <t>Resin 50/55, Resicem (Komp. A)</t>
  </si>
  <si>
    <t>Resin 50/55, Resicem (Komp. B)</t>
  </si>
  <si>
    <t>S&amp;P Resin Epoxy 50 , Primer (Set à 200 kg)</t>
  </si>
  <si>
    <t>S&amp;P Laminierroller 100 x 30mm</t>
  </si>
  <si>
    <t>S&amp;P Laminierroller 130 x 30mm</t>
  </si>
  <si>
    <t>S&amp;P Laminierroller 150 x 30mm</t>
  </si>
  <si>
    <t>Stretch wrap</t>
  </si>
  <si>
    <t>Subscript - emp ads</t>
  </si>
  <si>
    <t>Supplies - clean</t>
  </si>
  <si>
    <t>Supplies - cons.</t>
  </si>
  <si>
    <t>Supplies - health</t>
  </si>
  <si>
    <t>Supplies - jigs/fix</t>
  </si>
  <si>
    <t>Supplies - lube</t>
  </si>
  <si>
    <t>Supplies - maint</t>
  </si>
  <si>
    <t>Supplies - office</t>
  </si>
  <si>
    <t>Supplies - tooling</t>
  </si>
  <si>
    <t>Taxes - property</t>
  </si>
  <si>
    <t>Tooling - new</t>
  </si>
  <si>
    <t>Trade - booth</t>
  </si>
  <si>
    <t>Travel</t>
  </si>
  <si>
    <t>Utilities - electric</t>
  </si>
  <si>
    <t>Utilities - gas</t>
  </si>
  <si>
    <t>Utilitites - water</t>
  </si>
  <si>
    <t>VEDI670001</t>
  </si>
  <si>
    <t>Interest on I/C loan</t>
  </si>
  <si>
    <t>VERDIE0624</t>
  </si>
  <si>
    <t>Misc. Charges - Admin</t>
  </si>
  <si>
    <t>VERDIE0630</t>
  </si>
  <si>
    <t>Group &amp; misc. charges Below - Admin</t>
  </si>
  <si>
    <t>VERDIE0631</t>
  </si>
  <si>
    <t>Group Charges – Tpp</t>
  </si>
  <si>
    <t>VERDIE0642</t>
  </si>
  <si>
    <t>Group Charges - IT General</t>
  </si>
  <si>
    <t>W/H transfer - frt</t>
  </si>
  <si>
    <t>Waste Disposal</t>
  </si>
  <si>
    <t>InventTable</t>
  </si>
  <si>
    <t>Invent on-hand beginning</t>
  </si>
  <si>
    <t>TPP on-hand beginning</t>
  </si>
  <si>
    <t>Beginning balance reconcile</t>
  </si>
  <si>
    <t>Invent Transaction</t>
  </si>
  <si>
    <t>TPP Transaction</t>
  </si>
  <si>
    <t>Invent ending balance</t>
  </si>
  <si>
    <t>TPP on-hand ending balance</t>
  </si>
  <si>
    <t>Ending ON-hand reconcile</t>
  </si>
  <si>
    <t>TPP Balance Beginning</t>
  </si>
  <si>
    <t>TPP Balance Ending</t>
  </si>
  <si>
    <t>TPP Cost price Beginning</t>
  </si>
  <si>
    <t>TPP Cost price Ending</t>
  </si>
  <si>
    <t>Item number:</t>
  </si>
  <si>
    <t>ARMOWET025RB</t>
  </si>
  <si>
    <t>S&amp;P ARMO-crete w (rb) 25kg bag</t>
  </si>
  <si>
    <t>SHRESEPO55HP</t>
  </si>
  <si>
    <t>S&amp;P Resin 55 HP
(Set à 13kg)</t>
  </si>
  <si>
    <t>SHRESEPO55HP6KG</t>
  </si>
  <si>
    <t>S&amp;P Resin 55 HP
(Set à 6kg)</t>
  </si>
  <si>
    <t>SHRESICEHP010</t>
  </si>
  <si>
    <t>S&amp;P Resicem HP, Set 10 kg</t>
  </si>
  <si>
    <t>ApP0000270</t>
  </si>
  <si>
    <t>EUR</t>
  </si>
  <si>
    <t>Lot 004235</t>
  </si>
  <si>
    <t>Posted</t>
  </si>
  <si>
    <t>ApP0000271</t>
  </si>
  <si>
    <t>Lot 004236</t>
  </si>
  <si>
    <t>Check Trans</t>
  </si>
  <si>
    <t>Yes</t>
  </si>
  <si>
    <t>*</t>
  </si>
  <si>
    <t>Sales order</t>
  </si>
  <si>
    <t>360362ApP0000244</t>
  </si>
  <si>
    <t>Lot 003365</t>
  </si>
  <si>
    <t>360362ApP0000245</t>
  </si>
  <si>
    <t>Lot 003366</t>
  </si>
  <si>
    <t>360364ApP0000146</t>
  </si>
  <si>
    <t>Lot 003141</t>
  </si>
  <si>
    <t>Lot 003142</t>
  </si>
  <si>
    <t>Lot 003140</t>
  </si>
  <si>
    <t>360364ApP0000147</t>
  </si>
  <si>
    <t>Lot 003143</t>
  </si>
  <si>
    <t>360364ApP0000169</t>
  </si>
  <si>
    <t>Lot 003318</t>
  </si>
  <si>
    <t>Lot 003317</t>
  </si>
  <si>
    <t>360364ApP0000170</t>
  </si>
  <si>
    <t>Lot 003319</t>
  </si>
  <si>
    <t>360364ApP0000224</t>
  </si>
  <si>
    <t>Lot 003483</t>
  </si>
  <si>
    <t>360364ApP0000225</t>
  </si>
  <si>
    <t>Lot 003484</t>
  </si>
  <si>
    <t>360365ApP0000249</t>
  </si>
  <si>
    <t>Lot 003288</t>
  </si>
  <si>
    <t>360365ApP0000250</t>
  </si>
  <si>
    <t>Lot 003289</t>
  </si>
  <si>
    <t>360365ApP0000261</t>
  </si>
  <si>
    <t>Lot 003409</t>
  </si>
  <si>
    <t>360365ApP0000262</t>
  </si>
  <si>
    <t>Lot 003410</t>
  </si>
  <si>
    <t>360368ApP0000130</t>
  </si>
  <si>
    <t>Lot 003214</t>
  </si>
  <si>
    <t>Lot 003215</t>
  </si>
  <si>
    <t>360368ApP0000131</t>
  </si>
  <si>
    <t>Lot 003216</t>
  </si>
  <si>
    <t>360369ApP0000176</t>
  </si>
  <si>
    <t>Lot 003280</t>
  </si>
  <si>
    <t>360369ApP0000177</t>
  </si>
  <si>
    <t>Lot 003281</t>
  </si>
  <si>
    <t>360369ApP0000214</t>
  </si>
  <si>
    <t>Lot 003528</t>
  </si>
  <si>
    <t>360369ApP0000215</t>
  </si>
  <si>
    <t>Lot 003529</t>
  </si>
  <si>
    <t>360ApP0001793</t>
  </si>
  <si>
    <t>Lot 003181</t>
  </si>
  <si>
    <t>Lot 003180</t>
  </si>
  <si>
    <t>360ApP0001794</t>
  </si>
  <si>
    <t>Lot 003182</t>
  </si>
  <si>
    <t>360ApP0001949</t>
  </si>
  <si>
    <t>Lot 003458</t>
  </si>
  <si>
    <t>360ApP0001950</t>
  </si>
  <si>
    <t>Lot 003459</t>
  </si>
  <si>
    <t>SO0000304</t>
  </si>
  <si>
    <t>Lot 003151</t>
  </si>
  <si>
    <t>SO0000305</t>
  </si>
  <si>
    <t>Lot 003159</t>
  </si>
  <si>
    <t>SO0000306</t>
  </si>
  <si>
    <t>Lot 003160</t>
  </si>
  <si>
    <t>SO0000307</t>
  </si>
  <si>
    <t>Lot 003161</t>
  </si>
  <si>
    <t>SO0000308</t>
  </si>
  <si>
    <t>Lot 003162</t>
  </si>
  <si>
    <t>Lot 003163</t>
  </si>
  <si>
    <t>SO0000309</t>
  </si>
  <si>
    <t>Lot 003167</t>
  </si>
  <si>
    <t>Lot 003169</t>
  </si>
  <si>
    <t>Lot 003168</t>
  </si>
  <si>
    <t>SO0000310</t>
  </si>
  <si>
    <t>Lot 003185</t>
  </si>
  <si>
    <t>Lot 003176</t>
  </si>
  <si>
    <t>Lot 003175</t>
  </si>
  <si>
    <t>SO0000311</t>
  </si>
  <si>
    <t>Lot 003179</t>
  </si>
  <si>
    <t>Lot 003177</t>
  </si>
  <si>
    <t>Lot 003178</t>
  </si>
  <si>
    <t>SO0000312</t>
  </si>
  <si>
    <t>Lot 003183</t>
  </si>
  <si>
    <t>SO0000313</t>
  </si>
  <si>
    <t>Lot 003188</t>
  </si>
  <si>
    <t>Lot 003189</t>
  </si>
  <si>
    <t>Lot 003191</t>
  </si>
  <si>
    <t>Lot 003192</t>
  </si>
  <si>
    <t>Lot 003193</t>
  </si>
  <si>
    <t>Lot 003190</t>
  </si>
  <si>
    <t>SO0000314</t>
  </si>
  <si>
    <t>Lot 003206</t>
  </si>
  <si>
    <t>Lot 003205</t>
  </si>
  <si>
    <t>Lot 003227</t>
  </si>
  <si>
    <t>SO0000315</t>
  </si>
  <si>
    <t>Lot 003207</t>
  </si>
  <si>
    <t>SO0000316</t>
  </si>
  <si>
    <t>Lot 003211</t>
  </si>
  <si>
    <t>Lot 003212</t>
  </si>
  <si>
    <t>Lot 003213</t>
  </si>
  <si>
    <t>SO0000317</t>
  </si>
  <si>
    <t>Lot 003218</t>
  </si>
  <si>
    <t>Lot 003217</t>
  </si>
  <si>
    <t>Lot 003219</t>
  </si>
  <si>
    <t>SO0000318</t>
  </si>
  <si>
    <t>Lot 003223</t>
  </si>
  <si>
    <t>SO0000319</t>
  </si>
  <si>
    <t>Lot 003236</t>
  </si>
  <si>
    <t>Lot 003234</t>
  </si>
  <si>
    <t>Lot 003235</t>
  </si>
  <si>
    <t>SO0000320</t>
  </si>
  <si>
    <t>Lot 003237</t>
  </si>
  <si>
    <t>Lot 003265</t>
  </si>
  <si>
    <t>SO0000321</t>
  </si>
  <si>
    <t>Lot 003247</t>
  </si>
  <si>
    <t>Lot 003248</t>
  </si>
  <si>
    <t>Lot 003241</t>
  </si>
  <si>
    <t>Lot 003243</t>
  </si>
  <si>
    <t>Lot 003242</t>
  </si>
  <si>
    <t>SO0000322</t>
  </si>
  <si>
    <t>Lot 003245</t>
  </si>
  <si>
    <t>Lot 003244</t>
  </si>
  <si>
    <t>Lot 003246</t>
  </si>
  <si>
    <t>SO0000323</t>
  </si>
  <si>
    <t>Lot 003250</t>
  </si>
  <si>
    <t>SO0000324</t>
  </si>
  <si>
    <t>Lot 003253</t>
  </si>
  <si>
    <t>SO0000325</t>
  </si>
  <si>
    <t>Lot 003254</t>
  </si>
  <si>
    <t>Lot 003256</t>
  </si>
  <si>
    <t>Lot 003259</t>
  </si>
  <si>
    <t>SO0000326</t>
  </si>
  <si>
    <t>Lot 003257</t>
  </si>
  <si>
    <t>Lot 003258</t>
  </si>
  <si>
    <t>SO0000327</t>
  </si>
  <si>
    <t>Lot 003262</t>
  </si>
  <si>
    <t>Lot 003264</t>
  </si>
  <si>
    <t>Lot 003261</t>
  </si>
  <si>
    <t>SO0000328</t>
  </si>
  <si>
    <t>Lot 003270</t>
  </si>
  <si>
    <t>Lot 003269</t>
  </si>
  <si>
    <t>Lot 003268</t>
  </si>
  <si>
    <t>SO0000329</t>
  </si>
  <si>
    <t>Lot 003272</t>
  </si>
  <si>
    <t>Lot 003271</t>
  </si>
  <si>
    <t>SO0000330</t>
  </si>
  <si>
    <t>Lot 003273</t>
  </si>
  <si>
    <t>Lot 003274</t>
  </si>
  <si>
    <t>SO0000331</t>
  </si>
  <si>
    <t>Lot 003277</t>
  </si>
  <si>
    <t>SO0000332</t>
  </si>
  <si>
    <t>Lot 003292</t>
  </si>
  <si>
    <t>Lot 003293</t>
  </si>
  <si>
    <t>SO0000333</t>
  </si>
  <si>
    <t>Lot 003328</t>
  </si>
  <si>
    <t>Lot 003327</t>
  </si>
  <si>
    <t>SO0000334</t>
  </si>
  <si>
    <t>Lot 003329</t>
  </si>
  <si>
    <t>Lot 003331</t>
  </si>
  <si>
    <t>Lot 003332</t>
  </si>
  <si>
    <t>Lot 003330</t>
  </si>
  <si>
    <t>SO0000335</t>
  </si>
  <si>
    <t>Lot 003333</t>
  </si>
  <si>
    <t>SO0000336</t>
  </si>
  <si>
    <t>Lot 003334</t>
  </si>
  <si>
    <t>Lot 003370</t>
  </si>
  <si>
    <t>SO0000337</t>
  </si>
  <si>
    <t>Lot 003338</t>
  </si>
  <si>
    <t>Lot 003339</t>
  </si>
  <si>
    <t>SO0000338</t>
  </si>
  <si>
    <t>Lot 003342</t>
  </si>
  <si>
    <t>Lot 003341</t>
  </si>
  <si>
    <t>Lot 003340</t>
  </si>
  <si>
    <t>SO0000339</t>
  </si>
  <si>
    <t>Lot 003343</t>
  </si>
  <si>
    <t>SO0000340</t>
  </si>
  <si>
    <t>Lot 003344</t>
  </si>
  <si>
    <t>SO0000341</t>
  </si>
  <si>
    <t>Lot 003345</t>
  </si>
  <si>
    <t>Lot 003371</t>
  </si>
  <si>
    <t>SO0000342</t>
  </si>
  <si>
    <t>Lot 003346</t>
  </si>
  <si>
    <t>Lot 003347</t>
  </si>
  <si>
    <t>SO0000343</t>
  </si>
  <si>
    <t>Lot 003351</t>
  </si>
  <si>
    <t>Lot 003352</t>
  </si>
  <si>
    <t>SO0000344</t>
  </si>
  <si>
    <t>Lot 003357</t>
  </si>
  <si>
    <t>Lot 003356</t>
  </si>
  <si>
    <t>Lot 003358</t>
  </si>
  <si>
    <t>Lot 003364</t>
  </si>
  <si>
    <t>Lot 003363</t>
  </si>
  <si>
    <t>Lot 003359</t>
  </si>
  <si>
    <t>Lot 003360</t>
  </si>
  <si>
    <t>Lot 003361</t>
  </si>
  <si>
    <t>SO0000345</t>
  </si>
  <si>
    <t>Lot 003373</t>
  </si>
  <si>
    <t>Lot 003375</t>
  </si>
  <si>
    <t>Lot 003374</t>
  </si>
  <si>
    <t>SO0000346</t>
  </si>
  <si>
    <t>Lot 003378</t>
  </si>
  <si>
    <t>Lot 003377</t>
  </si>
  <si>
    <t>Lot 003376</t>
  </si>
  <si>
    <t>SO0000347</t>
  </si>
  <si>
    <t>Lot 003387</t>
  </si>
  <si>
    <t>Lot 003385</t>
  </si>
  <si>
    <t>Lot 003389</t>
  </si>
  <si>
    <t>Lot 003386</t>
  </si>
  <si>
    <t>Lot 003388</t>
  </si>
  <si>
    <t>SO0000348</t>
  </si>
  <si>
    <t>Lot 003391</t>
  </si>
  <si>
    <t>Lot 003390</t>
  </si>
  <si>
    <t>Lot 003392</t>
  </si>
  <si>
    <t>Lot 003393</t>
  </si>
  <si>
    <t>SO0000349</t>
  </si>
  <si>
    <t>Lot 003394</t>
  </si>
  <si>
    <t>Lot 003395</t>
  </si>
  <si>
    <t>SO0000350</t>
  </si>
  <si>
    <t>Lot 003396</t>
  </si>
  <si>
    <t>Lot 003397</t>
  </si>
  <si>
    <t>SO0000351</t>
  </si>
  <si>
    <t>Lot 003400</t>
  </si>
  <si>
    <t>Lot 003401</t>
  </si>
  <si>
    <t>SO0000352</t>
  </si>
  <si>
    <t>Lot 003413</t>
  </si>
  <si>
    <t>SO0000353</t>
  </si>
  <si>
    <t>Lot 003414</t>
  </si>
  <si>
    <t>Lot 003415</t>
  </si>
  <si>
    <t>SO0000354</t>
  </si>
  <si>
    <t>Lot 003421</t>
  </si>
  <si>
    <t>Lot 003420</t>
  </si>
  <si>
    <t>Lot 003422</t>
  </si>
  <si>
    <t>SO0000355</t>
  </si>
  <si>
    <t>Lot 003416</t>
  </si>
  <si>
    <t>Lot 003417</t>
  </si>
  <si>
    <t>SO0000356</t>
  </si>
  <si>
    <t>Lot 003418</t>
  </si>
  <si>
    <t>Lot 003419</t>
  </si>
  <si>
    <t>SO0000357</t>
  </si>
  <si>
    <t>Lot 003423</t>
  </si>
  <si>
    <t>SO0000358</t>
  </si>
  <si>
    <t>Lot 003440</t>
  </si>
  <si>
    <t>Lot 003441</t>
  </si>
  <si>
    <t>Lot 003439</t>
  </si>
  <si>
    <t>Lot 003442</t>
  </si>
  <si>
    <t>SO0000359</t>
  </si>
  <si>
    <t>Lot 003443</t>
  </si>
  <si>
    <t>SO0000360</t>
  </si>
  <si>
    <t>Lot 003445</t>
  </si>
  <si>
    <t>SO0000361</t>
  </si>
  <si>
    <t>Lot 003446</t>
  </si>
  <si>
    <t>SO0000362</t>
  </si>
  <si>
    <t>Lot 003447</t>
  </si>
  <si>
    <t>Lot 003448</t>
  </si>
  <si>
    <t>SO0000363</t>
  </si>
  <si>
    <t>Lot 003452</t>
  </si>
  <si>
    <t>Lot 003449</t>
  </si>
  <si>
    <t>Lot 003454</t>
  </si>
  <si>
    <t>Lot 003453</t>
  </si>
  <si>
    <t>Lot 003450</t>
  </si>
  <si>
    <t>Lot 003451</t>
  </si>
  <si>
    <t>SO0000364</t>
  </si>
  <si>
    <t>Lot 003460</t>
  </si>
  <si>
    <t>Lot 003461</t>
  </si>
  <si>
    <t>SO0000365</t>
  </si>
  <si>
    <t>Lot 003462</t>
  </si>
  <si>
    <t>SO0000366</t>
  </si>
  <si>
    <t>Lot 003464</t>
  </si>
  <si>
    <t>SO0000367</t>
  </si>
  <si>
    <t>Lot 003465</t>
  </si>
  <si>
    <t>Lot 003466</t>
  </si>
  <si>
    <t>Lot 003467</t>
  </si>
  <si>
    <t>SO0000368</t>
  </si>
  <si>
    <t>Lot 003470</t>
  </si>
  <si>
    <t>Lot 003471</t>
  </si>
  <si>
    <t>Lot 003469</t>
  </si>
  <si>
    <t>SO0000369</t>
  </si>
  <si>
    <t>Lot 003468</t>
  </si>
  <si>
    <t>SO0000370</t>
  </si>
  <si>
    <t>Lot 003474</t>
  </si>
  <si>
    <t>Lot 003475</t>
  </si>
  <si>
    <t>SO0000371</t>
  </si>
  <si>
    <t>Lot 003476</t>
  </si>
  <si>
    <t>SO0000372</t>
  </si>
  <si>
    <t>Lot 003477</t>
  </si>
  <si>
    <t>Lot 003478</t>
  </si>
  <si>
    <t>Lot 003479</t>
  </si>
  <si>
    <t>SO0000373</t>
  </si>
  <si>
    <t>Lot 003485</t>
  </si>
  <si>
    <t>SO0000374</t>
  </si>
  <si>
    <t>Lot 003488</t>
  </si>
  <si>
    <t>Lot 003489</t>
  </si>
  <si>
    <t>Lot 003486</t>
  </si>
  <si>
    <t>Lot 003487</t>
  </si>
  <si>
    <t>SO0000375</t>
  </si>
  <si>
    <t>Lot 003490</t>
  </si>
  <si>
    <t>Lot 003492</t>
  </si>
  <si>
    <t>Lot 003491</t>
  </si>
  <si>
    <t>SO0000376</t>
  </si>
  <si>
    <t>Lot 003498</t>
  </si>
  <si>
    <t>SO0000377</t>
  </si>
  <si>
    <t>Lot 003502</t>
  </si>
  <si>
    <t>Lot 003501</t>
  </si>
  <si>
    <t>SO0000378</t>
  </si>
  <si>
    <t>Lot 003511</t>
  </si>
  <si>
    <t>Lot 003510</t>
  </si>
  <si>
    <t>SO0000379</t>
  </si>
  <si>
    <t>Lot 003513</t>
  </si>
  <si>
    <t>Lot 003512</t>
  </si>
  <si>
    <t>SO0000380</t>
  </si>
  <si>
    <t>Lot 003520</t>
  </si>
  <si>
    <t>Lot 003526</t>
  </si>
  <si>
    <t>Lot 003519</t>
  </si>
  <si>
    <t>SO0000381</t>
  </si>
  <si>
    <t>Lot 003531</t>
  </si>
  <si>
    <t>Lot 003532</t>
  </si>
  <si>
    <t>SO0000382</t>
  </si>
  <si>
    <t>Lot 003988</t>
  </si>
  <si>
    <t>Lot 003989</t>
  </si>
  <si>
    <t>SO0000383</t>
  </si>
  <si>
    <t>Lot 003991</t>
  </si>
  <si>
    <t>Lot 003990</t>
  </si>
  <si>
    <t>SO0000384</t>
  </si>
  <si>
    <t>Lot 003992</t>
  </si>
  <si>
    <t>Lot 003993</t>
  </si>
  <si>
    <t>ApP0000178</t>
  </si>
  <si>
    <t>Lot 003104</t>
  </si>
  <si>
    <t>ApP0000179</t>
  </si>
  <si>
    <t>Lot 003105</t>
  </si>
  <si>
    <t>ApP0000181</t>
  </si>
  <si>
    <t>Lot 003112</t>
  </si>
  <si>
    <t>ApP0000183</t>
  </si>
  <si>
    <t>Lot 003133</t>
  </si>
  <si>
    <t>ApP0000185</t>
  </si>
  <si>
    <t>Lot 003149</t>
  </si>
  <si>
    <t>Lot 003148</t>
  </si>
  <si>
    <t>Lot 003150</t>
  </si>
  <si>
    <t>Lot 003173</t>
  </si>
  <si>
    <t>ApP0000187</t>
  </si>
  <si>
    <t>Lot 003184</t>
  </si>
  <si>
    <t>ApP0000188</t>
  </si>
  <si>
    <t>Lot 003199</t>
  </si>
  <si>
    <t>Lot 003200</t>
  </si>
  <si>
    <t>Lot 003210</t>
  </si>
  <si>
    <t>Lot 003201</t>
  </si>
  <si>
    <t>Lot 003202</t>
  </si>
  <si>
    <t>Lot 003203</t>
  </si>
  <si>
    <t>Lot 003204</t>
  </si>
  <si>
    <t>ApP0000189</t>
  </si>
  <si>
    <t>Lot 003208</t>
  </si>
  <si>
    <t>ApP0000191</t>
  </si>
  <si>
    <t>Lot 003220</t>
  </si>
  <si>
    <t>Lot 003287</t>
  </si>
  <si>
    <t>ApP0000192</t>
  </si>
  <si>
    <t>Lot 003225</t>
  </si>
  <si>
    <t>Lot 003224</t>
  </si>
  <si>
    <t>ApP0000193</t>
  </si>
  <si>
    <t>Lot 003226</t>
  </si>
  <si>
    <t>ApP0000194</t>
  </si>
  <si>
    <t>Lot 003228</t>
  </si>
  <si>
    <t>Lot 003229</t>
  </si>
  <si>
    <t>Lot 003230</t>
  </si>
  <si>
    <t>Lot 003232</t>
  </si>
  <si>
    <t>Lot 003231</t>
  </si>
  <si>
    <t>ApP0000195</t>
  </si>
  <si>
    <t>Lot 003233</t>
  </si>
  <si>
    <t>ApP0000196</t>
  </si>
  <si>
    <t>Lot 003252</t>
  </si>
  <si>
    <t>ApP0000197</t>
  </si>
  <si>
    <t>Lot 003251</t>
  </si>
  <si>
    <t>ApP0000198</t>
  </si>
  <si>
    <t>Lot 003260</t>
  </si>
  <si>
    <t>ApP0000199</t>
  </si>
  <si>
    <t>Lot 003275</t>
  </si>
  <si>
    <t>Lot 003276</t>
  </si>
  <si>
    <t>ApP0000201</t>
  </si>
  <si>
    <t>Lot 003279</t>
  </si>
  <si>
    <t>ApP0000203</t>
  </si>
  <si>
    <t>Lot 003283</t>
  </si>
  <si>
    <t>ApP0000204</t>
  </si>
  <si>
    <t>Lot 003284</t>
  </si>
  <si>
    <t>ApP0000205</t>
  </si>
  <si>
    <t>Lot 003290</t>
  </si>
  <si>
    <t>ApP0000206</t>
  </si>
  <si>
    <t>Lot 003291</t>
  </si>
  <si>
    <t>ApP0000207</t>
  </si>
  <si>
    <t>Lot 003294</t>
  </si>
  <si>
    <t>Lot 003295</t>
  </si>
  <si>
    <t>Lot 003296</t>
  </si>
  <si>
    <t>Lot 003297</t>
  </si>
  <si>
    <t>Lot 003298</t>
  </si>
  <si>
    <t>Lot 003299</t>
  </si>
  <si>
    <t>ApP0000208</t>
  </si>
  <si>
    <t>Lot 003320</t>
  </si>
  <si>
    <t>Lot 003321</t>
  </si>
  <si>
    <t>Lot 003322</t>
  </si>
  <si>
    <t>ApP0000209</t>
  </si>
  <si>
    <t>Lot 003323</t>
  </si>
  <si>
    <t>ApP0000210</t>
  </si>
  <si>
    <t>Lot 003336</t>
  </si>
  <si>
    <t>Lot 003335</t>
  </si>
  <si>
    <t>ApP0000211</t>
  </si>
  <si>
    <t>Lot 003337</t>
  </si>
  <si>
    <t>ApP0000212</t>
  </si>
  <si>
    <t>Lot 003355</t>
  </si>
  <si>
    <t>Lot 003353</t>
  </si>
  <si>
    <t>Lot 003354</t>
  </si>
  <si>
    <t>ApP0000213</t>
  </si>
  <si>
    <t>Lot 003379</t>
  </si>
  <si>
    <t>ApP0000214</t>
  </si>
  <si>
    <t>Lot 003380</t>
  </si>
  <si>
    <t>ApP0000215</t>
  </si>
  <si>
    <t>Lot 003381</t>
  </si>
  <si>
    <t>ApP0000216</t>
  </si>
  <si>
    <t>Lot 003398</t>
  </si>
  <si>
    <t>ApP0000217</t>
  </si>
  <si>
    <t>Lot 003399</t>
  </si>
  <si>
    <t>ApP0000218</t>
  </si>
  <si>
    <t>Lot 003403</t>
  </si>
  <si>
    <t>ApP0000219</t>
  </si>
  <si>
    <t>Lot 003405</t>
  </si>
  <si>
    <t>ApP0000220</t>
  </si>
  <si>
    <t>Lot 003402</t>
  </si>
  <si>
    <t>ApP0000223</t>
  </si>
  <si>
    <t>Lot 003411</t>
  </si>
  <si>
    <t>ApP0000224</t>
  </si>
  <si>
    <t>Lot 003424</t>
  </si>
  <si>
    <t>ApP0000225</t>
  </si>
  <si>
    <t>Lot 003425</t>
  </si>
  <si>
    <t>ApP0000226</t>
  </si>
  <si>
    <t>Lot 003444</t>
  </si>
  <si>
    <t>ApP0000227</t>
  </si>
  <si>
    <t>Lot 003463</t>
  </si>
  <si>
    <t>ApP0000228</t>
  </si>
  <si>
    <t>Lot 003473</t>
  </si>
  <si>
    <t>Lot 003472</t>
  </si>
  <si>
    <t>ApP0000229</t>
  </si>
  <si>
    <t>Lot 003481</t>
  </si>
  <si>
    <t>Lot 003480</t>
  </si>
  <si>
    <t>ApP0000230</t>
  </si>
  <si>
    <t>Lot 003482</t>
  </si>
  <si>
    <t>ApP0000231</t>
  </si>
  <si>
    <t>Lot 003493</t>
  </si>
  <si>
    <t>Lot 003494</t>
  </si>
  <si>
    <t>Lot 003495</t>
  </si>
  <si>
    <t>Lot 003496</t>
  </si>
  <si>
    <t>ApP0000232</t>
  </si>
  <si>
    <t>Lot 003497</t>
  </si>
  <si>
    <t>ApP0000233</t>
  </si>
  <si>
    <t>Lot 003499</t>
  </si>
  <si>
    <t>ApP0000234</t>
  </si>
  <si>
    <t>Lot 003500</t>
  </si>
  <si>
    <t>ApP0000236</t>
  </si>
  <si>
    <t>Lot 003521</t>
  </si>
  <si>
    <t>ApP0000237</t>
  </si>
  <si>
    <t>Lot 003522</t>
  </si>
  <si>
    <t>ApP0000240</t>
  </si>
  <si>
    <t>Lot 003982</t>
  </si>
  <si>
    <t>ApP0000241</t>
  </si>
  <si>
    <t>Lot 003984</t>
  </si>
  <si>
    <t>ApP0000242</t>
  </si>
  <si>
    <t>Lot 003985</t>
  </si>
  <si>
    <t>ApP0000243</t>
  </si>
  <si>
    <t>Lot 003986</t>
  </si>
  <si>
    <t>ApP0000247</t>
  </si>
  <si>
    <t>Lot 004022</t>
  </si>
  <si>
    <t>ApP0000248</t>
  </si>
  <si>
    <t>Lot 004023</t>
  </si>
  <si>
    <t>Transaction</t>
  </si>
  <si>
    <t>InvJ000094</t>
  </si>
  <si>
    <t>Lot 003506</t>
  </si>
  <si>
    <t>Lot 003508</t>
  </si>
  <si>
    <t>Lot 003507</t>
  </si>
  <si>
    <t>Lot 003509</t>
  </si>
  <si>
    <t>Lot 003504</t>
  </si>
  <si>
    <t>Lot 003505</t>
  </si>
  <si>
    <t>InvJ000096</t>
  </si>
  <si>
    <t>Lot 003530</t>
  </si>
  <si>
    <t>InvJ000100</t>
  </si>
  <si>
    <t>Lot 004035</t>
  </si>
  <si>
    <t>Totaled</t>
  </si>
  <si>
    <t>Lot 003432</t>
  </si>
  <si>
    <t>Lot 003307</t>
  </si>
  <si>
    <t>Lot 003308</t>
  </si>
  <si>
    <t>Lot 003309</t>
  </si>
  <si>
    <t>Lot 004056</t>
  </si>
  <si>
    <t>Lot 003310</t>
  </si>
  <si>
    <t>Lot 003433</t>
  </si>
  <si>
    <t>Lot 003434</t>
  </si>
  <si>
    <t>Lot 003435</t>
  </si>
  <si>
    <t>Lot 003311</t>
  </si>
  <si>
    <t>Lot 003312</t>
  </si>
  <si>
    <t>Lot 004057</t>
  </si>
  <si>
    <t>Lot 003436</t>
  </si>
  <si>
    <t>Lot 003437</t>
  </si>
  <si>
    <t>Lot 003438</t>
  </si>
  <si>
    <t>Lot 003313</t>
  </si>
  <si>
    <t>Lot 004058</t>
  </si>
  <si>
    <t>Lot 003314</t>
  </si>
  <si>
    <t>Lot 004059</t>
  </si>
  <si>
    <t>Lot 003315</t>
  </si>
  <si>
    <t>Lot 003316</t>
  </si>
  <si>
    <t>Lot 004060</t>
  </si>
  <si>
    <t>Lot 003300</t>
  </si>
  <si>
    <t>Lot 003427</t>
  </si>
  <si>
    <t>Lot 003301</t>
  </si>
  <si>
    <t>Lot 003302</t>
  </si>
  <si>
    <t>Lot 004051</t>
  </si>
  <si>
    <t>Lot 003303</t>
  </si>
  <si>
    <t>Lot 003428</t>
  </si>
  <si>
    <t>Lot 003304</t>
  </si>
  <si>
    <t>Lot 003305</t>
  </si>
  <si>
    <t>Lot 003429</t>
  </si>
  <si>
    <t>Lot 003430</t>
  </si>
  <si>
    <t>Lot 004052</t>
  </si>
  <si>
    <t>Lot 004053</t>
  </si>
  <si>
    <t>Lot 004054</t>
  </si>
  <si>
    <t>Lot 003306</t>
  </si>
  <si>
    <t>Lot 003431</t>
  </si>
  <si>
    <t>Lot 004055</t>
  </si>
  <si>
    <t>Lot 003166</t>
  </si>
  <si>
    <t>Lot 003171</t>
  </si>
  <si>
    <t>InvJ000083</t>
  </si>
  <si>
    <t>Lot 003187</t>
  </si>
  <si>
    <t>InvJ000084</t>
  </si>
  <si>
    <t>Lot 003195</t>
  </si>
  <si>
    <t>Lot 003198</t>
  </si>
  <si>
    <t>InvJ000086</t>
  </si>
  <si>
    <t>Lot 003222</t>
  </si>
  <si>
    <t>Lot 003240</t>
  </si>
  <si>
    <t>InvJ000088</t>
  </si>
  <si>
    <t>Lot 003286</t>
  </si>
  <si>
    <t>Lot 003326</t>
  </si>
  <si>
    <t>Lot 003349</t>
  </si>
  <si>
    <t>Lot 003369</t>
  </si>
  <si>
    <t>Lot 003384</t>
  </si>
  <si>
    <t>Lot 003456</t>
  </si>
  <si>
    <t>Lot 003524</t>
  </si>
  <si>
    <t>Lot 003164</t>
  </si>
  <si>
    <t>Lot 003170</t>
  </si>
  <si>
    <t>Lot 003186</t>
  </si>
  <si>
    <t>Lot 003194</t>
  </si>
  <si>
    <t>Lot 003196</t>
  </si>
  <si>
    <t>Lot 003221</t>
  </si>
  <si>
    <t>Lot 003238</t>
  </si>
  <si>
    <t>Lot 003285</t>
  </si>
  <si>
    <t>Lot 003324</t>
  </si>
  <si>
    <t>Lot 003348</t>
  </si>
  <si>
    <t>Lot 003367</t>
  </si>
  <si>
    <t>Lot 003382</t>
  </si>
  <si>
    <t>Lot 003455</t>
  </si>
  <si>
    <t>Lot 003523</t>
  </si>
  <si>
    <t>Lot 003760</t>
  </si>
  <si>
    <t>Lot 003763</t>
  </si>
  <si>
    <t>Lot 003765</t>
  </si>
  <si>
    <t>Lot 003960</t>
  </si>
  <si>
    <t>Lot 003969</t>
  </si>
  <si>
    <t>Lot 003971</t>
  </si>
  <si>
    <t>Lot 003972</t>
  </si>
  <si>
    <t>Lot 003976</t>
  </si>
  <si>
    <t>Lot 003980</t>
  </si>
  <si>
    <t>Fixed assets</t>
  </si>
  <si>
    <t>FA 100044</t>
  </si>
  <si>
    <t>Lot 003412</t>
  </si>
  <si>
    <t>FA 100045</t>
  </si>
  <si>
    <t>Lot 003404</t>
  </si>
  <si>
    <t>Lot 003406</t>
  </si>
  <si>
    <t>FA 100046</t>
  </si>
  <si>
    <t>Lot 003426</t>
  </si>
  <si>
    <t>FA 100047</t>
  </si>
  <si>
    <t>Lot 004024</t>
  </si>
  <si>
    <t>Lot 004034</t>
  </si>
  <si>
    <t>Lot 003983</t>
  </si>
  <si>
    <t>FA 100048</t>
  </si>
  <si>
    <t>Lot 003987</t>
  </si>
  <si>
    <t>GLG009765</t>
  </si>
  <si>
    <t>S&amp;P Glasphalt G 65</t>
  </si>
  <si>
    <t>GLG015065</t>
  </si>
  <si>
    <t>GLG019565</t>
  </si>
  <si>
    <t>LARESI220HP15</t>
  </si>
  <si>
    <t>S&amp;P Resin 220 HP (set of 15 kg)</t>
  </si>
  <si>
    <t>No</t>
  </si>
  <si>
    <t>360364ApP0000265</t>
  </si>
  <si>
    <t>Lot 004315</t>
  </si>
  <si>
    <t>Lot 004316</t>
  </si>
  <si>
    <t>360364ApP0000266</t>
  </si>
  <si>
    <t>Lot 004317</t>
  </si>
  <si>
    <t>360364ApP0000295</t>
  </si>
  <si>
    <t>Lot 004707</t>
  </si>
  <si>
    <t>Lot 004708</t>
  </si>
  <si>
    <t>360364ApP0000296</t>
  </si>
  <si>
    <t>Lot 004709</t>
  </si>
  <si>
    <t>360365ApP0000333</t>
  </si>
  <si>
    <t>Lot 004892</t>
  </si>
  <si>
    <t>360365ApP0000335</t>
  </si>
  <si>
    <t>Lot 004913</t>
  </si>
  <si>
    <t>360365ApP0000336</t>
  </si>
  <si>
    <t>Lot 004928</t>
  </si>
  <si>
    <t>360368ApP0000166</t>
  </si>
  <si>
    <t>Lot 004073</t>
  </si>
  <si>
    <t>Lot 004074</t>
  </si>
  <si>
    <t>360368ApP0000167</t>
  </si>
  <si>
    <t>Lot 004075</t>
  </si>
  <si>
    <t>360369ApP0000256</t>
  </si>
  <si>
    <t>Lot 004239</t>
  </si>
  <si>
    <t>Lot 004240</t>
  </si>
  <si>
    <t>Lot 004241</t>
  </si>
  <si>
    <t>360369ApP0000257</t>
  </si>
  <si>
    <t>Lot 004242</t>
  </si>
  <si>
    <t>360ApP0002096</t>
  </si>
  <si>
    <t>Lot 004063</t>
  </si>
  <si>
    <t>Lot 004064</t>
  </si>
  <si>
    <t>360ApP0002097</t>
  </si>
  <si>
    <t>Lot 004065</t>
  </si>
  <si>
    <t>360ApP0002176</t>
  </si>
  <si>
    <t>Lot 004253</t>
  </si>
  <si>
    <t>360ApP0002177</t>
  </si>
  <si>
    <t>Lot 004254</t>
  </si>
  <si>
    <t>360ApP0002224</t>
  </si>
  <si>
    <t>Lot 004334</t>
  </si>
  <si>
    <t>360ApP0002225</t>
  </si>
  <si>
    <t>Lot 004335</t>
  </si>
  <si>
    <t>360ApP0002262</t>
  </si>
  <si>
    <t>Lot 004352</t>
  </si>
  <si>
    <t>360ApP0002270</t>
  </si>
  <si>
    <t>Lot 004360</t>
  </si>
  <si>
    <t>360ApP0002271</t>
  </si>
  <si>
    <t>Lot 004361</t>
  </si>
  <si>
    <t>360ApP0002305</t>
  </si>
  <si>
    <t>Lot 004620</t>
  </si>
  <si>
    <t>Lot 004621</t>
  </si>
  <si>
    <t>360ApP0002306</t>
  </si>
  <si>
    <t>Lot 004622</t>
  </si>
  <si>
    <t>360ApP0002325</t>
  </si>
  <si>
    <t>Lot 004670</t>
  </si>
  <si>
    <t>360ApP0002330</t>
  </si>
  <si>
    <t>Lot 004673</t>
  </si>
  <si>
    <t>360ApP0002347</t>
  </si>
  <si>
    <t>Lot 004680</t>
  </si>
  <si>
    <t>Lot 004681</t>
  </si>
  <si>
    <t>360ApP0002348</t>
  </si>
  <si>
    <t>Lot 004682</t>
  </si>
  <si>
    <t>360ApP0002399</t>
  </si>
  <si>
    <t>Lot 004712</t>
  </si>
  <si>
    <t>Lot 004713</t>
  </si>
  <si>
    <t>Lot 004714</t>
  </si>
  <si>
    <t>360ApP0002400</t>
  </si>
  <si>
    <t>Lot 004715</t>
  </si>
  <si>
    <t>360ApP0002453</t>
  </si>
  <si>
    <t>Lot 004798</t>
  </si>
  <si>
    <t>Lot 004799</t>
  </si>
  <si>
    <t>360ApP0002454</t>
  </si>
  <si>
    <t>Lot 004800</t>
  </si>
  <si>
    <t>360ApP0002526</t>
  </si>
  <si>
    <t>Lot 004929</t>
  </si>
  <si>
    <t>SO0000385</t>
  </si>
  <si>
    <t>Lot 003994</t>
  </si>
  <si>
    <t>Lot 003996</t>
  </si>
  <si>
    <t>Lot 003995</t>
  </si>
  <si>
    <t>SO0000386</t>
  </si>
  <si>
    <t>Lot 004000</t>
  </si>
  <si>
    <t>SO0000387</t>
  </si>
  <si>
    <t>Lot 004002</t>
  </si>
  <si>
    <t>Lot 004006</t>
  </si>
  <si>
    <t>Lot 004003</t>
  </si>
  <si>
    <t>SO0000388</t>
  </si>
  <si>
    <t>Lot 004004</t>
  </si>
  <si>
    <t>Lot 004005</t>
  </si>
  <si>
    <t>SO0000389</t>
  </si>
  <si>
    <t>Lot 004007</t>
  </si>
  <si>
    <t>Lot 004008</t>
  </si>
  <si>
    <t>SO0000390</t>
  </si>
  <si>
    <t>Lot 004028</t>
  </si>
  <si>
    <t>Lot 004029</t>
  </si>
  <si>
    <t>Lot 004030</t>
  </si>
  <si>
    <t>Lot 004031</t>
  </si>
  <si>
    <t>SO0000391</t>
  </si>
  <si>
    <t>Lot 004032</t>
  </si>
  <si>
    <t>Lot 004033</t>
  </si>
  <si>
    <t>SO0000392</t>
  </si>
  <si>
    <t>Lot 004050</t>
  </si>
  <si>
    <t>Lot 004046</t>
  </si>
  <si>
    <t>Lot 004047</t>
  </si>
  <si>
    <t>Lot 004049</t>
  </si>
  <si>
    <t>Lot 004048</t>
  </si>
  <si>
    <t>SO0000393</t>
  </si>
  <si>
    <t>Lot 004061</t>
  </si>
  <si>
    <t>SO0000394</t>
  </si>
  <si>
    <t>Lot 004062</t>
  </si>
  <si>
    <t>SO0000395</t>
  </si>
  <si>
    <t>Lot 004066</t>
  </si>
  <si>
    <t>SO0000396</t>
  </si>
  <si>
    <t>Lot 004068</t>
  </si>
  <si>
    <t>SO0000397</t>
  </si>
  <si>
    <t>Lot 004070</t>
  </si>
  <si>
    <t>Lot 004071</t>
  </si>
  <si>
    <t>Lot 004072</t>
  </si>
  <si>
    <t>Lot 004069</t>
  </si>
  <si>
    <t>SO0000398</t>
  </si>
  <si>
    <t>Lot 004077</t>
  </si>
  <si>
    <t>Lot 004078</t>
  </si>
  <si>
    <t>SO0000399</t>
  </si>
  <si>
    <t>Lot 004085</t>
  </si>
  <si>
    <t>Lot 004086</t>
  </si>
  <si>
    <t>SO0000400</t>
  </si>
  <si>
    <t>Lot 004089</t>
  </si>
  <si>
    <t>Lot 004090</t>
  </si>
  <si>
    <t>SO0000401</t>
  </si>
  <si>
    <t>Lot 004091</t>
  </si>
  <si>
    <t>Lot 004092</t>
  </si>
  <si>
    <t>SO0000402</t>
  </si>
  <si>
    <t>Lot 004096</t>
  </si>
  <si>
    <t>Lot 004097</t>
  </si>
  <si>
    <t>Lot 004117</t>
  </si>
  <si>
    <t>Lot 004118</t>
  </si>
  <si>
    <t>SO0000403</t>
  </si>
  <si>
    <t>Lot 004100</t>
  </si>
  <si>
    <t>Lot 004098</t>
  </si>
  <si>
    <t>Lot 004099</t>
  </si>
  <si>
    <t>SO0000404</t>
  </si>
  <si>
    <t>Lot 004105</t>
  </si>
  <si>
    <t>Lot 004106</t>
  </si>
  <si>
    <t>Lot 004107</t>
  </si>
  <si>
    <t>SO0000405</t>
  </si>
  <si>
    <t>Lot 004123</t>
  </si>
  <si>
    <t>Lot 004122</t>
  </si>
  <si>
    <t>SO0000406</t>
  </si>
  <si>
    <t>Lot 004124</t>
  </si>
  <si>
    <t>SO0000407</t>
  </si>
  <si>
    <t>Lot 004129</t>
  </si>
  <si>
    <t>Lot 004143</t>
  </si>
  <si>
    <t>SO0000408</t>
  </si>
  <si>
    <t>Lot 004131</t>
  </si>
  <si>
    <t>Lot 004141</t>
  </si>
  <si>
    <t>Lot 004134</t>
  </si>
  <si>
    <t>Lot 004132</t>
  </si>
  <si>
    <t>Lot 004142</t>
  </si>
  <si>
    <t>Lot 004139</t>
  </si>
  <si>
    <t>Lot 004133</t>
  </si>
  <si>
    <t>Lot 004138</t>
  </si>
  <si>
    <t>SO0000409</t>
  </si>
  <si>
    <t>Lot 004174</t>
  </si>
  <si>
    <t>Lot 004175</t>
  </si>
  <si>
    <t>Lot 004176</t>
  </si>
  <si>
    <t>Lot 004177</t>
  </si>
  <si>
    <t>Lot 004178</t>
  </si>
  <si>
    <t>Lot 004179</t>
  </si>
  <si>
    <t>Lot 004180</t>
  </si>
  <si>
    <t>Lot 004181</t>
  </si>
  <si>
    <t>Lot 004182</t>
  </si>
  <si>
    <t>SO0000410</t>
  </si>
  <si>
    <t>Lot 004183</t>
  </si>
  <si>
    <t>Lot 004185</t>
  </si>
  <si>
    <t>Lot 004184</t>
  </si>
  <si>
    <t>SO0000411</t>
  </si>
  <si>
    <t>Lot 004193</t>
  </si>
  <si>
    <t>Lot 004194</t>
  </si>
  <si>
    <t>Lot 004195</t>
  </si>
  <si>
    <t>Lot 004196</t>
  </si>
  <si>
    <t>SO0000412</t>
  </si>
  <si>
    <t>Lot 004205</t>
  </si>
  <si>
    <t>SO0000413</t>
  </si>
  <si>
    <t>Lot 004206</t>
  </si>
  <si>
    <t>Lot 004207</t>
  </si>
  <si>
    <t>SO0000414</t>
  </si>
  <si>
    <t>Lot 004208</t>
  </si>
  <si>
    <t>SO0000415</t>
  </si>
  <si>
    <t>Lot 004212</t>
  </si>
  <si>
    <t>Lot 004210</t>
  </si>
  <si>
    <t>Lot 004211</t>
  </si>
  <si>
    <t>SO0000416</t>
  </si>
  <si>
    <t>Lot 004224</t>
  </si>
  <si>
    <t>SO0000417</t>
  </si>
  <si>
    <t>Lot 004226</t>
  </si>
  <si>
    <t>Lot 004225</t>
  </si>
  <si>
    <t>Lot 004227</t>
  </si>
  <si>
    <t>SO0000418</t>
  </si>
  <si>
    <t>Lot 004229</t>
  </si>
  <si>
    <t>Lot 004228</t>
  </si>
  <si>
    <t>SO0000419</t>
  </si>
  <si>
    <t>Lot 004231</t>
  </si>
  <si>
    <t>Lot 004230</t>
  </si>
  <si>
    <t>SO0000420</t>
  </si>
  <si>
    <t>Lot 004232</t>
  </si>
  <si>
    <t>SO0000421</t>
  </si>
  <si>
    <t>Lot 004243</t>
  </si>
  <si>
    <t>SO0000422</t>
  </si>
  <si>
    <t>Lot 004244</t>
  </si>
  <si>
    <t>Lot 004245</t>
  </si>
  <si>
    <t>SO0000423</t>
  </si>
  <si>
    <t>Lot 004246</t>
  </si>
  <si>
    <t>Lot 004247</t>
  </si>
  <si>
    <t>Lot 004248</t>
  </si>
  <si>
    <t>SO0000424</t>
  </si>
  <si>
    <t>Lot 004251</t>
  </si>
  <si>
    <t>Lot 004252</t>
  </si>
  <si>
    <t>SO0000425</t>
  </si>
  <si>
    <t>Lot 004258</t>
  </si>
  <si>
    <t>Lot 004256</t>
  </si>
  <si>
    <t>Lot 004255</t>
  </si>
  <si>
    <t>Lot 004257</t>
  </si>
  <si>
    <t>SO0000426</t>
  </si>
  <si>
    <t>Lot 004259</t>
  </si>
  <si>
    <t>Lot 004262</t>
  </si>
  <si>
    <t>SO0000427</t>
  </si>
  <si>
    <t>Lot 004260</t>
  </si>
  <si>
    <t>Lot 004261</t>
  </si>
  <si>
    <t>SO0000428</t>
  </si>
  <si>
    <t>Lot 004263</t>
  </si>
  <si>
    <t>Lot 004264</t>
  </si>
  <si>
    <t>Lot 004265</t>
  </si>
  <si>
    <t>SO0000429</t>
  </si>
  <si>
    <t>Lot 004267</t>
  </si>
  <si>
    <t>SO0000430</t>
  </si>
  <si>
    <t>Lot 004274</t>
  </si>
  <si>
    <t>Lot 004275</t>
  </si>
  <si>
    <t>SO0000431</t>
  </si>
  <si>
    <t>Lot 004280</t>
  </si>
  <si>
    <t>Lot 004278</t>
  </si>
  <si>
    <t>Lot 004291</t>
  </si>
  <si>
    <t>SO0000432</t>
  </si>
  <si>
    <t>Lot 004277</t>
  </si>
  <si>
    <t>Lot 004281</t>
  </si>
  <si>
    <t>SO0000433</t>
  </si>
  <si>
    <t>Lot 004288</t>
  </si>
  <si>
    <t>Lot 004289</t>
  </si>
  <si>
    <t>SO0000434</t>
  </si>
  <si>
    <t>Lot 004290</t>
  </si>
  <si>
    <t>SO0000435</t>
  </si>
  <si>
    <t>Lot 004296</t>
  </si>
  <si>
    <t>SO0000436</t>
  </si>
  <si>
    <t>Lot 004297</t>
  </si>
  <si>
    <t>SO0000437</t>
  </si>
  <si>
    <t>Lot 004298</t>
  </si>
  <si>
    <t>SO0000438</t>
  </si>
  <si>
    <t>Lot 004313</t>
  </si>
  <si>
    <t>Lot 004314</t>
  </si>
  <si>
    <t>SO0000439</t>
  </si>
  <si>
    <t>Lot 004318</t>
  </si>
  <si>
    <t>SO0000440</t>
  </si>
  <si>
    <t>Lot 004319</t>
  </si>
  <si>
    <t>Lot 004320</t>
  </si>
  <si>
    <t>Lot 004321</t>
  </si>
  <si>
    <t>Lot 004322</t>
  </si>
  <si>
    <t>SO0000441</t>
  </si>
  <si>
    <t>Lot 004323</t>
  </si>
  <si>
    <t>Lot 004325</t>
  </si>
  <si>
    <t>SO0000442</t>
  </si>
  <si>
    <t>Lot 004336</t>
  </si>
  <si>
    <t>SO0000443</t>
  </si>
  <si>
    <t>Lot 004337</t>
  </si>
  <si>
    <t>Lot 004341</t>
  </si>
  <si>
    <t>SO0000444</t>
  </si>
  <si>
    <t>Lot 004338</t>
  </si>
  <si>
    <t>Lot 004339</t>
  </si>
  <si>
    <t>Lot 004340</t>
  </si>
  <si>
    <t>SO0000445</t>
  </si>
  <si>
    <t>Lot 004342</t>
  </si>
  <si>
    <t>Lot 004343</t>
  </si>
  <si>
    <t>SO0000446</t>
  </si>
  <si>
    <t>Lot 004345</t>
  </si>
  <si>
    <t>Lot 004347</t>
  </si>
  <si>
    <t>Lot 004348</t>
  </si>
  <si>
    <t>Lot 004346</t>
  </si>
  <si>
    <t>SO0000447</t>
  </si>
  <si>
    <t>Lot 004357</t>
  </si>
  <si>
    <t>Lot 004356</t>
  </si>
  <si>
    <t>Lot 004368</t>
  </si>
  <si>
    <t>SO0000448</t>
  </si>
  <si>
    <t>Lot 004359</t>
  </si>
  <si>
    <t>SO0000449</t>
  </si>
  <si>
    <t>Lot 004362</t>
  </si>
  <si>
    <t>SO0000450</t>
  </si>
  <si>
    <t>Lot 004367</t>
  </si>
  <si>
    <t>Lot 004366</t>
  </si>
  <si>
    <t>SO0000451</t>
  </si>
  <si>
    <t>Lot 004378</t>
  </si>
  <si>
    <t>Lot 004379</t>
  </si>
  <si>
    <t>Lot 004380</t>
  </si>
  <si>
    <t>Lot 004381</t>
  </si>
  <si>
    <t>Lot 004382</t>
  </si>
  <si>
    <t>SO0000452</t>
  </si>
  <si>
    <t>Lot 004383</t>
  </si>
  <si>
    <t>SO0000453</t>
  </si>
  <si>
    <t>Lot 004387</t>
  </si>
  <si>
    <t>Lot 004389</t>
  </si>
  <si>
    <t>Lot 004388</t>
  </si>
  <si>
    <t>Lot 004390</t>
  </si>
  <si>
    <t>SO0000454</t>
  </si>
  <si>
    <t>Lot 004396</t>
  </si>
  <si>
    <t>SO0000455</t>
  </si>
  <si>
    <t>Lot 004619</t>
  </si>
  <si>
    <t>Lot 004626</t>
  </si>
  <si>
    <t>SO0000456</t>
  </si>
  <si>
    <t>Lot 004397</t>
  </si>
  <si>
    <t>Lot 004627</t>
  </si>
  <si>
    <t>Lot 004628</t>
  </si>
  <si>
    <t>SO0000457</t>
  </si>
  <si>
    <t>Lot 004625</t>
  </si>
  <si>
    <t>Lot 004623</t>
  </si>
  <si>
    <t>SO0000458</t>
  </si>
  <si>
    <t>Lot 004632</t>
  </si>
  <si>
    <t>SO0000459</t>
  </si>
  <si>
    <t>Lot 004634</t>
  </si>
  <si>
    <t>Lot 004633</t>
  </si>
  <si>
    <t>SO0000460</t>
  </si>
  <si>
    <t>Lot 004637</t>
  </si>
  <si>
    <t>Lot 004641</t>
  </si>
  <si>
    <t>SO0000461</t>
  </si>
  <si>
    <t>Lot 004638</t>
  </si>
  <si>
    <t>Lot 004640</t>
  </si>
  <si>
    <t>Lot 004639</t>
  </si>
  <si>
    <t>SO0000462</t>
  </si>
  <si>
    <t>Lot 004653</t>
  </si>
  <si>
    <t>SO0000463</t>
  </si>
  <si>
    <t>Lot 004654</t>
  </si>
  <si>
    <t>SO0000464</t>
  </si>
  <si>
    <t>Lot 004656</t>
  </si>
  <si>
    <t>SO0000465</t>
  </si>
  <si>
    <t>Lot 004659</t>
  </si>
  <si>
    <t>Lot 004657</t>
  </si>
  <si>
    <t>Lot 004658</t>
  </si>
  <si>
    <t>SO0000466</t>
  </si>
  <si>
    <t>Lot 004662</t>
  </si>
  <si>
    <t>Lot 004660</t>
  </si>
  <si>
    <t>SO0000467</t>
  </si>
  <si>
    <t>Lot 004663</t>
  </si>
  <si>
    <t>Lot 004664</t>
  </si>
  <si>
    <t>SO0000468</t>
  </si>
  <si>
    <t>Lot 004676</t>
  </si>
  <si>
    <t>Lot 004674</t>
  </si>
  <si>
    <t>Lot 004675</t>
  </si>
  <si>
    <t>SO0000469</t>
  </si>
  <si>
    <t>Lot 004677</t>
  </si>
  <si>
    <t>Lot 004678</t>
  </si>
  <si>
    <t>SO0000470</t>
  </si>
  <si>
    <t>Lot 004679</t>
  </si>
  <si>
    <t>SO0000471</t>
  </si>
  <si>
    <t>Lot 004684</t>
  </si>
  <si>
    <t>SO0000472</t>
  </si>
  <si>
    <t>Lot 004688</t>
  </si>
  <si>
    <t>Lot 004689</t>
  </si>
  <si>
    <t>Lot 004690</t>
  </si>
  <si>
    <t>SO0000473</t>
  </si>
  <si>
    <t>Lot 004694</t>
  </si>
  <si>
    <t>SO0000474</t>
  </si>
  <si>
    <t>Lot 004695</t>
  </si>
  <si>
    <t>Lot 004698</t>
  </si>
  <si>
    <t>SO0000475</t>
  </si>
  <si>
    <t>Lot 004696</t>
  </si>
  <si>
    <t>Lot 004697</t>
  </si>
  <si>
    <t>SO0000476</t>
  </si>
  <si>
    <t>Lot 004699</t>
  </si>
  <si>
    <t>Lot 004700</t>
  </si>
  <si>
    <t>Lot 004701</t>
  </si>
  <si>
    <t>SO0000477</t>
  </si>
  <si>
    <t>Lot 004705</t>
  </si>
  <si>
    <t>Lot 004706</t>
  </si>
  <si>
    <t>Lot 004702</t>
  </si>
  <si>
    <t>SO0000478</t>
  </si>
  <si>
    <t>Lot 004710</t>
  </si>
  <si>
    <t>SO0000479</t>
  </si>
  <si>
    <t>Lot 004711</t>
  </si>
  <si>
    <t>SO0000480</t>
  </si>
  <si>
    <t>Lot 004716</t>
  </si>
  <si>
    <t>Lot 004727</t>
  </si>
  <si>
    <t>SO0000481</t>
  </si>
  <si>
    <t>Lot 004720</t>
  </si>
  <si>
    <t>Lot 004721</t>
  </si>
  <si>
    <t>Lot 004722</t>
  </si>
  <si>
    <t>SO0000482</t>
  </si>
  <si>
    <t>Lot 004726</t>
  </si>
  <si>
    <t>SO0000483</t>
  </si>
  <si>
    <t>Lot 004739</t>
  </si>
  <si>
    <t>SO0000484</t>
  </si>
  <si>
    <t>Lot 004741</t>
  </si>
  <si>
    <t>Lot 004742</t>
  </si>
  <si>
    <t>SO0000485</t>
  </si>
  <si>
    <t>Lot 004743</t>
  </si>
  <si>
    <t>SO0000486</t>
  </si>
  <si>
    <t>Lot 004748</t>
  </si>
  <si>
    <t>Lot 004746</t>
  </si>
  <si>
    <t>Lot 004749</t>
  </si>
  <si>
    <t>SO0000487</t>
  </si>
  <si>
    <t>Lot 004753</t>
  </si>
  <si>
    <t>Lot 004752</t>
  </si>
  <si>
    <t>Lot 004751</t>
  </si>
  <si>
    <t>Lot 004750</t>
  </si>
  <si>
    <t>SO0000488</t>
  </si>
  <si>
    <t>Lot 004758</t>
  </si>
  <si>
    <t>SO0000489</t>
  </si>
  <si>
    <t>Lot 004759</t>
  </si>
  <si>
    <t>SO0000490</t>
  </si>
  <si>
    <t>Lot 004766</t>
  </si>
  <si>
    <t>Lot 004764</t>
  </si>
  <si>
    <t>Lot 004765</t>
  </si>
  <si>
    <t>SO0000491</t>
  </si>
  <si>
    <t>Lot 004773</t>
  </si>
  <si>
    <t>Lot 004774</t>
  </si>
  <si>
    <t>SO0000492</t>
  </si>
  <si>
    <t>Lot 004776</t>
  </si>
  <si>
    <t>SO0000493</t>
  </si>
  <si>
    <t>Lot 004778</t>
  </si>
  <si>
    <t>Lot 004779</t>
  </si>
  <si>
    <t>SO0000494</t>
  </si>
  <si>
    <t>Lot 004780</t>
  </si>
  <si>
    <t>SO0000495</t>
  </si>
  <si>
    <t>Lot 004781</t>
  </si>
  <si>
    <t>SO0000496</t>
  </si>
  <si>
    <t>Lot 004783</t>
  </si>
  <si>
    <t>SO0000497</t>
  </si>
  <si>
    <t>Lot 004785</t>
  </si>
  <si>
    <t>Lot 004786</t>
  </si>
  <si>
    <t>SO0000498</t>
  </si>
  <si>
    <t>Lot 004788</t>
  </si>
  <si>
    <t>SO0000499</t>
  </si>
  <si>
    <t>Lot 004789</t>
  </si>
  <si>
    <t>Lot 004790</t>
  </si>
  <si>
    <t>SO0000500</t>
  </si>
  <si>
    <t>Lot 004791</t>
  </si>
  <si>
    <t>Lot 004792</t>
  </si>
  <si>
    <t>SO0000501</t>
  </si>
  <si>
    <t>Lot 004793</t>
  </si>
  <si>
    <t>Lot 004830</t>
  </si>
  <si>
    <t>SO0000502</t>
  </si>
  <si>
    <t>Lot 004795</t>
  </si>
  <si>
    <t>Lot 004797</t>
  </si>
  <si>
    <t>Lot 004796</t>
  </si>
  <si>
    <t>SO0000503</t>
  </si>
  <si>
    <t>Lot 004806</t>
  </si>
  <si>
    <t>Lot 004811</t>
  </si>
  <si>
    <t>Lot 004819</t>
  </si>
  <si>
    <t>Lot 004808</t>
  </si>
  <si>
    <t>Lot 004807</t>
  </si>
  <si>
    <t>Lot 004810</t>
  </si>
  <si>
    <t>SO0000504</t>
  </si>
  <si>
    <t>Lot 004815</t>
  </si>
  <si>
    <t>Lot 004816</t>
  </si>
  <si>
    <t>SO0000505</t>
  </si>
  <si>
    <t>Lot 004831</t>
  </si>
  <si>
    <t>SO0000506</t>
  </si>
  <si>
    <t>Lot 004835</t>
  </si>
  <si>
    <t>Lot 004834</t>
  </si>
  <si>
    <t>SO0000507</t>
  </si>
  <si>
    <t>Lot 004837</t>
  </si>
  <si>
    <t>SO0000508</t>
  </si>
  <si>
    <t>Lot 004841</t>
  </si>
  <si>
    <t>Lot 004840</t>
  </si>
  <si>
    <t>Lot 004842</t>
  </si>
  <si>
    <t>SO0000509</t>
  </si>
  <si>
    <t>Lot 004853</t>
  </si>
  <si>
    <t>SO0000510</t>
  </si>
  <si>
    <t>Lot 004857</t>
  </si>
  <si>
    <t>SO0000511</t>
  </si>
  <si>
    <t>Lot 004862</t>
  </si>
  <si>
    <t>Lot 004863</t>
  </si>
  <si>
    <t>Lot 004864</t>
  </si>
  <si>
    <t>Lot 004865</t>
  </si>
  <si>
    <t>SO0000512</t>
  </si>
  <si>
    <t>Lot 004868</t>
  </si>
  <si>
    <t>Lot 004869</t>
  </si>
  <si>
    <t>SO0000513</t>
  </si>
  <si>
    <t>Lot 004870</t>
  </si>
  <si>
    <t>Lot 004871</t>
  </si>
  <si>
    <t>SO0000514</t>
  </si>
  <si>
    <t>Lot 004886</t>
  </si>
  <si>
    <t>Lot 004885</t>
  </si>
  <si>
    <t>Lot 004914</t>
  </si>
  <si>
    <t>Lot 004920</t>
  </si>
  <si>
    <t>Lot 004887</t>
  </si>
  <si>
    <t>Lot 004888</t>
  </si>
  <si>
    <t>Lot 004894</t>
  </si>
  <si>
    <t>SO0000515</t>
  </si>
  <si>
    <t>Lot 004889</t>
  </si>
  <si>
    <t>Lot 004890</t>
  </si>
  <si>
    <t>SO0000516</t>
  </si>
  <si>
    <t>Lot 004893</t>
  </si>
  <si>
    <t>Lot 004915</t>
  </si>
  <si>
    <t>SO0000517</t>
  </si>
  <si>
    <t>Lot 004895</t>
  </si>
  <si>
    <t>Lot 004916</t>
  </si>
  <si>
    <t>Lot 004896</t>
  </si>
  <si>
    <t>Lot 004917</t>
  </si>
  <si>
    <t>SO0000518</t>
  </si>
  <si>
    <t>Lot 004903</t>
  </si>
  <si>
    <t>Lot 004905</t>
  </si>
  <si>
    <t>Lot 004904</t>
  </si>
  <si>
    <t>SO0000519</t>
  </si>
  <si>
    <t>Lot 004906</t>
  </si>
  <si>
    <t>Lot 004907</t>
  </si>
  <si>
    <t>Lot 004909</t>
  </si>
  <si>
    <t>Lot 004908</t>
  </si>
  <si>
    <t>SO0000520</t>
  </si>
  <si>
    <t>Lot 004919</t>
  </si>
  <si>
    <t>Lot 004918</t>
  </si>
  <si>
    <t>SO0000521</t>
  </si>
  <si>
    <t>Lot 004923</t>
  </si>
  <si>
    <t>Lot 004922</t>
  </si>
  <si>
    <t>Lot 004924</t>
  </si>
  <si>
    <t>Lot 004925</t>
  </si>
  <si>
    <t>SO0000522</t>
  </si>
  <si>
    <t>Lot 004926</t>
  </si>
  <si>
    <t>SO0000523</t>
  </si>
  <si>
    <t>Lot 004930</t>
  </si>
  <si>
    <t>SO0000524</t>
  </si>
  <si>
    <t>Lot 004936</t>
  </si>
  <si>
    <t>SO0000525</t>
  </si>
  <si>
    <t>Lot 004939</t>
  </si>
  <si>
    <t>Lot 004938</t>
  </si>
  <si>
    <t>SO0000526</t>
  </si>
  <si>
    <t>Lot 004944</t>
  </si>
  <si>
    <t>Lot 004945</t>
  </si>
  <si>
    <t>ApP0000238</t>
  </si>
  <si>
    <t>Lot 003527</t>
  </si>
  <si>
    <t>ApP0000239</t>
  </si>
  <si>
    <t>Lot 003981</t>
  </si>
  <si>
    <t>ApP0000244</t>
  </si>
  <si>
    <t>Lot 004001</t>
  </si>
  <si>
    <t>ApP0000245</t>
  </si>
  <si>
    <t>Lot 004009</t>
  </si>
  <si>
    <t>ApP0000246</t>
  </si>
  <si>
    <t>Lot 004010</t>
  </si>
  <si>
    <t>ApP0000249</t>
  </si>
  <si>
    <t>Lot 004076</t>
  </si>
  <si>
    <t>ApP0000250</t>
  </si>
  <si>
    <t>Lot 004079</t>
  </si>
  <si>
    <t>ApP0000251</t>
  </si>
  <si>
    <t>Lot 004080</t>
  </si>
  <si>
    <t>ApP0000252</t>
  </si>
  <si>
    <t>Lot 004087</t>
  </si>
  <si>
    <t>Lot 004088</t>
  </si>
  <si>
    <t>ApP0000253</t>
  </si>
  <si>
    <t>Lot 004101</t>
  </si>
  <si>
    <t>ApP0000254</t>
  </si>
  <si>
    <t>Lot 004102</t>
  </si>
  <si>
    <t>ApP0000255</t>
  </si>
  <si>
    <t>Lot 004103</t>
  </si>
  <si>
    <t>ApP0000256</t>
  </si>
  <si>
    <t>Lot 004104</t>
  </si>
  <si>
    <t>ApP0000257</t>
  </si>
  <si>
    <t>Lot 004110</t>
  </si>
  <si>
    <t>Lot 004109</t>
  </si>
  <si>
    <t>Lot 004108</t>
  </si>
  <si>
    <t>ApP0000258</t>
  </si>
  <si>
    <t>Lot 004115</t>
  </si>
  <si>
    <t>Lot 004116</t>
  </si>
  <si>
    <t>ApP0000259</t>
  </si>
  <si>
    <t>Lot 004125</t>
  </si>
  <si>
    <t>Lot 004130</t>
  </si>
  <si>
    <t>ApP0000260</t>
  </si>
  <si>
    <t>Lot 004140</t>
  </si>
  <si>
    <t>ApP0000261</t>
  </si>
  <si>
    <t>Lot 004144</t>
  </si>
  <si>
    <t>ApP0000262</t>
  </si>
  <si>
    <t>Lot 004146</t>
  </si>
  <si>
    <t>Lot 004147</t>
  </si>
  <si>
    <t>Lot 004148</t>
  </si>
  <si>
    <t>ApP0000263</t>
  </si>
  <si>
    <t>Lot 004150</t>
  </si>
  <si>
    <t>ApP0000264</t>
  </si>
  <si>
    <t>Lot 004159</t>
  </si>
  <si>
    <t>Lot 004160</t>
  </si>
  <si>
    <t>Lot 004161</t>
  </si>
  <si>
    <t>Lot 004162</t>
  </si>
  <si>
    <t>Lot 004163</t>
  </si>
  <si>
    <t>ApP0000265</t>
  </si>
  <si>
    <t>Lot 004223</t>
  </si>
  <si>
    <t>ApP0000266</t>
  </si>
  <si>
    <t>Lot 004233</t>
  </si>
  <si>
    <t>ApP0000267</t>
  </si>
  <si>
    <t>Lot 004237</t>
  </si>
  <si>
    <t>Lot 004238</t>
  </si>
  <si>
    <t>ApP0000268</t>
  </si>
  <si>
    <t>Lot 004189</t>
  </si>
  <si>
    <t>Lot 004190</t>
  </si>
  <si>
    <t>Lot 004191</t>
  </si>
  <si>
    <t>Lot 004192</t>
  </si>
  <si>
    <t>ApP0000269</t>
  </si>
  <si>
    <t>Lot 004209</t>
  </si>
  <si>
    <t>Lot 004249</t>
  </si>
  <si>
    <t>Lot 004250</t>
  </si>
  <si>
    <t>ApP0000272</t>
  </si>
  <si>
    <t>Lot 004266</t>
  </si>
  <si>
    <t>ApP0000273</t>
  </si>
  <si>
    <t>Lot 004268</t>
  </si>
  <si>
    <t>Lot 004269</t>
  </si>
  <si>
    <t>ApP0000274</t>
  </si>
  <si>
    <t>Lot 004276</t>
  </si>
  <si>
    <t>Lot 004283</t>
  </si>
  <si>
    <t>Lot 004284</t>
  </si>
  <si>
    <t>Lot 004285</t>
  </si>
  <si>
    <t>Lot 004286</t>
  </si>
  <si>
    <t>ApP0000275</t>
  </si>
  <si>
    <t>Lot 004282</t>
  </si>
  <si>
    <t>ApP0000276</t>
  </si>
  <si>
    <t>Lot 004287</t>
  </si>
  <si>
    <t>ApP0000277</t>
  </si>
  <si>
    <t>Lot 004292</t>
  </si>
  <si>
    <t>ApP0000278</t>
  </si>
  <si>
    <t>Lot 004294</t>
  </si>
  <si>
    <t>ApP0000279</t>
  </si>
  <si>
    <t>Lot 004299</t>
  </si>
  <si>
    <t>ApP0000280</t>
  </si>
  <si>
    <t>Lot 004303</t>
  </si>
  <si>
    <t>ApP0000281</t>
  </si>
  <si>
    <t>Lot 004304</t>
  </si>
  <si>
    <t>ApP0000283</t>
  </si>
  <si>
    <t>Lot 004332</t>
  </si>
  <si>
    <t>ApP0000284</t>
  </si>
  <si>
    <t>Lot 004333</t>
  </si>
  <si>
    <t>ApP0000285</t>
  </si>
  <si>
    <t>Lot 004344</t>
  </si>
  <si>
    <t>ApP0000286</t>
  </si>
  <si>
    <t>Lot 004358</t>
  </si>
  <si>
    <t>ApP0000287</t>
  </si>
  <si>
    <t>Lot 004363</t>
  </si>
  <si>
    <t>ApP0000288</t>
  </si>
  <si>
    <t>Lot 004364</t>
  </si>
  <si>
    <t>ApP0000289</t>
  </si>
  <si>
    <t>Lot 004365</t>
  </si>
  <si>
    <t>ApP0000291</t>
  </si>
  <si>
    <t>Lot 004391</t>
  </si>
  <si>
    <t>ApP0000292</t>
  </si>
  <si>
    <t>Lot 004392</t>
  </si>
  <si>
    <t>Lot 004393</t>
  </si>
  <si>
    <t>ApP0000293</t>
  </si>
  <si>
    <t>Lot 004394</t>
  </si>
  <si>
    <t>ApP0000294</t>
  </si>
  <si>
    <t>Lot 004395</t>
  </si>
  <si>
    <t>ApP0000295</t>
  </si>
  <si>
    <t>Lot 004630</t>
  </si>
  <si>
    <t>ApP0000296</t>
  </si>
  <si>
    <t>Lot 004631</t>
  </si>
  <si>
    <t>ApP0000297</t>
  </si>
  <si>
    <t>Lot 004636</t>
  </si>
  <si>
    <t>Lot 004635</t>
  </si>
  <si>
    <t>ApP0000298</t>
  </si>
  <si>
    <t>Lot 004655</t>
  </si>
  <si>
    <t>ApP0000299</t>
  </si>
  <si>
    <t>Lot 004665</t>
  </si>
  <si>
    <t>ApP0000300</t>
  </si>
  <si>
    <t>Lot 004666</t>
  </si>
  <si>
    <t>Lot 004667</t>
  </si>
  <si>
    <t>Lot 004668</t>
  </si>
  <si>
    <t>Lot 004671</t>
  </si>
  <si>
    <t>ApP0000301</t>
  </si>
  <si>
    <t>Lot 004669</t>
  </si>
  <si>
    <t>ApP0000302</t>
  </si>
  <si>
    <t>Lot 004672</t>
  </si>
  <si>
    <t>ApP0000303</t>
  </si>
  <si>
    <t>Lot 004685</t>
  </si>
  <si>
    <t>Lot 004686</t>
  </si>
  <si>
    <t>ApP0000304</t>
  </si>
  <si>
    <t>Lot 004687</t>
  </si>
  <si>
    <t>ApP0000305</t>
  </si>
  <si>
    <t>Lot 004692</t>
  </si>
  <si>
    <t>Lot 004691</t>
  </si>
  <si>
    <t>ApP0000306</t>
  </si>
  <si>
    <t>Lot 004693</t>
  </si>
  <si>
    <t>ApP0000307</t>
  </si>
  <si>
    <t>Lot 004724</t>
  </si>
  <si>
    <t>Lot 004723</t>
  </si>
  <si>
    <t>ApP0000308</t>
  </si>
  <si>
    <t>Lot 004725</t>
  </si>
  <si>
    <t>ApP0000309</t>
  </si>
  <si>
    <t>Lot 004740</t>
  </si>
  <si>
    <t>ApP0000310</t>
  </si>
  <si>
    <t>Lot 004756</t>
  </si>
  <si>
    <t>Lot 004754</t>
  </si>
  <si>
    <t>Lot 004755</t>
  </si>
  <si>
    <t>ApP0000311</t>
  </si>
  <si>
    <t>Lot 004757</t>
  </si>
  <si>
    <t>ApP0000312</t>
  </si>
  <si>
    <t>Lot 004760</t>
  </si>
  <si>
    <t>ApP0000313</t>
  </si>
  <si>
    <t>Lot 004761</t>
  </si>
  <si>
    <t>ApP0000314</t>
  </si>
  <si>
    <t>Lot 004762</t>
  </si>
  <si>
    <t>Lot 004763</t>
  </si>
  <si>
    <t>ApP0000315</t>
  </si>
  <si>
    <t>Lot 004771</t>
  </si>
  <si>
    <t>Lot 004768</t>
  </si>
  <si>
    <t>Lot 004769</t>
  </si>
  <si>
    <t>Lot 004770</t>
  </si>
  <si>
    <t>ApP0000316</t>
  </si>
  <si>
    <t>Lot 004772</t>
  </si>
  <si>
    <t>ApP0000317</t>
  </si>
  <si>
    <t>Lot 004784</t>
  </si>
  <si>
    <t>ApP0000318</t>
  </si>
  <si>
    <t>Lot 004794</t>
  </si>
  <si>
    <t>ApP0000319</t>
  </si>
  <si>
    <t>Lot 004801</t>
  </si>
  <si>
    <t>Lot 004802</t>
  </si>
  <si>
    <t>Lot 004803</t>
  </si>
  <si>
    <t>ApP0000320</t>
  </si>
  <si>
    <t>Lot 004805</t>
  </si>
  <si>
    <t>ApP0000321</t>
  </si>
  <si>
    <t>Lot 004818</t>
  </si>
  <si>
    <t>ApP0000322</t>
  </si>
  <si>
    <t>Lot 004820</t>
  </si>
  <si>
    <t>ApP0000323</t>
  </si>
  <si>
    <t>Lot 004823</t>
  </si>
  <si>
    <t>ApP0000324</t>
  </si>
  <si>
    <t>Lot 004824</t>
  </si>
  <si>
    <t>Lot 004825</t>
  </si>
  <si>
    <t>ApP0000325</t>
  </si>
  <si>
    <t>Lot 004826</t>
  </si>
  <si>
    <t>ApP0000326</t>
  </si>
  <si>
    <t>Lot 004827</t>
  </si>
  <si>
    <t>ApP0000328</t>
  </si>
  <si>
    <t>Lot 004846</t>
  </si>
  <si>
    <t>ApP0000330</t>
  </si>
  <si>
    <t>Lot 004854</t>
  </si>
  <si>
    <t>Lot 004855</t>
  </si>
  <si>
    <t>Lot 004856</t>
  </si>
  <si>
    <t>ApP0000332</t>
  </si>
  <si>
    <t>Lot 004859</t>
  </si>
  <si>
    <t>Lot 004860</t>
  </si>
  <si>
    <t>Lot 004861</t>
  </si>
  <si>
    <t>ApP0000333</t>
  </si>
  <si>
    <t>Lot 004866</t>
  </si>
  <si>
    <t>ApP0000335</t>
  </si>
  <si>
    <t>Lot 004911</t>
  </si>
  <si>
    <t>ApP0000336</t>
  </si>
  <si>
    <t>Lot 004912</t>
  </si>
  <si>
    <t>InvJ000117</t>
  </si>
  <si>
    <t>Lot 004305</t>
  </si>
  <si>
    <t>InvJ000128</t>
  </si>
  <si>
    <t>Lot 004931</t>
  </si>
  <si>
    <t>Lot 004932</t>
  </si>
  <si>
    <t>Lot 004933</t>
  </si>
  <si>
    <t>InvJ000130</t>
  </si>
  <si>
    <t>Lot 004942</t>
  </si>
  <si>
    <t>Lot 004943</t>
  </si>
  <si>
    <t>Lot 004644</t>
  </si>
  <si>
    <t>Lot 004878</t>
  </si>
  <si>
    <t>Lot 004731</t>
  </si>
  <si>
    <t>Lot 004645</t>
  </si>
  <si>
    <t>Lot 004732</t>
  </si>
  <si>
    <t>Lot 004215</t>
  </si>
  <si>
    <t>Lot 004216</t>
  </si>
  <si>
    <t>Lot 004646</t>
  </si>
  <si>
    <t>Lot 004217</t>
  </si>
  <si>
    <t>Lot 004733</t>
  </si>
  <si>
    <t>Lot 004879</t>
  </si>
  <si>
    <t>Lot 004328</t>
  </si>
  <si>
    <t>Lot 004880</t>
  </si>
  <si>
    <t>Lot 004881</t>
  </si>
  <si>
    <t>Lot 004882</t>
  </si>
  <si>
    <t>Lot 004883</t>
  </si>
  <si>
    <t>Lot 004734</t>
  </si>
  <si>
    <t>Lot 004735</t>
  </si>
  <si>
    <t>Lot 004736</t>
  </si>
  <si>
    <t>Lot 004737</t>
  </si>
  <si>
    <t>Lot 004647</t>
  </si>
  <si>
    <t>Lot 004738</t>
  </si>
  <si>
    <t>Lot 004218</t>
  </si>
  <si>
    <t>Lot 004648</t>
  </si>
  <si>
    <t>Lot 004329</t>
  </si>
  <si>
    <t>Lot 004330</t>
  </si>
  <si>
    <t>Lot 004649</t>
  </si>
  <si>
    <t>Lot 004650</t>
  </si>
  <si>
    <t>Lot 004884</t>
  </si>
  <si>
    <t>Lot 004219</t>
  </si>
  <si>
    <t>Lot 004220</t>
  </si>
  <si>
    <t>Lot 004221</t>
  </si>
  <si>
    <t>Lot 004222</t>
  </si>
  <si>
    <t>Lot 004331</t>
  </si>
  <si>
    <t>Lot 004651</t>
  </si>
  <si>
    <t>Lot 004652</t>
  </si>
  <si>
    <t>Lot 004642</t>
  </si>
  <si>
    <t>Lot 004872</t>
  </si>
  <si>
    <t>Lot 004728</t>
  </si>
  <si>
    <t>Lot 004873</t>
  </si>
  <si>
    <t>Lot 004874</t>
  </si>
  <si>
    <t>Lot 004213</t>
  </si>
  <si>
    <t>Lot 004326</t>
  </si>
  <si>
    <t>Lot 004327</t>
  </si>
  <si>
    <t>Lot 004643</t>
  </si>
  <si>
    <t>Lot 004729</t>
  </si>
  <si>
    <t>Lot 004730</t>
  </si>
  <si>
    <t>Lot 004875</t>
  </si>
  <si>
    <t>Lot 004876</t>
  </si>
  <si>
    <t>Lot 004877</t>
  </si>
  <si>
    <t>Lot 004214</t>
  </si>
  <si>
    <t>InvJ000098</t>
  </si>
  <si>
    <t>Lot 003999</t>
  </si>
  <si>
    <t>Lot 003998</t>
  </si>
  <si>
    <t>InvJ000099</t>
  </si>
  <si>
    <t>Lot 004026</t>
  </si>
  <si>
    <t>Lot 004027</t>
  </si>
  <si>
    <t>InvJ000101</t>
  </si>
  <si>
    <t>Lot 004082</t>
  </si>
  <si>
    <t>InvJ000102</t>
  </si>
  <si>
    <t>Lot 004084</t>
  </si>
  <si>
    <t>InvJ000103</t>
  </si>
  <si>
    <t>Lot 004094</t>
  </si>
  <si>
    <t>Lot 004095</t>
  </si>
  <si>
    <t>InvJ000104</t>
  </si>
  <si>
    <t>Lot 004112</t>
  </si>
  <si>
    <t>Lot 004114</t>
  </si>
  <si>
    <t>InvJ000105</t>
  </si>
  <si>
    <t>Lot 004121</t>
  </si>
  <si>
    <t>Lot 004120</t>
  </si>
  <si>
    <t>InvJ000106</t>
  </si>
  <si>
    <t>Lot 004127</t>
  </si>
  <si>
    <t>InvJ000107</t>
  </si>
  <si>
    <t>Lot 004137</t>
  </si>
  <si>
    <t>Lot 004136</t>
  </si>
  <si>
    <t>InvJ000108</t>
  </si>
  <si>
    <t>Lot 004152</t>
  </si>
  <si>
    <t>InvJ000109</t>
  </si>
  <si>
    <t>Lot 004154</t>
  </si>
  <si>
    <t>Lot 004156</t>
  </si>
  <si>
    <t>Lot 004158</t>
  </si>
  <si>
    <t>InvJ000110</t>
  </si>
  <si>
    <t>Lot 004165</t>
  </si>
  <si>
    <t>Lot 004167</t>
  </si>
  <si>
    <t>Lot 004169</t>
  </si>
  <si>
    <t>Lot 004171</t>
  </si>
  <si>
    <t>Lot 004173</t>
  </si>
  <si>
    <t>InvJ000111</t>
  </si>
  <si>
    <t>Lot 004188</t>
  </si>
  <si>
    <t>Lot 004187</t>
  </si>
  <si>
    <t>InvJ000112</t>
  </si>
  <si>
    <t>Lot 004198</t>
  </si>
  <si>
    <t>Lot 004200</t>
  </si>
  <si>
    <t>Lot 004202</t>
  </si>
  <si>
    <t>InvJ000113</t>
  </si>
  <si>
    <t>Lot 004204</t>
  </si>
  <si>
    <t>InvJ000114</t>
  </si>
  <si>
    <t>InvJ000115</t>
  </si>
  <si>
    <t>Lot 004271</t>
  </si>
  <si>
    <t>Lot 004273</t>
  </si>
  <si>
    <t>InvJ000116</t>
  </si>
  <si>
    <t>Lot 004301</t>
  </si>
  <si>
    <t>InvJ000118</t>
  </si>
  <si>
    <t>Lot 004310</t>
  </si>
  <si>
    <t>Lot 004312</t>
  </si>
  <si>
    <t>InvJ000119</t>
  </si>
  <si>
    <t>Lot 004351</t>
  </si>
  <si>
    <t>Lot 004350</t>
  </si>
  <si>
    <t>InvJ000120</t>
  </si>
  <si>
    <t>Lot 004354</t>
  </si>
  <si>
    <t>Lot 004355</t>
  </si>
  <si>
    <t>InvJ000121</t>
  </si>
  <si>
    <t>Lot 004373</t>
  </si>
  <si>
    <t>Lot 004375</t>
  </si>
  <si>
    <t>Lot 004377</t>
  </si>
  <si>
    <t>InvJ000122</t>
  </si>
  <si>
    <t>Lot 004386</t>
  </si>
  <si>
    <t>Lot 004385</t>
  </si>
  <si>
    <t>InvJ000124</t>
  </si>
  <si>
    <t>Lot 004719</t>
  </si>
  <si>
    <t>Lot 004718</t>
  </si>
  <si>
    <t>InvJ000125</t>
  </si>
  <si>
    <t>Lot 004814</t>
  </si>
  <si>
    <t>Lot 004813</t>
  </si>
  <si>
    <t>InvJ000126</t>
  </si>
  <si>
    <t>Lot 004829</t>
  </si>
  <si>
    <t>InvJ000127</t>
  </si>
  <si>
    <t>Lot 004899</t>
  </si>
  <si>
    <t>Lot 004901</t>
  </si>
  <si>
    <t>Lot 004898</t>
  </si>
  <si>
    <t>Lot 004902</t>
  </si>
  <si>
    <t>Lot 003997</t>
  </si>
  <si>
    <t>Lot 004025</t>
  </si>
  <si>
    <t>Lot 004081</t>
  </si>
  <si>
    <t>Lot 004083</t>
  </si>
  <si>
    <t>Lot 004093</t>
  </si>
  <si>
    <t>Lot 004111</t>
  </si>
  <si>
    <t>Lot 004113</t>
  </si>
  <si>
    <t>Lot 004119</t>
  </si>
  <si>
    <t>Lot 004126</t>
  </si>
  <si>
    <t>Lot 004135</t>
  </si>
  <si>
    <t>Lot 004151</t>
  </si>
  <si>
    <t>Lot 004153</t>
  </si>
  <si>
    <t>Lot 004155</t>
  </si>
  <si>
    <t>Lot 004157</t>
  </si>
  <si>
    <t>Lot 004164</t>
  </si>
  <si>
    <t>Lot 004166</t>
  </si>
  <si>
    <t>Lot 004168</t>
  </si>
  <si>
    <t>Lot 004170</t>
  </si>
  <si>
    <t>Lot 004172</t>
  </si>
  <si>
    <t>Lot 004186</t>
  </si>
  <si>
    <t>Lot 004197</t>
  </si>
  <si>
    <t>Lot 004199</t>
  </si>
  <si>
    <t>Lot 004201</t>
  </si>
  <si>
    <t>Lot 004203</t>
  </si>
  <si>
    <t>Lot 004234</t>
  </si>
  <si>
    <t>Lot 004270</t>
  </si>
  <si>
    <t>Lot 004272</t>
  </si>
  <si>
    <t>Lot 004300</t>
  </si>
  <si>
    <t>Lot 004309</t>
  </si>
  <si>
    <t>Lot 004311</t>
  </si>
  <si>
    <t>Lot 004349</t>
  </si>
  <si>
    <t>Lot 004353</t>
  </si>
  <si>
    <t>Lot 004372</t>
  </si>
  <si>
    <t>Lot 004374</t>
  </si>
  <si>
    <t>Lot 004376</t>
  </si>
  <si>
    <t>Lot 004384</t>
  </si>
  <si>
    <t>Lot 004717</t>
  </si>
  <si>
    <t>Lot 004812</t>
  </si>
  <si>
    <t>Lot 004828</t>
  </si>
  <si>
    <t>Lot 004897</t>
  </si>
  <si>
    <t>Lot 004900</t>
  </si>
  <si>
    <t>InvJ000123</t>
  </si>
  <si>
    <t>Lot 004401</t>
  </si>
  <si>
    <t>Lot 004403</t>
  </si>
  <si>
    <t>Lot 004405</t>
  </si>
  <si>
    <t>Lot 004406</t>
  </si>
  <si>
    <t>Lot 004523</t>
  </si>
  <si>
    <t>Lot 004536</t>
  </si>
  <si>
    <t>Lot 004599</t>
  </si>
  <si>
    <t>Lot 004600</t>
  </si>
  <si>
    <t>Lot 004601</t>
  </si>
  <si>
    <t>Lot 004607</t>
  </si>
  <si>
    <t>Lot 004608</t>
  </si>
  <si>
    <t>Lot 004613</t>
  </si>
  <si>
    <t>InvJ000131</t>
  </si>
  <si>
    <t>Lot 005195</t>
  </si>
  <si>
    <t>Lot 005289</t>
  </si>
  <si>
    <t>Lot 005312</t>
  </si>
  <si>
    <t>Lot 005313</t>
  </si>
  <si>
    <t>Lot 005314</t>
  </si>
  <si>
    <t>Lot 005329</t>
  </si>
  <si>
    <t>Lot 005333</t>
  </si>
  <si>
    <t>FA 100049</t>
  </si>
  <si>
    <t>Lot 004145</t>
  </si>
  <si>
    <t>Lot 004293</t>
  </si>
  <si>
    <t>Lot 004295</t>
  </si>
  <si>
    <t>FA 100050</t>
  </si>
  <si>
    <t>Lot 004867</t>
  </si>
  <si>
    <t>PoI0000229</t>
  </si>
  <si>
    <t>POCN000010</t>
  </si>
  <si>
    <t>TPPTransAdjustment</t>
  </si>
  <si>
    <t>TransOrigin</t>
  </si>
  <si>
    <t>Lot Id</t>
  </si>
  <si>
    <t>Adjustment?</t>
  </si>
  <si>
    <t>Group by</t>
  </si>
  <si>
    <t>Transaction type</t>
  </si>
  <si>
    <t>TPP Cost Price(Trans)</t>
  </si>
  <si>
    <t>TPP Cost Amount(Trans)</t>
  </si>
  <si>
    <t>TPP Cost Price(Accu)</t>
  </si>
  <si>
    <t>TPP Cost Amount(Accu)</t>
  </si>
  <si>
    <t>Transaction Type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</si>
</sst>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 * #,##0.00_ ;_ * \-#,##0.00_ ;_ * &quot;-&quot;??_ ;_ @_ "/>
    <numFmt numFmtId="176" formatCode="_(* #,##0.00_);_(* \(#,##0.00\);_(* &quot;-&quot;??_);_(@_)"/>
  </numFmts>
  <fonts count="6" x14ac:knownFonts="1">
    <font>
      <sz val="11"/>
      <color theme="1"/>
      <name val="宋体"/>
      <family val="2"/>
      <scheme val="minor"/>
    </font>
    <font>
      <b/>
      <sz val="18"/>
      <color theme="3"/>
      <name val="宋体"/>
      <family val="2"/>
      <scheme val="major"/>
    </font>
    <font>
      <sz val="11"/>
      <color rgb="FF000000"/>
      <name val="宋体"/>
      <family val="2"/>
      <scheme val="minor"/>
    </font>
    <font>
      <sz val="11"/>
      <color rgb="FF000000"/>
      <name val="Calibri"/>
      <family val="2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43" fontId="4" fillId="0" borderId="0" applyFont="0" applyFill="0" applyBorder="0" applyAlignment="0" applyProtection="0"/>
  </cellStyleXfs>
  <cellXfs count="16">
    <xf numFmtId="0" fontId="0" fillId="0" borderId="0" xfId="0"/>
    <xf numFmtId="14" fontId="0" fillId="0" borderId="0" xfId="0" applyNumberFormat="1"/>
    <xf numFmtId="0" fontId="1" fillId="0" borderId="0" xfId="1"/>
    <xf numFmtId="0" fontId="0" fillId="0" borderId="0" xfId="0" applyNumberFormat="1" applyAlignment="1"/>
    <xf numFmtId="0" fontId="2" fillId="0" borderId="0" xfId="0" applyNumberFormat="1" applyFont="1" applyAlignment="1"/>
    <xf numFmtId="14" fontId="0" fillId="0" borderId="0" xfId="0" applyNumberFormat="1" applyAlignment="1"/>
    <xf numFmtId="14" fontId="2" fillId="0" borderId="0" xfId="0" applyNumberFormat="1" applyFont="1" applyAlignment="1"/>
    <xf numFmtId="0" fontId="0" fillId="0" borderId="0" xfId="0" quotePrefix="1" applyNumberFormat="1" applyAlignment="1"/>
    <xf numFmtId="0" fontId="2" fillId="0" borderId="0" xfId="0" quotePrefix="1" applyNumberFormat="1" applyFont="1" applyAlignment="1"/>
    <xf numFmtId="176" fontId="0" fillId="0" borderId="0" xfId="0" applyNumberFormat="1" applyAlignment="1"/>
    <xf numFmtId="176" fontId="2" fillId="0" borderId="0" xfId="0" applyNumberFormat="1" applyFont="1" applyAlignment="1"/>
    <xf numFmtId="0" fontId="2" fillId="0" borderId="0" xfId="0" quotePrefix="1" applyNumberFormat="1" applyFont="1" applyAlignment="1">
      <alignment wrapText="1"/>
    </xf>
    <xf numFmtId="0" fontId="0" fillId="0" borderId="1" xfId="0" applyFont="1" applyBorder="1"/>
    <xf numFmtId="0" fontId="0" fillId="0" borderId="2" xfId="0" applyFont="1" applyFill="1" applyBorder="1"/>
    <xf numFmtId="43" fontId="0" fillId="0" borderId="0" xfId="2" applyFont="1"/>
    <xf numFmtId="0" fontId="0" fillId="0" borderId="0" xfId="0" applyAlignment="1">
      <alignment wrapText="1"/>
    </xf>
  </cellXfs>
  <cellStyles count="3">
    <cellStyle name="Comma" xfId="2" builtinId="3"/>
    <cellStyle name="Normal" xfId="0" builtinId="0"/>
    <cellStyle name="Title" xfId="1" builtinId="15"/>
  </cellStyles>
  <dxfs count="124">
    <dxf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 tint="0.39997558519241921"/>
        </left>
        <right/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176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6" formatCode="_(* #,##0.00_);_(* \(#,##0.00\);_(* &quot;-&quot;??_);_(@_)"/>
      <alignment horizontal="general" vertical="bottom" textRotation="0" wrapText="0" indent="0" justifyLastLine="0" shrinkToFit="0" readingOrder="0"/>
    </dxf>
    <dxf>
      <numFmt numFmtId="176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6" formatCode="_(* #,##0.00_);_(* \(#,##0.00\);_(* &quot;-&quot;??_);_(@_)"/>
      <alignment horizontal="general" vertical="bottom" textRotation="0" wrapText="0" indent="0" justifyLastLine="0" shrinkToFit="0" readingOrder="0"/>
    </dxf>
    <dxf>
      <numFmt numFmtId="176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6" formatCode="_(* #,##0.00_);_(* \(#,##0.00\);_(* &quot;-&quot;??_);_(@_)"/>
      <alignment horizontal="general" vertical="bottom" textRotation="0" wrapText="0" indent="0" justifyLastLine="0" shrinkToFit="0" readingOrder="0"/>
    </dxf>
    <dxf>
      <numFmt numFmtId="176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6" formatCode="_(* #,##0.00_);_(* \(#,##0.00\);_(* &quot;-&quot;??_);_(@_)"/>
      <alignment horizontal="general" vertical="bottom" textRotation="0" wrapText="0" indent="0" justifyLastLine="0" shrinkToFit="0" readingOrder="0"/>
    </dxf>
    <dxf>
      <numFmt numFmtId="176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6" formatCode="_(* #,##0.00_);_(* \(#,##0.00\);_(* &quot;-&quot;??_);_(@_)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177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7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177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7" formatCode="m/d/yyyy"/>
      <alignment horizontal="general" vertical="bottom" textRotation="0" wrapText="0" indent="0" justifyLastLine="0" shrinkToFit="0" readingOrder="0"/>
    </dxf>
    <dxf>
      <numFmt numFmtId="177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7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18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8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20" Type="http://schemas.openxmlformats.org/officeDocument/2006/relationships/customXml" Target="../customXml/item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23" Type="http://schemas.openxmlformats.org/officeDocument/2006/relationships/customXml" Target="../customXml/item10.xml"/><Relationship Id="rId10" Type="http://schemas.openxmlformats.org/officeDocument/2006/relationships/theme" Target="theme/theme1.xml"/><Relationship Id="rId19" Type="http://schemas.openxmlformats.org/officeDocument/2006/relationships/customXml" Target="../customXml/item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Relationship Id="rId22" Type="http://schemas.openxmlformats.org/officeDocument/2006/relationships/customXml" Target="../customXml/item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0</xdr:rowOff>
        </xdr:from>
        <xdr:to>
          <xdr:col>13</xdr:col>
          <xdr:colOff>600075</xdr:colOff>
          <xdr:row>5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8</xdr:row>
          <xdr:rowOff>0</xdr:rowOff>
        </xdr:from>
        <xdr:to>
          <xdr:col>13</xdr:col>
          <xdr:colOff>600075</xdr:colOff>
          <xdr:row>12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adjustment suggestion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15</xdr:row>
          <xdr:rowOff>0</xdr:rowOff>
        </xdr:from>
        <xdr:to>
          <xdr:col>13</xdr:col>
          <xdr:colOff>600076</xdr:colOff>
          <xdr:row>19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TPP Adjustment journal proposal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le3" displayName="Table3" ref="Q16:R19" totalsRowShown="0">
  <autoFilter ref="Q16:R19"/>
  <tableColumns count="2">
    <tableColumn id="1" name="Fields"/>
    <tableColumn id="2" name="Group b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OnHandStatement" displayName="OnHandStatement" ref="A1:P92" totalsRowShown="0" dataDxfId="1" dataCellStyle="Comma">
  <autoFilter ref="A1:P92"/>
  <tableColumns count="16">
    <tableColumn id="1" name="Item"/>
    <tableColumn id="2" name="Site"/>
    <tableColumn id="3" name="Warehouse"/>
    <tableColumn id="4" name="Invent on-hand beginning" dataDxfId="13" dataCellStyle="Comma"/>
    <tableColumn id="5" name="TPP on-hand beginning" dataDxfId="12" dataCellStyle="Comma"/>
    <tableColumn id="6" name="Beginning balance reconcile" dataDxfId="11" dataCellStyle="Comma"/>
    <tableColumn id="7" name="TPP Balance Beginning" dataDxfId="10" dataCellStyle="Comma"/>
    <tableColumn id="8" name="TPP Cost price Beginning" dataDxfId="9" dataCellStyle="Comma"/>
    <tableColumn id="9" name="Invent Transaction" dataDxfId="8" dataCellStyle="Comma"/>
    <tableColumn id="10" name="TPP Transaction" dataDxfId="7" dataCellStyle="Comma"/>
    <tableColumn id="11" name="Invent ending balance" dataDxfId="6" dataCellStyle="Comma"/>
    <tableColumn id="12" name="TPP on-hand ending balance" dataDxfId="5" dataCellStyle="Comma"/>
    <tableColumn id="13" name="Ending ON-hand reconcile" dataDxfId="4" dataCellStyle="Comma"/>
    <tableColumn id="14" name="TPP Balance Ending" dataDxfId="3" dataCellStyle="Comma"/>
    <tableColumn id="15" name="TPP Cost price Ending" dataDxfId="2" dataCellStyle="Comma"/>
    <tableColumn id="16" name="Check Tran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TPPAdjustmentProposal" displayName="TPPAdjustmentProposal" ref="A1:Q1773" totalsRowShown="0">
  <autoFilter ref="A1:Q1773"/>
  <tableColumns count="17">
    <tableColumn id="1" name="Item number"/>
    <tableColumn id="2" name="Item name"/>
    <tableColumn id="3" name="Site"/>
    <tableColumn id="4" name="Warehouse"/>
    <tableColumn id="5" name="Date" dataDxfId="0"/>
    <tableColumn id="6" name="Transaction type"/>
    <tableColumn id="7" name="Reference"/>
    <tableColumn id="8" name="Quantity"/>
    <tableColumn id="9" name="Unit"/>
    <tableColumn id="10" name="TPP Cost Price(Trans)"/>
    <tableColumn id="11" name="TPP Cost Amount(Trans)"/>
    <tableColumn id="12" name="Currency"/>
    <tableColumn id="13" name="TransOrigin"/>
    <tableColumn id="14" name="Lot Id"/>
    <tableColumn id="15" name="TPP Cost Price(Accu)"/>
    <tableColumn id="16" name="TPP Cost Amount(Accu)"/>
    <tableColumn id="17" name="Adjustment?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3" name="AtlasReport_1_Table_1" displayName="AtlasReport_1_Table_1" ref="A2:N1090" totalsRowCount="1">
  <autoFilter ref="A2:N1089"/>
  <tableColumns count="14">
    <tableColumn id="1" name="Reference" totalsRowLabel="Total" dataDxfId="123" totalsRowDxfId="122"/>
    <tableColumn id="2" name="Number" dataDxfId="121" totalsRowDxfId="120"/>
    <tableColumn id="3" name="Item number" totalsRowLabel="Total" dataDxfId="119" totalsRowDxfId="118"/>
    <tableColumn id="4" name="Item name" dataDxfId="117" totalsRowDxfId="116"/>
    <tableColumn id="5" name="Site" dataDxfId="115" totalsRowDxfId="114"/>
    <tableColumn id="6" name="Warehouse" dataDxfId="113" totalsRowDxfId="112"/>
    <tableColumn id="7" name="Physical date" dataDxfId="111" totalsRowDxfId="110"/>
    <tableColumn id="8" name="Financial date" dataDxfId="109" totalsRowDxfId="108"/>
    <tableColumn id="9" name="Quantity" totalsRowFunction="sum" dataDxfId="107" totalsRowDxfId="106"/>
    <tableColumn id="10" name="Unit" dataDxfId="105" totalsRowDxfId="104"/>
    <tableColumn id="11" name="Lot ID" dataDxfId="103" totalsRowDxfId="102"/>
    <tableColumn id="12" name="VendInvoiceTransId" dataDxfId="101" totalsRowDxfId="100">
      <calculatedColumnFormula>IF(AtlasReport_1_Table_1[[#This Row],[Reference]]="Purchase order",_xll.AtlasFormulas.AtlasFunctions.AtlasTable("UAT",DataAreaId,"T.VendInvoiceTrans","%RecId","","","","","","","ItemId|PurchID|InventTransId",$C3,$B3,$K3),"")</calculatedColumnFormula>
    </tableColumn>
    <tableColumn id="13" name="Currency" dataDxfId="99" totalsRowDxfId="98">
      <calculatedColumnFormula>IF(AtlasReport_1_Table_1[[#This Row],[Reference]]="Purchase order",_xll.AtlasFormulas.AtlasFunctions.AtlasTable("UAT",DataAreaId,"T.MarkupTrans","%CurrencyCode","","","","","","","MarkupCode|TransRecId|TransTableId","TPP",$L3,"492"),"")</calculatedColumnFormula>
    </tableColumn>
    <tableColumn id="14" name="TPP (Purchase invoice trans)" dataDxfId="97" totalsRowDxfId="96">
      <calculatedColumnFormula>IF(AtlasReport_1_Table_1[[#This Row],[Reference]]="Purchase order",_xll.AtlasFormulas.AtlasFunctions.AtlasBalance("UAT",DataAreaId,"T.MarkupTrans","Sum|Posted|0","","","","","","","MarkupCode|TransTableId|TransRecId","TPP","492",$L3),"")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4" name="AtlasReport_2_Table_1" displayName="AtlasReport_2_Table_1" ref="A2:Q5" totalsRowCount="1">
  <autoFilter ref="A2:Q4"/>
  <tableColumns count="17">
    <tableColumn id="1" name="Reference" totalsRowLabel="Total" dataDxfId="95" totalsRowDxfId="94"/>
    <tableColumn id="2" name="Number" dataDxfId="93" totalsRowDxfId="92"/>
    <tableColumn id="3" name="Item number" dataDxfId="91" totalsRowDxfId="90"/>
    <tableColumn id="4" name="Item name" dataDxfId="89" totalsRowDxfId="88"/>
    <tableColumn id="5" name="Date" dataDxfId="87" totalsRowDxfId="86"/>
    <tableColumn id="6" name="Site" dataDxfId="85" totalsRowDxfId="84"/>
    <tableColumn id="7" name="Warehouse" dataDxfId="83" totalsRowDxfId="82"/>
    <tableColumn id="8" name="Quantity" totalsRowFunction="sum" dataDxfId="81" totalsRowDxfId="80"/>
    <tableColumn id="9" name="Unit" dataDxfId="79" totalsRowDxfId="78"/>
    <tableColumn id="10" name="TPP cost price" totalsRowFunction="sum" dataDxfId="77" totalsRowDxfId="76"/>
    <tableColumn id="11" name="TPP cost amount" totalsRowFunction="sum" dataDxfId="75" totalsRowDxfId="74"/>
    <tableColumn id="12" name="Currency" dataDxfId="73" totalsRowDxfId="72"/>
    <tableColumn id="13" name="TPP cost amount currency" totalsRowFunction="sum" dataDxfId="71" totalsRowDxfId="70"/>
    <tableColumn id="14" name="Financial voucher" dataDxfId="69" totalsRowDxfId="68"/>
    <tableColumn id="15" name="Lot ID" dataDxfId="67" totalsRowDxfId="66"/>
    <tableColumn id="16" name="Status" dataDxfId="65" totalsRowDxfId="64"/>
    <tableColumn id="17" name="InventTransRecId" totalsRowFunction="sum" dataDxfId="63" totalsRowDxfId="6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6" name="AtlasReport_3_Table_1" displayName="AtlasReport_3_Table_1" ref="A2:H170" totalsRowCount="1">
  <autoFilter ref="A2:H169"/>
  <tableColumns count="8">
    <tableColumn id="1" name="Item number" totalsRowLabel="Total" dataDxfId="61" totalsRowDxfId="60"/>
    <tableColumn id="2" name="Site" dataDxfId="59" totalsRowDxfId="58"/>
    <tableColumn id="3" name="Warehouse" dataDxfId="57" totalsRowDxfId="56"/>
    <tableColumn id="4" name="Current On-hand" totalsRowFunction="sum" dataDxfId="55" totalsRowDxfId="54"/>
    <tableColumn id="5" name="Trans backwords (Beginning)" totalsRowFunction="sum" dataDxfId="53" totalsRowDxfId="52">
      <calculatedColumnFormula>_xll.AtlasFormulas.AtlasFunctions.AtlasBalance("PROD",DataAreaId,"T.InventTrans|inventDimId~inventDimId@T.InventDim","Sum|Qty|0","","","","","","","DateFinancial|ItemId|T2.InventSiteId|T2.InventLocationId",PeriodBeginning,$A3,$B3,$C3)</calculatedColumnFormula>
    </tableColumn>
    <tableColumn id="6" name="Trans backwords (Ending)" totalsRowFunction="sum" dataDxfId="51" totalsRowDxfId="50">
      <calculatedColumnFormula>_xll.AtlasFormulas.AtlasFunctions.AtlasBalance("PROD",DataAreaId,"T.InventTrans|inventDimId~inventDimId@T.InventDim","Sum|Qty|0","","","","","","","DateFinancial|ItemId|T2.InventSiteId|T2.InventLocationId",PeriodEnding,$A3,$B3,$C3)</calculatedColumnFormula>
    </tableColumn>
    <tableColumn id="7" name="Beginning On-hand" totalsRowFunction="sum" dataDxfId="49" totalsRowDxfId="48">
      <calculatedColumnFormula>AtlasReport_3_Table_1[[#This Row],[Current On-hand]]-AtlasReport_3_Table_1[[#This Row],[Trans backwords (Beginning)]]</calculatedColumnFormula>
    </tableColumn>
    <tableColumn id="8" name="Ending On-hand" totalsRowFunction="sum" dataDxfId="47" totalsRowDxfId="46">
      <calculatedColumnFormula>AtlasReport_3_Table_1[[#This Row],[Current On-hand]]-AtlasReport_3_Table_1[[#This Row],[Trans backwords (Ending)]]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5" name="AtlasReport_4_Table_1" displayName="AtlasReport_4_Table_1" ref="A2:M80" totalsRowCount="1">
  <autoFilter ref="A2:M79"/>
  <tableColumns count="13">
    <tableColumn id="1" name="Item number" totalsRowLabel="Total" dataDxfId="45" totalsRowDxfId="44"/>
    <tableColumn id="2" name="Site" dataDxfId="43" totalsRowDxfId="42"/>
    <tableColumn id="3" name="Warehouse" dataDxfId="41" totalsRowDxfId="40"/>
    <tableColumn id="4" name="Quantity" totalsRowFunction="sum" dataDxfId="39" totalsRowDxfId="38"/>
    <tableColumn id="5" name="TPP cost amount" totalsRowFunction="sum" dataDxfId="37" totalsRowDxfId="36"/>
    <tableColumn id="6" name="TPP trans backwards (Beginning)" dataDxfId="35" totalsRowDxfId="34">
      <calculatedColumnFormula>_xll.AtlasFormulas.AtlasFunctions.AtlasBalance("PROD",DataAreaId,"T.TPPTrans_sst|InventDimId~inventDimId@T.InventDim","Sum|Qty|0","","","","","","","ItemId|TransDate|T2.InventSiteId|T2.InventLocationId",$A3,PeriodBeginning,$B3,$C3)</calculatedColumnFormula>
    </tableColumn>
    <tableColumn id="7" name="TPP trans backwards (Ending)" dataDxfId="33" totalsRowDxfId="32">
      <calculatedColumnFormula>_xll.AtlasFormulas.AtlasFunctions.AtlasBalance("PROD",DataAreaId,"T.TPPTrans_sst|InventDimId~inventDimId@T.InventDim","Sum|Qty|0","","","","","","","ItemId|TransDate|T2.InventSiteId|T2.InventLocationId",$A3,PeriodEnding,$B3,$C3)</calculatedColumnFormula>
    </tableColumn>
    <tableColumn id="8" name="TPP On-hand (Beginning)" dataDxfId="31" totalsRowDxfId="30">
      <calculatedColumnFormula>AtlasReport_4_Table_1[[#This Row],[Quantity]]-AtlasReport_4_Table_1[[#This Row],[TPP trans backwards (Beginning)]]</calculatedColumnFormula>
    </tableColumn>
    <tableColumn id="9" name="TPP On-hand (Ending)" dataDxfId="29" totalsRowDxfId="28">
      <calculatedColumnFormula>AtlasReport_4_Table_1[[#This Row],[Quantity]]-AtlasReport_4_Table_1[[#This Row],[TPP trans backwards (Ending)]]</calculatedColumnFormula>
    </tableColumn>
    <tableColumn id="10" name="TPP trans backwards balance (Beginning)" dataDxfId="27" totalsRowDxfId="26">
      <calculatedColumnFormula>_xll.AtlasFormulas.AtlasFunctions.AtlasBalance("PROD",DataAreaId,"T.TPPTrans_sst|InventDimId~inventDimId@T.InventDim","Sum|CostAmount|0","","","","","","","ItemId|TransDate|T2.InventSiteId|T2.InventLocationId",$A3,PeriodBeginning,$B3,$C3)</calculatedColumnFormula>
    </tableColumn>
    <tableColumn id="11" name="TPP trans backwards balance (Ending)" dataDxfId="25" totalsRowDxfId="24">
      <calculatedColumnFormula>_xll.AtlasFormulas.AtlasFunctions.AtlasBalance("PROD",DataAreaId,"T.TPPTrans_sst|InventDimId~inventDimId@T.InventDim","Sum|CostAmount|0","","","","","","","ItemId|TransDate|T2.InventSiteId|T2.InventLocationId",$A3,PeriodEnding,$B3,$C3)</calculatedColumnFormula>
    </tableColumn>
    <tableColumn id="12" name="TPP Balance (Beginning)" dataDxfId="23" totalsRowDxfId="22">
      <calculatedColumnFormula>AtlasReport_4_Table_1[[#This Row],[TPP cost amount]]-AtlasReport_4_Table_1[[#This Row],[TPP trans backwards balance (Beginning)]]</calculatedColumnFormula>
    </tableColumn>
    <tableColumn id="13" name="TPP Balance (Ending)" dataDxfId="21" totalsRowDxfId="20">
      <calculatedColumnFormula>AtlasReport_4_Table_1[[#This Row],[TPP cost amount]]-AtlasReport_4_Table_1[[#This Row],[TPP Balance (Beginning)]]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7" name="AtlasReport_5_Table_1" displayName="AtlasReport_5_Table_1" ref="A2:E160" totalsRowShown="0">
  <autoFilter ref="A2:E160"/>
  <tableColumns count="5">
    <tableColumn id="1" name="Item number" dataDxfId="19"/>
    <tableColumn id="2" name="Item name" dataDxfId="18"/>
    <tableColumn id="3" name="Item group" dataDxfId="17"/>
    <tableColumn id="4" name="Item type" dataDxfId="16"/>
    <tableColumn id="5" name="Unit" dataDxfId="1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" name="TableMapping" displayName="TableMapping" ref="A2:B7" totalsRowShown="0">
  <autoFilter ref="A2:B7"/>
  <tableColumns count="2">
    <tableColumn id="1" name="TableId"/>
    <tableColumn id="2" name="SheetNam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" name="FieldMapping" displayName="FieldMapping" ref="A10:C67" totalsRowShown="0">
  <autoFilter ref="A10:C67"/>
  <tableColumns count="3">
    <tableColumn id="1" name="TableId" dataDxfId="14"/>
    <tableColumn id="2" name="FieldId"/>
    <tableColumn id="3" name="Column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R19"/>
  <sheetViews>
    <sheetView tabSelected="1" workbookViewId="0">
      <selection activeCell="I2" sqref="I2"/>
    </sheetView>
  </sheetViews>
  <sheetFormatPr defaultRowHeight="13.5" x14ac:dyDescent="0.15"/>
  <cols>
    <col min="2" max="2" width="17.125" customWidth="1"/>
    <col min="3" max="3" width="10.75" bestFit="1" customWidth="1"/>
    <col min="17" max="17" width="17.75" customWidth="1"/>
    <col min="18" max="18" width="11.25" customWidth="1"/>
  </cols>
  <sheetData>
    <row r="1" spans="2:18" x14ac:dyDescent="0.15">
      <c r="B1" t="s">
        <v>0</v>
      </c>
      <c r="C1">
        <v>363</v>
      </c>
      <c r="G1" t="s">
        <v>3</v>
      </c>
      <c r="H1" t="s">
        <v>4</v>
      </c>
    </row>
    <row r="2" spans="2:18" x14ac:dyDescent="0.15">
      <c r="B2" t="s">
        <v>1</v>
      </c>
      <c r="C2" s="1">
        <v>42826</v>
      </c>
    </row>
    <row r="3" spans="2:18" x14ac:dyDescent="0.15">
      <c r="B3" t="s">
        <v>2</v>
      </c>
      <c r="C3" s="1">
        <v>43100</v>
      </c>
    </row>
    <row r="4" spans="2:18" x14ac:dyDescent="0.15">
      <c r="B4" t="s">
        <v>5</v>
      </c>
      <c r="C4" t="str">
        <f>TEXT(FromDate,DateFormat) &amp; " .. " &amp; TEXT(ToDate,DateFormat)</f>
        <v>04.01.2017 .. 12.31.2017</v>
      </c>
      <c r="F4" t="s">
        <v>85</v>
      </c>
      <c r="G4" t="str">
        <f>TEXT(FromDate,DateFormat)&amp;" .. "&amp;TEXT(DATE(2099,12,31),DateFormat)</f>
        <v>04.01.2017 .. 12.31.2099</v>
      </c>
    </row>
    <row r="5" spans="2:18" x14ac:dyDescent="0.15">
      <c r="F5" t="s">
        <v>86</v>
      </c>
      <c r="G5" t="str">
        <f>TEXT(ToDate+1,DateFormat)&amp;" .. "&amp;TEXT(DATE(2099,12,31),DateFormat)</f>
        <v>01.01.2018 .. 12.31.2099</v>
      </c>
    </row>
    <row r="7" spans="2:18" x14ac:dyDescent="0.15">
      <c r="B7" t="s">
        <v>365</v>
      </c>
      <c r="C7" t="s">
        <v>382</v>
      </c>
    </row>
    <row r="16" spans="2:18" x14ac:dyDescent="0.15">
      <c r="Q16" t="s">
        <v>243</v>
      </c>
      <c r="R16" t="s">
        <v>1914</v>
      </c>
    </row>
    <row r="17" spans="17:18" x14ac:dyDescent="0.15">
      <c r="Q17" t="s">
        <v>1920</v>
      </c>
      <c r="R17" t="s">
        <v>381</v>
      </c>
    </row>
    <row r="18" spans="17:18" x14ac:dyDescent="0.15">
      <c r="Q18" t="s">
        <v>8</v>
      </c>
      <c r="R18" t="s">
        <v>381</v>
      </c>
    </row>
    <row r="19" spans="17:18" x14ac:dyDescent="0.15">
      <c r="Q19" t="s">
        <v>47</v>
      </c>
      <c r="R19" t="s">
        <v>381</v>
      </c>
    </row>
  </sheetData>
  <phoneticPr fontId="5" type="noConversion"/>
  <dataValidations count="2">
    <dataValidation type="list" allowBlank="1" showInputMessage="1" showErrorMessage="1" sqref="H1">
      <formula1>"MM.DD.YYYY, DD.MM.YYYY"</formula1>
    </dataValidation>
    <dataValidation type="list" allowBlank="1" showInputMessage="1" showErrorMessage="1" sqref="R17:R19">
      <formula1>"Yes,No"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11</xdr:col>
                    <xdr:colOff>0</xdr:colOff>
                    <xdr:row>1</xdr:row>
                    <xdr:rowOff>0</xdr:rowOff>
                  </from>
                  <to>
                    <xdr:col>13</xdr:col>
                    <xdr:colOff>600075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ateAdjustmentList">
                <anchor moveWithCells="1" sizeWithCells="1">
                  <from>
                    <xdr:col>11</xdr:col>
                    <xdr:colOff>9525</xdr:colOff>
                    <xdr:row>8</xdr:row>
                    <xdr:rowOff>0</xdr:rowOff>
                  </from>
                  <to>
                    <xdr:col>13</xdr:col>
                    <xdr:colOff>600075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>
                <anchor moveWithCells="1" sizeWithCells="1">
                  <from>
                    <xdr:col>11</xdr:col>
                    <xdr:colOff>0</xdr:colOff>
                    <xdr:row>15</xdr:row>
                    <xdr:rowOff>0</xdr:rowOff>
                  </from>
                  <to>
                    <xdr:col>13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93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21" sqref="A21"/>
    </sheetView>
  </sheetViews>
  <sheetFormatPr defaultRowHeight="13.5" x14ac:dyDescent="0.15"/>
  <cols>
    <col min="1" max="1" width="16.75" customWidth="1"/>
    <col min="2" max="2" width="7.25" customWidth="1"/>
    <col min="3" max="3" width="6.5" customWidth="1"/>
    <col min="4" max="4" width="29.75" customWidth="1"/>
    <col min="5" max="5" width="26.375" customWidth="1"/>
    <col min="6" max="6" width="10.5" customWidth="1"/>
    <col min="7" max="7" width="10.625" customWidth="1"/>
    <col min="8" max="8" width="11.75" customWidth="1"/>
    <col min="9" max="9" width="9.625" customWidth="1"/>
    <col min="10" max="10" width="10.75" customWidth="1"/>
    <col min="11" max="11" width="11.375" customWidth="1"/>
    <col min="12" max="12" width="32" customWidth="1"/>
    <col min="13" max="13" width="29.75" customWidth="1"/>
    <col min="14" max="14" width="23" customWidth="1"/>
    <col min="15" max="15" width="26.375" customWidth="1"/>
    <col min="16" max="16" width="15.125" customWidth="1"/>
  </cols>
  <sheetData>
    <row r="1" spans="1:16" x14ac:dyDescent="0.15">
      <c r="A1" t="s">
        <v>252</v>
      </c>
      <c r="B1" t="s">
        <v>49</v>
      </c>
      <c r="C1" t="s">
        <v>50</v>
      </c>
      <c r="D1" t="s">
        <v>353</v>
      </c>
      <c r="E1" t="s">
        <v>354</v>
      </c>
      <c r="F1" t="s">
        <v>355</v>
      </c>
      <c r="G1" t="s">
        <v>361</v>
      </c>
      <c r="H1" t="s">
        <v>363</v>
      </c>
      <c r="I1" t="s">
        <v>356</v>
      </c>
      <c r="J1" t="s">
        <v>357</v>
      </c>
      <c r="K1" t="s">
        <v>358</v>
      </c>
      <c r="L1" t="s">
        <v>359</v>
      </c>
      <c r="M1" t="s">
        <v>360</v>
      </c>
      <c r="N1" t="s">
        <v>362</v>
      </c>
      <c r="O1" t="s">
        <v>364</v>
      </c>
      <c r="P1" t="s">
        <v>380</v>
      </c>
    </row>
    <row r="2" spans="1:16" x14ac:dyDescent="0.15">
      <c r="A2" t="s">
        <v>52</v>
      </c>
      <c r="B2">
        <v>163</v>
      </c>
      <c r="C2" t="s">
        <v>161</v>
      </c>
      <c r="D2" s="14">
        <v>0</v>
      </c>
      <c r="E2" s="14"/>
      <c r="F2" s="14">
        <v>0</v>
      </c>
      <c r="G2" s="14">
        <v>0</v>
      </c>
      <c r="H2" s="14">
        <v>0</v>
      </c>
      <c r="I2" s="14">
        <v>278.60000000000002</v>
      </c>
      <c r="J2" s="14">
        <v>0</v>
      </c>
      <c r="K2" s="14">
        <v>278.60000000000002</v>
      </c>
      <c r="L2" s="14"/>
      <c r="M2" s="14">
        <v>278.60000000000002</v>
      </c>
      <c r="N2" s="14">
        <v>0</v>
      </c>
      <c r="O2" s="14">
        <v>0</v>
      </c>
      <c r="P2" t="s">
        <v>381</v>
      </c>
    </row>
    <row r="3" spans="1:16" x14ac:dyDescent="0.15">
      <c r="A3" t="s">
        <v>136</v>
      </c>
      <c r="B3">
        <v>163</v>
      </c>
      <c r="C3" t="s">
        <v>161</v>
      </c>
      <c r="D3" s="14">
        <v>0</v>
      </c>
      <c r="E3" s="14"/>
      <c r="F3" s="14">
        <v>0</v>
      </c>
      <c r="G3" s="14">
        <v>0</v>
      </c>
      <c r="H3" s="14">
        <v>0</v>
      </c>
      <c r="I3" s="14">
        <v>101.1</v>
      </c>
      <c r="J3" s="14">
        <v>0</v>
      </c>
      <c r="K3" s="14">
        <v>101.1</v>
      </c>
      <c r="L3" s="14"/>
      <c r="M3" s="14">
        <v>101.1</v>
      </c>
      <c r="N3" s="14">
        <v>0</v>
      </c>
      <c r="O3" s="14">
        <v>0</v>
      </c>
      <c r="P3" t="s">
        <v>381</v>
      </c>
    </row>
    <row r="4" spans="1:16" x14ac:dyDescent="0.15">
      <c r="A4" t="s">
        <v>137</v>
      </c>
      <c r="B4">
        <v>163</v>
      </c>
      <c r="C4" t="s">
        <v>161</v>
      </c>
      <c r="D4" s="14">
        <v>390</v>
      </c>
      <c r="E4" s="14">
        <v>390</v>
      </c>
      <c r="F4" s="14">
        <v>0</v>
      </c>
      <c r="G4" s="14">
        <v>0</v>
      </c>
      <c r="H4" s="14">
        <v>0</v>
      </c>
      <c r="I4" s="14">
        <v>0</v>
      </c>
      <c r="J4" s="14">
        <v>0</v>
      </c>
      <c r="K4" s="14">
        <v>390</v>
      </c>
      <c r="L4" s="14">
        <v>390</v>
      </c>
      <c r="M4" s="14">
        <v>0</v>
      </c>
      <c r="N4" s="14">
        <v>0</v>
      </c>
      <c r="O4" s="14">
        <v>0</v>
      </c>
      <c r="P4" t="s">
        <v>956</v>
      </c>
    </row>
    <row r="5" spans="1:16" x14ac:dyDescent="0.15">
      <c r="A5" t="s">
        <v>138</v>
      </c>
      <c r="B5">
        <v>163</v>
      </c>
      <c r="C5" t="s">
        <v>161</v>
      </c>
      <c r="D5" s="14">
        <v>240</v>
      </c>
      <c r="E5" s="14">
        <v>240</v>
      </c>
      <c r="F5" s="14">
        <v>0</v>
      </c>
      <c r="G5" s="14">
        <v>0</v>
      </c>
      <c r="H5" s="14">
        <v>0</v>
      </c>
      <c r="I5" s="14">
        <v>-240</v>
      </c>
      <c r="J5" s="14">
        <v>0</v>
      </c>
      <c r="K5" s="14">
        <v>0</v>
      </c>
      <c r="L5" s="14">
        <v>240</v>
      </c>
      <c r="M5" s="14">
        <v>-240</v>
      </c>
      <c r="N5" s="14">
        <v>0</v>
      </c>
      <c r="O5" s="14">
        <v>0</v>
      </c>
      <c r="P5" t="s">
        <v>381</v>
      </c>
    </row>
    <row r="6" spans="1:16" x14ac:dyDescent="0.15">
      <c r="A6" t="s">
        <v>366</v>
      </c>
      <c r="B6">
        <v>163</v>
      </c>
      <c r="C6" t="s">
        <v>161</v>
      </c>
      <c r="D6" s="14">
        <v>0</v>
      </c>
      <c r="E6" s="14"/>
      <c r="F6" s="14">
        <v>0</v>
      </c>
      <c r="G6" s="14">
        <v>0</v>
      </c>
      <c r="H6" s="14">
        <v>0</v>
      </c>
      <c r="I6" s="14">
        <v>119</v>
      </c>
      <c r="J6" s="14">
        <v>0</v>
      </c>
      <c r="K6" s="14">
        <v>119</v>
      </c>
      <c r="L6" s="14"/>
      <c r="M6" s="14">
        <v>119</v>
      </c>
      <c r="N6" s="14">
        <v>0</v>
      </c>
      <c r="O6" s="14">
        <v>0</v>
      </c>
      <c r="P6" t="s">
        <v>381</v>
      </c>
    </row>
    <row r="7" spans="1:16" x14ac:dyDescent="0.15">
      <c r="A7" t="s">
        <v>139</v>
      </c>
      <c r="B7">
        <v>163</v>
      </c>
      <c r="C7" t="s">
        <v>161</v>
      </c>
      <c r="D7" s="14">
        <v>1900</v>
      </c>
      <c r="E7" s="14">
        <v>1900</v>
      </c>
      <c r="F7" s="14">
        <v>0</v>
      </c>
      <c r="G7" s="14">
        <v>0</v>
      </c>
      <c r="H7" s="14">
        <v>0</v>
      </c>
      <c r="I7" s="14">
        <v>-1900</v>
      </c>
      <c r="J7" s="14">
        <v>0</v>
      </c>
      <c r="K7" s="14">
        <v>0</v>
      </c>
      <c r="L7" s="14">
        <v>1900</v>
      </c>
      <c r="M7" s="14">
        <v>-1900</v>
      </c>
      <c r="N7" s="14">
        <v>0</v>
      </c>
      <c r="O7" s="14">
        <v>0</v>
      </c>
      <c r="P7" t="s">
        <v>381</v>
      </c>
    </row>
    <row r="8" spans="1:16" x14ac:dyDescent="0.15">
      <c r="A8" t="s">
        <v>22</v>
      </c>
      <c r="B8">
        <v>163</v>
      </c>
      <c r="C8" t="s">
        <v>161</v>
      </c>
      <c r="D8" s="14">
        <v>0</v>
      </c>
      <c r="E8" s="14"/>
      <c r="F8" s="14">
        <v>0</v>
      </c>
      <c r="G8" s="14">
        <v>0</v>
      </c>
      <c r="H8" s="14">
        <v>0</v>
      </c>
      <c r="I8" s="14">
        <v>-5</v>
      </c>
      <c r="J8" s="14">
        <v>0</v>
      </c>
      <c r="K8" s="14">
        <v>-5</v>
      </c>
      <c r="L8" s="14"/>
      <c r="M8" s="14">
        <v>-5</v>
      </c>
      <c r="N8" s="14">
        <v>0</v>
      </c>
      <c r="O8" s="14">
        <v>0</v>
      </c>
      <c r="P8" t="s">
        <v>381</v>
      </c>
    </row>
    <row r="9" spans="1:16" x14ac:dyDescent="0.15">
      <c r="A9" t="s">
        <v>267</v>
      </c>
      <c r="B9">
        <v>163</v>
      </c>
      <c r="C9" t="s">
        <v>161</v>
      </c>
      <c r="D9" s="14">
        <v>0</v>
      </c>
      <c r="E9" s="14"/>
      <c r="F9" s="14">
        <v>0</v>
      </c>
      <c r="G9" s="14">
        <v>0</v>
      </c>
      <c r="H9" s="14">
        <v>0</v>
      </c>
      <c r="I9" s="14">
        <v>25</v>
      </c>
      <c r="J9" s="14">
        <v>0</v>
      </c>
      <c r="K9" s="14">
        <v>25</v>
      </c>
      <c r="L9" s="14"/>
      <c r="M9" s="14">
        <v>25</v>
      </c>
      <c r="N9" s="14">
        <v>0</v>
      </c>
      <c r="O9" s="14">
        <v>0</v>
      </c>
      <c r="P9" t="s">
        <v>381</v>
      </c>
    </row>
    <row r="10" spans="1:16" x14ac:dyDescent="0.15">
      <c r="A10" t="s">
        <v>140</v>
      </c>
      <c r="B10">
        <v>163</v>
      </c>
      <c r="C10" t="s">
        <v>161</v>
      </c>
      <c r="D10" s="14">
        <v>28</v>
      </c>
      <c r="E10" s="14">
        <v>28</v>
      </c>
      <c r="F10" s="14">
        <v>0</v>
      </c>
      <c r="G10" s="14">
        <v>0</v>
      </c>
      <c r="H10" s="14">
        <v>0</v>
      </c>
      <c r="I10" s="14">
        <v>42</v>
      </c>
      <c r="J10" s="14">
        <v>0</v>
      </c>
      <c r="K10" s="14">
        <v>70</v>
      </c>
      <c r="L10" s="14">
        <v>28</v>
      </c>
      <c r="M10" s="14">
        <v>42</v>
      </c>
      <c r="N10" s="14">
        <v>0</v>
      </c>
      <c r="O10" s="14">
        <v>0</v>
      </c>
      <c r="P10" t="s">
        <v>381</v>
      </c>
    </row>
    <row r="11" spans="1:16" x14ac:dyDescent="0.15">
      <c r="A11" t="s">
        <v>119</v>
      </c>
      <c r="B11">
        <v>163</v>
      </c>
      <c r="C11" t="s">
        <v>161</v>
      </c>
      <c r="D11" s="14">
        <v>19</v>
      </c>
      <c r="E11" s="14">
        <v>19</v>
      </c>
      <c r="F11" s="14">
        <v>0</v>
      </c>
      <c r="G11" s="14">
        <v>0</v>
      </c>
      <c r="H11" s="14">
        <v>0</v>
      </c>
      <c r="I11" s="14">
        <v>-14</v>
      </c>
      <c r="J11" s="14">
        <v>0</v>
      </c>
      <c r="K11" s="14">
        <v>5</v>
      </c>
      <c r="L11" s="14">
        <v>19</v>
      </c>
      <c r="M11" s="14">
        <v>-14</v>
      </c>
      <c r="N11" s="14">
        <v>0</v>
      </c>
      <c r="O11" s="14">
        <v>0</v>
      </c>
      <c r="P11" t="s">
        <v>381</v>
      </c>
    </row>
    <row r="12" spans="1:16" x14ac:dyDescent="0.15">
      <c r="A12" t="s">
        <v>20</v>
      </c>
      <c r="B12">
        <v>163</v>
      </c>
      <c r="C12" t="s">
        <v>161</v>
      </c>
      <c r="D12" s="14">
        <v>970</v>
      </c>
      <c r="E12" s="14">
        <v>970</v>
      </c>
      <c r="F12" s="14">
        <v>0</v>
      </c>
      <c r="G12" s="14">
        <v>0</v>
      </c>
      <c r="H12" s="14">
        <v>0</v>
      </c>
      <c r="I12" s="14">
        <v>-291</v>
      </c>
      <c r="J12" s="14">
        <v>0</v>
      </c>
      <c r="K12" s="14">
        <v>679</v>
      </c>
      <c r="L12" s="14">
        <v>970</v>
      </c>
      <c r="M12" s="14">
        <v>-291</v>
      </c>
      <c r="N12" s="14">
        <v>0</v>
      </c>
      <c r="O12" s="14">
        <v>0</v>
      </c>
      <c r="P12" t="s">
        <v>381</v>
      </c>
    </row>
    <row r="13" spans="1:16" x14ac:dyDescent="0.15">
      <c r="A13" t="s">
        <v>71</v>
      </c>
      <c r="B13">
        <v>163</v>
      </c>
      <c r="C13" t="s">
        <v>161</v>
      </c>
      <c r="D13" s="14">
        <v>300</v>
      </c>
      <c r="E13" s="14">
        <v>300</v>
      </c>
      <c r="F13" s="14">
        <v>0</v>
      </c>
      <c r="G13" s="14">
        <v>0</v>
      </c>
      <c r="H13" s="14">
        <v>0</v>
      </c>
      <c r="I13" s="14">
        <v>-300</v>
      </c>
      <c r="J13" s="14">
        <v>0</v>
      </c>
      <c r="K13" s="14">
        <v>0</v>
      </c>
      <c r="L13" s="14">
        <v>300</v>
      </c>
      <c r="M13" s="14">
        <v>-300</v>
      </c>
      <c r="N13" s="14">
        <v>0</v>
      </c>
      <c r="O13" s="14">
        <v>0</v>
      </c>
      <c r="P13" t="s">
        <v>381</v>
      </c>
    </row>
    <row r="14" spans="1:16" x14ac:dyDescent="0.15">
      <c r="A14" t="s">
        <v>18</v>
      </c>
      <c r="B14">
        <v>163</v>
      </c>
      <c r="C14" t="s">
        <v>161</v>
      </c>
      <c r="D14" s="14">
        <v>390</v>
      </c>
      <c r="E14" s="14">
        <v>390</v>
      </c>
      <c r="F14" s="14">
        <v>0</v>
      </c>
      <c r="G14" s="14">
        <v>0</v>
      </c>
      <c r="H14" s="14">
        <v>0</v>
      </c>
      <c r="I14" s="14">
        <v>-390</v>
      </c>
      <c r="J14" s="14">
        <v>0</v>
      </c>
      <c r="K14" s="14">
        <v>0</v>
      </c>
      <c r="L14" s="14">
        <v>390</v>
      </c>
      <c r="M14" s="14">
        <v>-390</v>
      </c>
      <c r="N14" s="14">
        <v>0</v>
      </c>
      <c r="O14" s="14">
        <v>0</v>
      </c>
      <c r="P14" t="s">
        <v>381</v>
      </c>
    </row>
    <row r="15" spans="1:16" x14ac:dyDescent="0.15">
      <c r="A15" t="s">
        <v>191</v>
      </c>
      <c r="B15">
        <v>163</v>
      </c>
      <c r="C15" t="s">
        <v>161</v>
      </c>
      <c r="D15" s="14">
        <v>135</v>
      </c>
      <c r="E15" s="14">
        <v>135</v>
      </c>
      <c r="F15" s="14">
        <v>0</v>
      </c>
      <c r="G15" s="14">
        <v>0</v>
      </c>
      <c r="H15" s="14">
        <v>0</v>
      </c>
      <c r="I15" s="14">
        <v>0</v>
      </c>
      <c r="J15" s="14">
        <v>0</v>
      </c>
      <c r="K15" s="14">
        <v>135</v>
      </c>
      <c r="L15" s="14">
        <v>135</v>
      </c>
      <c r="M15" s="14">
        <v>0</v>
      </c>
      <c r="N15" s="14">
        <v>0</v>
      </c>
      <c r="O15" s="14">
        <v>0</v>
      </c>
      <c r="P15" t="s">
        <v>956</v>
      </c>
    </row>
    <row r="16" spans="1:16" x14ac:dyDescent="0.15">
      <c r="A16" t="s">
        <v>54</v>
      </c>
      <c r="B16">
        <v>163</v>
      </c>
      <c r="C16" t="s">
        <v>161</v>
      </c>
      <c r="D16" s="14">
        <v>165</v>
      </c>
      <c r="E16" s="14">
        <v>170</v>
      </c>
      <c r="F16" s="14">
        <v>-5</v>
      </c>
      <c r="G16" s="14">
        <v>0</v>
      </c>
      <c r="H16" s="14">
        <v>0</v>
      </c>
      <c r="I16" s="14">
        <v>-139.94999999999999</v>
      </c>
      <c r="J16" s="14">
        <v>0</v>
      </c>
      <c r="K16" s="14">
        <v>25.05</v>
      </c>
      <c r="L16" s="14">
        <v>170</v>
      </c>
      <c r="M16" s="14">
        <v>-144.94999999999999</v>
      </c>
      <c r="N16" s="14">
        <v>0</v>
      </c>
      <c r="O16" s="14">
        <v>0</v>
      </c>
      <c r="P16" t="s">
        <v>381</v>
      </c>
    </row>
    <row r="17" spans="1:16" x14ac:dyDescent="0.15">
      <c r="A17" t="s">
        <v>141</v>
      </c>
      <c r="B17">
        <v>163</v>
      </c>
      <c r="C17" t="s">
        <v>161</v>
      </c>
      <c r="D17" s="14">
        <v>249.6</v>
      </c>
      <c r="E17" s="14">
        <v>249.6</v>
      </c>
      <c r="F17" s="14">
        <v>0</v>
      </c>
      <c r="G17" s="14">
        <v>0</v>
      </c>
      <c r="H17" s="14">
        <v>0</v>
      </c>
      <c r="I17" s="14">
        <v>0</v>
      </c>
      <c r="J17" s="14">
        <v>0</v>
      </c>
      <c r="K17" s="14">
        <v>249.6</v>
      </c>
      <c r="L17" s="14">
        <v>249.6</v>
      </c>
      <c r="M17" s="14">
        <v>0</v>
      </c>
      <c r="N17" s="14">
        <v>0</v>
      </c>
      <c r="O17" s="14">
        <v>0</v>
      </c>
      <c r="P17" t="s">
        <v>956</v>
      </c>
    </row>
    <row r="18" spans="1:16" x14ac:dyDescent="0.15">
      <c r="A18" t="s">
        <v>192</v>
      </c>
      <c r="B18">
        <v>163</v>
      </c>
      <c r="C18" t="s">
        <v>161</v>
      </c>
      <c r="D18" s="14">
        <v>12</v>
      </c>
      <c r="E18" s="14">
        <v>12</v>
      </c>
      <c r="F18" s="14">
        <v>0</v>
      </c>
      <c r="G18" s="14">
        <v>0</v>
      </c>
      <c r="H18" s="14">
        <v>0</v>
      </c>
      <c r="I18" s="14">
        <v>0</v>
      </c>
      <c r="J18" s="14">
        <v>0</v>
      </c>
      <c r="K18" s="14">
        <v>12</v>
      </c>
      <c r="L18" s="14">
        <v>12</v>
      </c>
      <c r="M18" s="14">
        <v>0</v>
      </c>
      <c r="N18" s="14">
        <v>0</v>
      </c>
      <c r="O18" s="14">
        <v>0</v>
      </c>
      <c r="P18" t="s">
        <v>956</v>
      </c>
    </row>
    <row r="19" spans="1:16" x14ac:dyDescent="0.15">
      <c r="A19" t="s">
        <v>25</v>
      </c>
      <c r="B19">
        <v>163</v>
      </c>
      <c r="C19" t="s">
        <v>161</v>
      </c>
      <c r="D19" s="14">
        <v>255.60000000000002</v>
      </c>
      <c r="E19" s="14">
        <v>255.6</v>
      </c>
      <c r="F19" s="14">
        <v>2.8421709430404007E-14</v>
      </c>
      <c r="G19" s="14">
        <v>0</v>
      </c>
      <c r="H19" s="14">
        <v>0</v>
      </c>
      <c r="I19" s="14">
        <v>-181.79999999999995</v>
      </c>
      <c r="J19" s="14">
        <v>0</v>
      </c>
      <c r="K19" s="14">
        <v>73.8</v>
      </c>
      <c r="L19" s="14">
        <v>255.6</v>
      </c>
      <c r="M19" s="14">
        <v>-181.8</v>
      </c>
      <c r="N19" s="14">
        <v>0</v>
      </c>
      <c r="O19" s="14">
        <v>0</v>
      </c>
      <c r="P19" t="s">
        <v>381</v>
      </c>
    </row>
    <row r="20" spans="1:16" x14ac:dyDescent="0.15">
      <c r="A20" t="s">
        <v>193</v>
      </c>
      <c r="B20">
        <v>163</v>
      </c>
      <c r="C20" t="s">
        <v>161</v>
      </c>
      <c r="D20" s="14">
        <v>93.51</v>
      </c>
      <c r="E20" s="14">
        <v>93.51</v>
      </c>
      <c r="F20" s="14">
        <v>0</v>
      </c>
      <c r="G20" s="14">
        <v>0</v>
      </c>
      <c r="H20" s="14">
        <v>0</v>
      </c>
      <c r="I20" s="14">
        <v>0</v>
      </c>
      <c r="J20" s="14">
        <v>0</v>
      </c>
      <c r="K20" s="14">
        <v>93.51</v>
      </c>
      <c r="L20" s="14">
        <v>93.51</v>
      </c>
      <c r="M20" s="14">
        <v>0</v>
      </c>
      <c r="N20" s="14">
        <v>0</v>
      </c>
      <c r="O20" s="14">
        <v>0</v>
      </c>
      <c r="P20" t="s">
        <v>956</v>
      </c>
    </row>
    <row r="21" spans="1:16" x14ac:dyDescent="0.15">
      <c r="A21" t="s">
        <v>72</v>
      </c>
      <c r="B21">
        <v>163</v>
      </c>
      <c r="C21" t="s">
        <v>161</v>
      </c>
      <c r="D21" s="14">
        <v>120</v>
      </c>
      <c r="E21" s="14">
        <v>120</v>
      </c>
      <c r="F21" s="14">
        <v>0</v>
      </c>
      <c r="G21" s="14">
        <v>0</v>
      </c>
      <c r="H21" s="14">
        <v>0</v>
      </c>
      <c r="I21" s="14">
        <v>60</v>
      </c>
      <c r="J21" s="14">
        <v>0</v>
      </c>
      <c r="K21" s="14">
        <v>180</v>
      </c>
      <c r="L21" s="14">
        <v>120</v>
      </c>
      <c r="M21" s="14">
        <v>60</v>
      </c>
      <c r="N21" s="14">
        <v>0</v>
      </c>
      <c r="O21" s="14">
        <v>0</v>
      </c>
      <c r="P21" t="s">
        <v>381</v>
      </c>
    </row>
    <row r="22" spans="1:16" x14ac:dyDescent="0.15">
      <c r="A22" t="s">
        <v>194</v>
      </c>
      <c r="B22">
        <v>163</v>
      </c>
      <c r="C22" t="s">
        <v>161</v>
      </c>
      <c r="D22" s="14">
        <v>30</v>
      </c>
      <c r="E22" s="14">
        <v>30</v>
      </c>
      <c r="F22" s="14">
        <v>0</v>
      </c>
      <c r="G22" s="14">
        <v>0</v>
      </c>
      <c r="H22" s="14">
        <v>0</v>
      </c>
      <c r="I22" s="14">
        <v>0</v>
      </c>
      <c r="J22" s="14">
        <v>0</v>
      </c>
      <c r="K22" s="14">
        <v>30</v>
      </c>
      <c r="L22" s="14">
        <v>30</v>
      </c>
      <c r="M22" s="14">
        <v>0</v>
      </c>
      <c r="N22" s="14">
        <v>0</v>
      </c>
      <c r="O22" s="14">
        <v>0</v>
      </c>
      <c r="P22" t="s">
        <v>956</v>
      </c>
    </row>
    <row r="23" spans="1:16" x14ac:dyDescent="0.15">
      <c r="A23" t="s">
        <v>73</v>
      </c>
      <c r="B23">
        <v>163</v>
      </c>
      <c r="C23" t="s">
        <v>161</v>
      </c>
      <c r="D23" s="14">
        <v>329.2</v>
      </c>
      <c r="E23" s="14">
        <v>391.6</v>
      </c>
      <c r="F23" s="14">
        <v>-62.400000000000034</v>
      </c>
      <c r="G23" s="14">
        <v>0</v>
      </c>
      <c r="H23" s="14">
        <v>0</v>
      </c>
      <c r="I23" s="14">
        <v>-232.60000000000002</v>
      </c>
      <c r="J23" s="14">
        <v>0</v>
      </c>
      <c r="K23" s="14">
        <v>96.6</v>
      </c>
      <c r="L23" s="14">
        <v>391.6</v>
      </c>
      <c r="M23" s="14">
        <v>-295</v>
      </c>
      <c r="N23" s="14">
        <v>0</v>
      </c>
      <c r="O23" s="14">
        <v>0</v>
      </c>
      <c r="P23" t="s">
        <v>381</v>
      </c>
    </row>
    <row r="24" spans="1:16" x14ac:dyDescent="0.15">
      <c r="A24" t="s">
        <v>142</v>
      </c>
      <c r="B24">
        <v>163</v>
      </c>
      <c r="C24" t="s">
        <v>161</v>
      </c>
      <c r="D24" s="14">
        <v>0</v>
      </c>
      <c r="E24" s="14">
        <v>8.1</v>
      </c>
      <c r="F24" s="14">
        <v>-8.1</v>
      </c>
      <c r="G24" s="14">
        <v>0</v>
      </c>
      <c r="H24" s="14">
        <v>0</v>
      </c>
      <c r="I24" s="14">
        <v>540.00000000000011</v>
      </c>
      <c r="J24" s="14">
        <v>0</v>
      </c>
      <c r="K24" s="14">
        <v>540</v>
      </c>
      <c r="L24" s="14">
        <v>8.1</v>
      </c>
      <c r="M24" s="14">
        <v>531.9</v>
      </c>
      <c r="N24" s="14">
        <v>0</v>
      </c>
      <c r="O24" s="14">
        <v>0</v>
      </c>
      <c r="P24" t="s">
        <v>381</v>
      </c>
    </row>
    <row r="25" spans="1:16" x14ac:dyDescent="0.15">
      <c r="A25" t="s">
        <v>26</v>
      </c>
      <c r="B25">
        <v>163</v>
      </c>
      <c r="C25" t="s">
        <v>161</v>
      </c>
      <c r="D25" s="14">
        <v>25.2</v>
      </c>
      <c r="E25" s="14">
        <v>25.2</v>
      </c>
      <c r="F25" s="14">
        <v>0</v>
      </c>
      <c r="G25" s="14">
        <v>0</v>
      </c>
      <c r="H25" s="14">
        <v>0</v>
      </c>
      <c r="I25" s="14">
        <v>0</v>
      </c>
      <c r="J25" s="14">
        <v>0</v>
      </c>
      <c r="K25" s="14">
        <v>25.2</v>
      </c>
      <c r="L25" s="14">
        <v>25.2</v>
      </c>
      <c r="M25" s="14">
        <v>0</v>
      </c>
      <c r="N25" s="14">
        <v>0</v>
      </c>
      <c r="O25" s="14">
        <v>0</v>
      </c>
      <c r="P25" t="s">
        <v>956</v>
      </c>
    </row>
    <row r="26" spans="1:16" x14ac:dyDescent="0.15">
      <c r="A26" t="s">
        <v>15</v>
      </c>
      <c r="B26">
        <v>163</v>
      </c>
      <c r="C26" t="s">
        <v>161</v>
      </c>
      <c r="D26" s="14">
        <v>436.5</v>
      </c>
      <c r="E26" s="14">
        <v>436.5</v>
      </c>
      <c r="F26" s="14">
        <v>0</v>
      </c>
      <c r="G26" s="14">
        <v>0</v>
      </c>
      <c r="H26" s="14">
        <v>0</v>
      </c>
      <c r="I26" s="14">
        <v>194</v>
      </c>
      <c r="J26" s="14">
        <v>0</v>
      </c>
      <c r="K26" s="14">
        <v>630.5</v>
      </c>
      <c r="L26" s="14">
        <v>436.5</v>
      </c>
      <c r="M26" s="14">
        <v>194</v>
      </c>
      <c r="N26" s="14">
        <v>0</v>
      </c>
      <c r="O26" s="14">
        <v>0</v>
      </c>
      <c r="P26" t="s">
        <v>381</v>
      </c>
    </row>
    <row r="27" spans="1:16" x14ac:dyDescent="0.15">
      <c r="A27" t="s">
        <v>27</v>
      </c>
      <c r="B27">
        <v>163</v>
      </c>
      <c r="C27" t="s">
        <v>161</v>
      </c>
      <c r="D27" s="14">
        <v>2025</v>
      </c>
      <c r="E27" s="14">
        <v>2025</v>
      </c>
      <c r="F27" s="14">
        <v>0</v>
      </c>
      <c r="G27" s="14">
        <v>0</v>
      </c>
      <c r="H27" s="14">
        <v>0</v>
      </c>
      <c r="I27" s="14">
        <v>675</v>
      </c>
      <c r="J27" s="14">
        <v>0</v>
      </c>
      <c r="K27" s="14">
        <v>2700</v>
      </c>
      <c r="L27" s="14">
        <v>2025</v>
      </c>
      <c r="M27" s="14">
        <v>675</v>
      </c>
      <c r="N27" s="14">
        <v>0</v>
      </c>
      <c r="O27" s="14">
        <v>0</v>
      </c>
      <c r="P27" t="s">
        <v>381</v>
      </c>
    </row>
    <row r="28" spans="1:16" x14ac:dyDescent="0.15">
      <c r="A28" t="s">
        <v>16</v>
      </c>
      <c r="B28">
        <v>163</v>
      </c>
      <c r="C28" t="s">
        <v>161</v>
      </c>
      <c r="D28" s="14">
        <v>3900</v>
      </c>
      <c r="E28" s="14">
        <v>3900</v>
      </c>
      <c r="F28" s="14">
        <v>0</v>
      </c>
      <c r="G28" s="14">
        <v>0</v>
      </c>
      <c r="H28" s="14">
        <v>0</v>
      </c>
      <c r="I28" s="14">
        <v>-487.5</v>
      </c>
      <c r="J28" s="14">
        <v>0</v>
      </c>
      <c r="K28" s="14">
        <v>3412.5</v>
      </c>
      <c r="L28" s="14">
        <v>3900</v>
      </c>
      <c r="M28" s="14">
        <v>-487.5</v>
      </c>
      <c r="N28" s="14">
        <v>0</v>
      </c>
      <c r="O28" s="14">
        <v>0</v>
      </c>
      <c r="P28" t="s">
        <v>381</v>
      </c>
    </row>
    <row r="29" spans="1:16" x14ac:dyDescent="0.15">
      <c r="A29" t="s">
        <v>143</v>
      </c>
      <c r="B29">
        <v>163</v>
      </c>
      <c r="C29" t="s">
        <v>161</v>
      </c>
      <c r="D29" s="14">
        <v>33.5</v>
      </c>
      <c r="E29" s="14">
        <v>33.5</v>
      </c>
      <c r="F29" s="14">
        <v>0</v>
      </c>
      <c r="G29" s="14">
        <v>0</v>
      </c>
      <c r="H29" s="14">
        <v>0</v>
      </c>
      <c r="I29" s="14">
        <v>0</v>
      </c>
      <c r="J29" s="14">
        <v>0</v>
      </c>
      <c r="K29" s="14">
        <v>33.5</v>
      </c>
      <c r="L29" s="14">
        <v>33.5</v>
      </c>
      <c r="M29" s="14">
        <v>0</v>
      </c>
      <c r="N29" s="14">
        <v>0</v>
      </c>
      <c r="O29" s="14">
        <v>0</v>
      </c>
      <c r="P29" t="s">
        <v>956</v>
      </c>
    </row>
    <row r="30" spans="1:16" x14ac:dyDescent="0.15">
      <c r="A30" t="s">
        <v>144</v>
      </c>
      <c r="B30">
        <v>163</v>
      </c>
      <c r="C30" t="s">
        <v>161</v>
      </c>
      <c r="D30" s="14">
        <v>64.650000000000006</v>
      </c>
      <c r="E30" s="14">
        <v>64.650000000000006</v>
      </c>
      <c r="F30" s="14">
        <v>0</v>
      </c>
      <c r="G30" s="14">
        <v>0</v>
      </c>
      <c r="H30" s="14">
        <v>0</v>
      </c>
      <c r="I30" s="14">
        <v>2.3499999999999943</v>
      </c>
      <c r="J30" s="14">
        <v>0</v>
      </c>
      <c r="K30" s="14">
        <v>67</v>
      </c>
      <c r="L30" s="14">
        <v>64.650000000000006</v>
      </c>
      <c r="M30" s="14">
        <v>2.3499999999999943</v>
      </c>
      <c r="N30" s="14">
        <v>0</v>
      </c>
      <c r="O30" s="14">
        <v>0</v>
      </c>
      <c r="P30" t="s">
        <v>381</v>
      </c>
    </row>
    <row r="31" spans="1:16" x14ac:dyDescent="0.15">
      <c r="A31" t="s">
        <v>145</v>
      </c>
      <c r="B31">
        <v>163</v>
      </c>
      <c r="C31" t="s">
        <v>161</v>
      </c>
      <c r="D31" s="14">
        <v>67</v>
      </c>
      <c r="E31" s="14">
        <v>67</v>
      </c>
      <c r="F31" s="14">
        <v>0</v>
      </c>
      <c r="G31" s="14">
        <v>0</v>
      </c>
      <c r="H31" s="14">
        <v>0</v>
      </c>
      <c r="I31" s="14">
        <v>-67</v>
      </c>
      <c r="J31" s="14">
        <v>0</v>
      </c>
      <c r="K31" s="14">
        <v>0</v>
      </c>
      <c r="L31" s="14">
        <v>67</v>
      </c>
      <c r="M31" s="14">
        <v>-67</v>
      </c>
      <c r="N31" s="14">
        <v>0</v>
      </c>
      <c r="O31" s="14">
        <v>0</v>
      </c>
      <c r="P31" t="s">
        <v>381</v>
      </c>
    </row>
    <row r="32" spans="1:16" x14ac:dyDescent="0.15">
      <c r="A32" t="s">
        <v>195</v>
      </c>
      <c r="B32">
        <v>163</v>
      </c>
      <c r="C32" t="s">
        <v>161</v>
      </c>
      <c r="D32" s="14">
        <v>1</v>
      </c>
      <c r="E32" s="14">
        <v>1</v>
      </c>
      <c r="F32" s="14">
        <v>0</v>
      </c>
      <c r="G32" s="14">
        <v>0</v>
      </c>
      <c r="H32" s="14">
        <v>0</v>
      </c>
      <c r="I32" s="14">
        <v>0</v>
      </c>
      <c r="J32" s="14">
        <v>0</v>
      </c>
      <c r="K32" s="14">
        <v>1</v>
      </c>
      <c r="L32" s="14">
        <v>1</v>
      </c>
      <c r="M32" s="14">
        <v>0</v>
      </c>
      <c r="N32" s="14">
        <v>0</v>
      </c>
      <c r="O32" s="14">
        <v>0</v>
      </c>
      <c r="P32" t="s">
        <v>956</v>
      </c>
    </row>
    <row r="33" spans="1:16" x14ac:dyDescent="0.15">
      <c r="A33" t="s">
        <v>196</v>
      </c>
      <c r="B33">
        <v>163</v>
      </c>
      <c r="C33" t="s">
        <v>161</v>
      </c>
      <c r="D33" s="14">
        <v>80</v>
      </c>
      <c r="E33" s="14">
        <v>-17</v>
      </c>
      <c r="F33" s="14">
        <v>97</v>
      </c>
      <c r="G33" s="14">
        <v>0</v>
      </c>
      <c r="H33" s="14">
        <v>0</v>
      </c>
      <c r="I33" s="14">
        <v>-80</v>
      </c>
      <c r="J33" s="14">
        <v>0</v>
      </c>
      <c r="K33" s="14">
        <v>0</v>
      </c>
      <c r="L33" s="14">
        <v>-17</v>
      </c>
      <c r="M33" s="14">
        <v>17</v>
      </c>
      <c r="N33" s="14">
        <v>0</v>
      </c>
      <c r="O33" s="14">
        <v>0</v>
      </c>
      <c r="P33" t="s">
        <v>381</v>
      </c>
    </row>
    <row r="34" spans="1:16" x14ac:dyDescent="0.15">
      <c r="A34" t="s">
        <v>74</v>
      </c>
      <c r="B34">
        <v>163</v>
      </c>
      <c r="C34" t="s">
        <v>161</v>
      </c>
      <c r="D34" s="14">
        <v>150</v>
      </c>
      <c r="E34" s="14">
        <v>150</v>
      </c>
      <c r="F34" s="14">
        <v>0</v>
      </c>
      <c r="G34" s="14">
        <v>0</v>
      </c>
      <c r="H34" s="14">
        <v>0</v>
      </c>
      <c r="I34" s="14">
        <v>0</v>
      </c>
      <c r="J34" s="14">
        <v>0</v>
      </c>
      <c r="K34" s="14">
        <v>150</v>
      </c>
      <c r="L34" s="14">
        <v>150</v>
      </c>
      <c r="M34" s="14">
        <v>0</v>
      </c>
      <c r="N34" s="14">
        <v>0</v>
      </c>
      <c r="O34" s="14">
        <v>0</v>
      </c>
      <c r="P34" t="s">
        <v>956</v>
      </c>
    </row>
    <row r="35" spans="1:16" x14ac:dyDescent="0.15">
      <c r="A35" t="s">
        <v>101</v>
      </c>
      <c r="B35">
        <v>163</v>
      </c>
      <c r="C35" t="s">
        <v>161</v>
      </c>
      <c r="D35" s="14">
        <v>500</v>
      </c>
      <c r="E35" s="14">
        <v>800</v>
      </c>
      <c r="F35" s="14">
        <v>-300</v>
      </c>
      <c r="G35" s="14">
        <v>0</v>
      </c>
      <c r="H35" s="14">
        <v>0</v>
      </c>
      <c r="I35" s="14">
        <v>319</v>
      </c>
      <c r="J35" s="14">
        <v>0</v>
      </c>
      <c r="K35" s="14">
        <v>819</v>
      </c>
      <c r="L35" s="14">
        <v>800</v>
      </c>
      <c r="M35" s="14">
        <v>19</v>
      </c>
      <c r="N35" s="14">
        <v>0</v>
      </c>
      <c r="O35" s="14">
        <v>0</v>
      </c>
      <c r="P35" t="s">
        <v>381</v>
      </c>
    </row>
    <row r="36" spans="1:16" x14ac:dyDescent="0.15">
      <c r="A36" t="s">
        <v>197</v>
      </c>
      <c r="B36">
        <v>163</v>
      </c>
      <c r="C36" t="s">
        <v>161</v>
      </c>
      <c r="D36" s="14">
        <v>207.5</v>
      </c>
      <c r="E36" s="14">
        <v>207.5</v>
      </c>
      <c r="F36" s="14">
        <v>0</v>
      </c>
      <c r="G36" s="14">
        <v>0</v>
      </c>
      <c r="H36" s="14">
        <v>0</v>
      </c>
      <c r="I36" s="14">
        <v>-10</v>
      </c>
      <c r="J36" s="14">
        <v>0</v>
      </c>
      <c r="K36" s="14">
        <v>197.5</v>
      </c>
      <c r="L36" s="14">
        <v>207.5</v>
      </c>
      <c r="M36" s="14">
        <v>-10</v>
      </c>
      <c r="N36" s="14">
        <v>0</v>
      </c>
      <c r="O36" s="14">
        <v>0</v>
      </c>
      <c r="P36" t="s">
        <v>381</v>
      </c>
    </row>
    <row r="37" spans="1:16" x14ac:dyDescent="0.15">
      <c r="A37" t="s">
        <v>75</v>
      </c>
      <c r="B37">
        <v>163</v>
      </c>
      <c r="C37" t="s">
        <v>161</v>
      </c>
      <c r="D37" s="14">
        <v>231</v>
      </c>
      <c r="E37" s="14">
        <v>231</v>
      </c>
      <c r="F37" s="14">
        <v>0</v>
      </c>
      <c r="G37" s="14">
        <v>0</v>
      </c>
      <c r="H37" s="14">
        <v>0</v>
      </c>
      <c r="I37" s="14">
        <v>-231</v>
      </c>
      <c r="J37" s="14">
        <v>0</v>
      </c>
      <c r="K37" s="14">
        <v>0</v>
      </c>
      <c r="L37" s="14">
        <v>231</v>
      </c>
      <c r="M37" s="14">
        <v>-231</v>
      </c>
      <c r="N37" s="14">
        <v>0</v>
      </c>
      <c r="O37" s="14">
        <v>0</v>
      </c>
      <c r="P37" t="s">
        <v>381</v>
      </c>
    </row>
    <row r="38" spans="1:16" x14ac:dyDescent="0.15">
      <c r="A38" t="s">
        <v>55</v>
      </c>
      <c r="B38">
        <v>163</v>
      </c>
      <c r="C38" t="s">
        <v>161</v>
      </c>
      <c r="D38" s="14">
        <v>480</v>
      </c>
      <c r="E38" s="14">
        <v>490</v>
      </c>
      <c r="F38" s="14">
        <v>-10</v>
      </c>
      <c r="G38" s="14">
        <v>0</v>
      </c>
      <c r="H38" s="14">
        <v>0</v>
      </c>
      <c r="I38" s="14">
        <v>0</v>
      </c>
      <c r="J38" s="14">
        <v>0</v>
      </c>
      <c r="K38" s="14">
        <v>480</v>
      </c>
      <c r="L38" s="14">
        <v>490</v>
      </c>
      <c r="M38" s="14">
        <v>-10</v>
      </c>
      <c r="N38" s="14">
        <v>0</v>
      </c>
      <c r="O38" s="14">
        <v>0</v>
      </c>
      <c r="P38" t="s">
        <v>956</v>
      </c>
    </row>
    <row r="39" spans="1:16" x14ac:dyDescent="0.15">
      <c r="A39" t="s">
        <v>111</v>
      </c>
      <c r="B39">
        <v>163</v>
      </c>
      <c r="C39" t="s">
        <v>161</v>
      </c>
      <c r="D39" s="14">
        <v>1517</v>
      </c>
      <c r="E39" s="14">
        <v>1627</v>
      </c>
      <c r="F39" s="14">
        <v>-110</v>
      </c>
      <c r="G39" s="14">
        <v>0</v>
      </c>
      <c r="H39" s="14">
        <v>0</v>
      </c>
      <c r="I39" s="14">
        <v>-1216</v>
      </c>
      <c r="J39" s="14">
        <v>0</v>
      </c>
      <c r="K39" s="14">
        <v>301</v>
      </c>
      <c r="L39" s="14">
        <v>1627</v>
      </c>
      <c r="M39" s="14">
        <v>-1326</v>
      </c>
      <c r="N39" s="14">
        <v>0</v>
      </c>
      <c r="O39" s="14">
        <v>0</v>
      </c>
      <c r="P39" t="s">
        <v>381</v>
      </c>
    </row>
    <row r="40" spans="1:16" x14ac:dyDescent="0.15">
      <c r="A40" t="s">
        <v>56</v>
      </c>
      <c r="B40">
        <v>163</v>
      </c>
      <c r="C40" t="s">
        <v>161</v>
      </c>
      <c r="D40" s="14">
        <v>2138.8000000000002</v>
      </c>
      <c r="E40" s="14">
        <v>1288.8</v>
      </c>
      <c r="F40" s="14">
        <v>850.00000000000023</v>
      </c>
      <c r="G40" s="14">
        <v>0</v>
      </c>
      <c r="H40" s="14">
        <v>0</v>
      </c>
      <c r="I40" s="14">
        <v>-1110</v>
      </c>
      <c r="J40" s="14">
        <v>0</v>
      </c>
      <c r="K40" s="14">
        <v>1028.8</v>
      </c>
      <c r="L40" s="14">
        <v>1288.8</v>
      </c>
      <c r="M40" s="14">
        <v>-260</v>
      </c>
      <c r="N40" s="14">
        <v>0</v>
      </c>
      <c r="O40" s="14">
        <v>0</v>
      </c>
      <c r="P40" t="s">
        <v>381</v>
      </c>
    </row>
    <row r="41" spans="1:16" x14ac:dyDescent="0.15">
      <c r="A41" t="s">
        <v>57</v>
      </c>
      <c r="B41">
        <v>163</v>
      </c>
      <c r="C41" t="s">
        <v>161</v>
      </c>
      <c r="D41" s="14">
        <v>1107</v>
      </c>
      <c r="E41" s="14">
        <v>1127</v>
      </c>
      <c r="F41" s="14">
        <v>-20</v>
      </c>
      <c r="G41" s="14">
        <v>0</v>
      </c>
      <c r="H41" s="14">
        <v>0</v>
      </c>
      <c r="I41" s="14">
        <v>-448</v>
      </c>
      <c r="J41" s="14">
        <v>0</v>
      </c>
      <c r="K41" s="14">
        <v>659</v>
      </c>
      <c r="L41" s="14">
        <v>1127</v>
      </c>
      <c r="M41" s="14">
        <v>-468</v>
      </c>
      <c r="N41" s="14">
        <v>0</v>
      </c>
      <c r="O41" s="14">
        <v>0</v>
      </c>
      <c r="P41" t="s">
        <v>381</v>
      </c>
    </row>
    <row r="42" spans="1:16" x14ac:dyDescent="0.15">
      <c r="A42" t="s">
        <v>97</v>
      </c>
      <c r="B42">
        <v>163</v>
      </c>
      <c r="C42" t="s">
        <v>161</v>
      </c>
      <c r="D42" s="14">
        <v>323</v>
      </c>
      <c r="E42" s="14">
        <v>323</v>
      </c>
      <c r="F42" s="14">
        <v>0</v>
      </c>
      <c r="G42" s="14">
        <v>0</v>
      </c>
      <c r="H42" s="14">
        <v>0</v>
      </c>
      <c r="I42" s="14">
        <v>-150</v>
      </c>
      <c r="J42" s="14">
        <v>0</v>
      </c>
      <c r="K42" s="14">
        <v>173</v>
      </c>
      <c r="L42" s="14">
        <v>323</v>
      </c>
      <c r="M42" s="14">
        <v>-150</v>
      </c>
      <c r="N42" s="14">
        <v>0</v>
      </c>
      <c r="O42" s="14">
        <v>0</v>
      </c>
      <c r="P42" t="s">
        <v>381</v>
      </c>
    </row>
    <row r="43" spans="1:16" x14ac:dyDescent="0.15">
      <c r="A43" t="s">
        <v>29</v>
      </c>
      <c r="B43">
        <v>163</v>
      </c>
      <c r="C43" t="s">
        <v>161</v>
      </c>
      <c r="D43" s="14">
        <v>750.5</v>
      </c>
      <c r="E43" s="14">
        <v>150.5</v>
      </c>
      <c r="F43" s="14">
        <v>600</v>
      </c>
      <c r="G43" s="14">
        <v>0</v>
      </c>
      <c r="H43" s="14">
        <v>0</v>
      </c>
      <c r="I43" s="14">
        <v>116</v>
      </c>
      <c r="J43" s="14">
        <v>0</v>
      </c>
      <c r="K43" s="14">
        <v>866.5</v>
      </c>
      <c r="L43" s="14">
        <v>150.5</v>
      </c>
      <c r="M43" s="14">
        <v>716</v>
      </c>
      <c r="N43" s="14">
        <v>0</v>
      </c>
      <c r="O43" s="14">
        <v>0</v>
      </c>
      <c r="P43" t="s">
        <v>381</v>
      </c>
    </row>
    <row r="44" spans="1:16" x14ac:dyDescent="0.15">
      <c r="A44" t="s">
        <v>121</v>
      </c>
      <c r="B44">
        <v>163</v>
      </c>
      <c r="C44" t="s">
        <v>161</v>
      </c>
      <c r="D44" s="14">
        <v>515</v>
      </c>
      <c r="E44" s="14">
        <v>449.8</v>
      </c>
      <c r="F44" s="14">
        <v>65.199999999999989</v>
      </c>
      <c r="G44" s="14">
        <v>0</v>
      </c>
      <c r="H44" s="14">
        <v>0</v>
      </c>
      <c r="I44" s="14">
        <v>85</v>
      </c>
      <c r="J44" s="14">
        <v>0</v>
      </c>
      <c r="K44" s="14">
        <v>600</v>
      </c>
      <c r="L44" s="14">
        <v>449.8</v>
      </c>
      <c r="M44" s="14">
        <v>150.19999999999999</v>
      </c>
      <c r="N44" s="14">
        <v>0</v>
      </c>
      <c r="O44" s="14">
        <v>0</v>
      </c>
      <c r="P44" t="s">
        <v>381</v>
      </c>
    </row>
    <row r="45" spans="1:16" x14ac:dyDescent="0.15">
      <c r="A45" t="s">
        <v>106</v>
      </c>
      <c r="B45">
        <v>163</v>
      </c>
      <c r="C45" t="s">
        <v>161</v>
      </c>
      <c r="D45" s="14">
        <v>689</v>
      </c>
      <c r="E45" s="14">
        <v>775</v>
      </c>
      <c r="F45" s="14">
        <v>-86</v>
      </c>
      <c r="G45" s="14">
        <v>0</v>
      </c>
      <c r="H45" s="14">
        <v>0</v>
      </c>
      <c r="I45" s="14">
        <v>-289</v>
      </c>
      <c r="J45" s="14">
        <v>0</v>
      </c>
      <c r="K45" s="14">
        <v>400</v>
      </c>
      <c r="L45" s="14">
        <v>775</v>
      </c>
      <c r="M45" s="14">
        <v>-375</v>
      </c>
      <c r="N45" s="14">
        <v>0</v>
      </c>
      <c r="O45" s="14">
        <v>0</v>
      </c>
      <c r="P45" t="s">
        <v>381</v>
      </c>
    </row>
    <row r="46" spans="1:16" x14ac:dyDescent="0.15">
      <c r="A46" t="s">
        <v>58</v>
      </c>
      <c r="B46">
        <v>163</v>
      </c>
      <c r="C46" t="s">
        <v>161</v>
      </c>
      <c r="D46" s="14">
        <v>1254.0999999999999</v>
      </c>
      <c r="E46" s="14">
        <v>804.1</v>
      </c>
      <c r="F46" s="14">
        <v>449.99999999999989</v>
      </c>
      <c r="G46" s="14">
        <v>0</v>
      </c>
      <c r="H46" s="14">
        <v>0</v>
      </c>
      <c r="I46" s="14">
        <v>-570.1</v>
      </c>
      <c r="J46" s="14">
        <v>0</v>
      </c>
      <c r="K46" s="14">
        <v>684</v>
      </c>
      <c r="L46" s="14">
        <v>804.1</v>
      </c>
      <c r="M46" s="14">
        <v>-120.10000000000002</v>
      </c>
      <c r="N46" s="14">
        <v>0</v>
      </c>
      <c r="O46" s="14">
        <v>0</v>
      </c>
      <c r="P46" t="s">
        <v>381</v>
      </c>
    </row>
    <row r="47" spans="1:16" x14ac:dyDescent="0.15">
      <c r="A47" t="s">
        <v>99</v>
      </c>
      <c r="B47">
        <v>163</v>
      </c>
      <c r="C47" t="s">
        <v>161</v>
      </c>
      <c r="D47" s="14">
        <v>509</v>
      </c>
      <c r="E47" s="14">
        <v>509</v>
      </c>
      <c r="F47" s="14">
        <v>0</v>
      </c>
      <c r="G47" s="14">
        <v>0</v>
      </c>
      <c r="H47" s="14">
        <v>0</v>
      </c>
      <c r="I47" s="14">
        <v>-459</v>
      </c>
      <c r="J47" s="14">
        <v>0</v>
      </c>
      <c r="K47" s="14">
        <v>50</v>
      </c>
      <c r="L47" s="14">
        <v>509</v>
      </c>
      <c r="M47" s="14">
        <v>-459</v>
      </c>
      <c r="N47" s="14">
        <v>0</v>
      </c>
      <c r="O47" s="14">
        <v>0</v>
      </c>
      <c r="P47" t="s">
        <v>381</v>
      </c>
    </row>
    <row r="48" spans="1:16" x14ac:dyDescent="0.15">
      <c r="A48" t="s">
        <v>59</v>
      </c>
      <c r="B48">
        <v>163</v>
      </c>
      <c r="C48" t="s">
        <v>161</v>
      </c>
      <c r="D48" s="14">
        <v>711.28</v>
      </c>
      <c r="E48" s="14">
        <v>611.28</v>
      </c>
      <c r="F48" s="14">
        <v>100</v>
      </c>
      <c r="G48" s="14">
        <v>0</v>
      </c>
      <c r="H48" s="14">
        <v>0</v>
      </c>
      <c r="I48" s="14">
        <v>69</v>
      </c>
      <c r="J48" s="14">
        <v>0</v>
      </c>
      <c r="K48" s="14">
        <v>780.28</v>
      </c>
      <c r="L48" s="14">
        <v>611.28</v>
      </c>
      <c r="M48" s="14">
        <v>169</v>
      </c>
      <c r="N48" s="14">
        <v>0</v>
      </c>
      <c r="O48" s="14">
        <v>0</v>
      </c>
      <c r="P48" t="s">
        <v>381</v>
      </c>
    </row>
    <row r="49" spans="1:16" x14ac:dyDescent="0.15">
      <c r="A49" t="s">
        <v>123</v>
      </c>
      <c r="B49">
        <v>163</v>
      </c>
      <c r="C49" t="s">
        <v>161</v>
      </c>
      <c r="D49" s="14">
        <v>223</v>
      </c>
      <c r="E49" s="14">
        <v>223</v>
      </c>
      <c r="F49" s="14">
        <v>0</v>
      </c>
      <c r="G49" s="14">
        <v>0</v>
      </c>
      <c r="H49" s="14">
        <v>0</v>
      </c>
      <c r="I49" s="14">
        <v>463</v>
      </c>
      <c r="J49" s="14">
        <v>0</v>
      </c>
      <c r="K49" s="14">
        <v>686</v>
      </c>
      <c r="L49" s="14">
        <v>223</v>
      </c>
      <c r="M49" s="14">
        <v>463</v>
      </c>
      <c r="N49" s="14">
        <v>0</v>
      </c>
      <c r="O49" s="14">
        <v>0</v>
      </c>
      <c r="P49" t="s">
        <v>381</v>
      </c>
    </row>
    <row r="50" spans="1:16" x14ac:dyDescent="0.15">
      <c r="A50" t="s">
        <v>76</v>
      </c>
      <c r="B50">
        <v>163</v>
      </c>
      <c r="C50" t="s">
        <v>161</v>
      </c>
      <c r="D50" s="14">
        <v>263</v>
      </c>
      <c r="E50" s="14">
        <v>163</v>
      </c>
      <c r="F50" s="14">
        <v>100</v>
      </c>
      <c r="G50" s="14">
        <v>0</v>
      </c>
      <c r="H50" s="14">
        <v>0</v>
      </c>
      <c r="I50" s="14">
        <v>260</v>
      </c>
      <c r="J50" s="14">
        <v>0</v>
      </c>
      <c r="K50" s="14">
        <v>523</v>
      </c>
      <c r="L50" s="14">
        <v>163</v>
      </c>
      <c r="M50" s="14">
        <v>360</v>
      </c>
      <c r="N50" s="14">
        <v>0</v>
      </c>
      <c r="O50" s="14">
        <v>0</v>
      </c>
      <c r="P50" t="s">
        <v>381</v>
      </c>
    </row>
    <row r="51" spans="1:16" x14ac:dyDescent="0.15">
      <c r="A51" t="s">
        <v>60</v>
      </c>
      <c r="B51">
        <v>163</v>
      </c>
      <c r="C51" t="s">
        <v>161</v>
      </c>
      <c r="D51" s="14">
        <v>29</v>
      </c>
      <c r="E51" s="14">
        <v>29</v>
      </c>
      <c r="F51" s="14">
        <v>0</v>
      </c>
      <c r="G51" s="14">
        <v>0</v>
      </c>
      <c r="H51" s="14">
        <v>0</v>
      </c>
      <c r="I51" s="14">
        <v>0</v>
      </c>
      <c r="J51" s="14">
        <v>0</v>
      </c>
      <c r="K51" s="14">
        <v>29</v>
      </c>
      <c r="L51" s="14">
        <v>29</v>
      </c>
      <c r="M51" s="14">
        <v>0</v>
      </c>
      <c r="N51" s="14">
        <v>0</v>
      </c>
      <c r="O51" s="14">
        <v>0</v>
      </c>
      <c r="P51" t="s">
        <v>956</v>
      </c>
    </row>
    <row r="52" spans="1:16" x14ac:dyDescent="0.15">
      <c r="A52" t="s">
        <v>61</v>
      </c>
      <c r="B52">
        <v>163</v>
      </c>
      <c r="C52" t="s">
        <v>161</v>
      </c>
      <c r="D52" s="14">
        <v>294.95</v>
      </c>
      <c r="E52" s="14">
        <v>294.95</v>
      </c>
      <c r="F52" s="14">
        <v>0</v>
      </c>
      <c r="G52" s="14">
        <v>0</v>
      </c>
      <c r="H52" s="14">
        <v>0</v>
      </c>
      <c r="I52" s="14">
        <v>0</v>
      </c>
      <c r="J52" s="14">
        <v>0</v>
      </c>
      <c r="K52" s="14">
        <v>294.95</v>
      </c>
      <c r="L52" s="14">
        <v>294.95</v>
      </c>
      <c r="M52" s="14">
        <v>0</v>
      </c>
      <c r="N52" s="14">
        <v>0</v>
      </c>
      <c r="O52" s="14">
        <v>0</v>
      </c>
      <c r="P52" t="s">
        <v>956</v>
      </c>
    </row>
    <row r="53" spans="1:16" x14ac:dyDescent="0.15">
      <c r="A53" t="s">
        <v>24</v>
      </c>
      <c r="B53">
        <v>163</v>
      </c>
      <c r="C53" t="s">
        <v>161</v>
      </c>
      <c r="D53" s="14">
        <v>84.400000000000034</v>
      </c>
      <c r="E53" s="14">
        <v>349.9</v>
      </c>
      <c r="F53" s="14">
        <v>-265.49999999999994</v>
      </c>
      <c r="G53" s="14">
        <v>0</v>
      </c>
      <c r="H53" s="14">
        <v>0</v>
      </c>
      <c r="I53" s="14">
        <v>336.2</v>
      </c>
      <c r="J53" s="14">
        <v>0</v>
      </c>
      <c r="K53" s="14">
        <v>420.6</v>
      </c>
      <c r="L53" s="14">
        <v>349.9</v>
      </c>
      <c r="M53" s="14">
        <v>70.700000000000045</v>
      </c>
      <c r="N53" s="14">
        <v>0</v>
      </c>
      <c r="O53" s="14">
        <v>0</v>
      </c>
      <c r="P53" t="s">
        <v>381</v>
      </c>
    </row>
    <row r="54" spans="1:16" x14ac:dyDescent="0.15">
      <c r="A54" t="s">
        <v>77</v>
      </c>
      <c r="B54">
        <v>163</v>
      </c>
      <c r="C54" t="s">
        <v>161</v>
      </c>
      <c r="D54" s="14">
        <v>657</v>
      </c>
      <c r="E54" s="14">
        <v>657</v>
      </c>
      <c r="F54" s="14">
        <v>0</v>
      </c>
      <c r="G54" s="14">
        <v>0</v>
      </c>
      <c r="H54" s="14">
        <v>0</v>
      </c>
      <c r="I54" s="14">
        <v>-332</v>
      </c>
      <c r="J54" s="14">
        <v>0</v>
      </c>
      <c r="K54" s="14">
        <v>325</v>
      </c>
      <c r="L54" s="14">
        <v>657</v>
      </c>
      <c r="M54" s="14">
        <v>-332</v>
      </c>
      <c r="N54" s="14">
        <v>0</v>
      </c>
      <c r="O54" s="14">
        <v>0</v>
      </c>
      <c r="P54" t="s">
        <v>381</v>
      </c>
    </row>
    <row r="55" spans="1:16" x14ac:dyDescent="0.15">
      <c r="A55" t="s">
        <v>78</v>
      </c>
      <c r="B55">
        <v>163</v>
      </c>
      <c r="C55" t="s">
        <v>161</v>
      </c>
      <c r="D55" s="14">
        <v>643.5</v>
      </c>
      <c r="E55" s="14">
        <v>343.5</v>
      </c>
      <c r="F55" s="14">
        <v>300</v>
      </c>
      <c r="G55" s="14">
        <v>0</v>
      </c>
      <c r="H55" s="14">
        <v>0</v>
      </c>
      <c r="I55" s="14">
        <v>-165</v>
      </c>
      <c r="J55" s="14">
        <v>0</v>
      </c>
      <c r="K55" s="14">
        <v>478.5</v>
      </c>
      <c r="L55" s="14">
        <v>343.5</v>
      </c>
      <c r="M55" s="14">
        <v>135</v>
      </c>
      <c r="N55" s="14">
        <v>0</v>
      </c>
      <c r="O55" s="14">
        <v>0</v>
      </c>
      <c r="P55" t="s">
        <v>381</v>
      </c>
    </row>
    <row r="56" spans="1:16" x14ac:dyDescent="0.15">
      <c r="A56" t="s">
        <v>62</v>
      </c>
      <c r="B56">
        <v>163</v>
      </c>
      <c r="C56" t="s">
        <v>161</v>
      </c>
      <c r="D56" s="14">
        <v>1050.4000000000001</v>
      </c>
      <c r="E56" s="14">
        <v>400</v>
      </c>
      <c r="F56" s="14">
        <v>650.40000000000009</v>
      </c>
      <c r="G56" s="14">
        <v>0</v>
      </c>
      <c r="H56" s="14">
        <v>0</v>
      </c>
      <c r="I56" s="14">
        <v>-500.40000000000009</v>
      </c>
      <c r="J56" s="14">
        <v>0</v>
      </c>
      <c r="K56" s="14">
        <v>550</v>
      </c>
      <c r="L56" s="14">
        <v>400</v>
      </c>
      <c r="M56" s="14">
        <v>150</v>
      </c>
      <c r="N56" s="14">
        <v>0</v>
      </c>
      <c r="O56" s="14">
        <v>0</v>
      </c>
      <c r="P56" t="s">
        <v>381</v>
      </c>
    </row>
    <row r="57" spans="1:16" x14ac:dyDescent="0.15">
      <c r="A57" t="s">
        <v>63</v>
      </c>
      <c r="B57">
        <v>163</v>
      </c>
      <c r="C57" t="s">
        <v>161</v>
      </c>
      <c r="D57" s="14">
        <v>1055</v>
      </c>
      <c r="E57" s="14">
        <v>455</v>
      </c>
      <c r="F57" s="14">
        <v>600</v>
      </c>
      <c r="G57" s="14">
        <v>0</v>
      </c>
      <c r="H57" s="14">
        <v>0</v>
      </c>
      <c r="I57" s="14">
        <v>-899</v>
      </c>
      <c r="J57" s="14">
        <v>0</v>
      </c>
      <c r="K57" s="14">
        <v>156</v>
      </c>
      <c r="L57" s="14">
        <v>455</v>
      </c>
      <c r="M57" s="14">
        <v>-299</v>
      </c>
      <c r="N57" s="14">
        <v>0</v>
      </c>
      <c r="O57" s="14">
        <v>0</v>
      </c>
      <c r="P57" t="s">
        <v>381</v>
      </c>
    </row>
    <row r="58" spans="1:16" x14ac:dyDescent="0.15">
      <c r="A58" t="s">
        <v>103</v>
      </c>
      <c r="B58">
        <v>163</v>
      </c>
      <c r="C58" t="s">
        <v>161</v>
      </c>
      <c r="D58" s="14">
        <v>16</v>
      </c>
      <c r="E58" s="14"/>
      <c r="F58" s="14">
        <v>16</v>
      </c>
      <c r="G58" s="14">
        <v>0</v>
      </c>
      <c r="H58" s="14">
        <v>0</v>
      </c>
      <c r="I58" s="14">
        <v>-16</v>
      </c>
      <c r="J58" s="14">
        <v>0</v>
      </c>
      <c r="K58" s="14">
        <v>0</v>
      </c>
      <c r="L58" s="14"/>
      <c r="M58" s="14">
        <v>0</v>
      </c>
      <c r="N58" s="14">
        <v>0</v>
      </c>
      <c r="O58" s="14">
        <v>0</v>
      </c>
      <c r="P58" t="s">
        <v>381</v>
      </c>
    </row>
    <row r="59" spans="1:16" x14ac:dyDescent="0.15">
      <c r="A59" t="s">
        <v>129</v>
      </c>
      <c r="B59">
        <v>163</v>
      </c>
      <c r="C59" t="s">
        <v>161</v>
      </c>
      <c r="D59" s="14">
        <v>-16</v>
      </c>
      <c r="E59" s="14"/>
      <c r="F59" s="14">
        <v>-16</v>
      </c>
      <c r="G59" s="14">
        <v>0</v>
      </c>
      <c r="H59" s="14">
        <v>0</v>
      </c>
      <c r="I59" s="14">
        <v>-21</v>
      </c>
      <c r="J59" s="14">
        <v>0</v>
      </c>
      <c r="K59" s="14">
        <v>-37</v>
      </c>
      <c r="L59" s="14"/>
      <c r="M59" s="14">
        <v>-37</v>
      </c>
      <c r="N59" s="14">
        <v>0</v>
      </c>
      <c r="O59" s="14">
        <v>0</v>
      </c>
      <c r="P59" t="s">
        <v>381</v>
      </c>
    </row>
    <row r="60" spans="1:16" x14ac:dyDescent="0.15">
      <c r="A60" t="s">
        <v>131</v>
      </c>
      <c r="B60">
        <v>163</v>
      </c>
      <c r="C60" t="s">
        <v>161</v>
      </c>
      <c r="D60" s="14">
        <v>18</v>
      </c>
      <c r="E60" s="14">
        <v>19</v>
      </c>
      <c r="F60" s="14">
        <v>-1</v>
      </c>
      <c r="G60" s="14">
        <v>0</v>
      </c>
      <c r="H60" s="14">
        <v>0</v>
      </c>
      <c r="I60" s="14">
        <v>-10</v>
      </c>
      <c r="J60" s="14">
        <v>0</v>
      </c>
      <c r="K60" s="14">
        <v>8</v>
      </c>
      <c r="L60" s="14">
        <v>19</v>
      </c>
      <c r="M60" s="14">
        <v>-11</v>
      </c>
      <c r="N60" s="14">
        <v>0</v>
      </c>
      <c r="O60" s="14">
        <v>0</v>
      </c>
      <c r="P60" t="s">
        <v>381</v>
      </c>
    </row>
    <row r="61" spans="1:16" x14ac:dyDescent="0.15">
      <c r="A61" t="s">
        <v>179</v>
      </c>
      <c r="B61">
        <v>163</v>
      </c>
      <c r="C61" t="s">
        <v>161</v>
      </c>
      <c r="D61" s="14">
        <v>52</v>
      </c>
      <c r="E61" s="14">
        <v>56</v>
      </c>
      <c r="F61" s="14">
        <v>-4</v>
      </c>
      <c r="G61" s="14">
        <v>0</v>
      </c>
      <c r="H61" s="14">
        <v>0</v>
      </c>
      <c r="I61" s="14">
        <v>-12</v>
      </c>
      <c r="J61" s="14">
        <v>0</v>
      </c>
      <c r="K61" s="14">
        <v>40</v>
      </c>
      <c r="L61" s="14">
        <v>56</v>
      </c>
      <c r="M61" s="14">
        <v>-16</v>
      </c>
      <c r="N61" s="14">
        <v>0</v>
      </c>
      <c r="O61" s="14">
        <v>0</v>
      </c>
      <c r="P61" t="s">
        <v>381</v>
      </c>
    </row>
    <row r="62" spans="1:16" x14ac:dyDescent="0.15">
      <c r="A62" t="s">
        <v>134</v>
      </c>
      <c r="B62">
        <v>163</v>
      </c>
      <c r="C62" t="s">
        <v>161</v>
      </c>
      <c r="D62" s="14">
        <v>34</v>
      </c>
      <c r="E62" s="14">
        <v>34</v>
      </c>
      <c r="F62" s="14">
        <v>0</v>
      </c>
      <c r="G62" s="14">
        <v>0</v>
      </c>
      <c r="H62" s="14">
        <v>0</v>
      </c>
      <c r="I62" s="14">
        <v>7</v>
      </c>
      <c r="J62" s="14">
        <v>0</v>
      </c>
      <c r="K62" s="14">
        <v>41</v>
      </c>
      <c r="L62" s="14">
        <v>34</v>
      </c>
      <c r="M62" s="14">
        <v>7</v>
      </c>
      <c r="N62" s="14">
        <v>0</v>
      </c>
      <c r="O62" s="14">
        <v>0</v>
      </c>
      <c r="P62" t="s">
        <v>381</v>
      </c>
    </row>
    <row r="63" spans="1:16" x14ac:dyDescent="0.15">
      <c r="A63" t="s">
        <v>79</v>
      </c>
      <c r="B63">
        <v>163</v>
      </c>
      <c r="C63" t="s">
        <v>161</v>
      </c>
      <c r="D63" s="14">
        <v>0</v>
      </c>
      <c r="E63" s="14">
        <v>-1</v>
      </c>
      <c r="F63" s="14">
        <v>1</v>
      </c>
      <c r="G63" s="14">
        <v>0</v>
      </c>
      <c r="H63" s="14">
        <v>0</v>
      </c>
      <c r="I63" s="14">
        <v>1</v>
      </c>
      <c r="J63" s="14">
        <v>0</v>
      </c>
      <c r="K63" s="14">
        <v>1</v>
      </c>
      <c r="L63" s="14">
        <v>-1</v>
      </c>
      <c r="M63" s="14">
        <v>2</v>
      </c>
      <c r="N63" s="14">
        <v>0</v>
      </c>
      <c r="O63" s="14">
        <v>0</v>
      </c>
      <c r="P63" t="s">
        <v>381</v>
      </c>
    </row>
    <row r="64" spans="1:16" x14ac:dyDescent="0.15">
      <c r="A64" t="s">
        <v>164</v>
      </c>
      <c r="B64">
        <v>163</v>
      </c>
      <c r="C64" t="s">
        <v>161</v>
      </c>
      <c r="D64" s="14">
        <v>0</v>
      </c>
      <c r="E64" s="14">
        <v>-1</v>
      </c>
      <c r="F64" s="14">
        <v>1</v>
      </c>
      <c r="G64" s="14">
        <v>0</v>
      </c>
      <c r="H64" s="14">
        <v>0</v>
      </c>
      <c r="I64" s="14">
        <v>0</v>
      </c>
      <c r="J64" s="14">
        <v>0</v>
      </c>
      <c r="K64" s="14">
        <v>0</v>
      </c>
      <c r="L64" s="14">
        <v>-1</v>
      </c>
      <c r="M64" s="14">
        <v>1</v>
      </c>
      <c r="N64" s="14">
        <v>0</v>
      </c>
      <c r="O64" s="14">
        <v>0</v>
      </c>
      <c r="P64" t="s">
        <v>956</v>
      </c>
    </row>
    <row r="65" spans="1:16" x14ac:dyDescent="0.15">
      <c r="A65" t="s">
        <v>181</v>
      </c>
      <c r="B65">
        <v>163</v>
      </c>
      <c r="C65" t="s">
        <v>161</v>
      </c>
      <c r="D65" s="14">
        <v>48.32</v>
      </c>
      <c r="E65" s="14">
        <v>67.86</v>
      </c>
      <c r="F65" s="14">
        <v>-19.54</v>
      </c>
      <c r="G65" s="14">
        <v>0</v>
      </c>
      <c r="H65" s="14">
        <v>0</v>
      </c>
      <c r="I65" s="14">
        <v>-30.67</v>
      </c>
      <c r="J65" s="14">
        <v>0</v>
      </c>
      <c r="K65" s="14">
        <v>17.649999999999999</v>
      </c>
      <c r="L65" s="14">
        <v>67.86</v>
      </c>
      <c r="M65" s="14">
        <v>-50.21</v>
      </c>
      <c r="N65" s="14">
        <v>0</v>
      </c>
      <c r="O65" s="14">
        <v>0</v>
      </c>
      <c r="P65" t="s">
        <v>381</v>
      </c>
    </row>
    <row r="66" spans="1:16" x14ac:dyDescent="0.15">
      <c r="A66" t="s">
        <v>146</v>
      </c>
      <c r="B66">
        <v>163</v>
      </c>
      <c r="C66" t="s">
        <v>161</v>
      </c>
      <c r="D66" s="14">
        <v>4</v>
      </c>
      <c r="E66" s="14">
        <v>4</v>
      </c>
      <c r="F66" s="14">
        <v>0</v>
      </c>
      <c r="G66" s="14">
        <v>0</v>
      </c>
      <c r="H66" s="14">
        <v>0</v>
      </c>
      <c r="I66" s="14">
        <v>0</v>
      </c>
      <c r="J66" s="14">
        <v>0</v>
      </c>
      <c r="K66" s="14">
        <v>4</v>
      </c>
      <c r="L66" s="14">
        <v>4</v>
      </c>
      <c r="M66" s="14">
        <v>0</v>
      </c>
      <c r="N66" s="14">
        <v>0</v>
      </c>
      <c r="O66" s="14">
        <v>0</v>
      </c>
      <c r="P66" t="s">
        <v>956</v>
      </c>
    </row>
    <row r="67" spans="1:16" x14ac:dyDescent="0.15">
      <c r="A67" t="s">
        <v>128</v>
      </c>
      <c r="B67">
        <v>163</v>
      </c>
      <c r="C67" t="s">
        <v>161</v>
      </c>
      <c r="D67" s="14">
        <v>16</v>
      </c>
      <c r="E67" s="14">
        <v>16</v>
      </c>
      <c r="F67" s="14">
        <v>0</v>
      </c>
      <c r="G67" s="14">
        <v>0</v>
      </c>
      <c r="H67" s="14">
        <v>0</v>
      </c>
      <c r="I67" s="14">
        <v>-8</v>
      </c>
      <c r="J67" s="14">
        <v>0</v>
      </c>
      <c r="K67" s="14">
        <v>8</v>
      </c>
      <c r="L67" s="14">
        <v>16</v>
      </c>
      <c r="M67" s="14">
        <v>-8</v>
      </c>
      <c r="N67" s="14">
        <v>0</v>
      </c>
      <c r="O67" s="14">
        <v>0</v>
      </c>
      <c r="P67" t="s">
        <v>381</v>
      </c>
    </row>
    <row r="68" spans="1:16" x14ac:dyDescent="0.15">
      <c r="A68" t="s">
        <v>147</v>
      </c>
      <c r="B68">
        <v>163</v>
      </c>
      <c r="C68" t="s">
        <v>161</v>
      </c>
      <c r="D68" s="14">
        <v>9</v>
      </c>
      <c r="E68" s="14">
        <v>9</v>
      </c>
      <c r="F68" s="14">
        <v>0</v>
      </c>
      <c r="G68" s="14">
        <v>0</v>
      </c>
      <c r="H68" s="14">
        <v>0</v>
      </c>
      <c r="I68" s="14">
        <v>0</v>
      </c>
      <c r="J68" s="14">
        <v>0</v>
      </c>
      <c r="K68" s="14">
        <v>9</v>
      </c>
      <c r="L68" s="14">
        <v>9</v>
      </c>
      <c r="M68" s="14">
        <v>0</v>
      </c>
      <c r="N68" s="14">
        <v>0</v>
      </c>
      <c r="O68" s="14">
        <v>0</v>
      </c>
      <c r="P68" t="s">
        <v>956</v>
      </c>
    </row>
    <row r="69" spans="1:16" x14ac:dyDescent="0.15">
      <c r="A69" t="s">
        <v>80</v>
      </c>
      <c r="B69">
        <v>163</v>
      </c>
      <c r="C69" t="s">
        <v>161</v>
      </c>
      <c r="D69" s="14">
        <v>68</v>
      </c>
      <c r="E69" s="14">
        <v>48</v>
      </c>
      <c r="F69" s="14">
        <v>20</v>
      </c>
      <c r="G69" s="14">
        <v>0</v>
      </c>
      <c r="H69" s="14">
        <v>0</v>
      </c>
      <c r="I69" s="14">
        <v>-37</v>
      </c>
      <c r="J69" s="14">
        <v>0</v>
      </c>
      <c r="K69" s="14">
        <v>31</v>
      </c>
      <c r="L69" s="14">
        <v>48</v>
      </c>
      <c r="M69" s="14">
        <v>-17</v>
      </c>
      <c r="N69" s="14">
        <v>0</v>
      </c>
      <c r="O69" s="14">
        <v>0</v>
      </c>
      <c r="P69" t="s">
        <v>381</v>
      </c>
    </row>
    <row r="70" spans="1:16" x14ac:dyDescent="0.15">
      <c r="A70" t="s">
        <v>148</v>
      </c>
      <c r="B70">
        <v>163</v>
      </c>
      <c r="C70" t="s">
        <v>161</v>
      </c>
      <c r="D70" s="14">
        <v>89</v>
      </c>
      <c r="E70" s="14">
        <v>19</v>
      </c>
      <c r="F70" s="14">
        <v>70</v>
      </c>
      <c r="G70" s="14">
        <v>0</v>
      </c>
      <c r="H70" s="14">
        <v>0</v>
      </c>
      <c r="I70" s="14">
        <v>-34</v>
      </c>
      <c r="J70" s="14">
        <v>0</v>
      </c>
      <c r="K70" s="14">
        <v>55</v>
      </c>
      <c r="L70" s="14">
        <v>19</v>
      </c>
      <c r="M70" s="14">
        <v>36</v>
      </c>
      <c r="N70" s="14">
        <v>0</v>
      </c>
      <c r="O70" s="14">
        <v>0</v>
      </c>
      <c r="P70" t="s">
        <v>381</v>
      </c>
    </row>
    <row r="71" spans="1:16" x14ac:dyDescent="0.15">
      <c r="A71" t="s">
        <v>65</v>
      </c>
      <c r="B71">
        <v>163</v>
      </c>
      <c r="C71" t="s">
        <v>161</v>
      </c>
      <c r="D71" s="14">
        <v>1</v>
      </c>
      <c r="E71" s="14">
        <v>1</v>
      </c>
      <c r="F71" s="14">
        <v>0</v>
      </c>
      <c r="G71" s="14">
        <v>0</v>
      </c>
      <c r="H71" s="14">
        <v>0</v>
      </c>
      <c r="I71" s="14">
        <v>0</v>
      </c>
      <c r="J71" s="14">
        <v>0</v>
      </c>
      <c r="K71" s="14">
        <v>1</v>
      </c>
      <c r="L71" s="14">
        <v>1</v>
      </c>
      <c r="M71" s="14">
        <v>0</v>
      </c>
      <c r="N71" s="14">
        <v>0</v>
      </c>
      <c r="O71" s="14">
        <v>0</v>
      </c>
      <c r="P71" t="s">
        <v>956</v>
      </c>
    </row>
    <row r="72" spans="1:16" x14ac:dyDescent="0.15">
      <c r="A72" t="s">
        <v>66</v>
      </c>
      <c r="B72">
        <v>163</v>
      </c>
      <c r="C72" t="s">
        <v>161</v>
      </c>
      <c r="D72" s="14">
        <v>3</v>
      </c>
      <c r="E72" s="14">
        <v>3</v>
      </c>
      <c r="F72" s="14">
        <v>0</v>
      </c>
      <c r="G72" s="14">
        <v>0</v>
      </c>
      <c r="H72" s="14">
        <v>0</v>
      </c>
      <c r="I72" s="14">
        <v>1</v>
      </c>
      <c r="J72" s="14">
        <v>0</v>
      </c>
      <c r="K72" s="14">
        <v>4</v>
      </c>
      <c r="L72" s="14">
        <v>3</v>
      </c>
      <c r="M72" s="14">
        <v>1</v>
      </c>
      <c r="N72" s="14">
        <v>0</v>
      </c>
      <c r="O72" s="14">
        <v>0</v>
      </c>
      <c r="P72" t="s">
        <v>381</v>
      </c>
    </row>
    <row r="73" spans="1:16" x14ac:dyDescent="0.15">
      <c r="A73" t="s">
        <v>167</v>
      </c>
      <c r="B73">
        <v>163</v>
      </c>
      <c r="C73" t="s">
        <v>161</v>
      </c>
      <c r="D73" s="14">
        <v>4650</v>
      </c>
      <c r="E73" s="14">
        <v>4650</v>
      </c>
      <c r="F73" s="14">
        <v>0</v>
      </c>
      <c r="G73" s="14">
        <v>0</v>
      </c>
      <c r="H73" s="14">
        <v>0</v>
      </c>
      <c r="I73" s="14">
        <v>1950</v>
      </c>
      <c r="J73" s="14">
        <v>0</v>
      </c>
      <c r="K73" s="14">
        <v>6600</v>
      </c>
      <c r="L73" s="14">
        <v>4650</v>
      </c>
      <c r="M73" s="14">
        <v>1950</v>
      </c>
      <c r="N73" s="14">
        <v>0</v>
      </c>
      <c r="O73" s="14">
        <v>0</v>
      </c>
      <c r="P73" t="s">
        <v>381</v>
      </c>
    </row>
    <row r="74" spans="1:16" x14ac:dyDescent="0.15">
      <c r="A74" t="s">
        <v>149</v>
      </c>
      <c r="B74">
        <v>163</v>
      </c>
      <c r="C74" t="s">
        <v>161</v>
      </c>
      <c r="D74" s="14">
        <v>5</v>
      </c>
      <c r="E74" s="14">
        <v>5</v>
      </c>
      <c r="F74" s="14">
        <v>0</v>
      </c>
      <c r="G74" s="14">
        <v>0</v>
      </c>
      <c r="H74" s="14">
        <v>0</v>
      </c>
      <c r="I74" s="14">
        <v>0</v>
      </c>
      <c r="J74" s="14">
        <v>0</v>
      </c>
      <c r="K74" s="14">
        <v>5</v>
      </c>
      <c r="L74" s="14">
        <v>5</v>
      </c>
      <c r="M74" s="14">
        <v>0</v>
      </c>
      <c r="N74" s="14">
        <v>0</v>
      </c>
      <c r="O74" s="14">
        <v>0</v>
      </c>
      <c r="P74" t="s">
        <v>956</v>
      </c>
    </row>
    <row r="75" spans="1:16" x14ac:dyDescent="0.15">
      <c r="A75" t="s">
        <v>114</v>
      </c>
      <c r="B75">
        <v>163</v>
      </c>
      <c r="C75" t="s">
        <v>161</v>
      </c>
      <c r="D75" s="14">
        <v>4</v>
      </c>
      <c r="E75" s="14">
        <v>4</v>
      </c>
      <c r="F75" s="14">
        <v>0</v>
      </c>
      <c r="G75" s="14">
        <v>0</v>
      </c>
      <c r="H75" s="14">
        <v>0</v>
      </c>
      <c r="I75" s="14">
        <v>1</v>
      </c>
      <c r="J75" s="14">
        <v>0</v>
      </c>
      <c r="K75" s="14">
        <v>5</v>
      </c>
      <c r="L75" s="14">
        <v>4</v>
      </c>
      <c r="M75" s="14">
        <v>1</v>
      </c>
      <c r="N75" s="14">
        <v>0</v>
      </c>
      <c r="O75" s="14">
        <v>0</v>
      </c>
      <c r="P75" t="s">
        <v>381</v>
      </c>
    </row>
    <row r="76" spans="1:16" x14ac:dyDescent="0.15">
      <c r="A76" t="s">
        <v>23</v>
      </c>
      <c r="B76">
        <v>163</v>
      </c>
      <c r="C76" t="s">
        <v>161</v>
      </c>
      <c r="D76" s="14">
        <v>0</v>
      </c>
      <c r="E76" s="14">
        <v>-378</v>
      </c>
      <c r="F76" s="14">
        <v>378</v>
      </c>
      <c r="G76" s="14">
        <v>0</v>
      </c>
      <c r="H76" s="14">
        <v>0</v>
      </c>
      <c r="I76" s="14">
        <v>0</v>
      </c>
      <c r="J76" s="14">
        <v>0</v>
      </c>
      <c r="K76" s="14">
        <v>0</v>
      </c>
      <c r="L76" s="14">
        <v>-378</v>
      </c>
      <c r="M76" s="14">
        <v>378</v>
      </c>
      <c r="N76" s="14">
        <v>0</v>
      </c>
      <c r="O76" s="14">
        <v>0</v>
      </c>
      <c r="P76" t="s">
        <v>956</v>
      </c>
    </row>
    <row r="77" spans="1:16" x14ac:dyDescent="0.15">
      <c r="A77" t="s">
        <v>67</v>
      </c>
      <c r="B77">
        <v>163</v>
      </c>
      <c r="C77" t="s">
        <v>161</v>
      </c>
      <c r="D77" s="14">
        <v>68</v>
      </c>
      <c r="E77" s="14">
        <v>67</v>
      </c>
      <c r="F77" s="14">
        <v>1</v>
      </c>
      <c r="G77" s="14">
        <v>0</v>
      </c>
      <c r="H77" s="14">
        <v>0</v>
      </c>
      <c r="I77" s="14">
        <v>-48</v>
      </c>
      <c r="J77" s="14">
        <v>0</v>
      </c>
      <c r="K77" s="14">
        <v>20</v>
      </c>
      <c r="L77" s="14">
        <v>67</v>
      </c>
      <c r="M77" s="14">
        <v>-47</v>
      </c>
      <c r="N77" s="14">
        <v>0</v>
      </c>
      <c r="O77" s="14">
        <v>0</v>
      </c>
      <c r="P77" t="s">
        <v>381</v>
      </c>
    </row>
    <row r="78" spans="1:16" x14ac:dyDescent="0.15">
      <c r="A78" t="s">
        <v>28</v>
      </c>
      <c r="B78">
        <v>163</v>
      </c>
      <c r="C78" t="s">
        <v>161</v>
      </c>
      <c r="D78" s="14">
        <v>3</v>
      </c>
      <c r="E78" s="14">
        <v>3</v>
      </c>
      <c r="F78" s="14">
        <v>0</v>
      </c>
      <c r="G78" s="14">
        <v>0</v>
      </c>
      <c r="H78" s="14">
        <v>0</v>
      </c>
      <c r="I78" s="14">
        <v>-2</v>
      </c>
      <c r="J78" s="14">
        <v>0</v>
      </c>
      <c r="K78" s="14">
        <v>1</v>
      </c>
      <c r="L78" s="14">
        <v>3</v>
      </c>
      <c r="M78" s="14">
        <v>-2</v>
      </c>
      <c r="N78" s="14">
        <v>0</v>
      </c>
      <c r="O78" s="14">
        <v>0</v>
      </c>
      <c r="P78" t="s">
        <v>381</v>
      </c>
    </row>
    <row r="79" spans="1:16" x14ac:dyDescent="0.15">
      <c r="A79" t="s">
        <v>198</v>
      </c>
      <c r="B79">
        <v>163</v>
      </c>
      <c r="C79" t="s">
        <v>161</v>
      </c>
      <c r="D79" s="14">
        <v>20</v>
      </c>
      <c r="E79" s="14">
        <v>20</v>
      </c>
      <c r="F79" s="14">
        <v>0</v>
      </c>
      <c r="G79" s="14">
        <v>0</v>
      </c>
      <c r="H79" s="14">
        <v>0</v>
      </c>
      <c r="I79" s="14">
        <v>-20</v>
      </c>
      <c r="J79" s="14">
        <v>0</v>
      </c>
      <c r="K79" s="14">
        <v>0</v>
      </c>
      <c r="L79" s="14">
        <v>20</v>
      </c>
      <c r="M79" s="14">
        <v>-20</v>
      </c>
      <c r="N79" s="14">
        <v>0</v>
      </c>
      <c r="O79" s="14">
        <v>0</v>
      </c>
      <c r="P79" t="s">
        <v>381</v>
      </c>
    </row>
    <row r="80" spans="1:16" x14ac:dyDescent="0.15">
      <c r="A80" t="s">
        <v>68</v>
      </c>
      <c r="B80">
        <v>163</v>
      </c>
      <c r="C80" t="s">
        <v>161</v>
      </c>
      <c r="D80" s="14">
        <v>56</v>
      </c>
      <c r="E80" s="14">
        <v>68</v>
      </c>
      <c r="F80" s="14">
        <v>-12</v>
      </c>
      <c r="G80" s="14">
        <v>0</v>
      </c>
      <c r="H80" s="14">
        <v>0</v>
      </c>
      <c r="I80" s="14">
        <v>-27</v>
      </c>
      <c r="J80" s="14">
        <v>0</v>
      </c>
      <c r="K80" s="14">
        <v>29</v>
      </c>
      <c r="L80" s="14">
        <v>68</v>
      </c>
      <c r="M80" s="14">
        <v>-39</v>
      </c>
      <c r="N80" s="14">
        <v>0</v>
      </c>
      <c r="O80" s="14">
        <v>0</v>
      </c>
      <c r="P80" t="s">
        <v>381</v>
      </c>
    </row>
    <row r="81" spans="1:16" x14ac:dyDescent="0.15">
      <c r="A81" t="s">
        <v>370</v>
      </c>
      <c r="B81">
        <v>163</v>
      </c>
      <c r="C81" t="s">
        <v>161</v>
      </c>
      <c r="D81" s="14">
        <v>0</v>
      </c>
      <c r="E81" s="14"/>
      <c r="F81" s="14">
        <v>0</v>
      </c>
      <c r="G81" s="14">
        <v>0</v>
      </c>
      <c r="H81" s="14">
        <v>0</v>
      </c>
      <c r="I81" s="14">
        <v>42</v>
      </c>
      <c r="J81" s="14">
        <v>0</v>
      </c>
      <c r="K81" s="14">
        <v>42</v>
      </c>
      <c r="L81" s="14"/>
      <c r="M81" s="14">
        <v>42</v>
      </c>
      <c r="N81" s="14">
        <v>0</v>
      </c>
      <c r="O81" s="14">
        <v>0</v>
      </c>
      <c r="P81" t="s">
        <v>381</v>
      </c>
    </row>
    <row r="82" spans="1:16" x14ac:dyDescent="0.15">
      <c r="A82" t="s">
        <v>117</v>
      </c>
      <c r="B82">
        <v>163</v>
      </c>
      <c r="C82" t="s">
        <v>161</v>
      </c>
      <c r="D82" s="14">
        <v>143</v>
      </c>
      <c r="E82" s="14">
        <v>145</v>
      </c>
      <c r="F82" s="14">
        <v>-2</v>
      </c>
      <c r="G82" s="14">
        <v>0</v>
      </c>
      <c r="H82" s="14">
        <v>0</v>
      </c>
      <c r="I82" s="14">
        <v>-58</v>
      </c>
      <c r="J82" s="14">
        <v>0</v>
      </c>
      <c r="K82" s="14">
        <v>85</v>
      </c>
      <c r="L82" s="14">
        <v>145</v>
      </c>
      <c r="M82" s="14">
        <v>-60</v>
      </c>
      <c r="N82" s="14">
        <v>0</v>
      </c>
      <c r="O82" s="14">
        <v>0</v>
      </c>
      <c r="P82" t="s">
        <v>381</v>
      </c>
    </row>
    <row r="83" spans="1:16" x14ac:dyDescent="0.15">
      <c r="A83" t="s">
        <v>200</v>
      </c>
      <c r="B83">
        <v>163</v>
      </c>
      <c r="C83" t="s">
        <v>161</v>
      </c>
      <c r="D83" s="14">
        <v>5</v>
      </c>
      <c r="E83" s="14">
        <v>5</v>
      </c>
      <c r="F83" s="14">
        <v>0</v>
      </c>
      <c r="G83" s="14">
        <v>0</v>
      </c>
      <c r="H83" s="14">
        <v>0</v>
      </c>
      <c r="I83" s="14">
        <v>-2</v>
      </c>
      <c r="J83" s="14">
        <v>0</v>
      </c>
      <c r="K83" s="14">
        <v>3</v>
      </c>
      <c r="L83" s="14">
        <v>5</v>
      </c>
      <c r="M83" s="14">
        <v>-2</v>
      </c>
      <c r="N83" s="14">
        <v>0</v>
      </c>
      <c r="O83" s="14">
        <v>0</v>
      </c>
      <c r="P83" t="s">
        <v>381</v>
      </c>
    </row>
    <row r="84" spans="1:16" x14ac:dyDescent="0.15">
      <c r="A84" t="s">
        <v>105</v>
      </c>
      <c r="B84">
        <v>163</v>
      </c>
      <c r="C84" t="s">
        <v>161</v>
      </c>
      <c r="D84" s="14">
        <v>2</v>
      </c>
      <c r="E84" s="14">
        <v>2</v>
      </c>
      <c r="F84" s="14">
        <v>0</v>
      </c>
      <c r="G84" s="14">
        <v>0</v>
      </c>
      <c r="H84" s="14">
        <v>0</v>
      </c>
      <c r="I84" s="14">
        <v>-2</v>
      </c>
      <c r="J84" s="14">
        <v>0</v>
      </c>
      <c r="K84" s="14">
        <v>0</v>
      </c>
      <c r="L84" s="14">
        <v>2</v>
      </c>
      <c r="M84" s="14">
        <v>-2</v>
      </c>
      <c r="N84" s="14">
        <v>0</v>
      </c>
      <c r="O84" s="14">
        <v>0</v>
      </c>
      <c r="P84" t="s">
        <v>381</v>
      </c>
    </row>
    <row r="85" spans="1:16" x14ac:dyDescent="0.15">
      <c r="A85" t="s">
        <v>201</v>
      </c>
      <c r="B85">
        <v>163</v>
      </c>
      <c r="C85" t="s">
        <v>161</v>
      </c>
      <c r="D85" s="14">
        <v>2</v>
      </c>
      <c r="E85" s="14">
        <v>2</v>
      </c>
      <c r="F85" s="14">
        <v>0</v>
      </c>
      <c r="G85" s="14">
        <v>0</v>
      </c>
      <c r="H85" s="14">
        <v>0</v>
      </c>
      <c r="I85" s="14">
        <v>-2</v>
      </c>
      <c r="J85" s="14">
        <v>0</v>
      </c>
      <c r="K85" s="14">
        <v>0</v>
      </c>
      <c r="L85" s="14">
        <v>2</v>
      </c>
      <c r="M85" s="14">
        <v>-2</v>
      </c>
      <c r="N85" s="14">
        <v>0</v>
      </c>
      <c r="O85" s="14">
        <v>0</v>
      </c>
      <c r="P85" t="s">
        <v>381</v>
      </c>
    </row>
    <row r="86" spans="1:16" x14ac:dyDescent="0.15">
      <c r="A86" t="s">
        <v>19</v>
      </c>
      <c r="B86">
        <v>163</v>
      </c>
      <c r="C86" t="s">
        <v>161</v>
      </c>
      <c r="D86" s="14"/>
      <c r="E86" s="14">
        <v>-4</v>
      </c>
      <c r="F86" s="14">
        <v>4</v>
      </c>
      <c r="G86" s="14">
        <v>0</v>
      </c>
      <c r="H86" s="14">
        <v>0</v>
      </c>
      <c r="I86" s="14">
        <v>-35</v>
      </c>
      <c r="J86" s="14">
        <v>0</v>
      </c>
      <c r="K86" s="14"/>
      <c r="L86" s="14">
        <v>-4</v>
      </c>
      <c r="M86" s="14">
        <v>4</v>
      </c>
      <c r="N86" s="14">
        <v>0</v>
      </c>
      <c r="O86" s="14">
        <v>0</v>
      </c>
      <c r="P86" t="s">
        <v>381</v>
      </c>
    </row>
    <row r="87" spans="1:16" x14ac:dyDescent="0.15">
      <c r="A87" t="s">
        <v>209</v>
      </c>
      <c r="B87">
        <v>163</v>
      </c>
      <c r="C87" t="s">
        <v>161</v>
      </c>
      <c r="D87" s="14"/>
      <c r="E87" s="14"/>
      <c r="F87" s="14">
        <v>0</v>
      </c>
      <c r="G87" s="14">
        <v>0</v>
      </c>
      <c r="H87" s="14">
        <v>0</v>
      </c>
      <c r="I87" s="14">
        <v>-59</v>
      </c>
      <c r="J87" s="14">
        <v>0</v>
      </c>
      <c r="K87" s="14"/>
      <c r="L87" s="14"/>
      <c r="M87" s="14">
        <v>0</v>
      </c>
      <c r="N87" s="14">
        <v>0</v>
      </c>
      <c r="O87" s="14">
        <v>0</v>
      </c>
      <c r="P87" t="s">
        <v>381</v>
      </c>
    </row>
    <row r="88" spans="1:16" x14ac:dyDescent="0.15">
      <c r="A88" t="s">
        <v>219</v>
      </c>
      <c r="B88">
        <v>163</v>
      </c>
      <c r="C88" t="s">
        <v>161</v>
      </c>
      <c r="D88" s="14"/>
      <c r="E88" s="14"/>
      <c r="F88" s="14">
        <v>0</v>
      </c>
      <c r="G88" s="14">
        <v>0</v>
      </c>
      <c r="H88" s="14">
        <v>0</v>
      </c>
      <c r="I88" s="14">
        <v>29</v>
      </c>
      <c r="J88" s="14">
        <v>0</v>
      </c>
      <c r="K88" s="14"/>
      <c r="L88" s="14"/>
      <c r="M88" s="14">
        <v>0</v>
      </c>
      <c r="N88" s="14">
        <v>0</v>
      </c>
      <c r="O88" s="14">
        <v>0</v>
      </c>
      <c r="P88" t="s">
        <v>381</v>
      </c>
    </row>
    <row r="89" spans="1:16" x14ac:dyDescent="0.15">
      <c r="A89" t="s">
        <v>205</v>
      </c>
      <c r="B89">
        <v>163</v>
      </c>
      <c r="C89" t="s">
        <v>161</v>
      </c>
      <c r="D89" s="14"/>
      <c r="E89" s="14"/>
      <c r="F89" s="14">
        <v>0</v>
      </c>
      <c r="G89" s="14">
        <v>0</v>
      </c>
      <c r="H89" s="14">
        <v>0</v>
      </c>
      <c r="I89" s="14">
        <v>-3</v>
      </c>
      <c r="J89" s="14">
        <v>0</v>
      </c>
      <c r="K89" s="14"/>
      <c r="L89" s="14"/>
      <c r="M89" s="14">
        <v>0</v>
      </c>
      <c r="N89" s="14">
        <v>0</v>
      </c>
      <c r="O89" s="14">
        <v>0</v>
      </c>
      <c r="P89" t="s">
        <v>381</v>
      </c>
    </row>
    <row r="90" spans="1:16" x14ac:dyDescent="0.15">
      <c r="A90" t="s">
        <v>300</v>
      </c>
      <c r="B90">
        <v>163</v>
      </c>
      <c r="C90" t="s">
        <v>161</v>
      </c>
      <c r="D90" s="14"/>
      <c r="E90" s="14"/>
      <c r="F90" s="14">
        <v>0</v>
      </c>
      <c r="G90" s="14">
        <v>0</v>
      </c>
      <c r="H90" s="14">
        <v>0</v>
      </c>
      <c r="I90" s="14">
        <v>-1</v>
      </c>
      <c r="J90" s="14">
        <v>0</v>
      </c>
      <c r="K90" s="14"/>
      <c r="L90" s="14"/>
      <c r="M90" s="14">
        <v>0</v>
      </c>
      <c r="N90" s="14">
        <v>0</v>
      </c>
      <c r="O90" s="14">
        <v>0</v>
      </c>
      <c r="P90" t="s">
        <v>381</v>
      </c>
    </row>
    <row r="91" spans="1:16" x14ac:dyDescent="0.15">
      <c r="A91" t="s">
        <v>218</v>
      </c>
      <c r="B91">
        <v>163</v>
      </c>
      <c r="C91" t="s">
        <v>161</v>
      </c>
      <c r="D91" s="14"/>
      <c r="E91" s="14"/>
      <c r="F91" s="14">
        <v>0</v>
      </c>
      <c r="G91" s="14">
        <v>0</v>
      </c>
      <c r="H91" s="14">
        <v>0</v>
      </c>
      <c r="I91" s="14">
        <v>1</v>
      </c>
      <c r="J91" s="14">
        <v>0</v>
      </c>
      <c r="K91" s="14"/>
      <c r="L91" s="14"/>
      <c r="M91" s="14">
        <v>0</v>
      </c>
      <c r="N91" s="14">
        <v>0</v>
      </c>
      <c r="O91" s="14">
        <v>0</v>
      </c>
      <c r="P91" t="s">
        <v>381</v>
      </c>
    </row>
    <row r="92" spans="1:16" x14ac:dyDescent="0.15">
      <c r="A92" t="s">
        <v>214</v>
      </c>
      <c r="B92">
        <v>163</v>
      </c>
      <c r="C92" t="s">
        <v>161</v>
      </c>
      <c r="D92" s="14"/>
      <c r="E92" s="14"/>
      <c r="F92" s="14">
        <v>0</v>
      </c>
      <c r="G92" s="14">
        <v>0</v>
      </c>
      <c r="H92" s="14">
        <v>0</v>
      </c>
      <c r="I92" s="14">
        <v>-1</v>
      </c>
      <c r="J92" s="14">
        <v>0</v>
      </c>
      <c r="K92" s="14"/>
      <c r="L92" s="14"/>
      <c r="M92" s="14">
        <v>0</v>
      </c>
      <c r="N92" s="14">
        <v>0</v>
      </c>
      <c r="O92" s="14">
        <v>0</v>
      </c>
      <c r="P92" t="s">
        <v>381</v>
      </c>
    </row>
    <row r="93" spans="1:16" x14ac:dyDescent="0.15"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</row>
  </sheetData>
  <phoneticPr fontId="5" type="noConversion"/>
  <dataValidations count="1">
    <dataValidation type="list" allowBlank="1" showInputMessage="1" showErrorMessage="1" sqref="P2:P93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1773"/>
  <sheetViews>
    <sheetView workbookViewId="0">
      <selection activeCell="F12" sqref="F12"/>
    </sheetView>
  </sheetViews>
  <sheetFormatPr defaultRowHeight="13.5" x14ac:dyDescent="0.15"/>
  <cols>
    <col min="1" max="1" width="15.125" customWidth="1"/>
    <col min="2" max="2" width="12.875" customWidth="1"/>
    <col min="4" max="4" width="12.875" customWidth="1"/>
    <col min="6" max="6" width="20.75" customWidth="1"/>
    <col min="7" max="7" width="12.875" customWidth="1"/>
    <col min="8" max="8" width="11.75" customWidth="1"/>
    <col min="10" max="10" width="26.375" customWidth="1"/>
    <col min="11" max="11" width="27.5" customWidth="1"/>
    <col min="12" max="12" width="11.75" customWidth="1"/>
    <col min="13" max="13" width="15.125" customWidth="1"/>
    <col min="14" max="14" width="9.5" customWidth="1"/>
    <col min="15" max="15" width="25.25" customWidth="1"/>
    <col min="16" max="16" width="26.375" customWidth="1"/>
    <col min="17" max="17" width="15.125" customWidth="1"/>
  </cols>
  <sheetData>
    <row r="1" spans="1:17" x14ac:dyDescent="0.15">
      <c r="A1" t="s">
        <v>6</v>
      </c>
      <c r="B1" t="s">
        <v>30</v>
      </c>
      <c r="C1" t="s">
        <v>49</v>
      </c>
      <c r="D1" t="s">
        <v>50</v>
      </c>
      <c r="E1" t="s">
        <v>47</v>
      </c>
      <c r="F1" t="s">
        <v>1915</v>
      </c>
      <c r="G1" t="s">
        <v>8</v>
      </c>
      <c r="H1" t="s">
        <v>12</v>
      </c>
      <c r="I1" t="s">
        <v>36</v>
      </c>
      <c r="J1" t="s">
        <v>1916</v>
      </c>
      <c r="K1" t="s">
        <v>1917</v>
      </c>
      <c r="L1" t="s">
        <v>45</v>
      </c>
      <c r="M1" t="s">
        <v>1911</v>
      </c>
      <c r="N1" t="s">
        <v>1912</v>
      </c>
      <c r="O1" t="s">
        <v>1918</v>
      </c>
      <c r="P1" t="s">
        <v>1919</v>
      </c>
      <c r="Q1" t="s">
        <v>1913</v>
      </c>
    </row>
    <row r="2" spans="1:17" x14ac:dyDescent="0.15">
      <c r="A2" t="s">
        <v>52</v>
      </c>
      <c r="B2" t="s">
        <v>96</v>
      </c>
      <c r="C2">
        <v>163</v>
      </c>
      <c r="D2" t="s">
        <v>161</v>
      </c>
      <c r="E2" s="1">
        <v>42826</v>
      </c>
      <c r="F2" t="s">
        <v>17</v>
      </c>
      <c r="G2" t="s">
        <v>700</v>
      </c>
      <c r="H2">
        <v>195</v>
      </c>
      <c r="I2" t="s">
        <v>38</v>
      </c>
      <c r="J2">
        <v>0</v>
      </c>
      <c r="K2">
        <v>0</v>
      </c>
      <c r="L2" t="s">
        <v>375</v>
      </c>
      <c r="M2" t="s">
        <v>241</v>
      </c>
      <c r="N2" t="s">
        <v>701</v>
      </c>
    </row>
    <row r="3" spans="1:17" x14ac:dyDescent="0.15">
      <c r="A3" t="s">
        <v>52</v>
      </c>
      <c r="B3" t="s">
        <v>96</v>
      </c>
      <c r="C3">
        <v>163</v>
      </c>
      <c r="D3" t="s">
        <v>161</v>
      </c>
      <c r="E3" s="1">
        <v>42826</v>
      </c>
      <c r="F3" t="s">
        <v>17</v>
      </c>
      <c r="G3" t="s">
        <v>700</v>
      </c>
      <c r="H3">
        <v>195</v>
      </c>
      <c r="I3" t="s">
        <v>38</v>
      </c>
      <c r="J3">
        <v>0</v>
      </c>
      <c r="K3">
        <v>0</v>
      </c>
      <c r="L3" t="s">
        <v>375</v>
      </c>
      <c r="M3" t="s">
        <v>1910</v>
      </c>
      <c r="N3" t="s">
        <v>701</v>
      </c>
      <c r="O3">
        <v>0</v>
      </c>
      <c r="P3">
        <v>0</v>
      </c>
      <c r="Q3" t="s">
        <v>381</v>
      </c>
    </row>
    <row r="4" spans="1:17" x14ac:dyDescent="0.15">
      <c r="A4" t="s">
        <v>52</v>
      </c>
      <c r="B4" t="s">
        <v>96</v>
      </c>
      <c r="C4">
        <v>163</v>
      </c>
      <c r="D4" t="s">
        <v>161</v>
      </c>
      <c r="E4" s="1">
        <v>42909</v>
      </c>
      <c r="F4" t="s">
        <v>843</v>
      </c>
      <c r="G4" t="s">
        <v>844</v>
      </c>
      <c r="H4">
        <v>-10</v>
      </c>
      <c r="I4" t="s">
        <v>38</v>
      </c>
      <c r="J4">
        <v>0</v>
      </c>
      <c r="M4" t="s">
        <v>241</v>
      </c>
      <c r="N4" t="s">
        <v>845</v>
      </c>
    </row>
    <row r="5" spans="1:17" x14ac:dyDescent="0.15">
      <c r="A5" t="s">
        <v>52</v>
      </c>
      <c r="B5" t="s">
        <v>96</v>
      </c>
      <c r="C5">
        <v>163</v>
      </c>
      <c r="D5" t="s">
        <v>161</v>
      </c>
      <c r="E5" s="1">
        <v>42909</v>
      </c>
      <c r="F5" t="s">
        <v>843</v>
      </c>
      <c r="G5" t="s">
        <v>844</v>
      </c>
      <c r="H5">
        <v>-10</v>
      </c>
      <c r="I5" t="s">
        <v>38</v>
      </c>
      <c r="J5">
        <v>0</v>
      </c>
      <c r="M5" t="s">
        <v>1910</v>
      </c>
      <c r="N5" t="s">
        <v>845</v>
      </c>
      <c r="O5">
        <v>0</v>
      </c>
      <c r="P5">
        <v>0</v>
      </c>
      <c r="Q5" t="s">
        <v>381</v>
      </c>
    </row>
    <row r="6" spans="1:17" x14ac:dyDescent="0.15">
      <c r="A6" t="s">
        <v>52</v>
      </c>
      <c r="B6" t="s">
        <v>96</v>
      </c>
      <c r="C6">
        <v>163</v>
      </c>
      <c r="D6" t="s">
        <v>161</v>
      </c>
      <c r="E6" s="1">
        <v>42909</v>
      </c>
      <c r="F6" t="s">
        <v>843</v>
      </c>
      <c r="G6" t="s">
        <v>844</v>
      </c>
      <c r="H6">
        <v>-3.9</v>
      </c>
      <c r="I6" t="s">
        <v>38</v>
      </c>
      <c r="J6">
        <v>0</v>
      </c>
      <c r="M6" t="s">
        <v>241</v>
      </c>
      <c r="N6" t="s">
        <v>846</v>
      </c>
    </row>
    <row r="7" spans="1:17" x14ac:dyDescent="0.15">
      <c r="A7" t="s">
        <v>52</v>
      </c>
      <c r="B7" t="s">
        <v>96</v>
      </c>
      <c r="C7">
        <v>163</v>
      </c>
      <c r="D7" t="s">
        <v>161</v>
      </c>
      <c r="E7" s="1">
        <v>42909</v>
      </c>
      <c r="F7" t="s">
        <v>843</v>
      </c>
      <c r="G7" t="s">
        <v>844</v>
      </c>
      <c r="H7">
        <v>-3.9</v>
      </c>
      <c r="I7" t="s">
        <v>38</v>
      </c>
      <c r="J7">
        <v>0</v>
      </c>
      <c r="M7" t="s">
        <v>1910</v>
      </c>
      <c r="N7" t="s">
        <v>846</v>
      </c>
      <c r="O7">
        <v>0</v>
      </c>
      <c r="P7">
        <v>0</v>
      </c>
      <c r="Q7" t="s">
        <v>381</v>
      </c>
    </row>
    <row r="8" spans="1:17" x14ac:dyDescent="0.15">
      <c r="A8" t="s">
        <v>52</v>
      </c>
      <c r="B8" t="s">
        <v>96</v>
      </c>
      <c r="C8">
        <v>163</v>
      </c>
      <c r="D8" t="s">
        <v>161</v>
      </c>
      <c r="E8" s="1">
        <v>43049</v>
      </c>
      <c r="F8" t="s">
        <v>17</v>
      </c>
      <c r="G8" t="s">
        <v>1641</v>
      </c>
      <c r="H8">
        <v>97.5</v>
      </c>
      <c r="I8" t="s">
        <v>38</v>
      </c>
      <c r="J8">
        <v>0</v>
      </c>
      <c r="K8">
        <v>0</v>
      </c>
      <c r="L8" t="s">
        <v>375</v>
      </c>
      <c r="M8" t="s">
        <v>241</v>
      </c>
      <c r="N8" t="s">
        <v>1642</v>
      </c>
    </row>
    <row r="9" spans="1:17" x14ac:dyDescent="0.15">
      <c r="A9" t="s">
        <v>52</v>
      </c>
      <c r="B9" t="s">
        <v>96</v>
      </c>
      <c r="C9">
        <v>163</v>
      </c>
      <c r="D9" t="s">
        <v>161</v>
      </c>
      <c r="E9" s="1">
        <v>43049</v>
      </c>
      <c r="F9" t="s">
        <v>17</v>
      </c>
      <c r="G9" t="s">
        <v>1641</v>
      </c>
      <c r="H9">
        <v>97.5</v>
      </c>
      <c r="I9" t="s">
        <v>38</v>
      </c>
      <c r="J9">
        <v>0</v>
      </c>
      <c r="K9">
        <v>0</v>
      </c>
      <c r="L9" t="s">
        <v>375</v>
      </c>
      <c r="M9" t="s">
        <v>1910</v>
      </c>
      <c r="N9" t="s">
        <v>1642</v>
      </c>
      <c r="O9">
        <v>0</v>
      </c>
      <c r="P9">
        <v>0</v>
      </c>
      <c r="Q9" t="s">
        <v>381</v>
      </c>
    </row>
    <row r="10" spans="1:17" ht="81" x14ac:dyDescent="0.15">
      <c r="A10" t="s">
        <v>136</v>
      </c>
      <c r="B10" s="15" t="s">
        <v>174</v>
      </c>
      <c r="C10">
        <v>163</v>
      </c>
      <c r="D10" t="s">
        <v>161</v>
      </c>
      <c r="E10" s="1">
        <v>42846</v>
      </c>
      <c r="F10" t="s">
        <v>17</v>
      </c>
      <c r="G10" t="s">
        <v>741</v>
      </c>
      <c r="H10">
        <v>97.5</v>
      </c>
      <c r="I10" t="s">
        <v>38</v>
      </c>
      <c r="J10">
        <v>0</v>
      </c>
      <c r="K10">
        <v>0</v>
      </c>
      <c r="L10" t="s">
        <v>375</v>
      </c>
      <c r="M10" t="s">
        <v>241</v>
      </c>
      <c r="N10" t="s">
        <v>742</v>
      </c>
    </row>
    <row r="11" spans="1:17" ht="81" x14ac:dyDescent="0.15">
      <c r="A11" t="s">
        <v>136</v>
      </c>
      <c r="B11" s="15" t="s">
        <v>174</v>
      </c>
      <c r="C11">
        <v>163</v>
      </c>
      <c r="D11" t="s">
        <v>161</v>
      </c>
      <c r="E11" s="1">
        <v>42846</v>
      </c>
      <c r="F11" t="s">
        <v>17</v>
      </c>
      <c r="G11" t="s">
        <v>741</v>
      </c>
      <c r="H11">
        <v>97.5</v>
      </c>
      <c r="I11" t="s">
        <v>38</v>
      </c>
      <c r="J11">
        <v>0</v>
      </c>
      <c r="K11">
        <v>0</v>
      </c>
      <c r="L11" t="s">
        <v>375</v>
      </c>
      <c r="M11" t="s">
        <v>1910</v>
      </c>
      <c r="N11" t="s">
        <v>742</v>
      </c>
      <c r="O11">
        <v>0</v>
      </c>
      <c r="P11">
        <v>0</v>
      </c>
      <c r="Q11" t="s">
        <v>381</v>
      </c>
    </row>
    <row r="12" spans="1:17" ht="81" x14ac:dyDescent="0.15">
      <c r="A12" t="s">
        <v>136</v>
      </c>
      <c r="B12" s="15" t="s">
        <v>174</v>
      </c>
      <c r="C12">
        <v>163</v>
      </c>
      <c r="D12" t="s">
        <v>161</v>
      </c>
      <c r="E12" s="1">
        <v>42909</v>
      </c>
      <c r="F12" t="s">
        <v>843</v>
      </c>
      <c r="G12" t="s">
        <v>844</v>
      </c>
      <c r="H12">
        <v>-10</v>
      </c>
      <c r="I12" t="s">
        <v>38</v>
      </c>
      <c r="J12">
        <v>0</v>
      </c>
      <c r="M12" t="s">
        <v>241</v>
      </c>
      <c r="N12" t="s">
        <v>847</v>
      </c>
    </row>
    <row r="13" spans="1:17" ht="81" x14ac:dyDescent="0.15">
      <c r="A13" t="s">
        <v>136</v>
      </c>
      <c r="B13" s="15" t="s">
        <v>174</v>
      </c>
      <c r="C13">
        <v>163</v>
      </c>
      <c r="D13" t="s">
        <v>161</v>
      </c>
      <c r="E13" s="1">
        <v>42909</v>
      </c>
      <c r="F13" t="s">
        <v>843</v>
      </c>
      <c r="G13" t="s">
        <v>844</v>
      </c>
      <c r="H13">
        <v>-10</v>
      </c>
      <c r="I13" t="s">
        <v>38</v>
      </c>
      <c r="J13">
        <v>0</v>
      </c>
      <c r="M13" t="s">
        <v>1910</v>
      </c>
      <c r="N13" t="s">
        <v>847</v>
      </c>
      <c r="O13">
        <v>0</v>
      </c>
      <c r="P13">
        <v>0</v>
      </c>
      <c r="Q13" t="s">
        <v>381</v>
      </c>
    </row>
    <row r="14" spans="1:17" ht="81" x14ac:dyDescent="0.15">
      <c r="A14" t="s">
        <v>136</v>
      </c>
      <c r="B14" s="15" t="s">
        <v>174</v>
      </c>
      <c r="C14">
        <v>163</v>
      </c>
      <c r="D14" t="s">
        <v>161</v>
      </c>
      <c r="E14" s="1">
        <v>42909</v>
      </c>
      <c r="F14" t="s">
        <v>843</v>
      </c>
      <c r="G14" t="s">
        <v>844</v>
      </c>
      <c r="H14">
        <v>-3.9</v>
      </c>
      <c r="I14" t="s">
        <v>38</v>
      </c>
      <c r="J14">
        <v>0</v>
      </c>
      <c r="M14" t="s">
        <v>241</v>
      </c>
      <c r="N14" t="s">
        <v>848</v>
      </c>
    </row>
    <row r="15" spans="1:17" ht="81" x14ac:dyDescent="0.15">
      <c r="A15" t="s">
        <v>136</v>
      </c>
      <c r="B15" s="15" t="s">
        <v>174</v>
      </c>
      <c r="C15">
        <v>163</v>
      </c>
      <c r="D15" t="s">
        <v>161</v>
      </c>
      <c r="E15" s="1">
        <v>42909</v>
      </c>
      <c r="F15" t="s">
        <v>843</v>
      </c>
      <c r="G15" t="s">
        <v>844</v>
      </c>
      <c r="H15">
        <v>-3.9</v>
      </c>
      <c r="I15" t="s">
        <v>38</v>
      </c>
      <c r="J15">
        <v>0</v>
      </c>
      <c r="M15" t="s">
        <v>1910</v>
      </c>
      <c r="N15" t="s">
        <v>848</v>
      </c>
      <c r="O15">
        <v>0</v>
      </c>
      <c r="P15">
        <v>0</v>
      </c>
      <c r="Q15" t="s">
        <v>381</v>
      </c>
    </row>
    <row r="16" spans="1:17" ht="81" x14ac:dyDescent="0.15">
      <c r="A16" t="s">
        <v>136</v>
      </c>
      <c r="B16" s="15" t="s">
        <v>174</v>
      </c>
      <c r="C16">
        <v>163</v>
      </c>
      <c r="D16" t="s">
        <v>161</v>
      </c>
      <c r="E16" s="1">
        <v>42978</v>
      </c>
      <c r="F16" t="s">
        <v>17</v>
      </c>
      <c r="G16" t="s">
        <v>1577</v>
      </c>
      <c r="H16">
        <v>97.5</v>
      </c>
      <c r="I16" t="s">
        <v>38</v>
      </c>
      <c r="J16">
        <v>0</v>
      </c>
      <c r="K16">
        <v>0</v>
      </c>
      <c r="L16" t="s">
        <v>375</v>
      </c>
      <c r="M16" t="s">
        <v>241</v>
      </c>
      <c r="N16" t="s">
        <v>1578</v>
      </c>
    </row>
    <row r="17" spans="1:17" ht="81" x14ac:dyDescent="0.15">
      <c r="A17" t="s">
        <v>136</v>
      </c>
      <c r="B17" s="15" t="s">
        <v>174</v>
      </c>
      <c r="C17">
        <v>163</v>
      </c>
      <c r="D17" t="s">
        <v>161</v>
      </c>
      <c r="E17" s="1">
        <v>42978</v>
      </c>
      <c r="F17" t="s">
        <v>17</v>
      </c>
      <c r="G17" t="s">
        <v>1577</v>
      </c>
      <c r="H17">
        <v>97.5</v>
      </c>
      <c r="I17" t="s">
        <v>38</v>
      </c>
      <c r="J17">
        <v>0</v>
      </c>
      <c r="K17">
        <v>0</v>
      </c>
      <c r="L17" t="s">
        <v>375</v>
      </c>
      <c r="M17" t="s">
        <v>1910</v>
      </c>
      <c r="N17" t="s">
        <v>1578</v>
      </c>
      <c r="O17">
        <v>0</v>
      </c>
      <c r="P17">
        <v>0</v>
      </c>
      <c r="Q17" t="s">
        <v>381</v>
      </c>
    </row>
    <row r="18" spans="1:17" ht="54" x14ac:dyDescent="0.15">
      <c r="A18" t="s">
        <v>136</v>
      </c>
      <c r="B18" s="15" t="s">
        <v>174</v>
      </c>
      <c r="C18">
        <v>163</v>
      </c>
      <c r="D18" t="s">
        <v>161</v>
      </c>
      <c r="E18" s="1">
        <v>42985</v>
      </c>
      <c r="F18" t="s">
        <v>383</v>
      </c>
      <c r="G18" t="s">
        <v>1212</v>
      </c>
      <c r="H18">
        <v>-97.5</v>
      </c>
      <c r="I18" t="s">
        <v>38</v>
      </c>
      <c r="J18">
        <v>0</v>
      </c>
      <c r="M18" t="s">
        <v>241</v>
      </c>
      <c r="N18" t="s">
        <v>1213</v>
      </c>
    </row>
    <row r="19" spans="1:17" ht="54" x14ac:dyDescent="0.15">
      <c r="A19" t="s">
        <v>136</v>
      </c>
      <c r="B19" s="15" t="s">
        <v>174</v>
      </c>
      <c r="C19">
        <v>163</v>
      </c>
      <c r="D19" t="s">
        <v>161</v>
      </c>
      <c r="E19" s="1">
        <v>42985</v>
      </c>
      <c r="F19" t="s">
        <v>383</v>
      </c>
      <c r="G19" t="s">
        <v>1212</v>
      </c>
      <c r="H19">
        <v>-97.5</v>
      </c>
      <c r="I19" t="s">
        <v>38</v>
      </c>
      <c r="J19">
        <v>0</v>
      </c>
      <c r="M19" t="s">
        <v>1910</v>
      </c>
      <c r="N19" t="s">
        <v>1213</v>
      </c>
      <c r="O19">
        <v>0</v>
      </c>
      <c r="P19">
        <v>0</v>
      </c>
      <c r="Q19" t="s">
        <v>381</v>
      </c>
    </row>
    <row r="20" spans="1:17" ht="54" x14ac:dyDescent="0.15">
      <c r="A20" t="s">
        <v>136</v>
      </c>
      <c r="B20" s="15" t="s">
        <v>174</v>
      </c>
      <c r="C20">
        <v>163</v>
      </c>
      <c r="D20" t="s">
        <v>161</v>
      </c>
      <c r="E20" s="1">
        <v>43014</v>
      </c>
      <c r="F20" t="s">
        <v>383</v>
      </c>
      <c r="G20" t="s">
        <v>1287</v>
      </c>
      <c r="H20">
        <v>-80</v>
      </c>
      <c r="I20" t="s">
        <v>38</v>
      </c>
      <c r="J20">
        <v>0</v>
      </c>
      <c r="M20" t="s">
        <v>241</v>
      </c>
      <c r="N20" t="s">
        <v>1288</v>
      </c>
    </row>
    <row r="21" spans="1:17" ht="54" x14ac:dyDescent="0.15">
      <c r="A21" t="s">
        <v>136</v>
      </c>
      <c r="B21" s="15" t="s">
        <v>174</v>
      </c>
      <c r="C21">
        <v>163</v>
      </c>
      <c r="D21" t="s">
        <v>161</v>
      </c>
      <c r="E21" s="1">
        <v>43014</v>
      </c>
      <c r="F21" t="s">
        <v>383</v>
      </c>
      <c r="G21" t="s">
        <v>1287</v>
      </c>
      <c r="H21">
        <v>-80</v>
      </c>
      <c r="I21" t="s">
        <v>38</v>
      </c>
      <c r="J21">
        <v>0</v>
      </c>
      <c r="M21" t="s">
        <v>1910</v>
      </c>
      <c r="N21" t="s">
        <v>1288</v>
      </c>
      <c r="O21">
        <v>0</v>
      </c>
      <c r="P21">
        <v>0</v>
      </c>
      <c r="Q21" t="s">
        <v>381</v>
      </c>
    </row>
    <row r="22" spans="1:17" ht="54" x14ac:dyDescent="0.15">
      <c r="A22" t="s">
        <v>136</v>
      </c>
      <c r="B22" s="15" t="s">
        <v>174</v>
      </c>
      <c r="C22">
        <v>163</v>
      </c>
      <c r="D22" t="s">
        <v>161</v>
      </c>
      <c r="E22" s="1">
        <v>43049</v>
      </c>
      <c r="F22" t="s">
        <v>17</v>
      </c>
      <c r="G22" t="s">
        <v>1641</v>
      </c>
      <c r="H22">
        <v>195</v>
      </c>
      <c r="I22" t="s">
        <v>38</v>
      </c>
      <c r="J22">
        <v>0</v>
      </c>
      <c r="K22">
        <v>0</v>
      </c>
      <c r="L22" t="s">
        <v>375</v>
      </c>
      <c r="M22" t="s">
        <v>241</v>
      </c>
      <c r="N22" t="s">
        <v>1643</v>
      </c>
    </row>
    <row r="23" spans="1:17" ht="54" x14ac:dyDescent="0.15">
      <c r="A23" t="s">
        <v>136</v>
      </c>
      <c r="B23" s="15" t="s">
        <v>174</v>
      </c>
      <c r="C23">
        <v>163</v>
      </c>
      <c r="D23" t="s">
        <v>161</v>
      </c>
      <c r="E23" s="1">
        <v>43049</v>
      </c>
      <c r="F23" t="s">
        <v>17</v>
      </c>
      <c r="G23" t="s">
        <v>1641</v>
      </c>
      <c r="H23">
        <v>195</v>
      </c>
      <c r="I23" t="s">
        <v>38</v>
      </c>
      <c r="J23">
        <v>0</v>
      </c>
      <c r="K23">
        <v>0</v>
      </c>
      <c r="L23" t="s">
        <v>375</v>
      </c>
      <c r="M23" t="s">
        <v>1910</v>
      </c>
      <c r="N23" t="s">
        <v>1643</v>
      </c>
      <c r="O23">
        <v>0</v>
      </c>
      <c r="P23">
        <v>0</v>
      </c>
      <c r="Q23" t="s">
        <v>381</v>
      </c>
    </row>
    <row r="24" spans="1:17" ht="54" x14ac:dyDescent="0.15">
      <c r="A24" t="s">
        <v>136</v>
      </c>
      <c r="B24" s="15" t="s">
        <v>174</v>
      </c>
      <c r="C24">
        <v>163</v>
      </c>
      <c r="D24" t="s">
        <v>161</v>
      </c>
      <c r="E24" s="1">
        <v>43056</v>
      </c>
      <c r="F24" t="s">
        <v>383</v>
      </c>
      <c r="G24" t="s">
        <v>1381</v>
      </c>
      <c r="H24">
        <v>-97.5</v>
      </c>
      <c r="I24" t="s">
        <v>38</v>
      </c>
      <c r="J24">
        <v>0</v>
      </c>
      <c r="M24" t="s">
        <v>241</v>
      </c>
      <c r="N24" t="s">
        <v>1382</v>
      </c>
    </row>
    <row r="25" spans="1:17" ht="54" x14ac:dyDescent="0.15">
      <c r="A25" t="s">
        <v>136</v>
      </c>
      <c r="B25" s="15" t="s">
        <v>174</v>
      </c>
      <c r="C25">
        <v>163</v>
      </c>
      <c r="D25" t="s">
        <v>161</v>
      </c>
      <c r="E25" s="1">
        <v>43056</v>
      </c>
      <c r="F25" t="s">
        <v>383</v>
      </c>
      <c r="G25" t="s">
        <v>1381</v>
      </c>
      <c r="H25">
        <v>-97.5</v>
      </c>
      <c r="I25" t="s">
        <v>38</v>
      </c>
      <c r="J25">
        <v>0</v>
      </c>
      <c r="M25" t="s">
        <v>1910</v>
      </c>
      <c r="N25" t="s">
        <v>1382</v>
      </c>
      <c r="O25">
        <v>0</v>
      </c>
      <c r="P25">
        <v>0</v>
      </c>
      <c r="Q25" t="s">
        <v>381</v>
      </c>
    </row>
    <row r="26" spans="1:17" x14ac:dyDescent="0.15">
      <c r="A26" t="s">
        <v>138</v>
      </c>
      <c r="B26" t="s">
        <v>255</v>
      </c>
      <c r="C26">
        <v>163</v>
      </c>
      <c r="D26" t="s">
        <v>161</v>
      </c>
      <c r="E26" s="1">
        <v>43088</v>
      </c>
      <c r="F26" t="s">
        <v>843</v>
      </c>
      <c r="G26" t="s">
        <v>1706</v>
      </c>
      <c r="H26">
        <v>-240</v>
      </c>
      <c r="I26" t="s">
        <v>37</v>
      </c>
      <c r="J26">
        <v>0</v>
      </c>
      <c r="M26" t="s">
        <v>241</v>
      </c>
      <c r="N26" t="s">
        <v>1707</v>
      </c>
    </row>
    <row r="27" spans="1:17" x14ac:dyDescent="0.15">
      <c r="A27" t="s">
        <v>138</v>
      </c>
      <c r="B27" t="s">
        <v>255</v>
      </c>
      <c r="C27">
        <v>163</v>
      </c>
      <c r="D27" t="s">
        <v>161</v>
      </c>
      <c r="E27" s="1">
        <v>43088</v>
      </c>
      <c r="F27" t="s">
        <v>843</v>
      </c>
      <c r="G27" t="s">
        <v>1706</v>
      </c>
      <c r="H27">
        <v>-240</v>
      </c>
      <c r="I27" t="s">
        <v>37</v>
      </c>
      <c r="J27">
        <v>0</v>
      </c>
      <c r="M27" t="s">
        <v>1910</v>
      </c>
      <c r="N27" t="s">
        <v>1707</v>
      </c>
      <c r="O27">
        <v>0</v>
      </c>
      <c r="P27">
        <v>0</v>
      </c>
      <c r="Q27" t="s">
        <v>381</v>
      </c>
    </row>
    <row r="28" spans="1:17" x14ac:dyDescent="0.15">
      <c r="A28" t="s">
        <v>366</v>
      </c>
      <c r="B28" t="s">
        <v>367</v>
      </c>
      <c r="C28">
        <v>163</v>
      </c>
      <c r="D28" t="s">
        <v>161</v>
      </c>
      <c r="E28" s="1">
        <v>42958</v>
      </c>
      <c r="F28" t="s">
        <v>17</v>
      </c>
      <c r="G28" t="s">
        <v>1540</v>
      </c>
      <c r="H28">
        <v>320</v>
      </c>
      <c r="I28" t="s">
        <v>37</v>
      </c>
      <c r="J28">
        <v>0</v>
      </c>
      <c r="M28" t="s">
        <v>241</v>
      </c>
      <c r="N28" t="s">
        <v>1541</v>
      </c>
    </row>
    <row r="29" spans="1:17" x14ac:dyDescent="0.15">
      <c r="A29" t="s">
        <v>366</v>
      </c>
      <c r="B29" t="s">
        <v>367</v>
      </c>
      <c r="C29">
        <v>163</v>
      </c>
      <c r="D29" t="s">
        <v>161</v>
      </c>
      <c r="E29" s="1">
        <v>42958</v>
      </c>
      <c r="F29" t="s">
        <v>17</v>
      </c>
      <c r="G29" t="s">
        <v>1540</v>
      </c>
      <c r="H29">
        <v>320</v>
      </c>
      <c r="I29" t="s">
        <v>37</v>
      </c>
      <c r="J29">
        <v>0</v>
      </c>
      <c r="M29" t="s">
        <v>1910</v>
      </c>
      <c r="N29" t="s">
        <v>1541</v>
      </c>
      <c r="O29">
        <v>0</v>
      </c>
      <c r="P29">
        <v>0</v>
      </c>
      <c r="Q29" t="s">
        <v>381</v>
      </c>
    </row>
    <row r="30" spans="1:17" x14ac:dyDescent="0.15">
      <c r="A30" t="s">
        <v>366</v>
      </c>
      <c r="B30" t="s">
        <v>367</v>
      </c>
      <c r="C30">
        <v>163</v>
      </c>
      <c r="D30" t="s">
        <v>161</v>
      </c>
      <c r="E30" s="1">
        <v>42961</v>
      </c>
      <c r="F30" t="s">
        <v>383</v>
      </c>
      <c r="G30" t="s">
        <v>1145</v>
      </c>
      <c r="H30">
        <v>-200</v>
      </c>
      <c r="I30" t="s">
        <v>37</v>
      </c>
      <c r="J30">
        <v>0</v>
      </c>
      <c r="K30">
        <v>0</v>
      </c>
      <c r="M30" t="s">
        <v>241</v>
      </c>
      <c r="N30" t="s">
        <v>1146</v>
      </c>
    </row>
    <row r="31" spans="1:17" x14ac:dyDescent="0.15">
      <c r="A31" t="s">
        <v>366</v>
      </c>
      <c r="B31" t="s">
        <v>367</v>
      </c>
      <c r="C31">
        <v>163</v>
      </c>
      <c r="D31" t="s">
        <v>161</v>
      </c>
      <c r="E31" s="1">
        <v>42961</v>
      </c>
      <c r="F31" t="s">
        <v>383</v>
      </c>
      <c r="G31" t="s">
        <v>1145</v>
      </c>
      <c r="H31">
        <v>-200</v>
      </c>
      <c r="I31" t="s">
        <v>37</v>
      </c>
      <c r="J31">
        <v>0</v>
      </c>
      <c r="K31">
        <v>0</v>
      </c>
      <c r="M31" t="s">
        <v>1910</v>
      </c>
      <c r="N31" t="s">
        <v>1146</v>
      </c>
      <c r="O31">
        <v>0</v>
      </c>
      <c r="P31">
        <v>0</v>
      </c>
      <c r="Q31" t="s">
        <v>381</v>
      </c>
    </row>
    <row r="32" spans="1:17" x14ac:dyDescent="0.15">
      <c r="A32" t="s">
        <v>366</v>
      </c>
      <c r="B32" t="s">
        <v>367</v>
      </c>
      <c r="C32">
        <v>163</v>
      </c>
      <c r="D32" t="s">
        <v>161</v>
      </c>
      <c r="E32" s="1">
        <v>43004</v>
      </c>
      <c r="F32" t="s">
        <v>21</v>
      </c>
      <c r="G32" t="s">
        <v>1881</v>
      </c>
      <c r="H32">
        <v>-1</v>
      </c>
      <c r="I32" t="s">
        <v>37</v>
      </c>
      <c r="J32">
        <v>0</v>
      </c>
      <c r="M32" t="s">
        <v>241</v>
      </c>
      <c r="N32" t="s">
        <v>1883</v>
      </c>
    </row>
    <row r="33" spans="1:17" x14ac:dyDescent="0.15">
      <c r="A33" t="s">
        <v>366</v>
      </c>
      <c r="B33" t="s">
        <v>367</v>
      </c>
      <c r="C33">
        <v>163</v>
      </c>
      <c r="D33" t="s">
        <v>161</v>
      </c>
      <c r="E33" s="1">
        <v>43004</v>
      </c>
      <c r="F33" t="s">
        <v>21</v>
      </c>
      <c r="G33" t="s">
        <v>1881</v>
      </c>
      <c r="H33">
        <v>-1</v>
      </c>
      <c r="I33" t="s">
        <v>37</v>
      </c>
      <c r="J33">
        <v>0</v>
      </c>
      <c r="M33" t="s">
        <v>1910</v>
      </c>
      <c r="N33" t="s">
        <v>1883</v>
      </c>
      <c r="O33">
        <v>0</v>
      </c>
      <c r="P33">
        <v>0</v>
      </c>
      <c r="Q33" t="s">
        <v>381</v>
      </c>
    </row>
    <row r="34" spans="1:17" x14ac:dyDescent="0.15">
      <c r="A34" t="s">
        <v>139</v>
      </c>
      <c r="B34" t="s">
        <v>256</v>
      </c>
      <c r="C34">
        <v>163</v>
      </c>
      <c r="D34" t="s">
        <v>161</v>
      </c>
      <c r="E34" s="1">
        <v>43088</v>
      </c>
      <c r="F34" t="s">
        <v>843</v>
      </c>
      <c r="G34" t="s">
        <v>1706</v>
      </c>
      <c r="H34">
        <v>-1900</v>
      </c>
      <c r="I34" t="s">
        <v>37</v>
      </c>
      <c r="J34">
        <v>0</v>
      </c>
      <c r="M34" t="s">
        <v>241</v>
      </c>
      <c r="N34" t="s">
        <v>1708</v>
      </c>
    </row>
    <row r="35" spans="1:17" x14ac:dyDescent="0.15">
      <c r="A35" t="s">
        <v>139</v>
      </c>
      <c r="B35" t="s">
        <v>256</v>
      </c>
      <c r="C35">
        <v>163</v>
      </c>
      <c r="D35" t="s">
        <v>161</v>
      </c>
      <c r="E35" s="1">
        <v>43088</v>
      </c>
      <c r="F35" t="s">
        <v>843</v>
      </c>
      <c r="G35" t="s">
        <v>1706</v>
      </c>
      <c r="H35">
        <v>-1900</v>
      </c>
      <c r="I35" t="s">
        <v>37</v>
      </c>
      <c r="J35">
        <v>0</v>
      </c>
      <c r="M35" t="s">
        <v>1910</v>
      </c>
      <c r="N35" t="s">
        <v>1708</v>
      </c>
      <c r="O35">
        <v>0</v>
      </c>
      <c r="P35">
        <v>0</v>
      </c>
      <c r="Q35" t="s">
        <v>381</v>
      </c>
    </row>
    <row r="36" spans="1:17" x14ac:dyDescent="0.15">
      <c r="A36" t="s">
        <v>22</v>
      </c>
      <c r="B36" t="s">
        <v>188</v>
      </c>
      <c r="C36">
        <v>163</v>
      </c>
      <c r="D36" t="s">
        <v>161</v>
      </c>
      <c r="E36" s="1">
        <v>42851</v>
      </c>
      <c r="F36" t="s">
        <v>383</v>
      </c>
      <c r="G36" t="s">
        <v>513</v>
      </c>
      <c r="H36">
        <v>-1</v>
      </c>
      <c r="I36" t="s">
        <v>37</v>
      </c>
      <c r="J36">
        <v>0</v>
      </c>
      <c r="M36" t="s">
        <v>241</v>
      </c>
      <c r="N36" t="s">
        <v>514</v>
      </c>
    </row>
    <row r="37" spans="1:17" x14ac:dyDescent="0.15">
      <c r="A37" t="s">
        <v>22</v>
      </c>
      <c r="B37" t="s">
        <v>188</v>
      </c>
      <c r="C37">
        <v>163</v>
      </c>
      <c r="D37" t="s">
        <v>161</v>
      </c>
      <c r="E37" s="1">
        <v>42851</v>
      </c>
      <c r="F37" t="s">
        <v>383</v>
      </c>
      <c r="G37" t="s">
        <v>513</v>
      </c>
      <c r="H37">
        <v>-1</v>
      </c>
      <c r="I37" t="s">
        <v>37</v>
      </c>
      <c r="J37">
        <v>0</v>
      </c>
      <c r="M37" t="s">
        <v>1910</v>
      </c>
      <c r="N37" t="s">
        <v>514</v>
      </c>
      <c r="O37">
        <v>0</v>
      </c>
      <c r="P37">
        <v>0</v>
      </c>
      <c r="Q37" t="s">
        <v>381</v>
      </c>
    </row>
    <row r="38" spans="1:17" x14ac:dyDescent="0.15">
      <c r="A38" t="s">
        <v>22</v>
      </c>
      <c r="B38" t="s">
        <v>188</v>
      </c>
      <c r="C38">
        <v>163</v>
      </c>
      <c r="D38" t="s">
        <v>161</v>
      </c>
      <c r="E38" s="1">
        <v>42865</v>
      </c>
      <c r="F38" t="s">
        <v>383</v>
      </c>
      <c r="G38" t="s">
        <v>544</v>
      </c>
      <c r="H38">
        <v>1</v>
      </c>
      <c r="I38" t="s">
        <v>37</v>
      </c>
      <c r="J38">
        <v>0</v>
      </c>
      <c r="M38" t="s">
        <v>241</v>
      </c>
      <c r="N38" t="s">
        <v>545</v>
      </c>
    </row>
    <row r="39" spans="1:17" x14ac:dyDescent="0.15">
      <c r="A39" t="s">
        <v>22</v>
      </c>
      <c r="B39" t="s">
        <v>188</v>
      </c>
      <c r="C39">
        <v>163</v>
      </c>
      <c r="D39" t="s">
        <v>161</v>
      </c>
      <c r="E39" s="1">
        <v>42865</v>
      </c>
      <c r="F39" t="s">
        <v>383</v>
      </c>
      <c r="G39" t="s">
        <v>544</v>
      </c>
      <c r="H39">
        <v>1</v>
      </c>
      <c r="I39" t="s">
        <v>37</v>
      </c>
      <c r="J39">
        <v>0</v>
      </c>
      <c r="M39" t="s">
        <v>1910</v>
      </c>
      <c r="N39" t="s">
        <v>545</v>
      </c>
      <c r="O39">
        <v>0</v>
      </c>
      <c r="P39">
        <v>0</v>
      </c>
      <c r="Q39" t="s">
        <v>381</v>
      </c>
    </row>
    <row r="40" spans="1:17" x14ac:dyDescent="0.15">
      <c r="A40" t="s">
        <v>22</v>
      </c>
      <c r="B40" t="s">
        <v>188</v>
      </c>
      <c r="C40">
        <v>163</v>
      </c>
      <c r="D40" t="s">
        <v>161</v>
      </c>
      <c r="E40" s="1">
        <v>42873</v>
      </c>
      <c r="F40" t="s">
        <v>383</v>
      </c>
      <c r="G40" t="s">
        <v>574</v>
      </c>
      <c r="H40">
        <v>-1</v>
      </c>
      <c r="I40" t="s">
        <v>37</v>
      </c>
      <c r="J40">
        <v>0</v>
      </c>
      <c r="M40" t="s">
        <v>241</v>
      </c>
      <c r="N40" t="s">
        <v>575</v>
      </c>
    </row>
    <row r="41" spans="1:17" x14ac:dyDescent="0.15">
      <c r="A41" t="s">
        <v>22</v>
      </c>
      <c r="B41" t="s">
        <v>188</v>
      </c>
      <c r="C41">
        <v>163</v>
      </c>
      <c r="D41" t="s">
        <v>161</v>
      </c>
      <c r="E41" s="1">
        <v>42873</v>
      </c>
      <c r="F41" t="s">
        <v>383</v>
      </c>
      <c r="G41" t="s">
        <v>574</v>
      </c>
      <c r="H41">
        <v>-1</v>
      </c>
      <c r="I41" t="s">
        <v>37</v>
      </c>
      <c r="J41">
        <v>0</v>
      </c>
      <c r="M41" t="s">
        <v>1910</v>
      </c>
      <c r="N41" t="s">
        <v>575</v>
      </c>
      <c r="O41">
        <v>0</v>
      </c>
      <c r="P41">
        <v>0</v>
      </c>
      <c r="Q41" t="s">
        <v>381</v>
      </c>
    </row>
    <row r="42" spans="1:17" x14ac:dyDescent="0.15">
      <c r="A42" t="s">
        <v>22</v>
      </c>
      <c r="B42" t="s">
        <v>188</v>
      </c>
      <c r="C42">
        <v>163</v>
      </c>
      <c r="D42" t="s">
        <v>161</v>
      </c>
      <c r="E42" s="1">
        <v>42914</v>
      </c>
      <c r="F42" t="s">
        <v>21</v>
      </c>
      <c r="G42" t="s">
        <v>187</v>
      </c>
      <c r="H42">
        <v>1</v>
      </c>
      <c r="I42" t="s">
        <v>37</v>
      </c>
      <c r="J42">
        <v>0</v>
      </c>
      <c r="M42" t="s">
        <v>241</v>
      </c>
      <c r="N42" t="s">
        <v>928</v>
      </c>
    </row>
    <row r="43" spans="1:17" x14ac:dyDescent="0.15">
      <c r="A43" t="s">
        <v>22</v>
      </c>
      <c r="B43" t="s">
        <v>188</v>
      </c>
      <c r="C43">
        <v>163</v>
      </c>
      <c r="D43" t="s">
        <v>161</v>
      </c>
      <c r="E43" s="1">
        <v>42914</v>
      </c>
      <c r="F43" t="s">
        <v>21</v>
      </c>
      <c r="G43" t="s">
        <v>187</v>
      </c>
      <c r="H43">
        <v>1</v>
      </c>
      <c r="I43" t="s">
        <v>37</v>
      </c>
      <c r="J43">
        <v>0</v>
      </c>
      <c r="M43" t="s">
        <v>1910</v>
      </c>
      <c r="N43" t="s">
        <v>928</v>
      </c>
      <c r="O43">
        <v>0</v>
      </c>
      <c r="P43">
        <v>0</v>
      </c>
      <c r="Q43" t="s">
        <v>381</v>
      </c>
    </row>
    <row r="44" spans="1:17" x14ac:dyDescent="0.15">
      <c r="A44" t="s">
        <v>22</v>
      </c>
      <c r="B44" t="s">
        <v>188</v>
      </c>
      <c r="C44">
        <v>163</v>
      </c>
      <c r="D44" t="s">
        <v>161</v>
      </c>
      <c r="E44" s="1">
        <v>42947</v>
      </c>
      <c r="F44" t="s">
        <v>383</v>
      </c>
      <c r="G44" t="s">
        <v>1090</v>
      </c>
      <c r="H44">
        <v>-1</v>
      </c>
      <c r="I44" t="s">
        <v>37</v>
      </c>
      <c r="J44">
        <v>0</v>
      </c>
      <c r="M44" t="s">
        <v>241</v>
      </c>
      <c r="N44" t="s">
        <v>1091</v>
      </c>
    </row>
    <row r="45" spans="1:17" x14ac:dyDescent="0.15">
      <c r="A45" t="s">
        <v>22</v>
      </c>
      <c r="B45" t="s">
        <v>188</v>
      </c>
      <c r="C45">
        <v>163</v>
      </c>
      <c r="D45" t="s">
        <v>161</v>
      </c>
      <c r="E45" s="1">
        <v>42947</v>
      </c>
      <c r="F45" t="s">
        <v>383</v>
      </c>
      <c r="G45" t="s">
        <v>1090</v>
      </c>
      <c r="H45">
        <v>-1</v>
      </c>
      <c r="I45" t="s">
        <v>37</v>
      </c>
      <c r="J45">
        <v>0</v>
      </c>
      <c r="M45" t="s">
        <v>1910</v>
      </c>
      <c r="N45" t="s">
        <v>1091</v>
      </c>
      <c r="O45">
        <v>0</v>
      </c>
      <c r="P45">
        <v>0</v>
      </c>
      <c r="Q45" t="s">
        <v>381</v>
      </c>
    </row>
    <row r="46" spans="1:17" x14ac:dyDescent="0.15">
      <c r="A46" t="s">
        <v>22</v>
      </c>
      <c r="B46" t="s">
        <v>188</v>
      </c>
      <c r="C46">
        <v>163</v>
      </c>
      <c r="D46" t="s">
        <v>161</v>
      </c>
      <c r="E46" s="1">
        <v>42948</v>
      </c>
      <c r="F46" t="s">
        <v>383</v>
      </c>
      <c r="G46" t="s">
        <v>1141</v>
      </c>
      <c r="H46">
        <v>1</v>
      </c>
      <c r="I46" t="s">
        <v>37</v>
      </c>
      <c r="J46">
        <v>0</v>
      </c>
      <c r="M46" t="s">
        <v>241</v>
      </c>
      <c r="N46" t="s">
        <v>1142</v>
      </c>
    </row>
    <row r="47" spans="1:17" x14ac:dyDescent="0.15">
      <c r="A47" t="s">
        <v>22</v>
      </c>
      <c r="B47" t="s">
        <v>188</v>
      </c>
      <c r="C47">
        <v>163</v>
      </c>
      <c r="D47" t="s">
        <v>161</v>
      </c>
      <c r="E47" s="1">
        <v>42948</v>
      </c>
      <c r="F47" t="s">
        <v>383</v>
      </c>
      <c r="G47" t="s">
        <v>1141</v>
      </c>
      <c r="H47">
        <v>1</v>
      </c>
      <c r="I47" t="s">
        <v>37</v>
      </c>
      <c r="J47">
        <v>0</v>
      </c>
      <c r="M47" t="s">
        <v>1910</v>
      </c>
      <c r="N47" t="s">
        <v>1142</v>
      </c>
      <c r="O47">
        <v>0</v>
      </c>
      <c r="P47">
        <v>0</v>
      </c>
      <c r="Q47" t="s">
        <v>381</v>
      </c>
    </row>
    <row r="48" spans="1:17" x14ac:dyDescent="0.15">
      <c r="A48" t="s">
        <v>22</v>
      </c>
      <c r="B48" t="s">
        <v>188</v>
      </c>
      <c r="C48">
        <v>163</v>
      </c>
      <c r="D48" t="s">
        <v>161</v>
      </c>
      <c r="E48" s="1">
        <v>43008</v>
      </c>
      <c r="F48" t="s">
        <v>383</v>
      </c>
      <c r="G48" t="s">
        <v>1272</v>
      </c>
      <c r="H48">
        <v>-1</v>
      </c>
      <c r="I48" t="s">
        <v>37</v>
      </c>
      <c r="J48">
        <v>0</v>
      </c>
      <c r="M48" t="s">
        <v>241</v>
      </c>
      <c r="N48" t="s">
        <v>1273</v>
      </c>
    </row>
    <row r="49" spans="1:17" x14ac:dyDescent="0.15">
      <c r="A49" t="s">
        <v>22</v>
      </c>
      <c r="B49" t="s">
        <v>188</v>
      </c>
      <c r="C49">
        <v>163</v>
      </c>
      <c r="D49" t="s">
        <v>161</v>
      </c>
      <c r="E49" s="1">
        <v>43008</v>
      </c>
      <c r="F49" t="s">
        <v>383</v>
      </c>
      <c r="G49" t="s">
        <v>1272</v>
      </c>
      <c r="H49">
        <v>-1</v>
      </c>
      <c r="I49" t="s">
        <v>37</v>
      </c>
      <c r="J49">
        <v>0</v>
      </c>
      <c r="M49" t="s">
        <v>1910</v>
      </c>
      <c r="N49" t="s">
        <v>1273</v>
      </c>
      <c r="O49">
        <v>0</v>
      </c>
      <c r="P49">
        <v>0</v>
      </c>
      <c r="Q49" t="s">
        <v>381</v>
      </c>
    </row>
    <row r="50" spans="1:17" x14ac:dyDescent="0.15">
      <c r="A50" t="s">
        <v>22</v>
      </c>
      <c r="B50" t="s">
        <v>188</v>
      </c>
      <c r="C50">
        <v>163</v>
      </c>
      <c r="D50" t="s">
        <v>161</v>
      </c>
      <c r="E50" s="1">
        <v>43019</v>
      </c>
      <c r="F50" t="s">
        <v>383</v>
      </c>
      <c r="G50" t="s">
        <v>1297</v>
      </c>
      <c r="H50">
        <v>-1</v>
      </c>
      <c r="I50" t="s">
        <v>37</v>
      </c>
      <c r="J50">
        <v>0</v>
      </c>
      <c r="M50" t="s">
        <v>241</v>
      </c>
      <c r="N50" t="s">
        <v>1298</v>
      </c>
    </row>
    <row r="51" spans="1:17" x14ac:dyDescent="0.15">
      <c r="A51" t="s">
        <v>22</v>
      </c>
      <c r="B51" t="s">
        <v>188</v>
      </c>
      <c r="C51">
        <v>163</v>
      </c>
      <c r="D51" t="s">
        <v>161</v>
      </c>
      <c r="E51" s="1">
        <v>43019</v>
      </c>
      <c r="F51" t="s">
        <v>383</v>
      </c>
      <c r="G51" t="s">
        <v>1297</v>
      </c>
      <c r="H51">
        <v>-1</v>
      </c>
      <c r="I51" t="s">
        <v>37</v>
      </c>
      <c r="J51">
        <v>0</v>
      </c>
      <c r="M51" t="s">
        <v>1910</v>
      </c>
      <c r="N51" t="s">
        <v>1298</v>
      </c>
      <c r="O51">
        <v>0</v>
      </c>
      <c r="P51">
        <v>0</v>
      </c>
      <c r="Q51" t="s">
        <v>381</v>
      </c>
    </row>
    <row r="52" spans="1:17" x14ac:dyDescent="0.15">
      <c r="A52" t="s">
        <v>22</v>
      </c>
      <c r="B52" t="s">
        <v>188</v>
      </c>
      <c r="C52">
        <v>163</v>
      </c>
      <c r="D52" t="s">
        <v>161</v>
      </c>
      <c r="E52" s="1">
        <v>43027</v>
      </c>
      <c r="F52" t="s">
        <v>383</v>
      </c>
      <c r="G52" t="s">
        <v>1303</v>
      </c>
      <c r="H52">
        <v>-1</v>
      </c>
      <c r="I52" t="s">
        <v>37</v>
      </c>
      <c r="J52">
        <v>0</v>
      </c>
      <c r="M52" t="s">
        <v>241</v>
      </c>
      <c r="N52" t="s">
        <v>1304</v>
      </c>
    </row>
    <row r="53" spans="1:17" x14ac:dyDescent="0.15">
      <c r="A53" t="s">
        <v>22</v>
      </c>
      <c r="B53" t="s">
        <v>188</v>
      </c>
      <c r="C53">
        <v>163</v>
      </c>
      <c r="D53" t="s">
        <v>161</v>
      </c>
      <c r="E53" s="1">
        <v>43027</v>
      </c>
      <c r="F53" t="s">
        <v>383</v>
      </c>
      <c r="G53" t="s">
        <v>1303</v>
      </c>
      <c r="H53">
        <v>-1</v>
      </c>
      <c r="I53" t="s">
        <v>37</v>
      </c>
      <c r="J53">
        <v>0</v>
      </c>
      <c r="M53" t="s">
        <v>1910</v>
      </c>
      <c r="N53" t="s">
        <v>1304</v>
      </c>
      <c r="O53">
        <v>0</v>
      </c>
      <c r="P53">
        <v>0</v>
      </c>
      <c r="Q53" t="s">
        <v>381</v>
      </c>
    </row>
    <row r="54" spans="1:17" x14ac:dyDescent="0.15">
      <c r="A54" t="s">
        <v>22</v>
      </c>
      <c r="B54" t="s">
        <v>188</v>
      </c>
      <c r="C54">
        <v>163</v>
      </c>
      <c r="D54" t="s">
        <v>161</v>
      </c>
      <c r="E54" s="1">
        <v>43039</v>
      </c>
      <c r="F54" t="s">
        <v>383</v>
      </c>
      <c r="G54" t="s">
        <v>1330</v>
      </c>
      <c r="H54">
        <v>-1</v>
      </c>
      <c r="I54" t="s">
        <v>37</v>
      </c>
      <c r="J54">
        <v>0</v>
      </c>
      <c r="M54" t="s">
        <v>241</v>
      </c>
      <c r="N54" t="s">
        <v>1331</v>
      </c>
    </row>
    <row r="55" spans="1:17" x14ac:dyDescent="0.15">
      <c r="A55" t="s">
        <v>22</v>
      </c>
      <c r="B55" t="s">
        <v>188</v>
      </c>
      <c r="C55">
        <v>163</v>
      </c>
      <c r="D55" t="s">
        <v>161</v>
      </c>
      <c r="E55" s="1">
        <v>43039</v>
      </c>
      <c r="F55" t="s">
        <v>383</v>
      </c>
      <c r="G55" t="s">
        <v>1330</v>
      </c>
      <c r="H55">
        <v>-1</v>
      </c>
      <c r="I55" t="s">
        <v>37</v>
      </c>
      <c r="J55">
        <v>0</v>
      </c>
      <c r="M55" t="s">
        <v>1910</v>
      </c>
      <c r="N55" t="s">
        <v>1331</v>
      </c>
      <c r="O55">
        <v>0</v>
      </c>
      <c r="P55">
        <v>0</v>
      </c>
      <c r="Q55" t="s">
        <v>381</v>
      </c>
    </row>
    <row r="56" spans="1:17" x14ac:dyDescent="0.15">
      <c r="A56" t="s">
        <v>22</v>
      </c>
      <c r="B56" t="s">
        <v>188</v>
      </c>
      <c r="C56">
        <v>163</v>
      </c>
      <c r="D56" t="s">
        <v>161</v>
      </c>
      <c r="E56" s="1">
        <v>43054</v>
      </c>
      <c r="F56" t="s">
        <v>383</v>
      </c>
      <c r="G56" t="s">
        <v>1354</v>
      </c>
      <c r="H56">
        <v>-1</v>
      </c>
      <c r="I56" t="s">
        <v>37</v>
      </c>
      <c r="J56">
        <v>0</v>
      </c>
      <c r="M56" t="s">
        <v>241</v>
      </c>
      <c r="N56" t="s">
        <v>1355</v>
      </c>
    </row>
    <row r="57" spans="1:17" x14ac:dyDescent="0.15">
      <c r="A57" t="s">
        <v>22</v>
      </c>
      <c r="B57" t="s">
        <v>188</v>
      </c>
      <c r="C57">
        <v>163</v>
      </c>
      <c r="D57" t="s">
        <v>161</v>
      </c>
      <c r="E57" s="1">
        <v>43054</v>
      </c>
      <c r="F57" t="s">
        <v>383</v>
      </c>
      <c r="G57" t="s">
        <v>1354</v>
      </c>
      <c r="H57">
        <v>-1</v>
      </c>
      <c r="I57" t="s">
        <v>37</v>
      </c>
      <c r="J57">
        <v>0</v>
      </c>
      <c r="M57" t="s">
        <v>1910</v>
      </c>
      <c r="N57" t="s">
        <v>1355</v>
      </c>
      <c r="O57">
        <v>0</v>
      </c>
      <c r="P57">
        <v>0</v>
      </c>
      <c r="Q57" t="s">
        <v>381</v>
      </c>
    </row>
    <row r="58" spans="1:17" x14ac:dyDescent="0.15">
      <c r="A58" t="s">
        <v>267</v>
      </c>
      <c r="B58" t="s">
        <v>267</v>
      </c>
      <c r="C58">
        <v>163</v>
      </c>
      <c r="D58" t="s">
        <v>161</v>
      </c>
      <c r="E58" s="1">
        <v>43028</v>
      </c>
      <c r="F58" t="s">
        <v>17</v>
      </c>
      <c r="G58" t="s">
        <v>1632</v>
      </c>
      <c r="H58">
        <v>50</v>
      </c>
      <c r="I58" t="s">
        <v>133</v>
      </c>
      <c r="J58">
        <v>0</v>
      </c>
      <c r="M58" t="s">
        <v>241</v>
      </c>
      <c r="N58" t="s">
        <v>1633</v>
      </c>
    </row>
    <row r="59" spans="1:17" x14ac:dyDescent="0.15">
      <c r="A59" t="s">
        <v>267</v>
      </c>
      <c r="B59" t="s">
        <v>267</v>
      </c>
      <c r="C59">
        <v>163</v>
      </c>
      <c r="D59" t="s">
        <v>161</v>
      </c>
      <c r="E59" s="1">
        <v>43028</v>
      </c>
      <c r="F59" t="s">
        <v>17</v>
      </c>
      <c r="G59" t="s">
        <v>1632</v>
      </c>
      <c r="H59">
        <v>50</v>
      </c>
      <c r="I59" t="s">
        <v>133</v>
      </c>
      <c r="J59">
        <v>0</v>
      </c>
      <c r="M59" t="s">
        <v>1910</v>
      </c>
      <c r="N59" t="s">
        <v>1633</v>
      </c>
      <c r="O59">
        <v>0</v>
      </c>
      <c r="P59">
        <v>0</v>
      </c>
      <c r="Q59" t="s">
        <v>381</v>
      </c>
    </row>
    <row r="60" spans="1:17" x14ac:dyDescent="0.15">
      <c r="A60" t="s">
        <v>267</v>
      </c>
      <c r="B60" t="s">
        <v>267</v>
      </c>
      <c r="C60">
        <v>163</v>
      </c>
      <c r="D60" t="s">
        <v>161</v>
      </c>
      <c r="E60" s="1">
        <v>43033</v>
      </c>
      <c r="F60" t="s">
        <v>383</v>
      </c>
      <c r="G60" t="s">
        <v>1326</v>
      </c>
      <c r="H60">
        <v>0</v>
      </c>
      <c r="I60" t="s">
        <v>133</v>
      </c>
      <c r="J60">
        <v>0</v>
      </c>
      <c r="M60" t="s">
        <v>241</v>
      </c>
      <c r="N60" t="s">
        <v>1327</v>
      </c>
    </row>
    <row r="61" spans="1:17" x14ac:dyDescent="0.15">
      <c r="A61" t="s">
        <v>267</v>
      </c>
      <c r="B61" t="s">
        <v>267</v>
      </c>
      <c r="C61">
        <v>163</v>
      </c>
      <c r="D61" t="s">
        <v>161</v>
      </c>
      <c r="E61" s="1">
        <v>43033</v>
      </c>
      <c r="F61" t="s">
        <v>383</v>
      </c>
      <c r="G61" t="s">
        <v>1326</v>
      </c>
      <c r="H61">
        <v>0</v>
      </c>
      <c r="I61" t="s">
        <v>133</v>
      </c>
      <c r="J61">
        <v>0</v>
      </c>
      <c r="M61" t="s">
        <v>1910</v>
      </c>
      <c r="N61" t="s">
        <v>1327</v>
      </c>
      <c r="O61">
        <v>0</v>
      </c>
      <c r="P61">
        <v>0</v>
      </c>
      <c r="Q61" t="s">
        <v>381</v>
      </c>
    </row>
    <row r="62" spans="1:17" x14ac:dyDescent="0.15">
      <c r="A62" t="s">
        <v>267</v>
      </c>
      <c r="B62" t="s">
        <v>267</v>
      </c>
      <c r="C62">
        <v>163</v>
      </c>
      <c r="D62" t="s">
        <v>161</v>
      </c>
      <c r="E62" s="1">
        <v>43039</v>
      </c>
      <c r="F62" t="s">
        <v>383</v>
      </c>
      <c r="G62" t="s">
        <v>1330</v>
      </c>
      <c r="H62">
        <v>-25</v>
      </c>
      <c r="I62" t="s">
        <v>133</v>
      </c>
      <c r="J62">
        <v>0</v>
      </c>
      <c r="K62">
        <v>0</v>
      </c>
      <c r="M62" t="s">
        <v>241</v>
      </c>
      <c r="N62" t="s">
        <v>1332</v>
      </c>
    </row>
    <row r="63" spans="1:17" x14ac:dyDescent="0.15">
      <c r="A63" t="s">
        <v>267</v>
      </c>
      <c r="B63" t="s">
        <v>267</v>
      </c>
      <c r="C63">
        <v>163</v>
      </c>
      <c r="D63" t="s">
        <v>161</v>
      </c>
      <c r="E63" s="1">
        <v>43039</v>
      </c>
      <c r="F63" t="s">
        <v>383</v>
      </c>
      <c r="G63" t="s">
        <v>1330</v>
      </c>
      <c r="H63">
        <v>-25</v>
      </c>
      <c r="I63" t="s">
        <v>133</v>
      </c>
      <c r="J63">
        <v>0</v>
      </c>
      <c r="K63">
        <v>0</v>
      </c>
      <c r="M63" t="s">
        <v>1910</v>
      </c>
      <c r="N63" t="s">
        <v>1332</v>
      </c>
      <c r="O63">
        <v>0</v>
      </c>
      <c r="P63">
        <v>0</v>
      </c>
      <c r="Q63" t="s">
        <v>381</v>
      </c>
    </row>
    <row r="64" spans="1:17" x14ac:dyDescent="0.15">
      <c r="A64" t="s">
        <v>140</v>
      </c>
      <c r="B64" t="s">
        <v>268</v>
      </c>
      <c r="C64">
        <v>163</v>
      </c>
      <c r="D64" t="s">
        <v>161</v>
      </c>
      <c r="E64" s="1">
        <v>43004</v>
      </c>
      <c r="F64" t="s">
        <v>21</v>
      </c>
      <c r="G64" t="s">
        <v>1881</v>
      </c>
      <c r="H64">
        <v>42</v>
      </c>
      <c r="I64" t="s">
        <v>37</v>
      </c>
      <c r="J64">
        <v>0</v>
      </c>
      <c r="M64" t="s">
        <v>241</v>
      </c>
      <c r="N64" t="s">
        <v>1884</v>
      </c>
    </row>
    <row r="65" spans="1:17" x14ac:dyDescent="0.15">
      <c r="A65" t="s">
        <v>140</v>
      </c>
      <c r="B65" t="s">
        <v>268</v>
      </c>
      <c r="C65">
        <v>163</v>
      </c>
      <c r="D65" t="s">
        <v>161</v>
      </c>
      <c r="E65" s="1">
        <v>43004</v>
      </c>
      <c r="F65" t="s">
        <v>21</v>
      </c>
      <c r="G65" t="s">
        <v>1881</v>
      </c>
      <c r="H65">
        <v>42</v>
      </c>
      <c r="I65" t="s">
        <v>37</v>
      </c>
      <c r="J65">
        <v>0</v>
      </c>
      <c r="M65" t="s">
        <v>1910</v>
      </c>
      <c r="N65" t="s">
        <v>1884</v>
      </c>
      <c r="O65">
        <v>0</v>
      </c>
      <c r="P65">
        <v>0</v>
      </c>
      <c r="Q65" t="s">
        <v>381</v>
      </c>
    </row>
    <row r="66" spans="1:17" x14ac:dyDescent="0.15">
      <c r="A66" t="s">
        <v>119</v>
      </c>
      <c r="B66" t="s">
        <v>189</v>
      </c>
      <c r="C66">
        <v>163</v>
      </c>
      <c r="D66" t="s">
        <v>161</v>
      </c>
      <c r="E66" s="1">
        <v>42914</v>
      </c>
      <c r="F66" t="s">
        <v>21</v>
      </c>
      <c r="G66" t="s">
        <v>187</v>
      </c>
      <c r="H66">
        <v>-7</v>
      </c>
      <c r="I66" t="s">
        <v>37</v>
      </c>
      <c r="J66">
        <v>0</v>
      </c>
      <c r="M66" t="s">
        <v>241</v>
      </c>
      <c r="N66" t="s">
        <v>929</v>
      </c>
    </row>
    <row r="67" spans="1:17" x14ac:dyDescent="0.15">
      <c r="A67" t="s">
        <v>119</v>
      </c>
      <c r="B67" t="s">
        <v>189</v>
      </c>
      <c r="C67">
        <v>163</v>
      </c>
      <c r="D67" t="s">
        <v>161</v>
      </c>
      <c r="E67" s="1">
        <v>42914</v>
      </c>
      <c r="F67" t="s">
        <v>21</v>
      </c>
      <c r="G67" t="s">
        <v>187</v>
      </c>
      <c r="H67">
        <v>-7</v>
      </c>
      <c r="I67" t="s">
        <v>37</v>
      </c>
      <c r="J67">
        <v>0</v>
      </c>
      <c r="M67" t="s">
        <v>1910</v>
      </c>
      <c r="N67" t="s">
        <v>929</v>
      </c>
      <c r="O67">
        <v>0</v>
      </c>
      <c r="P67">
        <v>0</v>
      </c>
      <c r="Q67" t="s">
        <v>381</v>
      </c>
    </row>
    <row r="68" spans="1:17" x14ac:dyDescent="0.15">
      <c r="A68" t="s">
        <v>119</v>
      </c>
      <c r="B68" t="s">
        <v>189</v>
      </c>
      <c r="C68">
        <v>163</v>
      </c>
      <c r="D68" t="s">
        <v>161</v>
      </c>
      <c r="E68" s="1">
        <v>43004</v>
      </c>
      <c r="F68" t="s">
        <v>21</v>
      </c>
      <c r="G68" t="s">
        <v>1881</v>
      </c>
      <c r="H68">
        <v>-7</v>
      </c>
      <c r="I68" t="s">
        <v>37</v>
      </c>
      <c r="J68">
        <v>0</v>
      </c>
      <c r="M68" t="s">
        <v>241</v>
      </c>
      <c r="N68" t="s">
        <v>1885</v>
      </c>
    </row>
    <row r="69" spans="1:17" x14ac:dyDescent="0.15">
      <c r="A69" t="s">
        <v>119</v>
      </c>
      <c r="B69" t="s">
        <v>189</v>
      </c>
      <c r="C69">
        <v>163</v>
      </c>
      <c r="D69" t="s">
        <v>161</v>
      </c>
      <c r="E69" s="1">
        <v>43004</v>
      </c>
      <c r="F69" t="s">
        <v>21</v>
      </c>
      <c r="G69" t="s">
        <v>1881</v>
      </c>
      <c r="H69">
        <v>-7</v>
      </c>
      <c r="I69" t="s">
        <v>37</v>
      </c>
      <c r="J69">
        <v>0</v>
      </c>
      <c r="M69" t="s">
        <v>1910</v>
      </c>
      <c r="N69" t="s">
        <v>1885</v>
      </c>
      <c r="O69">
        <v>0</v>
      </c>
      <c r="P69">
        <v>0</v>
      </c>
      <c r="Q69" t="s">
        <v>381</v>
      </c>
    </row>
    <row r="70" spans="1:17" x14ac:dyDescent="0.15">
      <c r="A70" t="s">
        <v>20</v>
      </c>
      <c r="B70" t="s">
        <v>269</v>
      </c>
      <c r="C70">
        <v>163</v>
      </c>
      <c r="D70" t="s">
        <v>161</v>
      </c>
      <c r="E70" s="1">
        <v>43019</v>
      </c>
      <c r="F70" t="s">
        <v>383</v>
      </c>
      <c r="G70" t="s">
        <v>1297</v>
      </c>
      <c r="H70">
        <v>-582</v>
      </c>
      <c r="I70" t="s">
        <v>38</v>
      </c>
      <c r="J70">
        <v>0</v>
      </c>
      <c r="M70" t="s">
        <v>241</v>
      </c>
      <c r="N70" t="s">
        <v>1299</v>
      </c>
    </row>
    <row r="71" spans="1:17" x14ac:dyDescent="0.15">
      <c r="A71" t="s">
        <v>20</v>
      </c>
      <c r="B71" t="s">
        <v>269</v>
      </c>
      <c r="C71">
        <v>163</v>
      </c>
      <c r="D71" t="s">
        <v>161</v>
      </c>
      <c r="E71" s="1">
        <v>43019</v>
      </c>
      <c r="F71" t="s">
        <v>383</v>
      </c>
      <c r="G71" t="s">
        <v>1297</v>
      </c>
      <c r="H71">
        <v>-582</v>
      </c>
      <c r="I71" t="s">
        <v>38</v>
      </c>
      <c r="J71">
        <v>0</v>
      </c>
      <c r="M71" t="s">
        <v>1910</v>
      </c>
      <c r="N71" t="s">
        <v>1299</v>
      </c>
      <c r="O71">
        <v>0</v>
      </c>
      <c r="P71">
        <v>0</v>
      </c>
      <c r="Q71" t="s">
        <v>381</v>
      </c>
    </row>
    <row r="72" spans="1:17" x14ac:dyDescent="0.15">
      <c r="A72" t="s">
        <v>20</v>
      </c>
      <c r="B72" t="s">
        <v>269</v>
      </c>
      <c r="C72">
        <v>163</v>
      </c>
      <c r="D72" t="s">
        <v>161</v>
      </c>
      <c r="E72" s="1">
        <v>43031</v>
      </c>
      <c r="F72" t="s">
        <v>17</v>
      </c>
      <c r="G72" t="s">
        <v>1624</v>
      </c>
      <c r="H72">
        <v>291</v>
      </c>
      <c r="I72" t="s">
        <v>38</v>
      </c>
      <c r="J72">
        <v>0</v>
      </c>
      <c r="K72">
        <v>0</v>
      </c>
      <c r="L72" t="s">
        <v>375</v>
      </c>
      <c r="M72" t="s">
        <v>241</v>
      </c>
      <c r="N72" t="s">
        <v>1625</v>
      </c>
    </row>
    <row r="73" spans="1:17" x14ac:dyDescent="0.15">
      <c r="A73" t="s">
        <v>20</v>
      </c>
      <c r="B73" t="s">
        <v>269</v>
      </c>
      <c r="C73">
        <v>163</v>
      </c>
      <c r="D73" t="s">
        <v>161</v>
      </c>
      <c r="E73" s="1">
        <v>43031</v>
      </c>
      <c r="F73" t="s">
        <v>17</v>
      </c>
      <c r="G73" t="s">
        <v>1624</v>
      </c>
      <c r="H73">
        <v>291</v>
      </c>
      <c r="I73" t="s">
        <v>38</v>
      </c>
      <c r="J73">
        <v>0</v>
      </c>
      <c r="K73">
        <v>0</v>
      </c>
      <c r="L73" t="s">
        <v>375</v>
      </c>
      <c r="M73" t="s">
        <v>1910</v>
      </c>
      <c r="N73" t="s">
        <v>1625</v>
      </c>
      <c r="O73">
        <v>0</v>
      </c>
      <c r="P73">
        <v>0</v>
      </c>
      <c r="Q73" t="s">
        <v>381</v>
      </c>
    </row>
    <row r="74" spans="1:17" x14ac:dyDescent="0.15">
      <c r="A74" t="s">
        <v>71</v>
      </c>
      <c r="B74" t="s">
        <v>269</v>
      </c>
      <c r="C74">
        <v>163</v>
      </c>
      <c r="D74" t="s">
        <v>161</v>
      </c>
      <c r="E74" s="1">
        <v>43031</v>
      </c>
      <c r="F74" t="s">
        <v>17</v>
      </c>
      <c r="G74" t="s">
        <v>1624</v>
      </c>
      <c r="H74">
        <v>2475</v>
      </c>
      <c r="I74" t="s">
        <v>38</v>
      </c>
      <c r="J74">
        <v>0</v>
      </c>
      <c r="K74">
        <v>0</v>
      </c>
      <c r="L74" t="s">
        <v>375</v>
      </c>
      <c r="M74" t="s">
        <v>241</v>
      </c>
      <c r="N74" t="s">
        <v>1626</v>
      </c>
    </row>
    <row r="75" spans="1:17" x14ac:dyDescent="0.15">
      <c r="A75" t="s">
        <v>71</v>
      </c>
      <c r="B75" t="s">
        <v>269</v>
      </c>
      <c r="C75">
        <v>163</v>
      </c>
      <c r="D75" t="s">
        <v>161</v>
      </c>
      <c r="E75" s="1">
        <v>43031</v>
      </c>
      <c r="F75" t="s">
        <v>17</v>
      </c>
      <c r="G75" t="s">
        <v>1624</v>
      </c>
      <c r="H75">
        <v>2475</v>
      </c>
      <c r="I75" t="s">
        <v>38</v>
      </c>
      <c r="J75">
        <v>0</v>
      </c>
      <c r="K75">
        <v>0</v>
      </c>
      <c r="L75" t="s">
        <v>375</v>
      </c>
      <c r="M75" t="s">
        <v>1910</v>
      </c>
      <c r="N75" t="s">
        <v>1626</v>
      </c>
      <c r="O75">
        <v>0</v>
      </c>
      <c r="P75">
        <v>0</v>
      </c>
      <c r="Q75" t="s">
        <v>381</v>
      </c>
    </row>
    <row r="76" spans="1:17" x14ac:dyDescent="0.15">
      <c r="A76" t="s">
        <v>71</v>
      </c>
      <c r="B76" t="s">
        <v>269</v>
      </c>
      <c r="C76">
        <v>163</v>
      </c>
      <c r="D76" t="s">
        <v>161</v>
      </c>
      <c r="E76" s="1">
        <v>43039</v>
      </c>
      <c r="F76" t="s">
        <v>383</v>
      </c>
      <c r="G76" t="s">
        <v>1330</v>
      </c>
      <c r="H76">
        <v>-1950</v>
      </c>
      <c r="I76" t="s">
        <v>38</v>
      </c>
      <c r="J76">
        <v>0</v>
      </c>
      <c r="M76" t="s">
        <v>241</v>
      </c>
      <c r="N76" t="s">
        <v>1333</v>
      </c>
    </row>
    <row r="77" spans="1:17" x14ac:dyDescent="0.15">
      <c r="A77" t="s">
        <v>71</v>
      </c>
      <c r="B77" t="s">
        <v>269</v>
      </c>
      <c r="C77">
        <v>163</v>
      </c>
      <c r="D77" t="s">
        <v>161</v>
      </c>
      <c r="E77" s="1">
        <v>43039</v>
      </c>
      <c r="F77" t="s">
        <v>383</v>
      </c>
      <c r="G77" t="s">
        <v>1330</v>
      </c>
      <c r="H77">
        <v>-1950</v>
      </c>
      <c r="I77" t="s">
        <v>38</v>
      </c>
      <c r="J77">
        <v>0</v>
      </c>
      <c r="M77" t="s">
        <v>1910</v>
      </c>
      <c r="N77" t="s">
        <v>1333</v>
      </c>
      <c r="O77">
        <v>0</v>
      </c>
      <c r="P77">
        <v>0</v>
      </c>
      <c r="Q77" t="s">
        <v>381</v>
      </c>
    </row>
    <row r="78" spans="1:17" x14ac:dyDescent="0.15">
      <c r="A78" t="s">
        <v>71</v>
      </c>
      <c r="B78" t="s">
        <v>269</v>
      </c>
      <c r="C78">
        <v>163</v>
      </c>
      <c r="D78" t="s">
        <v>161</v>
      </c>
      <c r="E78" s="1">
        <v>43054</v>
      </c>
      <c r="F78" t="s">
        <v>383</v>
      </c>
      <c r="G78" t="s">
        <v>1354</v>
      </c>
      <c r="H78">
        <v>-825</v>
      </c>
      <c r="I78" t="s">
        <v>38</v>
      </c>
      <c r="J78">
        <v>0</v>
      </c>
      <c r="M78" t="s">
        <v>241</v>
      </c>
      <c r="N78" t="s">
        <v>1356</v>
      </c>
    </row>
    <row r="79" spans="1:17" x14ac:dyDescent="0.15">
      <c r="A79" t="s">
        <v>71</v>
      </c>
      <c r="B79" t="s">
        <v>269</v>
      </c>
      <c r="C79">
        <v>163</v>
      </c>
      <c r="D79" t="s">
        <v>161</v>
      </c>
      <c r="E79" s="1">
        <v>43054</v>
      </c>
      <c r="F79" t="s">
        <v>383</v>
      </c>
      <c r="G79" t="s">
        <v>1354</v>
      </c>
      <c r="H79">
        <v>-825</v>
      </c>
      <c r="I79" t="s">
        <v>38</v>
      </c>
      <c r="J79">
        <v>0</v>
      </c>
      <c r="M79" t="s">
        <v>1910</v>
      </c>
      <c r="N79" t="s">
        <v>1356</v>
      </c>
      <c r="O79">
        <v>0</v>
      </c>
      <c r="P79">
        <v>0</v>
      </c>
      <c r="Q79" t="s">
        <v>381</v>
      </c>
    </row>
    <row r="80" spans="1:17" x14ac:dyDescent="0.15">
      <c r="A80" t="s">
        <v>18</v>
      </c>
      <c r="B80" t="s">
        <v>269</v>
      </c>
      <c r="C80">
        <v>163</v>
      </c>
      <c r="D80" t="s">
        <v>161</v>
      </c>
      <c r="E80" s="1">
        <v>43054</v>
      </c>
      <c r="F80" t="s">
        <v>383</v>
      </c>
      <c r="G80" t="s">
        <v>1354</v>
      </c>
      <c r="H80">
        <v>-390</v>
      </c>
      <c r="I80" t="s">
        <v>38</v>
      </c>
      <c r="J80">
        <v>0</v>
      </c>
      <c r="M80" t="s">
        <v>241</v>
      </c>
      <c r="N80" t="s">
        <v>1357</v>
      </c>
    </row>
    <row r="81" spans="1:17" x14ac:dyDescent="0.15">
      <c r="A81" t="s">
        <v>18</v>
      </c>
      <c r="B81" t="s">
        <v>269</v>
      </c>
      <c r="C81">
        <v>163</v>
      </c>
      <c r="D81" t="s">
        <v>161</v>
      </c>
      <c r="E81" s="1">
        <v>43054</v>
      </c>
      <c r="F81" t="s">
        <v>383</v>
      </c>
      <c r="G81" t="s">
        <v>1354</v>
      </c>
      <c r="H81">
        <v>-390</v>
      </c>
      <c r="I81" t="s">
        <v>38</v>
      </c>
      <c r="J81">
        <v>0</v>
      </c>
      <c r="M81" t="s">
        <v>1910</v>
      </c>
      <c r="N81" t="s">
        <v>1357</v>
      </c>
      <c r="O81">
        <v>0</v>
      </c>
      <c r="P81">
        <v>0</v>
      </c>
      <c r="Q81" t="s">
        <v>381</v>
      </c>
    </row>
    <row r="82" spans="1:17" x14ac:dyDescent="0.15">
      <c r="A82" t="s">
        <v>54</v>
      </c>
      <c r="B82" t="s">
        <v>169</v>
      </c>
      <c r="C82">
        <v>163</v>
      </c>
      <c r="D82" t="s">
        <v>161</v>
      </c>
      <c r="E82" s="1">
        <v>42878</v>
      </c>
      <c r="F82" t="s">
        <v>383</v>
      </c>
      <c r="G82" t="s">
        <v>584</v>
      </c>
      <c r="H82">
        <v>-15</v>
      </c>
      <c r="I82" t="s">
        <v>38</v>
      </c>
      <c r="J82">
        <v>0</v>
      </c>
      <c r="M82" t="s">
        <v>241</v>
      </c>
      <c r="N82" t="s">
        <v>585</v>
      </c>
    </row>
    <row r="83" spans="1:17" x14ac:dyDescent="0.15">
      <c r="A83" t="s">
        <v>54</v>
      </c>
      <c r="B83" t="s">
        <v>169</v>
      </c>
      <c r="C83">
        <v>163</v>
      </c>
      <c r="D83" t="s">
        <v>161</v>
      </c>
      <c r="E83" s="1">
        <v>42878</v>
      </c>
      <c r="F83" t="s">
        <v>383</v>
      </c>
      <c r="G83" t="s">
        <v>584</v>
      </c>
      <c r="H83">
        <v>-15</v>
      </c>
      <c r="I83" t="s">
        <v>38</v>
      </c>
      <c r="J83">
        <v>0</v>
      </c>
      <c r="M83" t="s">
        <v>1910</v>
      </c>
      <c r="N83" t="s">
        <v>585</v>
      </c>
      <c r="O83">
        <v>0</v>
      </c>
      <c r="P83">
        <v>0</v>
      </c>
      <c r="Q83" t="s">
        <v>381</v>
      </c>
    </row>
    <row r="84" spans="1:17" x14ac:dyDescent="0.15">
      <c r="A84" t="s">
        <v>54</v>
      </c>
      <c r="B84" t="s">
        <v>169</v>
      </c>
      <c r="C84">
        <v>163</v>
      </c>
      <c r="D84" t="s">
        <v>161</v>
      </c>
      <c r="E84" s="1">
        <v>42908</v>
      </c>
      <c r="F84" t="s">
        <v>383</v>
      </c>
      <c r="G84" t="s">
        <v>658</v>
      </c>
      <c r="H84">
        <v>-2.4</v>
      </c>
      <c r="I84" t="s">
        <v>38</v>
      </c>
      <c r="J84">
        <v>0</v>
      </c>
      <c r="M84" t="s">
        <v>241</v>
      </c>
      <c r="N84" t="s">
        <v>659</v>
      </c>
    </row>
    <row r="85" spans="1:17" x14ac:dyDescent="0.15">
      <c r="A85" t="s">
        <v>54</v>
      </c>
      <c r="B85" t="s">
        <v>169</v>
      </c>
      <c r="C85">
        <v>163</v>
      </c>
      <c r="D85" t="s">
        <v>161</v>
      </c>
      <c r="E85" s="1">
        <v>42908</v>
      </c>
      <c r="F85" t="s">
        <v>383</v>
      </c>
      <c r="G85" t="s">
        <v>658</v>
      </c>
      <c r="H85">
        <v>-2.4</v>
      </c>
      <c r="I85" t="s">
        <v>38</v>
      </c>
      <c r="J85">
        <v>0</v>
      </c>
      <c r="M85" t="s">
        <v>1910</v>
      </c>
      <c r="N85" t="s">
        <v>659</v>
      </c>
      <c r="O85">
        <v>0</v>
      </c>
      <c r="P85">
        <v>0</v>
      </c>
      <c r="Q85" t="s">
        <v>381</v>
      </c>
    </row>
    <row r="86" spans="1:17" x14ac:dyDescent="0.15">
      <c r="A86" t="s">
        <v>54</v>
      </c>
      <c r="B86" t="s">
        <v>169</v>
      </c>
      <c r="C86">
        <v>163</v>
      </c>
      <c r="D86" t="s">
        <v>161</v>
      </c>
      <c r="E86" s="1">
        <v>42908</v>
      </c>
      <c r="F86" t="s">
        <v>383</v>
      </c>
      <c r="G86" t="s">
        <v>664</v>
      </c>
      <c r="H86">
        <v>-15</v>
      </c>
      <c r="I86" t="s">
        <v>38</v>
      </c>
      <c r="J86">
        <v>0</v>
      </c>
      <c r="M86" t="s">
        <v>241</v>
      </c>
      <c r="N86" t="s">
        <v>665</v>
      </c>
    </row>
    <row r="87" spans="1:17" x14ac:dyDescent="0.15">
      <c r="A87" t="s">
        <v>54</v>
      </c>
      <c r="B87" t="s">
        <v>169</v>
      </c>
      <c r="C87">
        <v>163</v>
      </c>
      <c r="D87" t="s">
        <v>161</v>
      </c>
      <c r="E87" s="1">
        <v>42908</v>
      </c>
      <c r="F87" t="s">
        <v>383</v>
      </c>
      <c r="G87" t="s">
        <v>664</v>
      </c>
      <c r="H87">
        <v>-15</v>
      </c>
      <c r="I87" t="s">
        <v>38</v>
      </c>
      <c r="J87">
        <v>0</v>
      </c>
      <c r="M87" t="s">
        <v>1910</v>
      </c>
      <c r="N87" t="s">
        <v>665</v>
      </c>
      <c r="O87">
        <v>0</v>
      </c>
      <c r="P87">
        <v>0</v>
      </c>
      <c r="Q87" t="s">
        <v>381</v>
      </c>
    </row>
    <row r="88" spans="1:17" x14ac:dyDescent="0.15">
      <c r="A88" t="s">
        <v>54</v>
      </c>
      <c r="B88" t="s">
        <v>169</v>
      </c>
      <c r="C88">
        <v>163</v>
      </c>
      <c r="D88" t="s">
        <v>161</v>
      </c>
      <c r="E88" s="1">
        <v>42978</v>
      </c>
      <c r="F88" t="s">
        <v>383</v>
      </c>
      <c r="G88" t="s">
        <v>1171</v>
      </c>
      <c r="H88">
        <v>-4.8</v>
      </c>
      <c r="I88" t="s">
        <v>38</v>
      </c>
      <c r="J88">
        <v>0</v>
      </c>
      <c r="M88" t="s">
        <v>241</v>
      </c>
      <c r="N88" t="s">
        <v>1172</v>
      </c>
    </row>
    <row r="89" spans="1:17" x14ac:dyDescent="0.15">
      <c r="A89" t="s">
        <v>54</v>
      </c>
      <c r="B89" t="s">
        <v>169</v>
      </c>
      <c r="C89">
        <v>163</v>
      </c>
      <c r="D89" t="s">
        <v>161</v>
      </c>
      <c r="E89" s="1">
        <v>42978</v>
      </c>
      <c r="F89" t="s">
        <v>383</v>
      </c>
      <c r="G89" t="s">
        <v>1171</v>
      </c>
      <c r="H89">
        <v>-4.8</v>
      </c>
      <c r="I89" t="s">
        <v>38</v>
      </c>
      <c r="J89">
        <v>0</v>
      </c>
      <c r="M89" t="s">
        <v>1910</v>
      </c>
      <c r="N89" t="s">
        <v>1172</v>
      </c>
      <c r="O89">
        <v>0</v>
      </c>
      <c r="P89">
        <v>0</v>
      </c>
      <c r="Q89" t="s">
        <v>381</v>
      </c>
    </row>
    <row r="90" spans="1:17" x14ac:dyDescent="0.15">
      <c r="A90" t="s">
        <v>54</v>
      </c>
      <c r="B90" t="s">
        <v>169</v>
      </c>
      <c r="C90">
        <v>163</v>
      </c>
      <c r="D90" t="s">
        <v>161</v>
      </c>
      <c r="E90" s="1">
        <v>42990</v>
      </c>
      <c r="F90" t="s">
        <v>383</v>
      </c>
      <c r="G90" t="s">
        <v>1227</v>
      </c>
      <c r="H90">
        <v>-12.75</v>
      </c>
      <c r="I90" t="s">
        <v>38</v>
      </c>
      <c r="J90">
        <v>0</v>
      </c>
      <c r="M90" t="s">
        <v>241</v>
      </c>
      <c r="N90" t="s">
        <v>1228</v>
      </c>
    </row>
    <row r="91" spans="1:17" x14ac:dyDescent="0.15">
      <c r="A91" t="s">
        <v>54</v>
      </c>
      <c r="B91" t="s">
        <v>169</v>
      </c>
      <c r="C91">
        <v>163</v>
      </c>
      <c r="D91" t="s">
        <v>161</v>
      </c>
      <c r="E91" s="1">
        <v>42990</v>
      </c>
      <c r="F91" t="s">
        <v>383</v>
      </c>
      <c r="G91" t="s">
        <v>1227</v>
      </c>
      <c r="H91">
        <v>-12.75</v>
      </c>
      <c r="I91" t="s">
        <v>38</v>
      </c>
      <c r="J91">
        <v>0</v>
      </c>
      <c r="M91" t="s">
        <v>1910</v>
      </c>
      <c r="N91" t="s">
        <v>1228</v>
      </c>
      <c r="O91">
        <v>0</v>
      </c>
      <c r="P91">
        <v>0</v>
      </c>
      <c r="Q91" t="s">
        <v>381</v>
      </c>
    </row>
    <row r="92" spans="1:17" x14ac:dyDescent="0.15">
      <c r="A92" t="s">
        <v>54</v>
      </c>
      <c r="B92" t="s">
        <v>169</v>
      </c>
      <c r="C92">
        <v>163</v>
      </c>
      <c r="D92" t="s">
        <v>161</v>
      </c>
      <c r="E92" s="1">
        <v>43056</v>
      </c>
      <c r="F92" t="s">
        <v>383</v>
      </c>
      <c r="G92" t="s">
        <v>1371</v>
      </c>
      <c r="H92">
        <v>-30</v>
      </c>
      <c r="I92" t="s">
        <v>38</v>
      </c>
      <c r="J92">
        <v>0</v>
      </c>
      <c r="M92" t="s">
        <v>241</v>
      </c>
      <c r="N92" t="s">
        <v>1372</v>
      </c>
    </row>
    <row r="93" spans="1:17" x14ac:dyDescent="0.15">
      <c r="A93" t="s">
        <v>54</v>
      </c>
      <c r="B93" t="s">
        <v>169</v>
      </c>
      <c r="C93">
        <v>163</v>
      </c>
      <c r="D93" t="s">
        <v>161</v>
      </c>
      <c r="E93" s="1">
        <v>43056</v>
      </c>
      <c r="F93" t="s">
        <v>383</v>
      </c>
      <c r="G93" t="s">
        <v>1371</v>
      </c>
      <c r="H93">
        <v>-30</v>
      </c>
      <c r="I93" t="s">
        <v>38</v>
      </c>
      <c r="J93">
        <v>0</v>
      </c>
      <c r="M93" t="s">
        <v>1910</v>
      </c>
      <c r="N93" t="s">
        <v>1372</v>
      </c>
      <c r="O93">
        <v>0</v>
      </c>
      <c r="P93">
        <v>0</v>
      </c>
      <c r="Q93" t="s">
        <v>381</v>
      </c>
    </row>
    <row r="94" spans="1:17" x14ac:dyDescent="0.15">
      <c r="A94" t="s">
        <v>54</v>
      </c>
      <c r="B94" t="s">
        <v>169</v>
      </c>
      <c r="C94">
        <v>163</v>
      </c>
      <c r="D94" t="s">
        <v>161</v>
      </c>
      <c r="E94" s="1">
        <v>43063</v>
      </c>
      <c r="F94" t="s">
        <v>383</v>
      </c>
      <c r="G94" t="s">
        <v>1399</v>
      </c>
      <c r="H94">
        <v>-60</v>
      </c>
      <c r="I94" t="s">
        <v>38</v>
      </c>
      <c r="J94">
        <v>0</v>
      </c>
      <c r="M94" t="s">
        <v>241</v>
      </c>
      <c r="N94" t="s">
        <v>1400</v>
      </c>
    </row>
    <row r="95" spans="1:17" x14ac:dyDescent="0.15">
      <c r="A95" t="s">
        <v>54</v>
      </c>
      <c r="B95" t="s">
        <v>169</v>
      </c>
      <c r="C95">
        <v>163</v>
      </c>
      <c r="D95" t="s">
        <v>161</v>
      </c>
      <c r="E95" s="1">
        <v>43063</v>
      </c>
      <c r="F95" t="s">
        <v>383</v>
      </c>
      <c r="G95" t="s">
        <v>1399</v>
      </c>
      <c r="H95">
        <v>-60</v>
      </c>
      <c r="I95" t="s">
        <v>38</v>
      </c>
      <c r="J95">
        <v>0</v>
      </c>
      <c r="M95" t="s">
        <v>1910</v>
      </c>
      <c r="N95" t="s">
        <v>1400</v>
      </c>
      <c r="O95">
        <v>0</v>
      </c>
      <c r="P95">
        <v>0</v>
      </c>
      <c r="Q95" t="s">
        <v>381</v>
      </c>
    </row>
    <row r="96" spans="1:17" x14ac:dyDescent="0.15">
      <c r="A96" t="s">
        <v>25</v>
      </c>
      <c r="B96" t="s">
        <v>31</v>
      </c>
      <c r="C96">
        <v>163</v>
      </c>
      <c r="D96" t="s">
        <v>161</v>
      </c>
      <c r="E96" s="1">
        <v>42849</v>
      </c>
      <c r="F96" t="s">
        <v>383</v>
      </c>
      <c r="G96" t="s">
        <v>481</v>
      </c>
      <c r="H96">
        <v>-30</v>
      </c>
      <c r="I96" t="s">
        <v>38</v>
      </c>
      <c r="J96">
        <v>0</v>
      </c>
      <c r="M96" t="s">
        <v>241</v>
      </c>
      <c r="N96" t="s">
        <v>482</v>
      </c>
    </row>
    <row r="97" spans="1:17" x14ac:dyDescent="0.15">
      <c r="A97" t="s">
        <v>25</v>
      </c>
      <c r="B97" t="s">
        <v>31</v>
      </c>
      <c r="C97">
        <v>163</v>
      </c>
      <c r="D97" t="s">
        <v>161</v>
      </c>
      <c r="E97" s="1">
        <v>42849</v>
      </c>
      <c r="F97" t="s">
        <v>383</v>
      </c>
      <c r="G97" t="s">
        <v>481</v>
      </c>
      <c r="H97">
        <v>-30</v>
      </c>
      <c r="I97" t="s">
        <v>38</v>
      </c>
      <c r="J97">
        <v>0</v>
      </c>
      <c r="M97" t="s">
        <v>1910</v>
      </c>
      <c r="N97" t="s">
        <v>482</v>
      </c>
      <c r="O97">
        <v>0</v>
      </c>
      <c r="P97">
        <v>0</v>
      </c>
      <c r="Q97" t="s">
        <v>381</v>
      </c>
    </row>
    <row r="98" spans="1:17" x14ac:dyDescent="0.15">
      <c r="A98" t="s">
        <v>25</v>
      </c>
      <c r="B98" t="s">
        <v>31</v>
      </c>
      <c r="C98">
        <v>163</v>
      </c>
      <c r="D98" t="s">
        <v>161</v>
      </c>
      <c r="E98" s="1">
        <v>42873</v>
      </c>
      <c r="F98" t="s">
        <v>17</v>
      </c>
      <c r="G98" t="s">
        <v>782</v>
      </c>
      <c r="H98">
        <v>600</v>
      </c>
      <c r="I98" t="s">
        <v>38</v>
      </c>
      <c r="J98">
        <v>0</v>
      </c>
      <c r="K98">
        <v>0</v>
      </c>
      <c r="L98" t="s">
        <v>375</v>
      </c>
      <c r="M98" t="s">
        <v>241</v>
      </c>
      <c r="N98" t="s">
        <v>783</v>
      </c>
    </row>
    <row r="99" spans="1:17" x14ac:dyDescent="0.15">
      <c r="A99" t="s">
        <v>25</v>
      </c>
      <c r="B99" t="s">
        <v>31</v>
      </c>
      <c r="C99">
        <v>163</v>
      </c>
      <c r="D99" t="s">
        <v>161</v>
      </c>
      <c r="E99" s="1">
        <v>42873</v>
      </c>
      <c r="F99" t="s">
        <v>17</v>
      </c>
      <c r="G99" t="s">
        <v>782</v>
      </c>
      <c r="H99">
        <v>600</v>
      </c>
      <c r="I99" t="s">
        <v>38</v>
      </c>
      <c r="J99">
        <v>0</v>
      </c>
      <c r="K99">
        <v>0</v>
      </c>
      <c r="L99" t="s">
        <v>375</v>
      </c>
      <c r="M99" t="s">
        <v>1910</v>
      </c>
      <c r="N99" t="s">
        <v>783</v>
      </c>
      <c r="O99">
        <v>0</v>
      </c>
      <c r="P99">
        <v>0</v>
      </c>
      <c r="Q99" t="s">
        <v>381</v>
      </c>
    </row>
    <row r="100" spans="1:17" x14ac:dyDescent="0.15">
      <c r="A100" t="s">
        <v>25</v>
      </c>
      <c r="B100" t="s">
        <v>31</v>
      </c>
      <c r="C100">
        <v>163</v>
      </c>
      <c r="D100" t="s">
        <v>161</v>
      </c>
      <c r="E100" s="1">
        <v>42873</v>
      </c>
      <c r="F100" t="s">
        <v>17</v>
      </c>
      <c r="G100" t="s">
        <v>786</v>
      </c>
      <c r="H100">
        <v>150</v>
      </c>
      <c r="I100" t="s">
        <v>38</v>
      </c>
      <c r="J100">
        <v>0</v>
      </c>
      <c r="K100">
        <v>0</v>
      </c>
      <c r="L100" t="s">
        <v>375</v>
      </c>
      <c r="M100" t="s">
        <v>241</v>
      </c>
      <c r="N100" t="s">
        <v>787</v>
      </c>
    </row>
    <row r="101" spans="1:17" x14ac:dyDescent="0.15">
      <c r="A101" t="s">
        <v>25</v>
      </c>
      <c r="B101" t="s">
        <v>31</v>
      </c>
      <c r="C101">
        <v>163</v>
      </c>
      <c r="D101" t="s">
        <v>161</v>
      </c>
      <c r="E101" s="1">
        <v>42873</v>
      </c>
      <c r="F101" t="s">
        <v>17</v>
      </c>
      <c r="G101" t="s">
        <v>786</v>
      </c>
      <c r="H101">
        <v>150</v>
      </c>
      <c r="I101" t="s">
        <v>38</v>
      </c>
      <c r="J101">
        <v>0</v>
      </c>
      <c r="K101">
        <v>0</v>
      </c>
      <c r="L101" t="s">
        <v>375</v>
      </c>
      <c r="M101" t="s">
        <v>1910</v>
      </c>
      <c r="N101" t="s">
        <v>787</v>
      </c>
      <c r="O101">
        <v>0</v>
      </c>
      <c r="P101">
        <v>0</v>
      </c>
      <c r="Q101" t="s">
        <v>381</v>
      </c>
    </row>
    <row r="102" spans="1:17" x14ac:dyDescent="0.15">
      <c r="A102" t="s">
        <v>25</v>
      </c>
      <c r="B102" t="s">
        <v>31</v>
      </c>
      <c r="C102">
        <v>163</v>
      </c>
      <c r="D102" t="s">
        <v>161</v>
      </c>
      <c r="E102" s="1">
        <v>42879</v>
      </c>
      <c r="F102" t="s">
        <v>383</v>
      </c>
      <c r="G102" t="s">
        <v>589</v>
      </c>
      <c r="H102">
        <v>-750</v>
      </c>
      <c r="I102" t="s">
        <v>38</v>
      </c>
      <c r="J102">
        <v>0</v>
      </c>
      <c r="M102" t="s">
        <v>241</v>
      </c>
      <c r="N102" t="s">
        <v>590</v>
      </c>
    </row>
    <row r="103" spans="1:17" x14ac:dyDescent="0.15">
      <c r="A103" t="s">
        <v>25</v>
      </c>
      <c r="B103" t="s">
        <v>31</v>
      </c>
      <c r="C103">
        <v>163</v>
      </c>
      <c r="D103" t="s">
        <v>161</v>
      </c>
      <c r="E103" s="1">
        <v>42879</v>
      </c>
      <c r="F103" t="s">
        <v>383</v>
      </c>
      <c r="G103" t="s">
        <v>589</v>
      </c>
      <c r="H103">
        <v>-750</v>
      </c>
      <c r="I103" t="s">
        <v>38</v>
      </c>
      <c r="J103">
        <v>0</v>
      </c>
      <c r="M103" t="s">
        <v>1910</v>
      </c>
      <c r="N103" t="s">
        <v>590</v>
      </c>
      <c r="O103">
        <v>0</v>
      </c>
      <c r="P103">
        <v>0</v>
      </c>
      <c r="Q103" t="s">
        <v>381</v>
      </c>
    </row>
    <row r="104" spans="1:17" x14ac:dyDescent="0.15">
      <c r="A104" t="s">
        <v>25</v>
      </c>
      <c r="B104" t="s">
        <v>31</v>
      </c>
      <c r="C104">
        <v>163</v>
      </c>
      <c r="D104" t="s">
        <v>161</v>
      </c>
      <c r="E104" s="1">
        <v>42976</v>
      </c>
      <c r="F104" t="s">
        <v>383</v>
      </c>
      <c r="G104" t="s">
        <v>1191</v>
      </c>
      <c r="H104">
        <v>-1.8</v>
      </c>
      <c r="I104" t="s">
        <v>38</v>
      </c>
      <c r="J104">
        <v>0</v>
      </c>
      <c r="M104" t="s">
        <v>241</v>
      </c>
      <c r="N104" t="s">
        <v>1192</v>
      </c>
    </row>
    <row r="105" spans="1:17" x14ac:dyDescent="0.15">
      <c r="A105" t="s">
        <v>25</v>
      </c>
      <c r="B105" t="s">
        <v>31</v>
      </c>
      <c r="C105">
        <v>163</v>
      </c>
      <c r="D105" t="s">
        <v>161</v>
      </c>
      <c r="E105" s="1">
        <v>42976</v>
      </c>
      <c r="F105" t="s">
        <v>383</v>
      </c>
      <c r="G105" t="s">
        <v>1191</v>
      </c>
      <c r="H105">
        <v>-1.8</v>
      </c>
      <c r="I105" t="s">
        <v>38</v>
      </c>
      <c r="J105">
        <v>0</v>
      </c>
      <c r="M105" t="s">
        <v>1910</v>
      </c>
      <c r="N105" t="s">
        <v>1192</v>
      </c>
      <c r="O105">
        <v>0</v>
      </c>
      <c r="P105">
        <v>0</v>
      </c>
      <c r="Q105" t="s">
        <v>381</v>
      </c>
    </row>
    <row r="106" spans="1:17" x14ac:dyDescent="0.15">
      <c r="A106" t="s">
        <v>25</v>
      </c>
      <c r="B106" t="s">
        <v>31</v>
      </c>
      <c r="C106">
        <v>163</v>
      </c>
      <c r="D106" t="s">
        <v>161</v>
      </c>
      <c r="E106" s="1">
        <v>42997</v>
      </c>
      <c r="F106" t="s">
        <v>383</v>
      </c>
      <c r="G106" t="s">
        <v>1247</v>
      </c>
      <c r="H106">
        <v>-30</v>
      </c>
      <c r="I106" t="s">
        <v>38</v>
      </c>
      <c r="J106">
        <v>0</v>
      </c>
      <c r="M106" t="s">
        <v>241</v>
      </c>
      <c r="N106" t="s">
        <v>1248</v>
      </c>
    </row>
    <row r="107" spans="1:17" x14ac:dyDescent="0.15">
      <c r="A107" t="s">
        <v>25</v>
      </c>
      <c r="B107" t="s">
        <v>31</v>
      </c>
      <c r="C107">
        <v>163</v>
      </c>
      <c r="D107" t="s">
        <v>161</v>
      </c>
      <c r="E107" s="1">
        <v>42997</v>
      </c>
      <c r="F107" t="s">
        <v>383</v>
      </c>
      <c r="G107" t="s">
        <v>1247</v>
      </c>
      <c r="H107">
        <v>-30</v>
      </c>
      <c r="I107" t="s">
        <v>38</v>
      </c>
      <c r="J107">
        <v>0</v>
      </c>
      <c r="M107" t="s">
        <v>1910</v>
      </c>
      <c r="N107" t="s">
        <v>1248</v>
      </c>
      <c r="O107">
        <v>0</v>
      </c>
      <c r="P107">
        <v>0</v>
      </c>
      <c r="Q107" t="s">
        <v>381</v>
      </c>
    </row>
    <row r="108" spans="1:17" x14ac:dyDescent="0.15">
      <c r="A108" t="s">
        <v>25</v>
      </c>
      <c r="B108" t="s">
        <v>31</v>
      </c>
      <c r="C108">
        <v>163</v>
      </c>
      <c r="D108" t="s">
        <v>161</v>
      </c>
      <c r="E108" s="1">
        <v>43082</v>
      </c>
      <c r="F108" t="s">
        <v>383</v>
      </c>
      <c r="G108" t="s">
        <v>1439</v>
      </c>
      <c r="H108">
        <v>-120</v>
      </c>
      <c r="I108" t="s">
        <v>38</v>
      </c>
      <c r="J108">
        <v>0</v>
      </c>
      <c r="M108" t="s">
        <v>241</v>
      </c>
      <c r="N108" t="s">
        <v>1440</v>
      </c>
    </row>
    <row r="109" spans="1:17" x14ac:dyDescent="0.15">
      <c r="A109" t="s">
        <v>25</v>
      </c>
      <c r="B109" t="s">
        <v>31</v>
      </c>
      <c r="C109">
        <v>163</v>
      </c>
      <c r="D109" t="s">
        <v>161</v>
      </c>
      <c r="E109" s="1">
        <v>43082</v>
      </c>
      <c r="F109" t="s">
        <v>383</v>
      </c>
      <c r="G109" t="s">
        <v>1439</v>
      </c>
      <c r="H109">
        <v>-120</v>
      </c>
      <c r="I109" t="s">
        <v>38</v>
      </c>
      <c r="J109">
        <v>0</v>
      </c>
      <c r="M109" t="s">
        <v>1910</v>
      </c>
      <c r="N109" t="s">
        <v>1440</v>
      </c>
      <c r="O109">
        <v>0</v>
      </c>
      <c r="P109">
        <v>0</v>
      </c>
      <c r="Q109" t="s">
        <v>381</v>
      </c>
    </row>
    <row r="110" spans="1:17" x14ac:dyDescent="0.15">
      <c r="A110" t="s">
        <v>72</v>
      </c>
      <c r="B110" t="s">
        <v>31</v>
      </c>
      <c r="C110">
        <v>163</v>
      </c>
      <c r="D110" t="s">
        <v>161</v>
      </c>
      <c r="E110" s="1">
        <v>42839</v>
      </c>
      <c r="F110" t="s">
        <v>383</v>
      </c>
      <c r="G110" t="s">
        <v>465</v>
      </c>
      <c r="H110">
        <v>-5</v>
      </c>
      <c r="I110" t="s">
        <v>38</v>
      </c>
      <c r="J110">
        <v>0</v>
      </c>
      <c r="M110" t="s">
        <v>241</v>
      </c>
      <c r="N110" t="s">
        <v>466</v>
      </c>
    </row>
    <row r="111" spans="1:17" x14ac:dyDescent="0.15">
      <c r="A111" t="s">
        <v>72</v>
      </c>
      <c r="B111" t="s">
        <v>31</v>
      </c>
      <c r="C111">
        <v>163</v>
      </c>
      <c r="D111" t="s">
        <v>161</v>
      </c>
      <c r="E111" s="1">
        <v>42839</v>
      </c>
      <c r="F111" t="s">
        <v>383</v>
      </c>
      <c r="G111" t="s">
        <v>465</v>
      </c>
      <c r="H111">
        <v>-5</v>
      </c>
      <c r="I111" t="s">
        <v>38</v>
      </c>
      <c r="J111">
        <v>0</v>
      </c>
      <c r="M111" t="s">
        <v>1910</v>
      </c>
      <c r="N111" t="s">
        <v>466</v>
      </c>
      <c r="O111">
        <v>0</v>
      </c>
      <c r="P111">
        <v>0</v>
      </c>
      <c r="Q111" t="s">
        <v>381</v>
      </c>
    </row>
    <row r="112" spans="1:17" x14ac:dyDescent="0.15">
      <c r="A112" t="s">
        <v>72</v>
      </c>
      <c r="B112" t="s">
        <v>31</v>
      </c>
      <c r="C112">
        <v>163</v>
      </c>
      <c r="D112" t="s">
        <v>161</v>
      </c>
      <c r="E112" s="1">
        <v>42997</v>
      </c>
      <c r="F112" t="s">
        <v>383</v>
      </c>
      <c r="G112" t="s">
        <v>1247</v>
      </c>
      <c r="H112">
        <v>-115</v>
      </c>
      <c r="I112" t="s">
        <v>38</v>
      </c>
      <c r="J112">
        <v>0</v>
      </c>
      <c r="M112" t="s">
        <v>241</v>
      </c>
      <c r="N112" t="s">
        <v>1249</v>
      </c>
    </row>
    <row r="113" spans="1:17" x14ac:dyDescent="0.15">
      <c r="A113" t="s">
        <v>72</v>
      </c>
      <c r="B113" t="s">
        <v>31</v>
      </c>
      <c r="C113">
        <v>163</v>
      </c>
      <c r="D113" t="s">
        <v>161</v>
      </c>
      <c r="E113" s="1">
        <v>42997</v>
      </c>
      <c r="F113" t="s">
        <v>383</v>
      </c>
      <c r="G113" t="s">
        <v>1247</v>
      </c>
      <c r="H113">
        <v>-115</v>
      </c>
      <c r="I113" t="s">
        <v>38</v>
      </c>
      <c r="J113">
        <v>0</v>
      </c>
      <c r="M113" t="s">
        <v>1910</v>
      </c>
      <c r="N113" t="s">
        <v>1249</v>
      </c>
      <c r="O113">
        <v>0</v>
      </c>
      <c r="P113">
        <v>0</v>
      </c>
      <c r="Q113" t="s">
        <v>381</v>
      </c>
    </row>
    <row r="114" spans="1:17" x14ac:dyDescent="0.15">
      <c r="A114" t="s">
        <v>72</v>
      </c>
      <c r="B114" t="s">
        <v>31</v>
      </c>
      <c r="C114">
        <v>163</v>
      </c>
      <c r="D114" t="s">
        <v>161</v>
      </c>
      <c r="E114" s="1">
        <v>42997</v>
      </c>
      <c r="F114" t="s">
        <v>17</v>
      </c>
      <c r="G114" t="s">
        <v>1591</v>
      </c>
      <c r="H114">
        <v>240</v>
      </c>
      <c r="I114" t="s">
        <v>38</v>
      </c>
      <c r="J114">
        <v>0</v>
      </c>
      <c r="K114">
        <v>0</v>
      </c>
      <c r="L114" t="s">
        <v>375</v>
      </c>
      <c r="M114" t="s">
        <v>241</v>
      </c>
      <c r="N114" t="s">
        <v>1592</v>
      </c>
    </row>
    <row r="115" spans="1:17" x14ac:dyDescent="0.15">
      <c r="A115" t="s">
        <v>72</v>
      </c>
      <c r="B115" t="s">
        <v>31</v>
      </c>
      <c r="C115">
        <v>163</v>
      </c>
      <c r="D115" t="s">
        <v>161</v>
      </c>
      <c r="E115" s="1">
        <v>42997</v>
      </c>
      <c r="F115" t="s">
        <v>17</v>
      </c>
      <c r="G115" t="s">
        <v>1591</v>
      </c>
      <c r="H115">
        <v>240</v>
      </c>
      <c r="I115" t="s">
        <v>38</v>
      </c>
      <c r="J115">
        <v>0</v>
      </c>
      <c r="K115">
        <v>0</v>
      </c>
      <c r="L115" t="s">
        <v>375</v>
      </c>
      <c r="M115" t="s">
        <v>1910</v>
      </c>
      <c r="N115" t="s">
        <v>1592</v>
      </c>
      <c r="O115">
        <v>0</v>
      </c>
      <c r="P115">
        <v>0</v>
      </c>
      <c r="Q115" t="s">
        <v>381</v>
      </c>
    </row>
    <row r="116" spans="1:17" x14ac:dyDescent="0.15">
      <c r="A116" t="s">
        <v>72</v>
      </c>
      <c r="B116" t="s">
        <v>31</v>
      </c>
      <c r="C116">
        <v>163</v>
      </c>
      <c r="D116" t="s">
        <v>161</v>
      </c>
      <c r="E116" s="1">
        <v>42998</v>
      </c>
      <c r="F116" t="s">
        <v>383</v>
      </c>
      <c r="G116" t="s">
        <v>1256</v>
      </c>
      <c r="H116">
        <v>-120</v>
      </c>
      <c r="I116" t="s">
        <v>38</v>
      </c>
      <c r="J116">
        <v>0</v>
      </c>
      <c r="M116" t="s">
        <v>241</v>
      </c>
      <c r="N116" t="s">
        <v>1257</v>
      </c>
    </row>
    <row r="117" spans="1:17" x14ac:dyDescent="0.15">
      <c r="A117" t="s">
        <v>72</v>
      </c>
      <c r="B117" t="s">
        <v>31</v>
      </c>
      <c r="C117">
        <v>163</v>
      </c>
      <c r="D117" t="s">
        <v>161</v>
      </c>
      <c r="E117" s="1">
        <v>42998</v>
      </c>
      <c r="F117" t="s">
        <v>383</v>
      </c>
      <c r="G117" t="s">
        <v>1256</v>
      </c>
      <c r="H117">
        <v>-120</v>
      </c>
      <c r="I117" t="s">
        <v>38</v>
      </c>
      <c r="J117">
        <v>0</v>
      </c>
      <c r="M117" t="s">
        <v>1910</v>
      </c>
      <c r="N117" t="s">
        <v>1257</v>
      </c>
      <c r="O117">
        <v>0</v>
      </c>
      <c r="P117">
        <v>0</v>
      </c>
      <c r="Q117" t="s">
        <v>381</v>
      </c>
    </row>
    <row r="118" spans="1:17" x14ac:dyDescent="0.15">
      <c r="A118" t="s">
        <v>72</v>
      </c>
      <c r="B118" t="s">
        <v>31</v>
      </c>
      <c r="C118">
        <v>163</v>
      </c>
      <c r="D118" t="s">
        <v>161</v>
      </c>
      <c r="E118" s="1">
        <v>43012</v>
      </c>
      <c r="F118" t="s">
        <v>383</v>
      </c>
      <c r="G118" t="s">
        <v>1275</v>
      </c>
      <c r="H118">
        <v>-240</v>
      </c>
      <c r="I118" t="s">
        <v>38</v>
      </c>
      <c r="J118">
        <v>0</v>
      </c>
      <c r="M118" t="s">
        <v>241</v>
      </c>
      <c r="N118" t="s">
        <v>1276</v>
      </c>
    </row>
    <row r="119" spans="1:17" x14ac:dyDescent="0.15">
      <c r="A119" t="s">
        <v>72</v>
      </c>
      <c r="B119" t="s">
        <v>31</v>
      </c>
      <c r="C119">
        <v>163</v>
      </c>
      <c r="D119" t="s">
        <v>161</v>
      </c>
      <c r="E119" s="1">
        <v>43012</v>
      </c>
      <c r="F119" t="s">
        <v>383</v>
      </c>
      <c r="G119" t="s">
        <v>1275</v>
      </c>
      <c r="H119">
        <v>-240</v>
      </c>
      <c r="I119" t="s">
        <v>38</v>
      </c>
      <c r="J119">
        <v>0</v>
      </c>
      <c r="M119" t="s">
        <v>1910</v>
      </c>
      <c r="N119" t="s">
        <v>1276</v>
      </c>
      <c r="O119">
        <v>0</v>
      </c>
      <c r="P119">
        <v>0</v>
      </c>
      <c r="Q119" t="s">
        <v>381</v>
      </c>
    </row>
    <row r="120" spans="1:17" x14ac:dyDescent="0.15">
      <c r="A120" t="s">
        <v>72</v>
      </c>
      <c r="B120" t="s">
        <v>31</v>
      </c>
      <c r="C120">
        <v>163</v>
      </c>
      <c r="D120" t="s">
        <v>161</v>
      </c>
      <c r="E120" s="1">
        <v>43012</v>
      </c>
      <c r="F120" t="s">
        <v>17</v>
      </c>
      <c r="G120" t="s">
        <v>1604</v>
      </c>
      <c r="H120">
        <v>300</v>
      </c>
      <c r="I120" t="s">
        <v>38</v>
      </c>
      <c r="J120">
        <v>0</v>
      </c>
      <c r="K120">
        <v>0</v>
      </c>
      <c r="L120" t="s">
        <v>375</v>
      </c>
      <c r="M120" t="s">
        <v>241</v>
      </c>
      <c r="N120" t="s">
        <v>1605</v>
      </c>
    </row>
    <row r="121" spans="1:17" x14ac:dyDescent="0.15">
      <c r="A121" t="s">
        <v>72</v>
      </c>
      <c r="B121" t="s">
        <v>31</v>
      </c>
      <c r="C121">
        <v>163</v>
      </c>
      <c r="D121" t="s">
        <v>161</v>
      </c>
      <c r="E121" s="1">
        <v>43012</v>
      </c>
      <c r="F121" t="s">
        <v>17</v>
      </c>
      <c r="G121" t="s">
        <v>1604</v>
      </c>
      <c r="H121">
        <v>300</v>
      </c>
      <c r="I121" t="s">
        <v>38</v>
      </c>
      <c r="J121">
        <v>0</v>
      </c>
      <c r="K121">
        <v>0</v>
      </c>
      <c r="L121" t="s">
        <v>375</v>
      </c>
      <c r="M121" t="s">
        <v>1910</v>
      </c>
      <c r="N121" t="s">
        <v>1605</v>
      </c>
      <c r="O121">
        <v>0</v>
      </c>
      <c r="P121">
        <v>0</v>
      </c>
      <c r="Q121" t="s">
        <v>381</v>
      </c>
    </row>
    <row r="122" spans="1:17" x14ac:dyDescent="0.15">
      <c r="A122" t="s">
        <v>73</v>
      </c>
      <c r="B122" t="s">
        <v>125</v>
      </c>
      <c r="C122">
        <v>163</v>
      </c>
      <c r="D122" t="s">
        <v>161</v>
      </c>
      <c r="E122" s="1">
        <v>42843</v>
      </c>
      <c r="F122" t="s">
        <v>383</v>
      </c>
      <c r="G122" t="s">
        <v>475</v>
      </c>
      <c r="H122">
        <v>-1.3</v>
      </c>
      <c r="I122" t="s">
        <v>38</v>
      </c>
      <c r="J122">
        <v>0</v>
      </c>
      <c r="M122" t="s">
        <v>241</v>
      </c>
      <c r="N122" t="s">
        <v>476</v>
      </c>
    </row>
    <row r="123" spans="1:17" x14ac:dyDescent="0.15">
      <c r="A123" t="s">
        <v>73</v>
      </c>
      <c r="B123" t="s">
        <v>125</v>
      </c>
      <c r="C123">
        <v>163</v>
      </c>
      <c r="D123" t="s">
        <v>161</v>
      </c>
      <c r="E123" s="1">
        <v>42843</v>
      </c>
      <c r="F123" t="s">
        <v>383</v>
      </c>
      <c r="G123" t="s">
        <v>475</v>
      </c>
      <c r="H123">
        <v>-1.3</v>
      </c>
      <c r="I123" t="s">
        <v>38</v>
      </c>
      <c r="J123">
        <v>0</v>
      </c>
      <c r="M123" t="s">
        <v>1910</v>
      </c>
      <c r="N123" t="s">
        <v>476</v>
      </c>
      <c r="O123">
        <v>0</v>
      </c>
      <c r="P123">
        <v>0</v>
      </c>
      <c r="Q123" t="s">
        <v>381</v>
      </c>
    </row>
    <row r="124" spans="1:17" x14ac:dyDescent="0.15">
      <c r="A124" t="s">
        <v>73</v>
      </c>
      <c r="B124" t="s">
        <v>125</v>
      </c>
      <c r="C124">
        <v>163</v>
      </c>
      <c r="D124" t="s">
        <v>161</v>
      </c>
      <c r="E124" s="1">
        <v>42843</v>
      </c>
      <c r="F124" t="s">
        <v>17</v>
      </c>
      <c r="G124" t="s">
        <v>733</v>
      </c>
      <c r="H124">
        <v>300</v>
      </c>
      <c r="I124" t="s">
        <v>38</v>
      </c>
      <c r="J124">
        <v>0</v>
      </c>
      <c r="K124">
        <v>0</v>
      </c>
      <c r="L124" t="s">
        <v>375</v>
      </c>
      <c r="M124" t="s">
        <v>241</v>
      </c>
      <c r="N124" t="s">
        <v>734</v>
      </c>
    </row>
    <row r="125" spans="1:17" x14ac:dyDescent="0.15">
      <c r="A125" t="s">
        <v>73</v>
      </c>
      <c r="B125" t="s">
        <v>125</v>
      </c>
      <c r="C125">
        <v>163</v>
      </c>
      <c r="D125" t="s">
        <v>161</v>
      </c>
      <c r="E125" s="1">
        <v>42843</v>
      </c>
      <c r="F125" t="s">
        <v>17</v>
      </c>
      <c r="G125" t="s">
        <v>733</v>
      </c>
      <c r="H125">
        <v>300</v>
      </c>
      <c r="I125" t="s">
        <v>38</v>
      </c>
      <c r="J125">
        <v>0</v>
      </c>
      <c r="K125">
        <v>0</v>
      </c>
      <c r="L125" t="s">
        <v>375</v>
      </c>
      <c r="M125" t="s">
        <v>1910</v>
      </c>
      <c r="N125" t="s">
        <v>734</v>
      </c>
      <c r="O125">
        <v>0</v>
      </c>
      <c r="P125">
        <v>0</v>
      </c>
      <c r="Q125" t="s">
        <v>381</v>
      </c>
    </row>
    <row r="126" spans="1:17" x14ac:dyDescent="0.15">
      <c r="A126" t="s">
        <v>73</v>
      </c>
      <c r="B126" t="s">
        <v>125</v>
      </c>
      <c r="C126">
        <v>163</v>
      </c>
      <c r="D126" t="s">
        <v>161</v>
      </c>
      <c r="E126" s="1">
        <v>42885</v>
      </c>
      <c r="F126" t="s">
        <v>383</v>
      </c>
      <c r="G126" t="s">
        <v>578</v>
      </c>
      <c r="H126">
        <v>-30</v>
      </c>
      <c r="I126" t="s">
        <v>38</v>
      </c>
      <c r="J126">
        <v>0</v>
      </c>
      <c r="M126" t="s">
        <v>241</v>
      </c>
      <c r="N126" t="s">
        <v>579</v>
      </c>
    </row>
    <row r="127" spans="1:17" x14ac:dyDescent="0.15">
      <c r="A127" t="s">
        <v>73</v>
      </c>
      <c r="B127" t="s">
        <v>125</v>
      </c>
      <c r="C127">
        <v>163</v>
      </c>
      <c r="D127" t="s">
        <v>161</v>
      </c>
      <c r="E127" s="1">
        <v>42885</v>
      </c>
      <c r="F127" t="s">
        <v>383</v>
      </c>
      <c r="G127" t="s">
        <v>578</v>
      </c>
      <c r="H127">
        <v>-30</v>
      </c>
      <c r="I127" t="s">
        <v>38</v>
      </c>
      <c r="J127">
        <v>0</v>
      </c>
      <c r="M127" t="s">
        <v>1910</v>
      </c>
      <c r="N127" t="s">
        <v>579</v>
      </c>
      <c r="O127">
        <v>0</v>
      </c>
      <c r="P127">
        <v>0</v>
      </c>
      <c r="Q127" t="s">
        <v>381</v>
      </c>
    </row>
    <row r="128" spans="1:17" x14ac:dyDescent="0.15">
      <c r="A128" t="s">
        <v>73</v>
      </c>
      <c r="B128" t="s">
        <v>125</v>
      </c>
      <c r="C128">
        <v>163</v>
      </c>
      <c r="D128" t="s">
        <v>161</v>
      </c>
      <c r="E128" s="1">
        <v>42900</v>
      </c>
      <c r="F128" t="s">
        <v>383</v>
      </c>
      <c r="G128" t="s">
        <v>629</v>
      </c>
      <c r="H128">
        <v>-180</v>
      </c>
      <c r="I128" t="s">
        <v>38</v>
      </c>
      <c r="J128">
        <v>0</v>
      </c>
      <c r="M128" t="s">
        <v>241</v>
      </c>
      <c r="N128" t="s">
        <v>630</v>
      </c>
    </row>
    <row r="129" spans="1:17" x14ac:dyDescent="0.15">
      <c r="A129" t="s">
        <v>73</v>
      </c>
      <c r="B129" t="s">
        <v>125</v>
      </c>
      <c r="C129">
        <v>163</v>
      </c>
      <c r="D129" t="s">
        <v>161</v>
      </c>
      <c r="E129" s="1">
        <v>42900</v>
      </c>
      <c r="F129" t="s">
        <v>383</v>
      </c>
      <c r="G129" t="s">
        <v>629</v>
      </c>
      <c r="H129">
        <v>-180</v>
      </c>
      <c r="I129" t="s">
        <v>38</v>
      </c>
      <c r="J129">
        <v>0</v>
      </c>
      <c r="M129" t="s">
        <v>1910</v>
      </c>
      <c r="N129" t="s">
        <v>630</v>
      </c>
      <c r="O129">
        <v>0</v>
      </c>
      <c r="P129">
        <v>0</v>
      </c>
      <c r="Q129" t="s">
        <v>381</v>
      </c>
    </row>
    <row r="130" spans="1:17" x14ac:dyDescent="0.15">
      <c r="A130" t="s">
        <v>73</v>
      </c>
      <c r="B130" t="s">
        <v>125</v>
      </c>
      <c r="C130">
        <v>163</v>
      </c>
      <c r="D130" t="s">
        <v>161</v>
      </c>
      <c r="E130" s="1">
        <v>42900</v>
      </c>
      <c r="F130" t="s">
        <v>383</v>
      </c>
      <c r="G130" t="s">
        <v>636</v>
      </c>
      <c r="H130">
        <v>-2</v>
      </c>
      <c r="I130" t="s">
        <v>38</v>
      </c>
      <c r="J130">
        <v>0</v>
      </c>
      <c r="M130" t="s">
        <v>241</v>
      </c>
      <c r="N130" t="s">
        <v>637</v>
      </c>
    </row>
    <row r="131" spans="1:17" x14ac:dyDescent="0.15">
      <c r="A131" t="s">
        <v>73</v>
      </c>
      <c r="B131" t="s">
        <v>125</v>
      </c>
      <c r="C131">
        <v>163</v>
      </c>
      <c r="D131" t="s">
        <v>161</v>
      </c>
      <c r="E131" s="1">
        <v>42900</v>
      </c>
      <c r="F131" t="s">
        <v>383</v>
      </c>
      <c r="G131" t="s">
        <v>636</v>
      </c>
      <c r="H131">
        <v>-2</v>
      </c>
      <c r="I131" t="s">
        <v>38</v>
      </c>
      <c r="J131">
        <v>0</v>
      </c>
      <c r="M131" t="s">
        <v>1910</v>
      </c>
      <c r="N131" t="s">
        <v>637</v>
      </c>
      <c r="O131">
        <v>0</v>
      </c>
      <c r="P131">
        <v>0</v>
      </c>
      <c r="Q131" t="s">
        <v>381</v>
      </c>
    </row>
    <row r="132" spans="1:17" x14ac:dyDescent="0.15">
      <c r="A132" t="s">
        <v>73</v>
      </c>
      <c r="B132" t="s">
        <v>125</v>
      </c>
      <c r="C132">
        <v>163</v>
      </c>
      <c r="D132" t="s">
        <v>161</v>
      </c>
      <c r="E132" s="1">
        <v>42908</v>
      </c>
      <c r="F132" t="s">
        <v>383</v>
      </c>
      <c r="G132" t="s">
        <v>664</v>
      </c>
      <c r="H132">
        <v>-0.9</v>
      </c>
      <c r="I132" t="s">
        <v>38</v>
      </c>
      <c r="J132">
        <v>0</v>
      </c>
      <c r="M132" t="s">
        <v>241</v>
      </c>
      <c r="N132" t="s">
        <v>666</v>
      </c>
    </row>
    <row r="133" spans="1:17" x14ac:dyDescent="0.15">
      <c r="A133" t="s">
        <v>73</v>
      </c>
      <c r="B133" t="s">
        <v>125</v>
      </c>
      <c r="C133">
        <v>163</v>
      </c>
      <c r="D133" t="s">
        <v>161</v>
      </c>
      <c r="E133" s="1">
        <v>42908</v>
      </c>
      <c r="F133" t="s">
        <v>383</v>
      </c>
      <c r="G133" t="s">
        <v>664</v>
      </c>
      <c r="H133">
        <v>-0.9</v>
      </c>
      <c r="I133" t="s">
        <v>38</v>
      </c>
      <c r="J133">
        <v>0</v>
      </c>
      <c r="M133" t="s">
        <v>1910</v>
      </c>
      <c r="N133" t="s">
        <v>666</v>
      </c>
      <c r="O133">
        <v>0</v>
      </c>
      <c r="P133">
        <v>0</v>
      </c>
      <c r="Q133" t="s">
        <v>381</v>
      </c>
    </row>
    <row r="134" spans="1:17" x14ac:dyDescent="0.15">
      <c r="A134" t="s">
        <v>73</v>
      </c>
      <c r="B134" t="s">
        <v>125</v>
      </c>
      <c r="C134">
        <v>163</v>
      </c>
      <c r="D134" t="s">
        <v>161</v>
      </c>
      <c r="E134" s="1">
        <v>42913</v>
      </c>
      <c r="F134" t="s">
        <v>383</v>
      </c>
      <c r="G134" t="s">
        <v>678</v>
      </c>
      <c r="H134">
        <v>-5.4</v>
      </c>
      <c r="I134" t="s">
        <v>38</v>
      </c>
      <c r="J134">
        <v>0</v>
      </c>
      <c r="M134" t="s">
        <v>241</v>
      </c>
      <c r="N134" t="s">
        <v>679</v>
      </c>
    </row>
    <row r="135" spans="1:17" x14ac:dyDescent="0.15">
      <c r="A135" t="s">
        <v>73</v>
      </c>
      <c r="B135" t="s">
        <v>125</v>
      </c>
      <c r="C135">
        <v>163</v>
      </c>
      <c r="D135" t="s">
        <v>161</v>
      </c>
      <c r="E135" s="1">
        <v>42913</v>
      </c>
      <c r="F135" t="s">
        <v>383</v>
      </c>
      <c r="G135" t="s">
        <v>678</v>
      </c>
      <c r="H135">
        <v>-5.4</v>
      </c>
      <c r="I135" t="s">
        <v>38</v>
      </c>
      <c r="J135">
        <v>0</v>
      </c>
      <c r="M135" t="s">
        <v>1910</v>
      </c>
      <c r="N135" t="s">
        <v>679</v>
      </c>
      <c r="O135">
        <v>0</v>
      </c>
      <c r="P135">
        <v>0</v>
      </c>
      <c r="Q135" t="s">
        <v>381</v>
      </c>
    </row>
    <row r="136" spans="1:17" x14ac:dyDescent="0.15">
      <c r="A136" t="s">
        <v>73</v>
      </c>
      <c r="B136" t="s">
        <v>125</v>
      </c>
      <c r="C136">
        <v>163</v>
      </c>
      <c r="D136" t="s">
        <v>161</v>
      </c>
      <c r="E136" s="1">
        <v>42932</v>
      </c>
      <c r="F136" t="s">
        <v>383</v>
      </c>
      <c r="G136" t="s">
        <v>1054</v>
      </c>
      <c r="H136">
        <v>-30</v>
      </c>
      <c r="I136" t="s">
        <v>38</v>
      </c>
      <c r="J136">
        <v>0</v>
      </c>
      <c r="M136" t="s">
        <v>241</v>
      </c>
      <c r="N136" t="s">
        <v>1055</v>
      </c>
    </row>
    <row r="137" spans="1:17" x14ac:dyDescent="0.15">
      <c r="A137" t="s">
        <v>73</v>
      </c>
      <c r="B137" t="s">
        <v>125</v>
      </c>
      <c r="C137">
        <v>163</v>
      </c>
      <c r="D137" t="s">
        <v>161</v>
      </c>
      <c r="E137" s="1">
        <v>42932</v>
      </c>
      <c r="F137" t="s">
        <v>383</v>
      </c>
      <c r="G137" t="s">
        <v>1054</v>
      </c>
      <c r="H137">
        <v>-30</v>
      </c>
      <c r="I137" t="s">
        <v>38</v>
      </c>
      <c r="J137">
        <v>0</v>
      </c>
      <c r="M137" t="s">
        <v>1910</v>
      </c>
      <c r="N137" t="s">
        <v>1055</v>
      </c>
      <c r="O137">
        <v>0</v>
      </c>
      <c r="P137">
        <v>0</v>
      </c>
      <c r="Q137" t="s">
        <v>381</v>
      </c>
    </row>
    <row r="138" spans="1:17" x14ac:dyDescent="0.15">
      <c r="A138" t="s">
        <v>73</v>
      </c>
      <c r="B138" t="s">
        <v>125</v>
      </c>
      <c r="C138">
        <v>163</v>
      </c>
      <c r="D138" t="s">
        <v>161</v>
      </c>
      <c r="E138" s="1">
        <v>42947</v>
      </c>
      <c r="F138" t="s">
        <v>383</v>
      </c>
      <c r="G138" t="s">
        <v>1136</v>
      </c>
      <c r="H138">
        <v>-1.2</v>
      </c>
      <c r="I138" t="s">
        <v>38</v>
      </c>
      <c r="J138">
        <v>0</v>
      </c>
      <c r="M138" t="s">
        <v>241</v>
      </c>
      <c r="N138" t="s">
        <v>1137</v>
      </c>
    </row>
    <row r="139" spans="1:17" x14ac:dyDescent="0.15">
      <c r="A139" t="s">
        <v>73</v>
      </c>
      <c r="B139" t="s">
        <v>125</v>
      </c>
      <c r="C139">
        <v>163</v>
      </c>
      <c r="D139" t="s">
        <v>161</v>
      </c>
      <c r="E139" s="1">
        <v>42947</v>
      </c>
      <c r="F139" t="s">
        <v>383</v>
      </c>
      <c r="G139" t="s">
        <v>1136</v>
      </c>
      <c r="H139">
        <v>-1.2</v>
      </c>
      <c r="I139" t="s">
        <v>38</v>
      </c>
      <c r="J139">
        <v>0</v>
      </c>
      <c r="M139" t="s">
        <v>1910</v>
      </c>
      <c r="N139" t="s">
        <v>1137</v>
      </c>
      <c r="O139">
        <v>0</v>
      </c>
      <c r="P139">
        <v>0</v>
      </c>
      <c r="Q139" t="s">
        <v>381</v>
      </c>
    </row>
    <row r="140" spans="1:17" x14ac:dyDescent="0.15">
      <c r="A140" t="s">
        <v>73</v>
      </c>
      <c r="B140" t="s">
        <v>125</v>
      </c>
      <c r="C140">
        <v>163</v>
      </c>
      <c r="D140" t="s">
        <v>161</v>
      </c>
      <c r="E140" s="1">
        <v>42963</v>
      </c>
      <c r="F140" t="s">
        <v>383</v>
      </c>
      <c r="G140" t="s">
        <v>1154</v>
      </c>
      <c r="H140">
        <v>-30</v>
      </c>
      <c r="I140" t="s">
        <v>38</v>
      </c>
      <c r="J140">
        <v>0</v>
      </c>
      <c r="M140" t="s">
        <v>241</v>
      </c>
      <c r="N140" t="s">
        <v>1155</v>
      </c>
    </row>
    <row r="141" spans="1:17" x14ac:dyDescent="0.15">
      <c r="A141" t="s">
        <v>73</v>
      </c>
      <c r="B141" t="s">
        <v>125</v>
      </c>
      <c r="C141">
        <v>163</v>
      </c>
      <c r="D141" t="s">
        <v>161</v>
      </c>
      <c r="E141" s="1">
        <v>42963</v>
      </c>
      <c r="F141" t="s">
        <v>383</v>
      </c>
      <c r="G141" t="s">
        <v>1154</v>
      </c>
      <c r="H141">
        <v>-30</v>
      </c>
      <c r="I141" t="s">
        <v>38</v>
      </c>
      <c r="J141">
        <v>0</v>
      </c>
      <c r="M141" t="s">
        <v>1910</v>
      </c>
      <c r="N141" t="s">
        <v>1155</v>
      </c>
      <c r="O141">
        <v>0</v>
      </c>
      <c r="P141">
        <v>0</v>
      </c>
      <c r="Q141" t="s">
        <v>381</v>
      </c>
    </row>
    <row r="142" spans="1:17" x14ac:dyDescent="0.15">
      <c r="A142" t="s">
        <v>73</v>
      </c>
      <c r="B142" t="s">
        <v>125</v>
      </c>
      <c r="C142">
        <v>163</v>
      </c>
      <c r="D142" t="s">
        <v>161</v>
      </c>
      <c r="E142" s="1">
        <v>42999</v>
      </c>
      <c r="F142" t="s">
        <v>383</v>
      </c>
      <c r="G142" t="s">
        <v>1258</v>
      </c>
      <c r="H142">
        <v>-7.3</v>
      </c>
      <c r="I142" t="s">
        <v>38</v>
      </c>
      <c r="J142">
        <v>0</v>
      </c>
      <c r="M142" t="s">
        <v>241</v>
      </c>
      <c r="N142" t="s">
        <v>1259</v>
      </c>
    </row>
    <row r="143" spans="1:17" x14ac:dyDescent="0.15">
      <c r="A143" t="s">
        <v>73</v>
      </c>
      <c r="B143" t="s">
        <v>125</v>
      </c>
      <c r="C143">
        <v>163</v>
      </c>
      <c r="D143" t="s">
        <v>161</v>
      </c>
      <c r="E143" s="1">
        <v>42999</v>
      </c>
      <c r="F143" t="s">
        <v>383</v>
      </c>
      <c r="G143" t="s">
        <v>1258</v>
      </c>
      <c r="H143">
        <v>-7.3</v>
      </c>
      <c r="I143" t="s">
        <v>38</v>
      </c>
      <c r="J143">
        <v>0</v>
      </c>
      <c r="M143" t="s">
        <v>1910</v>
      </c>
      <c r="N143" t="s">
        <v>1259</v>
      </c>
      <c r="O143">
        <v>0</v>
      </c>
      <c r="P143">
        <v>0</v>
      </c>
      <c r="Q143" t="s">
        <v>381</v>
      </c>
    </row>
    <row r="144" spans="1:17" x14ac:dyDescent="0.15">
      <c r="A144" t="s">
        <v>73</v>
      </c>
      <c r="B144" t="s">
        <v>125</v>
      </c>
      <c r="C144">
        <v>163</v>
      </c>
      <c r="D144" t="s">
        <v>161</v>
      </c>
      <c r="E144" s="1">
        <v>42999</v>
      </c>
      <c r="F144" t="s">
        <v>383</v>
      </c>
      <c r="G144" t="s">
        <v>1258</v>
      </c>
      <c r="H144">
        <v>2.2999999999999998</v>
      </c>
      <c r="I144" t="s">
        <v>38</v>
      </c>
      <c r="J144">
        <v>0</v>
      </c>
      <c r="M144" t="s">
        <v>241</v>
      </c>
      <c r="N144" t="s">
        <v>1259</v>
      </c>
    </row>
    <row r="145" spans="1:17" x14ac:dyDescent="0.15">
      <c r="A145" t="s">
        <v>73</v>
      </c>
      <c r="B145" t="s">
        <v>125</v>
      </c>
      <c r="C145">
        <v>163</v>
      </c>
      <c r="D145" t="s">
        <v>161</v>
      </c>
      <c r="E145" s="1">
        <v>42999</v>
      </c>
      <c r="F145" t="s">
        <v>383</v>
      </c>
      <c r="G145" t="s">
        <v>1258</v>
      </c>
      <c r="H145">
        <v>2.2999999999999998</v>
      </c>
      <c r="I145" t="s">
        <v>38</v>
      </c>
      <c r="J145">
        <v>0</v>
      </c>
      <c r="M145" t="s">
        <v>1910</v>
      </c>
      <c r="N145" t="s">
        <v>1259</v>
      </c>
      <c r="O145">
        <v>0</v>
      </c>
      <c r="P145">
        <v>0</v>
      </c>
      <c r="Q145" t="s">
        <v>381</v>
      </c>
    </row>
    <row r="146" spans="1:17" x14ac:dyDescent="0.15">
      <c r="A146" t="s">
        <v>73</v>
      </c>
      <c r="B146" t="s">
        <v>125</v>
      </c>
      <c r="C146">
        <v>163</v>
      </c>
      <c r="D146" t="s">
        <v>161</v>
      </c>
      <c r="E146" s="1">
        <v>43021</v>
      </c>
      <c r="F146" t="s">
        <v>383</v>
      </c>
      <c r="G146" t="s">
        <v>1293</v>
      </c>
      <c r="H146">
        <v>-60</v>
      </c>
      <c r="I146" t="s">
        <v>38</v>
      </c>
      <c r="J146">
        <v>0</v>
      </c>
      <c r="M146" t="s">
        <v>241</v>
      </c>
      <c r="N146" t="s">
        <v>1294</v>
      </c>
    </row>
    <row r="147" spans="1:17" x14ac:dyDescent="0.15">
      <c r="A147" t="s">
        <v>73</v>
      </c>
      <c r="B147" t="s">
        <v>125</v>
      </c>
      <c r="C147">
        <v>163</v>
      </c>
      <c r="D147" t="s">
        <v>161</v>
      </c>
      <c r="E147" s="1">
        <v>43021</v>
      </c>
      <c r="F147" t="s">
        <v>383</v>
      </c>
      <c r="G147" t="s">
        <v>1293</v>
      </c>
      <c r="H147">
        <v>-60</v>
      </c>
      <c r="I147" t="s">
        <v>38</v>
      </c>
      <c r="J147">
        <v>0</v>
      </c>
      <c r="M147" t="s">
        <v>1910</v>
      </c>
      <c r="N147" t="s">
        <v>1294</v>
      </c>
      <c r="O147">
        <v>0</v>
      </c>
      <c r="P147">
        <v>0</v>
      </c>
      <c r="Q147" t="s">
        <v>381</v>
      </c>
    </row>
    <row r="148" spans="1:17" x14ac:dyDescent="0.15">
      <c r="A148" t="s">
        <v>73</v>
      </c>
      <c r="B148" t="s">
        <v>125</v>
      </c>
      <c r="C148">
        <v>163</v>
      </c>
      <c r="D148" t="s">
        <v>161</v>
      </c>
      <c r="E148" s="1">
        <v>43056</v>
      </c>
      <c r="F148" t="s">
        <v>383</v>
      </c>
      <c r="G148" t="s">
        <v>1367</v>
      </c>
      <c r="H148">
        <v>-2.2999999999999998</v>
      </c>
      <c r="I148" t="s">
        <v>38</v>
      </c>
      <c r="J148">
        <v>0</v>
      </c>
      <c r="M148" t="s">
        <v>241</v>
      </c>
      <c r="N148" t="s">
        <v>1368</v>
      </c>
    </row>
    <row r="149" spans="1:17" x14ac:dyDescent="0.15">
      <c r="A149" t="s">
        <v>73</v>
      </c>
      <c r="B149" t="s">
        <v>125</v>
      </c>
      <c r="C149">
        <v>163</v>
      </c>
      <c r="D149" t="s">
        <v>161</v>
      </c>
      <c r="E149" s="1">
        <v>43056</v>
      </c>
      <c r="F149" t="s">
        <v>383</v>
      </c>
      <c r="G149" t="s">
        <v>1367</v>
      </c>
      <c r="H149">
        <v>-2.2999999999999998</v>
      </c>
      <c r="I149" t="s">
        <v>38</v>
      </c>
      <c r="J149">
        <v>0</v>
      </c>
      <c r="M149" t="s">
        <v>1910</v>
      </c>
      <c r="N149" t="s">
        <v>1368</v>
      </c>
      <c r="O149">
        <v>0</v>
      </c>
      <c r="P149">
        <v>0</v>
      </c>
      <c r="Q149" t="s">
        <v>381</v>
      </c>
    </row>
    <row r="150" spans="1:17" x14ac:dyDescent="0.15">
      <c r="A150" t="s">
        <v>73</v>
      </c>
      <c r="B150" t="s">
        <v>125</v>
      </c>
      <c r="C150">
        <v>163</v>
      </c>
      <c r="D150" t="s">
        <v>161</v>
      </c>
      <c r="E150" s="1">
        <v>43067</v>
      </c>
      <c r="F150" t="s">
        <v>383</v>
      </c>
      <c r="G150" t="s">
        <v>1403</v>
      </c>
      <c r="H150">
        <v>-30</v>
      </c>
      <c r="I150" t="s">
        <v>38</v>
      </c>
      <c r="J150">
        <v>0</v>
      </c>
      <c r="M150" t="s">
        <v>241</v>
      </c>
      <c r="N150" t="s">
        <v>1404</v>
      </c>
    </row>
    <row r="151" spans="1:17" x14ac:dyDescent="0.15">
      <c r="A151" t="s">
        <v>73</v>
      </c>
      <c r="B151" t="s">
        <v>125</v>
      </c>
      <c r="C151">
        <v>163</v>
      </c>
      <c r="D151" t="s">
        <v>161</v>
      </c>
      <c r="E151" s="1">
        <v>43067</v>
      </c>
      <c r="F151" t="s">
        <v>383</v>
      </c>
      <c r="G151" t="s">
        <v>1403</v>
      </c>
      <c r="H151">
        <v>-30</v>
      </c>
      <c r="I151" t="s">
        <v>38</v>
      </c>
      <c r="J151">
        <v>0</v>
      </c>
      <c r="M151" t="s">
        <v>1910</v>
      </c>
      <c r="N151" t="s">
        <v>1404</v>
      </c>
      <c r="O151">
        <v>0</v>
      </c>
      <c r="P151">
        <v>0</v>
      </c>
      <c r="Q151" t="s">
        <v>381</v>
      </c>
    </row>
    <row r="152" spans="1:17" x14ac:dyDescent="0.15">
      <c r="A152" t="s">
        <v>73</v>
      </c>
      <c r="B152" t="s">
        <v>125</v>
      </c>
      <c r="C152">
        <v>163</v>
      </c>
      <c r="D152" t="s">
        <v>161</v>
      </c>
      <c r="E152" s="1">
        <v>43067</v>
      </c>
      <c r="F152" t="s">
        <v>383</v>
      </c>
      <c r="G152" t="s">
        <v>1403</v>
      </c>
      <c r="H152">
        <v>25.5</v>
      </c>
      <c r="I152" t="s">
        <v>38</v>
      </c>
      <c r="J152">
        <v>0</v>
      </c>
      <c r="M152" t="s">
        <v>241</v>
      </c>
      <c r="N152" t="s">
        <v>1404</v>
      </c>
    </row>
    <row r="153" spans="1:17" x14ac:dyDescent="0.15">
      <c r="A153" t="s">
        <v>73</v>
      </c>
      <c r="B153" t="s">
        <v>125</v>
      </c>
      <c r="C153">
        <v>163</v>
      </c>
      <c r="D153" t="s">
        <v>161</v>
      </c>
      <c r="E153" s="1">
        <v>43067</v>
      </c>
      <c r="F153" t="s">
        <v>383</v>
      </c>
      <c r="G153" t="s">
        <v>1403</v>
      </c>
      <c r="H153">
        <v>25.5</v>
      </c>
      <c r="I153" t="s">
        <v>38</v>
      </c>
      <c r="J153">
        <v>0</v>
      </c>
      <c r="M153" t="s">
        <v>1910</v>
      </c>
      <c r="N153" t="s">
        <v>1404</v>
      </c>
      <c r="O153">
        <v>0</v>
      </c>
      <c r="P153">
        <v>0</v>
      </c>
      <c r="Q153" t="s">
        <v>381</v>
      </c>
    </row>
    <row r="154" spans="1:17" x14ac:dyDescent="0.15">
      <c r="A154" t="s">
        <v>73</v>
      </c>
      <c r="B154" t="s">
        <v>125</v>
      </c>
      <c r="C154">
        <v>163</v>
      </c>
      <c r="D154" t="s">
        <v>161</v>
      </c>
      <c r="E154" s="1">
        <v>43082</v>
      </c>
      <c r="F154" t="s">
        <v>383</v>
      </c>
      <c r="G154" t="s">
        <v>1439</v>
      </c>
      <c r="H154">
        <v>-90</v>
      </c>
      <c r="I154" t="s">
        <v>38</v>
      </c>
      <c r="J154">
        <v>0</v>
      </c>
      <c r="M154" t="s">
        <v>241</v>
      </c>
      <c r="N154" t="s">
        <v>1441</v>
      </c>
    </row>
    <row r="155" spans="1:17" x14ac:dyDescent="0.15">
      <c r="A155" t="s">
        <v>73</v>
      </c>
      <c r="B155" t="s">
        <v>125</v>
      </c>
      <c r="C155">
        <v>163</v>
      </c>
      <c r="D155" t="s">
        <v>161</v>
      </c>
      <c r="E155" s="1">
        <v>43082</v>
      </c>
      <c r="F155" t="s">
        <v>383</v>
      </c>
      <c r="G155" t="s">
        <v>1439</v>
      </c>
      <c r="H155">
        <v>-90</v>
      </c>
      <c r="I155" t="s">
        <v>38</v>
      </c>
      <c r="J155">
        <v>0</v>
      </c>
      <c r="M155" t="s">
        <v>1910</v>
      </c>
      <c r="N155" t="s">
        <v>1441</v>
      </c>
      <c r="O155">
        <v>0</v>
      </c>
      <c r="P155">
        <v>0</v>
      </c>
      <c r="Q155" t="s">
        <v>381</v>
      </c>
    </row>
    <row r="156" spans="1:17" x14ac:dyDescent="0.15">
      <c r="A156" t="s">
        <v>73</v>
      </c>
      <c r="B156" t="s">
        <v>125</v>
      </c>
      <c r="C156">
        <v>163</v>
      </c>
      <c r="D156" t="s">
        <v>161</v>
      </c>
      <c r="E156" s="1">
        <v>43082</v>
      </c>
      <c r="F156" t="s">
        <v>383</v>
      </c>
      <c r="G156" t="s">
        <v>1439</v>
      </c>
      <c r="H156">
        <v>-30</v>
      </c>
      <c r="I156" t="s">
        <v>38</v>
      </c>
      <c r="J156">
        <v>0</v>
      </c>
      <c r="M156" t="s">
        <v>241</v>
      </c>
      <c r="N156" t="s">
        <v>1442</v>
      </c>
    </row>
    <row r="157" spans="1:17" x14ac:dyDescent="0.15">
      <c r="A157" t="s">
        <v>73</v>
      </c>
      <c r="B157" t="s">
        <v>125</v>
      </c>
      <c r="C157">
        <v>163</v>
      </c>
      <c r="D157" t="s">
        <v>161</v>
      </c>
      <c r="E157" s="1">
        <v>43082</v>
      </c>
      <c r="F157" t="s">
        <v>383</v>
      </c>
      <c r="G157" t="s">
        <v>1439</v>
      </c>
      <c r="H157">
        <v>-30</v>
      </c>
      <c r="I157" t="s">
        <v>38</v>
      </c>
      <c r="J157">
        <v>0</v>
      </c>
      <c r="M157" t="s">
        <v>1910</v>
      </c>
      <c r="N157" t="s">
        <v>1442</v>
      </c>
      <c r="O157">
        <v>0</v>
      </c>
      <c r="P157">
        <v>0</v>
      </c>
      <c r="Q157" t="s">
        <v>381</v>
      </c>
    </row>
    <row r="158" spans="1:17" x14ac:dyDescent="0.15">
      <c r="A158" t="s">
        <v>73</v>
      </c>
      <c r="B158" t="s">
        <v>125</v>
      </c>
      <c r="C158">
        <v>163</v>
      </c>
      <c r="D158" t="s">
        <v>161</v>
      </c>
      <c r="E158" s="1">
        <v>43088</v>
      </c>
      <c r="F158" t="s">
        <v>383</v>
      </c>
      <c r="G158" t="s">
        <v>1470</v>
      </c>
      <c r="H158">
        <v>-60</v>
      </c>
      <c r="I158" t="s">
        <v>38</v>
      </c>
      <c r="J158">
        <v>0</v>
      </c>
      <c r="M158" t="s">
        <v>241</v>
      </c>
      <c r="N158" t="s">
        <v>1471</v>
      </c>
    </row>
    <row r="159" spans="1:17" x14ac:dyDescent="0.15">
      <c r="A159" t="s">
        <v>73</v>
      </c>
      <c r="B159" t="s">
        <v>125</v>
      </c>
      <c r="C159">
        <v>163</v>
      </c>
      <c r="D159" t="s">
        <v>161</v>
      </c>
      <c r="E159" s="1">
        <v>43088</v>
      </c>
      <c r="F159" t="s">
        <v>383</v>
      </c>
      <c r="G159" t="s">
        <v>1470</v>
      </c>
      <c r="H159">
        <v>-60</v>
      </c>
      <c r="I159" t="s">
        <v>38</v>
      </c>
      <c r="J159">
        <v>0</v>
      </c>
      <c r="M159" t="s">
        <v>1910</v>
      </c>
      <c r="N159" t="s">
        <v>1471</v>
      </c>
      <c r="O159">
        <v>0</v>
      </c>
      <c r="P159">
        <v>0</v>
      </c>
      <c r="Q159" t="s">
        <v>381</v>
      </c>
    </row>
    <row r="160" spans="1:17" x14ac:dyDescent="0.15">
      <c r="A160" t="s">
        <v>142</v>
      </c>
      <c r="B160" t="s">
        <v>206</v>
      </c>
      <c r="C160">
        <v>163</v>
      </c>
      <c r="D160" t="s">
        <v>161</v>
      </c>
      <c r="E160" s="1">
        <v>42843</v>
      </c>
      <c r="F160" t="s">
        <v>17</v>
      </c>
      <c r="G160" t="s">
        <v>733</v>
      </c>
      <c r="H160">
        <v>360</v>
      </c>
      <c r="I160" t="s">
        <v>38</v>
      </c>
      <c r="J160">
        <v>0</v>
      </c>
      <c r="K160">
        <v>0</v>
      </c>
      <c r="L160" t="s">
        <v>375</v>
      </c>
      <c r="M160" t="s">
        <v>241</v>
      </c>
      <c r="N160" t="s">
        <v>735</v>
      </c>
    </row>
    <row r="161" spans="1:17" x14ac:dyDescent="0.15">
      <c r="A161" t="s">
        <v>142</v>
      </c>
      <c r="B161" t="s">
        <v>206</v>
      </c>
      <c r="C161">
        <v>163</v>
      </c>
      <c r="D161" t="s">
        <v>161</v>
      </c>
      <c r="E161" s="1">
        <v>42843</v>
      </c>
      <c r="F161" t="s">
        <v>17</v>
      </c>
      <c r="G161" t="s">
        <v>733</v>
      </c>
      <c r="H161">
        <v>360</v>
      </c>
      <c r="I161" t="s">
        <v>38</v>
      </c>
      <c r="J161">
        <v>0</v>
      </c>
      <c r="K161">
        <v>0</v>
      </c>
      <c r="L161" t="s">
        <v>375</v>
      </c>
      <c r="M161" t="s">
        <v>1910</v>
      </c>
      <c r="N161" t="s">
        <v>735</v>
      </c>
      <c r="O161">
        <v>0</v>
      </c>
      <c r="P161">
        <v>0</v>
      </c>
      <c r="Q161" t="s">
        <v>381</v>
      </c>
    </row>
    <row r="162" spans="1:17" x14ac:dyDescent="0.15">
      <c r="A162" t="s">
        <v>142</v>
      </c>
      <c r="B162" t="s">
        <v>206</v>
      </c>
      <c r="C162">
        <v>163</v>
      </c>
      <c r="D162" t="s">
        <v>161</v>
      </c>
      <c r="E162" s="1">
        <v>42843</v>
      </c>
      <c r="F162" t="s">
        <v>17</v>
      </c>
      <c r="G162" t="s">
        <v>733</v>
      </c>
      <c r="H162">
        <v>20.100000000000001</v>
      </c>
      <c r="I162" t="s">
        <v>38</v>
      </c>
      <c r="J162">
        <v>0</v>
      </c>
      <c r="K162">
        <v>0</v>
      </c>
      <c r="L162" t="s">
        <v>375</v>
      </c>
      <c r="M162" t="s">
        <v>241</v>
      </c>
      <c r="N162" t="s">
        <v>736</v>
      </c>
    </row>
    <row r="163" spans="1:17" x14ac:dyDescent="0.15">
      <c r="A163" t="s">
        <v>142</v>
      </c>
      <c r="B163" t="s">
        <v>206</v>
      </c>
      <c r="C163">
        <v>163</v>
      </c>
      <c r="D163" t="s">
        <v>161</v>
      </c>
      <c r="E163" s="1">
        <v>42843</v>
      </c>
      <c r="F163" t="s">
        <v>17</v>
      </c>
      <c r="G163" t="s">
        <v>733</v>
      </c>
      <c r="H163">
        <v>20.100000000000001</v>
      </c>
      <c r="I163" t="s">
        <v>38</v>
      </c>
      <c r="J163">
        <v>0</v>
      </c>
      <c r="K163">
        <v>0</v>
      </c>
      <c r="L163" t="s">
        <v>375</v>
      </c>
      <c r="M163" t="s">
        <v>1910</v>
      </c>
      <c r="N163" t="s">
        <v>736</v>
      </c>
      <c r="O163">
        <v>0</v>
      </c>
      <c r="P163">
        <v>0</v>
      </c>
      <c r="Q163" t="s">
        <v>381</v>
      </c>
    </row>
    <row r="164" spans="1:17" x14ac:dyDescent="0.15">
      <c r="A164" t="s">
        <v>142</v>
      </c>
      <c r="B164" t="s">
        <v>206</v>
      </c>
      <c r="C164">
        <v>163</v>
      </c>
      <c r="D164" t="s">
        <v>161</v>
      </c>
      <c r="E164" s="1">
        <v>42851</v>
      </c>
      <c r="F164" t="s">
        <v>383</v>
      </c>
      <c r="G164" t="s">
        <v>494</v>
      </c>
      <c r="H164">
        <v>-80.099999999999994</v>
      </c>
      <c r="I164" t="s">
        <v>38</v>
      </c>
      <c r="J164">
        <v>0</v>
      </c>
      <c r="M164" t="s">
        <v>241</v>
      </c>
      <c r="N164" t="s">
        <v>495</v>
      </c>
    </row>
    <row r="165" spans="1:17" x14ac:dyDescent="0.15">
      <c r="A165" t="s">
        <v>142</v>
      </c>
      <c r="B165" t="s">
        <v>206</v>
      </c>
      <c r="C165">
        <v>163</v>
      </c>
      <c r="D165" t="s">
        <v>161</v>
      </c>
      <c r="E165" s="1">
        <v>42851</v>
      </c>
      <c r="F165" t="s">
        <v>383</v>
      </c>
      <c r="G165" t="s">
        <v>494</v>
      </c>
      <c r="H165">
        <v>-80.099999999999994</v>
      </c>
      <c r="I165" t="s">
        <v>38</v>
      </c>
      <c r="J165">
        <v>0</v>
      </c>
      <c r="M165" t="s">
        <v>1910</v>
      </c>
      <c r="N165" t="s">
        <v>495</v>
      </c>
      <c r="O165">
        <v>0</v>
      </c>
      <c r="P165">
        <v>0</v>
      </c>
      <c r="Q165" t="s">
        <v>381</v>
      </c>
    </row>
    <row r="166" spans="1:17" x14ac:dyDescent="0.15">
      <c r="A166" t="s">
        <v>142</v>
      </c>
      <c r="B166" t="s">
        <v>206</v>
      </c>
      <c r="C166">
        <v>163</v>
      </c>
      <c r="D166" t="s">
        <v>161</v>
      </c>
      <c r="E166" s="1">
        <v>42929</v>
      </c>
      <c r="F166" t="s">
        <v>17</v>
      </c>
      <c r="G166" t="s">
        <v>1493</v>
      </c>
      <c r="H166">
        <v>1410</v>
      </c>
      <c r="I166" t="s">
        <v>38</v>
      </c>
      <c r="J166">
        <v>0</v>
      </c>
      <c r="K166">
        <v>0</v>
      </c>
      <c r="L166" t="s">
        <v>375</v>
      </c>
      <c r="M166" t="s">
        <v>241</v>
      </c>
      <c r="N166" t="s">
        <v>1494</v>
      </c>
    </row>
    <row r="167" spans="1:17" x14ac:dyDescent="0.15">
      <c r="A167" t="s">
        <v>142</v>
      </c>
      <c r="B167" t="s">
        <v>206</v>
      </c>
      <c r="C167">
        <v>163</v>
      </c>
      <c r="D167" t="s">
        <v>161</v>
      </c>
      <c r="E167" s="1">
        <v>42929</v>
      </c>
      <c r="F167" t="s">
        <v>17</v>
      </c>
      <c r="G167" t="s">
        <v>1493</v>
      </c>
      <c r="H167">
        <v>1410</v>
      </c>
      <c r="I167" t="s">
        <v>38</v>
      </c>
      <c r="J167">
        <v>0</v>
      </c>
      <c r="K167">
        <v>0</v>
      </c>
      <c r="L167" t="s">
        <v>375</v>
      </c>
      <c r="M167" t="s">
        <v>1910</v>
      </c>
      <c r="N167" t="s">
        <v>1494</v>
      </c>
      <c r="O167">
        <v>0</v>
      </c>
      <c r="P167">
        <v>0</v>
      </c>
      <c r="Q167" t="s">
        <v>381</v>
      </c>
    </row>
    <row r="168" spans="1:17" x14ac:dyDescent="0.15">
      <c r="A168" t="s">
        <v>142</v>
      </c>
      <c r="B168" t="s">
        <v>206</v>
      </c>
      <c r="C168">
        <v>163</v>
      </c>
      <c r="D168" t="s">
        <v>161</v>
      </c>
      <c r="E168" s="1">
        <v>42937</v>
      </c>
      <c r="F168" t="s">
        <v>17</v>
      </c>
      <c r="G168" t="s">
        <v>1512</v>
      </c>
      <c r="H168">
        <v>0</v>
      </c>
      <c r="I168" t="s">
        <v>38</v>
      </c>
      <c r="J168">
        <v>0</v>
      </c>
      <c r="K168">
        <v>0</v>
      </c>
      <c r="L168" t="s">
        <v>375</v>
      </c>
      <c r="M168" t="s">
        <v>241</v>
      </c>
      <c r="N168" t="s">
        <v>1513</v>
      </c>
    </row>
    <row r="169" spans="1:17" x14ac:dyDescent="0.15">
      <c r="A169" t="s">
        <v>142</v>
      </c>
      <c r="B169" t="s">
        <v>206</v>
      </c>
      <c r="C169">
        <v>163</v>
      </c>
      <c r="D169" t="s">
        <v>161</v>
      </c>
      <c r="E169" s="1">
        <v>42937</v>
      </c>
      <c r="F169" t="s">
        <v>17</v>
      </c>
      <c r="G169" t="s">
        <v>1512</v>
      </c>
      <c r="H169">
        <v>0</v>
      </c>
      <c r="I169" t="s">
        <v>38</v>
      </c>
      <c r="J169">
        <v>0</v>
      </c>
      <c r="K169">
        <v>0</v>
      </c>
      <c r="L169" t="s">
        <v>375</v>
      </c>
      <c r="M169" t="s">
        <v>1910</v>
      </c>
      <c r="N169" t="s">
        <v>1513</v>
      </c>
      <c r="O169">
        <v>0</v>
      </c>
      <c r="P169">
        <v>0</v>
      </c>
      <c r="Q169" t="s">
        <v>381</v>
      </c>
    </row>
    <row r="170" spans="1:17" x14ac:dyDescent="0.15">
      <c r="A170" t="s">
        <v>142</v>
      </c>
      <c r="B170" t="s">
        <v>206</v>
      </c>
      <c r="C170">
        <v>163</v>
      </c>
      <c r="D170" t="s">
        <v>161</v>
      </c>
      <c r="E170" s="1">
        <v>42940</v>
      </c>
      <c r="F170" t="s">
        <v>17</v>
      </c>
      <c r="G170" t="s">
        <v>1512</v>
      </c>
      <c r="H170">
        <v>-60</v>
      </c>
      <c r="I170" t="s">
        <v>38</v>
      </c>
      <c r="J170">
        <v>0</v>
      </c>
      <c r="K170">
        <v>0</v>
      </c>
      <c r="L170" t="s">
        <v>375</v>
      </c>
      <c r="M170" t="s">
        <v>241</v>
      </c>
      <c r="N170" t="s">
        <v>1513</v>
      </c>
    </row>
    <row r="171" spans="1:17" x14ac:dyDescent="0.15">
      <c r="A171" t="s">
        <v>142</v>
      </c>
      <c r="B171" t="s">
        <v>206</v>
      </c>
      <c r="C171">
        <v>163</v>
      </c>
      <c r="D171" t="s">
        <v>161</v>
      </c>
      <c r="E171" s="1">
        <v>42940</v>
      </c>
      <c r="F171" t="s">
        <v>17</v>
      </c>
      <c r="G171" t="s">
        <v>1512</v>
      </c>
      <c r="H171">
        <v>-60</v>
      </c>
      <c r="I171" t="s">
        <v>38</v>
      </c>
      <c r="J171">
        <v>0</v>
      </c>
      <c r="K171">
        <v>0</v>
      </c>
      <c r="L171" t="s">
        <v>375</v>
      </c>
      <c r="M171" t="s">
        <v>1910</v>
      </c>
      <c r="N171" t="s">
        <v>1513</v>
      </c>
      <c r="O171">
        <v>0</v>
      </c>
      <c r="P171">
        <v>0</v>
      </c>
      <c r="Q171" t="s">
        <v>381</v>
      </c>
    </row>
    <row r="172" spans="1:17" x14ac:dyDescent="0.15">
      <c r="A172" t="s">
        <v>142</v>
      </c>
      <c r="B172" t="s">
        <v>206</v>
      </c>
      <c r="C172">
        <v>163</v>
      </c>
      <c r="D172" t="s">
        <v>161</v>
      </c>
      <c r="E172" s="1">
        <v>42940</v>
      </c>
      <c r="F172" t="s">
        <v>17</v>
      </c>
      <c r="G172" t="s">
        <v>1524</v>
      </c>
      <c r="H172">
        <v>60</v>
      </c>
      <c r="I172" t="s">
        <v>38</v>
      </c>
      <c r="J172">
        <v>0</v>
      </c>
      <c r="K172">
        <v>0</v>
      </c>
      <c r="L172" t="s">
        <v>375</v>
      </c>
      <c r="M172" t="s">
        <v>241</v>
      </c>
      <c r="N172" t="s">
        <v>1525</v>
      </c>
    </row>
    <row r="173" spans="1:17" x14ac:dyDescent="0.15">
      <c r="A173" t="s">
        <v>142</v>
      </c>
      <c r="B173" t="s">
        <v>206</v>
      </c>
      <c r="C173">
        <v>163</v>
      </c>
      <c r="D173" t="s">
        <v>161</v>
      </c>
      <c r="E173" s="1">
        <v>42940</v>
      </c>
      <c r="F173" t="s">
        <v>17</v>
      </c>
      <c r="G173" t="s">
        <v>1524</v>
      </c>
      <c r="H173">
        <v>60</v>
      </c>
      <c r="I173" t="s">
        <v>38</v>
      </c>
      <c r="J173">
        <v>0</v>
      </c>
      <c r="K173">
        <v>0</v>
      </c>
      <c r="L173" t="s">
        <v>375</v>
      </c>
      <c r="M173" t="s">
        <v>1910</v>
      </c>
      <c r="N173" t="s">
        <v>1525</v>
      </c>
      <c r="O173">
        <v>0</v>
      </c>
      <c r="P173">
        <v>0</v>
      </c>
      <c r="Q173" t="s">
        <v>381</v>
      </c>
    </row>
    <row r="174" spans="1:17" x14ac:dyDescent="0.15">
      <c r="A174" t="s">
        <v>142</v>
      </c>
      <c r="B174" t="s">
        <v>206</v>
      </c>
      <c r="C174">
        <v>163</v>
      </c>
      <c r="D174" t="s">
        <v>161</v>
      </c>
      <c r="E174" s="1">
        <v>42942</v>
      </c>
      <c r="F174" t="s">
        <v>383</v>
      </c>
      <c r="G174" t="s">
        <v>1106</v>
      </c>
      <c r="H174">
        <v>-1470</v>
      </c>
      <c r="I174" t="s">
        <v>38</v>
      </c>
      <c r="J174">
        <v>0</v>
      </c>
      <c r="M174" t="s">
        <v>241</v>
      </c>
      <c r="N174" t="s">
        <v>1107</v>
      </c>
    </row>
    <row r="175" spans="1:17" x14ac:dyDescent="0.15">
      <c r="A175" t="s">
        <v>142</v>
      </c>
      <c r="B175" t="s">
        <v>206</v>
      </c>
      <c r="C175">
        <v>163</v>
      </c>
      <c r="D175" t="s">
        <v>161</v>
      </c>
      <c r="E175" s="1">
        <v>42942</v>
      </c>
      <c r="F175" t="s">
        <v>383</v>
      </c>
      <c r="G175" t="s">
        <v>1106</v>
      </c>
      <c r="H175">
        <v>-1470</v>
      </c>
      <c r="I175" t="s">
        <v>38</v>
      </c>
      <c r="J175">
        <v>0</v>
      </c>
      <c r="M175" t="s">
        <v>1910</v>
      </c>
      <c r="N175" t="s">
        <v>1107</v>
      </c>
      <c r="O175">
        <v>0</v>
      </c>
      <c r="P175">
        <v>0</v>
      </c>
      <c r="Q175" t="s">
        <v>381</v>
      </c>
    </row>
    <row r="176" spans="1:17" x14ac:dyDescent="0.15">
      <c r="A176" t="s">
        <v>142</v>
      </c>
      <c r="B176" t="s">
        <v>206</v>
      </c>
      <c r="C176">
        <v>163</v>
      </c>
      <c r="D176" t="s">
        <v>161</v>
      </c>
      <c r="E176" s="1">
        <v>42942</v>
      </c>
      <c r="F176" t="s">
        <v>383</v>
      </c>
      <c r="G176" t="s">
        <v>1106</v>
      </c>
      <c r="H176">
        <v>-30</v>
      </c>
      <c r="I176" t="s">
        <v>38</v>
      </c>
      <c r="J176">
        <v>0</v>
      </c>
      <c r="M176" t="s">
        <v>241</v>
      </c>
      <c r="N176" t="s">
        <v>1108</v>
      </c>
    </row>
    <row r="177" spans="1:17" x14ac:dyDescent="0.15">
      <c r="A177" t="s">
        <v>142</v>
      </c>
      <c r="B177" t="s">
        <v>206</v>
      </c>
      <c r="C177">
        <v>163</v>
      </c>
      <c r="D177" t="s">
        <v>161</v>
      </c>
      <c r="E177" s="1">
        <v>42942</v>
      </c>
      <c r="F177" t="s">
        <v>383</v>
      </c>
      <c r="G177" t="s">
        <v>1106</v>
      </c>
      <c r="H177">
        <v>-30</v>
      </c>
      <c r="I177" t="s">
        <v>38</v>
      </c>
      <c r="J177">
        <v>0</v>
      </c>
      <c r="M177" t="s">
        <v>1910</v>
      </c>
      <c r="N177" t="s">
        <v>1108</v>
      </c>
      <c r="O177">
        <v>0</v>
      </c>
      <c r="P177">
        <v>0</v>
      </c>
      <c r="Q177" t="s">
        <v>381</v>
      </c>
    </row>
    <row r="178" spans="1:17" x14ac:dyDescent="0.15">
      <c r="A178" t="s">
        <v>142</v>
      </c>
      <c r="B178" t="s">
        <v>206</v>
      </c>
      <c r="C178">
        <v>163</v>
      </c>
      <c r="D178" t="s">
        <v>161</v>
      </c>
      <c r="E178" s="1">
        <v>42965</v>
      </c>
      <c r="F178" t="s">
        <v>383</v>
      </c>
      <c r="G178" t="s">
        <v>1164</v>
      </c>
      <c r="H178">
        <v>330</v>
      </c>
      <c r="I178" t="s">
        <v>38</v>
      </c>
      <c r="J178">
        <v>0</v>
      </c>
      <c r="M178" t="s">
        <v>241</v>
      </c>
      <c r="N178" t="s">
        <v>1165</v>
      </c>
    </row>
    <row r="179" spans="1:17" x14ac:dyDescent="0.15">
      <c r="A179" t="s">
        <v>142</v>
      </c>
      <c r="B179" t="s">
        <v>206</v>
      </c>
      <c r="C179">
        <v>163</v>
      </c>
      <c r="D179" t="s">
        <v>161</v>
      </c>
      <c r="E179" s="1">
        <v>42965</v>
      </c>
      <c r="F179" t="s">
        <v>383</v>
      </c>
      <c r="G179" t="s">
        <v>1164</v>
      </c>
      <c r="H179">
        <v>330</v>
      </c>
      <c r="I179" t="s">
        <v>38</v>
      </c>
      <c r="J179">
        <v>0</v>
      </c>
      <c r="M179" t="s">
        <v>1910</v>
      </c>
      <c r="N179" t="s">
        <v>1165</v>
      </c>
      <c r="O179">
        <v>0</v>
      </c>
      <c r="P179">
        <v>0</v>
      </c>
      <c r="Q179" t="s">
        <v>381</v>
      </c>
    </row>
    <row r="180" spans="1:17" x14ac:dyDescent="0.15">
      <c r="A180" t="s">
        <v>15</v>
      </c>
      <c r="B180" t="s">
        <v>32</v>
      </c>
      <c r="C180">
        <v>163</v>
      </c>
      <c r="D180" t="s">
        <v>161</v>
      </c>
      <c r="E180" s="1">
        <v>42843</v>
      </c>
      <c r="F180" t="s">
        <v>17</v>
      </c>
      <c r="G180" t="s">
        <v>733</v>
      </c>
      <c r="H180">
        <v>2667.5</v>
      </c>
      <c r="I180" t="s">
        <v>38</v>
      </c>
      <c r="J180">
        <v>0</v>
      </c>
      <c r="K180">
        <v>0</v>
      </c>
      <c r="L180" t="s">
        <v>375</v>
      </c>
      <c r="M180" t="s">
        <v>241</v>
      </c>
      <c r="N180" t="s">
        <v>737</v>
      </c>
    </row>
    <row r="181" spans="1:17" x14ac:dyDescent="0.15">
      <c r="A181" t="s">
        <v>15</v>
      </c>
      <c r="B181" t="s">
        <v>32</v>
      </c>
      <c r="C181">
        <v>163</v>
      </c>
      <c r="D181" t="s">
        <v>161</v>
      </c>
      <c r="E181" s="1">
        <v>42843</v>
      </c>
      <c r="F181" t="s">
        <v>17</v>
      </c>
      <c r="G181" t="s">
        <v>733</v>
      </c>
      <c r="H181">
        <v>2667.5</v>
      </c>
      <c r="I181" t="s">
        <v>38</v>
      </c>
      <c r="J181">
        <v>0</v>
      </c>
      <c r="K181">
        <v>0</v>
      </c>
      <c r="L181" t="s">
        <v>375</v>
      </c>
      <c r="M181" t="s">
        <v>1910</v>
      </c>
      <c r="N181" t="s">
        <v>737</v>
      </c>
      <c r="O181">
        <v>0</v>
      </c>
      <c r="P181">
        <v>0</v>
      </c>
      <c r="Q181" t="s">
        <v>381</v>
      </c>
    </row>
    <row r="182" spans="1:17" x14ac:dyDescent="0.15">
      <c r="A182" t="s">
        <v>15</v>
      </c>
      <c r="B182" t="s">
        <v>32</v>
      </c>
      <c r="C182">
        <v>163</v>
      </c>
      <c r="D182" t="s">
        <v>161</v>
      </c>
      <c r="E182" s="1">
        <v>42851</v>
      </c>
      <c r="F182" t="s">
        <v>383</v>
      </c>
      <c r="G182" t="s">
        <v>513</v>
      </c>
      <c r="H182">
        <v>-1018.5</v>
      </c>
      <c r="I182" t="s">
        <v>38</v>
      </c>
      <c r="J182">
        <v>0</v>
      </c>
      <c r="M182" t="s">
        <v>241</v>
      </c>
      <c r="N182" t="s">
        <v>515</v>
      </c>
    </row>
    <row r="183" spans="1:17" x14ac:dyDescent="0.15">
      <c r="A183" t="s">
        <v>15</v>
      </c>
      <c r="B183" t="s">
        <v>32</v>
      </c>
      <c r="C183">
        <v>163</v>
      </c>
      <c r="D183" t="s">
        <v>161</v>
      </c>
      <c r="E183" s="1">
        <v>42851</v>
      </c>
      <c r="F183" t="s">
        <v>383</v>
      </c>
      <c r="G183" t="s">
        <v>513</v>
      </c>
      <c r="H183">
        <v>-1018.5</v>
      </c>
      <c r="I183" t="s">
        <v>38</v>
      </c>
      <c r="J183">
        <v>0</v>
      </c>
      <c r="M183" t="s">
        <v>1910</v>
      </c>
      <c r="N183" t="s">
        <v>515</v>
      </c>
      <c r="O183">
        <v>0</v>
      </c>
      <c r="P183">
        <v>0</v>
      </c>
      <c r="Q183" t="s">
        <v>381</v>
      </c>
    </row>
    <row r="184" spans="1:17" x14ac:dyDescent="0.15">
      <c r="A184" t="s">
        <v>15</v>
      </c>
      <c r="B184" t="s">
        <v>32</v>
      </c>
      <c r="C184">
        <v>163</v>
      </c>
      <c r="D184" t="s">
        <v>161</v>
      </c>
      <c r="E184" s="1">
        <v>42851</v>
      </c>
      <c r="F184" t="s">
        <v>383</v>
      </c>
      <c r="G184" t="s">
        <v>517</v>
      </c>
      <c r="H184">
        <v>-48.5</v>
      </c>
      <c r="I184" t="s">
        <v>38</v>
      </c>
      <c r="J184">
        <v>0</v>
      </c>
      <c r="M184" t="s">
        <v>241</v>
      </c>
      <c r="N184" t="s">
        <v>518</v>
      </c>
    </row>
    <row r="185" spans="1:17" x14ac:dyDescent="0.15">
      <c r="A185" t="s">
        <v>15</v>
      </c>
      <c r="B185" t="s">
        <v>32</v>
      </c>
      <c r="C185">
        <v>163</v>
      </c>
      <c r="D185" t="s">
        <v>161</v>
      </c>
      <c r="E185" s="1">
        <v>42851</v>
      </c>
      <c r="F185" t="s">
        <v>383</v>
      </c>
      <c r="G185" t="s">
        <v>517</v>
      </c>
      <c r="H185">
        <v>-48.5</v>
      </c>
      <c r="I185" t="s">
        <v>38</v>
      </c>
      <c r="J185">
        <v>0</v>
      </c>
      <c r="M185" t="s">
        <v>1910</v>
      </c>
      <c r="N185" t="s">
        <v>518</v>
      </c>
      <c r="O185">
        <v>0</v>
      </c>
      <c r="P185">
        <v>0</v>
      </c>
      <c r="Q185" t="s">
        <v>381</v>
      </c>
    </row>
    <row r="186" spans="1:17" x14ac:dyDescent="0.15">
      <c r="A186" t="s">
        <v>15</v>
      </c>
      <c r="B186" t="s">
        <v>32</v>
      </c>
      <c r="C186">
        <v>163</v>
      </c>
      <c r="D186" t="s">
        <v>161</v>
      </c>
      <c r="E186" s="1">
        <v>42865</v>
      </c>
      <c r="F186" t="s">
        <v>383</v>
      </c>
      <c r="G186" t="s">
        <v>544</v>
      </c>
      <c r="H186">
        <v>-48.5</v>
      </c>
      <c r="I186" t="s">
        <v>38</v>
      </c>
      <c r="J186">
        <v>0</v>
      </c>
      <c r="M186" t="s">
        <v>241</v>
      </c>
      <c r="N186" t="s">
        <v>546</v>
      </c>
    </row>
    <row r="187" spans="1:17" x14ac:dyDescent="0.15">
      <c r="A187" t="s">
        <v>15</v>
      </c>
      <c r="B187" t="s">
        <v>32</v>
      </c>
      <c r="C187">
        <v>163</v>
      </c>
      <c r="D187" t="s">
        <v>161</v>
      </c>
      <c r="E187" s="1">
        <v>42865</v>
      </c>
      <c r="F187" t="s">
        <v>383</v>
      </c>
      <c r="G187" t="s">
        <v>544</v>
      </c>
      <c r="H187">
        <v>-48.5</v>
      </c>
      <c r="I187" t="s">
        <v>38</v>
      </c>
      <c r="J187">
        <v>0</v>
      </c>
      <c r="M187" t="s">
        <v>1910</v>
      </c>
      <c r="N187" t="s">
        <v>546</v>
      </c>
      <c r="O187">
        <v>0</v>
      </c>
      <c r="P187">
        <v>0</v>
      </c>
      <c r="Q187" t="s">
        <v>381</v>
      </c>
    </row>
    <row r="188" spans="1:17" x14ac:dyDescent="0.15">
      <c r="A188" t="s">
        <v>15</v>
      </c>
      <c r="B188" t="s">
        <v>32</v>
      </c>
      <c r="C188">
        <v>163</v>
      </c>
      <c r="D188" t="s">
        <v>161</v>
      </c>
      <c r="E188" s="1">
        <v>42873</v>
      </c>
      <c r="F188" t="s">
        <v>383</v>
      </c>
      <c r="G188" t="s">
        <v>574</v>
      </c>
      <c r="H188">
        <v>-97</v>
      </c>
      <c r="I188" t="s">
        <v>38</v>
      </c>
      <c r="J188">
        <v>0</v>
      </c>
      <c r="M188" t="s">
        <v>241</v>
      </c>
      <c r="N188" t="s">
        <v>576</v>
      </c>
    </row>
    <row r="189" spans="1:17" x14ac:dyDescent="0.15">
      <c r="A189" t="s">
        <v>15</v>
      </c>
      <c r="B189" t="s">
        <v>32</v>
      </c>
      <c r="C189">
        <v>163</v>
      </c>
      <c r="D189" t="s">
        <v>161</v>
      </c>
      <c r="E189" s="1">
        <v>42873</v>
      </c>
      <c r="F189" t="s">
        <v>383</v>
      </c>
      <c r="G189" t="s">
        <v>574</v>
      </c>
      <c r="H189">
        <v>-97</v>
      </c>
      <c r="I189" t="s">
        <v>38</v>
      </c>
      <c r="J189">
        <v>0</v>
      </c>
      <c r="M189" t="s">
        <v>1910</v>
      </c>
      <c r="N189" t="s">
        <v>576</v>
      </c>
      <c r="O189">
        <v>0</v>
      </c>
      <c r="P189">
        <v>0</v>
      </c>
      <c r="Q189" t="s">
        <v>381</v>
      </c>
    </row>
    <row r="190" spans="1:17" x14ac:dyDescent="0.15">
      <c r="A190" t="s">
        <v>15</v>
      </c>
      <c r="B190" t="s">
        <v>32</v>
      </c>
      <c r="C190">
        <v>163</v>
      </c>
      <c r="D190" t="s">
        <v>161</v>
      </c>
      <c r="E190" s="1">
        <v>42907</v>
      </c>
      <c r="F190" t="s">
        <v>17</v>
      </c>
      <c r="G190" t="s">
        <v>811</v>
      </c>
      <c r="H190">
        <v>1067</v>
      </c>
      <c r="I190" t="s">
        <v>38</v>
      </c>
      <c r="J190">
        <v>0</v>
      </c>
      <c r="K190">
        <v>0</v>
      </c>
      <c r="L190" t="s">
        <v>375</v>
      </c>
      <c r="M190" t="s">
        <v>241</v>
      </c>
      <c r="N190" t="s">
        <v>812</v>
      </c>
    </row>
    <row r="191" spans="1:17" x14ac:dyDescent="0.15">
      <c r="A191" t="s">
        <v>15</v>
      </c>
      <c r="B191" t="s">
        <v>32</v>
      </c>
      <c r="C191">
        <v>163</v>
      </c>
      <c r="D191" t="s">
        <v>161</v>
      </c>
      <c r="E191" s="1">
        <v>42907</v>
      </c>
      <c r="F191" t="s">
        <v>17</v>
      </c>
      <c r="G191" t="s">
        <v>811</v>
      </c>
      <c r="H191">
        <v>1067</v>
      </c>
      <c r="I191" t="s">
        <v>38</v>
      </c>
      <c r="J191">
        <v>0</v>
      </c>
      <c r="K191">
        <v>0</v>
      </c>
      <c r="L191" t="s">
        <v>375</v>
      </c>
      <c r="M191" t="s">
        <v>1910</v>
      </c>
      <c r="N191" t="s">
        <v>812</v>
      </c>
      <c r="O191">
        <v>0</v>
      </c>
      <c r="P191">
        <v>0</v>
      </c>
      <c r="Q191" t="s">
        <v>381</v>
      </c>
    </row>
    <row r="192" spans="1:17" x14ac:dyDescent="0.15">
      <c r="A192" t="s">
        <v>15</v>
      </c>
      <c r="B192" t="s">
        <v>32</v>
      </c>
      <c r="C192">
        <v>163</v>
      </c>
      <c r="D192" t="s">
        <v>161</v>
      </c>
      <c r="E192" s="1">
        <v>42915</v>
      </c>
      <c r="F192" t="s">
        <v>383</v>
      </c>
      <c r="G192" t="s">
        <v>681</v>
      </c>
      <c r="H192">
        <v>-1067</v>
      </c>
      <c r="I192" t="s">
        <v>38</v>
      </c>
      <c r="J192">
        <v>0</v>
      </c>
      <c r="M192" t="s">
        <v>241</v>
      </c>
      <c r="N192" t="s">
        <v>683</v>
      </c>
    </row>
    <row r="193" spans="1:17" x14ac:dyDescent="0.15">
      <c r="A193" t="s">
        <v>15</v>
      </c>
      <c r="B193" t="s">
        <v>32</v>
      </c>
      <c r="C193">
        <v>163</v>
      </c>
      <c r="D193" t="s">
        <v>161</v>
      </c>
      <c r="E193" s="1">
        <v>42915</v>
      </c>
      <c r="F193" t="s">
        <v>383</v>
      </c>
      <c r="G193" t="s">
        <v>681</v>
      </c>
      <c r="H193">
        <v>-1067</v>
      </c>
      <c r="I193" t="s">
        <v>38</v>
      </c>
      <c r="J193">
        <v>0</v>
      </c>
      <c r="M193" t="s">
        <v>1910</v>
      </c>
      <c r="N193" t="s">
        <v>683</v>
      </c>
      <c r="O193">
        <v>0</v>
      </c>
      <c r="P193">
        <v>0</v>
      </c>
      <c r="Q193" t="s">
        <v>381</v>
      </c>
    </row>
    <row r="194" spans="1:17" x14ac:dyDescent="0.15">
      <c r="A194" t="s">
        <v>15</v>
      </c>
      <c r="B194" t="s">
        <v>32</v>
      </c>
      <c r="C194">
        <v>163</v>
      </c>
      <c r="D194" t="s">
        <v>161</v>
      </c>
      <c r="E194" s="1">
        <v>42915</v>
      </c>
      <c r="F194" t="s">
        <v>17</v>
      </c>
      <c r="G194" t="s">
        <v>827</v>
      </c>
      <c r="H194">
        <v>3201</v>
      </c>
      <c r="I194" t="s">
        <v>38</v>
      </c>
      <c r="J194">
        <v>0</v>
      </c>
      <c r="K194">
        <v>0</v>
      </c>
      <c r="L194" t="s">
        <v>375</v>
      </c>
      <c r="M194" t="s">
        <v>241</v>
      </c>
      <c r="N194" t="s">
        <v>828</v>
      </c>
    </row>
    <row r="195" spans="1:17" x14ac:dyDescent="0.15">
      <c r="A195" t="s">
        <v>15</v>
      </c>
      <c r="B195" t="s">
        <v>32</v>
      </c>
      <c r="C195">
        <v>163</v>
      </c>
      <c r="D195" t="s">
        <v>161</v>
      </c>
      <c r="E195" s="1">
        <v>42915</v>
      </c>
      <c r="F195" t="s">
        <v>17</v>
      </c>
      <c r="G195" t="s">
        <v>827</v>
      </c>
      <c r="H195">
        <v>3201</v>
      </c>
      <c r="I195" t="s">
        <v>38</v>
      </c>
      <c r="J195">
        <v>0</v>
      </c>
      <c r="K195">
        <v>0</v>
      </c>
      <c r="L195" t="s">
        <v>375</v>
      </c>
      <c r="M195" t="s">
        <v>1910</v>
      </c>
      <c r="N195" t="s">
        <v>828</v>
      </c>
      <c r="O195">
        <v>0</v>
      </c>
      <c r="P195">
        <v>0</v>
      </c>
      <c r="Q195" t="s">
        <v>381</v>
      </c>
    </row>
    <row r="196" spans="1:17" x14ac:dyDescent="0.15">
      <c r="A196" t="s">
        <v>15</v>
      </c>
      <c r="B196" t="s">
        <v>32</v>
      </c>
      <c r="C196">
        <v>163</v>
      </c>
      <c r="D196" t="s">
        <v>161</v>
      </c>
      <c r="E196" s="1">
        <v>42916</v>
      </c>
      <c r="F196" t="s">
        <v>383</v>
      </c>
      <c r="G196" t="s">
        <v>694</v>
      </c>
      <c r="H196">
        <v>-3492</v>
      </c>
      <c r="I196" t="s">
        <v>38</v>
      </c>
      <c r="J196">
        <v>0</v>
      </c>
      <c r="M196" t="s">
        <v>241</v>
      </c>
      <c r="N196" t="s">
        <v>696</v>
      </c>
    </row>
    <row r="197" spans="1:17" x14ac:dyDescent="0.15">
      <c r="A197" t="s">
        <v>15</v>
      </c>
      <c r="B197" t="s">
        <v>32</v>
      </c>
      <c r="C197">
        <v>163</v>
      </c>
      <c r="D197" t="s">
        <v>161</v>
      </c>
      <c r="E197" s="1">
        <v>42916</v>
      </c>
      <c r="F197" t="s">
        <v>383</v>
      </c>
      <c r="G197" t="s">
        <v>694</v>
      </c>
      <c r="H197">
        <v>-3492</v>
      </c>
      <c r="I197" t="s">
        <v>38</v>
      </c>
      <c r="J197">
        <v>0</v>
      </c>
      <c r="M197" t="s">
        <v>1910</v>
      </c>
      <c r="N197" t="s">
        <v>696</v>
      </c>
      <c r="O197">
        <v>0</v>
      </c>
      <c r="P197">
        <v>0</v>
      </c>
      <c r="Q197" t="s">
        <v>381</v>
      </c>
    </row>
    <row r="198" spans="1:17" x14ac:dyDescent="0.15">
      <c r="A198" t="s">
        <v>15</v>
      </c>
      <c r="B198" t="s">
        <v>32</v>
      </c>
      <c r="C198">
        <v>163</v>
      </c>
      <c r="D198" t="s">
        <v>161</v>
      </c>
      <c r="E198" s="1">
        <v>42928</v>
      </c>
      <c r="F198" t="s">
        <v>383</v>
      </c>
      <c r="G198" t="s">
        <v>1064</v>
      </c>
      <c r="H198">
        <v>436.5</v>
      </c>
      <c r="I198" t="s">
        <v>38</v>
      </c>
      <c r="J198">
        <v>0</v>
      </c>
      <c r="M198" t="s">
        <v>241</v>
      </c>
      <c r="N198" t="s">
        <v>1065</v>
      </c>
    </row>
    <row r="199" spans="1:17" x14ac:dyDescent="0.15">
      <c r="A199" t="s">
        <v>15</v>
      </c>
      <c r="B199" t="s">
        <v>32</v>
      </c>
      <c r="C199">
        <v>163</v>
      </c>
      <c r="D199" t="s">
        <v>161</v>
      </c>
      <c r="E199" s="1">
        <v>42928</v>
      </c>
      <c r="F199" t="s">
        <v>383</v>
      </c>
      <c r="G199" t="s">
        <v>1064</v>
      </c>
      <c r="H199">
        <v>436.5</v>
      </c>
      <c r="I199" t="s">
        <v>38</v>
      </c>
      <c r="J199">
        <v>0</v>
      </c>
      <c r="M199" t="s">
        <v>1910</v>
      </c>
      <c r="N199" t="s">
        <v>1065</v>
      </c>
      <c r="O199">
        <v>0</v>
      </c>
      <c r="P199">
        <v>0</v>
      </c>
      <c r="Q199" t="s">
        <v>381</v>
      </c>
    </row>
    <row r="200" spans="1:17" x14ac:dyDescent="0.15">
      <c r="A200" t="s">
        <v>15</v>
      </c>
      <c r="B200" t="s">
        <v>32</v>
      </c>
      <c r="C200">
        <v>163</v>
      </c>
      <c r="D200" t="s">
        <v>161</v>
      </c>
      <c r="E200" s="1">
        <v>42947</v>
      </c>
      <c r="F200" t="s">
        <v>383</v>
      </c>
      <c r="G200" t="s">
        <v>1090</v>
      </c>
      <c r="H200">
        <v>-630.5</v>
      </c>
      <c r="I200" t="s">
        <v>38</v>
      </c>
      <c r="J200">
        <v>0</v>
      </c>
      <c r="M200" t="s">
        <v>241</v>
      </c>
      <c r="N200" t="s">
        <v>1092</v>
      </c>
    </row>
    <row r="201" spans="1:17" x14ac:dyDescent="0.15">
      <c r="A201" t="s">
        <v>15</v>
      </c>
      <c r="B201" t="s">
        <v>32</v>
      </c>
      <c r="C201">
        <v>163</v>
      </c>
      <c r="D201" t="s">
        <v>161</v>
      </c>
      <c r="E201" s="1">
        <v>42947</v>
      </c>
      <c r="F201" t="s">
        <v>383</v>
      </c>
      <c r="G201" t="s">
        <v>1090</v>
      </c>
      <c r="H201">
        <v>-630.5</v>
      </c>
      <c r="I201" t="s">
        <v>38</v>
      </c>
      <c r="J201">
        <v>0</v>
      </c>
      <c r="M201" t="s">
        <v>1910</v>
      </c>
      <c r="N201" t="s">
        <v>1092</v>
      </c>
      <c r="O201">
        <v>0</v>
      </c>
      <c r="P201">
        <v>0</v>
      </c>
      <c r="Q201" t="s">
        <v>381</v>
      </c>
    </row>
    <row r="202" spans="1:17" x14ac:dyDescent="0.15">
      <c r="A202" t="s">
        <v>15</v>
      </c>
      <c r="B202" t="s">
        <v>32</v>
      </c>
      <c r="C202">
        <v>163</v>
      </c>
      <c r="D202" t="s">
        <v>161</v>
      </c>
      <c r="E202" s="1">
        <v>42948</v>
      </c>
      <c r="F202" t="s">
        <v>383</v>
      </c>
      <c r="G202" t="s">
        <v>1141</v>
      </c>
      <c r="H202">
        <v>97</v>
      </c>
      <c r="I202" t="s">
        <v>38</v>
      </c>
      <c r="J202">
        <v>0</v>
      </c>
      <c r="M202" t="s">
        <v>241</v>
      </c>
      <c r="N202" t="s">
        <v>1143</v>
      </c>
    </row>
    <row r="203" spans="1:17" x14ac:dyDescent="0.15">
      <c r="A203" t="s">
        <v>15</v>
      </c>
      <c r="B203" t="s">
        <v>32</v>
      </c>
      <c r="C203">
        <v>163</v>
      </c>
      <c r="D203" t="s">
        <v>161</v>
      </c>
      <c r="E203" s="1">
        <v>42948</v>
      </c>
      <c r="F203" t="s">
        <v>383</v>
      </c>
      <c r="G203" t="s">
        <v>1141</v>
      </c>
      <c r="H203">
        <v>97</v>
      </c>
      <c r="I203" t="s">
        <v>38</v>
      </c>
      <c r="J203">
        <v>0</v>
      </c>
      <c r="M203" t="s">
        <v>1910</v>
      </c>
      <c r="N203" t="s">
        <v>1143</v>
      </c>
      <c r="O203">
        <v>0</v>
      </c>
      <c r="P203">
        <v>0</v>
      </c>
      <c r="Q203" t="s">
        <v>381</v>
      </c>
    </row>
    <row r="204" spans="1:17" x14ac:dyDescent="0.15">
      <c r="A204" t="s">
        <v>15</v>
      </c>
      <c r="B204" t="s">
        <v>32</v>
      </c>
      <c r="C204">
        <v>163</v>
      </c>
      <c r="D204" t="s">
        <v>161</v>
      </c>
      <c r="E204" s="1">
        <v>43008</v>
      </c>
      <c r="F204" t="s">
        <v>383</v>
      </c>
      <c r="G204" t="s">
        <v>1272</v>
      </c>
      <c r="H204">
        <v>-582</v>
      </c>
      <c r="I204" t="s">
        <v>38</v>
      </c>
      <c r="J204">
        <v>0</v>
      </c>
      <c r="M204" t="s">
        <v>241</v>
      </c>
      <c r="N204" t="s">
        <v>1274</v>
      </c>
    </row>
    <row r="205" spans="1:17" x14ac:dyDescent="0.15">
      <c r="A205" t="s">
        <v>15</v>
      </c>
      <c r="B205" t="s">
        <v>32</v>
      </c>
      <c r="C205">
        <v>163</v>
      </c>
      <c r="D205" t="s">
        <v>161</v>
      </c>
      <c r="E205" s="1">
        <v>43008</v>
      </c>
      <c r="F205" t="s">
        <v>383</v>
      </c>
      <c r="G205" t="s">
        <v>1272</v>
      </c>
      <c r="H205">
        <v>-582</v>
      </c>
      <c r="I205" t="s">
        <v>38</v>
      </c>
      <c r="J205">
        <v>0</v>
      </c>
      <c r="M205" t="s">
        <v>1910</v>
      </c>
      <c r="N205" t="s">
        <v>1274</v>
      </c>
      <c r="O205">
        <v>0</v>
      </c>
      <c r="P205">
        <v>0</v>
      </c>
      <c r="Q205" t="s">
        <v>381</v>
      </c>
    </row>
    <row r="206" spans="1:17" x14ac:dyDescent="0.15">
      <c r="A206" t="s">
        <v>15</v>
      </c>
      <c r="B206" t="s">
        <v>32</v>
      </c>
      <c r="C206">
        <v>163</v>
      </c>
      <c r="D206" t="s">
        <v>161</v>
      </c>
      <c r="E206" s="1">
        <v>43027</v>
      </c>
      <c r="F206" t="s">
        <v>383</v>
      </c>
      <c r="G206" t="s">
        <v>1303</v>
      </c>
      <c r="H206">
        <v>-388</v>
      </c>
      <c r="I206" t="s">
        <v>38</v>
      </c>
      <c r="J206">
        <v>0</v>
      </c>
      <c r="M206" t="s">
        <v>241</v>
      </c>
      <c r="N206" t="s">
        <v>1305</v>
      </c>
    </row>
    <row r="207" spans="1:17" x14ac:dyDescent="0.15">
      <c r="A207" t="s">
        <v>15</v>
      </c>
      <c r="B207" t="s">
        <v>32</v>
      </c>
      <c r="C207">
        <v>163</v>
      </c>
      <c r="D207" t="s">
        <v>161</v>
      </c>
      <c r="E207" s="1">
        <v>43027</v>
      </c>
      <c r="F207" t="s">
        <v>383</v>
      </c>
      <c r="G207" t="s">
        <v>1303</v>
      </c>
      <c r="H207">
        <v>-388</v>
      </c>
      <c r="I207" t="s">
        <v>38</v>
      </c>
      <c r="J207">
        <v>0</v>
      </c>
      <c r="M207" t="s">
        <v>1910</v>
      </c>
      <c r="N207" t="s">
        <v>1305</v>
      </c>
      <c r="O207">
        <v>0</v>
      </c>
      <c r="P207">
        <v>0</v>
      </c>
      <c r="Q207" t="s">
        <v>381</v>
      </c>
    </row>
    <row r="208" spans="1:17" x14ac:dyDescent="0.15">
      <c r="A208" t="s">
        <v>15</v>
      </c>
      <c r="B208" t="s">
        <v>32</v>
      </c>
      <c r="C208">
        <v>163</v>
      </c>
      <c r="D208" t="s">
        <v>161</v>
      </c>
      <c r="E208" s="1">
        <v>43027</v>
      </c>
      <c r="F208" t="s">
        <v>383</v>
      </c>
      <c r="G208" t="s">
        <v>1303</v>
      </c>
      <c r="H208">
        <v>97</v>
      </c>
      <c r="I208" t="s">
        <v>38</v>
      </c>
      <c r="J208">
        <v>0</v>
      </c>
      <c r="M208" t="s">
        <v>241</v>
      </c>
      <c r="N208" t="s">
        <v>1305</v>
      </c>
    </row>
    <row r="209" spans="1:17" x14ac:dyDescent="0.15">
      <c r="A209" t="s">
        <v>15</v>
      </c>
      <c r="B209" t="s">
        <v>32</v>
      </c>
      <c r="C209">
        <v>163</v>
      </c>
      <c r="D209" t="s">
        <v>161</v>
      </c>
      <c r="E209" s="1">
        <v>43027</v>
      </c>
      <c r="F209" t="s">
        <v>383</v>
      </c>
      <c r="G209" t="s">
        <v>1303</v>
      </c>
      <c r="H209">
        <v>97</v>
      </c>
      <c r="I209" t="s">
        <v>38</v>
      </c>
      <c r="J209">
        <v>0</v>
      </c>
      <c r="M209" t="s">
        <v>1910</v>
      </c>
      <c r="N209" t="s">
        <v>1305</v>
      </c>
      <c r="O209">
        <v>0</v>
      </c>
      <c r="P209">
        <v>0</v>
      </c>
      <c r="Q209" t="s">
        <v>381</v>
      </c>
    </row>
    <row r="210" spans="1:17" x14ac:dyDescent="0.15">
      <c r="A210" t="s">
        <v>27</v>
      </c>
      <c r="B210" t="s">
        <v>32</v>
      </c>
      <c r="C210">
        <v>163</v>
      </c>
      <c r="D210" t="s">
        <v>161</v>
      </c>
      <c r="E210" s="1">
        <v>42873</v>
      </c>
      <c r="F210" t="s">
        <v>383</v>
      </c>
      <c r="G210" t="s">
        <v>574</v>
      </c>
      <c r="H210">
        <v>-600</v>
      </c>
      <c r="I210" t="s">
        <v>38</v>
      </c>
      <c r="J210">
        <v>0</v>
      </c>
      <c r="M210" t="s">
        <v>241</v>
      </c>
      <c r="N210" t="s">
        <v>577</v>
      </c>
    </row>
    <row r="211" spans="1:17" x14ac:dyDescent="0.15">
      <c r="A211" t="s">
        <v>27</v>
      </c>
      <c r="B211" t="s">
        <v>32</v>
      </c>
      <c r="C211">
        <v>163</v>
      </c>
      <c r="D211" t="s">
        <v>161</v>
      </c>
      <c r="E211" s="1">
        <v>42873</v>
      </c>
      <c r="F211" t="s">
        <v>383</v>
      </c>
      <c r="G211" t="s">
        <v>574</v>
      </c>
      <c r="H211">
        <v>-600</v>
      </c>
      <c r="I211" t="s">
        <v>38</v>
      </c>
      <c r="J211">
        <v>0</v>
      </c>
      <c r="M211" t="s">
        <v>1910</v>
      </c>
      <c r="N211" t="s">
        <v>577</v>
      </c>
      <c r="O211">
        <v>0</v>
      </c>
      <c r="P211">
        <v>0</v>
      </c>
      <c r="Q211" t="s">
        <v>381</v>
      </c>
    </row>
    <row r="212" spans="1:17" x14ac:dyDescent="0.15">
      <c r="A212" t="s">
        <v>27</v>
      </c>
      <c r="B212" t="s">
        <v>32</v>
      </c>
      <c r="C212">
        <v>163</v>
      </c>
      <c r="D212" t="s">
        <v>161</v>
      </c>
      <c r="E212" s="1">
        <v>42907</v>
      </c>
      <c r="F212" t="s">
        <v>17</v>
      </c>
      <c r="G212" t="s">
        <v>811</v>
      </c>
      <c r="H212">
        <v>6000</v>
      </c>
      <c r="I212" t="s">
        <v>38</v>
      </c>
      <c r="J212">
        <v>0</v>
      </c>
      <c r="K212">
        <v>0</v>
      </c>
      <c r="L212" t="s">
        <v>375</v>
      </c>
      <c r="M212" t="s">
        <v>241</v>
      </c>
      <c r="N212" t="s">
        <v>813</v>
      </c>
    </row>
    <row r="213" spans="1:17" x14ac:dyDescent="0.15">
      <c r="A213" t="s">
        <v>27</v>
      </c>
      <c r="B213" t="s">
        <v>32</v>
      </c>
      <c r="C213">
        <v>163</v>
      </c>
      <c r="D213" t="s">
        <v>161</v>
      </c>
      <c r="E213" s="1">
        <v>42907</v>
      </c>
      <c r="F213" t="s">
        <v>17</v>
      </c>
      <c r="G213" t="s">
        <v>811</v>
      </c>
      <c r="H213">
        <v>6000</v>
      </c>
      <c r="I213" t="s">
        <v>38</v>
      </c>
      <c r="J213">
        <v>0</v>
      </c>
      <c r="K213">
        <v>0</v>
      </c>
      <c r="L213" t="s">
        <v>375</v>
      </c>
      <c r="M213" t="s">
        <v>1910</v>
      </c>
      <c r="N213" t="s">
        <v>813</v>
      </c>
      <c r="O213">
        <v>0</v>
      </c>
      <c r="P213">
        <v>0</v>
      </c>
      <c r="Q213" t="s">
        <v>381</v>
      </c>
    </row>
    <row r="214" spans="1:17" x14ac:dyDescent="0.15">
      <c r="A214" t="s">
        <v>27</v>
      </c>
      <c r="B214" t="s">
        <v>32</v>
      </c>
      <c r="C214">
        <v>163</v>
      </c>
      <c r="D214" t="s">
        <v>161</v>
      </c>
      <c r="E214" s="1">
        <v>42947</v>
      </c>
      <c r="F214" t="s">
        <v>383</v>
      </c>
      <c r="G214" t="s">
        <v>1090</v>
      </c>
      <c r="H214">
        <v>-4275</v>
      </c>
      <c r="I214" t="s">
        <v>38</v>
      </c>
      <c r="J214">
        <v>0</v>
      </c>
      <c r="M214" t="s">
        <v>241</v>
      </c>
      <c r="N214" t="s">
        <v>1093</v>
      </c>
    </row>
    <row r="215" spans="1:17" x14ac:dyDescent="0.15">
      <c r="A215" t="s">
        <v>27</v>
      </c>
      <c r="B215" t="s">
        <v>32</v>
      </c>
      <c r="C215">
        <v>163</v>
      </c>
      <c r="D215" t="s">
        <v>161</v>
      </c>
      <c r="E215" s="1">
        <v>42947</v>
      </c>
      <c r="F215" t="s">
        <v>383</v>
      </c>
      <c r="G215" t="s">
        <v>1090</v>
      </c>
      <c r="H215">
        <v>-4275</v>
      </c>
      <c r="I215" t="s">
        <v>38</v>
      </c>
      <c r="J215">
        <v>0</v>
      </c>
      <c r="M215" t="s">
        <v>1910</v>
      </c>
      <c r="N215" t="s">
        <v>1093</v>
      </c>
      <c r="O215">
        <v>0</v>
      </c>
      <c r="P215">
        <v>0</v>
      </c>
      <c r="Q215" t="s">
        <v>381</v>
      </c>
    </row>
    <row r="216" spans="1:17" x14ac:dyDescent="0.15">
      <c r="A216" t="s">
        <v>27</v>
      </c>
      <c r="B216" t="s">
        <v>32</v>
      </c>
      <c r="C216">
        <v>163</v>
      </c>
      <c r="D216" t="s">
        <v>161</v>
      </c>
      <c r="E216" s="1">
        <v>42948</v>
      </c>
      <c r="F216" t="s">
        <v>383</v>
      </c>
      <c r="G216" t="s">
        <v>1141</v>
      </c>
      <c r="H216">
        <v>225</v>
      </c>
      <c r="I216" t="s">
        <v>38</v>
      </c>
      <c r="J216">
        <v>0</v>
      </c>
      <c r="M216" t="s">
        <v>241</v>
      </c>
      <c r="N216" t="s">
        <v>1144</v>
      </c>
    </row>
    <row r="217" spans="1:17" x14ac:dyDescent="0.15">
      <c r="A217" t="s">
        <v>27</v>
      </c>
      <c r="B217" t="s">
        <v>32</v>
      </c>
      <c r="C217">
        <v>163</v>
      </c>
      <c r="D217" t="s">
        <v>161</v>
      </c>
      <c r="E217" s="1">
        <v>42948</v>
      </c>
      <c r="F217" t="s">
        <v>383</v>
      </c>
      <c r="G217" t="s">
        <v>1141</v>
      </c>
      <c r="H217">
        <v>225</v>
      </c>
      <c r="I217" t="s">
        <v>38</v>
      </c>
      <c r="J217">
        <v>0</v>
      </c>
      <c r="M217" t="s">
        <v>1910</v>
      </c>
      <c r="N217" t="s">
        <v>1144</v>
      </c>
      <c r="O217">
        <v>0</v>
      </c>
      <c r="P217">
        <v>0</v>
      </c>
      <c r="Q217" t="s">
        <v>381</v>
      </c>
    </row>
    <row r="218" spans="1:17" x14ac:dyDescent="0.15">
      <c r="A218" t="s">
        <v>27</v>
      </c>
      <c r="B218" t="s">
        <v>32</v>
      </c>
      <c r="C218">
        <v>163</v>
      </c>
      <c r="D218" t="s">
        <v>161</v>
      </c>
      <c r="E218" s="1">
        <v>43027</v>
      </c>
      <c r="F218" t="s">
        <v>383</v>
      </c>
      <c r="G218" t="s">
        <v>1303</v>
      </c>
      <c r="H218">
        <v>-750</v>
      </c>
      <c r="I218" t="s">
        <v>38</v>
      </c>
      <c r="J218">
        <v>0</v>
      </c>
      <c r="M218" t="s">
        <v>241</v>
      </c>
      <c r="N218" t="s">
        <v>1306</v>
      </c>
    </row>
    <row r="219" spans="1:17" x14ac:dyDescent="0.15">
      <c r="A219" t="s">
        <v>27</v>
      </c>
      <c r="B219" t="s">
        <v>32</v>
      </c>
      <c r="C219">
        <v>163</v>
      </c>
      <c r="D219" t="s">
        <v>161</v>
      </c>
      <c r="E219" s="1">
        <v>43027</v>
      </c>
      <c r="F219" t="s">
        <v>383</v>
      </c>
      <c r="G219" t="s">
        <v>1303</v>
      </c>
      <c r="H219">
        <v>-750</v>
      </c>
      <c r="I219" t="s">
        <v>38</v>
      </c>
      <c r="J219">
        <v>0</v>
      </c>
      <c r="M219" t="s">
        <v>1910</v>
      </c>
      <c r="N219" t="s">
        <v>1306</v>
      </c>
      <c r="O219">
        <v>0</v>
      </c>
      <c r="P219">
        <v>0</v>
      </c>
      <c r="Q219" t="s">
        <v>381</v>
      </c>
    </row>
    <row r="220" spans="1:17" x14ac:dyDescent="0.15">
      <c r="A220" t="s">
        <v>27</v>
      </c>
      <c r="B220" t="s">
        <v>32</v>
      </c>
      <c r="C220">
        <v>163</v>
      </c>
      <c r="D220" t="s">
        <v>161</v>
      </c>
      <c r="E220" s="1">
        <v>43027</v>
      </c>
      <c r="F220" t="s">
        <v>383</v>
      </c>
      <c r="G220" t="s">
        <v>1303</v>
      </c>
      <c r="H220">
        <v>75</v>
      </c>
      <c r="I220" t="s">
        <v>38</v>
      </c>
      <c r="J220">
        <v>0</v>
      </c>
      <c r="M220" t="s">
        <v>241</v>
      </c>
      <c r="N220" t="s">
        <v>1306</v>
      </c>
    </row>
    <row r="221" spans="1:17" x14ac:dyDescent="0.15">
      <c r="A221" t="s">
        <v>27</v>
      </c>
      <c r="B221" t="s">
        <v>32</v>
      </c>
      <c r="C221">
        <v>163</v>
      </c>
      <c r="D221" t="s">
        <v>161</v>
      </c>
      <c r="E221" s="1">
        <v>43027</v>
      </c>
      <c r="F221" t="s">
        <v>383</v>
      </c>
      <c r="G221" t="s">
        <v>1303</v>
      </c>
      <c r="H221">
        <v>75</v>
      </c>
      <c r="I221" t="s">
        <v>38</v>
      </c>
      <c r="J221">
        <v>0</v>
      </c>
      <c r="M221" t="s">
        <v>1910</v>
      </c>
      <c r="N221" t="s">
        <v>1306</v>
      </c>
      <c r="O221">
        <v>0</v>
      </c>
      <c r="P221">
        <v>0</v>
      </c>
      <c r="Q221" t="s">
        <v>381</v>
      </c>
    </row>
    <row r="222" spans="1:17" x14ac:dyDescent="0.15">
      <c r="A222" t="s">
        <v>16</v>
      </c>
      <c r="B222" t="s">
        <v>32</v>
      </c>
      <c r="C222">
        <v>163</v>
      </c>
      <c r="D222" t="s">
        <v>161</v>
      </c>
      <c r="E222" s="1">
        <v>42843</v>
      </c>
      <c r="F222" t="s">
        <v>17</v>
      </c>
      <c r="G222" t="s">
        <v>733</v>
      </c>
      <c r="H222">
        <v>6045</v>
      </c>
      <c r="I222" t="s">
        <v>38</v>
      </c>
      <c r="J222">
        <v>0</v>
      </c>
      <c r="K222">
        <v>0</v>
      </c>
      <c r="L222" t="s">
        <v>375</v>
      </c>
      <c r="M222" t="s">
        <v>241</v>
      </c>
      <c r="N222" t="s">
        <v>738</v>
      </c>
    </row>
    <row r="223" spans="1:17" x14ac:dyDescent="0.15">
      <c r="A223" t="s">
        <v>16</v>
      </c>
      <c r="B223" t="s">
        <v>32</v>
      </c>
      <c r="C223">
        <v>163</v>
      </c>
      <c r="D223" t="s">
        <v>161</v>
      </c>
      <c r="E223" s="1">
        <v>42843</v>
      </c>
      <c r="F223" t="s">
        <v>17</v>
      </c>
      <c r="G223" t="s">
        <v>733</v>
      </c>
      <c r="H223">
        <v>6045</v>
      </c>
      <c r="I223" t="s">
        <v>38</v>
      </c>
      <c r="J223">
        <v>0</v>
      </c>
      <c r="K223">
        <v>0</v>
      </c>
      <c r="L223" t="s">
        <v>375</v>
      </c>
      <c r="M223" t="s">
        <v>1910</v>
      </c>
      <c r="N223" t="s">
        <v>738</v>
      </c>
      <c r="O223">
        <v>0</v>
      </c>
      <c r="P223">
        <v>0</v>
      </c>
      <c r="Q223" t="s">
        <v>381</v>
      </c>
    </row>
    <row r="224" spans="1:17" x14ac:dyDescent="0.15">
      <c r="A224" t="s">
        <v>16</v>
      </c>
      <c r="B224" t="s">
        <v>32</v>
      </c>
      <c r="C224">
        <v>163</v>
      </c>
      <c r="D224" t="s">
        <v>161</v>
      </c>
      <c r="E224" s="1">
        <v>42851</v>
      </c>
      <c r="F224" t="s">
        <v>383</v>
      </c>
      <c r="G224" t="s">
        <v>513</v>
      </c>
      <c r="H224">
        <v>-6142.5</v>
      </c>
      <c r="I224" t="s">
        <v>38</v>
      </c>
      <c r="J224">
        <v>0</v>
      </c>
      <c r="M224" t="s">
        <v>241</v>
      </c>
      <c r="N224" t="s">
        <v>516</v>
      </c>
    </row>
    <row r="225" spans="1:17" x14ac:dyDescent="0.15">
      <c r="A225" t="s">
        <v>16</v>
      </c>
      <c r="B225" t="s">
        <v>32</v>
      </c>
      <c r="C225">
        <v>163</v>
      </c>
      <c r="D225" t="s">
        <v>161</v>
      </c>
      <c r="E225" s="1">
        <v>42851</v>
      </c>
      <c r="F225" t="s">
        <v>383</v>
      </c>
      <c r="G225" t="s">
        <v>513</v>
      </c>
      <c r="H225">
        <v>-6142.5</v>
      </c>
      <c r="I225" t="s">
        <v>38</v>
      </c>
      <c r="J225">
        <v>0</v>
      </c>
      <c r="M225" t="s">
        <v>1910</v>
      </c>
      <c r="N225" t="s">
        <v>516</v>
      </c>
      <c r="O225">
        <v>0</v>
      </c>
      <c r="P225">
        <v>0</v>
      </c>
      <c r="Q225" t="s">
        <v>381</v>
      </c>
    </row>
    <row r="226" spans="1:17" x14ac:dyDescent="0.15">
      <c r="A226" t="s">
        <v>16</v>
      </c>
      <c r="B226" t="s">
        <v>32</v>
      </c>
      <c r="C226">
        <v>163</v>
      </c>
      <c r="D226" t="s">
        <v>161</v>
      </c>
      <c r="E226" s="1">
        <v>42851</v>
      </c>
      <c r="F226" t="s">
        <v>383</v>
      </c>
      <c r="G226" t="s">
        <v>517</v>
      </c>
      <c r="H226">
        <v>-195</v>
      </c>
      <c r="I226" t="s">
        <v>38</v>
      </c>
      <c r="J226">
        <v>0</v>
      </c>
      <c r="M226" t="s">
        <v>241</v>
      </c>
      <c r="N226" t="s">
        <v>519</v>
      </c>
    </row>
    <row r="227" spans="1:17" x14ac:dyDescent="0.15">
      <c r="A227" t="s">
        <v>16</v>
      </c>
      <c r="B227" t="s">
        <v>32</v>
      </c>
      <c r="C227">
        <v>163</v>
      </c>
      <c r="D227" t="s">
        <v>161</v>
      </c>
      <c r="E227" s="1">
        <v>42851</v>
      </c>
      <c r="F227" t="s">
        <v>383</v>
      </c>
      <c r="G227" t="s">
        <v>517</v>
      </c>
      <c r="H227">
        <v>-195</v>
      </c>
      <c r="I227" t="s">
        <v>38</v>
      </c>
      <c r="J227">
        <v>0</v>
      </c>
      <c r="M227" t="s">
        <v>1910</v>
      </c>
      <c r="N227" t="s">
        <v>519</v>
      </c>
      <c r="O227">
        <v>0</v>
      </c>
      <c r="P227">
        <v>0</v>
      </c>
      <c r="Q227" t="s">
        <v>381</v>
      </c>
    </row>
    <row r="228" spans="1:17" x14ac:dyDescent="0.15">
      <c r="A228" t="s">
        <v>16</v>
      </c>
      <c r="B228" t="s">
        <v>32</v>
      </c>
      <c r="C228">
        <v>163</v>
      </c>
      <c r="D228" t="s">
        <v>161</v>
      </c>
      <c r="E228" s="1">
        <v>42865</v>
      </c>
      <c r="F228" t="s">
        <v>383</v>
      </c>
      <c r="G228" t="s">
        <v>544</v>
      </c>
      <c r="H228">
        <v>-195</v>
      </c>
      <c r="I228" t="s">
        <v>38</v>
      </c>
      <c r="J228">
        <v>0</v>
      </c>
      <c r="M228" t="s">
        <v>241</v>
      </c>
      <c r="N228" t="s">
        <v>547</v>
      </c>
    </row>
    <row r="229" spans="1:17" x14ac:dyDescent="0.15">
      <c r="A229" t="s">
        <v>16</v>
      </c>
      <c r="B229" t="s">
        <v>32</v>
      </c>
      <c r="C229">
        <v>163</v>
      </c>
      <c r="D229" t="s">
        <v>161</v>
      </c>
      <c r="E229" s="1">
        <v>42865</v>
      </c>
      <c r="F229" t="s">
        <v>383</v>
      </c>
      <c r="G229" t="s">
        <v>544</v>
      </c>
      <c r="H229">
        <v>-195</v>
      </c>
      <c r="I229" t="s">
        <v>38</v>
      </c>
      <c r="J229">
        <v>0</v>
      </c>
      <c r="M229" t="s">
        <v>1910</v>
      </c>
      <c r="N229" t="s">
        <v>547</v>
      </c>
      <c r="O229">
        <v>0</v>
      </c>
      <c r="P229">
        <v>0</v>
      </c>
      <c r="Q229" t="s">
        <v>381</v>
      </c>
    </row>
    <row r="230" spans="1:17" x14ac:dyDescent="0.15">
      <c r="A230" t="s">
        <v>144</v>
      </c>
      <c r="B230" t="s">
        <v>211</v>
      </c>
      <c r="C230">
        <v>163</v>
      </c>
      <c r="D230" t="s">
        <v>161</v>
      </c>
      <c r="E230" s="1">
        <v>42871</v>
      </c>
      <c r="F230" t="s">
        <v>383</v>
      </c>
      <c r="G230" t="s">
        <v>541</v>
      </c>
      <c r="H230">
        <v>-33.5</v>
      </c>
      <c r="I230" t="s">
        <v>38</v>
      </c>
      <c r="J230">
        <v>0</v>
      </c>
      <c r="M230" t="s">
        <v>241</v>
      </c>
      <c r="N230" t="s">
        <v>542</v>
      </c>
    </row>
    <row r="231" spans="1:17" x14ac:dyDescent="0.15">
      <c r="A231" t="s">
        <v>144</v>
      </c>
      <c r="B231" t="s">
        <v>211</v>
      </c>
      <c r="C231">
        <v>163</v>
      </c>
      <c r="D231" t="s">
        <v>161</v>
      </c>
      <c r="E231" s="1">
        <v>42871</v>
      </c>
      <c r="F231" t="s">
        <v>383</v>
      </c>
      <c r="G231" t="s">
        <v>541</v>
      </c>
      <c r="H231">
        <v>-33.5</v>
      </c>
      <c r="I231" t="s">
        <v>38</v>
      </c>
      <c r="J231">
        <v>0</v>
      </c>
      <c r="M231" t="s">
        <v>1910</v>
      </c>
      <c r="N231" t="s">
        <v>542</v>
      </c>
      <c r="O231">
        <v>0</v>
      </c>
      <c r="P231">
        <v>0</v>
      </c>
      <c r="Q231" t="s">
        <v>381</v>
      </c>
    </row>
    <row r="232" spans="1:17" x14ac:dyDescent="0.15">
      <c r="A232" t="s">
        <v>144</v>
      </c>
      <c r="B232" t="s">
        <v>211</v>
      </c>
      <c r="C232">
        <v>163</v>
      </c>
      <c r="D232" t="s">
        <v>161</v>
      </c>
      <c r="E232" s="1">
        <v>43049</v>
      </c>
      <c r="F232" t="s">
        <v>17</v>
      </c>
      <c r="G232" t="s">
        <v>1641</v>
      </c>
      <c r="H232">
        <v>67</v>
      </c>
      <c r="I232" t="s">
        <v>38</v>
      </c>
      <c r="J232">
        <v>0</v>
      </c>
      <c r="K232">
        <v>0</v>
      </c>
      <c r="L232" t="s">
        <v>375</v>
      </c>
      <c r="M232" t="s">
        <v>241</v>
      </c>
      <c r="N232" t="s">
        <v>1644</v>
      </c>
    </row>
    <row r="233" spans="1:17" x14ac:dyDescent="0.15">
      <c r="A233" t="s">
        <v>144</v>
      </c>
      <c r="B233" t="s">
        <v>211</v>
      </c>
      <c r="C233">
        <v>163</v>
      </c>
      <c r="D233" t="s">
        <v>161</v>
      </c>
      <c r="E233" s="1">
        <v>43049</v>
      </c>
      <c r="F233" t="s">
        <v>17</v>
      </c>
      <c r="G233" t="s">
        <v>1641</v>
      </c>
      <c r="H233">
        <v>67</v>
      </c>
      <c r="I233" t="s">
        <v>38</v>
      </c>
      <c r="J233">
        <v>0</v>
      </c>
      <c r="K233">
        <v>0</v>
      </c>
      <c r="L233" t="s">
        <v>375</v>
      </c>
      <c r="M233" t="s">
        <v>1910</v>
      </c>
      <c r="N233" t="s">
        <v>1644</v>
      </c>
      <c r="O233">
        <v>0</v>
      </c>
      <c r="P233">
        <v>0</v>
      </c>
      <c r="Q233" t="s">
        <v>381</v>
      </c>
    </row>
    <row r="234" spans="1:17" x14ac:dyDescent="0.15">
      <c r="A234" t="s">
        <v>144</v>
      </c>
      <c r="B234" t="s">
        <v>211</v>
      </c>
      <c r="C234">
        <v>163</v>
      </c>
      <c r="D234" t="s">
        <v>161</v>
      </c>
      <c r="E234" s="1">
        <v>43063</v>
      </c>
      <c r="F234" t="s">
        <v>383</v>
      </c>
      <c r="G234" t="s">
        <v>1358</v>
      </c>
      <c r="H234">
        <v>-31.15</v>
      </c>
      <c r="I234" t="s">
        <v>38</v>
      </c>
      <c r="J234">
        <v>0</v>
      </c>
      <c r="M234" t="s">
        <v>241</v>
      </c>
      <c r="N234" t="s">
        <v>1359</v>
      </c>
    </row>
    <row r="235" spans="1:17" x14ac:dyDescent="0.15">
      <c r="A235" t="s">
        <v>144</v>
      </c>
      <c r="B235" t="s">
        <v>211</v>
      </c>
      <c r="C235">
        <v>163</v>
      </c>
      <c r="D235" t="s">
        <v>161</v>
      </c>
      <c r="E235" s="1">
        <v>43063</v>
      </c>
      <c r="F235" t="s">
        <v>383</v>
      </c>
      <c r="G235" t="s">
        <v>1358</v>
      </c>
      <c r="H235">
        <v>-31.15</v>
      </c>
      <c r="I235" t="s">
        <v>38</v>
      </c>
      <c r="J235">
        <v>0</v>
      </c>
      <c r="M235" t="s">
        <v>1910</v>
      </c>
      <c r="N235" t="s">
        <v>1359</v>
      </c>
      <c r="O235">
        <v>0</v>
      </c>
      <c r="P235">
        <v>0</v>
      </c>
      <c r="Q235" t="s">
        <v>381</v>
      </c>
    </row>
    <row r="236" spans="1:17" x14ac:dyDescent="0.15">
      <c r="A236" t="s">
        <v>145</v>
      </c>
      <c r="B236" t="s">
        <v>280</v>
      </c>
      <c r="C236">
        <v>163</v>
      </c>
      <c r="D236" t="s">
        <v>161</v>
      </c>
      <c r="E236" s="1">
        <v>42997</v>
      </c>
      <c r="F236" t="s">
        <v>383</v>
      </c>
      <c r="G236" t="s">
        <v>1245</v>
      </c>
      <c r="H236">
        <v>-2</v>
      </c>
      <c r="I236" t="s">
        <v>38</v>
      </c>
      <c r="J236">
        <v>0</v>
      </c>
      <c r="M236" t="s">
        <v>241</v>
      </c>
      <c r="N236" t="s">
        <v>1246</v>
      </c>
    </row>
    <row r="237" spans="1:17" x14ac:dyDescent="0.15">
      <c r="A237" t="s">
        <v>145</v>
      </c>
      <c r="B237" t="s">
        <v>280</v>
      </c>
      <c r="C237">
        <v>163</v>
      </c>
      <c r="D237" t="s">
        <v>161</v>
      </c>
      <c r="E237" s="1">
        <v>42997</v>
      </c>
      <c r="F237" t="s">
        <v>383</v>
      </c>
      <c r="G237" t="s">
        <v>1245</v>
      </c>
      <c r="H237">
        <v>-2</v>
      </c>
      <c r="I237" t="s">
        <v>38</v>
      </c>
      <c r="J237">
        <v>0</v>
      </c>
      <c r="M237" t="s">
        <v>1910</v>
      </c>
      <c r="N237" t="s">
        <v>1246</v>
      </c>
      <c r="O237">
        <v>0</v>
      </c>
      <c r="P237">
        <v>0</v>
      </c>
      <c r="Q237" t="s">
        <v>381</v>
      </c>
    </row>
    <row r="238" spans="1:17" x14ac:dyDescent="0.15">
      <c r="A238" t="s">
        <v>145</v>
      </c>
      <c r="B238" t="s">
        <v>280</v>
      </c>
      <c r="C238">
        <v>163</v>
      </c>
      <c r="D238" t="s">
        <v>161</v>
      </c>
      <c r="E238" s="1">
        <v>43063</v>
      </c>
      <c r="F238" t="s">
        <v>383</v>
      </c>
      <c r="G238" t="s">
        <v>1358</v>
      </c>
      <c r="H238">
        <v>-65</v>
      </c>
      <c r="I238" t="s">
        <v>38</v>
      </c>
      <c r="J238">
        <v>0</v>
      </c>
      <c r="M238" t="s">
        <v>241</v>
      </c>
      <c r="N238" t="s">
        <v>1360</v>
      </c>
    </row>
    <row r="239" spans="1:17" x14ac:dyDescent="0.15">
      <c r="A239" t="s">
        <v>145</v>
      </c>
      <c r="B239" t="s">
        <v>280</v>
      </c>
      <c r="C239">
        <v>163</v>
      </c>
      <c r="D239" t="s">
        <v>161</v>
      </c>
      <c r="E239" s="1">
        <v>43063</v>
      </c>
      <c r="F239" t="s">
        <v>383</v>
      </c>
      <c r="G239" t="s">
        <v>1358</v>
      </c>
      <c r="H239">
        <v>-65</v>
      </c>
      <c r="I239" t="s">
        <v>38</v>
      </c>
      <c r="J239">
        <v>0</v>
      </c>
      <c r="M239" t="s">
        <v>1910</v>
      </c>
      <c r="N239" t="s">
        <v>1360</v>
      </c>
      <c r="O239">
        <v>0</v>
      </c>
      <c r="P239">
        <v>0</v>
      </c>
      <c r="Q239" t="s">
        <v>381</v>
      </c>
    </row>
    <row r="240" spans="1:17" ht="40.5" x14ac:dyDescent="0.15">
      <c r="A240" t="s">
        <v>196</v>
      </c>
      <c r="B240" s="15" t="s">
        <v>282</v>
      </c>
      <c r="C240">
        <v>163</v>
      </c>
      <c r="D240" t="s">
        <v>161</v>
      </c>
      <c r="E240" s="1">
        <v>42947</v>
      </c>
      <c r="F240" t="s">
        <v>383</v>
      </c>
      <c r="G240" t="s">
        <v>1134</v>
      </c>
      <c r="H240">
        <v>-80</v>
      </c>
      <c r="I240" t="s">
        <v>37</v>
      </c>
      <c r="J240">
        <v>0</v>
      </c>
      <c r="M240" t="s">
        <v>241</v>
      </c>
      <c r="N240" t="s">
        <v>1135</v>
      </c>
    </row>
    <row r="241" spans="1:17" ht="40.5" x14ac:dyDescent="0.15">
      <c r="A241" t="s">
        <v>196</v>
      </c>
      <c r="B241" s="15" t="s">
        <v>282</v>
      </c>
      <c r="C241">
        <v>163</v>
      </c>
      <c r="D241" t="s">
        <v>161</v>
      </c>
      <c r="E241" s="1">
        <v>42947</v>
      </c>
      <c r="F241" t="s">
        <v>383</v>
      </c>
      <c r="G241" t="s">
        <v>1134</v>
      </c>
      <c r="H241">
        <v>-80</v>
      </c>
      <c r="I241" t="s">
        <v>37</v>
      </c>
      <c r="J241">
        <v>0</v>
      </c>
      <c r="M241" t="s">
        <v>1910</v>
      </c>
      <c r="N241" t="s">
        <v>1135</v>
      </c>
      <c r="O241">
        <v>0</v>
      </c>
      <c r="P241">
        <v>0</v>
      </c>
      <c r="Q241" t="s">
        <v>381</v>
      </c>
    </row>
    <row r="242" spans="1:17" x14ac:dyDescent="0.15">
      <c r="A242" t="s">
        <v>101</v>
      </c>
      <c r="B242" t="s">
        <v>102</v>
      </c>
      <c r="C242">
        <v>163</v>
      </c>
      <c r="D242" t="s">
        <v>161</v>
      </c>
      <c r="E242" s="1">
        <v>42832</v>
      </c>
      <c r="F242" t="s">
        <v>383</v>
      </c>
      <c r="G242" t="s">
        <v>441</v>
      </c>
      <c r="H242">
        <v>-200</v>
      </c>
      <c r="I242" t="s">
        <v>39</v>
      </c>
      <c r="J242">
        <v>0</v>
      </c>
      <c r="M242" t="s">
        <v>241</v>
      </c>
      <c r="N242" t="s">
        <v>442</v>
      </c>
    </row>
    <row r="243" spans="1:17" x14ac:dyDescent="0.15">
      <c r="A243" t="s">
        <v>101</v>
      </c>
      <c r="B243" t="s">
        <v>102</v>
      </c>
      <c r="C243">
        <v>163</v>
      </c>
      <c r="D243" t="s">
        <v>161</v>
      </c>
      <c r="E243" s="1">
        <v>42832</v>
      </c>
      <c r="F243" t="s">
        <v>383</v>
      </c>
      <c r="G243" t="s">
        <v>441</v>
      </c>
      <c r="H243">
        <v>-200</v>
      </c>
      <c r="I243" t="s">
        <v>39</v>
      </c>
      <c r="J243">
        <v>0</v>
      </c>
      <c r="M243" t="s">
        <v>1910</v>
      </c>
      <c r="N243" t="s">
        <v>442</v>
      </c>
      <c r="O243">
        <v>0</v>
      </c>
      <c r="P243">
        <v>0</v>
      </c>
      <c r="Q243" t="s">
        <v>381</v>
      </c>
    </row>
    <row r="244" spans="1:17" x14ac:dyDescent="0.15">
      <c r="A244" t="s">
        <v>101</v>
      </c>
      <c r="B244" t="s">
        <v>102</v>
      </c>
      <c r="C244">
        <v>163</v>
      </c>
      <c r="D244" t="s">
        <v>161</v>
      </c>
      <c r="E244" s="1">
        <v>42843</v>
      </c>
      <c r="F244" t="s">
        <v>17</v>
      </c>
      <c r="G244" t="s">
        <v>715</v>
      </c>
      <c r="H244">
        <v>300</v>
      </c>
      <c r="I244" t="s">
        <v>39</v>
      </c>
      <c r="J244">
        <v>0</v>
      </c>
      <c r="K244">
        <v>0</v>
      </c>
      <c r="L244" t="s">
        <v>375</v>
      </c>
      <c r="M244" t="s">
        <v>241</v>
      </c>
      <c r="N244" t="s">
        <v>716</v>
      </c>
    </row>
    <row r="245" spans="1:17" x14ac:dyDescent="0.15">
      <c r="A245" t="s">
        <v>101</v>
      </c>
      <c r="B245" t="s">
        <v>102</v>
      </c>
      <c r="C245">
        <v>163</v>
      </c>
      <c r="D245" t="s">
        <v>161</v>
      </c>
      <c r="E245" s="1">
        <v>42843</v>
      </c>
      <c r="F245" t="s">
        <v>17</v>
      </c>
      <c r="G245" t="s">
        <v>715</v>
      </c>
      <c r="H245">
        <v>300</v>
      </c>
      <c r="I245" t="s">
        <v>39</v>
      </c>
      <c r="J245">
        <v>0</v>
      </c>
      <c r="K245">
        <v>0</v>
      </c>
      <c r="L245" t="s">
        <v>375</v>
      </c>
      <c r="M245" t="s">
        <v>1910</v>
      </c>
      <c r="N245" t="s">
        <v>716</v>
      </c>
      <c r="O245">
        <v>0</v>
      </c>
      <c r="P245">
        <v>0</v>
      </c>
      <c r="Q245" t="s">
        <v>381</v>
      </c>
    </row>
    <row r="246" spans="1:17" x14ac:dyDescent="0.15">
      <c r="A246" t="s">
        <v>101</v>
      </c>
      <c r="B246" t="s">
        <v>102</v>
      </c>
      <c r="C246">
        <v>163</v>
      </c>
      <c r="D246" t="s">
        <v>161</v>
      </c>
      <c r="E246" s="1">
        <v>42884</v>
      </c>
      <c r="F246" t="s">
        <v>17</v>
      </c>
      <c r="G246" t="s">
        <v>788</v>
      </c>
      <c r="H246">
        <v>570</v>
      </c>
      <c r="I246" t="s">
        <v>39</v>
      </c>
      <c r="J246">
        <v>0</v>
      </c>
      <c r="K246">
        <v>0</v>
      </c>
      <c r="L246" t="s">
        <v>375</v>
      </c>
      <c r="M246" t="s">
        <v>241</v>
      </c>
      <c r="N246" t="s">
        <v>789</v>
      </c>
    </row>
    <row r="247" spans="1:17" x14ac:dyDescent="0.15">
      <c r="A247" t="s">
        <v>101</v>
      </c>
      <c r="B247" t="s">
        <v>102</v>
      </c>
      <c r="C247">
        <v>163</v>
      </c>
      <c r="D247" t="s">
        <v>161</v>
      </c>
      <c r="E247" s="1">
        <v>42884</v>
      </c>
      <c r="F247" t="s">
        <v>17</v>
      </c>
      <c r="G247" t="s">
        <v>788</v>
      </c>
      <c r="H247">
        <v>570</v>
      </c>
      <c r="I247" t="s">
        <v>39</v>
      </c>
      <c r="J247">
        <v>0</v>
      </c>
      <c r="K247">
        <v>0</v>
      </c>
      <c r="L247" t="s">
        <v>375</v>
      </c>
      <c r="M247" t="s">
        <v>1910</v>
      </c>
      <c r="N247" t="s">
        <v>789</v>
      </c>
      <c r="O247">
        <v>0</v>
      </c>
      <c r="P247">
        <v>0</v>
      </c>
      <c r="Q247" t="s">
        <v>381</v>
      </c>
    </row>
    <row r="248" spans="1:17" x14ac:dyDescent="0.15">
      <c r="A248" t="s">
        <v>101</v>
      </c>
      <c r="B248" t="s">
        <v>102</v>
      </c>
      <c r="C248">
        <v>163</v>
      </c>
      <c r="D248" t="s">
        <v>161</v>
      </c>
      <c r="E248" s="1">
        <v>42886</v>
      </c>
      <c r="F248" t="s">
        <v>383</v>
      </c>
      <c r="G248" t="s">
        <v>592</v>
      </c>
      <c r="H248">
        <v>-600</v>
      </c>
      <c r="I248" t="s">
        <v>39</v>
      </c>
      <c r="J248">
        <v>0</v>
      </c>
      <c r="M248" t="s">
        <v>241</v>
      </c>
      <c r="N248" t="s">
        <v>593</v>
      </c>
    </row>
    <row r="249" spans="1:17" x14ac:dyDescent="0.15">
      <c r="A249" t="s">
        <v>101</v>
      </c>
      <c r="B249" t="s">
        <v>102</v>
      </c>
      <c r="C249">
        <v>163</v>
      </c>
      <c r="D249" t="s">
        <v>161</v>
      </c>
      <c r="E249" s="1">
        <v>42886</v>
      </c>
      <c r="F249" t="s">
        <v>383</v>
      </c>
      <c r="G249" t="s">
        <v>592</v>
      </c>
      <c r="H249">
        <v>-600</v>
      </c>
      <c r="I249" t="s">
        <v>39</v>
      </c>
      <c r="J249">
        <v>0</v>
      </c>
      <c r="M249" t="s">
        <v>1910</v>
      </c>
      <c r="N249" t="s">
        <v>593</v>
      </c>
      <c r="O249">
        <v>0</v>
      </c>
      <c r="P249">
        <v>0</v>
      </c>
      <c r="Q249" t="s">
        <v>381</v>
      </c>
    </row>
    <row r="250" spans="1:17" x14ac:dyDescent="0.15">
      <c r="A250" t="s">
        <v>101</v>
      </c>
      <c r="B250" t="s">
        <v>102</v>
      </c>
      <c r="C250">
        <v>163</v>
      </c>
      <c r="D250" t="s">
        <v>161</v>
      </c>
      <c r="E250" s="1">
        <v>42886</v>
      </c>
      <c r="F250" t="s">
        <v>383</v>
      </c>
      <c r="G250" t="s">
        <v>607</v>
      </c>
      <c r="H250">
        <v>600</v>
      </c>
      <c r="I250" t="s">
        <v>39</v>
      </c>
      <c r="J250">
        <v>0</v>
      </c>
      <c r="M250" t="s">
        <v>241</v>
      </c>
      <c r="N250" t="s">
        <v>608</v>
      </c>
    </row>
    <row r="251" spans="1:17" x14ac:dyDescent="0.15">
      <c r="A251" t="s">
        <v>101</v>
      </c>
      <c r="B251" t="s">
        <v>102</v>
      </c>
      <c r="C251">
        <v>163</v>
      </c>
      <c r="D251" t="s">
        <v>161</v>
      </c>
      <c r="E251" s="1">
        <v>42886</v>
      </c>
      <c r="F251" t="s">
        <v>383</v>
      </c>
      <c r="G251" t="s">
        <v>607</v>
      </c>
      <c r="H251">
        <v>600</v>
      </c>
      <c r="I251" t="s">
        <v>39</v>
      </c>
      <c r="J251">
        <v>0</v>
      </c>
      <c r="M251" t="s">
        <v>1910</v>
      </c>
      <c r="N251" t="s">
        <v>608</v>
      </c>
      <c r="O251">
        <v>0</v>
      </c>
      <c r="P251">
        <v>0</v>
      </c>
      <c r="Q251" t="s">
        <v>381</v>
      </c>
    </row>
    <row r="252" spans="1:17" x14ac:dyDescent="0.15">
      <c r="A252" t="s">
        <v>101</v>
      </c>
      <c r="B252" t="s">
        <v>102</v>
      </c>
      <c r="C252">
        <v>163</v>
      </c>
      <c r="D252" t="s">
        <v>161</v>
      </c>
      <c r="E252" s="1">
        <v>42886</v>
      </c>
      <c r="F252" t="s">
        <v>383</v>
      </c>
      <c r="G252" t="s">
        <v>610</v>
      </c>
      <c r="H252">
        <v>-600</v>
      </c>
      <c r="I252" t="s">
        <v>39</v>
      </c>
      <c r="J252">
        <v>0</v>
      </c>
      <c r="M252" t="s">
        <v>241</v>
      </c>
      <c r="N252" t="s">
        <v>611</v>
      </c>
    </row>
    <row r="253" spans="1:17" x14ac:dyDescent="0.15">
      <c r="A253" t="s">
        <v>101</v>
      </c>
      <c r="B253" t="s">
        <v>102</v>
      </c>
      <c r="C253">
        <v>163</v>
      </c>
      <c r="D253" t="s">
        <v>161</v>
      </c>
      <c r="E253" s="1">
        <v>42886</v>
      </c>
      <c r="F253" t="s">
        <v>383</v>
      </c>
      <c r="G253" t="s">
        <v>610</v>
      </c>
      <c r="H253">
        <v>-600</v>
      </c>
      <c r="I253" t="s">
        <v>39</v>
      </c>
      <c r="J253">
        <v>0</v>
      </c>
      <c r="M253" t="s">
        <v>1910</v>
      </c>
      <c r="N253" t="s">
        <v>611</v>
      </c>
      <c r="O253">
        <v>0</v>
      </c>
      <c r="P253">
        <v>0</v>
      </c>
      <c r="Q253" t="s">
        <v>381</v>
      </c>
    </row>
    <row r="254" spans="1:17" x14ac:dyDescent="0.15">
      <c r="A254" t="s">
        <v>101</v>
      </c>
      <c r="B254" t="s">
        <v>102</v>
      </c>
      <c r="C254">
        <v>163</v>
      </c>
      <c r="D254" t="s">
        <v>161</v>
      </c>
      <c r="E254" s="1">
        <v>42892</v>
      </c>
      <c r="F254" t="s">
        <v>383</v>
      </c>
      <c r="G254" t="s">
        <v>613</v>
      </c>
      <c r="H254">
        <v>-70</v>
      </c>
      <c r="I254" t="s">
        <v>39</v>
      </c>
      <c r="J254">
        <v>0</v>
      </c>
      <c r="M254" t="s">
        <v>241</v>
      </c>
      <c r="N254" t="s">
        <v>614</v>
      </c>
    </row>
    <row r="255" spans="1:17" x14ac:dyDescent="0.15">
      <c r="A255" t="s">
        <v>101</v>
      </c>
      <c r="B255" t="s">
        <v>102</v>
      </c>
      <c r="C255">
        <v>163</v>
      </c>
      <c r="D255" t="s">
        <v>161</v>
      </c>
      <c r="E255" s="1">
        <v>42892</v>
      </c>
      <c r="F255" t="s">
        <v>383</v>
      </c>
      <c r="G255" t="s">
        <v>613</v>
      </c>
      <c r="H255">
        <v>-70</v>
      </c>
      <c r="I255" t="s">
        <v>39</v>
      </c>
      <c r="J255">
        <v>0</v>
      </c>
      <c r="M255" t="s">
        <v>1910</v>
      </c>
      <c r="N255" t="s">
        <v>614</v>
      </c>
      <c r="O255">
        <v>0</v>
      </c>
      <c r="P255">
        <v>0</v>
      </c>
      <c r="Q255" t="s">
        <v>381</v>
      </c>
    </row>
    <row r="256" spans="1:17" x14ac:dyDescent="0.15">
      <c r="A256" t="s">
        <v>101</v>
      </c>
      <c r="B256" t="s">
        <v>102</v>
      </c>
      <c r="C256">
        <v>163</v>
      </c>
      <c r="D256" t="s">
        <v>161</v>
      </c>
      <c r="E256" s="1">
        <v>42922</v>
      </c>
      <c r="F256" t="s">
        <v>383</v>
      </c>
      <c r="G256" t="s">
        <v>1040</v>
      </c>
      <c r="H256">
        <v>-20</v>
      </c>
      <c r="I256" t="s">
        <v>39</v>
      </c>
      <c r="J256">
        <v>0</v>
      </c>
      <c r="M256" t="s">
        <v>241</v>
      </c>
      <c r="N256" t="s">
        <v>1041</v>
      </c>
    </row>
    <row r="257" spans="1:17" x14ac:dyDescent="0.15">
      <c r="A257" t="s">
        <v>101</v>
      </c>
      <c r="B257" t="s">
        <v>102</v>
      </c>
      <c r="C257">
        <v>163</v>
      </c>
      <c r="D257" t="s">
        <v>161</v>
      </c>
      <c r="E257" s="1">
        <v>42922</v>
      </c>
      <c r="F257" t="s">
        <v>383</v>
      </c>
      <c r="G257" t="s">
        <v>1040</v>
      </c>
      <c r="H257">
        <v>-20</v>
      </c>
      <c r="I257" t="s">
        <v>39</v>
      </c>
      <c r="J257">
        <v>0</v>
      </c>
      <c r="M257" t="s">
        <v>1910</v>
      </c>
      <c r="N257" t="s">
        <v>1041</v>
      </c>
      <c r="O257">
        <v>0</v>
      </c>
      <c r="P257">
        <v>0</v>
      </c>
      <c r="Q257" t="s">
        <v>381</v>
      </c>
    </row>
    <row r="258" spans="1:17" x14ac:dyDescent="0.15">
      <c r="A258" t="s">
        <v>101</v>
      </c>
      <c r="B258" t="s">
        <v>102</v>
      </c>
      <c r="C258">
        <v>163</v>
      </c>
      <c r="D258" t="s">
        <v>161</v>
      </c>
      <c r="E258" s="1">
        <v>42923</v>
      </c>
      <c r="F258" t="s">
        <v>383</v>
      </c>
      <c r="G258" t="s">
        <v>1051</v>
      </c>
      <c r="H258">
        <v>-100</v>
      </c>
      <c r="I258" t="s">
        <v>39</v>
      </c>
      <c r="J258">
        <v>0</v>
      </c>
      <c r="M258" t="s">
        <v>241</v>
      </c>
      <c r="N258" t="s">
        <v>1052</v>
      </c>
    </row>
    <row r="259" spans="1:17" x14ac:dyDescent="0.15">
      <c r="A259" t="s">
        <v>101</v>
      </c>
      <c r="B259" t="s">
        <v>102</v>
      </c>
      <c r="C259">
        <v>163</v>
      </c>
      <c r="D259" t="s">
        <v>161</v>
      </c>
      <c r="E259" s="1">
        <v>42923</v>
      </c>
      <c r="F259" t="s">
        <v>383</v>
      </c>
      <c r="G259" t="s">
        <v>1051</v>
      </c>
      <c r="H259">
        <v>-100</v>
      </c>
      <c r="I259" t="s">
        <v>39</v>
      </c>
      <c r="J259">
        <v>0</v>
      </c>
      <c r="M259" t="s">
        <v>1910</v>
      </c>
      <c r="N259" t="s">
        <v>1052</v>
      </c>
      <c r="O259">
        <v>0</v>
      </c>
      <c r="P259">
        <v>0</v>
      </c>
      <c r="Q259" t="s">
        <v>381</v>
      </c>
    </row>
    <row r="260" spans="1:17" x14ac:dyDescent="0.15">
      <c r="A260" t="s">
        <v>101</v>
      </c>
      <c r="B260" t="s">
        <v>102</v>
      </c>
      <c r="C260">
        <v>163</v>
      </c>
      <c r="D260" t="s">
        <v>161</v>
      </c>
      <c r="E260" s="1">
        <v>42970</v>
      </c>
      <c r="F260" t="s">
        <v>383</v>
      </c>
      <c r="G260" t="s">
        <v>1168</v>
      </c>
      <c r="H260">
        <v>-100</v>
      </c>
      <c r="I260" t="s">
        <v>39</v>
      </c>
      <c r="J260">
        <v>0</v>
      </c>
      <c r="M260" t="s">
        <v>241</v>
      </c>
      <c r="N260" t="s">
        <v>1169</v>
      </c>
    </row>
    <row r="261" spans="1:17" x14ac:dyDescent="0.15">
      <c r="A261" t="s">
        <v>101</v>
      </c>
      <c r="B261" t="s">
        <v>102</v>
      </c>
      <c r="C261">
        <v>163</v>
      </c>
      <c r="D261" t="s">
        <v>161</v>
      </c>
      <c r="E261" s="1">
        <v>42970</v>
      </c>
      <c r="F261" t="s">
        <v>383</v>
      </c>
      <c r="G261" t="s">
        <v>1168</v>
      </c>
      <c r="H261">
        <v>-100</v>
      </c>
      <c r="I261" t="s">
        <v>39</v>
      </c>
      <c r="J261">
        <v>0</v>
      </c>
      <c r="M261" t="s">
        <v>1910</v>
      </c>
      <c r="N261" t="s">
        <v>1169</v>
      </c>
      <c r="O261">
        <v>0</v>
      </c>
      <c r="P261">
        <v>0</v>
      </c>
      <c r="Q261" t="s">
        <v>381</v>
      </c>
    </row>
    <row r="262" spans="1:17" x14ac:dyDescent="0.15">
      <c r="A262" t="s">
        <v>101</v>
      </c>
      <c r="B262" t="s">
        <v>102</v>
      </c>
      <c r="C262">
        <v>163</v>
      </c>
      <c r="D262" t="s">
        <v>161</v>
      </c>
      <c r="E262" s="1">
        <v>42978</v>
      </c>
      <c r="F262" t="s">
        <v>383</v>
      </c>
      <c r="G262" t="s">
        <v>1171</v>
      </c>
      <c r="H262">
        <v>-80</v>
      </c>
      <c r="I262" t="s">
        <v>39</v>
      </c>
      <c r="J262">
        <v>0</v>
      </c>
      <c r="M262" t="s">
        <v>241</v>
      </c>
      <c r="N262" t="s">
        <v>1173</v>
      </c>
    </row>
    <row r="263" spans="1:17" x14ac:dyDescent="0.15">
      <c r="A263" t="s">
        <v>101</v>
      </c>
      <c r="B263" t="s">
        <v>102</v>
      </c>
      <c r="C263">
        <v>163</v>
      </c>
      <c r="D263" t="s">
        <v>161</v>
      </c>
      <c r="E263" s="1">
        <v>42978</v>
      </c>
      <c r="F263" t="s">
        <v>383</v>
      </c>
      <c r="G263" t="s">
        <v>1171</v>
      </c>
      <c r="H263">
        <v>-80</v>
      </c>
      <c r="I263" t="s">
        <v>39</v>
      </c>
      <c r="J263">
        <v>0</v>
      </c>
      <c r="M263" t="s">
        <v>1910</v>
      </c>
      <c r="N263" t="s">
        <v>1173</v>
      </c>
      <c r="O263">
        <v>0</v>
      </c>
      <c r="P263">
        <v>0</v>
      </c>
      <c r="Q263" t="s">
        <v>381</v>
      </c>
    </row>
    <row r="264" spans="1:17" x14ac:dyDescent="0.15">
      <c r="A264" t="s">
        <v>101</v>
      </c>
      <c r="B264" t="s">
        <v>102</v>
      </c>
      <c r="C264">
        <v>163</v>
      </c>
      <c r="D264" t="s">
        <v>161</v>
      </c>
      <c r="E264" s="1">
        <v>42978</v>
      </c>
      <c r="F264" t="s">
        <v>17</v>
      </c>
      <c r="G264" t="s">
        <v>1561</v>
      </c>
      <c r="H264">
        <v>600</v>
      </c>
      <c r="I264" t="s">
        <v>39</v>
      </c>
      <c r="J264">
        <v>0</v>
      </c>
      <c r="K264">
        <v>0</v>
      </c>
      <c r="L264" t="s">
        <v>375</v>
      </c>
      <c r="M264" t="s">
        <v>241</v>
      </c>
      <c r="N264" t="s">
        <v>1562</v>
      </c>
    </row>
    <row r="265" spans="1:17" x14ac:dyDescent="0.15">
      <c r="A265" t="s">
        <v>101</v>
      </c>
      <c r="B265" t="s">
        <v>102</v>
      </c>
      <c r="C265">
        <v>163</v>
      </c>
      <c r="D265" t="s">
        <v>161</v>
      </c>
      <c r="E265" s="1">
        <v>42978</v>
      </c>
      <c r="F265" t="s">
        <v>17</v>
      </c>
      <c r="G265" t="s">
        <v>1561</v>
      </c>
      <c r="H265">
        <v>600</v>
      </c>
      <c r="I265" t="s">
        <v>39</v>
      </c>
      <c r="J265">
        <v>0</v>
      </c>
      <c r="K265">
        <v>0</v>
      </c>
      <c r="L265" t="s">
        <v>375</v>
      </c>
      <c r="M265" t="s">
        <v>1910</v>
      </c>
      <c r="N265" t="s">
        <v>1562</v>
      </c>
      <c r="O265">
        <v>0</v>
      </c>
      <c r="P265">
        <v>0</v>
      </c>
      <c r="Q265" t="s">
        <v>381</v>
      </c>
    </row>
    <row r="266" spans="1:17" x14ac:dyDescent="0.15">
      <c r="A266" t="s">
        <v>101</v>
      </c>
      <c r="B266" t="s">
        <v>102</v>
      </c>
      <c r="C266">
        <v>163</v>
      </c>
      <c r="D266" t="s">
        <v>161</v>
      </c>
      <c r="E266" s="1">
        <v>42991</v>
      </c>
      <c r="F266" t="s">
        <v>383</v>
      </c>
      <c r="G266" t="s">
        <v>1231</v>
      </c>
      <c r="H266">
        <v>-100</v>
      </c>
      <c r="I266" t="s">
        <v>39</v>
      </c>
      <c r="J266">
        <v>0</v>
      </c>
      <c r="M266" t="s">
        <v>241</v>
      </c>
      <c r="N266" t="s">
        <v>1232</v>
      </c>
    </row>
    <row r="267" spans="1:17" x14ac:dyDescent="0.15">
      <c r="A267" t="s">
        <v>101</v>
      </c>
      <c r="B267" t="s">
        <v>102</v>
      </c>
      <c r="C267">
        <v>163</v>
      </c>
      <c r="D267" t="s">
        <v>161</v>
      </c>
      <c r="E267" s="1">
        <v>42991</v>
      </c>
      <c r="F267" t="s">
        <v>383</v>
      </c>
      <c r="G267" t="s">
        <v>1231</v>
      </c>
      <c r="H267">
        <v>-100</v>
      </c>
      <c r="I267" t="s">
        <v>39</v>
      </c>
      <c r="J267">
        <v>0</v>
      </c>
      <c r="M267" t="s">
        <v>1910</v>
      </c>
      <c r="N267" t="s">
        <v>1232</v>
      </c>
      <c r="O267">
        <v>0</v>
      </c>
      <c r="P267">
        <v>0</v>
      </c>
      <c r="Q267" t="s">
        <v>381</v>
      </c>
    </row>
    <row r="268" spans="1:17" x14ac:dyDescent="0.15">
      <c r="A268" t="s">
        <v>101</v>
      </c>
      <c r="B268" t="s">
        <v>102</v>
      </c>
      <c r="C268">
        <v>163</v>
      </c>
      <c r="D268" t="s">
        <v>161</v>
      </c>
      <c r="E268" s="1">
        <v>43047</v>
      </c>
      <c r="F268" t="s">
        <v>383</v>
      </c>
      <c r="G268" t="s">
        <v>1347</v>
      </c>
      <c r="H268">
        <v>-300</v>
      </c>
      <c r="I268" t="s">
        <v>39</v>
      </c>
      <c r="J268">
        <v>0</v>
      </c>
      <c r="M268" t="s">
        <v>241</v>
      </c>
      <c r="N268" t="s">
        <v>1348</v>
      </c>
    </row>
    <row r="269" spans="1:17" x14ac:dyDescent="0.15">
      <c r="A269" t="s">
        <v>101</v>
      </c>
      <c r="B269" t="s">
        <v>102</v>
      </c>
      <c r="C269">
        <v>163</v>
      </c>
      <c r="D269" t="s">
        <v>161</v>
      </c>
      <c r="E269" s="1">
        <v>43047</v>
      </c>
      <c r="F269" t="s">
        <v>383</v>
      </c>
      <c r="G269" t="s">
        <v>1347</v>
      </c>
      <c r="H269">
        <v>-300</v>
      </c>
      <c r="I269" t="s">
        <v>39</v>
      </c>
      <c r="J269">
        <v>0</v>
      </c>
      <c r="M269" t="s">
        <v>1910</v>
      </c>
      <c r="N269" t="s">
        <v>1348</v>
      </c>
      <c r="O269">
        <v>0</v>
      </c>
      <c r="P269">
        <v>0</v>
      </c>
      <c r="Q269" t="s">
        <v>381</v>
      </c>
    </row>
    <row r="270" spans="1:17" x14ac:dyDescent="0.15">
      <c r="A270" t="s">
        <v>101</v>
      </c>
      <c r="B270" t="s">
        <v>102</v>
      </c>
      <c r="C270">
        <v>163</v>
      </c>
      <c r="D270" t="s">
        <v>161</v>
      </c>
      <c r="E270" s="1">
        <v>43054</v>
      </c>
      <c r="F270" t="s">
        <v>383</v>
      </c>
      <c r="G270" t="s">
        <v>1352</v>
      </c>
      <c r="H270">
        <v>-200</v>
      </c>
      <c r="I270" t="s">
        <v>39</v>
      </c>
      <c r="J270">
        <v>0</v>
      </c>
      <c r="M270" t="s">
        <v>241</v>
      </c>
      <c r="N270" t="s">
        <v>1353</v>
      </c>
    </row>
    <row r="271" spans="1:17" x14ac:dyDescent="0.15">
      <c r="A271" t="s">
        <v>101</v>
      </c>
      <c r="B271" t="s">
        <v>102</v>
      </c>
      <c r="C271">
        <v>163</v>
      </c>
      <c r="D271" t="s">
        <v>161</v>
      </c>
      <c r="E271" s="1">
        <v>43054</v>
      </c>
      <c r="F271" t="s">
        <v>383</v>
      </c>
      <c r="G271" t="s">
        <v>1352</v>
      </c>
      <c r="H271">
        <v>-200</v>
      </c>
      <c r="I271" t="s">
        <v>39</v>
      </c>
      <c r="J271">
        <v>0</v>
      </c>
      <c r="M271" t="s">
        <v>1910</v>
      </c>
      <c r="N271" t="s">
        <v>1353</v>
      </c>
      <c r="O271">
        <v>0</v>
      </c>
      <c r="P271">
        <v>0</v>
      </c>
      <c r="Q271" t="s">
        <v>381</v>
      </c>
    </row>
    <row r="272" spans="1:17" x14ac:dyDescent="0.15">
      <c r="A272" t="s">
        <v>101</v>
      </c>
      <c r="B272" t="s">
        <v>102</v>
      </c>
      <c r="C272">
        <v>163</v>
      </c>
      <c r="D272" t="s">
        <v>161</v>
      </c>
      <c r="E272" s="1">
        <v>43056</v>
      </c>
      <c r="F272" t="s">
        <v>383</v>
      </c>
      <c r="G272" t="s">
        <v>1383</v>
      </c>
      <c r="H272">
        <v>70</v>
      </c>
      <c r="I272" t="s">
        <v>39</v>
      </c>
      <c r="J272">
        <v>0</v>
      </c>
      <c r="M272" t="s">
        <v>241</v>
      </c>
      <c r="N272" t="s">
        <v>1384</v>
      </c>
    </row>
    <row r="273" spans="1:17" x14ac:dyDescent="0.15">
      <c r="A273" t="s">
        <v>101</v>
      </c>
      <c r="B273" t="s">
        <v>102</v>
      </c>
      <c r="C273">
        <v>163</v>
      </c>
      <c r="D273" t="s">
        <v>161</v>
      </c>
      <c r="E273" s="1">
        <v>43056</v>
      </c>
      <c r="F273" t="s">
        <v>383</v>
      </c>
      <c r="G273" t="s">
        <v>1383</v>
      </c>
      <c r="H273">
        <v>70</v>
      </c>
      <c r="I273" t="s">
        <v>39</v>
      </c>
      <c r="J273">
        <v>0</v>
      </c>
      <c r="M273" t="s">
        <v>1910</v>
      </c>
      <c r="N273" t="s">
        <v>1384</v>
      </c>
      <c r="O273">
        <v>0</v>
      </c>
      <c r="P273">
        <v>0</v>
      </c>
      <c r="Q273" t="s">
        <v>381</v>
      </c>
    </row>
    <row r="274" spans="1:17" x14ac:dyDescent="0.15">
      <c r="A274" t="s">
        <v>101</v>
      </c>
      <c r="B274" t="s">
        <v>102</v>
      </c>
      <c r="C274">
        <v>163</v>
      </c>
      <c r="D274" t="s">
        <v>161</v>
      </c>
      <c r="E274" s="1">
        <v>43060</v>
      </c>
      <c r="F274" t="s">
        <v>383</v>
      </c>
      <c r="G274" t="s">
        <v>1385</v>
      </c>
      <c r="H274">
        <v>-200</v>
      </c>
      <c r="I274" t="s">
        <v>39</v>
      </c>
      <c r="J274">
        <v>0</v>
      </c>
      <c r="M274" t="s">
        <v>241</v>
      </c>
      <c r="N274" t="s">
        <v>1386</v>
      </c>
    </row>
    <row r="275" spans="1:17" x14ac:dyDescent="0.15">
      <c r="A275" t="s">
        <v>101</v>
      </c>
      <c r="B275" t="s">
        <v>102</v>
      </c>
      <c r="C275">
        <v>163</v>
      </c>
      <c r="D275" t="s">
        <v>161</v>
      </c>
      <c r="E275" s="1">
        <v>43060</v>
      </c>
      <c r="F275" t="s">
        <v>383</v>
      </c>
      <c r="G275" t="s">
        <v>1385</v>
      </c>
      <c r="H275">
        <v>-200</v>
      </c>
      <c r="I275" t="s">
        <v>39</v>
      </c>
      <c r="J275">
        <v>0</v>
      </c>
      <c r="M275" t="s">
        <v>1910</v>
      </c>
      <c r="N275" t="s">
        <v>1386</v>
      </c>
      <c r="O275">
        <v>0</v>
      </c>
      <c r="P275">
        <v>0</v>
      </c>
      <c r="Q275" t="s">
        <v>381</v>
      </c>
    </row>
    <row r="276" spans="1:17" x14ac:dyDescent="0.15">
      <c r="A276" t="s">
        <v>101</v>
      </c>
      <c r="B276" t="s">
        <v>102</v>
      </c>
      <c r="C276">
        <v>163</v>
      </c>
      <c r="D276" t="s">
        <v>161</v>
      </c>
      <c r="E276" s="1">
        <v>43061</v>
      </c>
      <c r="F276" t="s">
        <v>17</v>
      </c>
      <c r="G276" t="s">
        <v>1654</v>
      </c>
      <c r="H276">
        <v>600</v>
      </c>
      <c r="I276" t="s">
        <v>39</v>
      </c>
      <c r="J276">
        <v>0</v>
      </c>
      <c r="K276">
        <v>0</v>
      </c>
      <c r="L276" t="s">
        <v>375</v>
      </c>
      <c r="M276" t="s">
        <v>241</v>
      </c>
      <c r="N276" t="s">
        <v>1655</v>
      </c>
    </row>
    <row r="277" spans="1:17" x14ac:dyDescent="0.15">
      <c r="A277" t="s">
        <v>101</v>
      </c>
      <c r="B277" t="s">
        <v>102</v>
      </c>
      <c r="C277">
        <v>163</v>
      </c>
      <c r="D277" t="s">
        <v>161</v>
      </c>
      <c r="E277" s="1">
        <v>43061</v>
      </c>
      <c r="F277" t="s">
        <v>17</v>
      </c>
      <c r="G277" t="s">
        <v>1654</v>
      </c>
      <c r="H277">
        <v>600</v>
      </c>
      <c r="I277" t="s">
        <v>39</v>
      </c>
      <c r="J277">
        <v>0</v>
      </c>
      <c r="K277">
        <v>0</v>
      </c>
      <c r="L277" t="s">
        <v>375</v>
      </c>
      <c r="M277" t="s">
        <v>1910</v>
      </c>
      <c r="N277" t="s">
        <v>1655</v>
      </c>
      <c r="O277">
        <v>0</v>
      </c>
      <c r="P277">
        <v>0</v>
      </c>
      <c r="Q277" t="s">
        <v>381</v>
      </c>
    </row>
    <row r="278" spans="1:17" x14ac:dyDescent="0.15">
      <c r="A278" t="s">
        <v>101</v>
      </c>
      <c r="B278" t="s">
        <v>102</v>
      </c>
      <c r="C278">
        <v>163</v>
      </c>
      <c r="D278" t="s">
        <v>161</v>
      </c>
      <c r="E278" s="1">
        <v>43063</v>
      </c>
      <c r="F278" t="s">
        <v>383</v>
      </c>
      <c r="G278" t="s">
        <v>1410</v>
      </c>
      <c r="H278">
        <v>-300</v>
      </c>
      <c r="I278" t="s">
        <v>39</v>
      </c>
      <c r="J278">
        <v>0</v>
      </c>
      <c r="M278" t="s">
        <v>241</v>
      </c>
      <c r="N278" t="s">
        <v>1411</v>
      </c>
    </row>
    <row r="279" spans="1:17" x14ac:dyDescent="0.15">
      <c r="A279" t="s">
        <v>101</v>
      </c>
      <c r="B279" t="s">
        <v>102</v>
      </c>
      <c r="C279">
        <v>163</v>
      </c>
      <c r="D279" t="s">
        <v>161</v>
      </c>
      <c r="E279" s="1">
        <v>43063</v>
      </c>
      <c r="F279" t="s">
        <v>383</v>
      </c>
      <c r="G279" t="s">
        <v>1410</v>
      </c>
      <c r="H279">
        <v>-300</v>
      </c>
      <c r="I279" t="s">
        <v>39</v>
      </c>
      <c r="J279">
        <v>0</v>
      </c>
      <c r="M279" t="s">
        <v>1910</v>
      </c>
      <c r="N279" t="s">
        <v>1411</v>
      </c>
      <c r="O279">
        <v>0</v>
      </c>
      <c r="P279">
        <v>0</v>
      </c>
      <c r="Q279" t="s">
        <v>381</v>
      </c>
    </row>
    <row r="280" spans="1:17" x14ac:dyDescent="0.15">
      <c r="A280" t="s">
        <v>101</v>
      </c>
      <c r="B280" t="s">
        <v>102</v>
      </c>
      <c r="C280">
        <v>163</v>
      </c>
      <c r="D280" t="s">
        <v>161</v>
      </c>
      <c r="E280" s="1">
        <v>43066</v>
      </c>
      <c r="F280" t="s">
        <v>17</v>
      </c>
      <c r="G280" t="s">
        <v>1665</v>
      </c>
      <c r="H280">
        <v>1200</v>
      </c>
      <c r="I280" t="s">
        <v>39</v>
      </c>
      <c r="J280">
        <v>0</v>
      </c>
      <c r="K280">
        <v>0</v>
      </c>
      <c r="L280" t="s">
        <v>375</v>
      </c>
      <c r="M280" t="s">
        <v>241</v>
      </c>
      <c r="N280" t="s">
        <v>1666</v>
      </c>
    </row>
    <row r="281" spans="1:17" x14ac:dyDescent="0.15">
      <c r="A281" t="s">
        <v>101</v>
      </c>
      <c r="B281" t="s">
        <v>102</v>
      </c>
      <c r="C281">
        <v>163</v>
      </c>
      <c r="D281" t="s">
        <v>161</v>
      </c>
      <c r="E281" s="1">
        <v>43066</v>
      </c>
      <c r="F281" t="s">
        <v>17</v>
      </c>
      <c r="G281" t="s">
        <v>1665</v>
      </c>
      <c r="H281">
        <v>1200</v>
      </c>
      <c r="I281" t="s">
        <v>39</v>
      </c>
      <c r="J281">
        <v>0</v>
      </c>
      <c r="K281">
        <v>0</v>
      </c>
      <c r="L281" t="s">
        <v>375</v>
      </c>
      <c r="M281" t="s">
        <v>1910</v>
      </c>
      <c r="N281" t="s">
        <v>1666</v>
      </c>
      <c r="O281">
        <v>0</v>
      </c>
      <c r="P281">
        <v>0</v>
      </c>
      <c r="Q281" t="s">
        <v>381</v>
      </c>
    </row>
    <row r="282" spans="1:17" x14ac:dyDescent="0.15">
      <c r="A282" t="s">
        <v>101</v>
      </c>
      <c r="B282" t="s">
        <v>102</v>
      </c>
      <c r="C282">
        <v>163</v>
      </c>
      <c r="D282" t="s">
        <v>161</v>
      </c>
      <c r="E282" s="1">
        <v>43067</v>
      </c>
      <c r="F282" t="s">
        <v>383</v>
      </c>
      <c r="G282" t="s">
        <v>1415</v>
      </c>
      <c r="H282">
        <v>-300</v>
      </c>
      <c r="I282" t="s">
        <v>39</v>
      </c>
      <c r="J282">
        <v>0</v>
      </c>
      <c r="M282" t="s">
        <v>241</v>
      </c>
      <c r="N282" t="s">
        <v>1416</v>
      </c>
    </row>
    <row r="283" spans="1:17" x14ac:dyDescent="0.15">
      <c r="A283" t="s">
        <v>101</v>
      </c>
      <c r="B283" t="s">
        <v>102</v>
      </c>
      <c r="C283">
        <v>163</v>
      </c>
      <c r="D283" t="s">
        <v>161</v>
      </c>
      <c r="E283" s="1">
        <v>43067</v>
      </c>
      <c r="F283" t="s">
        <v>383</v>
      </c>
      <c r="G283" t="s">
        <v>1415</v>
      </c>
      <c r="H283">
        <v>-300</v>
      </c>
      <c r="I283" t="s">
        <v>39</v>
      </c>
      <c r="J283">
        <v>0</v>
      </c>
      <c r="M283" t="s">
        <v>1910</v>
      </c>
      <c r="N283" t="s">
        <v>1416</v>
      </c>
      <c r="O283">
        <v>0</v>
      </c>
      <c r="P283">
        <v>0</v>
      </c>
      <c r="Q283" t="s">
        <v>381</v>
      </c>
    </row>
    <row r="284" spans="1:17" x14ac:dyDescent="0.15">
      <c r="A284" t="s">
        <v>101</v>
      </c>
      <c r="B284" t="s">
        <v>102</v>
      </c>
      <c r="C284">
        <v>163</v>
      </c>
      <c r="D284" t="s">
        <v>161</v>
      </c>
      <c r="E284" s="1">
        <v>43067</v>
      </c>
      <c r="F284" t="s">
        <v>383</v>
      </c>
      <c r="G284" t="s">
        <v>1420</v>
      </c>
      <c r="H284">
        <v>-70</v>
      </c>
      <c r="I284" t="s">
        <v>39</v>
      </c>
      <c r="J284">
        <v>0</v>
      </c>
      <c r="M284" t="s">
        <v>241</v>
      </c>
      <c r="N284" t="s">
        <v>1422</v>
      </c>
    </row>
    <row r="285" spans="1:17" x14ac:dyDescent="0.15">
      <c r="A285" t="s">
        <v>101</v>
      </c>
      <c r="B285" t="s">
        <v>102</v>
      </c>
      <c r="C285">
        <v>163</v>
      </c>
      <c r="D285" t="s">
        <v>161</v>
      </c>
      <c r="E285" s="1">
        <v>43067</v>
      </c>
      <c r="F285" t="s">
        <v>383</v>
      </c>
      <c r="G285" t="s">
        <v>1420</v>
      </c>
      <c r="H285">
        <v>-70</v>
      </c>
      <c r="I285" t="s">
        <v>39</v>
      </c>
      <c r="J285">
        <v>0</v>
      </c>
      <c r="M285" t="s">
        <v>1910</v>
      </c>
      <c r="N285" t="s">
        <v>1422</v>
      </c>
      <c r="O285">
        <v>0</v>
      </c>
      <c r="P285">
        <v>0</v>
      </c>
      <c r="Q285" t="s">
        <v>381</v>
      </c>
    </row>
    <row r="286" spans="1:17" x14ac:dyDescent="0.15">
      <c r="A286" t="s">
        <v>101</v>
      </c>
      <c r="B286" t="s">
        <v>102</v>
      </c>
      <c r="C286">
        <v>163</v>
      </c>
      <c r="D286" t="s">
        <v>161</v>
      </c>
      <c r="E286" s="1">
        <v>43069</v>
      </c>
      <c r="F286" t="s">
        <v>17</v>
      </c>
      <c r="G286" t="s">
        <v>1686</v>
      </c>
      <c r="H286">
        <v>2604</v>
      </c>
      <c r="I286" t="s">
        <v>39</v>
      </c>
      <c r="J286">
        <v>0</v>
      </c>
      <c r="K286">
        <v>0</v>
      </c>
      <c r="L286" t="s">
        <v>375</v>
      </c>
      <c r="M286" t="s">
        <v>241</v>
      </c>
      <c r="N286" t="s">
        <v>1688</v>
      </c>
    </row>
    <row r="287" spans="1:17" x14ac:dyDescent="0.15">
      <c r="A287" t="s">
        <v>101</v>
      </c>
      <c r="B287" t="s">
        <v>102</v>
      </c>
      <c r="C287">
        <v>163</v>
      </c>
      <c r="D287" t="s">
        <v>161</v>
      </c>
      <c r="E287" s="1">
        <v>43069</v>
      </c>
      <c r="F287" t="s">
        <v>17</v>
      </c>
      <c r="G287" t="s">
        <v>1686</v>
      </c>
      <c r="H287">
        <v>2604</v>
      </c>
      <c r="I287" t="s">
        <v>39</v>
      </c>
      <c r="J287">
        <v>0</v>
      </c>
      <c r="K287">
        <v>0</v>
      </c>
      <c r="L287" t="s">
        <v>375</v>
      </c>
      <c r="M287" t="s">
        <v>1910</v>
      </c>
      <c r="N287" t="s">
        <v>1688</v>
      </c>
      <c r="O287">
        <v>0</v>
      </c>
      <c r="P287">
        <v>0</v>
      </c>
      <c r="Q287" t="s">
        <v>381</v>
      </c>
    </row>
    <row r="288" spans="1:17" x14ac:dyDescent="0.15">
      <c r="A288" t="s">
        <v>101</v>
      </c>
      <c r="B288" t="s">
        <v>102</v>
      </c>
      <c r="C288">
        <v>163</v>
      </c>
      <c r="D288" t="s">
        <v>161</v>
      </c>
      <c r="E288" s="1">
        <v>43076</v>
      </c>
      <c r="F288" t="s">
        <v>383</v>
      </c>
      <c r="G288" t="s">
        <v>1433</v>
      </c>
      <c r="H288">
        <v>-200</v>
      </c>
      <c r="I288" t="s">
        <v>39</v>
      </c>
      <c r="J288">
        <v>0</v>
      </c>
      <c r="M288" t="s">
        <v>241</v>
      </c>
      <c r="N288" t="s">
        <v>1434</v>
      </c>
    </row>
    <row r="289" spans="1:17" x14ac:dyDescent="0.15">
      <c r="A289" t="s">
        <v>101</v>
      </c>
      <c r="B289" t="s">
        <v>102</v>
      </c>
      <c r="C289">
        <v>163</v>
      </c>
      <c r="D289" t="s">
        <v>161</v>
      </c>
      <c r="E289" s="1">
        <v>43076</v>
      </c>
      <c r="F289" t="s">
        <v>383</v>
      </c>
      <c r="G289" t="s">
        <v>1433</v>
      </c>
      <c r="H289">
        <v>-200</v>
      </c>
      <c r="I289" t="s">
        <v>39</v>
      </c>
      <c r="J289">
        <v>0</v>
      </c>
      <c r="M289" t="s">
        <v>1910</v>
      </c>
      <c r="N289" t="s">
        <v>1434</v>
      </c>
      <c r="O289">
        <v>0</v>
      </c>
      <c r="P289">
        <v>0</v>
      </c>
      <c r="Q289" t="s">
        <v>381</v>
      </c>
    </row>
    <row r="290" spans="1:17" x14ac:dyDescent="0.15">
      <c r="A290" t="s">
        <v>101</v>
      </c>
      <c r="B290" t="s">
        <v>102</v>
      </c>
      <c r="C290">
        <v>163</v>
      </c>
      <c r="D290" t="s">
        <v>161</v>
      </c>
      <c r="E290" s="1">
        <v>43076</v>
      </c>
      <c r="F290" t="s">
        <v>383</v>
      </c>
      <c r="G290" t="s">
        <v>1447</v>
      </c>
      <c r="H290">
        <v>-300</v>
      </c>
      <c r="I290" t="s">
        <v>39</v>
      </c>
      <c r="J290">
        <v>0</v>
      </c>
      <c r="M290" t="s">
        <v>241</v>
      </c>
      <c r="N290" t="s">
        <v>1448</v>
      </c>
    </row>
    <row r="291" spans="1:17" x14ac:dyDescent="0.15">
      <c r="A291" t="s">
        <v>101</v>
      </c>
      <c r="B291" t="s">
        <v>102</v>
      </c>
      <c r="C291">
        <v>163</v>
      </c>
      <c r="D291" t="s">
        <v>161</v>
      </c>
      <c r="E291" s="1">
        <v>43076</v>
      </c>
      <c r="F291" t="s">
        <v>383</v>
      </c>
      <c r="G291" t="s">
        <v>1447</v>
      </c>
      <c r="H291">
        <v>-300</v>
      </c>
      <c r="I291" t="s">
        <v>39</v>
      </c>
      <c r="J291">
        <v>0</v>
      </c>
      <c r="M291" t="s">
        <v>1910</v>
      </c>
      <c r="N291" t="s">
        <v>1448</v>
      </c>
      <c r="O291">
        <v>0</v>
      </c>
      <c r="P291">
        <v>0</v>
      </c>
      <c r="Q291" t="s">
        <v>381</v>
      </c>
    </row>
    <row r="292" spans="1:17" x14ac:dyDescent="0.15">
      <c r="A292" t="s">
        <v>101</v>
      </c>
      <c r="B292" t="s">
        <v>102</v>
      </c>
      <c r="C292">
        <v>163</v>
      </c>
      <c r="D292" t="s">
        <v>161</v>
      </c>
      <c r="E292" s="1">
        <v>43082</v>
      </c>
      <c r="F292" t="s">
        <v>383</v>
      </c>
      <c r="G292" t="s">
        <v>1450</v>
      </c>
      <c r="H292">
        <v>-200</v>
      </c>
      <c r="I292" t="s">
        <v>39</v>
      </c>
      <c r="J292">
        <v>0</v>
      </c>
      <c r="M292" t="s">
        <v>241</v>
      </c>
      <c r="N292" t="s">
        <v>1451</v>
      </c>
    </row>
    <row r="293" spans="1:17" x14ac:dyDescent="0.15">
      <c r="A293" t="s">
        <v>101</v>
      </c>
      <c r="B293" t="s">
        <v>102</v>
      </c>
      <c r="C293">
        <v>163</v>
      </c>
      <c r="D293" t="s">
        <v>161</v>
      </c>
      <c r="E293" s="1">
        <v>43082</v>
      </c>
      <c r="F293" t="s">
        <v>383</v>
      </c>
      <c r="G293" t="s">
        <v>1450</v>
      </c>
      <c r="H293">
        <v>-200</v>
      </c>
      <c r="I293" t="s">
        <v>39</v>
      </c>
      <c r="J293">
        <v>0</v>
      </c>
      <c r="M293" t="s">
        <v>1910</v>
      </c>
      <c r="N293" t="s">
        <v>1451</v>
      </c>
      <c r="O293">
        <v>0</v>
      </c>
      <c r="P293">
        <v>0</v>
      </c>
      <c r="Q293" t="s">
        <v>381</v>
      </c>
    </row>
    <row r="294" spans="1:17" x14ac:dyDescent="0.15">
      <c r="A294" t="s">
        <v>101</v>
      </c>
      <c r="B294" t="s">
        <v>102</v>
      </c>
      <c r="C294">
        <v>163</v>
      </c>
      <c r="D294" t="s">
        <v>161</v>
      </c>
      <c r="E294" s="1">
        <v>43082</v>
      </c>
      <c r="F294" t="s">
        <v>383</v>
      </c>
      <c r="G294" t="s">
        <v>1450</v>
      </c>
      <c r="H294">
        <v>-200</v>
      </c>
      <c r="I294" t="s">
        <v>39</v>
      </c>
      <c r="J294">
        <v>0</v>
      </c>
      <c r="M294" t="s">
        <v>241</v>
      </c>
      <c r="N294" t="s">
        <v>1452</v>
      </c>
    </row>
    <row r="295" spans="1:17" x14ac:dyDescent="0.15">
      <c r="A295" t="s">
        <v>101</v>
      </c>
      <c r="B295" t="s">
        <v>102</v>
      </c>
      <c r="C295">
        <v>163</v>
      </c>
      <c r="D295" t="s">
        <v>161</v>
      </c>
      <c r="E295" s="1">
        <v>43082</v>
      </c>
      <c r="F295" t="s">
        <v>383</v>
      </c>
      <c r="G295" t="s">
        <v>1450</v>
      </c>
      <c r="H295">
        <v>-200</v>
      </c>
      <c r="I295" t="s">
        <v>39</v>
      </c>
      <c r="J295">
        <v>0</v>
      </c>
      <c r="M295" t="s">
        <v>1910</v>
      </c>
      <c r="N295" t="s">
        <v>1452</v>
      </c>
      <c r="O295">
        <v>0</v>
      </c>
      <c r="P295">
        <v>0</v>
      </c>
      <c r="Q295" t="s">
        <v>381</v>
      </c>
    </row>
    <row r="296" spans="1:17" x14ac:dyDescent="0.15">
      <c r="A296" t="s">
        <v>101</v>
      </c>
      <c r="B296" t="s">
        <v>102</v>
      </c>
      <c r="C296">
        <v>163</v>
      </c>
      <c r="D296" t="s">
        <v>161</v>
      </c>
      <c r="E296" s="1">
        <v>43082</v>
      </c>
      <c r="F296" t="s">
        <v>383</v>
      </c>
      <c r="G296" t="s">
        <v>1453</v>
      </c>
      <c r="H296">
        <v>-600</v>
      </c>
      <c r="I296" t="s">
        <v>39</v>
      </c>
      <c r="J296">
        <v>0</v>
      </c>
      <c r="M296" t="s">
        <v>241</v>
      </c>
      <c r="N296" t="s">
        <v>1454</v>
      </c>
    </row>
    <row r="297" spans="1:17" x14ac:dyDescent="0.15">
      <c r="A297" t="s">
        <v>101</v>
      </c>
      <c r="B297" t="s">
        <v>102</v>
      </c>
      <c r="C297">
        <v>163</v>
      </c>
      <c r="D297" t="s">
        <v>161</v>
      </c>
      <c r="E297" s="1">
        <v>43082</v>
      </c>
      <c r="F297" t="s">
        <v>383</v>
      </c>
      <c r="G297" t="s">
        <v>1453</v>
      </c>
      <c r="H297">
        <v>-600</v>
      </c>
      <c r="I297" t="s">
        <v>39</v>
      </c>
      <c r="J297">
        <v>0</v>
      </c>
      <c r="M297" t="s">
        <v>1910</v>
      </c>
      <c r="N297" t="s">
        <v>1454</v>
      </c>
      <c r="O297">
        <v>0</v>
      </c>
      <c r="P297">
        <v>0</v>
      </c>
      <c r="Q297" t="s">
        <v>381</v>
      </c>
    </row>
    <row r="298" spans="1:17" x14ac:dyDescent="0.15">
      <c r="A298" t="s">
        <v>101</v>
      </c>
      <c r="B298" t="s">
        <v>102</v>
      </c>
      <c r="C298">
        <v>163</v>
      </c>
      <c r="D298" t="s">
        <v>161</v>
      </c>
      <c r="E298" s="1">
        <v>43082</v>
      </c>
      <c r="F298" t="s">
        <v>383</v>
      </c>
      <c r="G298" t="s">
        <v>1453</v>
      </c>
      <c r="H298">
        <v>-300</v>
      </c>
      <c r="I298" t="s">
        <v>39</v>
      </c>
      <c r="J298">
        <v>0</v>
      </c>
      <c r="M298" t="s">
        <v>241</v>
      </c>
      <c r="N298" t="s">
        <v>1455</v>
      </c>
    </row>
    <row r="299" spans="1:17" x14ac:dyDescent="0.15">
      <c r="A299" t="s">
        <v>101</v>
      </c>
      <c r="B299" t="s">
        <v>102</v>
      </c>
      <c r="C299">
        <v>163</v>
      </c>
      <c r="D299" t="s">
        <v>161</v>
      </c>
      <c r="E299" s="1">
        <v>43082</v>
      </c>
      <c r="F299" t="s">
        <v>383</v>
      </c>
      <c r="G299" t="s">
        <v>1453</v>
      </c>
      <c r="H299">
        <v>-300</v>
      </c>
      <c r="I299" t="s">
        <v>39</v>
      </c>
      <c r="J299">
        <v>0</v>
      </c>
      <c r="M299" t="s">
        <v>1910</v>
      </c>
      <c r="N299" t="s">
        <v>1455</v>
      </c>
      <c r="O299">
        <v>0</v>
      </c>
      <c r="P299">
        <v>0</v>
      </c>
      <c r="Q299" t="s">
        <v>381</v>
      </c>
    </row>
    <row r="300" spans="1:17" x14ac:dyDescent="0.15">
      <c r="A300" t="s">
        <v>101</v>
      </c>
      <c r="B300" t="s">
        <v>102</v>
      </c>
      <c r="C300">
        <v>163</v>
      </c>
      <c r="D300" t="s">
        <v>161</v>
      </c>
      <c r="E300" s="1">
        <v>43088</v>
      </c>
      <c r="F300" t="s">
        <v>383</v>
      </c>
      <c r="G300" t="s">
        <v>1481</v>
      </c>
      <c r="H300">
        <v>-1200</v>
      </c>
      <c r="I300" t="s">
        <v>39</v>
      </c>
      <c r="J300">
        <v>0</v>
      </c>
      <c r="M300" t="s">
        <v>241</v>
      </c>
      <c r="N300" t="s">
        <v>1482</v>
      </c>
    </row>
    <row r="301" spans="1:17" x14ac:dyDescent="0.15">
      <c r="A301" t="s">
        <v>101</v>
      </c>
      <c r="B301" t="s">
        <v>102</v>
      </c>
      <c r="C301">
        <v>163</v>
      </c>
      <c r="D301" t="s">
        <v>161</v>
      </c>
      <c r="E301" s="1">
        <v>43088</v>
      </c>
      <c r="F301" t="s">
        <v>383</v>
      </c>
      <c r="G301" t="s">
        <v>1481</v>
      </c>
      <c r="H301">
        <v>-1200</v>
      </c>
      <c r="I301" t="s">
        <v>39</v>
      </c>
      <c r="J301">
        <v>0</v>
      </c>
      <c r="M301" t="s">
        <v>1910</v>
      </c>
      <c r="N301" t="s">
        <v>1482</v>
      </c>
      <c r="O301">
        <v>0</v>
      </c>
      <c r="P301">
        <v>0</v>
      </c>
      <c r="Q301" t="s">
        <v>381</v>
      </c>
    </row>
    <row r="302" spans="1:17" x14ac:dyDescent="0.15">
      <c r="A302" t="s">
        <v>101</v>
      </c>
      <c r="B302" t="s">
        <v>102</v>
      </c>
      <c r="C302">
        <v>163</v>
      </c>
      <c r="D302" t="s">
        <v>161</v>
      </c>
      <c r="E302" s="1">
        <v>43089</v>
      </c>
      <c r="F302" t="s">
        <v>21</v>
      </c>
      <c r="G302" t="s">
        <v>1894</v>
      </c>
      <c r="H302">
        <v>15</v>
      </c>
      <c r="I302" t="s">
        <v>39</v>
      </c>
      <c r="J302">
        <v>0</v>
      </c>
      <c r="M302" t="s">
        <v>241</v>
      </c>
      <c r="N302" t="s">
        <v>1895</v>
      </c>
    </row>
    <row r="303" spans="1:17" x14ac:dyDescent="0.15">
      <c r="A303" t="s">
        <v>101</v>
      </c>
      <c r="B303" t="s">
        <v>102</v>
      </c>
      <c r="C303">
        <v>163</v>
      </c>
      <c r="D303" t="s">
        <v>161</v>
      </c>
      <c r="E303" s="1">
        <v>43089</v>
      </c>
      <c r="F303" t="s">
        <v>21</v>
      </c>
      <c r="G303" t="s">
        <v>1894</v>
      </c>
      <c r="H303">
        <v>15</v>
      </c>
      <c r="I303" t="s">
        <v>39</v>
      </c>
      <c r="J303">
        <v>0</v>
      </c>
      <c r="M303" t="s">
        <v>1910</v>
      </c>
      <c r="N303" t="s">
        <v>1895</v>
      </c>
      <c r="O303">
        <v>0</v>
      </c>
      <c r="P303">
        <v>0</v>
      </c>
      <c r="Q303" t="s">
        <v>381</v>
      </c>
    </row>
    <row r="304" spans="1:17" ht="67.5" x14ac:dyDescent="0.15">
      <c r="A304" t="s">
        <v>197</v>
      </c>
      <c r="B304" s="15" t="s">
        <v>213</v>
      </c>
      <c r="C304">
        <v>163</v>
      </c>
      <c r="D304" t="s">
        <v>161</v>
      </c>
      <c r="E304" s="1">
        <v>42885</v>
      </c>
      <c r="F304" t="s">
        <v>383</v>
      </c>
      <c r="G304" t="s">
        <v>595</v>
      </c>
      <c r="H304">
        <v>-10</v>
      </c>
      <c r="I304" t="s">
        <v>39</v>
      </c>
      <c r="J304">
        <v>0</v>
      </c>
      <c r="M304" t="s">
        <v>241</v>
      </c>
      <c r="N304" t="s">
        <v>596</v>
      </c>
    </row>
    <row r="305" spans="1:17" ht="67.5" x14ac:dyDescent="0.15">
      <c r="A305" t="s">
        <v>197</v>
      </c>
      <c r="B305" s="15" t="s">
        <v>213</v>
      </c>
      <c r="C305">
        <v>163</v>
      </c>
      <c r="D305" t="s">
        <v>161</v>
      </c>
      <c r="E305" s="1">
        <v>42885</v>
      </c>
      <c r="F305" t="s">
        <v>383</v>
      </c>
      <c r="G305" t="s">
        <v>595</v>
      </c>
      <c r="H305">
        <v>-10</v>
      </c>
      <c r="I305" t="s">
        <v>39</v>
      </c>
      <c r="J305">
        <v>0</v>
      </c>
      <c r="M305" t="s">
        <v>1910</v>
      </c>
      <c r="N305" t="s">
        <v>596</v>
      </c>
      <c r="O305">
        <v>0</v>
      </c>
      <c r="P305">
        <v>0</v>
      </c>
      <c r="Q305" t="s">
        <v>381</v>
      </c>
    </row>
    <row r="306" spans="1:17" x14ac:dyDescent="0.15">
      <c r="A306" t="s">
        <v>75</v>
      </c>
      <c r="B306" t="s">
        <v>284</v>
      </c>
      <c r="C306">
        <v>163</v>
      </c>
      <c r="D306" t="s">
        <v>161</v>
      </c>
      <c r="E306" s="1">
        <v>43069</v>
      </c>
      <c r="F306" t="s">
        <v>383</v>
      </c>
      <c r="G306" t="s">
        <v>1424</v>
      </c>
      <c r="H306">
        <v>-231</v>
      </c>
      <c r="I306" t="s">
        <v>39</v>
      </c>
      <c r="J306">
        <v>0</v>
      </c>
      <c r="M306" t="s">
        <v>241</v>
      </c>
      <c r="N306" t="s">
        <v>1425</v>
      </c>
    </row>
    <row r="307" spans="1:17" x14ac:dyDescent="0.15">
      <c r="A307" t="s">
        <v>75</v>
      </c>
      <c r="B307" t="s">
        <v>284</v>
      </c>
      <c r="C307">
        <v>163</v>
      </c>
      <c r="D307" t="s">
        <v>161</v>
      </c>
      <c r="E307" s="1">
        <v>43069</v>
      </c>
      <c r="F307" t="s">
        <v>383</v>
      </c>
      <c r="G307" t="s">
        <v>1424</v>
      </c>
      <c r="H307">
        <v>-231</v>
      </c>
      <c r="I307" t="s">
        <v>39</v>
      </c>
      <c r="J307">
        <v>0</v>
      </c>
      <c r="M307" t="s">
        <v>1910</v>
      </c>
      <c r="N307" t="s">
        <v>1425</v>
      </c>
      <c r="O307">
        <v>0</v>
      </c>
      <c r="P307">
        <v>0</v>
      </c>
      <c r="Q307" t="s">
        <v>381</v>
      </c>
    </row>
    <row r="308" spans="1:17" x14ac:dyDescent="0.15">
      <c r="A308" t="s">
        <v>111</v>
      </c>
      <c r="B308" t="s">
        <v>112</v>
      </c>
      <c r="C308">
        <v>163</v>
      </c>
      <c r="D308" t="s">
        <v>161</v>
      </c>
      <c r="E308" s="1">
        <v>42836</v>
      </c>
      <c r="F308" t="s">
        <v>383</v>
      </c>
      <c r="G308" t="s">
        <v>444</v>
      </c>
      <c r="H308">
        <v>-414</v>
      </c>
      <c r="I308" t="s">
        <v>39</v>
      </c>
      <c r="J308">
        <v>0</v>
      </c>
      <c r="M308" t="s">
        <v>241</v>
      </c>
      <c r="N308" t="s">
        <v>445</v>
      </c>
    </row>
    <row r="309" spans="1:17" x14ac:dyDescent="0.15">
      <c r="A309" t="s">
        <v>111</v>
      </c>
      <c r="B309" t="s">
        <v>112</v>
      </c>
      <c r="C309">
        <v>163</v>
      </c>
      <c r="D309" t="s">
        <v>161</v>
      </c>
      <c r="E309" s="1">
        <v>42836</v>
      </c>
      <c r="F309" t="s">
        <v>383</v>
      </c>
      <c r="G309" t="s">
        <v>444</v>
      </c>
      <c r="H309">
        <v>-414</v>
      </c>
      <c r="I309" t="s">
        <v>39</v>
      </c>
      <c r="J309">
        <v>0</v>
      </c>
      <c r="M309" t="s">
        <v>1910</v>
      </c>
      <c r="N309" t="s">
        <v>445</v>
      </c>
      <c r="O309">
        <v>0</v>
      </c>
      <c r="P309">
        <v>0</v>
      </c>
      <c r="Q309" t="s">
        <v>381</v>
      </c>
    </row>
    <row r="310" spans="1:17" x14ac:dyDescent="0.15">
      <c r="A310" t="s">
        <v>111</v>
      </c>
      <c r="B310" t="s">
        <v>112</v>
      </c>
      <c r="C310">
        <v>163</v>
      </c>
      <c r="D310" t="s">
        <v>161</v>
      </c>
      <c r="E310" s="1">
        <v>42892</v>
      </c>
      <c r="F310" t="s">
        <v>383</v>
      </c>
      <c r="G310" t="s">
        <v>620</v>
      </c>
      <c r="H310">
        <v>-30</v>
      </c>
      <c r="I310" t="s">
        <v>39</v>
      </c>
      <c r="J310">
        <v>0</v>
      </c>
      <c r="M310" t="s">
        <v>241</v>
      </c>
      <c r="N310" t="s">
        <v>621</v>
      </c>
    </row>
    <row r="311" spans="1:17" x14ac:dyDescent="0.15">
      <c r="A311" t="s">
        <v>111</v>
      </c>
      <c r="B311" t="s">
        <v>112</v>
      </c>
      <c r="C311">
        <v>163</v>
      </c>
      <c r="D311" t="s">
        <v>161</v>
      </c>
      <c r="E311" s="1">
        <v>42892</v>
      </c>
      <c r="F311" t="s">
        <v>383</v>
      </c>
      <c r="G311" t="s">
        <v>620</v>
      </c>
      <c r="H311">
        <v>-30</v>
      </c>
      <c r="I311" t="s">
        <v>39</v>
      </c>
      <c r="J311">
        <v>0</v>
      </c>
      <c r="M311" t="s">
        <v>1910</v>
      </c>
      <c r="N311" t="s">
        <v>621</v>
      </c>
      <c r="O311">
        <v>0</v>
      </c>
      <c r="P311">
        <v>0</v>
      </c>
      <c r="Q311" t="s">
        <v>381</v>
      </c>
    </row>
    <row r="312" spans="1:17" x14ac:dyDescent="0.15">
      <c r="A312" t="s">
        <v>111</v>
      </c>
      <c r="B312" t="s">
        <v>112</v>
      </c>
      <c r="C312">
        <v>163</v>
      </c>
      <c r="D312" t="s">
        <v>161</v>
      </c>
      <c r="E312" s="1">
        <v>42900</v>
      </c>
      <c r="F312" t="s">
        <v>383</v>
      </c>
      <c r="G312" t="s">
        <v>629</v>
      </c>
      <c r="H312">
        <v>-100</v>
      </c>
      <c r="I312" t="s">
        <v>39</v>
      </c>
      <c r="J312">
        <v>0</v>
      </c>
      <c r="M312" t="s">
        <v>241</v>
      </c>
      <c r="N312" t="s">
        <v>631</v>
      </c>
    </row>
    <row r="313" spans="1:17" x14ac:dyDescent="0.15">
      <c r="A313" t="s">
        <v>111</v>
      </c>
      <c r="B313" t="s">
        <v>112</v>
      </c>
      <c r="C313">
        <v>163</v>
      </c>
      <c r="D313" t="s">
        <v>161</v>
      </c>
      <c r="E313" s="1">
        <v>42900</v>
      </c>
      <c r="F313" t="s">
        <v>383</v>
      </c>
      <c r="G313" t="s">
        <v>629</v>
      </c>
      <c r="H313">
        <v>-100</v>
      </c>
      <c r="I313" t="s">
        <v>39</v>
      </c>
      <c r="J313">
        <v>0</v>
      </c>
      <c r="M313" t="s">
        <v>1910</v>
      </c>
      <c r="N313" t="s">
        <v>631</v>
      </c>
      <c r="O313">
        <v>0</v>
      </c>
      <c r="P313">
        <v>0</v>
      </c>
      <c r="Q313" t="s">
        <v>381</v>
      </c>
    </row>
    <row r="314" spans="1:17" x14ac:dyDescent="0.15">
      <c r="A314" t="s">
        <v>111</v>
      </c>
      <c r="B314" t="s">
        <v>112</v>
      </c>
      <c r="C314">
        <v>163</v>
      </c>
      <c r="D314" t="s">
        <v>161</v>
      </c>
      <c r="E314" s="1">
        <v>43003</v>
      </c>
      <c r="F314" t="s">
        <v>383</v>
      </c>
      <c r="G314" t="s">
        <v>1263</v>
      </c>
      <c r="H314">
        <v>-33</v>
      </c>
      <c r="I314" t="s">
        <v>39</v>
      </c>
      <c r="J314">
        <v>0</v>
      </c>
      <c r="M314" t="s">
        <v>241</v>
      </c>
      <c r="N314" t="s">
        <v>1264</v>
      </c>
    </row>
    <row r="315" spans="1:17" x14ac:dyDescent="0.15">
      <c r="A315" t="s">
        <v>111</v>
      </c>
      <c r="B315" t="s">
        <v>112</v>
      </c>
      <c r="C315">
        <v>163</v>
      </c>
      <c r="D315" t="s">
        <v>161</v>
      </c>
      <c r="E315" s="1">
        <v>43003</v>
      </c>
      <c r="F315" t="s">
        <v>383</v>
      </c>
      <c r="G315" t="s">
        <v>1263</v>
      </c>
      <c r="H315">
        <v>-33</v>
      </c>
      <c r="I315" t="s">
        <v>39</v>
      </c>
      <c r="J315">
        <v>0</v>
      </c>
      <c r="M315" t="s">
        <v>1910</v>
      </c>
      <c r="N315" t="s">
        <v>1264</v>
      </c>
      <c r="O315">
        <v>0</v>
      </c>
      <c r="P315">
        <v>0</v>
      </c>
      <c r="Q315" t="s">
        <v>381</v>
      </c>
    </row>
    <row r="316" spans="1:17" x14ac:dyDescent="0.15">
      <c r="A316" t="s">
        <v>111</v>
      </c>
      <c r="B316" t="s">
        <v>112</v>
      </c>
      <c r="C316">
        <v>163</v>
      </c>
      <c r="D316" t="s">
        <v>161</v>
      </c>
      <c r="E316" s="1">
        <v>43021</v>
      </c>
      <c r="F316" t="s">
        <v>383</v>
      </c>
      <c r="G316" t="s">
        <v>1300</v>
      </c>
      <c r="H316">
        <v>-700</v>
      </c>
      <c r="I316" t="s">
        <v>39</v>
      </c>
      <c r="J316">
        <v>0</v>
      </c>
      <c r="M316" t="s">
        <v>241</v>
      </c>
      <c r="N316" t="s">
        <v>1301</v>
      </c>
    </row>
    <row r="317" spans="1:17" x14ac:dyDescent="0.15">
      <c r="A317" t="s">
        <v>111</v>
      </c>
      <c r="B317" t="s">
        <v>112</v>
      </c>
      <c r="C317">
        <v>163</v>
      </c>
      <c r="D317" t="s">
        <v>161</v>
      </c>
      <c r="E317" s="1">
        <v>43021</v>
      </c>
      <c r="F317" t="s">
        <v>383</v>
      </c>
      <c r="G317" t="s">
        <v>1300</v>
      </c>
      <c r="H317">
        <v>-700</v>
      </c>
      <c r="I317" t="s">
        <v>39</v>
      </c>
      <c r="J317">
        <v>0</v>
      </c>
      <c r="M317" t="s">
        <v>1910</v>
      </c>
      <c r="N317" t="s">
        <v>1301</v>
      </c>
      <c r="O317">
        <v>0</v>
      </c>
      <c r="P317">
        <v>0</v>
      </c>
      <c r="Q317" t="s">
        <v>381</v>
      </c>
    </row>
    <row r="318" spans="1:17" x14ac:dyDescent="0.15">
      <c r="A318" t="s">
        <v>111</v>
      </c>
      <c r="B318" t="s">
        <v>112</v>
      </c>
      <c r="C318">
        <v>163</v>
      </c>
      <c r="D318" t="s">
        <v>161</v>
      </c>
      <c r="E318" s="1">
        <v>43024</v>
      </c>
      <c r="F318" t="s">
        <v>17</v>
      </c>
      <c r="G318" t="s">
        <v>1615</v>
      </c>
      <c r="H318">
        <v>1500</v>
      </c>
      <c r="I318" t="s">
        <v>39</v>
      </c>
      <c r="J318">
        <v>0</v>
      </c>
      <c r="K318">
        <v>0</v>
      </c>
      <c r="L318" t="s">
        <v>375</v>
      </c>
      <c r="M318" t="s">
        <v>241</v>
      </c>
      <c r="N318" t="s">
        <v>1616</v>
      </c>
    </row>
    <row r="319" spans="1:17" x14ac:dyDescent="0.15">
      <c r="A319" t="s">
        <v>111</v>
      </c>
      <c r="B319" t="s">
        <v>112</v>
      </c>
      <c r="C319">
        <v>163</v>
      </c>
      <c r="D319" t="s">
        <v>161</v>
      </c>
      <c r="E319" s="1">
        <v>43024</v>
      </c>
      <c r="F319" t="s">
        <v>17</v>
      </c>
      <c r="G319" t="s">
        <v>1615</v>
      </c>
      <c r="H319">
        <v>1500</v>
      </c>
      <c r="I319" t="s">
        <v>39</v>
      </c>
      <c r="J319">
        <v>0</v>
      </c>
      <c r="K319">
        <v>0</v>
      </c>
      <c r="L319" t="s">
        <v>375</v>
      </c>
      <c r="M319" t="s">
        <v>1910</v>
      </c>
      <c r="N319" t="s">
        <v>1616</v>
      </c>
      <c r="O319">
        <v>0</v>
      </c>
      <c r="P319">
        <v>0</v>
      </c>
      <c r="Q319" t="s">
        <v>381</v>
      </c>
    </row>
    <row r="320" spans="1:17" x14ac:dyDescent="0.15">
      <c r="A320" t="s">
        <v>111</v>
      </c>
      <c r="B320" t="s">
        <v>112</v>
      </c>
      <c r="C320">
        <v>163</v>
      </c>
      <c r="D320" t="s">
        <v>161</v>
      </c>
      <c r="E320" s="1">
        <v>43033</v>
      </c>
      <c r="F320" t="s">
        <v>383</v>
      </c>
      <c r="G320" t="s">
        <v>1318</v>
      </c>
      <c r="H320">
        <v>-700</v>
      </c>
      <c r="I320" t="s">
        <v>39</v>
      </c>
      <c r="J320">
        <v>0</v>
      </c>
      <c r="M320" t="s">
        <v>241</v>
      </c>
      <c r="N320" t="s">
        <v>1319</v>
      </c>
    </row>
    <row r="321" spans="1:17" x14ac:dyDescent="0.15">
      <c r="A321" t="s">
        <v>111</v>
      </c>
      <c r="B321" t="s">
        <v>112</v>
      </c>
      <c r="C321">
        <v>163</v>
      </c>
      <c r="D321" t="s">
        <v>161</v>
      </c>
      <c r="E321" s="1">
        <v>43033</v>
      </c>
      <c r="F321" t="s">
        <v>383</v>
      </c>
      <c r="G321" t="s">
        <v>1318</v>
      </c>
      <c r="H321">
        <v>-700</v>
      </c>
      <c r="I321" t="s">
        <v>39</v>
      </c>
      <c r="J321">
        <v>0</v>
      </c>
      <c r="M321" t="s">
        <v>1910</v>
      </c>
      <c r="N321" t="s">
        <v>1319</v>
      </c>
      <c r="O321">
        <v>0</v>
      </c>
      <c r="P321">
        <v>0</v>
      </c>
      <c r="Q321" t="s">
        <v>381</v>
      </c>
    </row>
    <row r="322" spans="1:17" x14ac:dyDescent="0.15">
      <c r="A322" t="s">
        <v>111</v>
      </c>
      <c r="B322" t="s">
        <v>112</v>
      </c>
      <c r="C322">
        <v>163</v>
      </c>
      <c r="D322" t="s">
        <v>161</v>
      </c>
      <c r="E322" s="1">
        <v>43033</v>
      </c>
      <c r="F322" t="s">
        <v>383</v>
      </c>
      <c r="G322" t="s">
        <v>1320</v>
      </c>
      <c r="H322">
        <v>0</v>
      </c>
      <c r="I322" t="s">
        <v>39</v>
      </c>
      <c r="J322">
        <v>0</v>
      </c>
      <c r="M322" t="s">
        <v>241</v>
      </c>
      <c r="N322" t="s">
        <v>1321</v>
      </c>
    </row>
    <row r="323" spans="1:17" x14ac:dyDescent="0.15">
      <c r="A323" t="s">
        <v>111</v>
      </c>
      <c r="B323" t="s">
        <v>112</v>
      </c>
      <c r="C323">
        <v>163</v>
      </c>
      <c r="D323" t="s">
        <v>161</v>
      </c>
      <c r="E323" s="1">
        <v>43033</v>
      </c>
      <c r="F323" t="s">
        <v>383</v>
      </c>
      <c r="G323" t="s">
        <v>1320</v>
      </c>
      <c r="H323">
        <v>0</v>
      </c>
      <c r="I323" t="s">
        <v>39</v>
      </c>
      <c r="J323">
        <v>0</v>
      </c>
      <c r="M323" t="s">
        <v>1910</v>
      </c>
      <c r="N323" t="s">
        <v>1321</v>
      </c>
      <c r="O323">
        <v>0</v>
      </c>
      <c r="P323">
        <v>0</v>
      </c>
      <c r="Q323" t="s">
        <v>381</v>
      </c>
    </row>
    <row r="324" spans="1:17" x14ac:dyDescent="0.15">
      <c r="A324" t="s">
        <v>111</v>
      </c>
      <c r="B324" t="s">
        <v>112</v>
      </c>
      <c r="C324">
        <v>163</v>
      </c>
      <c r="D324" t="s">
        <v>161</v>
      </c>
      <c r="E324" s="1">
        <v>43042</v>
      </c>
      <c r="F324" t="s">
        <v>383</v>
      </c>
      <c r="G324" t="s">
        <v>1336</v>
      </c>
      <c r="H324">
        <v>-100</v>
      </c>
      <c r="I324" t="s">
        <v>39</v>
      </c>
      <c r="J324">
        <v>0</v>
      </c>
      <c r="M324" t="s">
        <v>241</v>
      </c>
      <c r="N324" t="s">
        <v>1337</v>
      </c>
    </row>
    <row r="325" spans="1:17" x14ac:dyDescent="0.15">
      <c r="A325" t="s">
        <v>111</v>
      </c>
      <c r="B325" t="s">
        <v>112</v>
      </c>
      <c r="C325">
        <v>163</v>
      </c>
      <c r="D325" t="s">
        <v>161</v>
      </c>
      <c r="E325" s="1">
        <v>43042</v>
      </c>
      <c r="F325" t="s">
        <v>383</v>
      </c>
      <c r="G325" t="s">
        <v>1336</v>
      </c>
      <c r="H325">
        <v>-100</v>
      </c>
      <c r="I325" t="s">
        <v>39</v>
      </c>
      <c r="J325">
        <v>0</v>
      </c>
      <c r="M325" t="s">
        <v>1910</v>
      </c>
      <c r="N325" t="s">
        <v>1337</v>
      </c>
      <c r="O325">
        <v>0</v>
      </c>
      <c r="P325">
        <v>0</v>
      </c>
      <c r="Q325" t="s">
        <v>381</v>
      </c>
    </row>
    <row r="326" spans="1:17" x14ac:dyDescent="0.15">
      <c r="A326" t="s">
        <v>111</v>
      </c>
      <c r="B326" t="s">
        <v>112</v>
      </c>
      <c r="C326">
        <v>163</v>
      </c>
      <c r="D326" t="s">
        <v>161</v>
      </c>
      <c r="E326" s="1">
        <v>43053</v>
      </c>
      <c r="F326" t="s">
        <v>383</v>
      </c>
      <c r="G326" t="s">
        <v>1365</v>
      </c>
      <c r="H326">
        <v>-27</v>
      </c>
      <c r="I326" t="s">
        <v>39</v>
      </c>
      <c r="J326">
        <v>0</v>
      </c>
      <c r="M326" t="s">
        <v>241</v>
      </c>
      <c r="N326" t="s">
        <v>1366</v>
      </c>
    </row>
    <row r="327" spans="1:17" x14ac:dyDescent="0.15">
      <c r="A327" t="s">
        <v>111</v>
      </c>
      <c r="B327" t="s">
        <v>112</v>
      </c>
      <c r="C327">
        <v>163</v>
      </c>
      <c r="D327" t="s">
        <v>161</v>
      </c>
      <c r="E327" s="1">
        <v>43053</v>
      </c>
      <c r="F327" t="s">
        <v>383</v>
      </c>
      <c r="G327" t="s">
        <v>1365</v>
      </c>
      <c r="H327">
        <v>-27</v>
      </c>
      <c r="I327" t="s">
        <v>39</v>
      </c>
      <c r="J327">
        <v>0</v>
      </c>
      <c r="M327" t="s">
        <v>1910</v>
      </c>
      <c r="N327" t="s">
        <v>1366</v>
      </c>
      <c r="O327">
        <v>0</v>
      </c>
      <c r="P327">
        <v>0</v>
      </c>
      <c r="Q327" t="s">
        <v>381</v>
      </c>
    </row>
    <row r="328" spans="1:17" x14ac:dyDescent="0.15">
      <c r="A328" t="s">
        <v>111</v>
      </c>
      <c r="B328" t="s">
        <v>112</v>
      </c>
      <c r="C328">
        <v>163</v>
      </c>
      <c r="D328" t="s">
        <v>161</v>
      </c>
      <c r="E328" s="1">
        <v>43053</v>
      </c>
      <c r="F328" t="s">
        <v>383</v>
      </c>
      <c r="G328" t="s">
        <v>1365</v>
      </c>
      <c r="H328">
        <v>27</v>
      </c>
      <c r="I328" t="s">
        <v>39</v>
      </c>
      <c r="J328">
        <v>0</v>
      </c>
      <c r="M328" t="s">
        <v>241</v>
      </c>
      <c r="N328" t="s">
        <v>1366</v>
      </c>
    </row>
    <row r="329" spans="1:17" x14ac:dyDescent="0.15">
      <c r="A329" t="s">
        <v>111</v>
      </c>
      <c r="B329" t="s">
        <v>112</v>
      </c>
      <c r="C329">
        <v>163</v>
      </c>
      <c r="D329" t="s">
        <v>161</v>
      </c>
      <c r="E329" s="1">
        <v>43053</v>
      </c>
      <c r="F329" t="s">
        <v>383</v>
      </c>
      <c r="G329" t="s">
        <v>1365</v>
      </c>
      <c r="H329">
        <v>27</v>
      </c>
      <c r="I329" t="s">
        <v>39</v>
      </c>
      <c r="J329">
        <v>0</v>
      </c>
      <c r="M329" t="s">
        <v>1910</v>
      </c>
      <c r="N329" t="s">
        <v>1366</v>
      </c>
      <c r="O329">
        <v>0</v>
      </c>
      <c r="P329">
        <v>0</v>
      </c>
      <c r="Q329" t="s">
        <v>381</v>
      </c>
    </row>
    <row r="330" spans="1:17" x14ac:dyDescent="0.15">
      <c r="A330" t="s">
        <v>111</v>
      </c>
      <c r="B330" t="s">
        <v>112</v>
      </c>
      <c r="C330">
        <v>163</v>
      </c>
      <c r="D330" t="s">
        <v>161</v>
      </c>
      <c r="E330" s="1">
        <v>43054</v>
      </c>
      <c r="F330" t="s">
        <v>383</v>
      </c>
      <c r="G330" t="s">
        <v>1374</v>
      </c>
      <c r="H330">
        <v>-34</v>
      </c>
      <c r="I330" t="s">
        <v>39</v>
      </c>
      <c r="J330">
        <v>0</v>
      </c>
      <c r="M330" t="s">
        <v>241</v>
      </c>
      <c r="N330" t="s">
        <v>1375</v>
      </c>
    </row>
    <row r="331" spans="1:17" x14ac:dyDescent="0.15">
      <c r="A331" t="s">
        <v>111</v>
      </c>
      <c r="B331" t="s">
        <v>112</v>
      </c>
      <c r="C331">
        <v>163</v>
      </c>
      <c r="D331" t="s">
        <v>161</v>
      </c>
      <c r="E331" s="1">
        <v>43054</v>
      </c>
      <c r="F331" t="s">
        <v>383</v>
      </c>
      <c r="G331" t="s">
        <v>1374</v>
      </c>
      <c r="H331">
        <v>-34</v>
      </c>
      <c r="I331" t="s">
        <v>39</v>
      </c>
      <c r="J331">
        <v>0</v>
      </c>
      <c r="M331" t="s">
        <v>1910</v>
      </c>
      <c r="N331" t="s">
        <v>1375</v>
      </c>
      <c r="O331">
        <v>0</v>
      </c>
      <c r="P331">
        <v>0</v>
      </c>
      <c r="Q331" t="s">
        <v>381</v>
      </c>
    </row>
    <row r="332" spans="1:17" x14ac:dyDescent="0.15">
      <c r="A332" t="s">
        <v>111</v>
      </c>
      <c r="B332" t="s">
        <v>112</v>
      </c>
      <c r="C332">
        <v>163</v>
      </c>
      <c r="D332" t="s">
        <v>161</v>
      </c>
      <c r="E332" s="1">
        <v>43073</v>
      </c>
      <c r="F332" t="s">
        <v>383</v>
      </c>
      <c r="G332" t="s">
        <v>1428</v>
      </c>
      <c r="H332">
        <v>-600</v>
      </c>
      <c r="I332" t="s">
        <v>39</v>
      </c>
      <c r="J332">
        <v>0</v>
      </c>
      <c r="M332" t="s">
        <v>241</v>
      </c>
      <c r="N332" t="s">
        <v>1429</v>
      </c>
    </row>
    <row r="333" spans="1:17" x14ac:dyDescent="0.15">
      <c r="A333" t="s">
        <v>111</v>
      </c>
      <c r="B333" t="s">
        <v>112</v>
      </c>
      <c r="C333">
        <v>163</v>
      </c>
      <c r="D333" t="s">
        <v>161</v>
      </c>
      <c r="E333" s="1">
        <v>43073</v>
      </c>
      <c r="F333" t="s">
        <v>383</v>
      </c>
      <c r="G333" t="s">
        <v>1428</v>
      </c>
      <c r="H333">
        <v>-600</v>
      </c>
      <c r="I333" t="s">
        <v>39</v>
      </c>
      <c r="J333">
        <v>0</v>
      </c>
      <c r="M333" t="s">
        <v>1910</v>
      </c>
      <c r="N333" t="s">
        <v>1429</v>
      </c>
      <c r="O333">
        <v>0</v>
      </c>
      <c r="P333">
        <v>0</v>
      </c>
      <c r="Q333" t="s">
        <v>381</v>
      </c>
    </row>
    <row r="334" spans="1:17" x14ac:dyDescent="0.15">
      <c r="A334" t="s">
        <v>111</v>
      </c>
      <c r="B334" t="s">
        <v>112</v>
      </c>
      <c r="C334">
        <v>163</v>
      </c>
      <c r="D334" t="s">
        <v>161</v>
      </c>
      <c r="E334" s="1">
        <v>43088</v>
      </c>
      <c r="F334" t="s">
        <v>383</v>
      </c>
      <c r="G334" t="s">
        <v>1462</v>
      </c>
      <c r="H334">
        <v>-48</v>
      </c>
      <c r="I334" t="s">
        <v>39</v>
      </c>
      <c r="J334">
        <v>0</v>
      </c>
      <c r="M334" t="s">
        <v>241</v>
      </c>
      <c r="N334" t="s">
        <v>1463</v>
      </c>
    </row>
    <row r="335" spans="1:17" x14ac:dyDescent="0.15">
      <c r="A335" t="s">
        <v>111</v>
      </c>
      <c r="B335" t="s">
        <v>112</v>
      </c>
      <c r="C335">
        <v>163</v>
      </c>
      <c r="D335" t="s">
        <v>161</v>
      </c>
      <c r="E335" s="1">
        <v>43088</v>
      </c>
      <c r="F335" t="s">
        <v>383</v>
      </c>
      <c r="G335" t="s">
        <v>1462</v>
      </c>
      <c r="H335">
        <v>-48</v>
      </c>
      <c r="I335" t="s">
        <v>39</v>
      </c>
      <c r="J335">
        <v>0</v>
      </c>
      <c r="M335" t="s">
        <v>1910</v>
      </c>
      <c r="N335" t="s">
        <v>1463</v>
      </c>
      <c r="O335">
        <v>0</v>
      </c>
      <c r="P335">
        <v>0</v>
      </c>
      <c r="Q335" t="s">
        <v>381</v>
      </c>
    </row>
    <row r="336" spans="1:17" x14ac:dyDescent="0.15">
      <c r="A336" t="s">
        <v>111</v>
      </c>
      <c r="B336" t="s">
        <v>112</v>
      </c>
      <c r="C336">
        <v>163</v>
      </c>
      <c r="D336" t="s">
        <v>161</v>
      </c>
      <c r="E336" s="1">
        <v>43088</v>
      </c>
      <c r="F336" t="s">
        <v>383</v>
      </c>
      <c r="G336" t="s">
        <v>1462</v>
      </c>
      <c r="H336">
        <v>-6</v>
      </c>
      <c r="I336" t="s">
        <v>39</v>
      </c>
      <c r="J336">
        <v>0</v>
      </c>
      <c r="M336" t="s">
        <v>241</v>
      </c>
      <c r="N336" t="s">
        <v>1464</v>
      </c>
    </row>
    <row r="337" spans="1:17" x14ac:dyDescent="0.15">
      <c r="A337" t="s">
        <v>111</v>
      </c>
      <c r="B337" t="s">
        <v>112</v>
      </c>
      <c r="C337">
        <v>163</v>
      </c>
      <c r="D337" t="s">
        <v>161</v>
      </c>
      <c r="E337" s="1">
        <v>43088</v>
      </c>
      <c r="F337" t="s">
        <v>383</v>
      </c>
      <c r="G337" t="s">
        <v>1462</v>
      </c>
      <c r="H337">
        <v>-6</v>
      </c>
      <c r="I337" t="s">
        <v>39</v>
      </c>
      <c r="J337">
        <v>0</v>
      </c>
      <c r="M337" t="s">
        <v>1910</v>
      </c>
      <c r="N337" t="s">
        <v>1464</v>
      </c>
      <c r="O337">
        <v>0</v>
      </c>
      <c r="P337">
        <v>0</v>
      </c>
      <c r="Q337" t="s">
        <v>381</v>
      </c>
    </row>
    <row r="338" spans="1:17" x14ac:dyDescent="0.15">
      <c r="A338" t="s">
        <v>111</v>
      </c>
      <c r="B338" t="s">
        <v>112</v>
      </c>
      <c r="C338">
        <v>163</v>
      </c>
      <c r="D338" t="s">
        <v>161</v>
      </c>
      <c r="E338" s="1">
        <v>43088</v>
      </c>
      <c r="F338" t="s">
        <v>383</v>
      </c>
      <c r="G338" t="s">
        <v>1462</v>
      </c>
      <c r="H338">
        <v>48</v>
      </c>
      <c r="I338" t="s">
        <v>39</v>
      </c>
      <c r="J338">
        <v>0</v>
      </c>
      <c r="M338" t="s">
        <v>241</v>
      </c>
      <c r="N338" t="s">
        <v>1463</v>
      </c>
    </row>
    <row r="339" spans="1:17" x14ac:dyDescent="0.15">
      <c r="A339" t="s">
        <v>111</v>
      </c>
      <c r="B339" t="s">
        <v>112</v>
      </c>
      <c r="C339">
        <v>163</v>
      </c>
      <c r="D339" t="s">
        <v>161</v>
      </c>
      <c r="E339" s="1">
        <v>43088</v>
      </c>
      <c r="F339" t="s">
        <v>383</v>
      </c>
      <c r="G339" t="s">
        <v>1462</v>
      </c>
      <c r="H339">
        <v>48</v>
      </c>
      <c r="I339" t="s">
        <v>39</v>
      </c>
      <c r="J339">
        <v>0</v>
      </c>
      <c r="M339" t="s">
        <v>1910</v>
      </c>
      <c r="N339" t="s">
        <v>1463</v>
      </c>
      <c r="O339">
        <v>0</v>
      </c>
      <c r="P339">
        <v>0</v>
      </c>
      <c r="Q339" t="s">
        <v>381</v>
      </c>
    </row>
    <row r="340" spans="1:17" x14ac:dyDescent="0.15">
      <c r="A340" t="s">
        <v>111</v>
      </c>
      <c r="B340" t="s">
        <v>112</v>
      </c>
      <c r="C340">
        <v>163</v>
      </c>
      <c r="D340" t="s">
        <v>161</v>
      </c>
      <c r="E340" s="1">
        <v>43088</v>
      </c>
      <c r="F340" t="s">
        <v>383</v>
      </c>
      <c r="G340" t="s">
        <v>1462</v>
      </c>
      <c r="H340">
        <v>6</v>
      </c>
      <c r="I340" t="s">
        <v>39</v>
      </c>
      <c r="J340">
        <v>0</v>
      </c>
      <c r="M340" t="s">
        <v>241</v>
      </c>
      <c r="N340" t="s">
        <v>1464</v>
      </c>
    </row>
    <row r="341" spans="1:17" x14ac:dyDescent="0.15">
      <c r="A341" t="s">
        <v>111</v>
      </c>
      <c r="B341" t="s">
        <v>112</v>
      </c>
      <c r="C341">
        <v>163</v>
      </c>
      <c r="D341" t="s">
        <v>161</v>
      </c>
      <c r="E341" s="1">
        <v>43088</v>
      </c>
      <c r="F341" t="s">
        <v>383</v>
      </c>
      <c r="G341" t="s">
        <v>1462</v>
      </c>
      <c r="H341">
        <v>6</v>
      </c>
      <c r="I341" t="s">
        <v>39</v>
      </c>
      <c r="J341">
        <v>0</v>
      </c>
      <c r="M341" t="s">
        <v>1910</v>
      </c>
      <c r="N341" t="s">
        <v>1464</v>
      </c>
      <c r="O341">
        <v>0</v>
      </c>
      <c r="P341">
        <v>0</v>
      </c>
      <c r="Q341" t="s">
        <v>381</v>
      </c>
    </row>
    <row r="342" spans="1:17" x14ac:dyDescent="0.15">
      <c r="A342" t="s">
        <v>111</v>
      </c>
      <c r="B342" t="s">
        <v>112</v>
      </c>
      <c r="C342">
        <v>163</v>
      </c>
      <c r="D342" t="s">
        <v>161</v>
      </c>
      <c r="E342" s="1">
        <v>43088</v>
      </c>
      <c r="F342" t="s">
        <v>383</v>
      </c>
      <c r="G342" t="s">
        <v>1484</v>
      </c>
      <c r="H342">
        <v>0</v>
      </c>
      <c r="I342" t="s">
        <v>39</v>
      </c>
      <c r="J342">
        <v>0</v>
      </c>
      <c r="M342" t="s">
        <v>241</v>
      </c>
      <c r="N342" t="s">
        <v>1485</v>
      </c>
    </row>
    <row r="343" spans="1:17" x14ac:dyDescent="0.15">
      <c r="A343" t="s">
        <v>111</v>
      </c>
      <c r="B343" t="s">
        <v>112</v>
      </c>
      <c r="C343">
        <v>163</v>
      </c>
      <c r="D343" t="s">
        <v>161</v>
      </c>
      <c r="E343" s="1">
        <v>43088</v>
      </c>
      <c r="F343" t="s">
        <v>383</v>
      </c>
      <c r="G343" t="s">
        <v>1484</v>
      </c>
      <c r="H343">
        <v>0</v>
      </c>
      <c r="I343" t="s">
        <v>39</v>
      </c>
      <c r="J343">
        <v>0</v>
      </c>
      <c r="M343" t="s">
        <v>1910</v>
      </c>
      <c r="N343" t="s">
        <v>1485</v>
      </c>
      <c r="O343">
        <v>0</v>
      </c>
      <c r="P343">
        <v>0</v>
      </c>
      <c r="Q343" t="s">
        <v>381</v>
      </c>
    </row>
    <row r="344" spans="1:17" x14ac:dyDescent="0.15">
      <c r="A344" t="s">
        <v>111</v>
      </c>
      <c r="B344" t="s">
        <v>112</v>
      </c>
      <c r="C344">
        <v>163</v>
      </c>
      <c r="D344" t="s">
        <v>161</v>
      </c>
      <c r="E344" s="1">
        <v>43089</v>
      </c>
      <c r="F344" t="s">
        <v>383</v>
      </c>
      <c r="G344" t="s">
        <v>1484</v>
      </c>
      <c r="H344">
        <v>-5</v>
      </c>
      <c r="I344" t="s">
        <v>39</v>
      </c>
      <c r="J344">
        <v>0</v>
      </c>
      <c r="M344" t="s">
        <v>241</v>
      </c>
      <c r="N344" t="s">
        <v>1485</v>
      </c>
    </row>
    <row r="345" spans="1:17" x14ac:dyDescent="0.15">
      <c r="A345" t="s">
        <v>111</v>
      </c>
      <c r="B345" t="s">
        <v>112</v>
      </c>
      <c r="C345">
        <v>163</v>
      </c>
      <c r="D345" t="s">
        <v>161</v>
      </c>
      <c r="E345" s="1">
        <v>43089</v>
      </c>
      <c r="F345" t="s">
        <v>383</v>
      </c>
      <c r="G345" t="s">
        <v>1484</v>
      </c>
      <c r="H345">
        <v>-5</v>
      </c>
      <c r="I345" t="s">
        <v>39</v>
      </c>
      <c r="J345">
        <v>0</v>
      </c>
      <c r="M345" t="s">
        <v>1910</v>
      </c>
      <c r="N345" t="s">
        <v>1485</v>
      </c>
      <c r="O345">
        <v>0</v>
      </c>
      <c r="P345">
        <v>0</v>
      </c>
      <c r="Q345" t="s">
        <v>381</v>
      </c>
    </row>
    <row r="346" spans="1:17" x14ac:dyDescent="0.15">
      <c r="A346" t="s">
        <v>56</v>
      </c>
      <c r="B346" t="s">
        <v>126</v>
      </c>
      <c r="C346">
        <v>163</v>
      </c>
      <c r="D346" t="s">
        <v>161</v>
      </c>
      <c r="E346" s="1">
        <v>42843</v>
      </c>
      <c r="F346" t="s">
        <v>17</v>
      </c>
      <c r="G346" t="s">
        <v>715</v>
      </c>
      <c r="H346">
        <v>300</v>
      </c>
      <c r="I346" t="s">
        <v>39</v>
      </c>
      <c r="J346">
        <v>0</v>
      </c>
      <c r="K346">
        <v>0</v>
      </c>
      <c r="L346" t="s">
        <v>375</v>
      </c>
      <c r="M346" t="s">
        <v>241</v>
      </c>
      <c r="N346" t="s">
        <v>717</v>
      </c>
    </row>
    <row r="347" spans="1:17" x14ac:dyDescent="0.15">
      <c r="A347" t="s">
        <v>56</v>
      </c>
      <c r="B347" t="s">
        <v>126</v>
      </c>
      <c r="C347">
        <v>163</v>
      </c>
      <c r="D347" t="s">
        <v>161</v>
      </c>
      <c r="E347" s="1">
        <v>42843</v>
      </c>
      <c r="F347" t="s">
        <v>17</v>
      </c>
      <c r="G347" t="s">
        <v>715</v>
      </c>
      <c r="H347">
        <v>300</v>
      </c>
      <c r="I347" t="s">
        <v>39</v>
      </c>
      <c r="J347">
        <v>0</v>
      </c>
      <c r="K347">
        <v>0</v>
      </c>
      <c r="L347" t="s">
        <v>375</v>
      </c>
      <c r="M347" t="s">
        <v>1910</v>
      </c>
      <c r="N347" t="s">
        <v>717</v>
      </c>
      <c r="O347">
        <v>0</v>
      </c>
      <c r="P347">
        <v>0</v>
      </c>
      <c r="Q347" t="s">
        <v>381</v>
      </c>
    </row>
    <row r="348" spans="1:17" x14ac:dyDescent="0.15">
      <c r="A348" t="s">
        <v>56</v>
      </c>
      <c r="B348" t="s">
        <v>126</v>
      </c>
      <c r="C348">
        <v>163</v>
      </c>
      <c r="D348" t="s">
        <v>161</v>
      </c>
      <c r="E348" s="1">
        <v>42871</v>
      </c>
      <c r="F348" t="s">
        <v>383</v>
      </c>
      <c r="G348" t="s">
        <v>538</v>
      </c>
      <c r="H348">
        <v>-15.2</v>
      </c>
      <c r="I348" t="s">
        <v>39</v>
      </c>
      <c r="J348">
        <v>0</v>
      </c>
      <c r="M348" t="s">
        <v>241</v>
      </c>
      <c r="N348" t="s">
        <v>539</v>
      </c>
    </row>
    <row r="349" spans="1:17" x14ac:dyDescent="0.15">
      <c r="A349" t="s">
        <v>56</v>
      </c>
      <c r="B349" t="s">
        <v>126</v>
      </c>
      <c r="C349">
        <v>163</v>
      </c>
      <c r="D349" t="s">
        <v>161</v>
      </c>
      <c r="E349" s="1">
        <v>42871</v>
      </c>
      <c r="F349" t="s">
        <v>383</v>
      </c>
      <c r="G349" t="s">
        <v>538</v>
      </c>
      <c r="H349">
        <v>-15.2</v>
      </c>
      <c r="I349" t="s">
        <v>39</v>
      </c>
      <c r="J349">
        <v>0</v>
      </c>
      <c r="M349" t="s">
        <v>1910</v>
      </c>
      <c r="N349" t="s">
        <v>539</v>
      </c>
      <c r="O349">
        <v>0</v>
      </c>
      <c r="P349">
        <v>0</v>
      </c>
      <c r="Q349" t="s">
        <v>381</v>
      </c>
    </row>
    <row r="350" spans="1:17" x14ac:dyDescent="0.15">
      <c r="A350" t="s">
        <v>56</v>
      </c>
      <c r="B350" t="s">
        <v>126</v>
      </c>
      <c r="C350">
        <v>163</v>
      </c>
      <c r="D350" t="s">
        <v>161</v>
      </c>
      <c r="E350" s="1">
        <v>42873</v>
      </c>
      <c r="F350" t="s">
        <v>383</v>
      </c>
      <c r="G350" t="s">
        <v>561</v>
      </c>
      <c r="H350">
        <v>-150</v>
      </c>
      <c r="I350" t="s">
        <v>39</v>
      </c>
      <c r="J350">
        <v>0</v>
      </c>
      <c r="M350" t="s">
        <v>241</v>
      </c>
      <c r="N350" t="s">
        <v>562</v>
      </c>
    </row>
    <row r="351" spans="1:17" x14ac:dyDescent="0.15">
      <c r="A351" t="s">
        <v>56</v>
      </c>
      <c r="B351" t="s">
        <v>126</v>
      </c>
      <c r="C351">
        <v>163</v>
      </c>
      <c r="D351" t="s">
        <v>161</v>
      </c>
      <c r="E351" s="1">
        <v>42873</v>
      </c>
      <c r="F351" t="s">
        <v>383</v>
      </c>
      <c r="G351" t="s">
        <v>561</v>
      </c>
      <c r="H351">
        <v>-150</v>
      </c>
      <c r="I351" t="s">
        <v>39</v>
      </c>
      <c r="J351">
        <v>0</v>
      </c>
      <c r="M351" t="s">
        <v>1910</v>
      </c>
      <c r="N351" t="s">
        <v>562</v>
      </c>
      <c r="O351">
        <v>0</v>
      </c>
      <c r="P351">
        <v>0</v>
      </c>
      <c r="Q351" t="s">
        <v>381</v>
      </c>
    </row>
    <row r="352" spans="1:17" x14ac:dyDescent="0.15">
      <c r="A352" t="s">
        <v>56</v>
      </c>
      <c r="B352" t="s">
        <v>126</v>
      </c>
      <c r="C352">
        <v>163</v>
      </c>
      <c r="D352" t="s">
        <v>161</v>
      </c>
      <c r="E352" s="1">
        <v>42878</v>
      </c>
      <c r="F352" t="s">
        <v>383</v>
      </c>
      <c r="G352" t="s">
        <v>570</v>
      </c>
      <c r="H352">
        <v>-600</v>
      </c>
      <c r="I352" t="s">
        <v>39</v>
      </c>
      <c r="J352">
        <v>0</v>
      </c>
      <c r="M352" t="s">
        <v>241</v>
      </c>
      <c r="N352" t="s">
        <v>571</v>
      </c>
    </row>
    <row r="353" spans="1:17" x14ac:dyDescent="0.15">
      <c r="A353" t="s">
        <v>56</v>
      </c>
      <c r="B353" t="s">
        <v>126</v>
      </c>
      <c r="C353">
        <v>163</v>
      </c>
      <c r="D353" t="s">
        <v>161</v>
      </c>
      <c r="E353" s="1">
        <v>42878</v>
      </c>
      <c r="F353" t="s">
        <v>383</v>
      </c>
      <c r="G353" t="s">
        <v>570</v>
      </c>
      <c r="H353">
        <v>-600</v>
      </c>
      <c r="I353" t="s">
        <v>39</v>
      </c>
      <c r="J353">
        <v>0</v>
      </c>
      <c r="M353" t="s">
        <v>1910</v>
      </c>
      <c r="N353" t="s">
        <v>571</v>
      </c>
      <c r="O353">
        <v>0</v>
      </c>
      <c r="P353">
        <v>0</v>
      </c>
      <c r="Q353" t="s">
        <v>381</v>
      </c>
    </row>
    <row r="354" spans="1:17" x14ac:dyDescent="0.15">
      <c r="A354" t="s">
        <v>56</v>
      </c>
      <c r="B354" t="s">
        <v>126</v>
      </c>
      <c r="C354">
        <v>163</v>
      </c>
      <c r="D354" t="s">
        <v>161</v>
      </c>
      <c r="E354" s="1">
        <v>42908</v>
      </c>
      <c r="F354" t="s">
        <v>383</v>
      </c>
      <c r="G354" t="s">
        <v>653</v>
      </c>
      <c r="H354">
        <v>-300</v>
      </c>
      <c r="I354" t="s">
        <v>39</v>
      </c>
      <c r="J354">
        <v>0</v>
      </c>
      <c r="M354" t="s">
        <v>241</v>
      </c>
      <c r="N354" t="s">
        <v>654</v>
      </c>
    </row>
    <row r="355" spans="1:17" x14ac:dyDescent="0.15">
      <c r="A355" t="s">
        <v>56</v>
      </c>
      <c r="B355" t="s">
        <v>126</v>
      </c>
      <c r="C355">
        <v>163</v>
      </c>
      <c r="D355" t="s">
        <v>161</v>
      </c>
      <c r="E355" s="1">
        <v>42908</v>
      </c>
      <c r="F355" t="s">
        <v>383</v>
      </c>
      <c r="G355" t="s">
        <v>653</v>
      </c>
      <c r="H355">
        <v>-300</v>
      </c>
      <c r="I355" t="s">
        <v>39</v>
      </c>
      <c r="J355">
        <v>0</v>
      </c>
      <c r="M355" t="s">
        <v>1910</v>
      </c>
      <c r="N355" t="s">
        <v>654</v>
      </c>
      <c r="O355">
        <v>0</v>
      </c>
      <c r="P355">
        <v>0</v>
      </c>
      <c r="Q355" t="s">
        <v>381</v>
      </c>
    </row>
    <row r="356" spans="1:17" x14ac:dyDescent="0.15">
      <c r="A356" t="s">
        <v>56</v>
      </c>
      <c r="B356" t="s">
        <v>126</v>
      </c>
      <c r="C356">
        <v>163</v>
      </c>
      <c r="D356" t="s">
        <v>161</v>
      </c>
      <c r="E356" s="1">
        <v>42915</v>
      </c>
      <c r="F356" t="s">
        <v>383</v>
      </c>
      <c r="G356" t="s">
        <v>688</v>
      </c>
      <c r="H356">
        <v>-300</v>
      </c>
      <c r="I356" t="s">
        <v>39</v>
      </c>
      <c r="J356">
        <v>0</v>
      </c>
      <c r="M356" t="s">
        <v>241</v>
      </c>
      <c r="N356" t="s">
        <v>689</v>
      </c>
    </row>
    <row r="357" spans="1:17" x14ac:dyDescent="0.15">
      <c r="A357" t="s">
        <v>56</v>
      </c>
      <c r="B357" t="s">
        <v>126</v>
      </c>
      <c r="C357">
        <v>163</v>
      </c>
      <c r="D357" t="s">
        <v>161</v>
      </c>
      <c r="E357" s="1">
        <v>42915</v>
      </c>
      <c r="F357" t="s">
        <v>383</v>
      </c>
      <c r="G357" t="s">
        <v>688</v>
      </c>
      <c r="H357">
        <v>-300</v>
      </c>
      <c r="I357" t="s">
        <v>39</v>
      </c>
      <c r="J357">
        <v>0</v>
      </c>
      <c r="M357" t="s">
        <v>1910</v>
      </c>
      <c r="N357" t="s">
        <v>689</v>
      </c>
      <c r="O357">
        <v>0</v>
      </c>
      <c r="P357">
        <v>0</v>
      </c>
      <c r="Q357" t="s">
        <v>381</v>
      </c>
    </row>
    <row r="358" spans="1:17" x14ac:dyDescent="0.15">
      <c r="A358" t="s">
        <v>56</v>
      </c>
      <c r="B358" t="s">
        <v>126</v>
      </c>
      <c r="C358">
        <v>163</v>
      </c>
      <c r="D358" t="s">
        <v>161</v>
      </c>
      <c r="E358" s="1">
        <v>42940</v>
      </c>
      <c r="F358" t="s">
        <v>383</v>
      </c>
      <c r="G358" t="s">
        <v>1101</v>
      </c>
      <c r="H358">
        <v>-150</v>
      </c>
      <c r="I358" t="s">
        <v>39</v>
      </c>
      <c r="J358">
        <v>0</v>
      </c>
      <c r="M358" t="s">
        <v>241</v>
      </c>
      <c r="N358" t="s">
        <v>1102</v>
      </c>
    </row>
    <row r="359" spans="1:17" x14ac:dyDescent="0.15">
      <c r="A359" t="s">
        <v>56</v>
      </c>
      <c r="B359" t="s">
        <v>126</v>
      </c>
      <c r="C359">
        <v>163</v>
      </c>
      <c r="D359" t="s">
        <v>161</v>
      </c>
      <c r="E359" s="1">
        <v>42940</v>
      </c>
      <c r="F359" t="s">
        <v>383</v>
      </c>
      <c r="G359" t="s">
        <v>1101</v>
      </c>
      <c r="H359">
        <v>-150</v>
      </c>
      <c r="I359" t="s">
        <v>39</v>
      </c>
      <c r="J359">
        <v>0</v>
      </c>
      <c r="M359" t="s">
        <v>1910</v>
      </c>
      <c r="N359" t="s">
        <v>1102</v>
      </c>
      <c r="O359">
        <v>0</v>
      </c>
      <c r="P359">
        <v>0</v>
      </c>
      <c r="Q359" t="s">
        <v>381</v>
      </c>
    </row>
    <row r="360" spans="1:17" x14ac:dyDescent="0.15">
      <c r="A360" t="s">
        <v>56</v>
      </c>
      <c r="B360" t="s">
        <v>126</v>
      </c>
      <c r="C360">
        <v>163</v>
      </c>
      <c r="D360" t="s">
        <v>161</v>
      </c>
      <c r="E360" s="1">
        <v>42990</v>
      </c>
      <c r="F360" t="s">
        <v>383</v>
      </c>
      <c r="G360" t="s">
        <v>1227</v>
      </c>
      <c r="H360">
        <v>-330</v>
      </c>
      <c r="I360" t="s">
        <v>39</v>
      </c>
      <c r="J360">
        <v>0</v>
      </c>
      <c r="M360" t="s">
        <v>241</v>
      </c>
      <c r="N360" t="s">
        <v>1229</v>
      </c>
    </row>
    <row r="361" spans="1:17" x14ac:dyDescent="0.15">
      <c r="A361" t="s">
        <v>56</v>
      </c>
      <c r="B361" t="s">
        <v>126</v>
      </c>
      <c r="C361">
        <v>163</v>
      </c>
      <c r="D361" t="s">
        <v>161</v>
      </c>
      <c r="E361" s="1">
        <v>42990</v>
      </c>
      <c r="F361" t="s">
        <v>383</v>
      </c>
      <c r="G361" t="s">
        <v>1227</v>
      </c>
      <c r="H361">
        <v>-330</v>
      </c>
      <c r="I361" t="s">
        <v>39</v>
      </c>
      <c r="J361">
        <v>0</v>
      </c>
      <c r="M361" t="s">
        <v>1910</v>
      </c>
      <c r="N361" t="s">
        <v>1229</v>
      </c>
      <c r="O361">
        <v>0</v>
      </c>
      <c r="P361">
        <v>0</v>
      </c>
      <c r="Q361" t="s">
        <v>381</v>
      </c>
    </row>
    <row r="362" spans="1:17" x14ac:dyDescent="0.15">
      <c r="A362" t="s">
        <v>56</v>
      </c>
      <c r="B362" t="s">
        <v>126</v>
      </c>
      <c r="C362">
        <v>163</v>
      </c>
      <c r="D362" t="s">
        <v>161</v>
      </c>
      <c r="E362" s="1">
        <v>42990</v>
      </c>
      <c r="F362" t="s">
        <v>383</v>
      </c>
      <c r="G362" t="s">
        <v>1227</v>
      </c>
      <c r="H362">
        <v>-4.8</v>
      </c>
      <c r="I362" t="s">
        <v>39</v>
      </c>
      <c r="J362">
        <v>0</v>
      </c>
      <c r="M362" t="s">
        <v>241</v>
      </c>
      <c r="N362" t="s">
        <v>1230</v>
      </c>
    </row>
    <row r="363" spans="1:17" x14ac:dyDescent="0.15">
      <c r="A363" t="s">
        <v>56</v>
      </c>
      <c r="B363" t="s">
        <v>126</v>
      </c>
      <c r="C363">
        <v>163</v>
      </c>
      <c r="D363" t="s">
        <v>161</v>
      </c>
      <c r="E363" s="1">
        <v>42990</v>
      </c>
      <c r="F363" t="s">
        <v>383</v>
      </c>
      <c r="G363" t="s">
        <v>1227</v>
      </c>
      <c r="H363">
        <v>-4.8</v>
      </c>
      <c r="I363" t="s">
        <v>39</v>
      </c>
      <c r="J363">
        <v>0</v>
      </c>
      <c r="M363" t="s">
        <v>1910</v>
      </c>
      <c r="N363" t="s">
        <v>1230</v>
      </c>
      <c r="O363">
        <v>0</v>
      </c>
      <c r="P363">
        <v>0</v>
      </c>
      <c r="Q363" t="s">
        <v>381</v>
      </c>
    </row>
    <row r="364" spans="1:17" x14ac:dyDescent="0.15">
      <c r="A364" t="s">
        <v>56</v>
      </c>
      <c r="B364" t="s">
        <v>126</v>
      </c>
      <c r="C364">
        <v>163</v>
      </c>
      <c r="D364" t="s">
        <v>161</v>
      </c>
      <c r="E364" s="1">
        <v>43021</v>
      </c>
      <c r="F364" t="s">
        <v>383</v>
      </c>
      <c r="G364" t="s">
        <v>1300</v>
      </c>
      <c r="H364">
        <v>-300</v>
      </c>
      <c r="I364" t="s">
        <v>39</v>
      </c>
      <c r="J364">
        <v>0</v>
      </c>
      <c r="M364" t="s">
        <v>241</v>
      </c>
      <c r="N364" t="s">
        <v>1302</v>
      </c>
    </row>
    <row r="365" spans="1:17" x14ac:dyDescent="0.15">
      <c r="A365" t="s">
        <v>56</v>
      </c>
      <c r="B365" t="s">
        <v>126</v>
      </c>
      <c r="C365">
        <v>163</v>
      </c>
      <c r="D365" t="s">
        <v>161</v>
      </c>
      <c r="E365" s="1">
        <v>43021</v>
      </c>
      <c r="F365" t="s">
        <v>383</v>
      </c>
      <c r="G365" t="s">
        <v>1300</v>
      </c>
      <c r="H365">
        <v>-300</v>
      </c>
      <c r="I365" t="s">
        <v>39</v>
      </c>
      <c r="J365">
        <v>0</v>
      </c>
      <c r="M365" t="s">
        <v>1910</v>
      </c>
      <c r="N365" t="s">
        <v>1302</v>
      </c>
      <c r="O365">
        <v>0</v>
      </c>
      <c r="P365">
        <v>0</v>
      </c>
      <c r="Q365" t="s">
        <v>381</v>
      </c>
    </row>
    <row r="366" spans="1:17" x14ac:dyDescent="0.15">
      <c r="A366" t="s">
        <v>56</v>
      </c>
      <c r="B366" t="s">
        <v>126</v>
      </c>
      <c r="C366">
        <v>163</v>
      </c>
      <c r="D366" t="s">
        <v>161</v>
      </c>
      <c r="E366" s="1">
        <v>43024</v>
      </c>
      <c r="F366" t="s">
        <v>17</v>
      </c>
      <c r="G366" t="s">
        <v>1615</v>
      </c>
      <c r="H366">
        <v>900</v>
      </c>
      <c r="I366" t="s">
        <v>39</v>
      </c>
      <c r="J366">
        <v>0</v>
      </c>
      <c r="K366">
        <v>0</v>
      </c>
      <c r="L366" t="s">
        <v>375</v>
      </c>
      <c r="M366" t="s">
        <v>241</v>
      </c>
      <c r="N366" t="s">
        <v>1617</v>
      </c>
    </row>
    <row r="367" spans="1:17" x14ac:dyDescent="0.15">
      <c r="A367" t="s">
        <v>56</v>
      </c>
      <c r="B367" t="s">
        <v>126</v>
      </c>
      <c r="C367">
        <v>163</v>
      </c>
      <c r="D367" t="s">
        <v>161</v>
      </c>
      <c r="E367" s="1">
        <v>43024</v>
      </c>
      <c r="F367" t="s">
        <v>17</v>
      </c>
      <c r="G367" t="s">
        <v>1615</v>
      </c>
      <c r="H367">
        <v>900</v>
      </c>
      <c r="I367" t="s">
        <v>39</v>
      </c>
      <c r="J367">
        <v>0</v>
      </c>
      <c r="K367">
        <v>0</v>
      </c>
      <c r="L367" t="s">
        <v>375</v>
      </c>
      <c r="M367" t="s">
        <v>1910</v>
      </c>
      <c r="N367" t="s">
        <v>1617</v>
      </c>
      <c r="O367">
        <v>0</v>
      </c>
      <c r="P367">
        <v>0</v>
      </c>
      <c r="Q367" t="s">
        <v>381</v>
      </c>
    </row>
    <row r="368" spans="1:17" x14ac:dyDescent="0.15">
      <c r="A368" t="s">
        <v>56</v>
      </c>
      <c r="B368" t="s">
        <v>126</v>
      </c>
      <c r="C368">
        <v>163</v>
      </c>
      <c r="D368" t="s">
        <v>161</v>
      </c>
      <c r="E368" s="1">
        <v>43027</v>
      </c>
      <c r="F368" t="s">
        <v>383</v>
      </c>
      <c r="G368" t="s">
        <v>1307</v>
      </c>
      <c r="H368">
        <v>-60</v>
      </c>
      <c r="I368" t="s">
        <v>39</v>
      </c>
      <c r="J368">
        <v>0</v>
      </c>
      <c r="M368" t="s">
        <v>241</v>
      </c>
      <c r="N368" t="s">
        <v>1308</v>
      </c>
    </row>
    <row r="369" spans="1:17" x14ac:dyDescent="0.15">
      <c r="A369" t="s">
        <v>56</v>
      </c>
      <c r="B369" t="s">
        <v>126</v>
      </c>
      <c r="C369">
        <v>163</v>
      </c>
      <c r="D369" t="s">
        <v>161</v>
      </c>
      <c r="E369" s="1">
        <v>43027</v>
      </c>
      <c r="F369" t="s">
        <v>383</v>
      </c>
      <c r="G369" t="s">
        <v>1307</v>
      </c>
      <c r="H369">
        <v>-60</v>
      </c>
      <c r="I369" t="s">
        <v>39</v>
      </c>
      <c r="J369">
        <v>0</v>
      </c>
      <c r="M369" t="s">
        <v>1910</v>
      </c>
      <c r="N369" t="s">
        <v>1308</v>
      </c>
      <c r="O369">
        <v>0</v>
      </c>
      <c r="P369">
        <v>0</v>
      </c>
      <c r="Q369" t="s">
        <v>381</v>
      </c>
    </row>
    <row r="370" spans="1:17" x14ac:dyDescent="0.15">
      <c r="A370" t="s">
        <v>56</v>
      </c>
      <c r="B370" t="s">
        <v>126</v>
      </c>
      <c r="C370">
        <v>163</v>
      </c>
      <c r="D370" t="s">
        <v>161</v>
      </c>
      <c r="E370" s="1">
        <v>43066</v>
      </c>
      <c r="F370" t="s">
        <v>17</v>
      </c>
      <c r="G370" t="s">
        <v>1665</v>
      </c>
      <c r="H370">
        <v>2250</v>
      </c>
      <c r="I370" t="s">
        <v>39</v>
      </c>
      <c r="J370">
        <v>0</v>
      </c>
      <c r="K370">
        <v>0</v>
      </c>
      <c r="L370" t="s">
        <v>375</v>
      </c>
      <c r="M370" t="s">
        <v>241</v>
      </c>
      <c r="N370" t="s">
        <v>1667</v>
      </c>
    </row>
    <row r="371" spans="1:17" x14ac:dyDescent="0.15">
      <c r="A371" t="s">
        <v>56</v>
      </c>
      <c r="B371" t="s">
        <v>126</v>
      </c>
      <c r="C371">
        <v>163</v>
      </c>
      <c r="D371" t="s">
        <v>161</v>
      </c>
      <c r="E371" s="1">
        <v>43066</v>
      </c>
      <c r="F371" t="s">
        <v>17</v>
      </c>
      <c r="G371" t="s">
        <v>1665</v>
      </c>
      <c r="H371">
        <v>2250</v>
      </c>
      <c r="I371" t="s">
        <v>39</v>
      </c>
      <c r="J371">
        <v>0</v>
      </c>
      <c r="K371">
        <v>0</v>
      </c>
      <c r="L371" t="s">
        <v>375</v>
      </c>
      <c r="M371" t="s">
        <v>1910</v>
      </c>
      <c r="N371" t="s">
        <v>1667</v>
      </c>
      <c r="O371">
        <v>0</v>
      </c>
      <c r="P371">
        <v>0</v>
      </c>
      <c r="Q371" t="s">
        <v>381</v>
      </c>
    </row>
    <row r="372" spans="1:17" x14ac:dyDescent="0.15">
      <c r="A372" t="s">
        <v>56</v>
      </c>
      <c r="B372" t="s">
        <v>126</v>
      </c>
      <c r="C372">
        <v>163</v>
      </c>
      <c r="D372" t="s">
        <v>161</v>
      </c>
      <c r="E372" s="1">
        <v>43069</v>
      </c>
      <c r="F372" t="s">
        <v>17</v>
      </c>
      <c r="G372" t="s">
        <v>1686</v>
      </c>
      <c r="H372">
        <v>650</v>
      </c>
      <c r="I372" t="s">
        <v>39</v>
      </c>
      <c r="J372">
        <v>0</v>
      </c>
      <c r="K372">
        <v>0</v>
      </c>
      <c r="L372" t="s">
        <v>375</v>
      </c>
      <c r="M372" t="s">
        <v>241</v>
      </c>
      <c r="N372" t="s">
        <v>1689</v>
      </c>
    </row>
    <row r="373" spans="1:17" x14ac:dyDescent="0.15">
      <c r="A373" t="s">
        <v>56</v>
      </c>
      <c r="B373" t="s">
        <v>126</v>
      </c>
      <c r="C373">
        <v>163</v>
      </c>
      <c r="D373" t="s">
        <v>161</v>
      </c>
      <c r="E373" s="1">
        <v>43069</v>
      </c>
      <c r="F373" t="s">
        <v>17</v>
      </c>
      <c r="G373" t="s">
        <v>1686</v>
      </c>
      <c r="H373">
        <v>650</v>
      </c>
      <c r="I373" t="s">
        <v>39</v>
      </c>
      <c r="J373">
        <v>0</v>
      </c>
      <c r="K373">
        <v>0</v>
      </c>
      <c r="L373" t="s">
        <v>375</v>
      </c>
      <c r="M373" t="s">
        <v>1910</v>
      </c>
      <c r="N373" t="s">
        <v>1689</v>
      </c>
      <c r="O373">
        <v>0</v>
      </c>
      <c r="P373">
        <v>0</v>
      </c>
      <c r="Q373" t="s">
        <v>381</v>
      </c>
    </row>
    <row r="374" spans="1:17" x14ac:dyDescent="0.15">
      <c r="A374" t="s">
        <v>56</v>
      </c>
      <c r="B374" t="s">
        <v>126</v>
      </c>
      <c r="C374">
        <v>163</v>
      </c>
      <c r="D374" t="s">
        <v>161</v>
      </c>
      <c r="E374" s="1">
        <v>43073</v>
      </c>
      <c r="F374" t="s">
        <v>383</v>
      </c>
      <c r="G374" t="s">
        <v>1428</v>
      </c>
      <c r="H374">
        <v>-2400</v>
      </c>
      <c r="I374" t="s">
        <v>39</v>
      </c>
      <c r="J374">
        <v>0</v>
      </c>
      <c r="M374" t="s">
        <v>241</v>
      </c>
      <c r="N374" t="s">
        <v>1430</v>
      </c>
    </row>
    <row r="375" spans="1:17" x14ac:dyDescent="0.15">
      <c r="A375" t="s">
        <v>56</v>
      </c>
      <c r="B375" t="s">
        <v>126</v>
      </c>
      <c r="C375">
        <v>163</v>
      </c>
      <c r="D375" t="s">
        <v>161</v>
      </c>
      <c r="E375" s="1">
        <v>43073</v>
      </c>
      <c r="F375" t="s">
        <v>383</v>
      </c>
      <c r="G375" t="s">
        <v>1428</v>
      </c>
      <c r="H375">
        <v>-2400</v>
      </c>
      <c r="I375" t="s">
        <v>39</v>
      </c>
      <c r="J375">
        <v>0</v>
      </c>
      <c r="M375" t="s">
        <v>1910</v>
      </c>
      <c r="N375" t="s">
        <v>1430</v>
      </c>
      <c r="O375">
        <v>0</v>
      </c>
      <c r="P375">
        <v>0</v>
      </c>
      <c r="Q375" t="s">
        <v>381</v>
      </c>
    </row>
    <row r="376" spans="1:17" x14ac:dyDescent="0.15">
      <c r="A376" t="s">
        <v>56</v>
      </c>
      <c r="B376" t="s">
        <v>126</v>
      </c>
      <c r="C376">
        <v>163</v>
      </c>
      <c r="D376" t="s">
        <v>161</v>
      </c>
      <c r="E376" s="1">
        <v>43082</v>
      </c>
      <c r="F376" t="s">
        <v>383</v>
      </c>
      <c r="G376" t="s">
        <v>1467</v>
      </c>
      <c r="H376">
        <v>-600</v>
      </c>
      <c r="I376" t="s">
        <v>39</v>
      </c>
      <c r="J376">
        <v>0</v>
      </c>
      <c r="M376" t="s">
        <v>241</v>
      </c>
      <c r="N376" t="s">
        <v>1468</v>
      </c>
    </row>
    <row r="377" spans="1:17" x14ac:dyDescent="0.15">
      <c r="A377" t="s">
        <v>56</v>
      </c>
      <c r="B377" t="s">
        <v>126</v>
      </c>
      <c r="C377">
        <v>163</v>
      </c>
      <c r="D377" t="s">
        <v>161</v>
      </c>
      <c r="E377" s="1">
        <v>43082</v>
      </c>
      <c r="F377" t="s">
        <v>383</v>
      </c>
      <c r="G377" t="s">
        <v>1467</v>
      </c>
      <c r="H377">
        <v>-600</v>
      </c>
      <c r="I377" t="s">
        <v>39</v>
      </c>
      <c r="J377">
        <v>0</v>
      </c>
      <c r="M377" t="s">
        <v>1910</v>
      </c>
      <c r="N377" t="s">
        <v>1468</v>
      </c>
      <c r="O377">
        <v>0</v>
      </c>
      <c r="P377">
        <v>0</v>
      </c>
      <c r="Q377" t="s">
        <v>381</v>
      </c>
    </row>
    <row r="378" spans="1:17" x14ac:dyDescent="0.15">
      <c r="A378" t="s">
        <v>57</v>
      </c>
      <c r="B378" t="s">
        <v>113</v>
      </c>
      <c r="C378">
        <v>163</v>
      </c>
      <c r="D378" t="s">
        <v>161</v>
      </c>
      <c r="E378" s="1">
        <v>42839</v>
      </c>
      <c r="F378" t="s">
        <v>383</v>
      </c>
      <c r="G378" t="s">
        <v>469</v>
      </c>
      <c r="H378">
        <v>-100</v>
      </c>
      <c r="I378" t="s">
        <v>39</v>
      </c>
      <c r="J378">
        <v>0</v>
      </c>
      <c r="M378" t="s">
        <v>241</v>
      </c>
      <c r="N378" t="s">
        <v>470</v>
      </c>
    </row>
    <row r="379" spans="1:17" x14ac:dyDescent="0.15">
      <c r="A379" t="s">
        <v>57</v>
      </c>
      <c r="B379" t="s">
        <v>113</v>
      </c>
      <c r="C379">
        <v>163</v>
      </c>
      <c r="D379" t="s">
        <v>161</v>
      </c>
      <c r="E379" s="1">
        <v>42839</v>
      </c>
      <c r="F379" t="s">
        <v>383</v>
      </c>
      <c r="G379" t="s">
        <v>469</v>
      </c>
      <c r="H379">
        <v>-100</v>
      </c>
      <c r="I379" t="s">
        <v>39</v>
      </c>
      <c r="J379">
        <v>0</v>
      </c>
      <c r="M379" t="s">
        <v>1910</v>
      </c>
      <c r="N379" t="s">
        <v>470</v>
      </c>
      <c r="O379">
        <v>0</v>
      </c>
      <c r="P379">
        <v>0</v>
      </c>
      <c r="Q379" t="s">
        <v>381</v>
      </c>
    </row>
    <row r="380" spans="1:17" x14ac:dyDescent="0.15">
      <c r="A380" t="s">
        <v>57</v>
      </c>
      <c r="B380" t="s">
        <v>113</v>
      </c>
      <c r="C380">
        <v>163</v>
      </c>
      <c r="D380" t="s">
        <v>161</v>
      </c>
      <c r="E380" s="1">
        <v>42877</v>
      </c>
      <c r="F380" t="s">
        <v>383</v>
      </c>
      <c r="G380" t="s">
        <v>555</v>
      </c>
      <c r="H380">
        <v>-70</v>
      </c>
      <c r="I380" t="s">
        <v>39</v>
      </c>
      <c r="J380">
        <v>0</v>
      </c>
      <c r="M380" t="s">
        <v>241</v>
      </c>
      <c r="N380" t="s">
        <v>556</v>
      </c>
    </row>
    <row r="381" spans="1:17" x14ac:dyDescent="0.15">
      <c r="A381" t="s">
        <v>57</v>
      </c>
      <c r="B381" t="s">
        <v>113</v>
      </c>
      <c r="C381">
        <v>163</v>
      </c>
      <c r="D381" t="s">
        <v>161</v>
      </c>
      <c r="E381" s="1">
        <v>42877</v>
      </c>
      <c r="F381" t="s">
        <v>383</v>
      </c>
      <c r="G381" t="s">
        <v>555</v>
      </c>
      <c r="H381">
        <v>-70</v>
      </c>
      <c r="I381" t="s">
        <v>39</v>
      </c>
      <c r="J381">
        <v>0</v>
      </c>
      <c r="M381" t="s">
        <v>1910</v>
      </c>
      <c r="N381" t="s">
        <v>556</v>
      </c>
      <c r="O381">
        <v>0</v>
      </c>
      <c r="P381">
        <v>0</v>
      </c>
      <c r="Q381" t="s">
        <v>381</v>
      </c>
    </row>
    <row r="382" spans="1:17" x14ac:dyDescent="0.15">
      <c r="A382" t="s">
        <v>57</v>
      </c>
      <c r="B382" t="s">
        <v>113</v>
      </c>
      <c r="C382">
        <v>163</v>
      </c>
      <c r="D382" t="s">
        <v>161</v>
      </c>
      <c r="E382" s="1">
        <v>42892</v>
      </c>
      <c r="F382" t="s">
        <v>383</v>
      </c>
      <c r="G382" t="s">
        <v>603</v>
      </c>
      <c r="H382">
        <v>-75</v>
      </c>
      <c r="I382" t="s">
        <v>39</v>
      </c>
      <c r="J382">
        <v>0</v>
      </c>
      <c r="M382" t="s">
        <v>241</v>
      </c>
      <c r="N382" t="s">
        <v>604</v>
      </c>
    </row>
    <row r="383" spans="1:17" x14ac:dyDescent="0.15">
      <c r="A383" t="s">
        <v>57</v>
      </c>
      <c r="B383" t="s">
        <v>113</v>
      </c>
      <c r="C383">
        <v>163</v>
      </c>
      <c r="D383" t="s">
        <v>161</v>
      </c>
      <c r="E383" s="1">
        <v>42892</v>
      </c>
      <c r="F383" t="s">
        <v>383</v>
      </c>
      <c r="G383" t="s">
        <v>603</v>
      </c>
      <c r="H383">
        <v>-75</v>
      </c>
      <c r="I383" t="s">
        <v>39</v>
      </c>
      <c r="J383">
        <v>0</v>
      </c>
      <c r="M383" t="s">
        <v>1910</v>
      </c>
      <c r="N383" t="s">
        <v>604</v>
      </c>
      <c r="O383">
        <v>0</v>
      </c>
      <c r="P383">
        <v>0</v>
      </c>
      <c r="Q383" t="s">
        <v>381</v>
      </c>
    </row>
    <row r="384" spans="1:17" x14ac:dyDescent="0.15">
      <c r="A384" t="s">
        <v>57</v>
      </c>
      <c r="B384" t="s">
        <v>113</v>
      </c>
      <c r="C384">
        <v>163</v>
      </c>
      <c r="D384" t="s">
        <v>161</v>
      </c>
      <c r="E384" s="1">
        <v>42908</v>
      </c>
      <c r="F384" t="s">
        <v>383</v>
      </c>
      <c r="G384" t="s">
        <v>647</v>
      </c>
      <c r="H384">
        <v>-58</v>
      </c>
      <c r="I384" t="s">
        <v>39</v>
      </c>
      <c r="J384">
        <v>0</v>
      </c>
      <c r="M384" t="s">
        <v>241</v>
      </c>
      <c r="N384" t="s">
        <v>648</v>
      </c>
    </row>
    <row r="385" spans="1:17" x14ac:dyDescent="0.15">
      <c r="A385" t="s">
        <v>57</v>
      </c>
      <c r="B385" t="s">
        <v>113</v>
      </c>
      <c r="C385">
        <v>163</v>
      </c>
      <c r="D385" t="s">
        <v>161</v>
      </c>
      <c r="E385" s="1">
        <v>42908</v>
      </c>
      <c r="F385" t="s">
        <v>383</v>
      </c>
      <c r="G385" t="s">
        <v>647</v>
      </c>
      <c r="H385">
        <v>-58</v>
      </c>
      <c r="I385" t="s">
        <v>39</v>
      </c>
      <c r="J385">
        <v>0</v>
      </c>
      <c r="M385" t="s">
        <v>1910</v>
      </c>
      <c r="N385" t="s">
        <v>648</v>
      </c>
      <c r="O385">
        <v>0</v>
      </c>
      <c r="P385">
        <v>0</v>
      </c>
      <c r="Q385" t="s">
        <v>381</v>
      </c>
    </row>
    <row r="386" spans="1:17" x14ac:dyDescent="0.15">
      <c r="A386" t="s">
        <v>57</v>
      </c>
      <c r="B386" t="s">
        <v>113</v>
      </c>
      <c r="C386">
        <v>163</v>
      </c>
      <c r="D386" t="s">
        <v>161</v>
      </c>
      <c r="E386" s="1">
        <v>42930</v>
      </c>
      <c r="F386" t="s">
        <v>383</v>
      </c>
      <c r="G386" t="s">
        <v>1068</v>
      </c>
      <c r="H386">
        <v>-70</v>
      </c>
      <c r="I386" t="s">
        <v>39</v>
      </c>
      <c r="J386">
        <v>0</v>
      </c>
      <c r="M386" t="s">
        <v>241</v>
      </c>
      <c r="N386" t="s">
        <v>1069</v>
      </c>
    </row>
    <row r="387" spans="1:17" x14ac:dyDescent="0.15">
      <c r="A387" t="s">
        <v>57</v>
      </c>
      <c r="B387" t="s">
        <v>113</v>
      </c>
      <c r="C387">
        <v>163</v>
      </c>
      <c r="D387" t="s">
        <v>161</v>
      </c>
      <c r="E387" s="1">
        <v>42930</v>
      </c>
      <c r="F387" t="s">
        <v>383</v>
      </c>
      <c r="G387" t="s">
        <v>1068</v>
      </c>
      <c r="H387">
        <v>-70</v>
      </c>
      <c r="I387" t="s">
        <v>39</v>
      </c>
      <c r="J387">
        <v>0</v>
      </c>
      <c r="M387" t="s">
        <v>1910</v>
      </c>
      <c r="N387" t="s">
        <v>1069</v>
      </c>
      <c r="O387">
        <v>0</v>
      </c>
      <c r="P387">
        <v>0</v>
      </c>
      <c r="Q387" t="s">
        <v>381</v>
      </c>
    </row>
    <row r="388" spans="1:17" x14ac:dyDescent="0.15">
      <c r="A388" t="s">
        <v>57</v>
      </c>
      <c r="B388" t="s">
        <v>113</v>
      </c>
      <c r="C388">
        <v>163</v>
      </c>
      <c r="D388" t="s">
        <v>161</v>
      </c>
      <c r="E388" s="1">
        <v>42936</v>
      </c>
      <c r="F388" t="s">
        <v>383</v>
      </c>
      <c r="G388" t="s">
        <v>1085</v>
      </c>
      <c r="H388">
        <v>-20</v>
      </c>
      <c r="I388" t="s">
        <v>39</v>
      </c>
      <c r="J388">
        <v>0</v>
      </c>
      <c r="M388" t="s">
        <v>241</v>
      </c>
      <c r="N388" t="s">
        <v>1086</v>
      </c>
    </row>
    <row r="389" spans="1:17" x14ac:dyDescent="0.15">
      <c r="A389" t="s">
        <v>57</v>
      </c>
      <c r="B389" t="s">
        <v>113</v>
      </c>
      <c r="C389">
        <v>163</v>
      </c>
      <c r="D389" t="s">
        <v>161</v>
      </c>
      <c r="E389" s="1">
        <v>42936</v>
      </c>
      <c r="F389" t="s">
        <v>383</v>
      </c>
      <c r="G389" t="s">
        <v>1085</v>
      </c>
      <c r="H389">
        <v>-20</v>
      </c>
      <c r="I389" t="s">
        <v>39</v>
      </c>
      <c r="J389">
        <v>0</v>
      </c>
      <c r="M389" t="s">
        <v>1910</v>
      </c>
      <c r="N389" t="s">
        <v>1086</v>
      </c>
      <c r="O389">
        <v>0</v>
      </c>
      <c r="P389">
        <v>0</v>
      </c>
      <c r="Q389" t="s">
        <v>381</v>
      </c>
    </row>
    <row r="390" spans="1:17" x14ac:dyDescent="0.15">
      <c r="A390" t="s">
        <v>57</v>
      </c>
      <c r="B390" t="s">
        <v>113</v>
      </c>
      <c r="C390">
        <v>163</v>
      </c>
      <c r="D390" t="s">
        <v>161</v>
      </c>
      <c r="E390" s="1">
        <v>42971</v>
      </c>
      <c r="F390" t="s">
        <v>383</v>
      </c>
      <c r="G390" t="s">
        <v>1182</v>
      </c>
      <c r="H390">
        <v>-150</v>
      </c>
      <c r="I390" t="s">
        <v>39</v>
      </c>
      <c r="J390">
        <v>0</v>
      </c>
      <c r="M390" t="s">
        <v>241</v>
      </c>
      <c r="N390" t="s">
        <v>1183</v>
      </c>
    </row>
    <row r="391" spans="1:17" x14ac:dyDescent="0.15">
      <c r="A391" t="s">
        <v>57</v>
      </c>
      <c r="B391" t="s">
        <v>113</v>
      </c>
      <c r="C391">
        <v>163</v>
      </c>
      <c r="D391" t="s">
        <v>161</v>
      </c>
      <c r="E391" s="1">
        <v>42971</v>
      </c>
      <c r="F391" t="s">
        <v>383</v>
      </c>
      <c r="G391" t="s">
        <v>1182</v>
      </c>
      <c r="H391">
        <v>-150</v>
      </c>
      <c r="I391" t="s">
        <v>39</v>
      </c>
      <c r="J391">
        <v>0</v>
      </c>
      <c r="M391" t="s">
        <v>1910</v>
      </c>
      <c r="N391" t="s">
        <v>1183</v>
      </c>
      <c r="O391">
        <v>0</v>
      </c>
      <c r="P391">
        <v>0</v>
      </c>
      <c r="Q391" t="s">
        <v>381</v>
      </c>
    </row>
    <row r="392" spans="1:17" x14ac:dyDescent="0.15">
      <c r="A392" t="s">
        <v>57</v>
      </c>
      <c r="B392" t="s">
        <v>113</v>
      </c>
      <c r="C392">
        <v>163</v>
      </c>
      <c r="D392" t="s">
        <v>161</v>
      </c>
      <c r="E392" s="1">
        <v>42990</v>
      </c>
      <c r="F392" t="s">
        <v>383</v>
      </c>
      <c r="G392" t="s">
        <v>1214</v>
      </c>
      <c r="H392">
        <v>-450</v>
      </c>
      <c r="I392" t="s">
        <v>39</v>
      </c>
      <c r="J392">
        <v>0</v>
      </c>
      <c r="M392" t="s">
        <v>241</v>
      </c>
      <c r="N392" t="s">
        <v>1215</v>
      </c>
    </row>
    <row r="393" spans="1:17" x14ac:dyDescent="0.15">
      <c r="A393" t="s">
        <v>57</v>
      </c>
      <c r="B393" t="s">
        <v>113</v>
      </c>
      <c r="C393">
        <v>163</v>
      </c>
      <c r="D393" t="s">
        <v>161</v>
      </c>
      <c r="E393" s="1">
        <v>42990</v>
      </c>
      <c r="F393" t="s">
        <v>383</v>
      </c>
      <c r="G393" t="s">
        <v>1214</v>
      </c>
      <c r="H393">
        <v>-450</v>
      </c>
      <c r="I393" t="s">
        <v>39</v>
      </c>
      <c r="J393">
        <v>0</v>
      </c>
      <c r="M393" t="s">
        <v>1910</v>
      </c>
      <c r="N393" t="s">
        <v>1215</v>
      </c>
      <c r="O393">
        <v>0</v>
      </c>
      <c r="P393">
        <v>0</v>
      </c>
      <c r="Q393" t="s">
        <v>381</v>
      </c>
    </row>
    <row r="394" spans="1:17" x14ac:dyDescent="0.15">
      <c r="A394" t="s">
        <v>57</v>
      </c>
      <c r="B394" t="s">
        <v>113</v>
      </c>
      <c r="C394">
        <v>163</v>
      </c>
      <c r="D394" t="s">
        <v>161</v>
      </c>
      <c r="E394" s="1">
        <v>42997</v>
      </c>
      <c r="F394" t="s">
        <v>383</v>
      </c>
      <c r="G394" t="s">
        <v>1234</v>
      </c>
      <c r="H394">
        <v>-50</v>
      </c>
      <c r="I394" t="s">
        <v>39</v>
      </c>
      <c r="J394">
        <v>0</v>
      </c>
      <c r="M394" t="s">
        <v>241</v>
      </c>
      <c r="N394" t="s">
        <v>1235</v>
      </c>
    </row>
    <row r="395" spans="1:17" x14ac:dyDescent="0.15">
      <c r="A395" t="s">
        <v>57</v>
      </c>
      <c r="B395" t="s">
        <v>113</v>
      </c>
      <c r="C395">
        <v>163</v>
      </c>
      <c r="D395" t="s">
        <v>161</v>
      </c>
      <c r="E395" s="1">
        <v>42997</v>
      </c>
      <c r="F395" t="s">
        <v>383</v>
      </c>
      <c r="G395" t="s">
        <v>1234</v>
      </c>
      <c r="H395">
        <v>-50</v>
      </c>
      <c r="I395" t="s">
        <v>39</v>
      </c>
      <c r="J395">
        <v>0</v>
      </c>
      <c r="M395" t="s">
        <v>1910</v>
      </c>
      <c r="N395" t="s">
        <v>1235</v>
      </c>
      <c r="O395">
        <v>0</v>
      </c>
      <c r="P395">
        <v>0</v>
      </c>
      <c r="Q395" t="s">
        <v>381</v>
      </c>
    </row>
    <row r="396" spans="1:17" x14ac:dyDescent="0.15">
      <c r="A396" t="s">
        <v>57</v>
      </c>
      <c r="B396" t="s">
        <v>113</v>
      </c>
      <c r="C396">
        <v>163</v>
      </c>
      <c r="D396" t="s">
        <v>161</v>
      </c>
      <c r="E396" s="1">
        <v>43003</v>
      </c>
      <c r="F396" t="s">
        <v>17</v>
      </c>
      <c r="G396" t="s">
        <v>1597</v>
      </c>
      <c r="H396">
        <v>355</v>
      </c>
      <c r="I396" t="s">
        <v>39</v>
      </c>
      <c r="J396">
        <v>0</v>
      </c>
      <c r="K396">
        <v>0</v>
      </c>
      <c r="L396" t="s">
        <v>375</v>
      </c>
      <c r="M396" t="s">
        <v>241</v>
      </c>
      <c r="N396" t="s">
        <v>1598</v>
      </c>
    </row>
    <row r="397" spans="1:17" x14ac:dyDescent="0.15">
      <c r="A397" t="s">
        <v>57</v>
      </c>
      <c r="B397" t="s">
        <v>113</v>
      </c>
      <c r="C397">
        <v>163</v>
      </c>
      <c r="D397" t="s">
        <v>161</v>
      </c>
      <c r="E397" s="1">
        <v>43003</v>
      </c>
      <c r="F397" t="s">
        <v>17</v>
      </c>
      <c r="G397" t="s">
        <v>1597</v>
      </c>
      <c r="H397">
        <v>355</v>
      </c>
      <c r="I397" t="s">
        <v>39</v>
      </c>
      <c r="J397">
        <v>0</v>
      </c>
      <c r="K397">
        <v>0</v>
      </c>
      <c r="L397" t="s">
        <v>375</v>
      </c>
      <c r="M397" t="s">
        <v>1910</v>
      </c>
      <c r="N397" t="s">
        <v>1598</v>
      </c>
      <c r="O397">
        <v>0</v>
      </c>
      <c r="P397">
        <v>0</v>
      </c>
      <c r="Q397" t="s">
        <v>381</v>
      </c>
    </row>
    <row r="398" spans="1:17" x14ac:dyDescent="0.15">
      <c r="A398" t="s">
        <v>57</v>
      </c>
      <c r="B398" t="s">
        <v>113</v>
      </c>
      <c r="C398">
        <v>163</v>
      </c>
      <c r="D398" t="s">
        <v>161</v>
      </c>
      <c r="E398" s="1">
        <v>43021</v>
      </c>
      <c r="F398" t="s">
        <v>383</v>
      </c>
      <c r="G398" t="s">
        <v>1291</v>
      </c>
      <c r="H398">
        <v>-80</v>
      </c>
      <c r="I398" t="s">
        <v>39</v>
      </c>
      <c r="J398">
        <v>0</v>
      </c>
      <c r="M398" t="s">
        <v>241</v>
      </c>
      <c r="N398" t="s">
        <v>1292</v>
      </c>
    </row>
    <row r="399" spans="1:17" x14ac:dyDescent="0.15">
      <c r="A399" t="s">
        <v>57</v>
      </c>
      <c r="B399" t="s">
        <v>113</v>
      </c>
      <c r="C399">
        <v>163</v>
      </c>
      <c r="D399" t="s">
        <v>161</v>
      </c>
      <c r="E399" s="1">
        <v>43021</v>
      </c>
      <c r="F399" t="s">
        <v>383</v>
      </c>
      <c r="G399" t="s">
        <v>1291</v>
      </c>
      <c r="H399">
        <v>-80</v>
      </c>
      <c r="I399" t="s">
        <v>39</v>
      </c>
      <c r="J399">
        <v>0</v>
      </c>
      <c r="M399" t="s">
        <v>1910</v>
      </c>
      <c r="N399" t="s">
        <v>1292</v>
      </c>
      <c r="O399">
        <v>0</v>
      </c>
      <c r="P399">
        <v>0</v>
      </c>
      <c r="Q399" t="s">
        <v>381</v>
      </c>
    </row>
    <row r="400" spans="1:17" x14ac:dyDescent="0.15">
      <c r="A400" t="s">
        <v>57</v>
      </c>
      <c r="B400" t="s">
        <v>113</v>
      </c>
      <c r="C400">
        <v>163</v>
      </c>
      <c r="D400" t="s">
        <v>161</v>
      </c>
      <c r="E400" s="1">
        <v>43024</v>
      </c>
      <c r="F400" t="s">
        <v>17</v>
      </c>
      <c r="G400" t="s">
        <v>1615</v>
      </c>
      <c r="H400">
        <v>300</v>
      </c>
      <c r="I400" t="s">
        <v>39</v>
      </c>
      <c r="J400">
        <v>0</v>
      </c>
      <c r="K400">
        <v>0</v>
      </c>
      <c r="L400" t="s">
        <v>375</v>
      </c>
      <c r="M400" t="s">
        <v>241</v>
      </c>
      <c r="N400" t="s">
        <v>1618</v>
      </c>
    </row>
    <row r="401" spans="1:17" x14ac:dyDescent="0.15">
      <c r="A401" t="s">
        <v>57</v>
      </c>
      <c r="B401" t="s">
        <v>113</v>
      </c>
      <c r="C401">
        <v>163</v>
      </c>
      <c r="D401" t="s">
        <v>161</v>
      </c>
      <c r="E401" s="1">
        <v>43024</v>
      </c>
      <c r="F401" t="s">
        <v>17</v>
      </c>
      <c r="G401" t="s">
        <v>1615</v>
      </c>
      <c r="H401">
        <v>300</v>
      </c>
      <c r="I401" t="s">
        <v>39</v>
      </c>
      <c r="J401">
        <v>0</v>
      </c>
      <c r="K401">
        <v>0</v>
      </c>
      <c r="L401" t="s">
        <v>375</v>
      </c>
      <c r="M401" t="s">
        <v>1910</v>
      </c>
      <c r="N401" t="s">
        <v>1618</v>
      </c>
      <c r="O401">
        <v>0</v>
      </c>
      <c r="P401">
        <v>0</v>
      </c>
      <c r="Q401" t="s">
        <v>381</v>
      </c>
    </row>
    <row r="402" spans="1:17" x14ac:dyDescent="0.15">
      <c r="A402" t="s">
        <v>57</v>
      </c>
      <c r="B402" t="s">
        <v>113</v>
      </c>
      <c r="C402">
        <v>163</v>
      </c>
      <c r="D402" t="s">
        <v>161</v>
      </c>
      <c r="E402" s="1">
        <v>43038</v>
      </c>
      <c r="F402" t="s">
        <v>383</v>
      </c>
      <c r="G402" t="s">
        <v>1320</v>
      </c>
      <c r="H402">
        <v>-150</v>
      </c>
      <c r="I402" t="s">
        <v>39</v>
      </c>
      <c r="J402">
        <v>0</v>
      </c>
      <c r="M402" t="s">
        <v>241</v>
      </c>
      <c r="N402" t="s">
        <v>1322</v>
      </c>
    </row>
    <row r="403" spans="1:17" x14ac:dyDescent="0.15">
      <c r="A403" t="s">
        <v>57</v>
      </c>
      <c r="B403" t="s">
        <v>113</v>
      </c>
      <c r="C403">
        <v>163</v>
      </c>
      <c r="D403" t="s">
        <v>161</v>
      </c>
      <c r="E403" s="1">
        <v>43038</v>
      </c>
      <c r="F403" t="s">
        <v>383</v>
      </c>
      <c r="G403" t="s">
        <v>1320</v>
      </c>
      <c r="H403">
        <v>-150</v>
      </c>
      <c r="I403" t="s">
        <v>39</v>
      </c>
      <c r="J403">
        <v>0</v>
      </c>
      <c r="M403" t="s">
        <v>1910</v>
      </c>
      <c r="N403" t="s">
        <v>1322</v>
      </c>
      <c r="O403">
        <v>0</v>
      </c>
      <c r="P403">
        <v>0</v>
      </c>
      <c r="Q403" t="s">
        <v>381</v>
      </c>
    </row>
    <row r="404" spans="1:17" x14ac:dyDescent="0.15">
      <c r="A404" t="s">
        <v>57</v>
      </c>
      <c r="B404" t="s">
        <v>113</v>
      </c>
      <c r="C404">
        <v>163</v>
      </c>
      <c r="D404" t="s">
        <v>161</v>
      </c>
      <c r="E404" s="1">
        <v>43060</v>
      </c>
      <c r="F404" t="s">
        <v>383</v>
      </c>
      <c r="G404" t="s">
        <v>1390</v>
      </c>
      <c r="H404">
        <v>-80</v>
      </c>
      <c r="I404" t="s">
        <v>39</v>
      </c>
      <c r="J404">
        <v>0</v>
      </c>
      <c r="M404" t="s">
        <v>241</v>
      </c>
      <c r="N404" t="s">
        <v>1391</v>
      </c>
    </row>
    <row r="405" spans="1:17" x14ac:dyDescent="0.15">
      <c r="A405" t="s">
        <v>57</v>
      </c>
      <c r="B405" t="s">
        <v>113</v>
      </c>
      <c r="C405">
        <v>163</v>
      </c>
      <c r="D405" t="s">
        <v>161</v>
      </c>
      <c r="E405" s="1">
        <v>43060</v>
      </c>
      <c r="F405" t="s">
        <v>383</v>
      </c>
      <c r="G405" t="s">
        <v>1390</v>
      </c>
      <c r="H405">
        <v>-80</v>
      </c>
      <c r="I405" t="s">
        <v>39</v>
      </c>
      <c r="J405">
        <v>0</v>
      </c>
      <c r="M405" t="s">
        <v>1910</v>
      </c>
      <c r="N405" t="s">
        <v>1391</v>
      </c>
      <c r="O405">
        <v>0</v>
      </c>
      <c r="P405">
        <v>0</v>
      </c>
      <c r="Q405" t="s">
        <v>381</v>
      </c>
    </row>
    <row r="406" spans="1:17" x14ac:dyDescent="0.15">
      <c r="A406" t="s">
        <v>57</v>
      </c>
      <c r="B406" t="s">
        <v>113</v>
      </c>
      <c r="C406">
        <v>163</v>
      </c>
      <c r="D406" t="s">
        <v>161</v>
      </c>
      <c r="E406" s="1">
        <v>43066</v>
      </c>
      <c r="F406" t="s">
        <v>17</v>
      </c>
      <c r="G406" t="s">
        <v>1665</v>
      </c>
      <c r="H406">
        <v>250</v>
      </c>
      <c r="I406" t="s">
        <v>39</v>
      </c>
      <c r="J406">
        <v>0</v>
      </c>
      <c r="K406">
        <v>0</v>
      </c>
      <c r="L406" t="s">
        <v>375</v>
      </c>
      <c r="M406" t="s">
        <v>241</v>
      </c>
      <c r="N406" t="s">
        <v>1668</v>
      </c>
    </row>
    <row r="407" spans="1:17" x14ac:dyDescent="0.15">
      <c r="A407" t="s">
        <v>57</v>
      </c>
      <c r="B407" t="s">
        <v>113</v>
      </c>
      <c r="C407">
        <v>163</v>
      </c>
      <c r="D407" t="s">
        <v>161</v>
      </c>
      <c r="E407" s="1">
        <v>43066</v>
      </c>
      <c r="F407" t="s">
        <v>17</v>
      </c>
      <c r="G407" t="s">
        <v>1665</v>
      </c>
      <c r="H407">
        <v>250</v>
      </c>
      <c r="I407" t="s">
        <v>39</v>
      </c>
      <c r="J407">
        <v>0</v>
      </c>
      <c r="K407">
        <v>0</v>
      </c>
      <c r="L407" t="s">
        <v>375</v>
      </c>
      <c r="M407" t="s">
        <v>1910</v>
      </c>
      <c r="N407" t="s">
        <v>1668</v>
      </c>
      <c r="O407">
        <v>0</v>
      </c>
      <c r="P407">
        <v>0</v>
      </c>
      <c r="Q407" t="s">
        <v>381</v>
      </c>
    </row>
    <row r="408" spans="1:17" x14ac:dyDescent="0.15">
      <c r="A408" t="s">
        <v>97</v>
      </c>
      <c r="B408" t="s">
        <v>98</v>
      </c>
      <c r="C408">
        <v>163</v>
      </c>
      <c r="D408" t="s">
        <v>161</v>
      </c>
      <c r="E408" s="1">
        <v>42908</v>
      </c>
      <c r="F408" t="s">
        <v>383</v>
      </c>
      <c r="G408" t="s">
        <v>647</v>
      </c>
      <c r="H408">
        <v>-150</v>
      </c>
      <c r="I408" t="s">
        <v>39</v>
      </c>
      <c r="J408">
        <v>0</v>
      </c>
      <c r="M408" t="s">
        <v>241</v>
      </c>
      <c r="N408" t="s">
        <v>649</v>
      </c>
    </row>
    <row r="409" spans="1:17" x14ac:dyDescent="0.15">
      <c r="A409" t="s">
        <v>97</v>
      </c>
      <c r="B409" t="s">
        <v>98</v>
      </c>
      <c r="C409">
        <v>163</v>
      </c>
      <c r="D409" t="s">
        <v>161</v>
      </c>
      <c r="E409" s="1">
        <v>42908</v>
      </c>
      <c r="F409" t="s">
        <v>383</v>
      </c>
      <c r="G409" t="s">
        <v>647</v>
      </c>
      <c r="H409">
        <v>-150</v>
      </c>
      <c r="I409" t="s">
        <v>39</v>
      </c>
      <c r="J409">
        <v>0</v>
      </c>
      <c r="M409" t="s">
        <v>1910</v>
      </c>
      <c r="N409" t="s">
        <v>649</v>
      </c>
      <c r="O409">
        <v>0</v>
      </c>
      <c r="P409">
        <v>0</v>
      </c>
      <c r="Q409" t="s">
        <v>381</v>
      </c>
    </row>
    <row r="410" spans="1:17" x14ac:dyDescent="0.15">
      <c r="A410" t="s">
        <v>29</v>
      </c>
      <c r="B410" t="s">
        <v>33</v>
      </c>
      <c r="C410">
        <v>163</v>
      </c>
      <c r="D410" t="s">
        <v>161</v>
      </c>
      <c r="E410" s="1">
        <v>42839</v>
      </c>
      <c r="F410" t="s">
        <v>383</v>
      </c>
      <c r="G410" t="s">
        <v>471</v>
      </c>
      <c r="H410">
        <v>-600</v>
      </c>
      <c r="I410" t="s">
        <v>39</v>
      </c>
      <c r="J410">
        <v>0</v>
      </c>
      <c r="M410" t="s">
        <v>241</v>
      </c>
      <c r="N410" t="s">
        <v>472</v>
      </c>
    </row>
    <row r="411" spans="1:17" x14ac:dyDescent="0.15">
      <c r="A411" t="s">
        <v>29</v>
      </c>
      <c r="B411" t="s">
        <v>33</v>
      </c>
      <c r="C411">
        <v>163</v>
      </c>
      <c r="D411" t="s">
        <v>161</v>
      </c>
      <c r="E411" s="1">
        <v>42839</v>
      </c>
      <c r="F411" t="s">
        <v>383</v>
      </c>
      <c r="G411" t="s">
        <v>471</v>
      </c>
      <c r="H411">
        <v>-600</v>
      </c>
      <c r="I411" t="s">
        <v>39</v>
      </c>
      <c r="J411">
        <v>0</v>
      </c>
      <c r="M411" t="s">
        <v>1910</v>
      </c>
      <c r="N411" t="s">
        <v>472</v>
      </c>
      <c r="O411">
        <v>0</v>
      </c>
      <c r="P411">
        <v>0</v>
      </c>
      <c r="Q411" t="s">
        <v>381</v>
      </c>
    </row>
    <row r="412" spans="1:17" x14ac:dyDescent="0.15">
      <c r="A412" t="s">
        <v>29</v>
      </c>
      <c r="B412" t="s">
        <v>33</v>
      </c>
      <c r="C412">
        <v>163</v>
      </c>
      <c r="D412" t="s">
        <v>161</v>
      </c>
      <c r="E412" s="1">
        <v>42843</v>
      </c>
      <c r="F412" t="s">
        <v>17</v>
      </c>
      <c r="G412" t="s">
        <v>715</v>
      </c>
      <c r="H412">
        <v>600</v>
      </c>
      <c r="I412" t="s">
        <v>39</v>
      </c>
      <c r="J412">
        <v>0</v>
      </c>
      <c r="K412">
        <v>0</v>
      </c>
      <c r="L412" t="s">
        <v>375</v>
      </c>
      <c r="M412" t="s">
        <v>241</v>
      </c>
      <c r="N412" t="s">
        <v>718</v>
      </c>
    </row>
    <row r="413" spans="1:17" x14ac:dyDescent="0.15">
      <c r="A413" t="s">
        <v>29</v>
      </c>
      <c r="B413" t="s">
        <v>33</v>
      </c>
      <c r="C413">
        <v>163</v>
      </c>
      <c r="D413" t="s">
        <v>161</v>
      </c>
      <c r="E413" s="1">
        <v>42843</v>
      </c>
      <c r="F413" t="s">
        <v>17</v>
      </c>
      <c r="G413" t="s">
        <v>715</v>
      </c>
      <c r="H413">
        <v>600</v>
      </c>
      <c r="I413" t="s">
        <v>39</v>
      </c>
      <c r="J413">
        <v>0</v>
      </c>
      <c r="K413">
        <v>0</v>
      </c>
      <c r="L413" t="s">
        <v>375</v>
      </c>
      <c r="M413" t="s">
        <v>1910</v>
      </c>
      <c r="N413" t="s">
        <v>718</v>
      </c>
      <c r="O413">
        <v>0</v>
      </c>
      <c r="P413">
        <v>0</v>
      </c>
      <c r="Q413" t="s">
        <v>381</v>
      </c>
    </row>
    <row r="414" spans="1:17" x14ac:dyDescent="0.15">
      <c r="A414" t="s">
        <v>29</v>
      </c>
      <c r="B414" t="s">
        <v>33</v>
      </c>
      <c r="C414">
        <v>163</v>
      </c>
      <c r="D414" t="s">
        <v>161</v>
      </c>
      <c r="E414" s="1">
        <v>42849</v>
      </c>
      <c r="F414" t="s">
        <v>383</v>
      </c>
      <c r="G414" t="s">
        <v>502</v>
      </c>
      <c r="H414">
        <v>0</v>
      </c>
      <c r="I414" t="s">
        <v>39</v>
      </c>
      <c r="J414">
        <v>0</v>
      </c>
      <c r="M414" t="s">
        <v>241</v>
      </c>
      <c r="N414" t="s">
        <v>503</v>
      </c>
    </row>
    <row r="415" spans="1:17" x14ac:dyDescent="0.15">
      <c r="A415" t="s">
        <v>29</v>
      </c>
      <c r="B415" t="s">
        <v>33</v>
      </c>
      <c r="C415">
        <v>163</v>
      </c>
      <c r="D415" t="s">
        <v>161</v>
      </c>
      <c r="E415" s="1">
        <v>42849</v>
      </c>
      <c r="F415" t="s">
        <v>383</v>
      </c>
      <c r="G415" t="s">
        <v>502</v>
      </c>
      <c r="H415">
        <v>0</v>
      </c>
      <c r="I415" t="s">
        <v>39</v>
      </c>
      <c r="J415">
        <v>0</v>
      </c>
      <c r="M415" t="s">
        <v>1910</v>
      </c>
      <c r="N415" t="s">
        <v>503</v>
      </c>
      <c r="O415">
        <v>0</v>
      </c>
      <c r="P415">
        <v>0</v>
      </c>
      <c r="Q415" t="s">
        <v>381</v>
      </c>
    </row>
    <row r="416" spans="1:17" x14ac:dyDescent="0.15">
      <c r="A416" t="s">
        <v>29</v>
      </c>
      <c r="B416" t="s">
        <v>33</v>
      </c>
      <c r="C416">
        <v>163</v>
      </c>
      <c r="D416" t="s">
        <v>161</v>
      </c>
      <c r="E416" s="1">
        <v>42849</v>
      </c>
      <c r="F416" t="s">
        <v>383</v>
      </c>
      <c r="G416" t="s">
        <v>502</v>
      </c>
      <c r="H416">
        <v>0</v>
      </c>
      <c r="I416" t="s">
        <v>39</v>
      </c>
      <c r="J416">
        <v>0</v>
      </c>
      <c r="M416" t="s">
        <v>241</v>
      </c>
      <c r="N416" t="s">
        <v>504</v>
      </c>
    </row>
    <row r="417" spans="1:17" x14ac:dyDescent="0.15">
      <c r="A417" t="s">
        <v>29</v>
      </c>
      <c r="B417" t="s">
        <v>33</v>
      </c>
      <c r="C417">
        <v>163</v>
      </c>
      <c r="D417" t="s">
        <v>161</v>
      </c>
      <c r="E417" s="1">
        <v>42849</v>
      </c>
      <c r="F417" t="s">
        <v>383</v>
      </c>
      <c r="G417" t="s">
        <v>502</v>
      </c>
      <c r="H417">
        <v>0</v>
      </c>
      <c r="I417" t="s">
        <v>39</v>
      </c>
      <c r="J417">
        <v>0</v>
      </c>
      <c r="M417" t="s">
        <v>1910</v>
      </c>
      <c r="N417" t="s">
        <v>504</v>
      </c>
      <c r="O417">
        <v>0</v>
      </c>
      <c r="P417">
        <v>0</v>
      </c>
      <c r="Q417" t="s">
        <v>381</v>
      </c>
    </row>
    <row r="418" spans="1:17" x14ac:dyDescent="0.15">
      <c r="A418" t="s">
        <v>29</v>
      </c>
      <c r="B418" t="s">
        <v>33</v>
      </c>
      <c r="C418">
        <v>163</v>
      </c>
      <c r="D418" t="s">
        <v>161</v>
      </c>
      <c r="E418" s="1">
        <v>42850</v>
      </c>
      <c r="F418" t="s">
        <v>383</v>
      </c>
      <c r="G418" t="s">
        <v>502</v>
      </c>
      <c r="H418">
        <v>93.5</v>
      </c>
      <c r="I418" t="s">
        <v>39</v>
      </c>
      <c r="J418">
        <v>0</v>
      </c>
      <c r="M418" t="s">
        <v>241</v>
      </c>
      <c r="N418" t="s">
        <v>505</v>
      </c>
    </row>
    <row r="419" spans="1:17" x14ac:dyDescent="0.15">
      <c r="A419" t="s">
        <v>29</v>
      </c>
      <c r="B419" t="s">
        <v>33</v>
      </c>
      <c r="C419">
        <v>163</v>
      </c>
      <c r="D419" t="s">
        <v>161</v>
      </c>
      <c r="E419" s="1">
        <v>42850</v>
      </c>
      <c r="F419" t="s">
        <v>383</v>
      </c>
      <c r="G419" t="s">
        <v>502</v>
      </c>
      <c r="H419">
        <v>93.5</v>
      </c>
      <c r="I419" t="s">
        <v>39</v>
      </c>
      <c r="J419">
        <v>0</v>
      </c>
      <c r="M419" t="s">
        <v>1910</v>
      </c>
      <c r="N419" t="s">
        <v>505</v>
      </c>
      <c r="O419">
        <v>0</v>
      </c>
      <c r="P419">
        <v>0</v>
      </c>
      <c r="Q419" t="s">
        <v>381</v>
      </c>
    </row>
    <row r="420" spans="1:17" x14ac:dyDescent="0.15">
      <c r="A420" t="s">
        <v>29</v>
      </c>
      <c r="B420" t="s">
        <v>33</v>
      </c>
      <c r="C420">
        <v>163</v>
      </c>
      <c r="D420" t="s">
        <v>161</v>
      </c>
      <c r="E420" s="1">
        <v>42851</v>
      </c>
      <c r="F420" t="s">
        <v>383</v>
      </c>
      <c r="G420" t="s">
        <v>506</v>
      </c>
      <c r="H420">
        <v>-20</v>
      </c>
      <c r="I420" t="s">
        <v>39</v>
      </c>
      <c r="J420">
        <v>0</v>
      </c>
      <c r="M420" t="s">
        <v>241</v>
      </c>
      <c r="N420" t="s">
        <v>507</v>
      </c>
    </row>
    <row r="421" spans="1:17" x14ac:dyDescent="0.15">
      <c r="A421" t="s">
        <v>29</v>
      </c>
      <c r="B421" t="s">
        <v>33</v>
      </c>
      <c r="C421">
        <v>163</v>
      </c>
      <c r="D421" t="s">
        <v>161</v>
      </c>
      <c r="E421" s="1">
        <v>42851</v>
      </c>
      <c r="F421" t="s">
        <v>383</v>
      </c>
      <c r="G421" t="s">
        <v>506</v>
      </c>
      <c r="H421">
        <v>-20</v>
      </c>
      <c r="I421" t="s">
        <v>39</v>
      </c>
      <c r="J421">
        <v>0</v>
      </c>
      <c r="M421" t="s">
        <v>1910</v>
      </c>
      <c r="N421" t="s">
        <v>507</v>
      </c>
      <c r="O421">
        <v>0</v>
      </c>
      <c r="P421">
        <v>0</v>
      </c>
      <c r="Q421" t="s">
        <v>381</v>
      </c>
    </row>
    <row r="422" spans="1:17" x14ac:dyDescent="0.15">
      <c r="A422" t="s">
        <v>29</v>
      </c>
      <c r="B422" t="s">
        <v>33</v>
      </c>
      <c r="C422">
        <v>163</v>
      </c>
      <c r="D422" t="s">
        <v>161</v>
      </c>
      <c r="E422" s="1">
        <v>42873</v>
      </c>
      <c r="F422" t="s">
        <v>383</v>
      </c>
      <c r="G422" t="s">
        <v>561</v>
      </c>
      <c r="H422">
        <v>-150</v>
      </c>
      <c r="I422" t="s">
        <v>39</v>
      </c>
      <c r="J422">
        <v>0</v>
      </c>
      <c r="M422" t="s">
        <v>241</v>
      </c>
      <c r="N422" t="s">
        <v>563</v>
      </c>
    </row>
    <row r="423" spans="1:17" x14ac:dyDescent="0.15">
      <c r="A423" t="s">
        <v>29</v>
      </c>
      <c r="B423" t="s">
        <v>33</v>
      </c>
      <c r="C423">
        <v>163</v>
      </c>
      <c r="D423" t="s">
        <v>161</v>
      </c>
      <c r="E423" s="1">
        <v>42873</v>
      </c>
      <c r="F423" t="s">
        <v>383</v>
      </c>
      <c r="G423" t="s">
        <v>561</v>
      </c>
      <c r="H423">
        <v>-150</v>
      </c>
      <c r="I423" t="s">
        <v>39</v>
      </c>
      <c r="J423">
        <v>0</v>
      </c>
      <c r="M423" t="s">
        <v>1910</v>
      </c>
      <c r="N423" t="s">
        <v>563</v>
      </c>
      <c r="O423">
        <v>0</v>
      </c>
      <c r="P423">
        <v>0</v>
      </c>
      <c r="Q423" t="s">
        <v>381</v>
      </c>
    </row>
    <row r="424" spans="1:17" x14ac:dyDescent="0.15">
      <c r="A424" t="s">
        <v>29</v>
      </c>
      <c r="B424" t="s">
        <v>33</v>
      </c>
      <c r="C424">
        <v>163</v>
      </c>
      <c r="D424" t="s">
        <v>161</v>
      </c>
      <c r="E424" s="1">
        <v>42878</v>
      </c>
      <c r="F424" t="s">
        <v>383</v>
      </c>
      <c r="G424" t="s">
        <v>584</v>
      </c>
      <c r="H424">
        <v>-95</v>
      </c>
      <c r="I424" t="s">
        <v>39</v>
      </c>
      <c r="J424">
        <v>0</v>
      </c>
      <c r="M424" t="s">
        <v>241</v>
      </c>
      <c r="N424" t="s">
        <v>586</v>
      </c>
    </row>
    <row r="425" spans="1:17" x14ac:dyDescent="0.15">
      <c r="A425" t="s">
        <v>29</v>
      </c>
      <c r="B425" t="s">
        <v>33</v>
      </c>
      <c r="C425">
        <v>163</v>
      </c>
      <c r="D425" t="s">
        <v>161</v>
      </c>
      <c r="E425" s="1">
        <v>42878</v>
      </c>
      <c r="F425" t="s">
        <v>383</v>
      </c>
      <c r="G425" t="s">
        <v>584</v>
      </c>
      <c r="H425">
        <v>-95</v>
      </c>
      <c r="I425" t="s">
        <v>39</v>
      </c>
      <c r="J425">
        <v>0</v>
      </c>
      <c r="M425" t="s">
        <v>1910</v>
      </c>
      <c r="N425" t="s">
        <v>586</v>
      </c>
      <c r="O425">
        <v>0</v>
      </c>
      <c r="P425">
        <v>0</v>
      </c>
      <c r="Q425" t="s">
        <v>381</v>
      </c>
    </row>
    <row r="426" spans="1:17" x14ac:dyDescent="0.15">
      <c r="A426" t="s">
        <v>29</v>
      </c>
      <c r="B426" t="s">
        <v>33</v>
      </c>
      <c r="C426">
        <v>163</v>
      </c>
      <c r="D426" t="s">
        <v>161</v>
      </c>
      <c r="E426" s="1">
        <v>42900</v>
      </c>
      <c r="F426" t="s">
        <v>383</v>
      </c>
      <c r="G426" t="s">
        <v>615</v>
      </c>
      <c r="H426">
        <v>-223.5</v>
      </c>
      <c r="I426" t="s">
        <v>39</v>
      </c>
      <c r="J426">
        <v>0</v>
      </c>
      <c r="M426" t="s">
        <v>241</v>
      </c>
      <c r="N426" t="s">
        <v>616</v>
      </c>
    </row>
    <row r="427" spans="1:17" x14ac:dyDescent="0.15">
      <c r="A427" t="s">
        <v>29</v>
      </c>
      <c r="B427" t="s">
        <v>33</v>
      </c>
      <c r="C427">
        <v>163</v>
      </c>
      <c r="D427" t="s">
        <v>161</v>
      </c>
      <c r="E427" s="1">
        <v>42900</v>
      </c>
      <c r="F427" t="s">
        <v>383</v>
      </c>
      <c r="G427" t="s">
        <v>615</v>
      </c>
      <c r="H427">
        <v>-223.5</v>
      </c>
      <c r="I427" t="s">
        <v>39</v>
      </c>
      <c r="J427">
        <v>0</v>
      </c>
      <c r="M427" t="s">
        <v>1910</v>
      </c>
      <c r="N427" t="s">
        <v>616</v>
      </c>
      <c r="O427">
        <v>0</v>
      </c>
      <c r="P427">
        <v>0</v>
      </c>
      <c r="Q427" t="s">
        <v>381</v>
      </c>
    </row>
    <row r="428" spans="1:17" x14ac:dyDescent="0.15">
      <c r="A428" t="s">
        <v>29</v>
      </c>
      <c r="B428" t="s">
        <v>33</v>
      </c>
      <c r="C428">
        <v>163</v>
      </c>
      <c r="D428" t="s">
        <v>161</v>
      </c>
      <c r="E428" s="1">
        <v>42907</v>
      </c>
      <c r="F428" t="s">
        <v>17</v>
      </c>
      <c r="G428" t="s">
        <v>816</v>
      </c>
      <c r="H428">
        <v>600</v>
      </c>
      <c r="I428" t="s">
        <v>39</v>
      </c>
      <c r="J428">
        <v>0</v>
      </c>
      <c r="K428">
        <v>0</v>
      </c>
      <c r="L428" t="s">
        <v>375</v>
      </c>
      <c r="M428" t="s">
        <v>241</v>
      </c>
      <c r="N428" t="s">
        <v>817</v>
      </c>
    </row>
    <row r="429" spans="1:17" x14ac:dyDescent="0.15">
      <c r="A429" t="s">
        <v>29</v>
      </c>
      <c r="B429" t="s">
        <v>33</v>
      </c>
      <c r="C429">
        <v>163</v>
      </c>
      <c r="D429" t="s">
        <v>161</v>
      </c>
      <c r="E429" s="1">
        <v>42907</v>
      </c>
      <c r="F429" t="s">
        <v>17</v>
      </c>
      <c r="G429" t="s">
        <v>816</v>
      </c>
      <c r="H429">
        <v>600</v>
      </c>
      <c r="I429" t="s">
        <v>39</v>
      </c>
      <c r="J429">
        <v>0</v>
      </c>
      <c r="K429">
        <v>0</v>
      </c>
      <c r="L429" t="s">
        <v>375</v>
      </c>
      <c r="M429" t="s">
        <v>1910</v>
      </c>
      <c r="N429" t="s">
        <v>817</v>
      </c>
      <c r="O429">
        <v>0</v>
      </c>
      <c r="P429">
        <v>0</v>
      </c>
      <c r="Q429" t="s">
        <v>381</v>
      </c>
    </row>
    <row r="430" spans="1:17" x14ac:dyDescent="0.15">
      <c r="A430" t="s">
        <v>29</v>
      </c>
      <c r="B430" t="s">
        <v>33</v>
      </c>
      <c r="C430">
        <v>163</v>
      </c>
      <c r="D430" t="s">
        <v>161</v>
      </c>
      <c r="E430" s="1">
        <v>42908</v>
      </c>
      <c r="F430" t="s">
        <v>383</v>
      </c>
      <c r="G430" t="s">
        <v>662</v>
      </c>
      <c r="H430">
        <v>-150</v>
      </c>
      <c r="I430" t="s">
        <v>39</v>
      </c>
      <c r="J430">
        <v>0</v>
      </c>
      <c r="M430" t="s">
        <v>241</v>
      </c>
      <c r="N430" t="s">
        <v>663</v>
      </c>
    </row>
    <row r="431" spans="1:17" x14ac:dyDescent="0.15">
      <c r="A431" t="s">
        <v>29</v>
      </c>
      <c r="B431" t="s">
        <v>33</v>
      </c>
      <c r="C431">
        <v>163</v>
      </c>
      <c r="D431" t="s">
        <v>161</v>
      </c>
      <c r="E431" s="1">
        <v>42908</v>
      </c>
      <c r="F431" t="s">
        <v>383</v>
      </c>
      <c r="G431" t="s">
        <v>662</v>
      </c>
      <c r="H431">
        <v>-150</v>
      </c>
      <c r="I431" t="s">
        <v>39</v>
      </c>
      <c r="J431">
        <v>0</v>
      </c>
      <c r="M431" t="s">
        <v>1910</v>
      </c>
      <c r="N431" t="s">
        <v>663</v>
      </c>
      <c r="O431">
        <v>0</v>
      </c>
      <c r="P431">
        <v>0</v>
      </c>
      <c r="Q431" t="s">
        <v>381</v>
      </c>
    </row>
    <row r="432" spans="1:17" x14ac:dyDescent="0.15">
      <c r="A432" t="s">
        <v>29</v>
      </c>
      <c r="B432" t="s">
        <v>33</v>
      </c>
      <c r="C432">
        <v>163</v>
      </c>
      <c r="D432" t="s">
        <v>161</v>
      </c>
      <c r="E432" s="1">
        <v>42930</v>
      </c>
      <c r="F432" t="s">
        <v>383</v>
      </c>
      <c r="G432" t="s">
        <v>1068</v>
      </c>
      <c r="H432">
        <v>-13.3</v>
      </c>
      <c r="I432" t="s">
        <v>39</v>
      </c>
      <c r="J432">
        <v>0</v>
      </c>
      <c r="M432" t="s">
        <v>241</v>
      </c>
      <c r="N432" t="s">
        <v>1070</v>
      </c>
    </row>
    <row r="433" spans="1:17" x14ac:dyDescent="0.15">
      <c r="A433" t="s">
        <v>29</v>
      </c>
      <c r="B433" t="s">
        <v>33</v>
      </c>
      <c r="C433">
        <v>163</v>
      </c>
      <c r="D433" t="s">
        <v>161</v>
      </c>
      <c r="E433" s="1">
        <v>42930</v>
      </c>
      <c r="F433" t="s">
        <v>383</v>
      </c>
      <c r="G433" t="s">
        <v>1068</v>
      </c>
      <c r="H433">
        <v>-13.3</v>
      </c>
      <c r="I433" t="s">
        <v>39</v>
      </c>
      <c r="J433">
        <v>0</v>
      </c>
      <c r="M433" t="s">
        <v>1910</v>
      </c>
      <c r="N433" t="s">
        <v>1070</v>
      </c>
      <c r="O433">
        <v>0</v>
      </c>
      <c r="P433">
        <v>0</v>
      </c>
      <c r="Q433" t="s">
        <v>381</v>
      </c>
    </row>
    <row r="434" spans="1:17" x14ac:dyDescent="0.15">
      <c r="A434" t="s">
        <v>29</v>
      </c>
      <c r="B434" t="s">
        <v>33</v>
      </c>
      <c r="C434">
        <v>163</v>
      </c>
      <c r="D434" t="s">
        <v>161</v>
      </c>
      <c r="E434" s="1">
        <v>42930</v>
      </c>
      <c r="F434" t="s">
        <v>383</v>
      </c>
      <c r="G434" t="s">
        <v>1068</v>
      </c>
      <c r="H434">
        <v>-1.7</v>
      </c>
      <c r="I434" t="s">
        <v>39</v>
      </c>
      <c r="J434">
        <v>0</v>
      </c>
      <c r="M434" t="s">
        <v>241</v>
      </c>
      <c r="N434" t="s">
        <v>1071</v>
      </c>
    </row>
    <row r="435" spans="1:17" x14ac:dyDescent="0.15">
      <c r="A435" t="s">
        <v>29</v>
      </c>
      <c r="B435" t="s">
        <v>33</v>
      </c>
      <c r="C435">
        <v>163</v>
      </c>
      <c r="D435" t="s">
        <v>161</v>
      </c>
      <c r="E435" s="1">
        <v>42930</v>
      </c>
      <c r="F435" t="s">
        <v>383</v>
      </c>
      <c r="G435" t="s">
        <v>1068</v>
      </c>
      <c r="H435">
        <v>-1.7</v>
      </c>
      <c r="I435" t="s">
        <v>39</v>
      </c>
      <c r="J435">
        <v>0</v>
      </c>
      <c r="M435" t="s">
        <v>1910</v>
      </c>
      <c r="N435" t="s">
        <v>1071</v>
      </c>
      <c r="O435">
        <v>0</v>
      </c>
      <c r="P435">
        <v>0</v>
      </c>
      <c r="Q435" t="s">
        <v>381</v>
      </c>
    </row>
    <row r="436" spans="1:17" x14ac:dyDescent="0.15">
      <c r="A436" t="s">
        <v>29</v>
      </c>
      <c r="B436" t="s">
        <v>33</v>
      </c>
      <c r="C436">
        <v>163</v>
      </c>
      <c r="D436" t="s">
        <v>161</v>
      </c>
      <c r="E436" s="1">
        <v>42935</v>
      </c>
      <c r="F436" t="s">
        <v>383</v>
      </c>
      <c r="G436" t="s">
        <v>1079</v>
      </c>
      <c r="H436">
        <v>-80</v>
      </c>
      <c r="I436" t="s">
        <v>39</v>
      </c>
      <c r="J436">
        <v>0</v>
      </c>
      <c r="M436" t="s">
        <v>241</v>
      </c>
      <c r="N436" t="s">
        <v>1080</v>
      </c>
    </row>
    <row r="437" spans="1:17" x14ac:dyDescent="0.15">
      <c r="A437" t="s">
        <v>29</v>
      </c>
      <c r="B437" t="s">
        <v>33</v>
      </c>
      <c r="C437">
        <v>163</v>
      </c>
      <c r="D437" t="s">
        <v>161</v>
      </c>
      <c r="E437" s="1">
        <v>42935</v>
      </c>
      <c r="F437" t="s">
        <v>383</v>
      </c>
      <c r="G437" t="s">
        <v>1079</v>
      </c>
      <c r="H437">
        <v>-80</v>
      </c>
      <c r="I437" t="s">
        <v>39</v>
      </c>
      <c r="J437">
        <v>0</v>
      </c>
      <c r="M437" t="s">
        <v>1910</v>
      </c>
      <c r="N437" t="s">
        <v>1080</v>
      </c>
      <c r="O437">
        <v>0</v>
      </c>
      <c r="P437">
        <v>0</v>
      </c>
      <c r="Q437" t="s">
        <v>381</v>
      </c>
    </row>
    <row r="438" spans="1:17" x14ac:dyDescent="0.15">
      <c r="A438" t="s">
        <v>29</v>
      </c>
      <c r="B438" t="s">
        <v>33</v>
      </c>
      <c r="C438">
        <v>163</v>
      </c>
      <c r="D438" t="s">
        <v>161</v>
      </c>
      <c r="E438" s="1">
        <v>42963</v>
      </c>
      <c r="F438" t="s">
        <v>383</v>
      </c>
      <c r="G438" t="s">
        <v>1147</v>
      </c>
      <c r="H438">
        <v>-87</v>
      </c>
      <c r="I438" t="s">
        <v>39</v>
      </c>
      <c r="J438">
        <v>0</v>
      </c>
      <c r="M438" t="s">
        <v>241</v>
      </c>
      <c r="N438" t="s">
        <v>1148</v>
      </c>
    </row>
    <row r="439" spans="1:17" x14ac:dyDescent="0.15">
      <c r="A439" t="s">
        <v>29</v>
      </c>
      <c r="B439" t="s">
        <v>33</v>
      </c>
      <c r="C439">
        <v>163</v>
      </c>
      <c r="D439" t="s">
        <v>161</v>
      </c>
      <c r="E439" s="1">
        <v>42963</v>
      </c>
      <c r="F439" t="s">
        <v>383</v>
      </c>
      <c r="G439" t="s">
        <v>1147</v>
      </c>
      <c r="H439">
        <v>-87</v>
      </c>
      <c r="I439" t="s">
        <v>39</v>
      </c>
      <c r="J439">
        <v>0</v>
      </c>
      <c r="M439" t="s">
        <v>1910</v>
      </c>
      <c r="N439" t="s">
        <v>1148</v>
      </c>
      <c r="O439">
        <v>0</v>
      </c>
      <c r="P439">
        <v>0</v>
      </c>
      <c r="Q439" t="s">
        <v>381</v>
      </c>
    </row>
    <row r="440" spans="1:17" x14ac:dyDescent="0.15">
      <c r="A440" t="s">
        <v>29</v>
      </c>
      <c r="B440" t="s">
        <v>33</v>
      </c>
      <c r="C440">
        <v>163</v>
      </c>
      <c r="D440" t="s">
        <v>161</v>
      </c>
      <c r="E440" s="1">
        <v>42963</v>
      </c>
      <c r="F440" t="s">
        <v>383</v>
      </c>
      <c r="G440" t="s">
        <v>1151</v>
      </c>
      <c r="H440">
        <v>-17</v>
      </c>
      <c r="I440" t="s">
        <v>39</v>
      </c>
      <c r="J440">
        <v>0</v>
      </c>
      <c r="M440" t="s">
        <v>241</v>
      </c>
      <c r="N440" t="s">
        <v>1152</v>
      </c>
    </row>
    <row r="441" spans="1:17" x14ac:dyDescent="0.15">
      <c r="A441" t="s">
        <v>29</v>
      </c>
      <c r="B441" t="s">
        <v>33</v>
      </c>
      <c r="C441">
        <v>163</v>
      </c>
      <c r="D441" t="s">
        <v>161</v>
      </c>
      <c r="E441" s="1">
        <v>42963</v>
      </c>
      <c r="F441" t="s">
        <v>383</v>
      </c>
      <c r="G441" t="s">
        <v>1151</v>
      </c>
      <c r="H441">
        <v>-17</v>
      </c>
      <c r="I441" t="s">
        <v>39</v>
      </c>
      <c r="J441">
        <v>0</v>
      </c>
      <c r="M441" t="s">
        <v>1910</v>
      </c>
      <c r="N441" t="s">
        <v>1152</v>
      </c>
      <c r="O441">
        <v>0</v>
      </c>
      <c r="P441">
        <v>0</v>
      </c>
      <c r="Q441" t="s">
        <v>381</v>
      </c>
    </row>
    <row r="442" spans="1:17" x14ac:dyDescent="0.15">
      <c r="A442" t="s">
        <v>29</v>
      </c>
      <c r="B442" t="s">
        <v>33</v>
      </c>
      <c r="C442">
        <v>163</v>
      </c>
      <c r="D442" t="s">
        <v>161</v>
      </c>
      <c r="E442" s="1">
        <v>42978</v>
      </c>
      <c r="F442" t="s">
        <v>383</v>
      </c>
      <c r="G442" t="s">
        <v>1171</v>
      </c>
      <c r="H442">
        <v>-213</v>
      </c>
      <c r="I442" t="s">
        <v>39</v>
      </c>
      <c r="J442">
        <v>0</v>
      </c>
      <c r="M442" t="s">
        <v>241</v>
      </c>
      <c r="N442" t="s">
        <v>1174</v>
      </c>
    </row>
    <row r="443" spans="1:17" x14ac:dyDescent="0.15">
      <c r="A443" t="s">
        <v>29</v>
      </c>
      <c r="B443" t="s">
        <v>33</v>
      </c>
      <c r="C443">
        <v>163</v>
      </c>
      <c r="D443" t="s">
        <v>161</v>
      </c>
      <c r="E443" s="1">
        <v>42978</v>
      </c>
      <c r="F443" t="s">
        <v>383</v>
      </c>
      <c r="G443" t="s">
        <v>1171</v>
      </c>
      <c r="H443">
        <v>-213</v>
      </c>
      <c r="I443" t="s">
        <v>39</v>
      </c>
      <c r="J443">
        <v>0</v>
      </c>
      <c r="M443" t="s">
        <v>1910</v>
      </c>
      <c r="N443" t="s">
        <v>1174</v>
      </c>
      <c r="O443">
        <v>0</v>
      </c>
      <c r="P443">
        <v>0</v>
      </c>
      <c r="Q443" t="s">
        <v>381</v>
      </c>
    </row>
    <row r="444" spans="1:17" x14ac:dyDescent="0.15">
      <c r="A444" t="s">
        <v>29</v>
      </c>
      <c r="B444" t="s">
        <v>33</v>
      </c>
      <c r="C444">
        <v>163</v>
      </c>
      <c r="D444" t="s">
        <v>161</v>
      </c>
      <c r="E444" s="1">
        <v>42985</v>
      </c>
      <c r="F444" t="s">
        <v>383</v>
      </c>
      <c r="G444" t="s">
        <v>1219</v>
      </c>
      <c r="H444">
        <v>-10</v>
      </c>
      <c r="I444" t="s">
        <v>39</v>
      </c>
      <c r="J444">
        <v>0</v>
      </c>
      <c r="M444" t="s">
        <v>241</v>
      </c>
      <c r="N444" t="s">
        <v>1220</v>
      </c>
    </row>
    <row r="445" spans="1:17" x14ac:dyDescent="0.15">
      <c r="A445" t="s">
        <v>29</v>
      </c>
      <c r="B445" t="s">
        <v>33</v>
      </c>
      <c r="C445">
        <v>163</v>
      </c>
      <c r="D445" t="s">
        <v>161</v>
      </c>
      <c r="E445" s="1">
        <v>42985</v>
      </c>
      <c r="F445" t="s">
        <v>383</v>
      </c>
      <c r="G445" t="s">
        <v>1219</v>
      </c>
      <c r="H445">
        <v>-10</v>
      </c>
      <c r="I445" t="s">
        <v>39</v>
      </c>
      <c r="J445">
        <v>0</v>
      </c>
      <c r="M445" t="s">
        <v>1910</v>
      </c>
      <c r="N445" t="s">
        <v>1220</v>
      </c>
      <c r="O445">
        <v>0</v>
      </c>
      <c r="P445">
        <v>0</v>
      </c>
      <c r="Q445" t="s">
        <v>381</v>
      </c>
    </row>
    <row r="446" spans="1:17" x14ac:dyDescent="0.15">
      <c r="A446" t="s">
        <v>29</v>
      </c>
      <c r="B446" t="s">
        <v>33</v>
      </c>
      <c r="C446">
        <v>163</v>
      </c>
      <c r="D446" t="s">
        <v>161</v>
      </c>
      <c r="E446" s="1">
        <v>43003</v>
      </c>
      <c r="F446" t="s">
        <v>17</v>
      </c>
      <c r="G446" t="s">
        <v>1597</v>
      </c>
      <c r="H446">
        <v>400</v>
      </c>
      <c r="I446" t="s">
        <v>39</v>
      </c>
      <c r="J446">
        <v>0</v>
      </c>
      <c r="K446">
        <v>0</v>
      </c>
      <c r="L446" t="s">
        <v>375</v>
      </c>
      <c r="M446" t="s">
        <v>241</v>
      </c>
      <c r="N446" t="s">
        <v>1599</v>
      </c>
    </row>
    <row r="447" spans="1:17" x14ac:dyDescent="0.15">
      <c r="A447" t="s">
        <v>29</v>
      </c>
      <c r="B447" t="s">
        <v>33</v>
      </c>
      <c r="C447">
        <v>163</v>
      </c>
      <c r="D447" t="s">
        <v>161</v>
      </c>
      <c r="E447" s="1">
        <v>43003</v>
      </c>
      <c r="F447" t="s">
        <v>17</v>
      </c>
      <c r="G447" t="s">
        <v>1597</v>
      </c>
      <c r="H447">
        <v>400</v>
      </c>
      <c r="I447" t="s">
        <v>39</v>
      </c>
      <c r="J447">
        <v>0</v>
      </c>
      <c r="K447">
        <v>0</v>
      </c>
      <c r="L447" t="s">
        <v>375</v>
      </c>
      <c r="M447" t="s">
        <v>1910</v>
      </c>
      <c r="N447" t="s">
        <v>1599</v>
      </c>
      <c r="O447">
        <v>0</v>
      </c>
      <c r="P447">
        <v>0</v>
      </c>
      <c r="Q447" t="s">
        <v>381</v>
      </c>
    </row>
    <row r="448" spans="1:17" x14ac:dyDescent="0.15">
      <c r="A448" t="s">
        <v>29</v>
      </c>
      <c r="B448" t="s">
        <v>33</v>
      </c>
      <c r="C448">
        <v>163</v>
      </c>
      <c r="D448" t="s">
        <v>161</v>
      </c>
      <c r="E448" s="1">
        <v>43004</v>
      </c>
      <c r="F448" t="s">
        <v>21</v>
      </c>
      <c r="G448" t="s">
        <v>1881</v>
      </c>
      <c r="H448">
        <v>-1</v>
      </c>
      <c r="I448" t="s">
        <v>39</v>
      </c>
      <c r="J448">
        <v>0</v>
      </c>
      <c r="M448" t="s">
        <v>241</v>
      </c>
      <c r="N448" t="s">
        <v>1886</v>
      </c>
    </row>
    <row r="449" spans="1:17" x14ac:dyDescent="0.15">
      <c r="A449" t="s">
        <v>29</v>
      </c>
      <c r="B449" t="s">
        <v>33</v>
      </c>
      <c r="C449">
        <v>163</v>
      </c>
      <c r="D449" t="s">
        <v>161</v>
      </c>
      <c r="E449" s="1">
        <v>43004</v>
      </c>
      <c r="F449" t="s">
        <v>21</v>
      </c>
      <c r="G449" t="s">
        <v>1881</v>
      </c>
      <c r="H449">
        <v>-1</v>
      </c>
      <c r="I449" t="s">
        <v>39</v>
      </c>
      <c r="J449">
        <v>0</v>
      </c>
      <c r="M449" t="s">
        <v>1910</v>
      </c>
      <c r="N449" t="s">
        <v>1886</v>
      </c>
      <c r="O449">
        <v>0</v>
      </c>
      <c r="P449">
        <v>0</v>
      </c>
      <c r="Q449" t="s">
        <v>381</v>
      </c>
    </row>
    <row r="450" spans="1:17" x14ac:dyDescent="0.15">
      <c r="A450" t="s">
        <v>29</v>
      </c>
      <c r="B450" t="s">
        <v>33</v>
      </c>
      <c r="C450">
        <v>163</v>
      </c>
      <c r="D450" t="s">
        <v>161</v>
      </c>
      <c r="E450" s="1">
        <v>43008</v>
      </c>
      <c r="F450" t="s">
        <v>383</v>
      </c>
      <c r="G450" t="s">
        <v>1265</v>
      </c>
      <c r="H450">
        <v>-80</v>
      </c>
      <c r="I450" t="s">
        <v>39</v>
      </c>
      <c r="J450">
        <v>0</v>
      </c>
      <c r="M450" t="s">
        <v>241</v>
      </c>
      <c r="N450" t="s">
        <v>1266</v>
      </c>
    </row>
    <row r="451" spans="1:17" x14ac:dyDescent="0.15">
      <c r="A451" t="s">
        <v>29</v>
      </c>
      <c r="B451" t="s">
        <v>33</v>
      </c>
      <c r="C451">
        <v>163</v>
      </c>
      <c r="D451" t="s">
        <v>161</v>
      </c>
      <c r="E451" s="1">
        <v>43008</v>
      </c>
      <c r="F451" t="s">
        <v>383</v>
      </c>
      <c r="G451" t="s">
        <v>1265</v>
      </c>
      <c r="H451">
        <v>-80</v>
      </c>
      <c r="I451" t="s">
        <v>39</v>
      </c>
      <c r="J451">
        <v>0</v>
      </c>
      <c r="M451" t="s">
        <v>1910</v>
      </c>
      <c r="N451" t="s">
        <v>1266</v>
      </c>
      <c r="O451">
        <v>0</v>
      </c>
      <c r="P451">
        <v>0</v>
      </c>
      <c r="Q451" t="s">
        <v>381</v>
      </c>
    </row>
    <row r="452" spans="1:17" x14ac:dyDescent="0.15">
      <c r="A452" t="s">
        <v>29</v>
      </c>
      <c r="B452" t="s">
        <v>33</v>
      </c>
      <c r="C452">
        <v>163</v>
      </c>
      <c r="D452" t="s">
        <v>161</v>
      </c>
      <c r="E452" s="1">
        <v>43024</v>
      </c>
      <c r="F452" t="s">
        <v>17</v>
      </c>
      <c r="G452" t="s">
        <v>1615</v>
      </c>
      <c r="H452">
        <v>500</v>
      </c>
      <c r="I452" t="s">
        <v>39</v>
      </c>
      <c r="J452">
        <v>0</v>
      </c>
      <c r="K452">
        <v>0</v>
      </c>
      <c r="L452" t="s">
        <v>375</v>
      </c>
      <c r="M452" t="s">
        <v>241</v>
      </c>
      <c r="N452" t="s">
        <v>1619</v>
      </c>
    </row>
    <row r="453" spans="1:17" x14ac:dyDescent="0.15">
      <c r="A453" t="s">
        <v>29</v>
      </c>
      <c r="B453" t="s">
        <v>33</v>
      </c>
      <c r="C453">
        <v>163</v>
      </c>
      <c r="D453" t="s">
        <v>161</v>
      </c>
      <c r="E453" s="1">
        <v>43024</v>
      </c>
      <c r="F453" t="s">
        <v>17</v>
      </c>
      <c r="G453" t="s">
        <v>1615</v>
      </c>
      <c r="H453">
        <v>500</v>
      </c>
      <c r="I453" t="s">
        <v>39</v>
      </c>
      <c r="J453">
        <v>0</v>
      </c>
      <c r="K453">
        <v>0</v>
      </c>
      <c r="L453" t="s">
        <v>375</v>
      </c>
      <c r="M453" t="s">
        <v>1910</v>
      </c>
      <c r="N453" t="s">
        <v>1619</v>
      </c>
      <c r="O453">
        <v>0</v>
      </c>
      <c r="P453">
        <v>0</v>
      </c>
      <c r="Q453" t="s">
        <v>381</v>
      </c>
    </row>
    <row r="454" spans="1:17" x14ac:dyDescent="0.15">
      <c r="A454" t="s">
        <v>29</v>
      </c>
      <c r="B454" t="s">
        <v>33</v>
      </c>
      <c r="C454">
        <v>163</v>
      </c>
      <c r="D454" t="s">
        <v>161</v>
      </c>
      <c r="E454" s="1">
        <v>43031</v>
      </c>
      <c r="F454" t="s">
        <v>383</v>
      </c>
      <c r="G454" t="s">
        <v>1314</v>
      </c>
      <c r="H454">
        <v>-81</v>
      </c>
      <c r="I454" t="s">
        <v>39</v>
      </c>
      <c r="J454">
        <v>0</v>
      </c>
      <c r="M454" t="s">
        <v>241</v>
      </c>
      <c r="N454" t="s">
        <v>1315</v>
      </c>
    </row>
    <row r="455" spans="1:17" x14ac:dyDescent="0.15">
      <c r="A455" t="s">
        <v>29</v>
      </c>
      <c r="B455" t="s">
        <v>33</v>
      </c>
      <c r="C455">
        <v>163</v>
      </c>
      <c r="D455" t="s">
        <v>161</v>
      </c>
      <c r="E455" s="1">
        <v>43031</v>
      </c>
      <c r="F455" t="s">
        <v>383</v>
      </c>
      <c r="G455" t="s">
        <v>1314</v>
      </c>
      <c r="H455">
        <v>-81</v>
      </c>
      <c r="I455" t="s">
        <v>39</v>
      </c>
      <c r="J455">
        <v>0</v>
      </c>
      <c r="M455" t="s">
        <v>1910</v>
      </c>
      <c r="N455" t="s">
        <v>1315</v>
      </c>
      <c r="O455">
        <v>0</v>
      </c>
      <c r="P455">
        <v>0</v>
      </c>
      <c r="Q455" t="s">
        <v>381</v>
      </c>
    </row>
    <row r="456" spans="1:17" x14ac:dyDescent="0.15">
      <c r="A456" t="s">
        <v>29</v>
      </c>
      <c r="B456" t="s">
        <v>33</v>
      </c>
      <c r="C456">
        <v>163</v>
      </c>
      <c r="D456" t="s">
        <v>161</v>
      </c>
      <c r="E456" s="1">
        <v>43073</v>
      </c>
      <c r="F456" t="s">
        <v>383</v>
      </c>
      <c r="G456" t="s">
        <v>1428</v>
      </c>
      <c r="H456">
        <v>-255</v>
      </c>
      <c r="I456" t="s">
        <v>39</v>
      </c>
      <c r="J456">
        <v>0</v>
      </c>
      <c r="M456" t="s">
        <v>241</v>
      </c>
      <c r="N456" t="s">
        <v>1431</v>
      </c>
    </row>
    <row r="457" spans="1:17" x14ac:dyDescent="0.15">
      <c r="A457" t="s">
        <v>29</v>
      </c>
      <c r="B457" t="s">
        <v>33</v>
      </c>
      <c r="C457">
        <v>163</v>
      </c>
      <c r="D457" t="s">
        <v>161</v>
      </c>
      <c r="E457" s="1">
        <v>43073</v>
      </c>
      <c r="F457" t="s">
        <v>383</v>
      </c>
      <c r="G457" t="s">
        <v>1428</v>
      </c>
      <c r="H457">
        <v>-255</v>
      </c>
      <c r="I457" t="s">
        <v>39</v>
      </c>
      <c r="J457">
        <v>0</v>
      </c>
      <c r="M457" t="s">
        <v>1910</v>
      </c>
      <c r="N457" t="s">
        <v>1431</v>
      </c>
      <c r="O457">
        <v>0</v>
      </c>
      <c r="P457">
        <v>0</v>
      </c>
      <c r="Q457" t="s">
        <v>381</v>
      </c>
    </row>
    <row r="458" spans="1:17" x14ac:dyDescent="0.15">
      <c r="A458" t="s">
        <v>121</v>
      </c>
      <c r="B458" t="s">
        <v>122</v>
      </c>
      <c r="C458">
        <v>163</v>
      </c>
      <c r="D458" t="s">
        <v>161</v>
      </c>
      <c r="E458" s="1">
        <v>42865</v>
      </c>
      <c r="F458" t="s">
        <v>17</v>
      </c>
      <c r="G458" t="s">
        <v>767</v>
      </c>
      <c r="H458">
        <v>600</v>
      </c>
      <c r="I458" t="s">
        <v>39</v>
      </c>
      <c r="J458">
        <v>0</v>
      </c>
      <c r="K458">
        <v>0</v>
      </c>
      <c r="L458" t="s">
        <v>375</v>
      </c>
      <c r="M458" t="s">
        <v>241</v>
      </c>
      <c r="N458" t="s">
        <v>768</v>
      </c>
    </row>
    <row r="459" spans="1:17" x14ac:dyDescent="0.15">
      <c r="A459" t="s">
        <v>121</v>
      </c>
      <c r="B459" t="s">
        <v>122</v>
      </c>
      <c r="C459">
        <v>163</v>
      </c>
      <c r="D459" t="s">
        <v>161</v>
      </c>
      <c r="E459" s="1">
        <v>42865</v>
      </c>
      <c r="F459" t="s">
        <v>17</v>
      </c>
      <c r="G459" t="s">
        <v>767</v>
      </c>
      <c r="H459">
        <v>600</v>
      </c>
      <c r="I459" t="s">
        <v>39</v>
      </c>
      <c r="J459">
        <v>0</v>
      </c>
      <c r="K459">
        <v>0</v>
      </c>
      <c r="L459" t="s">
        <v>375</v>
      </c>
      <c r="M459" t="s">
        <v>1910</v>
      </c>
      <c r="N459" t="s">
        <v>768</v>
      </c>
      <c r="O459">
        <v>0</v>
      </c>
      <c r="P459">
        <v>0</v>
      </c>
      <c r="Q459" t="s">
        <v>381</v>
      </c>
    </row>
    <row r="460" spans="1:17" x14ac:dyDescent="0.15">
      <c r="A460" t="s">
        <v>121</v>
      </c>
      <c r="B460" t="s">
        <v>122</v>
      </c>
      <c r="C460">
        <v>163</v>
      </c>
      <c r="D460" t="s">
        <v>161</v>
      </c>
      <c r="E460" s="1">
        <v>42871</v>
      </c>
      <c r="F460" t="s">
        <v>383</v>
      </c>
      <c r="G460" t="s">
        <v>531</v>
      </c>
      <c r="H460">
        <v>-515</v>
      </c>
      <c r="I460" t="s">
        <v>39</v>
      </c>
      <c r="J460">
        <v>0</v>
      </c>
      <c r="M460" t="s">
        <v>241</v>
      </c>
      <c r="N460" t="s">
        <v>532</v>
      </c>
    </row>
    <row r="461" spans="1:17" x14ac:dyDescent="0.15">
      <c r="A461" t="s">
        <v>121</v>
      </c>
      <c r="B461" t="s">
        <v>122</v>
      </c>
      <c r="C461">
        <v>163</v>
      </c>
      <c r="D461" t="s">
        <v>161</v>
      </c>
      <c r="E461" s="1">
        <v>42871</v>
      </c>
      <c r="F461" t="s">
        <v>383</v>
      </c>
      <c r="G461" t="s">
        <v>531</v>
      </c>
      <c r="H461">
        <v>-515</v>
      </c>
      <c r="I461" t="s">
        <v>39</v>
      </c>
      <c r="J461">
        <v>0</v>
      </c>
      <c r="M461" t="s">
        <v>1910</v>
      </c>
      <c r="N461" t="s">
        <v>532</v>
      </c>
      <c r="O461">
        <v>0</v>
      </c>
      <c r="P461">
        <v>0</v>
      </c>
      <c r="Q461" t="s">
        <v>381</v>
      </c>
    </row>
    <row r="462" spans="1:17" x14ac:dyDescent="0.15">
      <c r="A462" t="s">
        <v>106</v>
      </c>
      <c r="B462" t="s">
        <v>107</v>
      </c>
      <c r="C462">
        <v>163</v>
      </c>
      <c r="D462" t="s">
        <v>161</v>
      </c>
      <c r="E462" s="1">
        <v>42850</v>
      </c>
      <c r="F462" t="s">
        <v>383</v>
      </c>
      <c r="G462" t="s">
        <v>488</v>
      </c>
      <c r="H462">
        <v>-87.6</v>
      </c>
      <c r="I462" t="s">
        <v>39</v>
      </c>
      <c r="J462">
        <v>0</v>
      </c>
      <c r="M462" t="s">
        <v>241</v>
      </c>
      <c r="N462" t="s">
        <v>489</v>
      </c>
    </row>
    <row r="463" spans="1:17" x14ac:dyDescent="0.15">
      <c r="A463" t="s">
        <v>106</v>
      </c>
      <c r="B463" t="s">
        <v>107</v>
      </c>
      <c r="C463">
        <v>163</v>
      </c>
      <c r="D463" t="s">
        <v>161</v>
      </c>
      <c r="E463" s="1">
        <v>42850</v>
      </c>
      <c r="F463" t="s">
        <v>383</v>
      </c>
      <c r="G463" t="s">
        <v>488</v>
      </c>
      <c r="H463">
        <v>-87.6</v>
      </c>
      <c r="I463" t="s">
        <v>39</v>
      </c>
      <c r="J463">
        <v>0</v>
      </c>
      <c r="M463" t="s">
        <v>1910</v>
      </c>
      <c r="N463" t="s">
        <v>489</v>
      </c>
      <c r="O463">
        <v>0</v>
      </c>
      <c r="P463">
        <v>0</v>
      </c>
      <c r="Q463" t="s">
        <v>381</v>
      </c>
    </row>
    <row r="464" spans="1:17" x14ac:dyDescent="0.15">
      <c r="A464" t="s">
        <v>106</v>
      </c>
      <c r="B464" t="s">
        <v>107</v>
      </c>
      <c r="C464">
        <v>163</v>
      </c>
      <c r="D464" t="s">
        <v>161</v>
      </c>
      <c r="E464" s="1">
        <v>42850</v>
      </c>
      <c r="F464" t="s">
        <v>383</v>
      </c>
      <c r="G464" t="s">
        <v>488</v>
      </c>
      <c r="H464">
        <v>-1.4</v>
      </c>
      <c r="I464" t="s">
        <v>39</v>
      </c>
      <c r="J464">
        <v>0</v>
      </c>
      <c r="M464" t="s">
        <v>241</v>
      </c>
      <c r="N464" t="s">
        <v>490</v>
      </c>
    </row>
    <row r="465" spans="1:17" x14ac:dyDescent="0.15">
      <c r="A465" t="s">
        <v>106</v>
      </c>
      <c r="B465" t="s">
        <v>107</v>
      </c>
      <c r="C465">
        <v>163</v>
      </c>
      <c r="D465" t="s">
        <v>161</v>
      </c>
      <c r="E465" s="1">
        <v>42850</v>
      </c>
      <c r="F465" t="s">
        <v>383</v>
      </c>
      <c r="G465" t="s">
        <v>488</v>
      </c>
      <c r="H465">
        <v>-1.4</v>
      </c>
      <c r="I465" t="s">
        <v>39</v>
      </c>
      <c r="J465">
        <v>0</v>
      </c>
      <c r="M465" t="s">
        <v>1910</v>
      </c>
      <c r="N465" t="s">
        <v>490</v>
      </c>
      <c r="O465">
        <v>0</v>
      </c>
      <c r="P465">
        <v>0</v>
      </c>
      <c r="Q465" t="s">
        <v>381</v>
      </c>
    </row>
    <row r="466" spans="1:17" x14ac:dyDescent="0.15">
      <c r="A466" t="s">
        <v>106</v>
      </c>
      <c r="B466" t="s">
        <v>107</v>
      </c>
      <c r="C466">
        <v>163</v>
      </c>
      <c r="D466" t="s">
        <v>161</v>
      </c>
      <c r="E466" s="1">
        <v>43067</v>
      </c>
      <c r="F466" t="s">
        <v>383</v>
      </c>
      <c r="G466" t="s">
        <v>1418</v>
      </c>
      <c r="H466">
        <v>-200</v>
      </c>
      <c r="I466" t="s">
        <v>39</v>
      </c>
      <c r="J466">
        <v>0</v>
      </c>
      <c r="M466" t="s">
        <v>241</v>
      </c>
      <c r="N466" t="s">
        <v>1419</v>
      </c>
    </row>
    <row r="467" spans="1:17" x14ac:dyDescent="0.15">
      <c r="A467" t="s">
        <v>106</v>
      </c>
      <c r="B467" t="s">
        <v>107</v>
      </c>
      <c r="C467">
        <v>163</v>
      </c>
      <c r="D467" t="s">
        <v>161</v>
      </c>
      <c r="E467" s="1">
        <v>43067</v>
      </c>
      <c r="F467" t="s">
        <v>383</v>
      </c>
      <c r="G467" t="s">
        <v>1418</v>
      </c>
      <c r="H467">
        <v>-200</v>
      </c>
      <c r="I467" t="s">
        <v>39</v>
      </c>
      <c r="J467">
        <v>0</v>
      </c>
      <c r="M467" t="s">
        <v>1910</v>
      </c>
      <c r="N467" t="s">
        <v>1419</v>
      </c>
      <c r="O467">
        <v>0</v>
      </c>
      <c r="P467">
        <v>0</v>
      </c>
      <c r="Q467" t="s">
        <v>381</v>
      </c>
    </row>
    <row r="468" spans="1:17" x14ac:dyDescent="0.15">
      <c r="A468" t="s">
        <v>58</v>
      </c>
      <c r="B468" t="s">
        <v>127</v>
      </c>
      <c r="C468">
        <v>163</v>
      </c>
      <c r="D468" t="s">
        <v>161</v>
      </c>
      <c r="E468" s="1">
        <v>42851</v>
      </c>
      <c r="F468" t="s">
        <v>383</v>
      </c>
      <c r="G468" t="s">
        <v>520</v>
      </c>
      <c r="H468">
        <v>-43</v>
      </c>
      <c r="I468" t="s">
        <v>39</v>
      </c>
      <c r="J468">
        <v>0</v>
      </c>
      <c r="M468" t="s">
        <v>241</v>
      </c>
      <c r="N468" t="s">
        <v>521</v>
      </c>
    </row>
    <row r="469" spans="1:17" x14ac:dyDescent="0.15">
      <c r="A469" t="s">
        <v>58</v>
      </c>
      <c r="B469" t="s">
        <v>127</v>
      </c>
      <c r="C469">
        <v>163</v>
      </c>
      <c r="D469" t="s">
        <v>161</v>
      </c>
      <c r="E469" s="1">
        <v>42851</v>
      </c>
      <c r="F469" t="s">
        <v>383</v>
      </c>
      <c r="G469" t="s">
        <v>520</v>
      </c>
      <c r="H469">
        <v>-43</v>
      </c>
      <c r="I469" t="s">
        <v>39</v>
      </c>
      <c r="J469">
        <v>0</v>
      </c>
      <c r="M469" t="s">
        <v>1910</v>
      </c>
      <c r="N469" t="s">
        <v>521</v>
      </c>
      <c r="O469">
        <v>0</v>
      </c>
      <c r="P469">
        <v>0</v>
      </c>
      <c r="Q469" t="s">
        <v>381</v>
      </c>
    </row>
    <row r="470" spans="1:17" x14ac:dyDescent="0.15">
      <c r="A470" t="s">
        <v>58</v>
      </c>
      <c r="B470" t="s">
        <v>127</v>
      </c>
      <c r="C470">
        <v>163</v>
      </c>
      <c r="D470" t="s">
        <v>161</v>
      </c>
      <c r="E470" s="1">
        <v>42865</v>
      </c>
      <c r="F470" t="s">
        <v>383</v>
      </c>
      <c r="G470" t="s">
        <v>528</v>
      </c>
      <c r="H470">
        <v>-9</v>
      </c>
      <c r="I470" t="s">
        <v>39</v>
      </c>
      <c r="J470">
        <v>0</v>
      </c>
      <c r="M470" t="s">
        <v>241</v>
      </c>
      <c r="N470" t="s">
        <v>529</v>
      </c>
    </row>
    <row r="471" spans="1:17" x14ac:dyDescent="0.15">
      <c r="A471" t="s">
        <v>58</v>
      </c>
      <c r="B471" t="s">
        <v>127</v>
      </c>
      <c r="C471">
        <v>163</v>
      </c>
      <c r="D471" t="s">
        <v>161</v>
      </c>
      <c r="E471" s="1">
        <v>42865</v>
      </c>
      <c r="F471" t="s">
        <v>383</v>
      </c>
      <c r="G471" t="s">
        <v>528</v>
      </c>
      <c r="H471">
        <v>-9</v>
      </c>
      <c r="I471" t="s">
        <v>39</v>
      </c>
      <c r="J471">
        <v>0</v>
      </c>
      <c r="M471" t="s">
        <v>1910</v>
      </c>
      <c r="N471" t="s">
        <v>529</v>
      </c>
      <c r="O471">
        <v>0</v>
      </c>
      <c r="P471">
        <v>0</v>
      </c>
      <c r="Q471" t="s">
        <v>381</v>
      </c>
    </row>
    <row r="472" spans="1:17" x14ac:dyDescent="0.15">
      <c r="A472" t="s">
        <v>58</v>
      </c>
      <c r="B472" t="s">
        <v>127</v>
      </c>
      <c r="C472">
        <v>163</v>
      </c>
      <c r="D472" t="s">
        <v>161</v>
      </c>
      <c r="E472" s="1">
        <v>42916</v>
      </c>
      <c r="F472" t="s">
        <v>383</v>
      </c>
      <c r="G472" t="s">
        <v>697</v>
      </c>
      <c r="H472">
        <v>-70</v>
      </c>
      <c r="I472" t="s">
        <v>39</v>
      </c>
      <c r="J472">
        <v>0</v>
      </c>
      <c r="M472" t="s">
        <v>241</v>
      </c>
      <c r="N472" t="s">
        <v>698</v>
      </c>
    </row>
    <row r="473" spans="1:17" x14ac:dyDescent="0.15">
      <c r="A473" t="s">
        <v>58</v>
      </c>
      <c r="B473" t="s">
        <v>127</v>
      </c>
      <c r="C473">
        <v>163</v>
      </c>
      <c r="D473" t="s">
        <v>161</v>
      </c>
      <c r="E473" s="1">
        <v>42916</v>
      </c>
      <c r="F473" t="s">
        <v>383</v>
      </c>
      <c r="G473" t="s">
        <v>697</v>
      </c>
      <c r="H473">
        <v>-70</v>
      </c>
      <c r="I473" t="s">
        <v>39</v>
      </c>
      <c r="J473">
        <v>0</v>
      </c>
      <c r="M473" t="s">
        <v>1910</v>
      </c>
      <c r="N473" t="s">
        <v>698</v>
      </c>
      <c r="O473">
        <v>0</v>
      </c>
      <c r="P473">
        <v>0</v>
      </c>
      <c r="Q473" t="s">
        <v>381</v>
      </c>
    </row>
    <row r="474" spans="1:17" x14ac:dyDescent="0.15">
      <c r="A474" t="s">
        <v>58</v>
      </c>
      <c r="B474" t="s">
        <v>127</v>
      </c>
      <c r="C474">
        <v>163</v>
      </c>
      <c r="D474" t="s">
        <v>161</v>
      </c>
      <c r="E474" s="1">
        <v>42926</v>
      </c>
      <c r="F474" t="s">
        <v>383</v>
      </c>
      <c r="G474" t="s">
        <v>1030</v>
      </c>
      <c r="H474">
        <v>-80</v>
      </c>
      <c r="I474" t="s">
        <v>39</v>
      </c>
      <c r="J474">
        <v>0</v>
      </c>
      <c r="M474" t="s">
        <v>241</v>
      </c>
      <c r="N474" t="s">
        <v>1031</v>
      </c>
    </row>
    <row r="475" spans="1:17" x14ac:dyDescent="0.15">
      <c r="A475" t="s">
        <v>58</v>
      </c>
      <c r="B475" t="s">
        <v>127</v>
      </c>
      <c r="C475">
        <v>163</v>
      </c>
      <c r="D475" t="s">
        <v>161</v>
      </c>
      <c r="E475" s="1">
        <v>42926</v>
      </c>
      <c r="F475" t="s">
        <v>383</v>
      </c>
      <c r="G475" t="s">
        <v>1030</v>
      </c>
      <c r="H475">
        <v>-80</v>
      </c>
      <c r="I475" t="s">
        <v>39</v>
      </c>
      <c r="J475">
        <v>0</v>
      </c>
      <c r="M475" t="s">
        <v>1910</v>
      </c>
      <c r="N475" t="s">
        <v>1031</v>
      </c>
      <c r="O475">
        <v>0</v>
      </c>
      <c r="P475">
        <v>0</v>
      </c>
      <c r="Q475" t="s">
        <v>381</v>
      </c>
    </row>
    <row r="476" spans="1:17" x14ac:dyDescent="0.15">
      <c r="A476" t="s">
        <v>58</v>
      </c>
      <c r="B476" t="s">
        <v>127</v>
      </c>
      <c r="C476">
        <v>163</v>
      </c>
      <c r="D476" t="s">
        <v>161</v>
      </c>
      <c r="E476" s="1">
        <v>42934</v>
      </c>
      <c r="F476" t="s">
        <v>383</v>
      </c>
      <c r="G476" t="s">
        <v>1046</v>
      </c>
      <c r="H476">
        <v>-139</v>
      </c>
      <c r="I476" t="s">
        <v>39</v>
      </c>
      <c r="J476">
        <v>0</v>
      </c>
      <c r="M476" t="s">
        <v>241</v>
      </c>
      <c r="N476" t="s">
        <v>1047</v>
      </c>
    </row>
    <row r="477" spans="1:17" x14ac:dyDescent="0.15">
      <c r="A477" t="s">
        <v>58</v>
      </c>
      <c r="B477" t="s">
        <v>127</v>
      </c>
      <c r="C477">
        <v>163</v>
      </c>
      <c r="D477" t="s">
        <v>161</v>
      </c>
      <c r="E477" s="1">
        <v>42934</v>
      </c>
      <c r="F477" t="s">
        <v>383</v>
      </c>
      <c r="G477" t="s">
        <v>1046</v>
      </c>
      <c r="H477">
        <v>-139</v>
      </c>
      <c r="I477" t="s">
        <v>39</v>
      </c>
      <c r="J477">
        <v>0</v>
      </c>
      <c r="M477" t="s">
        <v>1910</v>
      </c>
      <c r="N477" t="s">
        <v>1047</v>
      </c>
      <c r="O477">
        <v>0</v>
      </c>
      <c r="P477">
        <v>0</v>
      </c>
      <c r="Q477" t="s">
        <v>381</v>
      </c>
    </row>
    <row r="478" spans="1:17" x14ac:dyDescent="0.15">
      <c r="A478" t="s">
        <v>58</v>
      </c>
      <c r="B478" t="s">
        <v>127</v>
      </c>
      <c r="C478">
        <v>163</v>
      </c>
      <c r="D478" t="s">
        <v>161</v>
      </c>
      <c r="E478" s="1">
        <v>42976</v>
      </c>
      <c r="F478" t="s">
        <v>383</v>
      </c>
      <c r="G478" t="s">
        <v>1186</v>
      </c>
      <c r="H478">
        <v>-150</v>
      </c>
      <c r="I478" t="s">
        <v>39</v>
      </c>
      <c r="J478">
        <v>0</v>
      </c>
      <c r="M478" t="s">
        <v>241</v>
      </c>
      <c r="N478" t="s">
        <v>1187</v>
      </c>
    </row>
    <row r="479" spans="1:17" x14ac:dyDescent="0.15">
      <c r="A479" t="s">
        <v>58</v>
      </c>
      <c r="B479" t="s">
        <v>127</v>
      </c>
      <c r="C479">
        <v>163</v>
      </c>
      <c r="D479" t="s">
        <v>161</v>
      </c>
      <c r="E479" s="1">
        <v>42976</v>
      </c>
      <c r="F479" t="s">
        <v>383</v>
      </c>
      <c r="G479" t="s">
        <v>1186</v>
      </c>
      <c r="H479">
        <v>-150</v>
      </c>
      <c r="I479" t="s">
        <v>39</v>
      </c>
      <c r="J479">
        <v>0</v>
      </c>
      <c r="M479" t="s">
        <v>1910</v>
      </c>
      <c r="N479" t="s">
        <v>1187</v>
      </c>
      <c r="O479">
        <v>0</v>
      </c>
      <c r="P479">
        <v>0</v>
      </c>
      <c r="Q479" t="s">
        <v>381</v>
      </c>
    </row>
    <row r="480" spans="1:17" x14ac:dyDescent="0.15">
      <c r="A480" t="s">
        <v>58</v>
      </c>
      <c r="B480" t="s">
        <v>127</v>
      </c>
      <c r="C480">
        <v>163</v>
      </c>
      <c r="D480" t="s">
        <v>161</v>
      </c>
      <c r="E480" s="1">
        <v>43004</v>
      </c>
      <c r="F480" t="s">
        <v>21</v>
      </c>
      <c r="G480" t="s">
        <v>1881</v>
      </c>
      <c r="H480">
        <v>-2.1</v>
      </c>
      <c r="I480" t="s">
        <v>39</v>
      </c>
      <c r="J480">
        <v>0</v>
      </c>
      <c r="M480" t="s">
        <v>241</v>
      </c>
      <c r="N480" t="s">
        <v>1887</v>
      </c>
    </row>
    <row r="481" spans="1:17" x14ac:dyDescent="0.15">
      <c r="A481" t="s">
        <v>58</v>
      </c>
      <c r="B481" t="s">
        <v>127</v>
      </c>
      <c r="C481">
        <v>163</v>
      </c>
      <c r="D481" t="s">
        <v>161</v>
      </c>
      <c r="E481" s="1">
        <v>43004</v>
      </c>
      <c r="F481" t="s">
        <v>21</v>
      </c>
      <c r="G481" t="s">
        <v>1881</v>
      </c>
      <c r="H481">
        <v>-2.1</v>
      </c>
      <c r="I481" t="s">
        <v>39</v>
      </c>
      <c r="J481">
        <v>0</v>
      </c>
      <c r="M481" t="s">
        <v>1910</v>
      </c>
      <c r="N481" t="s">
        <v>1887</v>
      </c>
      <c r="O481">
        <v>0</v>
      </c>
      <c r="P481">
        <v>0</v>
      </c>
      <c r="Q481" t="s">
        <v>381</v>
      </c>
    </row>
    <row r="482" spans="1:17" x14ac:dyDescent="0.15">
      <c r="A482" t="s">
        <v>58</v>
      </c>
      <c r="B482" t="s">
        <v>127</v>
      </c>
      <c r="C482">
        <v>163</v>
      </c>
      <c r="D482" t="s">
        <v>161</v>
      </c>
      <c r="E482" s="1">
        <v>43014</v>
      </c>
      <c r="F482" t="s">
        <v>383</v>
      </c>
      <c r="G482" t="s">
        <v>1280</v>
      </c>
      <c r="H482">
        <v>-23</v>
      </c>
      <c r="I482" t="s">
        <v>39</v>
      </c>
      <c r="J482">
        <v>0</v>
      </c>
      <c r="M482" t="s">
        <v>241</v>
      </c>
      <c r="N482" t="s">
        <v>1281</v>
      </c>
    </row>
    <row r="483" spans="1:17" x14ac:dyDescent="0.15">
      <c r="A483" t="s">
        <v>58</v>
      </c>
      <c r="B483" t="s">
        <v>127</v>
      </c>
      <c r="C483">
        <v>163</v>
      </c>
      <c r="D483" t="s">
        <v>161</v>
      </c>
      <c r="E483" s="1">
        <v>43014</v>
      </c>
      <c r="F483" t="s">
        <v>383</v>
      </c>
      <c r="G483" t="s">
        <v>1280</v>
      </c>
      <c r="H483">
        <v>-23</v>
      </c>
      <c r="I483" t="s">
        <v>39</v>
      </c>
      <c r="J483">
        <v>0</v>
      </c>
      <c r="M483" t="s">
        <v>1910</v>
      </c>
      <c r="N483" t="s">
        <v>1281</v>
      </c>
      <c r="O483">
        <v>0</v>
      </c>
      <c r="P483">
        <v>0</v>
      </c>
      <c r="Q483" t="s">
        <v>381</v>
      </c>
    </row>
    <row r="484" spans="1:17" x14ac:dyDescent="0.15">
      <c r="A484" t="s">
        <v>58</v>
      </c>
      <c r="B484" t="s">
        <v>127</v>
      </c>
      <c r="C484">
        <v>163</v>
      </c>
      <c r="D484" t="s">
        <v>161</v>
      </c>
      <c r="E484" s="1">
        <v>43042</v>
      </c>
      <c r="F484" t="s">
        <v>383</v>
      </c>
      <c r="G484" t="s">
        <v>1334</v>
      </c>
      <c r="H484">
        <v>-43</v>
      </c>
      <c r="I484" t="s">
        <v>39</v>
      </c>
      <c r="J484">
        <v>0</v>
      </c>
      <c r="M484" t="s">
        <v>241</v>
      </c>
      <c r="N484" t="s">
        <v>1335</v>
      </c>
    </row>
    <row r="485" spans="1:17" x14ac:dyDescent="0.15">
      <c r="A485" t="s">
        <v>58</v>
      </c>
      <c r="B485" t="s">
        <v>127</v>
      </c>
      <c r="C485">
        <v>163</v>
      </c>
      <c r="D485" t="s">
        <v>161</v>
      </c>
      <c r="E485" s="1">
        <v>43042</v>
      </c>
      <c r="F485" t="s">
        <v>383</v>
      </c>
      <c r="G485" t="s">
        <v>1334</v>
      </c>
      <c r="H485">
        <v>-43</v>
      </c>
      <c r="I485" t="s">
        <v>39</v>
      </c>
      <c r="J485">
        <v>0</v>
      </c>
      <c r="M485" t="s">
        <v>1910</v>
      </c>
      <c r="N485" t="s">
        <v>1335</v>
      </c>
      <c r="O485">
        <v>0</v>
      </c>
      <c r="P485">
        <v>0</v>
      </c>
      <c r="Q485" t="s">
        <v>381</v>
      </c>
    </row>
    <row r="486" spans="1:17" x14ac:dyDescent="0.15">
      <c r="A486" t="s">
        <v>58</v>
      </c>
      <c r="B486" t="s">
        <v>127</v>
      </c>
      <c r="C486">
        <v>163</v>
      </c>
      <c r="D486" t="s">
        <v>161</v>
      </c>
      <c r="E486" s="1">
        <v>43042</v>
      </c>
      <c r="F486" t="s">
        <v>383</v>
      </c>
      <c r="G486" t="s">
        <v>1338</v>
      </c>
      <c r="H486">
        <v>-11</v>
      </c>
      <c r="I486" t="s">
        <v>39</v>
      </c>
      <c r="J486">
        <v>0</v>
      </c>
      <c r="M486" t="s">
        <v>241</v>
      </c>
      <c r="N486" t="s">
        <v>1339</v>
      </c>
    </row>
    <row r="487" spans="1:17" x14ac:dyDescent="0.15">
      <c r="A487" t="s">
        <v>58</v>
      </c>
      <c r="B487" t="s">
        <v>127</v>
      </c>
      <c r="C487">
        <v>163</v>
      </c>
      <c r="D487" t="s">
        <v>161</v>
      </c>
      <c r="E487" s="1">
        <v>43042</v>
      </c>
      <c r="F487" t="s">
        <v>383</v>
      </c>
      <c r="G487" t="s">
        <v>1338</v>
      </c>
      <c r="H487">
        <v>-11</v>
      </c>
      <c r="I487" t="s">
        <v>39</v>
      </c>
      <c r="J487">
        <v>0</v>
      </c>
      <c r="M487" t="s">
        <v>1910</v>
      </c>
      <c r="N487" t="s">
        <v>1339</v>
      </c>
      <c r="O487">
        <v>0</v>
      </c>
      <c r="P487">
        <v>0</v>
      </c>
      <c r="Q487" t="s">
        <v>381</v>
      </c>
    </row>
    <row r="488" spans="1:17" x14ac:dyDescent="0.15">
      <c r="A488" t="s">
        <v>99</v>
      </c>
      <c r="B488" t="s">
        <v>100</v>
      </c>
      <c r="C488">
        <v>163</v>
      </c>
      <c r="D488" t="s">
        <v>161</v>
      </c>
      <c r="E488" s="1">
        <v>42865</v>
      </c>
      <c r="F488" t="s">
        <v>383</v>
      </c>
      <c r="G488" t="s">
        <v>536</v>
      </c>
      <c r="H488">
        <v>-30</v>
      </c>
      <c r="I488" t="s">
        <v>39</v>
      </c>
      <c r="J488">
        <v>0</v>
      </c>
      <c r="M488" t="s">
        <v>241</v>
      </c>
      <c r="N488" t="s">
        <v>537</v>
      </c>
    </row>
    <row r="489" spans="1:17" x14ac:dyDescent="0.15">
      <c r="A489" t="s">
        <v>99</v>
      </c>
      <c r="B489" t="s">
        <v>100</v>
      </c>
      <c r="C489">
        <v>163</v>
      </c>
      <c r="D489" t="s">
        <v>161</v>
      </c>
      <c r="E489" s="1">
        <v>42865</v>
      </c>
      <c r="F489" t="s">
        <v>383</v>
      </c>
      <c r="G489" t="s">
        <v>536</v>
      </c>
      <c r="H489">
        <v>-30</v>
      </c>
      <c r="I489" t="s">
        <v>39</v>
      </c>
      <c r="J489">
        <v>0</v>
      </c>
      <c r="M489" t="s">
        <v>1910</v>
      </c>
      <c r="N489" t="s">
        <v>537</v>
      </c>
      <c r="O489">
        <v>0</v>
      </c>
      <c r="P489">
        <v>0</v>
      </c>
      <c r="Q489" t="s">
        <v>381</v>
      </c>
    </row>
    <row r="490" spans="1:17" x14ac:dyDescent="0.15">
      <c r="A490" t="s">
        <v>99</v>
      </c>
      <c r="B490" t="s">
        <v>100</v>
      </c>
      <c r="C490">
        <v>163</v>
      </c>
      <c r="D490" t="s">
        <v>161</v>
      </c>
      <c r="E490" s="1">
        <v>42916</v>
      </c>
      <c r="F490" t="s">
        <v>383</v>
      </c>
      <c r="G490" t="s">
        <v>691</v>
      </c>
      <c r="H490">
        <v>-256</v>
      </c>
      <c r="I490" t="s">
        <v>39</v>
      </c>
      <c r="J490">
        <v>0</v>
      </c>
      <c r="M490" t="s">
        <v>241</v>
      </c>
      <c r="N490" t="s">
        <v>692</v>
      </c>
    </row>
    <row r="491" spans="1:17" x14ac:dyDescent="0.15">
      <c r="A491" t="s">
        <v>99</v>
      </c>
      <c r="B491" t="s">
        <v>100</v>
      </c>
      <c r="C491">
        <v>163</v>
      </c>
      <c r="D491" t="s">
        <v>161</v>
      </c>
      <c r="E491" s="1">
        <v>42916</v>
      </c>
      <c r="F491" t="s">
        <v>383</v>
      </c>
      <c r="G491" t="s">
        <v>691</v>
      </c>
      <c r="H491">
        <v>-256</v>
      </c>
      <c r="I491" t="s">
        <v>39</v>
      </c>
      <c r="J491">
        <v>0</v>
      </c>
      <c r="M491" t="s">
        <v>1910</v>
      </c>
      <c r="N491" t="s">
        <v>692</v>
      </c>
      <c r="O491">
        <v>0</v>
      </c>
      <c r="P491">
        <v>0</v>
      </c>
      <c r="Q491" t="s">
        <v>381</v>
      </c>
    </row>
    <row r="492" spans="1:17" x14ac:dyDescent="0.15">
      <c r="A492" t="s">
        <v>99</v>
      </c>
      <c r="B492" t="s">
        <v>100</v>
      </c>
      <c r="C492">
        <v>163</v>
      </c>
      <c r="D492" t="s">
        <v>161</v>
      </c>
      <c r="E492" s="1">
        <v>42936</v>
      </c>
      <c r="F492" t="s">
        <v>383</v>
      </c>
      <c r="G492" t="s">
        <v>1094</v>
      </c>
      <c r="H492">
        <v>-11.2</v>
      </c>
      <c r="I492" t="s">
        <v>39</v>
      </c>
      <c r="J492">
        <v>0</v>
      </c>
      <c r="M492" t="s">
        <v>241</v>
      </c>
      <c r="N492" t="s">
        <v>1095</v>
      </c>
    </row>
    <row r="493" spans="1:17" x14ac:dyDescent="0.15">
      <c r="A493" t="s">
        <v>99</v>
      </c>
      <c r="B493" t="s">
        <v>100</v>
      </c>
      <c r="C493">
        <v>163</v>
      </c>
      <c r="D493" t="s">
        <v>161</v>
      </c>
      <c r="E493" s="1">
        <v>42936</v>
      </c>
      <c r="F493" t="s">
        <v>383</v>
      </c>
      <c r="G493" t="s">
        <v>1094</v>
      </c>
      <c r="H493">
        <v>-11.2</v>
      </c>
      <c r="I493" t="s">
        <v>39</v>
      </c>
      <c r="J493">
        <v>0</v>
      </c>
      <c r="M493" t="s">
        <v>1910</v>
      </c>
      <c r="N493" t="s">
        <v>1095</v>
      </c>
      <c r="O493">
        <v>0</v>
      </c>
      <c r="P493">
        <v>0</v>
      </c>
      <c r="Q493" t="s">
        <v>381</v>
      </c>
    </row>
    <row r="494" spans="1:17" x14ac:dyDescent="0.15">
      <c r="A494" t="s">
        <v>99</v>
      </c>
      <c r="B494" t="s">
        <v>100</v>
      </c>
      <c r="C494">
        <v>163</v>
      </c>
      <c r="D494" t="s">
        <v>161</v>
      </c>
      <c r="E494" s="1">
        <v>42936</v>
      </c>
      <c r="F494" t="s">
        <v>383</v>
      </c>
      <c r="G494" t="s">
        <v>1094</v>
      </c>
      <c r="H494">
        <v>-2.8</v>
      </c>
      <c r="I494" t="s">
        <v>39</v>
      </c>
      <c r="J494">
        <v>0</v>
      </c>
      <c r="M494" t="s">
        <v>241</v>
      </c>
      <c r="N494" t="s">
        <v>1096</v>
      </c>
    </row>
    <row r="495" spans="1:17" x14ac:dyDescent="0.15">
      <c r="A495" t="s">
        <v>99</v>
      </c>
      <c r="B495" t="s">
        <v>100</v>
      </c>
      <c r="C495">
        <v>163</v>
      </c>
      <c r="D495" t="s">
        <v>161</v>
      </c>
      <c r="E495" s="1">
        <v>42936</v>
      </c>
      <c r="F495" t="s">
        <v>383</v>
      </c>
      <c r="G495" t="s">
        <v>1094</v>
      </c>
      <c r="H495">
        <v>-2.8</v>
      </c>
      <c r="I495" t="s">
        <v>39</v>
      </c>
      <c r="J495">
        <v>0</v>
      </c>
      <c r="M495" t="s">
        <v>1910</v>
      </c>
      <c r="N495" t="s">
        <v>1096</v>
      </c>
      <c r="O495">
        <v>0</v>
      </c>
      <c r="P495">
        <v>0</v>
      </c>
      <c r="Q495" t="s">
        <v>381</v>
      </c>
    </row>
    <row r="496" spans="1:17" x14ac:dyDescent="0.15">
      <c r="A496" t="s">
        <v>99</v>
      </c>
      <c r="B496" t="s">
        <v>100</v>
      </c>
      <c r="C496">
        <v>163</v>
      </c>
      <c r="D496" t="s">
        <v>161</v>
      </c>
      <c r="E496" s="1">
        <v>42942</v>
      </c>
      <c r="F496" t="s">
        <v>383</v>
      </c>
      <c r="G496" t="s">
        <v>1125</v>
      </c>
      <c r="H496">
        <v>-50</v>
      </c>
      <c r="I496" t="s">
        <v>39</v>
      </c>
      <c r="J496">
        <v>0</v>
      </c>
      <c r="M496" t="s">
        <v>241</v>
      </c>
      <c r="N496" t="s">
        <v>1126</v>
      </c>
    </row>
    <row r="497" spans="1:17" x14ac:dyDescent="0.15">
      <c r="A497" t="s">
        <v>99</v>
      </c>
      <c r="B497" t="s">
        <v>100</v>
      </c>
      <c r="C497">
        <v>163</v>
      </c>
      <c r="D497" t="s">
        <v>161</v>
      </c>
      <c r="E497" s="1">
        <v>42942</v>
      </c>
      <c r="F497" t="s">
        <v>383</v>
      </c>
      <c r="G497" t="s">
        <v>1125</v>
      </c>
      <c r="H497">
        <v>-50</v>
      </c>
      <c r="I497" t="s">
        <v>39</v>
      </c>
      <c r="J497">
        <v>0</v>
      </c>
      <c r="M497" t="s">
        <v>1910</v>
      </c>
      <c r="N497" t="s">
        <v>1126</v>
      </c>
      <c r="O497">
        <v>0</v>
      </c>
      <c r="P497">
        <v>0</v>
      </c>
      <c r="Q497" t="s">
        <v>381</v>
      </c>
    </row>
    <row r="498" spans="1:17" x14ac:dyDescent="0.15">
      <c r="A498" t="s">
        <v>99</v>
      </c>
      <c r="B498" t="s">
        <v>100</v>
      </c>
      <c r="C498">
        <v>163</v>
      </c>
      <c r="D498" t="s">
        <v>161</v>
      </c>
      <c r="E498" s="1">
        <v>42978</v>
      </c>
      <c r="F498" t="s">
        <v>383</v>
      </c>
      <c r="G498" t="s">
        <v>1198</v>
      </c>
      <c r="H498">
        <v>-109</v>
      </c>
      <c r="I498" t="s">
        <v>39</v>
      </c>
      <c r="J498">
        <v>0</v>
      </c>
      <c r="M498" t="s">
        <v>241</v>
      </c>
      <c r="N498" t="s">
        <v>1199</v>
      </c>
    </row>
    <row r="499" spans="1:17" x14ac:dyDescent="0.15">
      <c r="A499" t="s">
        <v>99</v>
      </c>
      <c r="B499" t="s">
        <v>100</v>
      </c>
      <c r="C499">
        <v>163</v>
      </c>
      <c r="D499" t="s">
        <v>161</v>
      </c>
      <c r="E499" s="1">
        <v>42978</v>
      </c>
      <c r="F499" t="s">
        <v>383</v>
      </c>
      <c r="G499" t="s">
        <v>1198</v>
      </c>
      <c r="H499">
        <v>-109</v>
      </c>
      <c r="I499" t="s">
        <v>39</v>
      </c>
      <c r="J499">
        <v>0</v>
      </c>
      <c r="M499" t="s">
        <v>1910</v>
      </c>
      <c r="N499" t="s">
        <v>1199</v>
      </c>
      <c r="O499">
        <v>0</v>
      </c>
      <c r="P499">
        <v>0</v>
      </c>
      <c r="Q499" t="s">
        <v>381</v>
      </c>
    </row>
    <row r="500" spans="1:17" x14ac:dyDescent="0.15">
      <c r="A500" t="s">
        <v>59</v>
      </c>
      <c r="B500" t="s">
        <v>93</v>
      </c>
      <c r="C500">
        <v>163</v>
      </c>
      <c r="D500" t="s">
        <v>161</v>
      </c>
      <c r="E500" s="1">
        <v>42850</v>
      </c>
      <c r="F500" t="s">
        <v>383</v>
      </c>
      <c r="G500" t="s">
        <v>488</v>
      </c>
      <c r="H500">
        <v>-400</v>
      </c>
      <c r="I500" t="s">
        <v>39</v>
      </c>
      <c r="J500">
        <v>0</v>
      </c>
      <c r="M500" t="s">
        <v>241</v>
      </c>
      <c r="N500" t="s">
        <v>491</v>
      </c>
    </row>
    <row r="501" spans="1:17" x14ac:dyDescent="0.15">
      <c r="A501" t="s">
        <v>59</v>
      </c>
      <c r="B501" t="s">
        <v>93</v>
      </c>
      <c r="C501">
        <v>163</v>
      </c>
      <c r="D501" t="s">
        <v>161</v>
      </c>
      <c r="E501" s="1">
        <v>42850</v>
      </c>
      <c r="F501" t="s">
        <v>383</v>
      </c>
      <c r="G501" t="s">
        <v>488</v>
      </c>
      <c r="H501">
        <v>-400</v>
      </c>
      <c r="I501" t="s">
        <v>39</v>
      </c>
      <c r="J501">
        <v>0</v>
      </c>
      <c r="M501" t="s">
        <v>1910</v>
      </c>
      <c r="N501" t="s">
        <v>491</v>
      </c>
      <c r="O501">
        <v>0</v>
      </c>
      <c r="P501">
        <v>0</v>
      </c>
      <c r="Q501" t="s">
        <v>381</v>
      </c>
    </row>
    <row r="502" spans="1:17" x14ac:dyDescent="0.15">
      <c r="A502" t="s">
        <v>59</v>
      </c>
      <c r="B502" t="s">
        <v>93</v>
      </c>
      <c r="C502">
        <v>163</v>
      </c>
      <c r="D502" t="s">
        <v>161</v>
      </c>
      <c r="E502" s="1">
        <v>42865</v>
      </c>
      <c r="F502" t="s">
        <v>383</v>
      </c>
      <c r="G502" t="s">
        <v>525</v>
      </c>
      <c r="H502">
        <v>-100</v>
      </c>
      <c r="I502" t="s">
        <v>39</v>
      </c>
      <c r="J502">
        <v>0</v>
      </c>
      <c r="M502" t="s">
        <v>241</v>
      </c>
      <c r="N502" t="s">
        <v>526</v>
      </c>
    </row>
    <row r="503" spans="1:17" x14ac:dyDescent="0.15">
      <c r="A503" t="s">
        <v>59</v>
      </c>
      <c r="B503" t="s">
        <v>93</v>
      </c>
      <c r="C503">
        <v>163</v>
      </c>
      <c r="D503" t="s">
        <v>161</v>
      </c>
      <c r="E503" s="1">
        <v>42865</v>
      </c>
      <c r="F503" t="s">
        <v>383</v>
      </c>
      <c r="G503" t="s">
        <v>525</v>
      </c>
      <c r="H503">
        <v>-100</v>
      </c>
      <c r="I503" t="s">
        <v>39</v>
      </c>
      <c r="J503">
        <v>0</v>
      </c>
      <c r="M503" t="s">
        <v>1910</v>
      </c>
      <c r="N503" t="s">
        <v>526</v>
      </c>
      <c r="O503">
        <v>0</v>
      </c>
      <c r="P503">
        <v>0</v>
      </c>
      <c r="Q503" t="s">
        <v>381</v>
      </c>
    </row>
    <row r="504" spans="1:17" x14ac:dyDescent="0.15">
      <c r="A504" t="s">
        <v>59</v>
      </c>
      <c r="B504" t="s">
        <v>93</v>
      </c>
      <c r="C504">
        <v>163</v>
      </c>
      <c r="D504" t="s">
        <v>161</v>
      </c>
      <c r="E504" s="1">
        <v>42865</v>
      </c>
      <c r="F504" t="s">
        <v>383</v>
      </c>
      <c r="G504" t="s">
        <v>528</v>
      </c>
      <c r="H504">
        <v>-22</v>
      </c>
      <c r="I504" t="s">
        <v>39</v>
      </c>
      <c r="J504">
        <v>0</v>
      </c>
      <c r="M504" t="s">
        <v>241</v>
      </c>
      <c r="N504" t="s">
        <v>530</v>
      </c>
    </row>
    <row r="505" spans="1:17" x14ac:dyDescent="0.15">
      <c r="A505" t="s">
        <v>59</v>
      </c>
      <c r="B505" t="s">
        <v>93</v>
      </c>
      <c r="C505">
        <v>163</v>
      </c>
      <c r="D505" t="s">
        <v>161</v>
      </c>
      <c r="E505" s="1">
        <v>42865</v>
      </c>
      <c r="F505" t="s">
        <v>383</v>
      </c>
      <c r="G505" t="s">
        <v>528</v>
      </c>
      <c r="H505">
        <v>-22</v>
      </c>
      <c r="I505" t="s">
        <v>39</v>
      </c>
      <c r="J505">
        <v>0</v>
      </c>
      <c r="M505" t="s">
        <v>1910</v>
      </c>
      <c r="N505" t="s">
        <v>530</v>
      </c>
      <c r="O505">
        <v>0</v>
      </c>
      <c r="P505">
        <v>0</v>
      </c>
      <c r="Q505" t="s">
        <v>381</v>
      </c>
    </row>
    <row r="506" spans="1:17" x14ac:dyDescent="0.15">
      <c r="A506" t="s">
        <v>59</v>
      </c>
      <c r="B506" t="s">
        <v>93</v>
      </c>
      <c r="C506">
        <v>163</v>
      </c>
      <c r="D506" t="s">
        <v>161</v>
      </c>
      <c r="E506" s="1">
        <v>42865</v>
      </c>
      <c r="F506" t="s">
        <v>17</v>
      </c>
      <c r="G506" t="s">
        <v>767</v>
      </c>
      <c r="H506">
        <v>600</v>
      </c>
      <c r="I506" t="s">
        <v>39</v>
      </c>
      <c r="J506">
        <v>0</v>
      </c>
      <c r="K506">
        <v>0</v>
      </c>
      <c r="L506" t="s">
        <v>375</v>
      </c>
      <c r="M506" t="s">
        <v>241</v>
      </c>
      <c r="N506" t="s">
        <v>769</v>
      </c>
    </row>
    <row r="507" spans="1:17" x14ac:dyDescent="0.15">
      <c r="A507" t="s">
        <v>59</v>
      </c>
      <c r="B507" t="s">
        <v>93</v>
      </c>
      <c r="C507">
        <v>163</v>
      </c>
      <c r="D507" t="s">
        <v>161</v>
      </c>
      <c r="E507" s="1">
        <v>42865</v>
      </c>
      <c r="F507" t="s">
        <v>17</v>
      </c>
      <c r="G507" t="s">
        <v>767</v>
      </c>
      <c r="H507">
        <v>600</v>
      </c>
      <c r="I507" t="s">
        <v>39</v>
      </c>
      <c r="J507">
        <v>0</v>
      </c>
      <c r="K507">
        <v>0</v>
      </c>
      <c r="L507" t="s">
        <v>375</v>
      </c>
      <c r="M507" t="s">
        <v>1910</v>
      </c>
      <c r="N507" t="s">
        <v>769</v>
      </c>
      <c r="O507">
        <v>0</v>
      </c>
      <c r="P507">
        <v>0</v>
      </c>
      <c r="Q507" t="s">
        <v>381</v>
      </c>
    </row>
    <row r="508" spans="1:17" x14ac:dyDescent="0.15">
      <c r="A508" t="s">
        <v>59</v>
      </c>
      <c r="B508" t="s">
        <v>93</v>
      </c>
      <c r="C508">
        <v>163</v>
      </c>
      <c r="D508" t="s">
        <v>161</v>
      </c>
      <c r="E508" s="1">
        <v>42892</v>
      </c>
      <c r="F508" t="s">
        <v>383</v>
      </c>
      <c r="G508" t="s">
        <v>603</v>
      </c>
      <c r="H508">
        <v>-164</v>
      </c>
      <c r="I508" t="s">
        <v>39</v>
      </c>
      <c r="J508">
        <v>0</v>
      </c>
      <c r="M508" t="s">
        <v>241</v>
      </c>
      <c r="N508" t="s">
        <v>605</v>
      </c>
    </row>
    <row r="509" spans="1:17" x14ac:dyDescent="0.15">
      <c r="A509" t="s">
        <v>59</v>
      </c>
      <c r="B509" t="s">
        <v>93</v>
      </c>
      <c r="C509">
        <v>163</v>
      </c>
      <c r="D509" t="s">
        <v>161</v>
      </c>
      <c r="E509" s="1">
        <v>42892</v>
      </c>
      <c r="F509" t="s">
        <v>383</v>
      </c>
      <c r="G509" t="s">
        <v>603</v>
      </c>
      <c r="H509">
        <v>-164</v>
      </c>
      <c r="I509" t="s">
        <v>39</v>
      </c>
      <c r="J509">
        <v>0</v>
      </c>
      <c r="M509" t="s">
        <v>1910</v>
      </c>
      <c r="N509" t="s">
        <v>605</v>
      </c>
      <c r="O509">
        <v>0</v>
      </c>
      <c r="P509">
        <v>0</v>
      </c>
      <c r="Q509" t="s">
        <v>381</v>
      </c>
    </row>
    <row r="510" spans="1:17" x14ac:dyDescent="0.15">
      <c r="A510" t="s">
        <v>59</v>
      </c>
      <c r="B510" t="s">
        <v>93</v>
      </c>
      <c r="C510">
        <v>163</v>
      </c>
      <c r="D510" t="s">
        <v>161</v>
      </c>
      <c r="E510" s="1">
        <v>42900</v>
      </c>
      <c r="F510" t="s">
        <v>383</v>
      </c>
      <c r="G510" t="s">
        <v>615</v>
      </c>
      <c r="H510">
        <v>-100</v>
      </c>
      <c r="I510" t="s">
        <v>39</v>
      </c>
      <c r="J510">
        <v>0</v>
      </c>
      <c r="M510" t="s">
        <v>241</v>
      </c>
      <c r="N510" t="s">
        <v>617</v>
      </c>
    </row>
    <row r="511" spans="1:17" x14ac:dyDescent="0.15">
      <c r="A511" t="s">
        <v>59</v>
      </c>
      <c r="B511" t="s">
        <v>93</v>
      </c>
      <c r="C511">
        <v>163</v>
      </c>
      <c r="D511" t="s">
        <v>161</v>
      </c>
      <c r="E511" s="1">
        <v>42900</v>
      </c>
      <c r="F511" t="s">
        <v>383</v>
      </c>
      <c r="G511" t="s">
        <v>615</v>
      </c>
      <c r="H511">
        <v>-100</v>
      </c>
      <c r="I511" t="s">
        <v>39</v>
      </c>
      <c r="J511">
        <v>0</v>
      </c>
      <c r="M511" t="s">
        <v>1910</v>
      </c>
      <c r="N511" t="s">
        <v>617</v>
      </c>
      <c r="O511">
        <v>0</v>
      </c>
      <c r="P511">
        <v>0</v>
      </c>
      <c r="Q511" t="s">
        <v>381</v>
      </c>
    </row>
    <row r="512" spans="1:17" x14ac:dyDescent="0.15">
      <c r="A512" t="s">
        <v>59</v>
      </c>
      <c r="B512" t="s">
        <v>93</v>
      </c>
      <c r="C512">
        <v>163</v>
      </c>
      <c r="D512" t="s">
        <v>161</v>
      </c>
      <c r="E512" s="1">
        <v>42907</v>
      </c>
      <c r="F512" t="s">
        <v>17</v>
      </c>
      <c r="G512" t="s">
        <v>816</v>
      </c>
      <c r="H512">
        <v>200</v>
      </c>
      <c r="I512" t="s">
        <v>39</v>
      </c>
      <c r="J512">
        <v>0</v>
      </c>
      <c r="K512">
        <v>0</v>
      </c>
      <c r="L512" t="s">
        <v>375</v>
      </c>
      <c r="M512" t="s">
        <v>241</v>
      </c>
      <c r="N512" t="s">
        <v>818</v>
      </c>
    </row>
    <row r="513" spans="1:17" x14ac:dyDescent="0.15">
      <c r="A513" t="s">
        <v>59</v>
      </c>
      <c r="B513" t="s">
        <v>93</v>
      </c>
      <c r="C513">
        <v>163</v>
      </c>
      <c r="D513" t="s">
        <v>161</v>
      </c>
      <c r="E513" s="1">
        <v>42907</v>
      </c>
      <c r="F513" t="s">
        <v>17</v>
      </c>
      <c r="G513" t="s">
        <v>816</v>
      </c>
      <c r="H513">
        <v>200</v>
      </c>
      <c r="I513" t="s">
        <v>39</v>
      </c>
      <c r="J513">
        <v>0</v>
      </c>
      <c r="K513">
        <v>0</v>
      </c>
      <c r="L513" t="s">
        <v>375</v>
      </c>
      <c r="M513" t="s">
        <v>1910</v>
      </c>
      <c r="N513" t="s">
        <v>818</v>
      </c>
      <c r="O513">
        <v>0</v>
      </c>
      <c r="P513">
        <v>0</v>
      </c>
      <c r="Q513" t="s">
        <v>381</v>
      </c>
    </row>
    <row r="514" spans="1:17" x14ac:dyDescent="0.15">
      <c r="A514" t="s">
        <v>59</v>
      </c>
      <c r="B514" t="s">
        <v>93</v>
      </c>
      <c r="C514">
        <v>163</v>
      </c>
      <c r="D514" t="s">
        <v>161</v>
      </c>
      <c r="E514" s="1">
        <v>42932</v>
      </c>
      <c r="F514" t="s">
        <v>383</v>
      </c>
      <c r="G514" t="s">
        <v>1054</v>
      </c>
      <c r="H514">
        <v>-100</v>
      </c>
      <c r="I514" t="s">
        <v>39</v>
      </c>
      <c r="J514">
        <v>0</v>
      </c>
      <c r="M514" t="s">
        <v>241</v>
      </c>
      <c r="N514" t="s">
        <v>1056</v>
      </c>
    </row>
    <row r="515" spans="1:17" x14ac:dyDescent="0.15">
      <c r="A515" t="s">
        <v>59</v>
      </c>
      <c r="B515" t="s">
        <v>93</v>
      </c>
      <c r="C515">
        <v>163</v>
      </c>
      <c r="D515" t="s">
        <v>161</v>
      </c>
      <c r="E515" s="1">
        <v>42932</v>
      </c>
      <c r="F515" t="s">
        <v>383</v>
      </c>
      <c r="G515" t="s">
        <v>1054</v>
      </c>
      <c r="H515">
        <v>-100</v>
      </c>
      <c r="I515" t="s">
        <v>39</v>
      </c>
      <c r="J515">
        <v>0</v>
      </c>
      <c r="M515" t="s">
        <v>1910</v>
      </c>
      <c r="N515" t="s">
        <v>1056</v>
      </c>
      <c r="O515">
        <v>0</v>
      </c>
      <c r="P515">
        <v>0</v>
      </c>
      <c r="Q515" t="s">
        <v>381</v>
      </c>
    </row>
    <row r="516" spans="1:17" x14ac:dyDescent="0.15">
      <c r="A516" t="s">
        <v>59</v>
      </c>
      <c r="B516" t="s">
        <v>93</v>
      </c>
      <c r="C516">
        <v>163</v>
      </c>
      <c r="D516" t="s">
        <v>161</v>
      </c>
      <c r="E516" s="1">
        <v>42934</v>
      </c>
      <c r="F516" t="s">
        <v>383</v>
      </c>
      <c r="G516" t="s">
        <v>1073</v>
      </c>
      <c r="H516">
        <v>-24</v>
      </c>
      <c r="I516" t="s">
        <v>39</v>
      </c>
      <c r="J516">
        <v>0</v>
      </c>
      <c r="M516" t="s">
        <v>241</v>
      </c>
      <c r="N516" t="s">
        <v>1074</v>
      </c>
    </row>
    <row r="517" spans="1:17" x14ac:dyDescent="0.15">
      <c r="A517" t="s">
        <v>59</v>
      </c>
      <c r="B517" t="s">
        <v>93</v>
      </c>
      <c r="C517">
        <v>163</v>
      </c>
      <c r="D517" t="s">
        <v>161</v>
      </c>
      <c r="E517" s="1">
        <v>42934</v>
      </c>
      <c r="F517" t="s">
        <v>383</v>
      </c>
      <c r="G517" t="s">
        <v>1073</v>
      </c>
      <c r="H517">
        <v>-24</v>
      </c>
      <c r="I517" t="s">
        <v>39</v>
      </c>
      <c r="J517">
        <v>0</v>
      </c>
      <c r="M517" t="s">
        <v>1910</v>
      </c>
      <c r="N517" t="s">
        <v>1074</v>
      </c>
      <c r="O517">
        <v>0</v>
      </c>
      <c r="P517">
        <v>0</v>
      </c>
      <c r="Q517" t="s">
        <v>381</v>
      </c>
    </row>
    <row r="518" spans="1:17" x14ac:dyDescent="0.15">
      <c r="A518" t="s">
        <v>59</v>
      </c>
      <c r="B518" t="s">
        <v>93</v>
      </c>
      <c r="C518">
        <v>163</v>
      </c>
      <c r="D518" t="s">
        <v>161</v>
      </c>
      <c r="E518" s="1">
        <v>42936</v>
      </c>
      <c r="F518" t="s">
        <v>383</v>
      </c>
      <c r="G518" t="s">
        <v>1085</v>
      </c>
      <c r="H518">
        <v>-61</v>
      </c>
      <c r="I518" t="s">
        <v>39</v>
      </c>
      <c r="J518">
        <v>0</v>
      </c>
      <c r="M518" t="s">
        <v>241</v>
      </c>
      <c r="N518" t="s">
        <v>1087</v>
      </c>
    </row>
    <row r="519" spans="1:17" x14ac:dyDescent="0.15">
      <c r="A519" t="s">
        <v>59</v>
      </c>
      <c r="B519" t="s">
        <v>93</v>
      </c>
      <c r="C519">
        <v>163</v>
      </c>
      <c r="D519" t="s">
        <v>161</v>
      </c>
      <c r="E519" s="1">
        <v>42936</v>
      </c>
      <c r="F519" t="s">
        <v>383</v>
      </c>
      <c r="G519" t="s">
        <v>1085</v>
      </c>
      <c r="H519">
        <v>-61</v>
      </c>
      <c r="I519" t="s">
        <v>39</v>
      </c>
      <c r="J519">
        <v>0</v>
      </c>
      <c r="M519" t="s">
        <v>1910</v>
      </c>
      <c r="N519" t="s">
        <v>1087</v>
      </c>
      <c r="O519">
        <v>0</v>
      </c>
      <c r="P519">
        <v>0</v>
      </c>
      <c r="Q519" t="s">
        <v>381</v>
      </c>
    </row>
    <row r="520" spans="1:17" x14ac:dyDescent="0.15">
      <c r="A520" t="s">
        <v>59</v>
      </c>
      <c r="B520" t="s">
        <v>93</v>
      </c>
      <c r="C520">
        <v>163</v>
      </c>
      <c r="D520" t="s">
        <v>161</v>
      </c>
      <c r="E520" s="1">
        <v>42971</v>
      </c>
      <c r="F520" t="s">
        <v>383</v>
      </c>
      <c r="G520" t="s">
        <v>1182</v>
      </c>
      <c r="H520">
        <v>-86</v>
      </c>
      <c r="I520" t="s">
        <v>39</v>
      </c>
      <c r="J520">
        <v>0</v>
      </c>
      <c r="M520" t="s">
        <v>241</v>
      </c>
      <c r="N520" t="s">
        <v>1184</v>
      </c>
    </row>
    <row r="521" spans="1:17" x14ac:dyDescent="0.15">
      <c r="A521" t="s">
        <v>59</v>
      </c>
      <c r="B521" t="s">
        <v>93</v>
      </c>
      <c r="C521">
        <v>163</v>
      </c>
      <c r="D521" t="s">
        <v>161</v>
      </c>
      <c r="E521" s="1">
        <v>42971</v>
      </c>
      <c r="F521" t="s">
        <v>383</v>
      </c>
      <c r="G521" t="s">
        <v>1182</v>
      </c>
      <c r="H521">
        <v>-86</v>
      </c>
      <c r="I521" t="s">
        <v>39</v>
      </c>
      <c r="J521">
        <v>0</v>
      </c>
      <c r="M521" t="s">
        <v>1910</v>
      </c>
      <c r="N521" t="s">
        <v>1184</v>
      </c>
      <c r="O521">
        <v>0</v>
      </c>
      <c r="P521">
        <v>0</v>
      </c>
      <c r="Q521" t="s">
        <v>381</v>
      </c>
    </row>
    <row r="522" spans="1:17" x14ac:dyDescent="0.15">
      <c r="A522" t="s">
        <v>59</v>
      </c>
      <c r="B522" t="s">
        <v>93</v>
      </c>
      <c r="C522">
        <v>163</v>
      </c>
      <c r="D522" t="s">
        <v>161</v>
      </c>
      <c r="E522" s="1">
        <v>42978</v>
      </c>
      <c r="F522" t="s">
        <v>17</v>
      </c>
      <c r="G522" t="s">
        <v>1561</v>
      </c>
      <c r="H522">
        <v>340</v>
      </c>
      <c r="I522" t="s">
        <v>39</v>
      </c>
      <c r="J522">
        <v>0</v>
      </c>
      <c r="K522">
        <v>0</v>
      </c>
      <c r="L522" t="s">
        <v>375</v>
      </c>
      <c r="M522" t="s">
        <v>241</v>
      </c>
      <c r="N522" t="s">
        <v>1563</v>
      </c>
    </row>
    <row r="523" spans="1:17" x14ac:dyDescent="0.15">
      <c r="A523" t="s">
        <v>59</v>
      </c>
      <c r="B523" t="s">
        <v>93</v>
      </c>
      <c r="C523">
        <v>163</v>
      </c>
      <c r="D523" t="s">
        <v>161</v>
      </c>
      <c r="E523" s="1">
        <v>42978</v>
      </c>
      <c r="F523" t="s">
        <v>17</v>
      </c>
      <c r="G523" t="s">
        <v>1561</v>
      </c>
      <c r="H523">
        <v>340</v>
      </c>
      <c r="I523" t="s">
        <v>39</v>
      </c>
      <c r="J523">
        <v>0</v>
      </c>
      <c r="K523">
        <v>0</v>
      </c>
      <c r="L523" t="s">
        <v>375</v>
      </c>
      <c r="M523" t="s">
        <v>1910</v>
      </c>
      <c r="N523" t="s">
        <v>1563</v>
      </c>
      <c r="O523">
        <v>0</v>
      </c>
      <c r="P523">
        <v>0</v>
      </c>
      <c r="Q523" t="s">
        <v>381</v>
      </c>
    </row>
    <row r="524" spans="1:17" x14ac:dyDescent="0.15">
      <c r="A524" t="s">
        <v>59</v>
      </c>
      <c r="B524" t="s">
        <v>93</v>
      </c>
      <c r="C524">
        <v>163</v>
      </c>
      <c r="D524" t="s">
        <v>161</v>
      </c>
      <c r="E524" s="1">
        <v>42990</v>
      </c>
      <c r="F524" t="s">
        <v>383</v>
      </c>
      <c r="G524" t="s">
        <v>1214</v>
      </c>
      <c r="H524">
        <v>-12</v>
      </c>
      <c r="I524" t="s">
        <v>39</v>
      </c>
      <c r="J524">
        <v>0</v>
      </c>
      <c r="M524" t="s">
        <v>241</v>
      </c>
      <c r="N524" t="s">
        <v>1216</v>
      </c>
    </row>
    <row r="525" spans="1:17" x14ac:dyDescent="0.15">
      <c r="A525" t="s">
        <v>59</v>
      </c>
      <c r="B525" t="s">
        <v>93</v>
      </c>
      <c r="C525">
        <v>163</v>
      </c>
      <c r="D525" t="s">
        <v>161</v>
      </c>
      <c r="E525" s="1">
        <v>42990</v>
      </c>
      <c r="F525" t="s">
        <v>383</v>
      </c>
      <c r="G525" t="s">
        <v>1214</v>
      </c>
      <c r="H525">
        <v>-12</v>
      </c>
      <c r="I525" t="s">
        <v>39</v>
      </c>
      <c r="J525">
        <v>0</v>
      </c>
      <c r="M525" t="s">
        <v>1910</v>
      </c>
      <c r="N525" t="s">
        <v>1216</v>
      </c>
      <c r="O525">
        <v>0</v>
      </c>
      <c r="P525">
        <v>0</v>
      </c>
      <c r="Q525" t="s">
        <v>381</v>
      </c>
    </row>
    <row r="526" spans="1:17" x14ac:dyDescent="0.15">
      <c r="A526" t="s">
        <v>59</v>
      </c>
      <c r="B526" t="s">
        <v>93</v>
      </c>
      <c r="C526">
        <v>163</v>
      </c>
      <c r="D526" t="s">
        <v>161</v>
      </c>
      <c r="E526" s="1">
        <v>42990</v>
      </c>
      <c r="F526" t="s">
        <v>383</v>
      </c>
      <c r="G526" t="s">
        <v>1214</v>
      </c>
      <c r="H526">
        <v>-2</v>
      </c>
      <c r="I526" t="s">
        <v>39</v>
      </c>
      <c r="J526">
        <v>0</v>
      </c>
      <c r="M526" t="s">
        <v>241</v>
      </c>
      <c r="N526" t="s">
        <v>1217</v>
      </c>
    </row>
    <row r="527" spans="1:17" x14ac:dyDescent="0.15">
      <c r="A527" t="s">
        <v>59</v>
      </c>
      <c r="B527" t="s">
        <v>93</v>
      </c>
      <c r="C527">
        <v>163</v>
      </c>
      <c r="D527" t="s">
        <v>161</v>
      </c>
      <c r="E527" s="1">
        <v>42990</v>
      </c>
      <c r="F527" t="s">
        <v>383</v>
      </c>
      <c r="G527" t="s">
        <v>1214</v>
      </c>
      <c r="H527">
        <v>-2</v>
      </c>
      <c r="I527" t="s">
        <v>39</v>
      </c>
      <c r="J527">
        <v>0</v>
      </c>
      <c r="M527" t="s">
        <v>1910</v>
      </c>
      <c r="N527" t="s">
        <v>1217</v>
      </c>
      <c r="O527">
        <v>0</v>
      </c>
      <c r="P527">
        <v>0</v>
      </c>
      <c r="Q527" t="s">
        <v>381</v>
      </c>
    </row>
    <row r="528" spans="1:17" x14ac:dyDescent="0.15">
      <c r="A528" t="s">
        <v>123</v>
      </c>
      <c r="B528" t="s">
        <v>124</v>
      </c>
      <c r="C528">
        <v>163</v>
      </c>
      <c r="D528" t="s">
        <v>161</v>
      </c>
      <c r="E528" s="1">
        <v>42865</v>
      </c>
      <c r="F528" t="s">
        <v>17</v>
      </c>
      <c r="G528" t="s">
        <v>767</v>
      </c>
      <c r="H528">
        <v>300</v>
      </c>
      <c r="I528" t="s">
        <v>39</v>
      </c>
      <c r="J528">
        <v>0</v>
      </c>
      <c r="K528">
        <v>0</v>
      </c>
      <c r="L528" t="s">
        <v>375</v>
      </c>
      <c r="M528" t="s">
        <v>241</v>
      </c>
      <c r="N528" t="s">
        <v>770</v>
      </c>
    </row>
    <row r="529" spans="1:17" x14ac:dyDescent="0.15">
      <c r="A529" t="s">
        <v>123</v>
      </c>
      <c r="B529" t="s">
        <v>124</v>
      </c>
      <c r="C529">
        <v>163</v>
      </c>
      <c r="D529" t="s">
        <v>161</v>
      </c>
      <c r="E529" s="1">
        <v>42865</v>
      </c>
      <c r="F529" t="s">
        <v>17</v>
      </c>
      <c r="G529" t="s">
        <v>767</v>
      </c>
      <c r="H529">
        <v>300</v>
      </c>
      <c r="I529" t="s">
        <v>39</v>
      </c>
      <c r="J529">
        <v>0</v>
      </c>
      <c r="K529">
        <v>0</v>
      </c>
      <c r="L529" t="s">
        <v>375</v>
      </c>
      <c r="M529" t="s">
        <v>1910</v>
      </c>
      <c r="N529" t="s">
        <v>770</v>
      </c>
      <c r="O529">
        <v>0</v>
      </c>
      <c r="P529">
        <v>0</v>
      </c>
      <c r="Q529" t="s">
        <v>381</v>
      </c>
    </row>
    <row r="530" spans="1:17" x14ac:dyDescent="0.15">
      <c r="A530" t="s">
        <v>123</v>
      </c>
      <c r="B530" t="s">
        <v>124</v>
      </c>
      <c r="C530">
        <v>163</v>
      </c>
      <c r="D530" t="s">
        <v>161</v>
      </c>
      <c r="E530" s="1">
        <v>42963</v>
      </c>
      <c r="F530" t="s">
        <v>383</v>
      </c>
      <c r="G530" t="s">
        <v>1147</v>
      </c>
      <c r="H530">
        <v>-77</v>
      </c>
      <c r="I530" t="s">
        <v>39</v>
      </c>
      <c r="J530">
        <v>0</v>
      </c>
      <c r="M530" t="s">
        <v>241</v>
      </c>
      <c r="N530" t="s">
        <v>1149</v>
      </c>
    </row>
    <row r="531" spans="1:17" x14ac:dyDescent="0.15">
      <c r="A531" t="s">
        <v>123</v>
      </c>
      <c r="B531" t="s">
        <v>124</v>
      </c>
      <c r="C531">
        <v>163</v>
      </c>
      <c r="D531" t="s">
        <v>161</v>
      </c>
      <c r="E531" s="1">
        <v>42963</v>
      </c>
      <c r="F531" t="s">
        <v>383</v>
      </c>
      <c r="G531" t="s">
        <v>1147</v>
      </c>
      <c r="H531">
        <v>-77</v>
      </c>
      <c r="I531" t="s">
        <v>39</v>
      </c>
      <c r="J531">
        <v>0</v>
      </c>
      <c r="M531" t="s">
        <v>1910</v>
      </c>
      <c r="N531" t="s">
        <v>1149</v>
      </c>
      <c r="O531">
        <v>0</v>
      </c>
      <c r="P531">
        <v>0</v>
      </c>
      <c r="Q531" t="s">
        <v>381</v>
      </c>
    </row>
    <row r="532" spans="1:17" x14ac:dyDescent="0.15">
      <c r="A532" t="s">
        <v>123</v>
      </c>
      <c r="B532" t="s">
        <v>124</v>
      </c>
      <c r="C532">
        <v>163</v>
      </c>
      <c r="D532" t="s">
        <v>161</v>
      </c>
      <c r="E532" s="1">
        <v>42976</v>
      </c>
      <c r="F532" t="s">
        <v>383</v>
      </c>
      <c r="G532" t="s">
        <v>1195</v>
      </c>
      <c r="H532">
        <v>-60</v>
      </c>
      <c r="I532" t="s">
        <v>39</v>
      </c>
      <c r="J532">
        <v>0</v>
      </c>
      <c r="M532" t="s">
        <v>241</v>
      </c>
      <c r="N532" t="s">
        <v>1196</v>
      </c>
    </row>
    <row r="533" spans="1:17" x14ac:dyDescent="0.15">
      <c r="A533" t="s">
        <v>123</v>
      </c>
      <c r="B533" t="s">
        <v>124</v>
      </c>
      <c r="C533">
        <v>163</v>
      </c>
      <c r="D533" t="s">
        <v>161</v>
      </c>
      <c r="E533" s="1">
        <v>42976</v>
      </c>
      <c r="F533" t="s">
        <v>383</v>
      </c>
      <c r="G533" t="s">
        <v>1195</v>
      </c>
      <c r="H533">
        <v>-60</v>
      </c>
      <c r="I533" t="s">
        <v>39</v>
      </c>
      <c r="J533">
        <v>0</v>
      </c>
      <c r="M533" t="s">
        <v>1910</v>
      </c>
      <c r="N533" t="s">
        <v>1196</v>
      </c>
      <c r="O533">
        <v>0</v>
      </c>
      <c r="P533">
        <v>0</v>
      </c>
      <c r="Q533" t="s">
        <v>381</v>
      </c>
    </row>
    <row r="534" spans="1:17" x14ac:dyDescent="0.15">
      <c r="A534" t="s">
        <v>123</v>
      </c>
      <c r="B534" t="s">
        <v>124</v>
      </c>
      <c r="C534">
        <v>163</v>
      </c>
      <c r="D534" t="s">
        <v>161</v>
      </c>
      <c r="E534" s="1">
        <v>43054</v>
      </c>
      <c r="F534" t="s">
        <v>383</v>
      </c>
      <c r="G534" t="s">
        <v>1363</v>
      </c>
      <c r="H534">
        <v>-300</v>
      </c>
      <c r="I534" t="s">
        <v>39</v>
      </c>
      <c r="J534">
        <v>0</v>
      </c>
      <c r="M534" t="s">
        <v>241</v>
      </c>
      <c r="N534" t="s">
        <v>1364</v>
      </c>
    </row>
    <row r="535" spans="1:17" x14ac:dyDescent="0.15">
      <c r="A535" t="s">
        <v>123</v>
      </c>
      <c r="B535" t="s">
        <v>124</v>
      </c>
      <c r="C535">
        <v>163</v>
      </c>
      <c r="D535" t="s">
        <v>161</v>
      </c>
      <c r="E535" s="1">
        <v>43054</v>
      </c>
      <c r="F535" t="s">
        <v>383</v>
      </c>
      <c r="G535" t="s">
        <v>1363</v>
      </c>
      <c r="H535">
        <v>-300</v>
      </c>
      <c r="I535" t="s">
        <v>39</v>
      </c>
      <c r="J535">
        <v>0</v>
      </c>
      <c r="M535" t="s">
        <v>1910</v>
      </c>
      <c r="N535" t="s">
        <v>1364</v>
      </c>
      <c r="O535">
        <v>0</v>
      </c>
      <c r="P535">
        <v>0</v>
      </c>
      <c r="Q535" t="s">
        <v>381</v>
      </c>
    </row>
    <row r="536" spans="1:17" x14ac:dyDescent="0.15">
      <c r="A536" t="s">
        <v>123</v>
      </c>
      <c r="B536" t="s">
        <v>124</v>
      </c>
      <c r="C536">
        <v>163</v>
      </c>
      <c r="D536" t="s">
        <v>161</v>
      </c>
      <c r="E536" s="1">
        <v>43061</v>
      </c>
      <c r="F536" t="s">
        <v>17</v>
      </c>
      <c r="G536" t="s">
        <v>1654</v>
      </c>
      <c r="H536">
        <v>600</v>
      </c>
      <c r="I536" t="s">
        <v>39</v>
      </c>
      <c r="J536">
        <v>0</v>
      </c>
      <c r="K536">
        <v>0</v>
      </c>
      <c r="L536" t="s">
        <v>375</v>
      </c>
      <c r="M536" t="s">
        <v>241</v>
      </c>
      <c r="N536" t="s">
        <v>1656</v>
      </c>
    </row>
    <row r="537" spans="1:17" x14ac:dyDescent="0.15">
      <c r="A537" t="s">
        <v>123</v>
      </c>
      <c r="B537" t="s">
        <v>124</v>
      </c>
      <c r="C537">
        <v>163</v>
      </c>
      <c r="D537" t="s">
        <v>161</v>
      </c>
      <c r="E537" s="1">
        <v>43061</v>
      </c>
      <c r="F537" t="s">
        <v>17</v>
      </c>
      <c r="G537" t="s">
        <v>1654</v>
      </c>
      <c r="H537">
        <v>600</v>
      </c>
      <c r="I537" t="s">
        <v>39</v>
      </c>
      <c r="J537">
        <v>0</v>
      </c>
      <c r="K537">
        <v>0</v>
      </c>
      <c r="L537" t="s">
        <v>375</v>
      </c>
      <c r="M537" t="s">
        <v>1910</v>
      </c>
      <c r="N537" t="s">
        <v>1656</v>
      </c>
      <c r="O537">
        <v>0</v>
      </c>
      <c r="P537">
        <v>0</v>
      </c>
      <c r="Q537" t="s">
        <v>381</v>
      </c>
    </row>
    <row r="538" spans="1:17" x14ac:dyDescent="0.15">
      <c r="A538" t="s">
        <v>76</v>
      </c>
      <c r="B538" t="s">
        <v>110</v>
      </c>
      <c r="C538">
        <v>163</v>
      </c>
      <c r="D538" t="s">
        <v>161</v>
      </c>
      <c r="E538" s="1">
        <v>42843</v>
      </c>
      <c r="F538" t="s">
        <v>17</v>
      </c>
      <c r="G538" t="s">
        <v>715</v>
      </c>
      <c r="H538">
        <v>100</v>
      </c>
      <c r="I538" t="s">
        <v>39</v>
      </c>
      <c r="J538">
        <v>0</v>
      </c>
      <c r="K538">
        <v>0</v>
      </c>
      <c r="L538" t="s">
        <v>375</v>
      </c>
      <c r="M538" t="s">
        <v>241</v>
      </c>
      <c r="N538" t="s">
        <v>719</v>
      </c>
    </row>
    <row r="539" spans="1:17" x14ac:dyDescent="0.15">
      <c r="A539" t="s">
        <v>76</v>
      </c>
      <c r="B539" t="s">
        <v>110</v>
      </c>
      <c r="C539">
        <v>163</v>
      </c>
      <c r="D539" t="s">
        <v>161</v>
      </c>
      <c r="E539" s="1">
        <v>42843</v>
      </c>
      <c r="F539" t="s">
        <v>17</v>
      </c>
      <c r="G539" t="s">
        <v>715</v>
      </c>
      <c r="H539">
        <v>100</v>
      </c>
      <c r="I539" t="s">
        <v>39</v>
      </c>
      <c r="J539">
        <v>0</v>
      </c>
      <c r="K539">
        <v>0</v>
      </c>
      <c r="L539" t="s">
        <v>375</v>
      </c>
      <c r="M539" t="s">
        <v>1910</v>
      </c>
      <c r="N539" t="s">
        <v>719</v>
      </c>
      <c r="O539">
        <v>0</v>
      </c>
      <c r="P539">
        <v>0</v>
      </c>
      <c r="Q539" t="s">
        <v>381</v>
      </c>
    </row>
    <row r="540" spans="1:17" x14ac:dyDescent="0.15">
      <c r="A540" t="s">
        <v>76</v>
      </c>
      <c r="B540" t="s">
        <v>110</v>
      </c>
      <c r="C540">
        <v>163</v>
      </c>
      <c r="D540" t="s">
        <v>161</v>
      </c>
      <c r="E540" s="1">
        <v>42886</v>
      </c>
      <c r="F540" t="s">
        <v>383</v>
      </c>
      <c r="G540" t="s">
        <v>600</v>
      </c>
      <c r="H540">
        <v>-13</v>
      </c>
      <c r="I540" t="s">
        <v>39</v>
      </c>
      <c r="J540">
        <v>0</v>
      </c>
      <c r="M540" t="s">
        <v>241</v>
      </c>
      <c r="N540" t="s">
        <v>601</v>
      </c>
    </row>
    <row r="541" spans="1:17" x14ac:dyDescent="0.15">
      <c r="A541" t="s">
        <v>76</v>
      </c>
      <c r="B541" t="s">
        <v>110</v>
      </c>
      <c r="C541">
        <v>163</v>
      </c>
      <c r="D541" t="s">
        <v>161</v>
      </c>
      <c r="E541" s="1">
        <v>42886</v>
      </c>
      <c r="F541" t="s">
        <v>383</v>
      </c>
      <c r="G541" t="s">
        <v>600</v>
      </c>
      <c r="H541">
        <v>-13</v>
      </c>
      <c r="I541" t="s">
        <v>39</v>
      </c>
      <c r="J541">
        <v>0</v>
      </c>
      <c r="M541" t="s">
        <v>1910</v>
      </c>
      <c r="N541" t="s">
        <v>601</v>
      </c>
      <c r="O541">
        <v>0</v>
      </c>
      <c r="P541">
        <v>0</v>
      </c>
      <c r="Q541" t="s">
        <v>381</v>
      </c>
    </row>
    <row r="542" spans="1:17" x14ac:dyDescent="0.15">
      <c r="A542" t="s">
        <v>76</v>
      </c>
      <c r="B542" t="s">
        <v>110</v>
      </c>
      <c r="C542">
        <v>163</v>
      </c>
      <c r="D542" t="s">
        <v>161</v>
      </c>
      <c r="E542" s="1">
        <v>42934</v>
      </c>
      <c r="F542" t="s">
        <v>383</v>
      </c>
      <c r="G542" t="s">
        <v>1073</v>
      </c>
      <c r="H542">
        <v>-56</v>
      </c>
      <c r="I542" t="s">
        <v>39</v>
      </c>
      <c r="J542">
        <v>0</v>
      </c>
      <c r="M542" t="s">
        <v>241</v>
      </c>
      <c r="N542" t="s">
        <v>1075</v>
      </c>
    </row>
    <row r="543" spans="1:17" x14ac:dyDescent="0.15">
      <c r="A543" t="s">
        <v>76</v>
      </c>
      <c r="B543" t="s">
        <v>110</v>
      </c>
      <c r="C543">
        <v>163</v>
      </c>
      <c r="D543" t="s">
        <v>161</v>
      </c>
      <c r="E543" s="1">
        <v>42934</v>
      </c>
      <c r="F543" t="s">
        <v>383</v>
      </c>
      <c r="G543" t="s">
        <v>1073</v>
      </c>
      <c r="H543">
        <v>-56</v>
      </c>
      <c r="I543" t="s">
        <v>39</v>
      </c>
      <c r="J543">
        <v>0</v>
      </c>
      <c r="M543" t="s">
        <v>1910</v>
      </c>
      <c r="N543" t="s">
        <v>1075</v>
      </c>
      <c r="O543">
        <v>0</v>
      </c>
      <c r="P543">
        <v>0</v>
      </c>
      <c r="Q543" t="s">
        <v>381</v>
      </c>
    </row>
    <row r="544" spans="1:17" x14ac:dyDescent="0.15">
      <c r="A544" t="s">
        <v>76</v>
      </c>
      <c r="B544" t="s">
        <v>110</v>
      </c>
      <c r="C544">
        <v>163</v>
      </c>
      <c r="D544" t="s">
        <v>161</v>
      </c>
      <c r="E544" s="1">
        <v>42963</v>
      </c>
      <c r="F544" t="s">
        <v>383</v>
      </c>
      <c r="G544" t="s">
        <v>1151</v>
      </c>
      <c r="H544">
        <v>-17</v>
      </c>
      <c r="I544" t="s">
        <v>39</v>
      </c>
      <c r="J544">
        <v>0</v>
      </c>
      <c r="M544" t="s">
        <v>241</v>
      </c>
      <c r="N544" t="s">
        <v>1153</v>
      </c>
    </row>
    <row r="545" spans="1:17" x14ac:dyDescent="0.15">
      <c r="A545" t="s">
        <v>76</v>
      </c>
      <c r="B545" t="s">
        <v>110</v>
      </c>
      <c r="C545">
        <v>163</v>
      </c>
      <c r="D545" t="s">
        <v>161</v>
      </c>
      <c r="E545" s="1">
        <v>42963</v>
      </c>
      <c r="F545" t="s">
        <v>383</v>
      </c>
      <c r="G545" t="s">
        <v>1151</v>
      </c>
      <c r="H545">
        <v>-17</v>
      </c>
      <c r="I545" t="s">
        <v>39</v>
      </c>
      <c r="J545">
        <v>0</v>
      </c>
      <c r="M545" t="s">
        <v>1910</v>
      </c>
      <c r="N545" t="s">
        <v>1153</v>
      </c>
      <c r="O545">
        <v>0</v>
      </c>
      <c r="P545">
        <v>0</v>
      </c>
      <c r="Q545" t="s">
        <v>381</v>
      </c>
    </row>
    <row r="546" spans="1:17" x14ac:dyDescent="0.15">
      <c r="A546" t="s">
        <v>76</v>
      </c>
      <c r="B546" t="s">
        <v>110</v>
      </c>
      <c r="C546">
        <v>163</v>
      </c>
      <c r="D546" t="s">
        <v>161</v>
      </c>
      <c r="E546" s="1">
        <v>43047</v>
      </c>
      <c r="F546" t="s">
        <v>383</v>
      </c>
      <c r="G546" t="s">
        <v>1341</v>
      </c>
      <c r="H546">
        <v>-13</v>
      </c>
      <c r="I546" t="s">
        <v>39</v>
      </c>
      <c r="J546">
        <v>0</v>
      </c>
      <c r="M546" t="s">
        <v>241</v>
      </c>
      <c r="N546" t="s">
        <v>1342</v>
      </c>
    </row>
    <row r="547" spans="1:17" x14ac:dyDescent="0.15">
      <c r="A547" t="s">
        <v>76</v>
      </c>
      <c r="B547" t="s">
        <v>110</v>
      </c>
      <c r="C547">
        <v>163</v>
      </c>
      <c r="D547" t="s">
        <v>161</v>
      </c>
      <c r="E547" s="1">
        <v>43047</v>
      </c>
      <c r="F547" t="s">
        <v>383</v>
      </c>
      <c r="G547" t="s">
        <v>1341</v>
      </c>
      <c r="H547">
        <v>-13</v>
      </c>
      <c r="I547" t="s">
        <v>39</v>
      </c>
      <c r="J547">
        <v>0</v>
      </c>
      <c r="M547" t="s">
        <v>1910</v>
      </c>
      <c r="N547" t="s">
        <v>1342</v>
      </c>
      <c r="O547">
        <v>0</v>
      </c>
      <c r="P547">
        <v>0</v>
      </c>
      <c r="Q547" t="s">
        <v>381</v>
      </c>
    </row>
    <row r="548" spans="1:17" x14ac:dyDescent="0.15">
      <c r="A548" t="s">
        <v>76</v>
      </c>
      <c r="B548" t="s">
        <v>110</v>
      </c>
      <c r="C548">
        <v>163</v>
      </c>
      <c r="D548" t="s">
        <v>161</v>
      </c>
      <c r="E548" s="1">
        <v>43056</v>
      </c>
      <c r="F548" t="s">
        <v>383</v>
      </c>
      <c r="G548" t="s">
        <v>1367</v>
      </c>
      <c r="H548">
        <v>-100</v>
      </c>
      <c r="I548" t="s">
        <v>39</v>
      </c>
      <c r="J548">
        <v>0</v>
      </c>
      <c r="M548" t="s">
        <v>241</v>
      </c>
      <c r="N548" t="s">
        <v>1369</v>
      </c>
    </row>
    <row r="549" spans="1:17" x14ac:dyDescent="0.15">
      <c r="A549" t="s">
        <v>76</v>
      </c>
      <c r="B549" t="s">
        <v>110</v>
      </c>
      <c r="C549">
        <v>163</v>
      </c>
      <c r="D549" t="s">
        <v>161</v>
      </c>
      <c r="E549" s="1">
        <v>43056</v>
      </c>
      <c r="F549" t="s">
        <v>383</v>
      </c>
      <c r="G549" t="s">
        <v>1367</v>
      </c>
      <c r="H549">
        <v>-100</v>
      </c>
      <c r="I549" t="s">
        <v>39</v>
      </c>
      <c r="J549">
        <v>0</v>
      </c>
      <c r="M549" t="s">
        <v>1910</v>
      </c>
      <c r="N549" t="s">
        <v>1369</v>
      </c>
      <c r="O549">
        <v>0</v>
      </c>
      <c r="P549">
        <v>0</v>
      </c>
      <c r="Q549" t="s">
        <v>381</v>
      </c>
    </row>
    <row r="550" spans="1:17" x14ac:dyDescent="0.15">
      <c r="A550" t="s">
        <v>76</v>
      </c>
      <c r="B550" t="s">
        <v>110</v>
      </c>
      <c r="C550">
        <v>163</v>
      </c>
      <c r="D550" t="s">
        <v>161</v>
      </c>
      <c r="E550" s="1">
        <v>43060</v>
      </c>
      <c r="F550" t="s">
        <v>383</v>
      </c>
      <c r="G550" t="s">
        <v>1393</v>
      </c>
      <c r="H550">
        <v>56</v>
      </c>
      <c r="I550" t="s">
        <v>39</v>
      </c>
      <c r="J550">
        <v>0</v>
      </c>
      <c r="M550" t="s">
        <v>241</v>
      </c>
      <c r="N550" t="s">
        <v>1394</v>
      </c>
    </row>
    <row r="551" spans="1:17" x14ac:dyDescent="0.15">
      <c r="A551" t="s">
        <v>76</v>
      </c>
      <c r="B551" t="s">
        <v>110</v>
      </c>
      <c r="C551">
        <v>163</v>
      </c>
      <c r="D551" t="s">
        <v>161</v>
      </c>
      <c r="E551" s="1">
        <v>43060</v>
      </c>
      <c r="F551" t="s">
        <v>383</v>
      </c>
      <c r="G551" t="s">
        <v>1393</v>
      </c>
      <c r="H551">
        <v>56</v>
      </c>
      <c r="I551" t="s">
        <v>39</v>
      </c>
      <c r="J551">
        <v>0</v>
      </c>
      <c r="M551" t="s">
        <v>1910</v>
      </c>
      <c r="N551" t="s">
        <v>1394</v>
      </c>
      <c r="O551">
        <v>0</v>
      </c>
      <c r="P551">
        <v>0</v>
      </c>
      <c r="Q551" t="s">
        <v>381</v>
      </c>
    </row>
    <row r="552" spans="1:17" x14ac:dyDescent="0.15">
      <c r="A552" t="s">
        <v>76</v>
      </c>
      <c r="B552" t="s">
        <v>110</v>
      </c>
      <c r="C552">
        <v>163</v>
      </c>
      <c r="D552" t="s">
        <v>161</v>
      </c>
      <c r="E552" s="1">
        <v>43061</v>
      </c>
      <c r="F552" t="s">
        <v>17</v>
      </c>
      <c r="G552" t="s">
        <v>1654</v>
      </c>
      <c r="H552">
        <v>350</v>
      </c>
      <c r="I552" t="s">
        <v>39</v>
      </c>
      <c r="J552">
        <v>0</v>
      </c>
      <c r="K552">
        <v>0</v>
      </c>
      <c r="L552" t="s">
        <v>375</v>
      </c>
      <c r="M552" t="s">
        <v>241</v>
      </c>
      <c r="N552" t="s">
        <v>1657</v>
      </c>
    </row>
    <row r="553" spans="1:17" x14ac:dyDescent="0.15">
      <c r="A553" t="s">
        <v>76</v>
      </c>
      <c r="B553" t="s">
        <v>110</v>
      </c>
      <c r="C553">
        <v>163</v>
      </c>
      <c r="D553" t="s">
        <v>161</v>
      </c>
      <c r="E553" s="1">
        <v>43061</v>
      </c>
      <c r="F553" t="s">
        <v>17</v>
      </c>
      <c r="G553" t="s">
        <v>1654</v>
      </c>
      <c r="H553">
        <v>350</v>
      </c>
      <c r="I553" t="s">
        <v>39</v>
      </c>
      <c r="J553">
        <v>0</v>
      </c>
      <c r="K553">
        <v>0</v>
      </c>
      <c r="L553" t="s">
        <v>375</v>
      </c>
      <c r="M553" t="s">
        <v>1910</v>
      </c>
      <c r="N553" t="s">
        <v>1657</v>
      </c>
      <c r="O553">
        <v>0</v>
      </c>
      <c r="P553">
        <v>0</v>
      </c>
      <c r="Q553" t="s">
        <v>381</v>
      </c>
    </row>
    <row r="554" spans="1:17" x14ac:dyDescent="0.15">
      <c r="A554" t="s">
        <v>76</v>
      </c>
      <c r="B554" t="s">
        <v>110</v>
      </c>
      <c r="C554">
        <v>163</v>
      </c>
      <c r="D554" t="s">
        <v>161</v>
      </c>
      <c r="E554" s="1">
        <v>43088</v>
      </c>
      <c r="F554" t="s">
        <v>383</v>
      </c>
      <c r="G554" t="s">
        <v>1479</v>
      </c>
      <c r="H554">
        <v>-40</v>
      </c>
      <c r="I554" t="s">
        <v>39</v>
      </c>
      <c r="J554">
        <v>0</v>
      </c>
      <c r="M554" t="s">
        <v>241</v>
      </c>
      <c r="N554" t="s">
        <v>1480</v>
      </c>
    </row>
    <row r="555" spans="1:17" x14ac:dyDescent="0.15">
      <c r="A555" t="s">
        <v>76</v>
      </c>
      <c r="B555" t="s">
        <v>110</v>
      </c>
      <c r="C555">
        <v>163</v>
      </c>
      <c r="D555" t="s">
        <v>161</v>
      </c>
      <c r="E555" s="1">
        <v>43088</v>
      </c>
      <c r="F555" t="s">
        <v>383</v>
      </c>
      <c r="G555" t="s">
        <v>1479</v>
      </c>
      <c r="H555">
        <v>-40</v>
      </c>
      <c r="I555" t="s">
        <v>39</v>
      </c>
      <c r="J555">
        <v>0</v>
      </c>
      <c r="M555" t="s">
        <v>1910</v>
      </c>
      <c r="N555" t="s">
        <v>1480</v>
      </c>
      <c r="O555">
        <v>0</v>
      </c>
      <c r="P555">
        <v>0</v>
      </c>
      <c r="Q555" t="s">
        <v>381</v>
      </c>
    </row>
    <row r="556" spans="1:17" x14ac:dyDescent="0.15">
      <c r="A556" t="s">
        <v>76</v>
      </c>
      <c r="B556" t="s">
        <v>110</v>
      </c>
      <c r="C556">
        <v>163</v>
      </c>
      <c r="D556" t="s">
        <v>161</v>
      </c>
      <c r="E556" s="1">
        <v>43088</v>
      </c>
      <c r="F556" t="s">
        <v>383</v>
      </c>
      <c r="G556" t="s">
        <v>1484</v>
      </c>
      <c r="H556">
        <v>0</v>
      </c>
      <c r="I556" t="s">
        <v>39</v>
      </c>
      <c r="J556">
        <v>0</v>
      </c>
      <c r="M556" t="s">
        <v>241</v>
      </c>
      <c r="N556" t="s">
        <v>1486</v>
      </c>
    </row>
    <row r="557" spans="1:17" x14ac:dyDescent="0.15">
      <c r="A557" t="s">
        <v>76</v>
      </c>
      <c r="B557" t="s">
        <v>110</v>
      </c>
      <c r="C557">
        <v>163</v>
      </c>
      <c r="D557" t="s">
        <v>161</v>
      </c>
      <c r="E557" s="1">
        <v>43088</v>
      </c>
      <c r="F557" t="s">
        <v>383</v>
      </c>
      <c r="G557" t="s">
        <v>1484</v>
      </c>
      <c r="H557">
        <v>0</v>
      </c>
      <c r="I557" t="s">
        <v>39</v>
      </c>
      <c r="J557">
        <v>0</v>
      </c>
      <c r="M557" t="s">
        <v>1910</v>
      </c>
      <c r="N557" t="s">
        <v>1486</v>
      </c>
      <c r="O557">
        <v>0</v>
      </c>
      <c r="P557">
        <v>0</v>
      </c>
      <c r="Q557" t="s">
        <v>381</v>
      </c>
    </row>
    <row r="558" spans="1:17" x14ac:dyDescent="0.15">
      <c r="A558" t="s">
        <v>76</v>
      </c>
      <c r="B558" t="s">
        <v>110</v>
      </c>
      <c r="C558">
        <v>163</v>
      </c>
      <c r="D558" t="s">
        <v>161</v>
      </c>
      <c r="E558" s="1">
        <v>43089</v>
      </c>
      <c r="F558" t="s">
        <v>383</v>
      </c>
      <c r="G558" t="s">
        <v>1484</v>
      </c>
      <c r="H558">
        <v>-7</v>
      </c>
      <c r="I558" t="s">
        <v>39</v>
      </c>
      <c r="J558">
        <v>0</v>
      </c>
      <c r="M558" t="s">
        <v>241</v>
      </c>
      <c r="N558" t="s">
        <v>1486</v>
      </c>
    </row>
    <row r="559" spans="1:17" x14ac:dyDescent="0.15">
      <c r="A559" t="s">
        <v>76</v>
      </c>
      <c r="B559" t="s">
        <v>110</v>
      </c>
      <c r="C559">
        <v>163</v>
      </c>
      <c r="D559" t="s">
        <v>161</v>
      </c>
      <c r="E559" s="1">
        <v>43089</v>
      </c>
      <c r="F559" t="s">
        <v>383</v>
      </c>
      <c r="G559" t="s">
        <v>1484</v>
      </c>
      <c r="H559">
        <v>-7</v>
      </c>
      <c r="I559" t="s">
        <v>39</v>
      </c>
      <c r="J559">
        <v>0</v>
      </c>
      <c r="M559" t="s">
        <v>1910</v>
      </c>
      <c r="N559" t="s">
        <v>1486</v>
      </c>
      <c r="O559">
        <v>0</v>
      </c>
      <c r="P559">
        <v>0</v>
      </c>
      <c r="Q559" t="s">
        <v>381</v>
      </c>
    </row>
    <row r="560" spans="1:17" x14ac:dyDescent="0.15">
      <c r="A560" t="s">
        <v>24</v>
      </c>
      <c r="B560" t="s">
        <v>34</v>
      </c>
      <c r="C560">
        <v>163</v>
      </c>
      <c r="D560" t="s">
        <v>161</v>
      </c>
      <c r="E560" s="1">
        <v>42843</v>
      </c>
      <c r="F560" t="s">
        <v>17</v>
      </c>
      <c r="G560" t="s">
        <v>715</v>
      </c>
      <c r="H560">
        <v>600</v>
      </c>
      <c r="I560" t="s">
        <v>39</v>
      </c>
      <c r="J560">
        <v>0</v>
      </c>
      <c r="K560">
        <v>0</v>
      </c>
      <c r="L560" t="s">
        <v>375</v>
      </c>
      <c r="M560" t="s">
        <v>241</v>
      </c>
      <c r="N560" t="s">
        <v>720</v>
      </c>
    </row>
    <row r="561" spans="1:17" x14ac:dyDescent="0.15">
      <c r="A561" t="s">
        <v>24</v>
      </c>
      <c r="B561" t="s">
        <v>34</v>
      </c>
      <c r="C561">
        <v>163</v>
      </c>
      <c r="D561" t="s">
        <v>161</v>
      </c>
      <c r="E561" s="1">
        <v>42843</v>
      </c>
      <c r="F561" t="s">
        <v>17</v>
      </c>
      <c r="G561" t="s">
        <v>715</v>
      </c>
      <c r="H561">
        <v>600</v>
      </c>
      <c r="I561" t="s">
        <v>39</v>
      </c>
      <c r="J561">
        <v>0</v>
      </c>
      <c r="K561">
        <v>0</v>
      </c>
      <c r="L561" t="s">
        <v>375</v>
      </c>
      <c r="M561" t="s">
        <v>1910</v>
      </c>
      <c r="N561" t="s">
        <v>720</v>
      </c>
      <c r="O561">
        <v>0</v>
      </c>
      <c r="P561">
        <v>0</v>
      </c>
      <c r="Q561" t="s">
        <v>381</v>
      </c>
    </row>
    <row r="562" spans="1:17" x14ac:dyDescent="0.15">
      <c r="A562" t="s">
        <v>24</v>
      </c>
      <c r="B562" t="s">
        <v>34</v>
      </c>
      <c r="C562">
        <v>163</v>
      </c>
      <c r="D562" t="s">
        <v>161</v>
      </c>
      <c r="E562" s="1">
        <v>42978</v>
      </c>
      <c r="F562" t="s">
        <v>383</v>
      </c>
      <c r="G562" t="s">
        <v>1171</v>
      </c>
      <c r="H562">
        <v>-84.4</v>
      </c>
      <c r="I562" t="s">
        <v>39</v>
      </c>
      <c r="J562">
        <v>0</v>
      </c>
      <c r="M562" t="s">
        <v>241</v>
      </c>
      <c r="N562" t="s">
        <v>1175</v>
      </c>
    </row>
    <row r="563" spans="1:17" x14ac:dyDescent="0.15">
      <c r="A563" t="s">
        <v>24</v>
      </c>
      <c r="B563" t="s">
        <v>34</v>
      </c>
      <c r="C563">
        <v>163</v>
      </c>
      <c r="D563" t="s">
        <v>161</v>
      </c>
      <c r="E563" s="1">
        <v>42978</v>
      </c>
      <c r="F563" t="s">
        <v>383</v>
      </c>
      <c r="G563" t="s">
        <v>1171</v>
      </c>
      <c r="H563">
        <v>-84.4</v>
      </c>
      <c r="I563" t="s">
        <v>39</v>
      </c>
      <c r="J563">
        <v>0</v>
      </c>
      <c r="M563" t="s">
        <v>1910</v>
      </c>
      <c r="N563" t="s">
        <v>1175</v>
      </c>
      <c r="O563">
        <v>0</v>
      </c>
      <c r="P563">
        <v>0</v>
      </c>
      <c r="Q563" t="s">
        <v>381</v>
      </c>
    </row>
    <row r="564" spans="1:17" x14ac:dyDescent="0.15">
      <c r="A564" t="s">
        <v>24</v>
      </c>
      <c r="B564" t="s">
        <v>34</v>
      </c>
      <c r="C564">
        <v>163</v>
      </c>
      <c r="D564" t="s">
        <v>161</v>
      </c>
      <c r="E564" s="1">
        <v>43083</v>
      </c>
      <c r="F564" t="s">
        <v>383</v>
      </c>
      <c r="G564" t="s">
        <v>1458</v>
      </c>
      <c r="H564">
        <v>-178.4</v>
      </c>
      <c r="I564" t="s">
        <v>39</v>
      </c>
      <c r="J564">
        <v>0</v>
      </c>
      <c r="M564" t="s">
        <v>241</v>
      </c>
      <c r="N564" t="s">
        <v>1459</v>
      </c>
    </row>
    <row r="565" spans="1:17" x14ac:dyDescent="0.15">
      <c r="A565" t="s">
        <v>24</v>
      </c>
      <c r="B565" t="s">
        <v>34</v>
      </c>
      <c r="C565">
        <v>163</v>
      </c>
      <c r="D565" t="s">
        <v>161</v>
      </c>
      <c r="E565" s="1">
        <v>43083</v>
      </c>
      <c r="F565" t="s">
        <v>383</v>
      </c>
      <c r="G565" t="s">
        <v>1458</v>
      </c>
      <c r="H565">
        <v>-178.4</v>
      </c>
      <c r="I565" t="s">
        <v>39</v>
      </c>
      <c r="J565">
        <v>0</v>
      </c>
      <c r="M565" t="s">
        <v>1910</v>
      </c>
      <c r="N565" t="s">
        <v>1459</v>
      </c>
      <c r="O565">
        <v>0</v>
      </c>
      <c r="P565">
        <v>0</v>
      </c>
      <c r="Q565" t="s">
        <v>381</v>
      </c>
    </row>
    <row r="566" spans="1:17" x14ac:dyDescent="0.15">
      <c r="A566" t="s">
        <v>24</v>
      </c>
      <c r="B566" t="s">
        <v>34</v>
      </c>
      <c r="C566">
        <v>163</v>
      </c>
      <c r="D566" t="s">
        <v>161</v>
      </c>
      <c r="E566" s="1">
        <v>43089</v>
      </c>
      <c r="F566" t="s">
        <v>21</v>
      </c>
      <c r="G566" t="s">
        <v>1894</v>
      </c>
      <c r="H566">
        <v>-1</v>
      </c>
      <c r="I566" t="s">
        <v>39</v>
      </c>
      <c r="J566">
        <v>0</v>
      </c>
      <c r="M566" t="s">
        <v>241</v>
      </c>
      <c r="N566" t="s">
        <v>1896</v>
      </c>
    </row>
    <row r="567" spans="1:17" x14ac:dyDescent="0.15">
      <c r="A567" t="s">
        <v>24</v>
      </c>
      <c r="B567" t="s">
        <v>34</v>
      </c>
      <c r="C567">
        <v>163</v>
      </c>
      <c r="D567" t="s">
        <v>161</v>
      </c>
      <c r="E567" s="1">
        <v>43089</v>
      </c>
      <c r="F567" t="s">
        <v>21</v>
      </c>
      <c r="G567" t="s">
        <v>1894</v>
      </c>
      <c r="H567">
        <v>-1</v>
      </c>
      <c r="I567" t="s">
        <v>39</v>
      </c>
      <c r="J567">
        <v>0</v>
      </c>
      <c r="M567" t="s">
        <v>1910</v>
      </c>
      <c r="N567" t="s">
        <v>1896</v>
      </c>
      <c r="O567">
        <v>0</v>
      </c>
      <c r="P567">
        <v>0</v>
      </c>
      <c r="Q567" t="s">
        <v>381</v>
      </c>
    </row>
    <row r="568" spans="1:17" x14ac:dyDescent="0.15">
      <c r="A568" t="s">
        <v>77</v>
      </c>
      <c r="B568" t="s">
        <v>287</v>
      </c>
      <c r="C568">
        <v>163</v>
      </c>
      <c r="D568" t="s">
        <v>161</v>
      </c>
      <c r="E568" s="1">
        <v>42934</v>
      </c>
      <c r="F568" t="s">
        <v>383</v>
      </c>
      <c r="G568" t="s">
        <v>1046</v>
      </c>
      <c r="H568">
        <v>-417</v>
      </c>
      <c r="I568" t="s">
        <v>39</v>
      </c>
      <c r="J568">
        <v>0</v>
      </c>
      <c r="M568" t="s">
        <v>241</v>
      </c>
      <c r="N568" t="s">
        <v>1048</v>
      </c>
    </row>
    <row r="569" spans="1:17" x14ac:dyDescent="0.15">
      <c r="A569" t="s">
        <v>77</v>
      </c>
      <c r="B569" t="s">
        <v>287</v>
      </c>
      <c r="C569">
        <v>163</v>
      </c>
      <c r="D569" t="s">
        <v>161</v>
      </c>
      <c r="E569" s="1">
        <v>42934</v>
      </c>
      <c r="F569" t="s">
        <v>383</v>
      </c>
      <c r="G569" t="s">
        <v>1046</v>
      </c>
      <c r="H569">
        <v>-417</v>
      </c>
      <c r="I569" t="s">
        <v>39</v>
      </c>
      <c r="J569">
        <v>0</v>
      </c>
      <c r="M569" t="s">
        <v>1910</v>
      </c>
      <c r="N569" t="s">
        <v>1048</v>
      </c>
      <c r="O569">
        <v>0</v>
      </c>
      <c r="P569">
        <v>0</v>
      </c>
      <c r="Q569" t="s">
        <v>381</v>
      </c>
    </row>
    <row r="570" spans="1:17" x14ac:dyDescent="0.15">
      <c r="A570" t="s">
        <v>77</v>
      </c>
      <c r="B570" t="s">
        <v>287</v>
      </c>
      <c r="C570">
        <v>163</v>
      </c>
      <c r="D570" t="s">
        <v>161</v>
      </c>
      <c r="E570" s="1">
        <v>42935</v>
      </c>
      <c r="F570" t="s">
        <v>383</v>
      </c>
      <c r="G570" t="s">
        <v>1082</v>
      </c>
      <c r="H570">
        <v>-17</v>
      </c>
      <c r="I570" t="s">
        <v>39</v>
      </c>
      <c r="J570">
        <v>0</v>
      </c>
      <c r="M570" t="s">
        <v>241</v>
      </c>
      <c r="N570" t="s">
        <v>1083</v>
      </c>
    </row>
    <row r="571" spans="1:17" x14ac:dyDescent="0.15">
      <c r="A571" t="s">
        <v>77</v>
      </c>
      <c r="B571" t="s">
        <v>287</v>
      </c>
      <c r="C571">
        <v>163</v>
      </c>
      <c r="D571" t="s">
        <v>161</v>
      </c>
      <c r="E571" s="1">
        <v>42935</v>
      </c>
      <c r="F571" t="s">
        <v>383</v>
      </c>
      <c r="G571" t="s">
        <v>1082</v>
      </c>
      <c r="H571">
        <v>-17</v>
      </c>
      <c r="I571" t="s">
        <v>39</v>
      </c>
      <c r="J571">
        <v>0</v>
      </c>
      <c r="M571" t="s">
        <v>1910</v>
      </c>
      <c r="N571" t="s">
        <v>1083</v>
      </c>
      <c r="O571">
        <v>0</v>
      </c>
      <c r="P571">
        <v>0</v>
      </c>
      <c r="Q571" t="s">
        <v>381</v>
      </c>
    </row>
    <row r="572" spans="1:17" x14ac:dyDescent="0.15">
      <c r="A572" t="s">
        <v>77</v>
      </c>
      <c r="B572" t="s">
        <v>287</v>
      </c>
      <c r="C572">
        <v>163</v>
      </c>
      <c r="D572" t="s">
        <v>161</v>
      </c>
      <c r="E572" s="1">
        <v>42978</v>
      </c>
      <c r="F572" t="s">
        <v>17</v>
      </c>
      <c r="G572" t="s">
        <v>1561</v>
      </c>
      <c r="H572">
        <v>300</v>
      </c>
      <c r="I572" t="s">
        <v>39</v>
      </c>
      <c r="J572">
        <v>0</v>
      </c>
      <c r="K572">
        <v>0</v>
      </c>
      <c r="L572" t="s">
        <v>375</v>
      </c>
      <c r="M572" t="s">
        <v>241</v>
      </c>
      <c r="N572" t="s">
        <v>1564</v>
      </c>
    </row>
    <row r="573" spans="1:17" x14ac:dyDescent="0.15">
      <c r="A573" t="s">
        <v>77</v>
      </c>
      <c r="B573" t="s">
        <v>287</v>
      </c>
      <c r="C573">
        <v>163</v>
      </c>
      <c r="D573" t="s">
        <v>161</v>
      </c>
      <c r="E573" s="1">
        <v>42978</v>
      </c>
      <c r="F573" t="s">
        <v>17</v>
      </c>
      <c r="G573" t="s">
        <v>1561</v>
      </c>
      <c r="H573">
        <v>300</v>
      </c>
      <c r="I573" t="s">
        <v>39</v>
      </c>
      <c r="J573">
        <v>0</v>
      </c>
      <c r="K573">
        <v>0</v>
      </c>
      <c r="L573" t="s">
        <v>375</v>
      </c>
      <c r="M573" t="s">
        <v>1910</v>
      </c>
      <c r="N573" t="s">
        <v>1564</v>
      </c>
      <c r="O573">
        <v>0</v>
      </c>
      <c r="P573">
        <v>0</v>
      </c>
      <c r="Q573" t="s">
        <v>381</v>
      </c>
    </row>
    <row r="574" spans="1:17" x14ac:dyDescent="0.15">
      <c r="A574" t="s">
        <v>77</v>
      </c>
      <c r="B574" t="s">
        <v>287</v>
      </c>
      <c r="C574">
        <v>163</v>
      </c>
      <c r="D574" t="s">
        <v>161</v>
      </c>
      <c r="E574" s="1">
        <v>43000</v>
      </c>
      <c r="F574" t="s">
        <v>383</v>
      </c>
      <c r="G574" t="s">
        <v>1250</v>
      </c>
      <c r="H574">
        <v>-70</v>
      </c>
      <c r="I574" t="s">
        <v>39</v>
      </c>
      <c r="J574">
        <v>0</v>
      </c>
      <c r="M574" t="s">
        <v>241</v>
      </c>
      <c r="N574" t="s">
        <v>1251</v>
      </c>
    </row>
    <row r="575" spans="1:17" x14ac:dyDescent="0.15">
      <c r="A575" t="s">
        <v>77</v>
      </c>
      <c r="B575" t="s">
        <v>287</v>
      </c>
      <c r="C575">
        <v>163</v>
      </c>
      <c r="D575" t="s">
        <v>161</v>
      </c>
      <c r="E575" s="1">
        <v>43000</v>
      </c>
      <c r="F575" t="s">
        <v>383</v>
      </c>
      <c r="G575" t="s">
        <v>1250</v>
      </c>
      <c r="H575">
        <v>-70</v>
      </c>
      <c r="I575" t="s">
        <v>39</v>
      </c>
      <c r="J575">
        <v>0</v>
      </c>
      <c r="M575" t="s">
        <v>1910</v>
      </c>
      <c r="N575" t="s">
        <v>1251</v>
      </c>
      <c r="O575">
        <v>0</v>
      </c>
      <c r="P575">
        <v>0</v>
      </c>
      <c r="Q575" t="s">
        <v>381</v>
      </c>
    </row>
    <row r="576" spans="1:17" x14ac:dyDescent="0.15">
      <c r="A576" t="s">
        <v>77</v>
      </c>
      <c r="B576" t="s">
        <v>287</v>
      </c>
      <c r="C576">
        <v>163</v>
      </c>
      <c r="D576" t="s">
        <v>161</v>
      </c>
      <c r="E576" s="1">
        <v>43038</v>
      </c>
      <c r="F576" t="s">
        <v>383</v>
      </c>
      <c r="G576" t="s">
        <v>1312</v>
      </c>
      <c r="H576">
        <v>-14</v>
      </c>
      <c r="I576" t="s">
        <v>39</v>
      </c>
      <c r="J576">
        <v>0</v>
      </c>
      <c r="M576" t="s">
        <v>241</v>
      </c>
      <c r="N576" t="s">
        <v>1313</v>
      </c>
    </row>
    <row r="577" spans="1:17" x14ac:dyDescent="0.15">
      <c r="A577" t="s">
        <v>77</v>
      </c>
      <c r="B577" t="s">
        <v>287</v>
      </c>
      <c r="C577">
        <v>163</v>
      </c>
      <c r="D577" t="s">
        <v>161</v>
      </c>
      <c r="E577" s="1">
        <v>43038</v>
      </c>
      <c r="F577" t="s">
        <v>383</v>
      </c>
      <c r="G577" t="s">
        <v>1312</v>
      </c>
      <c r="H577">
        <v>-14</v>
      </c>
      <c r="I577" t="s">
        <v>39</v>
      </c>
      <c r="J577">
        <v>0</v>
      </c>
      <c r="M577" t="s">
        <v>1910</v>
      </c>
      <c r="N577" t="s">
        <v>1313</v>
      </c>
      <c r="O577">
        <v>0</v>
      </c>
      <c r="P577">
        <v>0</v>
      </c>
      <c r="Q577" t="s">
        <v>381</v>
      </c>
    </row>
    <row r="578" spans="1:17" x14ac:dyDescent="0.15">
      <c r="A578" t="s">
        <v>77</v>
      </c>
      <c r="B578" t="s">
        <v>287</v>
      </c>
      <c r="C578">
        <v>163</v>
      </c>
      <c r="D578" t="s">
        <v>161</v>
      </c>
      <c r="E578" s="1">
        <v>43039</v>
      </c>
      <c r="F578" t="s">
        <v>383</v>
      </c>
      <c r="G578" t="s">
        <v>1326</v>
      </c>
      <c r="H578">
        <v>-14</v>
      </c>
      <c r="I578" t="s">
        <v>39</v>
      </c>
      <c r="J578">
        <v>0</v>
      </c>
      <c r="M578" t="s">
        <v>241</v>
      </c>
      <c r="N578" t="s">
        <v>1328</v>
      </c>
    </row>
    <row r="579" spans="1:17" x14ac:dyDescent="0.15">
      <c r="A579" t="s">
        <v>77</v>
      </c>
      <c r="B579" t="s">
        <v>287</v>
      </c>
      <c r="C579">
        <v>163</v>
      </c>
      <c r="D579" t="s">
        <v>161</v>
      </c>
      <c r="E579" s="1">
        <v>43039</v>
      </c>
      <c r="F579" t="s">
        <v>383</v>
      </c>
      <c r="G579" t="s">
        <v>1326</v>
      </c>
      <c r="H579">
        <v>-14</v>
      </c>
      <c r="I579" t="s">
        <v>39</v>
      </c>
      <c r="J579">
        <v>0</v>
      </c>
      <c r="M579" t="s">
        <v>1910</v>
      </c>
      <c r="N579" t="s">
        <v>1328</v>
      </c>
      <c r="O579">
        <v>0</v>
      </c>
      <c r="P579">
        <v>0</v>
      </c>
      <c r="Q579" t="s">
        <v>381</v>
      </c>
    </row>
    <row r="580" spans="1:17" x14ac:dyDescent="0.15">
      <c r="A580" t="s">
        <v>77</v>
      </c>
      <c r="B580" t="s">
        <v>287</v>
      </c>
      <c r="C580">
        <v>163</v>
      </c>
      <c r="D580" t="s">
        <v>161</v>
      </c>
      <c r="E580" s="1">
        <v>43056</v>
      </c>
      <c r="F580" t="s">
        <v>383</v>
      </c>
      <c r="G580" t="s">
        <v>1376</v>
      </c>
      <c r="H580">
        <v>-100</v>
      </c>
      <c r="I580" t="s">
        <v>39</v>
      </c>
      <c r="J580">
        <v>0</v>
      </c>
      <c r="M580" t="s">
        <v>241</v>
      </c>
      <c r="N580" t="s">
        <v>1377</v>
      </c>
    </row>
    <row r="581" spans="1:17" x14ac:dyDescent="0.15">
      <c r="A581" t="s">
        <v>77</v>
      </c>
      <c r="B581" t="s">
        <v>287</v>
      </c>
      <c r="C581">
        <v>163</v>
      </c>
      <c r="D581" t="s">
        <v>161</v>
      </c>
      <c r="E581" s="1">
        <v>43056</v>
      </c>
      <c r="F581" t="s">
        <v>383</v>
      </c>
      <c r="G581" t="s">
        <v>1376</v>
      </c>
      <c r="H581">
        <v>-100</v>
      </c>
      <c r="I581" t="s">
        <v>39</v>
      </c>
      <c r="J581">
        <v>0</v>
      </c>
      <c r="M581" t="s">
        <v>1910</v>
      </c>
      <c r="N581" t="s">
        <v>1377</v>
      </c>
      <c r="O581">
        <v>0</v>
      </c>
      <c r="P581">
        <v>0</v>
      </c>
      <c r="Q581" t="s">
        <v>381</v>
      </c>
    </row>
    <row r="582" spans="1:17" x14ac:dyDescent="0.15">
      <c r="A582" t="s">
        <v>78</v>
      </c>
      <c r="B582" t="s">
        <v>203</v>
      </c>
      <c r="C582">
        <v>163</v>
      </c>
      <c r="D582" t="s">
        <v>161</v>
      </c>
      <c r="E582" s="1">
        <v>42885</v>
      </c>
      <c r="F582" t="s">
        <v>383</v>
      </c>
      <c r="G582" t="s">
        <v>578</v>
      </c>
      <c r="H582">
        <v>-150</v>
      </c>
      <c r="I582" t="s">
        <v>39</v>
      </c>
      <c r="J582">
        <v>0</v>
      </c>
      <c r="M582" t="s">
        <v>241</v>
      </c>
      <c r="N582" t="s">
        <v>580</v>
      </c>
    </row>
    <row r="583" spans="1:17" x14ac:dyDescent="0.15">
      <c r="A583" t="s">
        <v>78</v>
      </c>
      <c r="B583" t="s">
        <v>203</v>
      </c>
      <c r="C583">
        <v>163</v>
      </c>
      <c r="D583" t="s">
        <v>161</v>
      </c>
      <c r="E583" s="1">
        <v>42885</v>
      </c>
      <c r="F583" t="s">
        <v>383</v>
      </c>
      <c r="G583" t="s">
        <v>578</v>
      </c>
      <c r="H583">
        <v>-150</v>
      </c>
      <c r="I583" t="s">
        <v>39</v>
      </c>
      <c r="J583">
        <v>0</v>
      </c>
      <c r="M583" t="s">
        <v>1910</v>
      </c>
      <c r="N583" t="s">
        <v>580</v>
      </c>
      <c r="O583">
        <v>0</v>
      </c>
      <c r="P583">
        <v>0</v>
      </c>
      <c r="Q583" t="s">
        <v>381</v>
      </c>
    </row>
    <row r="584" spans="1:17" x14ac:dyDescent="0.15">
      <c r="A584" t="s">
        <v>78</v>
      </c>
      <c r="B584" t="s">
        <v>203</v>
      </c>
      <c r="C584">
        <v>163</v>
      </c>
      <c r="D584" t="s">
        <v>161</v>
      </c>
      <c r="E584" s="1">
        <v>42922</v>
      </c>
      <c r="F584" t="s">
        <v>383</v>
      </c>
      <c r="G584" t="s">
        <v>1036</v>
      </c>
      <c r="H584">
        <v>-7.5</v>
      </c>
      <c r="I584" t="s">
        <v>39</v>
      </c>
      <c r="J584">
        <v>0</v>
      </c>
      <c r="M584" t="s">
        <v>241</v>
      </c>
      <c r="N584" t="s">
        <v>1037</v>
      </c>
    </row>
    <row r="585" spans="1:17" x14ac:dyDescent="0.15">
      <c r="A585" t="s">
        <v>78</v>
      </c>
      <c r="B585" t="s">
        <v>203</v>
      </c>
      <c r="C585">
        <v>163</v>
      </c>
      <c r="D585" t="s">
        <v>161</v>
      </c>
      <c r="E585" s="1">
        <v>42922</v>
      </c>
      <c r="F585" t="s">
        <v>383</v>
      </c>
      <c r="G585" t="s">
        <v>1036</v>
      </c>
      <c r="H585">
        <v>-7.5</v>
      </c>
      <c r="I585" t="s">
        <v>39</v>
      </c>
      <c r="J585">
        <v>0</v>
      </c>
      <c r="M585" t="s">
        <v>1910</v>
      </c>
      <c r="N585" t="s">
        <v>1037</v>
      </c>
      <c r="O585">
        <v>0</v>
      </c>
      <c r="P585">
        <v>0</v>
      </c>
      <c r="Q585" t="s">
        <v>381</v>
      </c>
    </row>
    <row r="586" spans="1:17" x14ac:dyDescent="0.15">
      <c r="A586" t="s">
        <v>78</v>
      </c>
      <c r="B586" t="s">
        <v>203</v>
      </c>
      <c r="C586">
        <v>163</v>
      </c>
      <c r="D586" t="s">
        <v>161</v>
      </c>
      <c r="E586" s="1">
        <v>42922</v>
      </c>
      <c r="F586" t="s">
        <v>383</v>
      </c>
      <c r="G586" t="s">
        <v>1036</v>
      </c>
      <c r="H586">
        <v>-7.5</v>
      </c>
      <c r="I586" t="s">
        <v>39</v>
      </c>
      <c r="J586">
        <v>0</v>
      </c>
      <c r="M586" t="s">
        <v>241</v>
      </c>
      <c r="N586" t="s">
        <v>1038</v>
      </c>
    </row>
    <row r="587" spans="1:17" x14ac:dyDescent="0.15">
      <c r="A587" t="s">
        <v>78</v>
      </c>
      <c r="B587" t="s">
        <v>203</v>
      </c>
      <c r="C587">
        <v>163</v>
      </c>
      <c r="D587" t="s">
        <v>161</v>
      </c>
      <c r="E587" s="1">
        <v>42922</v>
      </c>
      <c r="F587" t="s">
        <v>383</v>
      </c>
      <c r="G587" t="s">
        <v>1036</v>
      </c>
      <c r="H587">
        <v>-7.5</v>
      </c>
      <c r="I587" t="s">
        <v>39</v>
      </c>
      <c r="J587">
        <v>0</v>
      </c>
      <c r="M587" t="s">
        <v>1910</v>
      </c>
      <c r="N587" t="s">
        <v>1038</v>
      </c>
      <c r="O587">
        <v>0</v>
      </c>
      <c r="P587">
        <v>0</v>
      </c>
      <c r="Q587" t="s">
        <v>381</v>
      </c>
    </row>
    <row r="588" spans="1:17" x14ac:dyDescent="0.15">
      <c r="A588" t="s">
        <v>62</v>
      </c>
      <c r="B588" t="s">
        <v>94</v>
      </c>
      <c r="C588">
        <v>163</v>
      </c>
      <c r="D588" t="s">
        <v>161</v>
      </c>
      <c r="E588" s="1">
        <v>42843</v>
      </c>
      <c r="F588" t="s">
        <v>17</v>
      </c>
      <c r="G588" t="s">
        <v>715</v>
      </c>
      <c r="H588">
        <v>1200</v>
      </c>
      <c r="I588" t="s">
        <v>39</v>
      </c>
      <c r="J588">
        <v>0</v>
      </c>
      <c r="K588">
        <v>0</v>
      </c>
      <c r="L588" t="s">
        <v>375</v>
      </c>
      <c r="M588" t="s">
        <v>241</v>
      </c>
      <c r="N588" t="s">
        <v>721</v>
      </c>
    </row>
    <row r="589" spans="1:17" x14ac:dyDescent="0.15">
      <c r="A589" t="s">
        <v>62</v>
      </c>
      <c r="B589" t="s">
        <v>94</v>
      </c>
      <c r="C589">
        <v>163</v>
      </c>
      <c r="D589" t="s">
        <v>161</v>
      </c>
      <c r="E589" s="1">
        <v>42843</v>
      </c>
      <c r="F589" t="s">
        <v>17</v>
      </c>
      <c r="G589" t="s">
        <v>715</v>
      </c>
      <c r="H589">
        <v>1200</v>
      </c>
      <c r="I589" t="s">
        <v>39</v>
      </c>
      <c r="J589">
        <v>0</v>
      </c>
      <c r="K589">
        <v>0</v>
      </c>
      <c r="L589" t="s">
        <v>375</v>
      </c>
      <c r="M589" t="s">
        <v>1910</v>
      </c>
      <c r="N589" t="s">
        <v>721</v>
      </c>
      <c r="O589">
        <v>0</v>
      </c>
      <c r="P589">
        <v>0</v>
      </c>
      <c r="Q589" t="s">
        <v>381</v>
      </c>
    </row>
    <row r="590" spans="1:17" x14ac:dyDescent="0.15">
      <c r="A590" t="s">
        <v>62</v>
      </c>
      <c r="B590" t="s">
        <v>94</v>
      </c>
      <c r="C590">
        <v>163</v>
      </c>
      <c r="D590" t="s">
        <v>161</v>
      </c>
      <c r="E590" s="1">
        <v>42851</v>
      </c>
      <c r="F590" t="s">
        <v>383</v>
      </c>
      <c r="G590" t="s">
        <v>458</v>
      </c>
      <c r="H590">
        <v>-300</v>
      </c>
      <c r="I590" t="s">
        <v>39</v>
      </c>
      <c r="J590">
        <v>0</v>
      </c>
      <c r="M590" t="s">
        <v>241</v>
      </c>
      <c r="N590" t="s">
        <v>459</v>
      </c>
    </row>
    <row r="591" spans="1:17" x14ac:dyDescent="0.15">
      <c r="A591" t="s">
        <v>62</v>
      </c>
      <c r="B591" t="s">
        <v>94</v>
      </c>
      <c r="C591">
        <v>163</v>
      </c>
      <c r="D591" t="s">
        <v>161</v>
      </c>
      <c r="E591" s="1">
        <v>42851</v>
      </c>
      <c r="F591" t="s">
        <v>383</v>
      </c>
      <c r="G591" t="s">
        <v>458</v>
      </c>
      <c r="H591">
        <v>-300</v>
      </c>
      <c r="I591" t="s">
        <v>39</v>
      </c>
      <c r="J591">
        <v>0</v>
      </c>
      <c r="M591" t="s">
        <v>1910</v>
      </c>
      <c r="N591" t="s">
        <v>459</v>
      </c>
      <c r="O591">
        <v>0</v>
      </c>
      <c r="P591">
        <v>0</v>
      </c>
      <c r="Q591" t="s">
        <v>381</v>
      </c>
    </row>
    <row r="592" spans="1:17" x14ac:dyDescent="0.15">
      <c r="A592" t="s">
        <v>62</v>
      </c>
      <c r="B592" t="s">
        <v>94</v>
      </c>
      <c r="C592">
        <v>163</v>
      </c>
      <c r="D592" t="s">
        <v>161</v>
      </c>
      <c r="E592" s="1">
        <v>42895</v>
      </c>
      <c r="F592" t="s">
        <v>383</v>
      </c>
      <c r="G592" t="s">
        <v>622</v>
      </c>
      <c r="H592">
        <v>-600</v>
      </c>
      <c r="I592" t="s">
        <v>39</v>
      </c>
      <c r="J592">
        <v>0</v>
      </c>
      <c r="M592" t="s">
        <v>241</v>
      </c>
      <c r="N592" t="s">
        <v>623</v>
      </c>
    </row>
    <row r="593" spans="1:17" x14ac:dyDescent="0.15">
      <c r="A593" t="s">
        <v>62</v>
      </c>
      <c r="B593" t="s">
        <v>94</v>
      </c>
      <c r="C593">
        <v>163</v>
      </c>
      <c r="D593" t="s">
        <v>161</v>
      </c>
      <c r="E593" s="1">
        <v>42895</v>
      </c>
      <c r="F593" t="s">
        <v>383</v>
      </c>
      <c r="G593" t="s">
        <v>622</v>
      </c>
      <c r="H593">
        <v>-600</v>
      </c>
      <c r="I593" t="s">
        <v>39</v>
      </c>
      <c r="J593">
        <v>0</v>
      </c>
      <c r="M593" t="s">
        <v>1910</v>
      </c>
      <c r="N593" t="s">
        <v>623</v>
      </c>
      <c r="O593">
        <v>0</v>
      </c>
      <c r="P593">
        <v>0</v>
      </c>
      <c r="Q593" t="s">
        <v>381</v>
      </c>
    </row>
    <row r="594" spans="1:17" x14ac:dyDescent="0.15">
      <c r="A594" t="s">
        <v>62</v>
      </c>
      <c r="B594" t="s">
        <v>94</v>
      </c>
      <c r="C594">
        <v>163</v>
      </c>
      <c r="D594" t="s">
        <v>161</v>
      </c>
      <c r="E594" s="1">
        <v>42895</v>
      </c>
      <c r="F594" t="s">
        <v>383</v>
      </c>
      <c r="G594" t="s">
        <v>626</v>
      </c>
      <c r="H594">
        <v>-450</v>
      </c>
      <c r="I594" t="s">
        <v>39</v>
      </c>
      <c r="J594">
        <v>0</v>
      </c>
      <c r="M594" t="s">
        <v>241</v>
      </c>
      <c r="N594" t="s">
        <v>627</v>
      </c>
    </row>
    <row r="595" spans="1:17" x14ac:dyDescent="0.15">
      <c r="A595" t="s">
        <v>62</v>
      </c>
      <c r="B595" t="s">
        <v>94</v>
      </c>
      <c r="C595">
        <v>163</v>
      </c>
      <c r="D595" t="s">
        <v>161</v>
      </c>
      <c r="E595" s="1">
        <v>42895</v>
      </c>
      <c r="F595" t="s">
        <v>383</v>
      </c>
      <c r="G595" t="s">
        <v>626</v>
      </c>
      <c r="H595">
        <v>-450</v>
      </c>
      <c r="I595" t="s">
        <v>39</v>
      </c>
      <c r="J595">
        <v>0</v>
      </c>
      <c r="M595" t="s">
        <v>1910</v>
      </c>
      <c r="N595" t="s">
        <v>627</v>
      </c>
      <c r="O595">
        <v>0</v>
      </c>
      <c r="P595">
        <v>0</v>
      </c>
      <c r="Q595" t="s">
        <v>381</v>
      </c>
    </row>
    <row r="596" spans="1:17" x14ac:dyDescent="0.15">
      <c r="A596" t="s">
        <v>62</v>
      </c>
      <c r="B596" t="s">
        <v>94</v>
      </c>
      <c r="C596">
        <v>163</v>
      </c>
      <c r="D596" t="s">
        <v>161</v>
      </c>
      <c r="E596" s="1">
        <v>42900</v>
      </c>
      <c r="F596" t="s">
        <v>383</v>
      </c>
      <c r="G596" t="s">
        <v>643</v>
      </c>
      <c r="H596">
        <v>-600</v>
      </c>
      <c r="I596" t="s">
        <v>39</v>
      </c>
      <c r="J596">
        <v>0</v>
      </c>
      <c r="M596" t="s">
        <v>241</v>
      </c>
      <c r="N596" t="s">
        <v>644</v>
      </c>
    </row>
    <row r="597" spans="1:17" x14ac:dyDescent="0.15">
      <c r="A597" t="s">
        <v>62</v>
      </c>
      <c r="B597" t="s">
        <v>94</v>
      </c>
      <c r="C597">
        <v>163</v>
      </c>
      <c r="D597" t="s">
        <v>161</v>
      </c>
      <c r="E597" s="1">
        <v>42900</v>
      </c>
      <c r="F597" t="s">
        <v>383</v>
      </c>
      <c r="G597" t="s">
        <v>643</v>
      </c>
      <c r="H597">
        <v>-600</v>
      </c>
      <c r="I597" t="s">
        <v>39</v>
      </c>
      <c r="J597">
        <v>0</v>
      </c>
      <c r="M597" t="s">
        <v>1910</v>
      </c>
      <c r="N597" t="s">
        <v>644</v>
      </c>
      <c r="O597">
        <v>0</v>
      </c>
      <c r="P597">
        <v>0</v>
      </c>
      <c r="Q597" t="s">
        <v>381</v>
      </c>
    </row>
    <row r="598" spans="1:17" x14ac:dyDescent="0.15">
      <c r="A598" t="s">
        <v>62</v>
      </c>
      <c r="B598" t="s">
        <v>94</v>
      </c>
      <c r="C598">
        <v>163</v>
      </c>
      <c r="D598" t="s">
        <v>161</v>
      </c>
      <c r="E598" s="1">
        <v>42907</v>
      </c>
      <c r="F598" t="s">
        <v>17</v>
      </c>
      <c r="G598" t="s">
        <v>816</v>
      </c>
      <c r="H598">
        <v>300</v>
      </c>
      <c r="I598" t="s">
        <v>39</v>
      </c>
      <c r="J598">
        <v>0</v>
      </c>
      <c r="K598">
        <v>0</v>
      </c>
      <c r="L598" t="s">
        <v>375</v>
      </c>
      <c r="M598" t="s">
        <v>241</v>
      </c>
      <c r="N598" t="s">
        <v>819</v>
      </c>
    </row>
    <row r="599" spans="1:17" x14ac:dyDescent="0.15">
      <c r="A599" t="s">
        <v>62</v>
      </c>
      <c r="B599" t="s">
        <v>94</v>
      </c>
      <c r="C599">
        <v>163</v>
      </c>
      <c r="D599" t="s">
        <v>161</v>
      </c>
      <c r="E599" s="1">
        <v>42907</v>
      </c>
      <c r="F599" t="s">
        <v>17</v>
      </c>
      <c r="G599" t="s">
        <v>816</v>
      </c>
      <c r="H599">
        <v>300</v>
      </c>
      <c r="I599" t="s">
        <v>39</v>
      </c>
      <c r="J599">
        <v>0</v>
      </c>
      <c r="K599">
        <v>0</v>
      </c>
      <c r="L599" t="s">
        <v>375</v>
      </c>
      <c r="M599" t="s">
        <v>1910</v>
      </c>
      <c r="N599" t="s">
        <v>819</v>
      </c>
      <c r="O599">
        <v>0</v>
      </c>
      <c r="P599">
        <v>0</v>
      </c>
      <c r="Q599" t="s">
        <v>381</v>
      </c>
    </row>
    <row r="600" spans="1:17" x14ac:dyDescent="0.15">
      <c r="A600" t="s">
        <v>62</v>
      </c>
      <c r="B600" t="s">
        <v>94</v>
      </c>
      <c r="C600">
        <v>163</v>
      </c>
      <c r="D600" t="s">
        <v>161</v>
      </c>
      <c r="E600" s="1">
        <v>42908</v>
      </c>
      <c r="F600" t="s">
        <v>383</v>
      </c>
      <c r="G600" t="s">
        <v>669</v>
      </c>
      <c r="H600">
        <v>-69.400000000000006</v>
      </c>
      <c r="I600" t="s">
        <v>39</v>
      </c>
      <c r="J600">
        <v>0</v>
      </c>
      <c r="M600" t="s">
        <v>241</v>
      </c>
      <c r="N600" t="s">
        <v>670</v>
      </c>
    </row>
    <row r="601" spans="1:17" x14ac:dyDescent="0.15">
      <c r="A601" t="s">
        <v>62</v>
      </c>
      <c r="B601" t="s">
        <v>94</v>
      </c>
      <c r="C601">
        <v>163</v>
      </c>
      <c r="D601" t="s">
        <v>161</v>
      </c>
      <c r="E601" s="1">
        <v>42908</v>
      </c>
      <c r="F601" t="s">
        <v>383</v>
      </c>
      <c r="G601" t="s">
        <v>669</v>
      </c>
      <c r="H601">
        <v>-69.400000000000006</v>
      </c>
      <c r="I601" t="s">
        <v>39</v>
      </c>
      <c r="J601">
        <v>0</v>
      </c>
      <c r="M601" t="s">
        <v>1910</v>
      </c>
      <c r="N601" t="s">
        <v>670</v>
      </c>
      <c r="O601">
        <v>0</v>
      </c>
      <c r="P601">
        <v>0</v>
      </c>
      <c r="Q601" t="s">
        <v>381</v>
      </c>
    </row>
    <row r="602" spans="1:17" x14ac:dyDescent="0.15">
      <c r="A602" t="s">
        <v>62</v>
      </c>
      <c r="B602" t="s">
        <v>94</v>
      </c>
      <c r="C602">
        <v>163</v>
      </c>
      <c r="D602" t="s">
        <v>161</v>
      </c>
      <c r="E602" s="1">
        <v>42913</v>
      </c>
      <c r="F602" t="s">
        <v>383</v>
      </c>
      <c r="G602" t="s">
        <v>673</v>
      </c>
      <c r="H602">
        <v>-231</v>
      </c>
      <c r="I602" t="s">
        <v>39</v>
      </c>
      <c r="J602">
        <v>0</v>
      </c>
      <c r="M602" t="s">
        <v>241</v>
      </c>
      <c r="N602" t="s">
        <v>674</v>
      </c>
    </row>
    <row r="603" spans="1:17" x14ac:dyDescent="0.15">
      <c r="A603" t="s">
        <v>62</v>
      </c>
      <c r="B603" t="s">
        <v>94</v>
      </c>
      <c r="C603">
        <v>163</v>
      </c>
      <c r="D603" t="s">
        <v>161</v>
      </c>
      <c r="E603" s="1">
        <v>42913</v>
      </c>
      <c r="F603" t="s">
        <v>383</v>
      </c>
      <c r="G603" t="s">
        <v>673</v>
      </c>
      <c r="H603">
        <v>-231</v>
      </c>
      <c r="I603" t="s">
        <v>39</v>
      </c>
      <c r="J603">
        <v>0</v>
      </c>
      <c r="M603" t="s">
        <v>1910</v>
      </c>
      <c r="N603" t="s">
        <v>674</v>
      </c>
      <c r="O603">
        <v>0</v>
      </c>
      <c r="P603">
        <v>0</v>
      </c>
      <c r="Q603" t="s">
        <v>381</v>
      </c>
    </row>
    <row r="604" spans="1:17" x14ac:dyDescent="0.15">
      <c r="A604" t="s">
        <v>62</v>
      </c>
      <c r="B604" t="s">
        <v>94</v>
      </c>
      <c r="C604">
        <v>163</v>
      </c>
      <c r="D604" t="s">
        <v>161</v>
      </c>
      <c r="E604" s="1">
        <v>42916</v>
      </c>
      <c r="F604" t="s">
        <v>17</v>
      </c>
      <c r="G604" t="s">
        <v>823</v>
      </c>
      <c r="H604">
        <v>100</v>
      </c>
      <c r="I604" t="s">
        <v>39</v>
      </c>
      <c r="J604">
        <v>0</v>
      </c>
      <c r="K604">
        <v>0</v>
      </c>
      <c r="L604" t="s">
        <v>375</v>
      </c>
      <c r="M604" t="s">
        <v>241</v>
      </c>
      <c r="N604" t="s">
        <v>824</v>
      </c>
    </row>
    <row r="605" spans="1:17" x14ac:dyDescent="0.15">
      <c r="A605" t="s">
        <v>62</v>
      </c>
      <c r="B605" t="s">
        <v>94</v>
      </c>
      <c r="C605">
        <v>163</v>
      </c>
      <c r="D605" t="s">
        <v>161</v>
      </c>
      <c r="E605" s="1">
        <v>42916</v>
      </c>
      <c r="F605" t="s">
        <v>17</v>
      </c>
      <c r="G605" t="s">
        <v>823</v>
      </c>
      <c r="H605">
        <v>100</v>
      </c>
      <c r="I605" t="s">
        <v>39</v>
      </c>
      <c r="J605">
        <v>0</v>
      </c>
      <c r="K605">
        <v>0</v>
      </c>
      <c r="L605" t="s">
        <v>375</v>
      </c>
      <c r="M605" t="s">
        <v>1910</v>
      </c>
      <c r="N605" t="s">
        <v>824</v>
      </c>
      <c r="O605">
        <v>0</v>
      </c>
      <c r="P605">
        <v>0</v>
      </c>
      <c r="Q605" t="s">
        <v>381</v>
      </c>
    </row>
    <row r="606" spans="1:17" x14ac:dyDescent="0.15">
      <c r="A606" t="s">
        <v>62</v>
      </c>
      <c r="B606" t="s">
        <v>94</v>
      </c>
      <c r="C606">
        <v>163</v>
      </c>
      <c r="D606" t="s">
        <v>161</v>
      </c>
      <c r="E606" s="1">
        <v>42978</v>
      </c>
      <c r="F606" t="s">
        <v>17</v>
      </c>
      <c r="G606" t="s">
        <v>1561</v>
      </c>
      <c r="H606">
        <v>150</v>
      </c>
      <c r="I606" t="s">
        <v>39</v>
      </c>
      <c r="J606">
        <v>0</v>
      </c>
      <c r="K606">
        <v>0</v>
      </c>
      <c r="L606" t="s">
        <v>375</v>
      </c>
      <c r="M606" t="s">
        <v>241</v>
      </c>
      <c r="N606" t="s">
        <v>1565</v>
      </c>
    </row>
    <row r="607" spans="1:17" x14ac:dyDescent="0.15">
      <c r="A607" t="s">
        <v>62</v>
      </c>
      <c r="B607" t="s">
        <v>94</v>
      </c>
      <c r="C607">
        <v>163</v>
      </c>
      <c r="D607" t="s">
        <v>161</v>
      </c>
      <c r="E607" s="1">
        <v>42978</v>
      </c>
      <c r="F607" t="s">
        <v>17</v>
      </c>
      <c r="G607" t="s">
        <v>1561</v>
      </c>
      <c r="H607">
        <v>150</v>
      </c>
      <c r="I607" t="s">
        <v>39</v>
      </c>
      <c r="J607">
        <v>0</v>
      </c>
      <c r="K607">
        <v>0</v>
      </c>
      <c r="L607" t="s">
        <v>375</v>
      </c>
      <c r="M607" t="s">
        <v>1910</v>
      </c>
      <c r="N607" t="s">
        <v>1565</v>
      </c>
      <c r="O607">
        <v>0</v>
      </c>
      <c r="P607">
        <v>0</v>
      </c>
      <c r="Q607" t="s">
        <v>381</v>
      </c>
    </row>
    <row r="608" spans="1:17" x14ac:dyDescent="0.15">
      <c r="A608" t="s">
        <v>63</v>
      </c>
      <c r="B608" t="s">
        <v>95</v>
      </c>
      <c r="C608">
        <v>163</v>
      </c>
      <c r="D608" t="s">
        <v>161</v>
      </c>
      <c r="E608" s="1">
        <v>42843</v>
      </c>
      <c r="F608" t="s">
        <v>17</v>
      </c>
      <c r="G608" t="s">
        <v>715</v>
      </c>
      <c r="H608">
        <v>300</v>
      </c>
      <c r="I608" t="s">
        <v>39</v>
      </c>
      <c r="J608">
        <v>0</v>
      </c>
      <c r="K608">
        <v>0</v>
      </c>
      <c r="L608" t="s">
        <v>375</v>
      </c>
      <c r="M608" t="s">
        <v>241</v>
      </c>
      <c r="N608" t="s">
        <v>722</v>
      </c>
    </row>
    <row r="609" spans="1:17" x14ac:dyDescent="0.15">
      <c r="A609" t="s">
        <v>63</v>
      </c>
      <c r="B609" t="s">
        <v>95</v>
      </c>
      <c r="C609">
        <v>163</v>
      </c>
      <c r="D609" t="s">
        <v>161</v>
      </c>
      <c r="E609" s="1">
        <v>42843</v>
      </c>
      <c r="F609" t="s">
        <v>17</v>
      </c>
      <c r="G609" t="s">
        <v>715</v>
      </c>
      <c r="H609">
        <v>300</v>
      </c>
      <c r="I609" t="s">
        <v>39</v>
      </c>
      <c r="J609">
        <v>0</v>
      </c>
      <c r="K609">
        <v>0</v>
      </c>
      <c r="L609" t="s">
        <v>375</v>
      </c>
      <c r="M609" t="s">
        <v>1910</v>
      </c>
      <c r="N609" t="s">
        <v>722</v>
      </c>
      <c r="O609">
        <v>0</v>
      </c>
      <c r="P609">
        <v>0</v>
      </c>
      <c r="Q609" t="s">
        <v>381</v>
      </c>
    </row>
    <row r="610" spans="1:17" x14ac:dyDescent="0.15">
      <c r="A610" t="s">
        <v>63</v>
      </c>
      <c r="B610" t="s">
        <v>95</v>
      </c>
      <c r="C610">
        <v>163</v>
      </c>
      <c r="D610" t="s">
        <v>161</v>
      </c>
      <c r="E610" s="1">
        <v>42851</v>
      </c>
      <c r="F610" t="s">
        <v>383</v>
      </c>
      <c r="G610" t="s">
        <v>458</v>
      </c>
      <c r="H610">
        <v>-200</v>
      </c>
      <c r="I610" t="s">
        <v>39</v>
      </c>
      <c r="J610">
        <v>0</v>
      </c>
      <c r="M610" t="s">
        <v>241</v>
      </c>
      <c r="N610" t="s">
        <v>460</v>
      </c>
    </row>
    <row r="611" spans="1:17" x14ac:dyDescent="0.15">
      <c r="A611" t="s">
        <v>63</v>
      </c>
      <c r="B611" t="s">
        <v>95</v>
      </c>
      <c r="C611">
        <v>163</v>
      </c>
      <c r="D611" t="s">
        <v>161</v>
      </c>
      <c r="E611" s="1">
        <v>42851</v>
      </c>
      <c r="F611" t="s">
        <v>383</v>
      </c>
      <c r="G611" t="s">
        <v>458</v>
      </c>
      <c r="H611">
        <v>-200</v>
      </c>
      <c r="I611" t="s">
        <v>39</v>
      </c>
      <c r="J611">
        <v>0</v>
      </c>
      <c r="M611" t="s">
        <v>1910</v>
      </c>
      <c r="N611" t="s">
        <v>460</v>
      </c>
      <c r="O611">
        <v>0</v>
      </c>
      <c r="P611">
        <v>0</v>
      </c>
      <c r="Q611" t="s">
        <v>381</v>
      </c>
    </row>
    <row r="612" spans="1:17" x14ac:dyDescent="0.15">
      <c r="A612" t="s">
        <v>63</v>
      </c>
      <c r="B612" t="s">
        <v>95</v>
      </c>
      <c r="C612">
        <v>163</v>
      </c>
      <c r="D612" t="s">
        <v>161</v>
      </c>
      <c r="E612" s="1">
        <v>42873</v>
      </c>
      <c r="F612" t="s">
        <v>383</v>
      </c>
      <c r="G612" t="s">
        <v>561</v>
      </c>
      <c r="H612">
        <v>-100</v>
      </c>
      <c r="I612" t="s">
        <v>39</v>
      </c>
      <c r="J612">
        <v>0</v>
      </c>
      <c r="M612" t="s">
        <v>241</v>
      </c>
      <c r="N612" t="s">
        <v>564</v>
      </c>
    </row>
    <row r="613" spans="1:17" x14ac:dyDescent="0.15">
      <c r="A613" t="s">
        <v>63</v>
      </c>
      <c r="B613" t="s">
        <v>95</v>
      </c>
      <c r="C613">
        <v>163</v>
      </c>
      <c r="D613" t="s">
        <v>161</v>
      </c>
      <c r="E613" s="1">
        <v>42873</v>
      </c>
      <c r="F613" t="s">
        <v>383</v>
      </c>
      <c r="G613" t="s">
        <v>561</v>
      </c>
      <c r="H613">
        <v>-100</v>
      </c>
      <c r="I613" t="s">
        <v>39</v>
      </c>
      <c r="J613">
        <v>0</v>
      </c>
      <c r="M613" t="s">
        <v>1910</v>
      </c>
      <c r="N613" t="s">
        <v>564</v>
      </c>
      <c r="O613">
        <v>0</v>
      </c>
      <c r="P613">
        <v>0</v>
      </c>
      <c r="Q613" t="s">
        <v>381</v>
      </c>
    </row>
    <row r="614" spans="1:17" x14ac:dyDescent="0.15">
      <c r="A614" t="s">
        <v>63</v>
      </c>
      <c r="B614" t="s">
        <v>95</v>
      </c>
      <c r="C614">
        <v>163</v>
      </c>
      <c r="D614" t="s">
        <v>161</v>
      </c>
      <c r="E614" s="1">
        <v>42900</v>
      </c>
      <c r="F614" t="s">
        <v>383</v>
      </c>
      <c r="G614" t="s">
        <v>615</v>
      </c>
      <c r="H614">
        <v>-100</v>
      </c>
      <c r="I614" t="s">
        <v>39</v>
      </c>
      <c r="J614">
        <v>0</v>
      </c>
      <c r="M614" t="s">
        <v>241</v>
      </c>
      <c r="N614" t="s">
        <v>618</v>
      </c>
    </row>
    <row r="615" spans="1:17" x14ac:dyDescent="0.15">
      <c r="A615" t="s">
        <v>63</v>
      </c>
      <c r="B615" t="s">
        <v>95</v>
      </c>
      <c r="C615">
        <v>163</v>
      </c>
      <c r="D615" t="s">
        <v>161</v>
      </c>
      <c r="E615" s="1">
        <v>42900</v>
      </c>
      <c r="F615" t="s">
        <v>383</v>
      </c>
      <c r="G615" t="s">
        <v>615</v>
      </c>
      <c r="H615">
        <v>-100</v>
      </c>
      <c r="I615" t="s">
        <v>39</v>
      </c>
      <c r="J615">
        <v>0</v>
      </c>
      <c r="M615" t="s">
        <v>1910</v>
      </c>
      <c r="N615" t="s">
        <v>618</v>
      </c>
      <c r="O615">
        <v>0</v>
      </c>
      <c r="P615">
        <v>0</v>
      </c>
      <c r="Q615" t="s">
        <v>381</v>
      </c>
    </row>
    <row r="616" spans="1:17" x14ac:dyDescent="0.15">
      <c r="A616" t="s">
        <v>63</v>
      </c>
      <c r="B616" t="s">
        <v>95</v>
      </c>
      <c r="C616">
        <v>163</v>
      </c>
      <c r="D616" t="s">
        <v>161</v>
      </c>
      <c r="E616" s="1">
        <v>42900</v>
      </c>
      <c r="F616" t="s">
        <v>383</v>
      </c>
      <c r="G616" t="s">
        <v>643</v>
      </c>
      <c r="H616">
        <v>-500</v>
      </c>
      <c r="I616" t="s">
        <v>39</v>
      </c>
      <c r="J616">
        <v>0</v>
      </c>
      <c r="M616" t="s">
        <v>241</v>
      </c>
      <c r="N616" t="s">
        <v>645</v>
      </c>
    </row>
    <row r="617" spans="1:17" x14ac:dyDescent="0.15">
      <c r="A617" t="s">
        <v>63</v>
      </c>
      <c r="B617" t="s">
        <v>95</v>
      </c>
      <c r="C617">
        <v>163</v>
      </c>
      <c r="D617" t="s">
        <v>161</v>
      </c>
      <c r="E617" s="1">
        <v>42900</v>
      </c>
      <c r="F617" t="s">
        <v>383</v>
      </c>
      <c r="G617" t="s">
        <v>643</v>
      </c>
      <c r="H617">
        <v>-500</v>
      </c>
      <c r="I617" t="s">
        <v>39</v>
      </c>
      <c r="J617">
        <v>0</v>
      </c>
      <c r="M617" t="s">
        <v>1910</v>
      </c>
      <c r="N617" t="s">
        <v>645</v>
      </c>
      <c r="O617">
        <v>0</v>
      </c>
      <c r="P617">
        <v>0</v>
      </c>
      <c r="Q617" t="s">
        <v>381</v>
      </c>
    </row>
    <row r="618" spans="1:17" x14ac:dyDescent="0.15">
      <c r="A618" t="s">
        <v>63</v>
      </c>
      <c r="B618" t="s">
        <v>95</v>
      </c>
      <c r="C618">
        <v>163</v>
      </c>
      <c r="D618" t="s">
        <v>161</v>
      </c>
      <c r="E618" s="1">
        <v>42907</v>
      </c>
      <c r="F618" t="s">
        <v>17</v>
      </c>
      <c r="G618" t="s">
        <v>816</v>
      </c>
      <c r="H618">
        <v>400</v>
      </c>
      <c r="I618" t="s">
        <v>39</v>
      </c>
      <c r="J618">
        <v>0</v>
      </c>
      <c r="K618">
        <v>0</v>
      </c>
      <c r="L618" t="s">
        <v>375</v>
      </c>
      <c r="M618" t="s">
        <v>241</v>
      </c>
      <c r="N618" t="s">
        <v>820</v>
      </c>
    </row>
    <row r="619" spans="1:17" x14ac:dyDescent="0.15">
      <c r="A619" t="s">
        <v>63</v>
      </c>
      <c r="B619" t="s">
        <v>95</v>
      </c>
      <c r="C619">
        <v>163</v>
      </c>
      <c r="D619" t="s">
        <v>161</v>
      </c>
      <c r="E619" s="1">
        <v>42907</v>
      </c>
      <c r="F619" t="s">
        <v>17</v>
      </c>
      <c r="G619" t="s">
        <v>816</v>
      </c>
      <c r="H619">
        <v>400</v>
      </c>
      <c r="I619" t="s">
        <v>39</v>
      </c>
      <c r="J619">
        <v>0</v>
      </c>
      <c r="K619">
        <v>0</v>
      </c>
      <c r="L619" t="s">
        <v>375</v>
      </c>
      <c r="M619" t="s">
        <v>1910</v>
      </c>
      <c r="N619" t="s">
        <v>820</v>
      </c>
      <c r="O619">
        <v>0</v>
      </c>
      <c r="P619">
        <v>0</v>
      </c>
      <c r="Q619" t="s">
        <v>381</v>
      </c>
    </row>
    <row r="620" spans="1:17" x14ac:dyDescent="0.15">
      <c r="A620" t="s">
        <v>63</v>
      </c>
      <c r="B620" t="s">
        <v>95</v>
      </c>
      <c r="C620">
        <v>163</v>
      </c>
      <c r="D620" t="s">
        <v>161</v>
      </c>
      <c r="E620" s="1">
        <v>42908</v>
      </c>
      <c r="F620" t="s">
        <v>383</v>
      </c>
      <c r="G620" t="s">
        <v>656</v>
      </c>
      <c r="H620">
        <v>-55</v>
      </c>
      <c r="I620" t="s">
        <v>39</v>
      </c>
      <c r="J620">
        <v>0</v>
      </c>
      <c r="M620" t="s">
        <v>241</v>
      </c>
      <c r="N620" t="s">
        <v>657</v>
      </c>
    </row>
    <row r="621" spans="1:17" x14ac:dyDescent="0.15">
      <c r="A621" t="s">
        <v>63</v>
      </c>
      <c r="B621" t="s">
        <v>95</v>
      </c>
      <c r="C621">
        <v>163</v>
      </c>
      <c r="D621" t="s">
        <v>161</v>
      </c>
      <c r="E621" s="1">
        <v>42908</v>
      </c>
      <c r="F621" t="s">
        <v>383</v>
      </c>
      <c r="G621" t="s">
        <v>656</v>
      </c>
      <c r="H621">
        <v>-55</v>
      </c>
      <c r="I621" t="s">
        <v>39</v>
      </c>
      <c r="J621">
        <v>0</v>
      </c>
      <c r="M621" t="s">
        <v>1910</v>
      </c>
      <c r="N621" t="s">
        <v>657</v>
      </c>
      <c r="O621">
        <v>0</v>
      </c>
      <c r="P621">
        <v>0</v>
      </c>
      <c r="Q621" t="s">
        <v>381</v>
      </c>
    </row>
    <row r="622" spans="1:17" x14ac:dyDescent="0.15">
      <c r="A622" t="s">
        <v>63</v>
      </c>
      <c r="B622" t="s">
        <v>95</v>
      </c>
      <c r="C622">
        <v>163</v>
      </c>
      <c r="D622" t="s">
        <v>161</v>
      </c>
      <c r="E622" s="1">
        <v>42915</v>
      </c>
      <c r="F622" t="s">
        <v>383</v>
      </c>
      <c r="G622" t="s">
        <v>684</v>
      </c>
      <c r="H622">
        <v>-240</v>
      </c>
      <c r="I622" t="s">
        <v>39</v>
      </c>
      <c r="J622">
        <v>0</v>
      </c>
      <c r="M622" t="s">
        <v>241</v>
      </c>
      <c r="N622" t="s">
        <v>685</v>
      </c>
    </row>
    <row r="623" spans="1:17" x14ac:dyDescent="0.15">
      <c r="A623" t="s">
        <v>63</v>
      </c>
      <c r="B623" t="s">
        <v>95</v>
      </c>
      <c r="C623">
        <v>163</v>
      </c>
      <c r="D623" t="s">
        <v>161</v>
      </c>
      <c r="E623" s="1">
        <v>42915</v>
      </c>
      <c r="F623" t="s">
        <v>383</v>
      </c>
      <c r="G623" t="s">
        <v>684</v>
      </c>
      <c r="H623">
        <v>-240</v>
      </c>
      <c r="I623" t="s">
        <v>39</v>
      </c>
      <c r="J623">
        <v>0</v>
      </c>
      <c r="M623" t="s">
        <v>1910</v>
      </c>
      <c r="N623" t="s">
        <v>685</v>
      </c>
      <c r="O623">
        <v>0</v>
      </c>
      <c r="P623">
        <v>0</v>
      </c>
      <c r="Q623" t="s">
        <v>381</v>
      </c>
    </row>
    <row r="624" spans="1:17" x14ac:dyDescent="0.15">
      <c r="A624" t="s">
        <v>63</v>
      </c>
      <c r="B624" t="s">
        <v>95</v>
      </c>
      <c r="C624">
        <v>163</v>
      </c>
      <c r="D624" t="s">
        <v>161</v>
      </c>
      <c r="E624" s="1">
        <v>42932</v>
      </c>
      <c r="F624" t="s">
        <v>383</v>
      </c>
      <c r="G624" t="s">
        <v>1054</v>
      </c>
      <c r="H624">
        <v>-200</v>
      </c>
      <c r="I624" t="s">
        <v>39</v>
      </c>
      <c r="J624">
        <v>0</v>
      </c>
      <c r="M624" t="s">
        <v>241</v>
      </c>
      <c r="N624" t="s">
        <v>1057</v>
      </c>
    </row>
    <row r="625" spans="1:17" x14ac:dyDescent="0.15">
      <c r="A625" t="s">
        <v>63</v>
      </c>
      <c r="B625" t="s">
        <v>95</v>
      </c>
      <c r="C625">
        <v>163</v>
      </c>
      <c r="D625" t="s">
        <v>161</v>
      </c>
      <c r="E625" s="1">
        <v>42932</v>
      </c>
      <c r="F625" t="s">
        <v>383</v>
      </c>
      <c r="G625" t="s">
        <v>1054</v>
      </c>
      <c r="H625">
        <v>-200</v>
      </c>
      <c r="I625" t="s">
        <v>39</v>
      </c>
      <c r="J625">
        <v>0</v>
      </c>
      <c r="M625" t="s">
        <v>1910</v>
      </c>
      <c r="N625" t="s">
        <v>1057</v>
      </c>
      <c r="O625">
        <v>0</v>
      </c>
      <c r="P625">
        <v>0</v>
      </c>
      <c r="Q625" t="s">
        <v>381</v>
      </c>
    </row>
    <row r="626" spans="1:17" x14ac:dyDescent="0.15">
      <c r="A626" t="s">
        <v>63</v>
      </c>
      <c r="B626" t="s">
        <v>95</v>
      </c>
      <c r="C626">
        <v>163</v>
      </c>
      <c r="D626" t="s">
        <v>161</v>
      </c>
      <c r="E626" s="1">
        <v>42978</v>
      </c>
      <c r="F626" t="s">
        <v>17</v>
      </c>
      <c r="G626" t="s">
        <v>1561</v>
      </c>
      <c r="H626">
        <v>375</v>
      </c>
      <c r="I626" t="s">
        <v>39</v>
      </c>
      <c r="J626">
        <v>0</v>
      </c>
      <c r="K626">
        <v>0</v>
      </c>
      <c r="L626" t="s">
        <v>375</v>
      </c>
      <c r="M626" t="s">
        <v>241</v>
      </c>
      <c r="N626" t="s">
        <v>1566</v>
      </c>
    </row>
    <row r="627" spans="1:17" x14ac:dyDescent="0.15">
      <c r="A627" t="s">
        <v>63</v>
      </c>
      <c r="B627" t="s">
        <v>95</v>
      </c>
      <c r="C627">
        <v>163</v>
      </c>
      <c r="D627" t="s">
        <v>161</v>
      </c>
      <c r="E627" s="1">
        <v>42978</v>
      </c>
      <c r="F627" t="s">
        <v>17</v>
      </c>
      <c r="G627" t="s">
        <v>1561</v>
      </c>
      <c r="H627">
        <v>375</v>
      </c>
      <c r="I627" t="s">
        <v>39</v>
      </c>
      <c r="J627">
        <v>0</v>
      </c>
      <c r="K627">
        <v>0</v>
      </c>
      <c r="L627" t="s">
        <v>375</v>
      </c>
      <c r="M627" t="s">
        <v>1910</v>
      </c>
      <c r="N627" t="s">
        <v>1566</v>
      </c>
      <c r="O627">
        <v>0</v>
      </c>
      <c r="P627">
        <v>0</v>
      </c>
      <c r="Q627" t="s">
        <v>381</v>
      </c>
    </row>
    <row r="628" spans="1:17" x14ac:dyDescent="0.15">
      <c r="A628" t="s">
        <v>63</v>
      </c>
      <c r="B628" t="s">
        <v>95</v>
      </c>
      <c r="C628">
        <v>163</v>
      </c>
      <c r="D628" t="s">
        <v>161</v>
      </c>
      <c r="E628" s="1">
        <v>42997</v>
      </c>
      <c r="F628" t="s">
        <v>383</v>
      </c>
      <c r="G628" t="s">
        <v>1224</v>
      </c>
      <c r="H628">
        <v>-14</v>
      </c>
      <c r="I628" t="s">
        <v>39</v>
      </c>
      <c r="J628">
        <v>0</v>
      </c>
      <c r="M628" t="s">
        <v>241</v>
      </c>
      <c r="N628" t="s">
        <v>1225</v>
      </c>
    </row>
    <row r="629" spans="1:17" x14ac:dyDescent="0.15">
      <c r="A629" t="s">
        <v>63</v>
      </c>
      <c r="B629" t="s">
        <v>95</v>
      </c>
      <c r="C629">
        <v>163</v>
      </c>
      <c r="D629" t="s">
        <v>161</v>
      </c>
      <c r="E629" s="1">
        <v>42997</v>
      </c>
      <c r="F629" t="s">
        <v>383</v>
      </c>
      <c r="G629" t="s">
        <v>1224</v>
      </c>
      <c r="H629">
        <v>-14</v>
      </c>
      <c r="I629" t="s">
        <v>39</v>
      </c>
      <c r="J629">
        <v>0</v>
      </c>
      <c r="M629" t="s">
        <v>1910</v>
      </c>
      <c r="N629" t="s">
        <v>1225</v>
      </c>
      <c r="O629">
        <v>0</v>
      </c>
      <c r="P629">
        <v>0</v>
      </c>
      <c r="Q629" t="s">
        <v>381</v>
      </c>
    </row>
    <row r="630" spans="1:17" x14ac:dyDescent="0.15">
      <c r="A630" t="s">
        <v>63</v>
      </c>
      <c r="B630" t="s">
        <v>95</v>
      </c>
      <c r="C630">
        <v>163</v>
      </c>
      <c r="D630" t="s">
        <v>161</v>
      </c>
      <c r="E630" s="1">
        <v>43000</v>
      </c>
      <c r="F630" t="s">
        <v>383</v>
      </c>
      <c r="G630" t="s">
        <v>1250</v>
      </c>
      <c r="H630">
        <v>-115</v>
      </c>
      <c r="I630" t="s">
        <v>39</v>
      </c>
      <c r="J630">
        <v>0</v>
      </c>
      <c r="M630" t="s">
        <v>241</v>
      </c>
      <c r="N630" t="s">
        <v>1252</v>
      </c>
    </row>
    <row r="631" spans="1:17" x14ac:dyDescent="0.15">
      <c r="A631" t="s">
        <v>63</v>
      </c>
      <c r="B631" t="s">
        <v>95</v>
      </c>
      <c r="C631">
        <v>163</v>
      </c>
      <c r="D631" t="s">
        <v>161</v>
      </c>
      <c r="E631" s="1">
        <v>43000</v>
      </c>
      <c r="F631" t="s">
        <v>383</v>
      </c>
      <c r="G631" t="s">
        <v>1250</v>
      </c>
      <c r="H631">
        <v>-115</v>
      </c>
      <c r="I631" t="s">
        <v>39</v>
      </c>
      <c r="J631">
        <v>0</v>
      </c>
      <c r="M631" t="s">
        <v>1910</v>
      </c>
      <c r="N631" t="s">
        <v>1252</v>
      </c>
      <c r="O631">
        <v>0</v>
      </c>
      <c r="P631">
        <v>0</v>
      </c>
      <c r="Q631" t="s">
        <v>381</v>
      </c>
    </row>
    <row r="632" spans="1:17" x14ac:dyDescent="0.15">
      <c r="A632" t="s">
        <v>63</v>
      </c>
      <c r="B632" t="s">
        <v>95</v>
      </c>
      <c r="C632">
        <v>163</v>
      </c>
      <c r="D632" t="s">
        <v>161</v>
      </c>
      <c r="E632" s="1">
        <v>43014</v>
      </c>
      <c r="F632" t="s">
        <v>383</v>
      </c>
      <c r="G632" t="s">
        <v>1283</v>
      </c>
      <c r="H632">
        <v>-50</v>
      </c>
      <c r="I632" t="s">
        <v>39</v>
      </c>
      <c r="J632">
        <v>0</v>
      </c>
      <c r="M632" t="s">
        <v>241</v>
      </c>
      <c r="N632" t="s">
        <v>1284</v>
      </c>
    </row>
    <row r="633" spans="1:17" x14ac:dyDescent="0.15">
      <c r="A633" t="s">
        <v>63</v>
      </c>
      <c r="B633" t="s">
        <v>95</v>
      </c>
      <c r="C633">
        <v>163</v>
      </c>
      <c r="D633" t="s">
        <v>161</v>
      </c>
      <c r="E633" s="1">
        <v>43014</v>
      </c>
      <c r="F633" t="s">
        <v>383</v>
      </c>
      <c r="G633" t="s">
        <v>1283</v>
      </c>
      <c r="H633">
        <v>-50</v>
      </c>
      <c r="I633" t="s">
        <v>39</v>
      </c>
      <c r="J633">
        <v>0</v>
      </c>
      <c r="M633" t="s">
        <v>1910</v>
      </c>
      <c r="N633" t="s">
        <v>1284</v>
      </c>
      <c r="O633">
        <v>0</v>
      </c>
      <c r="P633">
        <v>0</v>
      </c>
      <c r="Q633" t="s">
        <v>381</v>
      </c>
    </row>
    <row r="634" spans="1:17" x14ac:dyDescent="0.15">
      <c r="A634" t="s">
        <v>63</v>
      </c>
      <c r="B634" t="s">
        <v>95</v>
      </c>
      <c r="C634">
        <v>163</v>
      </c>
      <c r="D634" t="s">
        <v>161</v>
      </c>
      <c r="E634" s="1">
        <v>43056</v>
      </c>
      <c r="F634" t="s">
        <v>383</v>
      </c>
      <c r="G634" t="s">
        <v>1367</v>
      </c>
      <c r="H634">
        <v>-100</v>
      </c>
      <c r="I634" t="s">
        <v>39</v>
      </c>
      <c r="J634">
        <v>0</v>
      </c>
      <c r="M634" t="s">
        <v>241</v>
      </c>
      <c r="N634" t="s">
        <v>1370</v>
      </c>
    </row>
    <row r="635" spans="1:17" x14ac:dyDescent="0.15">
      <c r="A635" t="s">
        <v>63</v>
      </c>
      <c r="B635" t="s">
        <v>95</v>
      </c>
      <c r="C635">
        <v>163</v>
      </c>
      <c r="D635" t="s">
        <v>161</v>
      </c>
      <c r="E635" s="1">
        <v>43056</v>
      </c>
      <c r="F635" t="s">
        <v>383</v>
      </c>
      <c r="G635" t="s">
        <v>1367</v>
      </c>
      <c r="H635">
        <v>-100</v>
      </c>
      <c r="I635" t="s">
        <v>39</v>
      </c>
      <c r="J635">
        <v>0</v>
      </c>
      <c r="M635" t="s">
        <v>1910</v>
      </c>
      <c r="N635" t="s">
        <v>1370</v>
      </c>
      <c r="O635">
        <v>0</v>
      </c>
      <c r="P635">
        <v>0</v>
      </c>
      <c r="Q635" t="s">
        <v>381</v>
      </c>
    </row>
    <row r="636" spans="1:17" x14ac:dyDescent="0.15">
      <c r="A636" t="s">
        <v>63</v>
      </c>
      <c r="B636" t="s">
        <v>95</v>
      </c>
      <c r="C636">
        <v>163</v>
      </c>
      <c r="D636" t="s">
        <v>161</v>
      </c>
      <c r="E636" s="1">
        <v>43060</v>
      </c>
      <c r="F636" t="s">
        <v>383</v>
      </c>
      <c r="G636" t="s">
        <v>1393</v>
      </c>
      <c r="H636">
        <v>61</v>
      </c>
      <c r="I636" t="s">
        <v>39</v>
      </c>
      <c r="J636">
        <v>0</v>
      </c>
      <c r="M636" t="s">
        <v>241</v>
      </c>
      <c r="N636" t="s">
        <v>1395</v>
      </c>
    </row>
    <row r="637" spans="1:17" x14ac:dyDescent="0.15">
      <c r="A637" t="s">
        <v>63</v>
      </c>
      <c r="B637" t="s">
        <v>95</v>
      </c>
      <c r="C637">
        <v>163</v>
      </c>
      <c r="D637" t="s">
        <v>161</v>
      </c>
      <c r="E637" s="1">
        <v>43060</v>
      </c>
      <c r="F637" t="s">
        <v>383</v>
      </c>
      <c r="G637" t="s">
        <v>1393</v>
      </c>
      <c r="H637">
        <v>61</v>
      </c>
      <c r="I637" t="s">
        <v>39</v>
      </c>
      <c r="J637">
        <v>0</v>
      </c>
      <c r="M637" t="s">
        <v>1910</v>
      </c>
      <c r="N637" t="s">
        <v>1395</v>
      </c>
      <c r="O637">
        <v>0</v>
      </c>
      <c r="P637">
        <v>0</v>
      </c>
      <c r="Q637" t="s">
        <v>381</v>
      </c>
    </row>
    <row r="638" spans="1:17" x14ac:dyDescent="0.15">
      <c r="A638" t="s">
        <v>63</v>
      </c>
      <c r="B638" t="s">
        <v>95</v>
      </c>
      <c r="C638">
        <v>163</v>
      </c>
      <c r="D638" t="s">
        <v>161</v>
      </c>
      <c r="E638" s="1">
        <v>43061</v>
      </c>
      <c r="F638" t="s">
        <v>17</v>
      </c>
      <c r="G638" t="s">
        <v>1654</v>
      </c>
      <c r="H638">
        <v>200</v>
      </c>
      <c r="I638" t="s">
        <v>39</v>
      </c>
      <c r="J638">
        <v>0</v>
      </c>
      <c r="K638">
        <v>0</v>
      </c>
      <c r="L638" t="s">
        <v>375</v>
      </c>
      <c r="M638" t="s">
        <v>241</v>
      </c>
      <c r="N638" t="s">
        <v>1658</v>
      </c>
    </row>
    <row r="639" spans="1:17" x14ac:dyDescent="0.15">
      <c r="A639" t="s">
        <v>63</v>
      </c>
      <c r="B639" t="s">
        <v>95</v>
      </c>
      <c r="C639">
        <v>163</v>
      </c>
      <c r="D639" t="s">
        <v>161</v>
      </c>
      <c r="E639" s="1">
        <v>43061</v>
      </c>
      <c r="F639" t="s">
        <v>17</v>
      </c>
      <c r="G639" t="s">
        <v>1654</v>
      </c>
      <c r="H639">
        <v>200</v>
      </c>
      <c r="I639" t="s">
        <v>39</v>
      </c>
      <c r="J639">
        <v>0</v>
      </c>
      <c r="K639">
        <v>0</v>
      </c>
      <c r="L639" t="s">
        <v>375</v>
      </c>
      <c r="M639" t="s">
        <v>1910</v>
      </c>
      <c r="N639" t="s">
        <v>1658</v>
      </c>
      <c r="O639">
        <v>0</v>
      </c>
      <c r="P639">
        <v>0</v>
      </c>
      <c r="Q639" t="s">
        <v>381</v>
      </c>
    </row>
    <row r="640" spans="1:17" x14ac:dyDescent="0.15">
      <c r="A640" t="s">
        <v>63</v>
      </c>
      <c r="B640" t="s">
        <v>95</v>
      </c>
      <c r="C640">
        <v>163</v>
      </c>
      <c r="D640" t="s">
        <v>161</v>
      </c>
      <c r="E640" s="1">
        <v>43069</v>
      </c>
      <c r="F640" t="s">
        <v>383</v>
      </c>
      <c r="G640" t="s">
        <v>1413</v>
      </c>
      <c r="H640">
        <v>-100</v>
      </c>
      <c r="I640" t="s">
        <v>39</v>
      </c>
      <c r="J640">
        <v>0</v>
      </c>
      <c r="M640" t="s">
        <v>241</v>
      </c>
      <c r="N640" t="s">
        <v>1414</v>
      </c>
    </row>
    <row r="641" spans="1:17" x14ac:dyDescent="0.15">
      <c r="A641" t="s">
        <v>63</v>
      </c>
      <c r="B641" t="s">
        <v>95</v>
      </c>
      <c r="C641">
        <v>163</v>
      </c>
      <c r="D641" t="s">
        <v>161</v>
      </c>
      <c r="E641" s="1">
        <v>43069</v>
      </c>
      <c r="F641" t="s">
        <v>383</v>
      </c>
      <c r="G641" t="s">
        <v>1413</v>
      </c>
      <c r="H641">
        <v>-100</v>
      </c>
      <c r="I641" t="s">
        <v>39</v>
      </c>
      <c r="J641">
        <v>0</v>
      </c>
      <c r="M641" t="s">
        <v>1910</v>
      </c>
      <c r="N641" t="s">
        <v>1414</v>
      </c>
      <c r="O641">
        <v>0</v>
      </c>
      <c r="P641">
        <v>0</v>
      </c>
      <c r="Q641" t="s">
        <v>381</v>
      </c>
    </row>
    <row r="642" spans="1:17" x14ac:dyDescent="0.15">
      <c r="A642" t="s">
        <v>63</v>
      </c>
      <c r="B642" t="s">
        <v>95</v>
      </c>
      <c r="C642">
        <v>163</v>
      </c>
      <c r="D642" t="s">
        <v>161</v>
      </c>
      <c r="E642" s="1">
        <v>43088</v>
      </c>
      <c r="F642" t="s">
        <v>383</v>
      </c>
      <c r="G642" t="s">
        <v>1470</v>
      </c>
      <c r="H642">
        <v>-461</v>
      </c>
      <c r="I642" t="s">
        <v>39</v>
      </c>
      <c r="J642">
        <v>0</v>
      </c>
      <c r="M642" t="s">
        <v>241</v>
      </c>
      <c r="N642" t="s">
        <v>1472</v>
      </c>
    </row>
    <row r="643" spans="1:17" x14ac:dyDescent="0.15">
      <c r="A643" t="s">
        <v>63</v>
      </c>
      <c r="B643" t="s">
        <v>95</v>
      </c>
      <c r="C643">
        <v>163</v>
      </c>
      <c r="D643" t="s">
        <v>161</v>
      </c>
      <c r="E643" s="1">
        <v>43088</v>
      </c>
      <c r="F643" t="s">
        <v>383</v>
      </c>
      <c r="G643" t="s">
        <v>1470</v>
      </c>
      <c r="H643">
        <v>-461</v>
      </c>
      <c r="I643" t="s">
        <v>39</v>
      </c>
      <c r="J643">
        <v>0</v>
      </c>
      <c r="M643" t="s">
        <v>1910</v>
      </c>
      <c r="N643" t="s">
        <v>1472</v>
      </c>
      <c r="O643">
        <v>0</v>
      </c>
      <c r="P643">
        <v>0</v>
      </c>
      <c r="Q643" t="s">
        <v>381</v>
      </c>
    </row>
    <row r="644" spans="1:17" x14ac:dyDescent="0.15">
      <c r="A644" t="s">
        <v>103</v>
      </c>
      <c r="B644" t="s">
        <v>104</v>
      </c>
      <c r="C644">
        <v>163</v>
      </c>
      <c r="D644" t="s">
        <v>161</v>
      </c>
      <c r="E644" s="1">
        <v>42830</v>
      </c>
      <c r="F644" t="s">
        <v>383</v>
      </c>
      <c r="G644" t="s">
        <v>433</v>
      </c>
      <c r="H644">
        <v>-16</v>
      </c>
      <c r="I644" t="s">
        <v>37</v>
      </c>
      <c r="J644">
        <v>0</v>
      </c>
      <c r="M644" t="s">
        <v>241</v>
      </c>
      <c r="N644" t="s">
        <v>434</v>
      </c>
    </row>
    <row r="645" spans="1:17" x14ac:dyDescent="0.15">
      <c r="A645" t="s">
        <v>103</v>
      </c>
      <c r="B645" t="s">
        <v>104</v>
      </c>
      <c r="C645">
        <v>163</v>
      </c>
      <c r="D645" t="s">
        <v>161</v>
      </c>
      <c r="E645" s="1">
        <v>42830</v>
      </c>
      <c r="F645" t="s">
        <v>383</v>
      </c>
      <c r="G645" t="s">
        <v>433</v>
      </c>
      <c r="H645">
        <v>-16</v>
      </c>
      <c r="I645" t="s">
        <v>37</v>
      </c>
      <c r="J645">
        <v>0</v>
      </c>
      <c r="M645" t="s">
        <v>1910</v>
      </c>
      <c r="N645" t="s">
        <v>434</v>
      </c>
      <c r="O645">
        <v>0</v>
      </c>
      <c r="P645">
        <v>0</v>
      </c>
      <c r="Q645" t="s">
        <v>381</v>
      </c>
    </row>
    <row r="646" spans="1:17" x14ac:dyDescent="0.15">
      <c r="A646" t="s">
        <v>103</v>
      </c>
      <c r="B646" t="s">
        <v>104</v>
      </c>
      <c r="C646">
        <v>163</v>
      </c>
      <c r="D646" t="s">
        <v>161</v>
      </c>
      <c r="E646" s="1">
        <v>42836</v>
      </c>
      <c r="F646" t="s">
        <v>383</v>
      </c>
      <c r="G646" t="s">
        <v>448</v>
      </c>
      <c r="H646">
        <v>-343</v>
      </c>
      <c r="I646" t="s">
        <v>37</v>
      </c>
      <c r="J646">
        <v>0</v>
      </c>
      <c r="M646" t="s">
        <v>241</v>
      </c>
      <c r="N646" t="s">
        <v>449</v>
      </c>
    </row>
    <row r="647" spans="1:17" x14ac:dyDescent="0.15">
      <c r="A647" t="s">
        <v>103</v>
      </c>
      <c r="B647" t="s">
        <v>104</v>
      </c>
      <c r="C647">
        <v>163</v>
      </c>
      <c r="D647" t="s">
        <v>161</v>
      </c>
      <c r="E647" s="1">
        <v>42836</v>
      </c>
      <c r="F647" t="s">
        <v>383</v>
      </c>
      <c r="G647" t="s">
        <v>448</v>
      </c>
      <c r="H647">
        <v>-343</v>
      </c>
      <c r="I647" t="s">
        <v>37</v>
      </c>
      <c r="J647">
        <v>0</v>
      </c>
      <c r="M647" t="s">
        <v>1910</v>
      </c>
      <c r="N647" t="s">
        <v>449</v>
      </c>
      <c r="O647">
        <v>0</v>
      </c>
      <c r="P647">
        <v>0</v>
      </c>
      <c r="Q647" t="s">
        <v>381</v>
      </c>
    </row>
    <row r="648" spans="1:17" x14ac:dyDescent="0.15">
      <c r="A648" t="s">
        <v>103</v>
      </c>
      <c r="B648" t="s">
        <v>104</v>
      </c>
      <c r="C648">
        <v>163</v>
      </c>
      <c r="D648" t="s">
        <v>161</v>
      </c>
      <c r="E648" s="1">
        <v>42836</v>
      </c>
      <c r="F648" t="s">
        <v>186</v>
      </c>
      <c r="G648" t="s">
        <v>897</v>
      </c>
      <c r="H648">
        <v>343</v>
      </c>
      <c r="I648" t="s">
        <v>37</v>
      </c>
      <c r="J648">
        <v>0</v>
      </c>
      <c r="M648" t="s">
        <v>241</v>
      </c>
      <c r="N648" t="s">
        <v>915</v>
      </c>
    </row>
    <row r="649" spans="1:17" x14ac:dyDescent="0.15">
      <c r="A649" t="s">
        <v>103</v>
      </c>
      <c r="B649" t="s">
        <v>104</v>
      </c>
      <c r="C649">
        <v>163</v>
      </c>
      <c r="D649" t="s">
        <v>161</v>
      </c>
      <c r="E649" s="1">
        <v>42836</v>
      </c>
      <c r="F649" t="s">
        <v>186</v>
      </c>
      <c r="G649" t="s">
        <v>897</v>
      </c>
      <c r="H649">
        <v>343</v>
      </c>
      <c r="I649" t="s">
        <v>37</v>
      </c>
      <c r="J649">
        <v>0</v>
      </c>
      <c r="M649" t="s">
        <v>1910</v>
      </c>
      <c r="N649" t="s">
        <v>915</v>
      </c>
      <c r="O649">
        <v>0</v>
      </c>
      <c r="P649">
        <v>0</v>
      </c>
      <c r="Q649" t="s">
        <v>381</v>
      </c>
    </row>
    <row r="650" spans="1:17" x14ac:dyDescent="0.15">
      <c r="A650" t="s">
        <v>103</v>
      </c>
      <c r="B650" t="s">
        <v>104</v>
      </c>
      <c r="C650">
        <v>163</v>
      </c>
      <c r="D650" t="s">
        <v>161</v>
      </c>
      <c r="E650" s="1">
        <v>42836</v>
      </c>
      <c r="F650" t="s">
        <v>186</v>
      </c>
      <c r="G650" t="s">
        <v>899</v>
      </c>
      <c r="H650">
        <v>407</v>
      </c>
      <c r="I650" t="s">
        <v>37</v>
      </c>
      <c r="J650">
        <v>0</v>
      </c>
      <c r="M650" t="s">
        <v>241</v>
      </c>
      <c r="N650" t="s">
        <v>916</v>
      </c>
    </row>
    <row r="651" spans="1:17" x14ac:dyDescent="0.15">
      <c r="A651" t="s">
        <v>103</v>
      </c>
      <c r="B651" t="s">
        <v>104</v>
      </c>
      <c r="C651">
        <v>163</v>
      </c>
      <c r="D651" t="s">
        <v>161</v>
      </c>
      <c r="E651" s="1">
        <v>42836</v>
      </c>
      <c r="F651" t="s">
        <v>186</v>
      </c>
      <c r="G651" t="s">
        <v>899</v>
      </c>
      <c r="H651">
        <v>407</v>
      </c>
      <c r="I651" t="s">
        <v>37</v>
      </c>
      <c r="J651">
        <v>0</v>
      </c>
      <c r="M651" t="s">
        <v>1910</v>
      </c>
      <c r="N651" t="s">
        <v>916</v>
      </c>
      <c r="O651">
        <v>0</v>
      </c>
      <c r="P651">
        <v>0</v>
      </c>
      <c r="Q651" t="s">
        <v>381</v>
      </c>
    </row>
    <row r="652" spans="1:17" x14ac:dyDescent="0.15">
      <c r="A652" t="s">
        <v>103</v>
      </c>
      <c r="B652" t="s">
        <v>104</v>
      </c>
      <c r="C652">
        <v>163</v>
      </c>
      <c r="D652" t="s">
        <v>161</v>
      </c>
      <c r="E652" s="1">
        <v>42838</v>
      </c>
      <c r="F652" t="s">
        <v>186</v>
      </c>
      <c r="G652" t="s">
        <v>902</v>
      </c>
      <c r="H652">
        <v>514</v>
      </c>
      <c r="I652" t="s">
        <v>37</v>
      </c>
      <c r="J652">
        <v>0</v>
      </c>
      <c r="M652" t="s">
        <v>241</v>
      </c>
      <c r="N652" t="s">
        <v>918</v>
      </c>
    </row>
    <row r="653" spans="1:17" x14ac:dyDescent="0.15">
      <c r="A653" t="s">
        <v>103</v>
      </c>
      <c r="B653" t="s">
        <v>104</v>
      </c>
      <c r="C653">
        <v>163</v>
      </c>
      <c r="D653" t="s">
        <v>161</v>
      </c>
      <c r="E653" s="1">
        <v>42838</v>
      </c>
      <c r="F653" t="s">
        <v>186</v>
      </c>
      <c r="G653" t="s">
        <v>902</v>
      </c>
      <c r="H653">
        <v>514</v>
      </c>
      <c r="I653" t="s">
        <v>37</v>
      </c>
      <c r="J653">
        <v>0</v>
      </c>
      <c r="M653" t="s">
        <v>1910</v>
      </c>
      <c r="N653" t="s">
        <v>918</v>
      </c>
      <c r="O653">
        <v>0</v>
      </c>
      <c r="P653">
        <v>0</v>
      </c>
      <c r="Q653" t="s">
        <v>381</v>
      </c>
    </row>
    <row r="654" spans="1:17" x14ac:dyDescent="0.15">
      <c r="A654" t="s">
        <v>103</v>
      </c>
      <c r="B654" t="s">
        <v>104</v>
      </c>
      <c r="C654">
        <v>163</v>
      </c>
      <c r="D654" t="s">
        <v>161</v>
      </c>
      <c r="E654" s="1">
        <v>42839</v>
      </c>
      <c r="F654" t="s">
        <v>383</v>
      </c>
      <c r="G654" t="s">
        <v>479</v>
      </c>
      <c r="H654">
        <v>-514</v>
      </c>
      <c r="I654" t="s">
        <v>37</v>
      </c>
      <c r="J654">
        <v>0</v>
      </c>
      <c r="M654" t="s">
        <v>241</v>
      </c>
      <c r="N654" t="s">
        <v>480</v>
      </c>
    </row>
    <row r="655" spans="1:17" x14ac:dyDescent="0.15">
      <c r="A655" t="s">
        <v>103</v>
      </c>
      <c r="B655" t="s">
        <v>104</v>
      </c>
      <c r="C655">
        <v>163</v>
      </c>
      <c r="D655" t="s">
        <v>161</v>
      </c>
      <c r="E655" s="1">
        <v>42839</v>
      </c>
      <c r="F655" t="s">
        <v>383</v>
      </c>
      <c r="G655" t="s">
        <v>479</v>
      </c>
      <c r="H655">
        <v>-514</v>
      </c>
      <c r="I655" t="s">
        <v>37</v>
      </c>
      <c r="J655">
        <v>0</v>
      </c>
      <c r="M655" t="s">
        <v>1910</v>
      </c>
      <c r="N655" t="s">
        <v>480</v>
      </c>
      <c r="O655">
        <v>0</v>
      </c>
      <c r="P655">
        <v>0</v>
      </c>
      <c r="Q655" t="s">
        <v>381</v>
      </c>
    </row>
    <row r="656" spans="1:17" x14ac:dyDescent="0.15">
      <c r="A656" t="s">
        <v>103</v>
      </c>
      <c r="B656" t="s">
        <v>104</v>
      </c>
      <c r="C656">
        <v>163</v>
      </c>
      <c r="D656" t="s">
        <v>161</v>
      </c>
      <c r="E656" s="1">
        <v>42851</v>
      </c>
      <c r="F656" t="s">
        <v>383</v>
      </c>
      <c r="G656" t="s">
        <v>523</v>
      </c>
      <c r="H656">
        <v>-185</v>
      </c>
      <c r="I656" t="s">
        <v>37</v>
      </c>
      <c r="J656">
        <v>0</v>
      </c>
      <c r="M656" t="s">
        <v>241</v>
      </c>
      <c r="N656" t="s">
        <v>524</v>
      </c>
    </row>
    <row r="657" spans="1:17" x14ac:dyDescent="0.15">
      <c r="A657" t="s">
        <v>103</v>
      </c>
      <c r="B657" t="s">
        <v>104</v>
      </c>
      <c r="C657">
        <v>163</v>
      </c>
      <c r="D657" t="s">
        <v>161</v>
      </c>
      <c r="E657" s="1">
        <v>42851</v>
      </c>
      <c r="F657" t="s">
        <v>383</v>
      </c>
      <c r="G657" t="s">
        <v>523</v>
      </c>
      <c r="H657">
        <v>-185</v>
      </c>
      <c r="I657" t="s">
        <v>37</v>
      </c>
      <c r="J657">
        <v>0</v>
      </c>
      <c r="M657" t="s">
        <v>1910</v>
      </c>
      <c r="N657" t="s">
        <v>524</v>
      </c>
      <c r="O657">
        <v>0</v>
      </c>
      <c r="P657">
        <v>0</v>
      </c>
      <c r="Q657" t="s">
        <v>381</v>
      </c>
    </row>
    <row r="658" spans="1:17" x14ac:dyDescent="0.15">
      <c r="A658" t="s">
        <v>103</v>
      </c>
      <c r="B658" t="s">
        <v>104</v>
      </c>
      <c r="C658">
        <v>163</v>
      </c>
      <c r="D658" t="s">
        <v>161</v>
      </c>
      <c r="E658" s="1">
        <v>42853</v>
      </c>
      <c r="F658" t="s">
        <v>186</v>
      </c>
      <c r="G658" t="s">
        <v>905</v>
      </c>
      <c r="H658">
        <v>-222</v>
      </c>
      <c r="I658" t="s">
        <v>37</v>
      </c>
      <c r="J658">
        <v>0</v>
      </c>
      <c r="M658" t="s">
        <v>241</v>
      </c>
      <c r="N658" t="s">
        <v>920</v>
      </c>
    </row>
    <row r="659" spans="1:17" x14ac:dyDescent="0.15">
      <c r="A659" t="s">
        <v>103</v>
      </c>
      <c r="B659" t="s">
        <v>104</v>
      </c>
      <c r="C659">
        <v>163</v>
      </c>
      <c r="D659" t="s">
        <v>161</v>
      </c>
      <c r="E659" s="1">
        <v>42853</v>
      </c>
      <c r="F659" t="s">
        <v>186</v>
      </c>
      <c r="G659" t="s">
        <v>905</v>
      </c>
      <c r="H659">
        <v>-222</v>
      </c>
      <c r="I659" t="s">
        <v>37</v>
      </c>
      <c r="J659">
        <v>0</v>
      </c>
      <c r="M659" t="s">
        <v>1910</v>
      </c>
      <c r="N659" t="s">
        <v>920</v>
      </c>
      <c r="O659">
        <v>0</v>
      </c>
      <c r="P659">
        <v>0</v>
      </c>
      <c r="Q659" t="s">
        <v>381</v>
      </c>
    </row>
    <row r="660" spans="1:17" x14ac:dyDescent="0.15">
      <c r="A660" t="s">
        <v>103</v>
      </c>
      <c r="B660" t="s">
        <v>104</v>
      </c>
      <c r="C660">
        <v>163</v>
      </c>
      <c r="D660" t="s">
        <v>161</v>
      </c>
      <c r="E660" s="1">
        <v>42932</v>
      </c>
      <c r="F660" t="s">
        <v>186</v>
      </c>
      <c r="G660" t="s">
        <v>1766</v>
      </c>
      <c r="H660">
        <v>16</v>
      </c>
      <c r="I660" t="s">
        <v>37</v>
      </c>
      <c r="J660">
        <v>0</v>
      </c>
      <c r="M660" t="s">
        <v>241</v>
      </c>
      <c r="N660" t="s">
        <v>1842</v>
      </c>
    </row>
    <row r="661" spans="1:17" x14ac:dyDescent="0.15">
      <c r="A661" t="s">
        <v>103</v>
      </c>
      <c r="B661" t="s">
        <v>104</v>
      </c>
      <c r="C661">
        <v>163</v>
      </c>
      <c r="D661" t="s">
        <v>161</v>
      </c>
      <c r="E661" s="1">
        <v>42932</v>
      </c>
      <c r="F661" t="s">
        <v>186</v>
      </c>
      <c r="G661" t="s">
        <v>1766</v>
      </c>
      <c r="H661">
        <v>16</v>
      </c>
      <c r="I661" t="s">
        <v>37</v>
      </c>
      <c r="J661">
        <v>0</v>
      </c>
      <c r="M661" t="s">
        <v>1910</v>
      </c>
      <c r="N661" t="s">
        <v>1842</v>
      </c>
      <c r="O661">
        <v>0</v>
      </c>
      <c r="P661">
        <v>0</v>
      </c>
      <c r="Q661" t="s">
        <v>381</v>
      </c>
    </row>
    <row r="662" spans="1:17" x14ac:dyDescent="0.15">
      <c r="A662" t="s">
        <v>103</v>
      </c>
      <c r="B662" t="s">
        <v>104</v>
      </c>
      <c r="C662">
        <v>163</v>
      </c>
      <c r="D662" t="s">
        <v>161</v>
      </c>
      <c r="E662" s="1">
        <v>42932</v>
      </c>
      <c r="F662" t="s">
        <v>186</v>
      </c>
      <c r="G662" t="s">
        <v>1768</v>
      </c>
      <c r="H662">
        <v>84</v>
      </c>
      <c r="I662" t="s">
        <v>37</v>
      </c>
      <c r="J662">
        <v>0</v>
      </c>
      <c r="M662" t="s">
        <v>241</v>
      </c>
      <c r="N662" t="s">
        <v>1843</v>
      </c>
    </row>
    <row r="663" spans="1:17" x14ac:dyDescent="0.15">
      <c r="A663" t="s">
        <v>103</v>
      </c>
      <c r="B663" t="s">
        <v>104</v>
      </c>
      <c r="C663">
        <v>163</v>
      </c>
      <c r="D663" t="s">
        <v>161</v>
      </c>
      <c r="E663" s="1">
        <v>42932</v>
      </c>
      <c r="F663" t="s">
        <v>186</v>
      </c>
      <c r="G663" t="s">
        <v>1768</v>
      </c>
      <c r="H663">
        <v>84</v>
      </c>
      <c r="I663" t="s">
        <v>37</v>
      </c>
      <c r="J663">
        <v>0</v>
      </c>
      <c r="M663" t="s">
        <v>1910</v>
      </c>
      <c r="N663" t="s">
        <v>1843</v>
      </c>
      <c r="O663">
        <v>0</v>
      </c>
      <c r="P663">
        <v>0</v>
      </c>
      <c r="Q663" t="s">
        <v>381</v>
      </c>
    </row>
    <row r="664" spans="1:17" x14ac:dyDescent="0.15">
      <c r="A664" t="s">
        <v>103</v>
      </c>
      <c r="B664" t="s">
        <v>104</v>
      </c>
      <c r="C664">
        <v>163</v>
      </c>
      <c r="D664" t="s">
        <v>161</v>
      </c>
      <c r="E664" s="1">
        <v>42933</v>
      </c>
      <c r="F664" t="s">
        <v>383</v>
      </c>
      <c r="G664" t="s">
        <v>1076</v>
      </c>
      <c r="H664">
        <v>-16</v>
      </c>
      <c r="I664" t="s">
        <v>37</v>
      </c>
      <c r="J664">
        <v>0</v>
      </c>
      <c r="M664" t="s">
        <v>241</v>
      </c>
      <c r="N664" t="s">
        <v>1077</v>
      </c>
    </row>
    <row r="665" spans="1:17" x14ac:dyDescent="0.15">
      <c r="A665" t="s">
        <v>103</v>
      </c>
      <c r="B665" t="s">
        <v>104</v>
      </c>
      <c r="C665">
        <v>163</v>
      </c>
      <c r="D665" t="s">
        <v>161</v>
      </c>
      <c r="E665" s="1">
        <v>42933</v>
      </c>
      <c r="F665" t="s">
        <v>383</v>
      </c>
      <c r="G665" t="s">
        <v>1076</v>
      </c>
      <c r="H665">
        <v>-16</v>
      </c>
      <c r="I665" t="s">
        <v>37</v>
      </c>
      <c r="J665">
        <v>0</v>
      </c>
      <c r="M665" t="s">
        <v>1910</v>
      </c>
      <c r="N665" t="s">
        <v>1077</v>
      </c>
      <c r="O665">
        <v>0</v>
      </c>
      <c r="P665">
        <v>0</v>
      </c>
      <c r="Q665" t="s">
        <v>381</v>
      </c>
    </row>
    <row r="666" spans="1:17" x14ac:dyDescent="0.15">
      <c r="A666" t="s">
        <v>103</v>
      </c>
      <c r="B666" t="s">
        <v>104</v>
      </c>
      <c r="C666">
        <v>163</v>
      </c>
      <c r="D666" t="s">
        <v>161</v>
      </c>
      <c r="E666" s="1">
        <v>42933</v>
      </c>
      <c r="F666" t="s">
        <v>383</v>
      </c>
      <c r="G666" t="s">
        <v>1076</v>
      </c>
      <c r="H666">
        <v>-84</v>
      </c>
      <c r="I666" t="s">
        <v>37</v>
      </c>
      <c r="J666">
        <v>0</v>
      </c>
      <c r="M666" t="s">
        <v>241</v>
      </c>
      <c r="N666" t="s">
        <v>1078</v>
      </c>
    </row>
    <row r="667" spans="1:17" x14ac:dyDescent="0.15">
      <c r="A667" t="s">
        <v>103</v>
      </c>
      <c r="B667" t="s">
        <v>104</v>
      </c>
      <c r="C667">
        <v>163</v>
      </c>
      <c r="D667" t="s">
        <v>161</v>
      </c>
      <c r="E667" s="1">
        <v>42933</v>
      </c>
      <c r="F667" t="s">
        <v>383</v>
      </c>
      <c r="G667" t="s">
        <v>1076</v>
      </c>
      <c r="H667">
        <v>-84</v>
      </c>
      <c r="I667" t="s">
        <v>37</v>
      </c>
      <c r="J667">
        <v>0</v>
      </c>
      <c r="M667" t="s">
        <v>1910</v>
      </c>
      <c r="N667" t="s">
        <v>1078</v>
      </c>
      <c r="O667">
        <v>0</v>
      </c>
      <c r="P667">
        <v>0</v>
      </c>
      <c r="Q667" t="s">
        <v>381</v>
      </c>
    </row>
    <row r="668" spans="1:17" x14ac:dyDescent="0.15">
      <c r="A668" t="s">
        <v>103</v>
      </c>
      <c r="B668" t="s">
        <v>104</v>
      </c>
      <c r="C668">
        <v>163</v>
      </c>
      <c r="D668" t="s">
        <v>161</v>
      </c>
      <c r="E668" s="1">
        <v>42936</v>
      </c>
      <c r="F668" t="s">
        <v>383</v>
      </c>
      <c r="G668" t="s">
        <v>1085</v>
      </c>
      <c r="H668">
        <v>-16</v>
      </c>
      <c r="I668" t="s">
        <v>37</v>
      </c>
      <c r="J668">
        <v>0</v>
      </c>
      <c r="M668" t="s">
        <v>241</v>
      </c>
      <c r="N668" t="s">
        <v>1088</v>
      </c>
    </row>
    <row r="669" spans="1:17" x14ac:dyDescent="0.15">
      <c r="A669" t="s">
        <v>103</v>
      </c>
      <c r="B669" t="s">
        <v>104</v>
      </c>
      <c r="C669">
        <v>163</v>
      </c>
      <c r="D669" t="s">
        <v>161</v>
      </c>
      <c r="E669" s="1">
        <v>42936</v>
      </c>
      <c r="F669" t="s">
        <v>383</v>
      </c>
      <c r="G669" t="s">
        <v>1085</v>
      </c>
      <c r="H669">
        <v>-16</v>
      </c>
      <c r="I669" t="s">
        <v>37</v>
      </c>
      <c r="J669">
        <v>0</v>
      </c>
      <c r="M669" t="s">
        <v>1910</v>
      </c>
      <c r="N669" t="s">
        <v>1088</v>
      </c>
      <c r="O669">
        <v>0</v>
      </c>
      <c r="P669">
        <v>0</v>
      </c>
      <c r="Q669" t="s">
        <v>381</v>
      </c>
    </row>
    <row r="670" spans="1:17" x14ac:dyDescent="0.15">
      <c r="A670" t="s">
        <v>103</v>
      </c>
      <c r="B670" t="s">
        <v>104</v>
      </c>
      <c r="C670">
        <v>163</v>
      </c>
      <c r="D670" t="s">
        <v>161</v>
      </c>
      <c r="E670" s="1">
        <v>42936</v>
      </c>
      <c r="F670" t="s">
        <v>383</v>
      </c>
      <c r="G670" t="s">
        <v>1085</v>
      </c>
      <c r="H670">
        <v>-16</v>
      </c>
      <c r="I670" t="s">
        <v>37</v>
      </c>
      <c r="J670">
        <v>0</v>
      </c>
      <c r="M670" t="s">
        <v>241</v>
      </c>
      <c r="N670" t="s">
        <v>1089</v>
      </c>
    </row>
    <row r="671" spans="1:17" x14ac:dyDescent="0.15">
      <c r="A671" t="s">
        <v>103</v>
      </c>
      <c r="B671" t="s">
        <v>104</v>
      </c>
      <c r="C671">
        <v>163</v>
      </c>
      <c r="D671" t="s">
        <v>161</v>
      </c>
      <c r="E671" s="1">
        <v>42936</v>
      </c>
      <c r="F671" t="s">
        <v>383</v>
      </c>
      <c r="G671" t="s">
        <v>1085</v>
      </c>
      <c r="H671">
        <v>-16</v>
      </c>
      <c r="I671" t="s">
        <v>37</v>
      </c>
      <c r="J671">
        <v>0</v>
      </c>
      <c r="M671" t="s">
        <v>1910</v>
      </c>
      <c r="N671" t="s">
        <v>1089</v>
      </c>
      <c r="O671">
        <v>0</v>
      </c>
      <c r="P671">
        <v>0</v>
      </c>
      <c r="Q671" t="s">
        <v>381</v>
      </c>
    </row>
    <row r="672" spans="1:17" x14ac:dyDescent="0.15">
      <c r="A672" t="s">
        <v>103</v>
      </c>
      <c r="B672" t="s">
        <v>104</v>
      </c>
      <c r="C672">
        <v>163</v>
      </c>
      <c r="D672" t="s">
        <v>161</v>
      </c>
      <c r="E672" s="1">
        <v>42936</v>
      </c>
      <c r="F672" t="s">
        <v>17</v>
      </c>
      <c r="G672" t="s">
        <v>1521</v>
      </c>
      <c r="H672">
        <v>0</v>
      </c>
      <c r="I672" t="s">
        <v>37</v>
      </c>
      <c r="J672">
        <v>0</v>
      </c>
      <c r="M672" t="s">
        <v>241</v>
      </c>
      <c r="N672" t="s">
        <v>1522</v>
      </c>
    </row>
    <row r="673" spans="1:17" x14ac:dyDescent="0.15">
      <c r="A673" t="s">
        <v>103</v>
      </c>
      <c r="B673" t="s">
        <v>104</v>
      </c>
      <c r="C673">
        <v>163</v>
      </c>
      <c r="D673" t="s">
        <v>161</v>
      </c>
      <c r="E673" s="1">
        <v>42936</v>
      </c>
      <c r="F673" t="s">
        <v>17</v>
      </c>
      <c r="G673" t="s">
        <v>1521</v>
      </c>
      <c r="H673">
        <v>0</v>
      </c>
      <c r="I673" t="s">
        <v>37</v>
      </c>
      <c r="J673">
        <v>0</v>
      </c>
      <c r="M673" t="s">
        <v>1910</v>
      </c>
      <c r="N673" t="s">
        <v>1522</v>
      </c>
      <c r="O673">
        <v>0</v>
      </c>
      <c r="P673">
        <v>0</v>
      </c>
      <c r="Q673" t="s">
        <v>381</v>
      </c>
    </row>
    <row r="674" spans="1:17" x14ac:dyDescent="0.15">
      <c r="A674" t="s">
        <v>103</v>
      </c>
      <c r="B674" t="s">
        <v>104</v>
      </c>
      <c r="C674">
        <v>163</v>
      </c>
      <c r="D674" t="s">
        <v>161</v>
      </c>
      <c r="E674" s="1">
        <v>42936</v>
      </c>
      <c r="F674" t="s">
        <v>186</v>
      </c>
      <c r="G674" t="s">
        <v>1773</v>
      </c>
      <c r="H674">
        <v>16</v>
      </c>
      <c r="I674" t="s">
        <v>37</v>
      </c>
      <c r="J674">
        <v>0</v>
      </c>
      <c r="M674" t="s">
        <v>241</v>
      </c>
      <c r="N674" t="s">
        <v>1845</v>
      </c>
    </row>
    <row r="675" spans="1:17" x14ac:dyDescent="0.15">
      <c r="A675" t="s">
        <v>103</v>
      </c>
      <c r="B675" t="s">
        <v>104</v>
      </c>
      <c r="C675">
        <v>163</v>
      </c>
      <c r="D675" t="s">
        <v>161</v>
      </c>
      <c r="E675" s="1">
        <v>42936</v>
      </c>
      <c r="F675" t="s">
        <v>186</v>
      </c>
      <c r="G675" t="s">
        <v>1773</v>
      </c>
      <c r="H675">
        <v>16</v>
      </c>
      <c r="I675" t="s">
        <v>37</v>
      </c>
      <c r="J675">
        <v>0</v>
      </c>
      <c r="M675" t="s">
        <v>1910</v>
      </c>
      <c r="N675" t="s">
        <v>1845</v>
      </c>
      <c r="O675">
        <v>0</v>
      </c>
      <c r="P675">
        <v>0</v>
      </c>
      <c r="Q675" t="s">
        <v>381</v>
      </c>
    </row>
    <row r="676" spans="1:17" x14ac:dyDescent="0.15">
      <c r="A676" t="s">
        <v>103</v>
      </c>
      <c r="B676" t="s">
        <v>104</v>
      </c>
      <c r="C676">
        <v>163</v>
      </c>
      <c r="D676" t="s">
        <v>161</v>
      </c>
      <c r="E676" s="1">
        <v>42936</v>
      </c>
      <c r="F676" t="s">
        <v>186</v>
      </c>
      <c r="G676" t="s">
        <v>1773</v>
      </c>
      <c r="H676">
        <v>16</v>
      </c>
      <c r="I676" t="s">
        <v>37</v>
      </c>
      <c r="J676">
        <v>0</v>
      </c>
      <c r="M676" t="s">
        <v>241</v>
      </c>
      <c r="N676" t="s">
        <v>1846</v>
      </c>
    </row>
    <row r="677" spans="1:17" x14ac:dyDescent="0.15">
      <c r="A677" t="s">
        <v>103</v>
      </c>
      <c r="B677" t="s">
        <v>104</v>
      </c>
      <c r="C677">
        <v>163</v>
      </c>
      <c r="D677" t="s">
        <v>161</v>
      </c>
      <c r="E677" s="1">
        <v>42936</v>
      </c>
      <c r="F677" t="s">
        <v>186</v>
      </c>
      <c r="G677" t="s">
        <v>1773</v>
      </c>
      <c r="H677">
        <v>16</v>
      </c>
      <c r="I677" t="s">
        <v>37</v>
      </c>
      <c r="J677">
        <v>0</v>
      </c>
      <c r="M677" t="s">
        <v>1910</v>
      </c>
      <c r="N677" t="s">
        <v>1846</v>
      </c>
      <c r="O677">
        <v>0</v>
      </c>
      <c r="P677">
        <v>0</v>
      </c>
      <c r="Q677" t="s">
        <v>381</v>
      </c>
    </row>
    <row r="678" spans="1:17" x14ac:dyDescent="0.15">
      <c r="A678" t="s">
        <v>103</v>
      </c>
      <c r="B678" t="s">
        <v>104</v>
      </c>
      <c r="C678">
        <v>163</v>
      </c>
      <c r="D678" t="s">
        <v>161</v>
      </c>
      <c r="E678" s="1">
        <v>42936</v>
      </c>
      <c r="F678" t="s">
        <v>186</v>
      </c>
      <c r="G678" t="s">
        <v>1779</v>
      </c>
      <c r="H678">
        <v>1</v>
      </c>
      <c r="I678" t="s">
        <v>37</v>
      </c>
      <c r="J678">
        <v>0</v>
      </c>
      <c r="M678" t="s">
        <v>241</v>
      </c>
      <c r="N678" t="s">
        <v>1848</v>
      </c>
    </row>
    <row r="679" spans="1:17" x14ac:dyDescent="0.15">
      <c r="A679" t="s">
        <v>103</v>
      </c>
      <c r="B679" t="s">
        <v>104</v>
      </c>
      <c r="C679">
        <v>163</v>
      </c>
      <c r="D679" t="s">
        <v>161</v>
      </c>
      <c r="E679" s="1">
        <v>42936</v>
      </c>
      <c r="F679" t="s">
        <v>186</v>
      </c>
      <c r="G679" t="s">
        <v>1779</v>
      </c>
      <c r="H679">
        <v>1</v>
      </c>
      <c r="I679" t="s">
        <v>37</v>
      </c>
      <c r="J679">
        <v>0</v>
      </c>
      <c r="M679" t="s">
        <v>1910</v>
      </c>
      <c r="N679" t="s">
        <v>1848</v>
      </c>
      <c r="O679">
        <v>0</v>
      </c>
      <c r="P679">
        <v>0</v>
      </c>
      <c r="Q679" t="s">
        <v>381</v>
      </c>
    </row>
    <row r="680" spans="1:17" x14ac:dyDescent="0.15">
      <c r="A680" t="s">
        <v>103</v>
      </c>
      <c r="B680" t="s">
        <v>104</v>
      </c>
      <c r="C680">
        <v>163</v>
      </c>
      <c r="D680" t="s">
        <v>161</v>
      </c>
      <c r="E680" s="1">
        <v>42940</v>
      </c>
      <c r="F680" t="s">
        <v>383</v>
      </c>
      <c r="G680" t="s">
        <v>1103</v>
      </c>
      <c r="H680">
        <v>-1</v>
      </c>
      <c r="I680" t="s">
        <v>37</v>
      </c>
      <c r="J680">
        <v>0</v>
      </c>
      <c r="M680" t="s">
        <v>241</v>
      </c>
      <c r="N680" t="s">
        <v>1104</v>
      </c>
    </row>
    <row r="681" spans="1:17" x14ac:dyDescent="0.15">
      <c r="A681" t="s">
        <v>103</v>
      </c>
      <c r="B681" t="s">
        <v>104</v>
      </c>
      <c r="C681">
        <v>163</v>
      </c>
      <c r="D681" t="s">
        <v>161</v>
      </c>
      <c r="E681" s="1">
        <v>42940</v>
      </c>
      <c r="F681" t="s">
        <v>383</v>
      </c>
      <c r="G681" t="s">
        <v>1103</v>
      </c>
      <c r="H681">
        <v>-1</v>
      </c>
      <c r="I681" t="s">
        <v>37</v>
      </c>
      <c r="J681">
        <v>0</v>
      </c>
      <c r="M681" t="s">
        <v>1910</v>
      </c>
      <c r="N681" t="s">
        <v>1104</v>
      </c>
      <c r="O681">
        <v>0</v>
      </c>
      <c r="P681">
        <v>0</v>
      </c>
      <c r="Q681" t="s">
        <v>381</v>
      </c>
    </row>
    <row r="682" spans="1:17" x14ac:dyDescent="0.15">
      <c r="A682" t="s">
        <v>103</v>
      </c>
      <c r="B682" t="s">
        <v>104</v>
      </c>
      <c r="C682">
        <v>163</v>
      </c>
      <c r="D682" t="s">
        <v>161</v>
      </c>
      <c r="E682" s="1">
        <v>42940</v>
      </c>
      <c r="F682" t="s">
        <v>186</v>
      </c>
      <c r="G682" t="s">
        <v>1784</v>
      </c>
      <c r="H682">
        <v>68</v>
      </c>
      <c r="I682" t="s">
        <v>37</v>
      </c>
      <c r="J682">
        <v>0</v>
      </c>
      <c r="M682" t="s">
        <v>241</v>
      </c>
      <c r="N682" t="s">
        <v>1850</v>
      </c>
    </row>
    <row r="683" spans="1:17" x14ac:dyDescent="0.15">
      <c r="A683" t="s">
        <v>103</v>
      </c>
      <c r="B683" t="s">
        <v>104</v>
      </c>
      <c r="C683">
        <v>163</v>
      </c>
      <c r="D683" t="s">
        <v>161</v>
      </c>
      <c r="E683" s="1">
        <v>42940</v>
      </c>
      <c r="F683" t="s">
        <v>186</v>
      </c>
      <c r="G683" t="s">
        <v>1784</v>
      </c>
      <c r="H683">
        <v>68</v>
      </c>
      <c r="I683" t="s">
        <v>37</v>
      </c>
      <c r="J683">
        <v>0</v>
      </c>
      <c r="M683" t="s">
        <v>1910</v>
      </c>
      <c r="N683" t="s">
        <v>1850</v>
      </c>
      <c r="O683">
        <v>0</v>
      </c>
      <c r="P683">
        <v>0</v>
      </c>
      <c r="Q683" t="s">
        <v>381</v>
      </c>
    </row>
    <row r="684" spans="1:17" x14ac:dyDescent="0.15">
      <c r="A684" t="s">
        <v>103</v>
      </c>
      <c r="B684" t="s">
        <v>104</v>
      </c>
      <c r="C684">
        <v>163</v>
      </c>
      <c r="D684" t="s">
        <v>161</v>
      </c>
      <c r="E684" s="1">
        <v>42940</v>
      </c>
      <c r="F684" t="s">
        <v>186</v>
      </c>
      <c r="G684" t="s">
        <v>1786</v>
      </c>
      <c r="H684">
        <v>262</v>
      </c>
      <c r="I684" t="s">
        <v>37</v>
      </c>
      <c r="J684">
        <v>0</v>
      </c>
      <c r="M684" t="s">
        <v>241</v>
      </c>
      <c r="N684" t="s">
        <v>1851</v>
      </c>
    </row>
    <row r="685" spans="1:17" x14ac:dyDescent="0.15">
      <c r="A685" t="s">
        <v>103</v>
      </c>
      <c r="B685" t="s">
        <v>104</v>
      </c>
      <c r="C685">
        <v>163</v>
      </c>
      <c r="D685" t="s">
        <v>161</v>
      </c>
      <c r="E685" s="1">
        <v>42940</v>
      </c>
      <c r="F685" t="s">
        <v>186</v>
      </c>
      <c r="G685" t="s">
        <v>1786</v>
      </c>
      <c r="H685">
        <v>262</v>
      </c>
      <c r="I685" t="s">
        <v>37</v>
      </c>
      <c r="J685">
        <v>0</v>
      </c>
      <c r="M685" t="s">
        <v>1910</v>
      </c>
      <c r="N685" t="s">
        <v>1851</v>
      </c>
      <c r="O685">
        <v>0</v>
      </c>
      <c r="P685">
        <v>0</v>
      </c>
      <c r="Q685" t="s">
        <v>381</v>
      </c>
    </row>
    <row r="686" spans="1:17" x14ac:dyDescent="0.15">
      <c r="A686" t="s">
        <v>103</v>
      </c>
      <c r="B686" t="s">
        <v>104</v>
      </c>
      <c r="C686">
        <v>163</v>
      </c>
      <c r="D686" t="s">
        <v>161</v>
      </c>
      <c r="E686" s="1">
        <v>42940</v>
      </c>
      <c r="F686" t="s">
        <v>186</v>
      </c>
      <c r="G686" t="s">
        <v>1786</v>
      </c>
      <c r="H686">
        <v>84</v>
      </c>
      <c r="I686" t="s">
        <v>37</v>
      </c>
      <c r="J686">
        <v>0</v>
      </c>
      <c r="M686" t="s">
        <v>241</v>
      </c>
      <c r="N686" t="s">
        <v>1852</v>
      </c>
    </row>
    <row r="687" spans="1:17" x14ac:dyDescent="0.15">
      <c r="A687" t="s">
        <v>103</v>
      </c>
      <c r="B687" t="s">
        <v>104</v>
      </c>
      <c r="C687">
        <v>163</v>
      </c>
      <c r="D687" t="s">
        <v>161</v>
      </c>
      <c r="E687" s="1">
        <v>42940</v>
      </c>
      <c r="F687" t="s">
        <v>186</v>
      </c>
      <c r="G687" t="s">
        <v>1786</v>
      </c>
      <c r="H687">
        <v>84</v>
      </c>
      <c r="I687" t="s">
        <v>37</v>
      </c>
      <c r="J687">
        <v>0</v>
      </c>
      <c r="M687" t="s">
        <v>1910</v>
      </c>
      <c r="N687" t="s">
        <v>1852</v>
      </c>
      <c r="O687">
        <v>0</v>
      </c>
      <c r="P687">
        <v>0</v>
      </c>
      <c r="Q687" t="s">
        <v>381</v>
      </c>
    </row>
    <row r="688" spans="1:17" x14ac:dyDescent="0.15">
      <c r="A688" t="s">
        <v>103</v>
      </c>
      <c r="B688" t="s">
        <v>104</v>
      </c>
      <c r="C688">
        <v>163</v>
      </c>
      <c r="D688" t="s">
        <v>161</v>
      </c>
      <c r="E688" s="1">
        <v>42940</v>
      </c>
      <c r="F688" t="s">
        <v>186</v>
      </c>
      <c r="G688" t="s">
        <v>1786</v>
      </c>
      <c r="H688">
        <v>258</v>
      </c>
      <c r="I688" t="s">
        <v>37</v>
      </c>
      <c r="J688">
        <v>0</v>
      </c>
      <c r="M688" t="s">
        <v>241</v>
      </c>
      <c r="N688" t="s">
        <v>1853</v>
      </c>
    </row>
    <row r="689" spans="1:17" x14ac:dyDescent="0.15">
      <c r="A689" t="s">
        <v>103</v>
      </c>
      <c r="B689" t="s">
        <v>104</v>
      </c>
      <c r="C689">
        <v>163</v>
      </c>
      <c r="D689" t="s">
        <v>161</v>
      </c>
      <c r="E689" s="1">
        <v>42940</v>
      </c>
      <c r="F689" t="s">
        <v>186</v>
      </c>
      <c r="G689" t="s">
        <v>1786</v>
      </c>
      <c r="H689">
        <v>258</v>
      </c>
      <c r="I689" t="s">
        <v>37</v>
      </c>
      <c r="J689">
        <v>0</v>
      </c>
      <c r="M689" t="s">
        <v>1910</v>
      </c>
      <c r="N689" t="s">
        <v>1853</v>
      </c>
      <c r="O689">
        <v>0</v>
      </c>
      <c r="P689">
        <v>0</v>
      </c>
      <c r="Q689" t="s">
        <v>381</v>
      </c>
    </row>
    <row r="690" spans="1:17" x14ac:dyDescent="0.15">
      <c r="A690" t="s">
        <v>103</v>
      </c>
      <c r="B690" t="s">
        <v>104</v>
      </c>
      <c r="C690">
        <v>163</v>
      </c>
      <c r="D690" t="s">
        <v>161</v>
      </c>
      <c r="E690" s="1">
        <v>42940</v>
      </c>
      <c r="F690" t="s">
        <v>186</v>
      </c>
      <c r="G690" t="s">
        <v>1790</v>
      </c>
      <c r="H690">
        <v>2</v>
      </c>
      <c r="I690" t="s">
        <v>37</v>
      </c>
      <c r="J690">
        <v>0</v>
      </c>
      <c r="M690" t="s">
        <v>241</v>
      </c>
      <c r="N690" t="s">
        <v>1854</v>
      </c>
    </row>
    <row r="691" spans="1:17" x14ac:dyDescent="0.15">
      <c r="A691" t="s">
        <v>103</v>
      </c>
      <c r="B691" t="s">
        <v>104</v>
      </c>
      <c r="C691">
        <v>163</v>
      </c>
      <c r="D691" t="s">
        <v>161</v>
      </c>
      <c r="E691" s="1">
        <v>42940</v>
      </c>
      <c r="F691" t="s">
        <v>186</v>
      </c>
      <c r="G691" t="s">
        <v>1790</v>
      </c>
      <c r="H691">
        <v>2</v>
      </c>
      <c r="I691" t="s">
        <v>37</v>
      </c>
      <c r="J691">
        <v>0</v>
      </c>
      <c r="M691" t="s">
        <v>1910</v>
      </c>
      <c r="N691" t="s">
        <v>1854</v>
      </c>
      <c r="O691">
        <v>0</v>
      </c>
      <c r="P691">
        <v>0</v>
      </c>
      <c r="Q691" t="s">
        <v>381</v>
      </c>
    </row>
    <row r="692" spans="1:17" x14ac:dyDescent="0.15">
      <c r="A692" t="s">
        <v>103</v>
      </c>
      <c r="B692" t="s">
        <v>104</v>
      </c>
      <c r="C692">
        <v>163</v>
      </c>
      <c r="D692" t="s">
        <v>161</v>
      </c>
      <c r="E692" s="1">
        <v>42940</v>
      </c>
      <c r="F692" t="s">
        <v>186</v>
      </c>
      <c r="G692" t="s">
        <v>1790</v>
      </c>
      <c r="H692">
        <v>8</v>
      </c>
      <c r="I692" t="s">
        <v>37</v>
      </c>
      <c r="J692">
        <v>0</v>
      </c>
      <c r="M692" t="s">
        <v>241</v>
      </c>
      <c r="N692" t="s">
        <v>1855</v>
      </c>
    </row>
    <row r="693" spans="1:17" x14ac:dyDescent="0.15">
      <c r="A693" t="s">
        <v>103</v>
      </c>
      <c r="B693" t="s">
        <v>104</v>
      </c>
      <c r="C693">
        <v>163</v>
      </c>
      <c r="D693" t="s">
        <v>161</v>
      </c>
      <c r="E693" s="1">
        <v>42940</v>
      </c>
      <c r="F693" t="s">
        <v>186</v>
      </c>
      <c r="G693" t="s">
        <v>1790</v>
      </c>
      <c r="H693">
        <v>8</v>
      </c>
      <c r="I693" t="s">
        <v>37</v>
      </c>
      <c r="J693">
        <v>0</v>
      </c>
      <c r="M693" t="s">
        <v>1910</v>
      </c>
      <c r="N693" t="s">
        <v>1855</v>
      </c>
      <c r="O693">
        <v>0</v>
      </c>
      <c r="P693">
        <v>0</v>
      </c>
      <c r="Q693" t="s">
        <v>381</v>
      </c>
    </row>
    <row r="694" spans="1:17" x14ac:dyDescent="0.15">
      <c r="A694" t="s">
        <v>103</v>
      </c>
      <c r="B694" t="s">
        <v>104</v>
      </c>
      <c r="C694">
        <v>163</v>
      </c>
      <c r="D694" t="s">
        <v>161</v>
      </c>
      <c r="E694" s="1">
        <v>42940</v>
      </c>
      <c r="F694" t="s">
        <v>186</v>
      </c>
      <c r="G694" t="s">
        <v>1790</v>
      </c>
      <c r="H694">
        <v>32</v>
      </c>
      <c r="I694" t="s">
        <v>37</v>
      </c>
      <c r="J694">
        <v>0</v>
      </c>
      <c r="M694" t="s">
        <v>241</v>
      </c>
      <c r="N694" t="s">
        <v>1856</v>
      </c>
    </row>
    <row r="695" spans="1:17" x14ac:dyDescent="0.15">
      <c r="A695" t="s">
        <v>103</v>
      </c>
      <c r="B695" t="s">
        <v>104</v>
      </c>
      <c r="C695">
        <v>163</v>
      </c>
      <c r="D695" t="s">
        <v>161</v>
      </c>
      <c r="E695" s="1">
        <v>42940</v>
      </c>
      <c r="F695" t="s">
        <v>186</v>
      </c>
      <c r="G695" t="s">
        <v>1790</v>
      </c>
      <c r="H695">
        <v>32</v>
      </c>
      <c r="I695" t="s">
        <v>37</v>
      </c>
      <c r="J695">
        <v>0</v>
      </c>
      <c r="M695" t="s">
        <v>1910</v>
      </c>
      <c r="N695" t="s">
        <v>1856</v>
      </c>
      <c r="O695">
        <v>0</v>
      </c>
      <c r="P695">
        <v>0</v>
      </c>
      <c r="Q695" t="s">
        <v>381</v>
      </c>
    </row>
    <row r="696" spans="1:17" x14ac:dyDescent="0.15">
      <c r="A696" t="s">
        <v>103</v>
      </c>
      <c r="B696" t="s">
        <v>104</v>
      </c>
      <c r="C696">
        <v>163</v>
      </c>
      <c r="D696" t="s">
        <v>161</v>
      </c>
      <c r="E696" s="1">
        <v>42940</v>
      </c>
      <c r="F696" t="s">
        <v>186</v>
      </c>
      <c r="G696" t="s">
        <v>1790</v>
      </c>
      <c r="H696">
        <v>3</v>
      </c>
      <c r="I696" t="s">
        <v>37</v>
      </c>
      <c r="J696">
        <v>0</v>
      </c>
      <c r="M696" t="s">
        <v>241</v>
      </c>
      <c r="N696" t="s">
        <v>1857</v>
      </c>
    </row>
    <row r="697" spans="1:17" x14ac:dyDescent="0.15">
      <c r="A697" t="s">
        <v>103</v>
      </c>
      <c r="B697" t="s">
        <v>104</v>
      </c>
      <c r="C697">
        <v>163</v>
      </c>
      <c r="D697" t="s">
        <v>161</v>
      </c>
      <c r="E697" s="1">
        <v>42940</v>
      </c>
      <c r="F697" t="s">
        <v>186</v>
      </c>
      <c r="G697" t="s">
        <v>1790</v>
      </c>
      <c r="H697">
        <v>3</v>
      </c>
      <c r="I697" t="s">
        <v>37</v>
      </c>
      <c r="J697">
        <v>0</v>
      </c>
      <c r="M697" t="s">
        <v>1910</v>
      </c>
      <c r="N697" t="s">
        <v>1857</v>
      </c>
      <c r="O697">
        <v>0</v>
      </c>
      <c r="P697">
        <v>0</v>
      </c>
      <c r="Q697" t="s">
        <v>381</v>
      </c>
    </row>
    <row r="698" spans="1:17" x14ac:dyDescent="0.15">
      <c r="A698" t="s">
        <v>103</v>
      </c>
      <c r="B698" t="s">
        <v>104</v>
      </c>
      <c r="C698">
        <v>163</v>
      </c>
      <c r="D698" t="s">
        <v>161</v>
      </c>
      <c r="E698" s="1">
        <v>42940</v>
      </c>
      <c r="F698" t="s">
        <v>186</v>
      </c>
      <c r="G698" t="s">
        <v>1790</v>
      </c>
      <c r="H698">
        <v>12</v>
      </c>
      <c r="I698" t="s">
        <v>37</v>
      </c>
      <c r="J698">
        <v>0</v>
      </c>
      <c r="M698" t="s">
        <v>241</v>
      </c>
      <c r="N698" t="s">
        <v>1858</v>
      </c>
    </row>
    <row r="699" spans="1:17" x14ac:dyDescent="0.15">
      <c r="A699" t="s">
        <v>103</v>
      </c>
      <c r="B699" t="s">
        <v>104</v>
      </c>
      <c r="C699">
        <v>163</v>
      </c>
      <c r="D699" t="s">
        <v>161</v>
      </c>
      <c r="E699" s="1">
        <v>42940</v>
      </c>
      <c r="F699" t="s">
        <v>186</v>
      </c>
      <c r="G699" t="s">
        <v>1790</v>
      </c>
      <c r="H699">
        <v>12</v>
      </c>
      <c r="I699" t="s">
        <v>37</v>
      </c>
      <c r="J699">
        <v>0</v>
      </c>
      <c r="M699" t="s">
        <v>1910</v>
      </c>
      <c r="N699" t="s">
        <v>1858</v>
      </c>
      <c r="O699">
        <v>0</v>
      </c>
      <c r="P699">
        <v>0</v>
      </c>
      <c r="Q699" t="s">
        <v>381</v>
      </c>
    </row>
    <row r="700" spans="1:17" x14ac:dyDescent="0.15">
      <c r="A700" t="s">
        <v>103</v>
      </c>
      <c r="B700" t="s">
        <v>104</v>
      </c>
      <c r="C700">
        <v>163</v>
      </c>
      <c r="D700" t="s">
        <v>161</v>
      </c>
      <c r="E700" s="1">
        <v>42941</v>
      </c>
      <c r="F700" t="s">
        <v>383</v>
      </c>
      <c r="G700" t="s">
        <v>1115</v>
      </c>
      <c r="H700">
        <v>-84</v>
      </c>
      <c r="I700" t="s">
        <v>37</v>
      </c>
      <c r="J700">
        <v>0</v>
      </c>
      <c r="M700" t="s">
        <v>241</v>
      </c>
      <c r="N700" t="s">
        <v>1116</v>
      </c>
    </row>
    <row r="701" spans="1:17" x14ac:dyDescent="0.15">
      <c r="A701" t="s">
        <v>103</v>
      </c>
      <c r="B701" t="s">
        <v>104</v>
      </c>
      <c r="C701">
        <v>163</v>
      </c>
      <c r="D701" t="s">
        <v>161</v>
      </c>
      <c r="E701" s="1">
        <v>42941</v>
      </c>
      <c r="F701" t="s">
        <v>383</v>
      </c>
      <c r="G701" t="s">
        <v>1115</v>
      </c>
      <c r="H701">
        <v>-84</v>
      </c>
      <c r="I701" t="s">
        <v>37</v>
      </c>
      <c r="J701">
        <v>0</v>
      </c>
      <c r="M701" t="s">
        <v>1910</v>
      </c>
      <c r="N701" t="s">
        <v>1116</v>
      </c>
      <c r="O701">
        <v>0</v>
      </c>
      <c r="P701">
        <v>0</v>
      </c>
      <c r="Q701" t="s">
        <v>381</v>
      </c>
    </row>
    <row r="702" spans="1:17" x14ac:dyDescent="0.15">
      <c r="A702" t="s">
        <v>103</v>
      </c>
      <c r="B702" t="s">
        <v>104</v>
      </c>
      <c r="C702">
        <v>163</v>
      </c>
      <c r="D702" t="s">
        <v>161</v>
      </c>
      <c r="E702" s="1">
        <v>42941</v>
      </c>
      <c r="F702" t="s">
        <v>383</v>
      </c>
      <c r="G702" t="s">
        <v>1115</v>
      </c>
      <c r="H702">
        <v>-258</v>
      </c>
      <c r="I702" t="s">
        <v>37</v>
      </c>
      <c r="J702">
        <v>0</v>
      </c>
      <c r="M702" t="s">
        <v>241</v>
      </c>
      <c r="N702" t="s">
        <v>1117</v>
      </c>
    </row>
    <row r="703" spans="1:17" x14ac:dyDescent="0.15">
      <c r="A703" t="s">
        <v>103</v>
      </c>
      <c r="B703" t="s">
        <v>104</v>
      </c>
      <c r="C703">
        <v>163</v>
      </c>
      <c r="D703" t="s">
        <v>161</v>
      </c>
      <c r="E703" s="1">
        <v>42941</v>
      </c>
      <c r="F703" t="s">
        <v>383</v>
      </c>
      <c r="G703" t="s">
        <v>1115</v>
      </c>
      <c r="H703">
        <v>-258</v>
      </c>
      <c r="I703" t="s">
        <v>37</v>
      </c>
      <c r="J703">
        <v>0</v>
      </c>
      <c r="M703" t="s">
        <v>1910</v>
      </c>
      <c r="N703" t="s">
        <v>1117</v>
      </c>
      <c r="O703">
        <v>0</v>
      </c>
      <c r="P703">
        <v>0</v>
      </c>
      <c r="Q703" t="s">
        <v>381</v>
      </c>
    </row>
    <row r="704" spans="1:17" x14ac:dyDescent="0.15">
      <c r="A704" t="s">
        <v>103</v>
      </c>
      <c r="B704" t="s">
        <v>104</v>
      </c>
      <c r="C704">
        <v>163</v>
      </c>
      <c r="D704" t="s">
        <v>161</v>
      </c>
      <c r="E704" s="1">
        <v>42941</v>
      </c>
      <c r="F704" t="s">
        <v>383</v>
      </c>
      <c r="G704" t="s">
        <v>1115</v>
      </c>
      <c r="H704">
        <v>-262</v>
      </c>
      <c r="I704" t="s">
        <v>37</v>
      </c>
      <c r="J704">
        <v>0</v>
      </c>
      <c r="M704" t="s">
        <v>241</v>
      </c>
      <c r="N704" t="s">
        <v>1118</v>
      </c>
    </row>
    <row r="705" spans="1:17" x14ac:dyDescent="0.15">
      <c r="A705" t="s">
        <v>103</v>
      </c>
      <c r="B705" t="s">
        <v>104</v>
      </c>
      <c r="C705">
        <v>163</v>
      </c>
      <c r="D705" t="s">
        <v>161</v>
      </c>
      <c r="E705" s="1">
        <v>42941</v>
      </c>
      <c r="F705" t="s">
        <v>383</v>
      </c>
      <c r="G705" t="s">
        <v>1115</v>
      </c>
      <c r="H705">
        <v>-262</v>
      </c>
      <c r="I705" t="s">
        <v>37</v>
      </c>
      <c r="J705">
        <v>0</v>
      </c>
      <c r="M705" t="s">
        <v>1910</v>
      </c>
      <c r="N705" t="s">
        <v>1118</v>
      </c>
      <c r="O705">
        <v>0</v>
      </c>
      <c r="P705">
        <v>0</v>
      </c>
      <c r="Q705" t="s">
        <v>381</v>
      </c>
    </row>
    <row r="706" spans="1:17" x14ac:dyDescent="0.15">
      <c r="A706" t="s">
        <v>103</v>
      </c>
      <c r="B706" t="s">
        <v>104</v>
      </c>
      <c r="C706">
        <v>163</v>
      </c>
      <c r="D706" t="s">
        <v>161</v>
      </c>
      <c r="E706" s="1">
        <v>42941</v>
      </c>
      <c r="F706" t="s">
        <v>383</v>
      </c>
      <c r="G706" t="s">
        <v>1115</v>
      </c>
      <c r="H706">
        <v>-68</v>
      </c>
      <c r="I706" t="s">
        <v>37</v>
      </c>
      <c r="J706">
        <v>0</v>
      </c>
      <c r="K706">
        <v>0</v>
      </c>
      <c r="M706" t="s">
        <v>241</v>
      </c>
      <c r="N706" t="s">
        <v>1119</v>
      </c>
    </row>
    <row r="707" spans="1:17" x14ac:dyDescent="0.15">
      <c r="A707" t="s">
        <v>103</v>
      </c>
      <c r="B707" t="s">
        <v>104</v>
      </c>
      <c r="C707">
        <v>163</v>
      </c>
      <c r="D707" t="s">
        <v>161</v>
      </c>
      <c r="E707" s="1">
        <v>42941</v>
      </c>
      <c r="F707" t="s">
        <v>383</v>
      </c>
      <c r="G707" t="s">
        <v>1115</v>
      </c>
      <c r="H707">
        <v>-68</v>
      </c>
      <c r="I707" t="s">
        <v>37</v>
      </c>
      <c r="J707">
        <v>0</v>
      </c>
      <c r="K707">
        <v>0</v>
      </c>
      <c r="M707" t="s">
        <v>1910</v>
      </c>
      <c r="N707" t="s">
        <v>1119</v>
      </c>
      <c r="O707">
        <v>0</v>
      </c>
      <c r="P707">
        <v>0</v>
      </c>
      <c r="Q707" t="s">
        <v>381</v>
      </c>
    </row>
    <row r="708" spans="1:17" x14ac:dyDescent="0.15">
      <c r="A708" t="s">
        <v>103</v>
      </c>
      <c r="B708" t="s">
        <v>104</v>
      </c>
      <c r="C708">
        <v>163</v>
      </c>
      <c r="D708" t="s">
        <v>161</v>
      </c>
      <c r="E708" s="1">
        <v>42941</v>
      </c>
      <c r="F708" t="s">
        <v>383</v>
      </c>
      <c r="G708" t="s">
        <v>1115</v>
      </c>
      <c r="H708">
        <v>-2</v>
      </c>
      <c r="I708" t="s">
        <v>37</v>
      </c>
      <c r="J708">
        <v>0</v>
      </c>
      <c r="M708" t="s">
        <v>241</v>
      </c>
      <c r="N708" t="s">
        <v>1120</v>
      </c>
    </row>
    <row r="709" spans="1:17" x14ac:dyDescent="0.15">
      <c r="A709" t="s">
        <v>103</v>
      </c>
      <c r="B709" t="s">
        <v>104</v>
      </c>
      <c r="C709">
        <v>163</v>
      </c>
      <c r="D709" t="s">
        <v>161</v>
      </c>
      <c r="E709" s="1">
        <v>42941</v>
      </c>
      <c r="F709" t="s">
        <v>383</v>
      </c>
      <c r="G709" t="s">
        <v>1115</v>
      </c>
      <c r="H709">
        <v>-2</v>
      </c>
      <c r="I709" t="s">
        <v>37</v>
      </c>
      <c r="J709">
        <v>0</v>
      </c>
      <c r="M709" t="s">
        <v>1910</v>
      </c>
      <c r="N709" t="s">
        <v>1120</v>
      </c>
      <c r="O709">
        <v>0</v>
      </c>
      <c r="P709">
        <v>0</v>
      </c>
      <c r="Q709" t="s">
        <v>381</v>
      </c>
    </row>
    <row r="710" spans="1:17" x14ac:dyDescent="0.15">
      <c r="A710" t="s">
        <v>103</v>
      </c>
      <c r="B710" t="s">
        <v>104</v>
      </c>
      <c r="C710">
        <v>163</v>
      </c>
      <c r="D710" t="s">
        <v>161</v>
      </c>
      <c r="E710" s="1">
        <v>42941</v>
      </c>
      <c r="F710" t="s">
        <v>383</v>
      </c>
      <c r="G710" t="s">
        <v>1115</v>
      </c>
      <c r="H710">
        <v>-8</v>
      </c>
      <c r="I710" t="s">
        <v>37</v>
      </c>
      <c r="J710">
        <v>0</v>
      </c>
      <c r="M710" t="s">
        <v>241</v>
      </c>
      <c r="N710" t="s">
        <v>1121</v>
      </c>
    </row>
    <row r="711" spans="1:17" x14ac:dyDescent="0.15">
      <c r="A711" t="s">
        <v>103</v>
      </c>
      <c r="B711" t="s">
        <v>104</v>
      </c>
      <c r="C711">
        <v>163</v>
      </c>
      <c r="D711" t="s">
        <v>161</v>
      </c>
      <c r="E711" s="1">
        <v>42941</v>
      </c>
      <c r="F711" t="s">
        <v>383</v>
      </c>
      <c r="G711" t="s">
        <v>1115</v>
      </c>
      <c r="H711">
        <v>-8</v>
      </c>
      <c r="I711" t="s">
        <v>37</v>
      </c>
      <c r="J711">
        <v>0</v>
      </c>
      <c r="M711" t="s">
        <v>1910</v>
      </c>
      <c r="N711" t="s">
        <v>1121</v>
      </c>
      <c r="O711">
        <v>0</v>
      </c>
      <c r="P711">
        <v>0</v>
      </c>
      <c r="Q711" t="s">
        <v>381</v>
      </c>
    </row>
    <row r="712" spans="1:17" x14ac:dyDescent="0.15">
      <c r="A712" t="s">
        <v>103</v>
      </c>
      <c r="B712" t="s">
        <v>104</v>
      </c>
      <c r="C712">
        <v>163</v>
      </c>
      <c r="D712" t="s">
        <v>161</v>
      </c>
      <c r="E712" s="1">
        <v>42941</v>
      </c>
      <c r="F712" t="s">
        <v>383</v>
      </c>
      <c r="G712" t="s">
        <v>1115</v>
      </c>
      <c r="H712">
        <v>-32</v>
      </c>
      <c r="I712" t="s">
        <v>37</v>
      </c>
      <c r="J712">
        <v>0</v>
      </c>
      <c r="M712" t="s">
        <v>241</v>
      </c>
      <c r="N712" t="s">
        <v>1122</v>
      </c>
    </row>
    <row r="713" spans="1:17" x14ac:dyDescent="0.15">
      <c r="A713" t="s">
        <v>103</v>
      </c>
      <c r="B713" t="s">
        <v>104</v>
      </c>
      <c r="C713">
        <v>163</v>
      </c>
      <c r="D713" t="s">
        <v>161</v>
      </c>
      <c r="E713" s="1">
        <v>42941</v>
      </c>
      <c r="F713" t="s">
        <v>383</v>
      </c>
      <c r="G713" t="s">
        <v>1115</v>
      </c>
      <c r="H713">
        <v>-32</v>
      </c>
      <c r="I713" t="s">
        <v>37</v>
      </c>
      <c r="J713">
        <v>0</v>
      </c>
      <c r="M713" t="s">
        <v>1910</v>
      </c>
      <c r="N713" t="s">
        <v>1122</v>
      </c>
      <c r="O713">
        <v>0</v>
      </c>
      <c r="P713">
        <v>0</v>
      </c>
      <c r="Q713" t="s">
        <v>381</v>
      </c>
    </row>
    <row r="714" spans="1:17" x14ac:dyDescent="0.15">
      <c r="A714" t="s">
        <v>103</v>
      </c>
      <c r="B714" t="s">
        <v>104</v>
      </c>
      <c r="C714">
        <v>163</v>
      </c>
      <c r="D714" t="s">
        <v>161</v>
      </c>
      <c r="E714" s="1">
        <v>42941</v>
      </c>
      <c r="F714" t="s">
        <v>383</v>
      </c>
      <c r="G714" t="s">
        <v>1115</v>
      </c>
      <c r="H714">
        <v>-3</v>
      </c>
      <c r="I714" t="s">
        <v>37</v>
      </c>
      <c r="J714">
        <v>0</v>
      </c>
      <c r="M714" t="s">
        <v>241</v>
      </c>
      <c r="N714" t="s">
        <v>1123</v>
      </c>
    </row>
    <row r="715" spans="1:17" x14ac:dyDescent="0.15">
      <c r="A715" t="s">
        <v>103</v>
      </c>
      <c r="B715" t="s">
        <v>104</v>
      </c>
      <c r="C715">
        <v>163</v>
      </c>
      <c r="D715" t="s">
        <v>161</v>
      </c>
      <c r="E715" s="1">
        <v>42941</v>
      </c>
      <c r="F715" t="s">
        <v>383</v>
      </c>
      <c r="G715" t="s">
        <v>1115</v>
      </c>
      <c r="H715">
        <v>-3</v>
      </c>
      <c r="I715" t="s">
        <v>37</v>
      </c>
      <c r="J715">
        <v>0</v>
      </c>
      <c r="M715" t="s">
        <v>1910</v>
      </c>
      <c r="N715" t="s">
        <v>1123</v>
      </c>
      <c r="O715">
        <v>0</v>
      </c>
      <c r="P715">
        <v>0</v>
      </c>
      <c r="Q715" t="s">
        <v>381</v>
      </c>
    </row>
    <row r="716" spans="1:17" x14ac:dyDescent="0.15">
      <c r="A716" t="s">
        <v>103</v>
      </c>
      <c r="B716" t="s">
        <v>104</v>
      </c>
      <c r="C716">
        <v>163</v>
      </c>
      <c r="D716" t="s">
        <v>161</v>
      </c>
      <c r="E716" s="1">
        <v>42941</v>
      </c>
      <c r="F716" t="s">
        <v>383</v>
      </c>
      <c r="G716" t="s">
        <v>1115</v>
      </c>
      <c r="H716">
        <v>-12</v>
      </c>
      <c r="I716" t="s">
        <v>37</v>
      </c>
      <c r="J716">
        <v>0</v>
      </c>
      <c r="M716" t="s">
        <v>241</v>
      </c>
      <c r="N716" t="s">
        <v>1124</v>
      </c>
    </row>
    <row r="717" spans="1:17" x14ac:dyDescent="0.15">
      <c r="A717" t="s">
        <v>103</v>
      </c>
      <c r="B717" t="s">
        <v>104</v>
      </c>
      <c r="C717">
        <v>163</v>
      </c>
      <c r="D717" t="s">
        <v>161</v>
      </c>
      <c r="E717" s="1">
        <v>42941</v>
      </c>
      <c r="F717" t="s">
        <v>383</v>
      </c>
      <c r="G717" t="s">
        <v>1115</v>
      </c>
      <c r="H717">
        <v>-12</v>
      </c>
      <c r="I717" t="s">
        <v>37</v>
      </c>
      <c r="J717">
        <v>0</v>
      </c>
      <c r="M717" t="s">
        <v>1910</v>
      </c>
      <c r="N717" t="s">
        <v>1124</v>
      </c>
      <c r="O717">
        <v>0</v>
      </c>
      <c r="P717">
        <v>0</v>
      </c>
      <c r="Q717" t="s">
        <v>381</v>
      </c>
    </row>
    <row r="718" spans="1:17" x14ac:dyDescent="0.15">
      <c r="A718" t="s">
        <v>103</v>
      </c>
      <c r="B718" t="s">
        <v>104</v>
      </c>
      <c r="C718">
        <v>163</v>
      </c>
      <c r="D718" t="s">
        <v>161</v>
      </c>
      <c r="E718" s="1">
        <v>42947</v>
      </c>
      <c r="F718" t="s">
        <v>383</v>
      </c>
      <c r="G718" t="s">
        <v>1129</v>
      </c>
      <c r="H718">
        <v>-47</v>
      </c>
      <c r="I718" t="s">
        <v>37</v>
      </c>
      <c r="J718">
        <v>0</v>
      </c>
      <c r="M718" t="s">
        <v>241</v>
      </c>
      <c r="N718" t="s">
        <v>1130</v>
      </c>
    </row>
    <row r="719" spans="1:17" x14ac:dyDescent="0.15">
      <c r="A719" t="s">
        <v>103</v>
      </c>
      <c r="B719" t="s">
        <v>104</v>
      </c>
      <c r="C719">
        <v>163</v>
      </c>
      <c r="D719" t="s">
        <v>161</v>
      </c>
      <c r="E719" s="1">
        <v>42947</v>
      </c>
      <c r="F719" t="s">
        <v>383</v>
      </c>
      <c r="G719" t="s">
        <v>1129</v>
      </c>
      <c r="H719">
        <v>-47</v>
      </c>
      <c r="I719" t="s">
        <v>37</v>
      </c>
      <c r="J719">
        <v>0</v>
      </c>
      <c r="M719" t="s">
        <v>1910</v>
      </c>
      <c r="N719" t="s">
        <v>1130</v>
      </c>
      <c r="O719">
        <v>0</v>
      </c>
      <c r="P719">
        <v>0</v>
      </c>
      <c r="Q719" t="s">
        <v>381</v>
      </c>
    </row>
    <row r="720" spans="1:17" x14ac:dyDescent="0.15">
      <c r="A720" t="s">
        <v>103</v>
      </c>
      <c r="B720" t="s">
        <v>104</v>
      </c>
      <c r="C720">
        <v>163</v>
      </c>
      <c r="D720" t="s">
        <v>161</v>
      </c>
      <c r="E720" s="1">
        <v>42947</v>
      </c>
      <c r="F720" t="s">
        <v>383</v>
      </c>
      <c r="G720" t="s">
        <v>1129</v>
      </c>
      <c r="H720">
        <v>-37</v>
      </c>
      <c r="I720" t="s">
        <v>37</v>
      </c>
      <c r="J720">
        <v>0</v>
      </c>
      <c r="M720" t="s">
        <v>241</v>
      </c>
      <c r="N720" t="s">
        <v>1131</v>
      </c>
    </row>
    <row r="721" spans="1:17" x14ac:dyDescent="0.15">
      <c r="A721" t="s">
        <v>103</v>
      </c>
      <c r="B721" t="s">
        <v>104</v>
      </c>
      <c r="C721">
        <v>163</v>
      </c>
      <c r="D721" t="s">
        <v>161</v>
      </c>
      <c r="E721" s="1">
        <v>42947</v>
      </c>
      <c r="F721" t="s">
        <v>383</v>
      </c>
      <c r="G721" t="s">
        <v>1129</v>
      </c>
      <c r="H721">
        <v>-37</v>
      </c>
      <c r="I721" t="s">
        <v>37</v>
      </c>
      <c r="J721">
        <v>0</v>
      </c>
      <c r="M721" t="s">
        <v>1910</v>
      </c>
      <c r="N721" t="s">
        <v>1131</v>
      </c>
      <c r="O721">
        <v>0</v>
      </c>
      <c r="P721">
        <v>0</v>
      </c>
      <c r="Q721" t="s">
        <v>381</v>
      </c>
    </row>
    <row r="722" spans="1:17" x14ac:dyDescent="0.15">
      <c r="A722" t="s">
        <v>103</v>
      </c>
      <c r="B722" t="s">
        <v>104</v>
      </c>
      <c r="C722">
        <v>163</v>
      </c>
      <c r="D722" t="s">
        <v>161</v>
      </c>
      <c r="E722" s="1">
        <v>42947</v>
      </c>
      <c r="F722" t="s">
        <v>383</v>
      </c>
      <c r="G722" t="s">
        <v>1129</v>
      </c>
      <c r="H722">
        <v>-52</v>
      </c>
      <c r="I722" t="s">
        <v>37</v>
      </c>
      <c r="J722">
        <v>0</v>
      </c>
      <c r="M722" t="s">
        <v>241</v>
      </c>
      <c r="N722" t="s">
        <v>1132</v>
      </c>
    </row>
    <row r="723" spans="1:17" x14ac:dyDescent="0.15">
      <c r="A723" t="s">
        <v>103</v>
      </c>
      <c r="B723" t="s">
        <v>104</v>
      </c>
      <c r="C723">
        <v>163</v>
      </c>
      <c r="D723" t="s">
        <v>161</v>
      </c>
      <c r="E723" s="1">
        <v>42947</v>
      </c>
      <c r="F723" t="s">
        <v>383</v>
      </c>
      <c r="G723" t="s">
        <v>1129</v>
      </c>
      <c r="H723">
        <v>-52</v>
      </c>
      <c r="I723" t="s">
        <v>37</v>
      </c>
      <c r="J723">
        <v>0</v>
      </c>
      <c r="M723" t="s">
        <v>1910</v>
      </c>
      <c r="N723" t="s">
        <v>1132</v>
      </c>
      <c r="O723">
        <v>0</v>
      </c>
      <c r="P723">
        <v>0</v>
      </c>
      <c r="Q723" t="s">
        <v>381</v>
      </c>
    </row>
    <row r="724" spans="1:17" x14ac:dyDescent="0.15">
      <c r="A724" t="s">
        <v>103</v>
      </c>
      <c r="B724" t="s">
        <v>104</v>
      </c>
      <c r="C724">
        <v>163</v>
      </c>
      <c r="D724" t="s">
        <v>161</v>
      </c>
      <c r="E724" s="1">
        <v>42947</v>
      </c>
      <c r="F724" t="s">
        <v>383</v>
      </c>
      <c r="G724" t="s">
        <v>1129</v>
      </c>
      <c r="H724">
        <v>-6</v>
      </c>
      <c r="I724" t="s">
        <v>37</v>
      </c>
      <c r="J724">
        <v>0</v>
      </c>
      <c r="M724" t="s">
        <v>241</v>
      </c>
      <c r="N724" t="s">
        <v>1133</v>
      </c>
    </row>
    <row r="725" spans="1:17" x14ac:dyDescent="0.15">
      <c r="A725" t="s">
        <v>103</v>
      </c>
      <c r="B725" t="s">
        <v>104</v>
      </c>
      <c r="C725">
        <v>163</v>
      </c>
      <c r="D725" t="s">
        <v>161</v>
      </c>
      <c r="E725" s="1">
        <v>42947</v>
      </c>
      <c r="F725" t="s">
        <v>383</v>
      </c>
      <c r="G725" t="s">
        <v>1129</v>
      </c>
      <c r="H725">
        <v>-6</v>
      </c>
      <c r="I725" t="s">
        <v>37</v>
      </c>
      <c r="J725">
        <v>0</v>
      </c>
      <c r="M725" t="s">
        <v>1910</v>
      </c>
      <c r="N725" t="s">
        <v>1133</v>
      </c>
      <c r="O725">
        <v>0</v>
      </c>
      <c r="P725">
        <v>0</v>
      </c>
      <c r="Q725" t="s">
        <v>381</v>
      </c>
    </row>
    <row r="726" spans="1:17" x14ac:dyDescent="0.15">
      <c r="A726" t="s">
        <v>103</v>
      </c>
      <c r="B726" t="s">
        <v>104</v>
      </c>
      <c r="C726">
        <v>163</v>
      </c>
      <c r="D726" t="s">
        <v>161</v>
      </c>
      <c r="E726" s="1">
        <v>42947</v>
      </c>
      <c r="F726" t="s">
        <v>186</v>
      </c>
      <c r="G726" t="s">
        <v>1799</v>
      </c>
      <c r="H726">
        <v>47</v>
      </c>
      <c r="I726" t="s">
        <v>37</v>
      </c>
      <c r="J726">
        <v>0</v>
      </c>
      <c r="M726" t="s">
        <v>241</v>
      </c>
      <c r="N726" t="s">
        <v>1860</v>
      </c>
    </row>
    <row r="727" spans="1:17" x14ac:dyDescent="0.15">
      <c r="A727" t="s">
        <v>103</v>
      </c>
      <c r="B727" t="s">
        <v>104</v>
      </c>
      <c r="C727">
        <v>163</v>
      </c>
      <c r="D727" t="s">
        <v>161</v>
      </c>
      <c r="E727" s="1">
        <v>42947</v>
      </c>
      <c r="F727" t="s">
        <v>186</v>
      </c>
      <c r="G727" t="s">
        <v>1799</v>
      </c>
      <c r="H727">
        <v>47</v>
      </c>
      <c r="I727" t="s">
        <v>37</v>
      </c>
      <c r="J727">
        <v>0</v>
      </c>
      <c r="M727" t="s">
        <v>1910</v>
      </c>
      <c r="N727" t="s">
        <v>1860</v>
      </c>
      <c r="O727">
        <v>0</v>
      </c>
      <c r="P727">
        <v>0</v>
      </c>
      <c r="Q727" t="s">
        <v>381</v>
      </c>
    </row>
    <row r="728" spans="1:17" x14ac:dyDescent="0.15">
      <c r="A728" t="s">
        <v>103</v>
      </c>
      <c r="B728" t="s">
        <v>104</v>
      </c>
      <c r="C728">
        <v>163</v>
      </c>
      <c r="D728" t="s">
        <v>161</v>
      </c>
      <c r="E728" s="1">
        <v>42947</v>
      </c>
      <c r="F728" t="s">
        <v>186</v>
      </c>
      <c r="G728" t="s">
        <v>1799</v>
      </c>
      <c r="H728">
        <v>37</v>
      </c>
      <c r="I728" t="s">
        <v>37</v>
      </c>
      <c r="J728">
        <v>0</v>
      </c>
      <c r="M728" t="s">
        <v>241</v>
      </c>
      <c r="N728" t="s">
        <v>1861</v>
      </c>
    </row>
    <row r="729" spans="1:17" x14ac:dyDescent="0.15">
      <c r="A729" t="s">
        <v>103</v>
      </c>
      <c r="B729" t="s">
        <v>104</v>
      </c>
      <c r="C729">
        <v>163</v>
      </c>
      <c r="D729" t="s">
        <v>161</v>
      </c>
      <c r="E729" s="1">
        <v>42947</v>
      </c>
      <c r="F729" t="s">
        <v>186</v>
      </c>
      <c r="G729" t="s">
        <v>1799</v>
      </c>
      <c r="H729">
        <v>37</v>
      </c>
      <c r="I729" t="s">
        <v>37</v>
      </c>
      <c r="J729">
        <v>0</v>
      </c>
      <c r="M729" t="s">
        <v>1910</v>
      </c>
      <c r="N729" t="s">
        <v>1861</v>
      </c>
      <c r="O729">
        <v>0</v>
      </c>
      <c r="P729">
        <v>0</v>
      </c>
      <c r="Q729" t="s">
        <v>381</v>
      </c>
    </row>
    <row r="730" spans="1:17" x14ac:dyDescent="0.15">
      <c r="A730" t="s">
        <v>103</v>
      </c>
      <c r="B730" t="s">
        <v>104</v>
      </c>
      <c r="C730">
        <v>163</v>
      </c>
      <c r="D730" t="s">
        <v>161</v>
      </c>
      <c r="E730" s="1">
        <v>42947</v>
      </c>
      <c r="F730" t="s">
        <v>186</v>
      </c>
      <c r="G730" t="s">
        <v>1799</v>
      </c>
      <c r="H730">
        <v>52</v>
      </c>
      <c r="I730" t="s">
        <v>37</v>
      </c>
      <c r="J730">
        <v>0</v>
      </c>
      <c r="M730" t="s">
        <v>241</v>
      </c>
      <c r="N730" t="s">
        <v>1862</v>
      </c>
    </row>
    <row r="731" spans="1:17" x14ac:dyDescent="0.15">
      <c r="A731" t="s">
        <v>103</v>
      </c>
      <c r="B731" t="s">
        <v>104</v>
      </c>
      <c r="C731">
        <v>163</v>
      </c>
      <c r="D731" t="s">
        <v>161</v>
      </c>
      <c r="E731" s="1">
        <v>42947</v>
      </c>
      <c r="F731" t="s">
        <v>186</v>
      </c>
      <c r="G731" t="s">
        <v>1799</v>
      </c>
      <c r="H731">
        <v>52</v>
      </c>
      <c r="I731" t="s">
        <v>37</v>
      </c>
      <c r="J731">
        <v>0</v>
      </c>
      <c r="M731" t="s">
        <v>1910</v>
      </c>
      <c r="N731" t="s">
        <v>1862</v>
      </c>
      <c r="O731">
        <v>0</v>
      </c>
      <c r="P731">
        <v>0</v>
      </c>
      <c r="Q731" t="s">
        <v>381</v>
      </c>
    </row>
    <row r="732" spans="1:17" x14ac:dyDescent="0.15">
      <c r="A732" t="s">
        <v>103</v>
      </c>
      <c r="B732" t="s">
        <v>104</v>
      </c>
      <c r="C732">
        <v>163</v>
      </c>
      <c r="D732" t="s">
        <v>161</v>
      </c>
      <c r="E732" s="1">
        <v>42947</v>
      </c>
      <c r="F732" t="s">
        <v>186</v>
      </c>
      <c r="G732" t="s">
        <v>1803</v>
      </c>
      <c r="H732">
        <v>6</v>
      </c>
      <c r="I732" t="s">
        <v>37</v>
      </c>
      <c r="J732">
        <v>0</v>
      </c>
      <c r="M732" t="s">
        <v>241</v>
      </c>
      <c r="N732" t="s">
        <v>1863</v>
      </c>
    </row>
    <row r="733" spans="1:17" x14ac:dyDescent="0.15">
      <c r="A733" t="s">
        <v>103</v>
      </c>
      <c r="B733" t="s">
        <v>104</v>
      </c>
      <c r="C733">
        <v>163</v>
      </c>
      <c r="D733" t="s">
        <v>161</v>
      </c>
      <c r="E733" s="1">
        <v>42947</v>
      </c>
      <c r="F733" t="s">
        <v>186</v>
      </c>
      <c r="G733" t="s">
        <v>1803</v>
      </c>
      <c r="H733">
        <v>6</v>
      </c>
      <c r="I733" t="s">
        <v>37</v>
      </c>
      <c r="J733">
        <v>0</v>
      </c>
      <c r="M733" t="s">
        <v>1910</v>
      </c>
      <c r="N733" t="s">
        <v>1863</v>
      </c>
      <c r="O733">
        <v>0</v>
      </c>
      <c r="P733">
        <v>0</v>
      </c>
      <c r="Q733" t="s">
        <v>381</v>
      </c>
    </row>
    <row r="734" spans="1:17" x14ac:dyDescent="0.15">
      <c r="A734" t="s">
        <v>103</v>
      </c>
      <c r="B734" t="s">
        <v>104</v>
      </c>
      <c r="C734">
        <v>163</v>
      </c>
      <c r="D734" t="s">
        <v>161</v>
      </c>
      <c r="E734" s="1">
        <v>42963</v>
      </c>
      <c r="F734" t="s">
        <v>186</v>
      </c>
      <c r="G734" t="s">
        <v>1805</v>
      </c>
      <c r="H734">
        <v>1</v>
      </c>
      <c r="I734" t="s">
        <v>37</v>
      </c>
      <c r="J734">
        <v>0</v>
      </c>
      <c r="M734" t="s">
        <v>241</v>
      </c>
      <c r="N734" t="s">
        <v>1864</v>
      </c>
    </row>
    <row r="735" spans="1:17" x14ac:dyDescent="0.15">
      <c r="A735" t="s">
        <v>103</v>
      </c>
      <c r="B735" t="s">
        <v>104</v>
      </c>
      <c r="C735">
        <v>163</v>
      </c>
      <c r="D735" t="s">
        <v>161</v>
      </c>
      <c r="E735" s="1">
        <v>42963</v>
      </c>
      <c r="F735" t="s">
        <v>186</v>
      </c>
      <c r="G735" t="s">
        <v>1805</v>
      </c>
      <c r="H735">
        <v>1</v>
      </c>
      <c r="I735" t="s">
        <v>37</v>
      </c>
      <c r="J735">
        <v>0</v>
      </c>
      <c r="M735" t="s">
        <v>1910</v>
      </c>
      <c r="N735" t="s">
        <v>1864</v>
      </c>
      <c r="O735">
        <v>0</v>
      </c>
      <c r="P735">
        <v>0</v>
      </c>
      <c r="Q735" t="s">
        <v>381</v>
      </c>
    </row>
    <row r="736" spans="1:17" x14ac:dyDescent="0.15">
      <c r="A736" t="s">
        <v>103</v>
      </c>
      <c r="B736" t="s">
        <v>104</v>
      </c>
      <c r="C736">
        <v>163</v>
      </c>
      <c r="D736" t="s">
        <v>161</v>
      </c>
      <c r="E736" s="1">
        <v>42964</v>
      </c>
      <c r="F736" t="s">
        <v>383</v>
      </c>
      <c r="G736" t="s">
        <v>1159</v>
      </c>
      <c r="H736">
        <v>-1</v>
      </c>
      <c r="I736" t="s">
        <v>37</v>
      </c>
      <c r="J736">
        <v>0</v>
      </c>
      <c r="M736" t="s">
        <v>241</v>
      </c>
      <c r="N736" t="s">
        <v>1160</v>
      </c>
    </row>
    <row r="737" spans="1:17" x14ac:dyDescent="0.15">
      <c r="A737" t="s">
        <v>103</v>
      </c>
      <c r="B737" t="s">
        <v>104</v>
      </c>
      <c r="C737">
        <v>163</v>
      </c>
      <c r="D737" t="s">
        <v>161</v>
      </c>
      <c r="E737" s="1">
        <v>42964</v>
      </c>
      <c r="F737" t="s">
        <v>383</v>
      </c>
      <c r="G737" t="s">
        <v>1159</v>
      </c>
      <c r="H737">
        <v>-1</v>
      </c>
      <c r="I737" t="s">
        <v>37</v>
      </c>
      <c r="J737">
        <v>0</v>
      </c>
      <c r="M737" t="s">
        <v>1910</v>
      </c>
      <c r="N737" t="s">
        <v>1160</v>
      </c>
      <c r="O737">
        <v>0</v>
      </c>
      <c r="P737">
        <v>0</v>
      </c>
      <c r="Q737" t="s">
        <v>381</v>
      </c>
    </row>
    <row r="738" spans="1:17" x14ac:dyDescent="0.15">
      <c r="A738" t="s">
        <v>103</v>
      </c>
      <c r="B738" t="s">
        <v>104</v>
      </c>
      <c r="C738">
        <v>163</v>
      </c>
      <c r="D738" t="s">
        <v>161</v>
      </c>
      <c r="E738" s="1">
        <v>42971</v>
      </c>
      <c r="F738" t="s">
        <v>186</v>
      </c>
      <c r="G738" t="s">
        <v>1806</v>
      </c>
      <c r="H738">
        <v>1</v>
      </c>
      <c r="I738" t="s">
        <v>37</v>
      </c>
      <c r="J738">
        <v>0</v>
      </c>
      <c r="M738" t="s">
        <v>241</v>
      </c>
      <c r="N738" t="s">
        <v>1865</v>
      </c>
    </row>
    <row r="739" spans="1:17" x14ac:dyDescent="0.15">
      <c r="A739" t="s">
        <v>103</v>
      </c>
      <c r="B739" t="s">
        <v>104</v>
      </c>
      <c r="C739">
        <v>163</v>
      </c>
      <c r="D739" t="s">
        <v>161</v>
      </c>
      <c r="E739" s="1">
        <v>42971</v>
      </c>
      <c r="F739" t="s">
        <v>186</v>
      </c>
      <c r="G739" t="s">
        <v>1806</v>
      </c>
      <c r="H739">
        <v>1</v>
      </c>
      <c r="I739" t="s">
        <v>37</v>
      </c>
      <c r="J739">
        <v>0</v>
      </c>
      <c r="M739" t="s">
        <v>1910</v>
      </c>
      <c r="N739" t="s">
        <v>1865</v>
      </c>
      <c r="O739">
        <v>0</v>
      </c>
      <c r="P739">
        <v>0</v>
      </c>
      <c r="Q739" t="s">
        <v>381</v>
      </c>
    </row>
    <row r="740" spans="1:17" x14ac:dyDescent="0.15">
      <c r="A740" t="s">
        <v>103</v>
      </c>
      <c r="B740" t="s">
        <v>104</v>
      </c>
      <c r="C740">
        <v>163</v>
      </c>
      <c r="D740" t="s">
        <v>161</v>
      </c>
      <c r="E740" s="1">
        <v>42971</v>
      </c>
      <c r="F740" t="s">
        <v>186</v>
      </c>
      <c r="G740" t="s">
        <v>1806</v>
      </c>
      <c r="H740">
        <v>14</v>
      </c>
      <c r="I740" t="s">
        <v>37</v>
      </c>
      <c r="J740">
        <v>0</v>
      </c>
      <c r="M740" t="s">
        <v>241</v>
      </c>
      <c r="N740" t="s">
        <v>1866</v>
      </c>
    </row>
    <row r="741" spans="1:17" x14ac:dyDescent="0.15">
      <c r="A741" t="s">
        <v>103</v>
      </c>
      <c r="B741" t="s">
        <v>104</v>
      </c>
      <c r="C741">
        <v>163</v>
      </c>
      <c r="D741" t="s">
        <v>161</v>
      </c>
      <c r="E741" s="1">
        <v>42971</v>
      </c>
      <c r="F741" t="s">
        <v>186</v>
      </c>
      <c r="G741" t="s">
        <v>1806</v>
      </c>
      <c r="H741">
        <v>14</v>
      </c>
      <c r="I741" t="s">
        <v>37</v>
      </c>
      <c r="J741">
        <v>0</v>
      </c>
      <c r="M741" t="s">
        <v>1910</v>
      </c>
      <c r="N741" t="s">
        <v>1866</v>
      </c>
      <c r="O741">
        <v>0</v>
      </c>
      <c r="P741">
        <v>0</v>
      </c>
      <c r="Q741" t="s">
        <v>381</v>
      </c>
    </row>
    <row r="742" spans="1:17" x14ac:dyDescent="0.15">
      <c r="A742" t="s">
        <v>103</v>
      </c>
      <c r="B742" t="s">
        <v>104</v>
      </c>
      <c r="C742">
        <v>163</v>
      </c>
      <c r="D742" t="s">
        <v>161</v>
      </c>
      <c r="E742" s="1">
        <v>42978</v>
      </c>
      <c r="F742" t="s">
        <v>383</v>
      </c>
      <c r="G742" t="s">
        <v>1188</v>
      </c>
      <c r="H742">
        <v>-1</v>
      </c>
      <c r="I742" t="s">
        <v>37</v>
      </c>
      <c r="J742">
        <v>0</v>
      </c>
      <c r="M742" t="s">
        <v>241</v>
      </c>
      <c r="N742" t="s">
        <v>1189</v>
      </c>
    </row>
    <row r="743" spans="1:17" x14ac:dyDescent="0.15">
      <c r="A743" t="s">
        <v>103</v>
      </c>
      <c r="B743" t="s">
        <v>104</v>
      </c>
      <c r="C743">
        <v>163</v>
      </c>
      <c r="D743" t="s">
        <v>161</v>
      </c>
      <c r="E743" s="1">
        <v>42978</v>
      </c>
      <c r="F743" t="s">
        <v>383</v>
      </c>
      <c r="G743" t="s">
        <v>1188</v>
      </c>
      <c r="H743">
        <v>-1</v>
      </c>
      <c r="I743" t="s">
        <v>37</v>
      </c>
      <c r="J743">
        <v>0</v>
      </c>
      <c r="M743" t="s">
        <v>1910</v>
      </c>
      <c r="N743" t="s">
        <v>1189</v>
      </c>
      <c r="O743">
        <v>0</v>
      </c>
      <c r="P743">
        <v>0</v>
      </c>
      <c r="Q743" t="s">
        <v>381</v>
      </c>
    </row>
    <row r="744" spans="1:17" x14ac:dyDescent="0.15">
      <c r="A744" t="s">
        <v>103</v>
      </c>
      <c r="B744" t="s">
        <v>104</v>
      </c>
      <c r="C744">
        <v>163</v>
      </c>
      <c r="D744" t="s">
        <v>161</v>
      </c>
      <c r="E744" s="1">
        <v>42978</v>
      </c>
      <c r="F744" t="s">
        <v>383</v>
      </c>
      <c r="G744" t="s">
        <v>1188</v>
      </c>
      <c r="H744">
        <v>-14</v>
      </c>
      <c r="I744" t="s">
        <v>37</v>
      </c>
      <c r="J744">
        <v>0</v>
      </c>
      <c r="M744" t="s">
        <v>241</v>
      </c>
      <c r="N744" t="s">
        <v>1190</v>
      </c>
    </row>
    <row r="745" spans="1:17" x14ac:dyDescent="0.15">
      <c r="A745" t="s">
        <v>103</v>
      </c>
      <c r="B745" t="s">
        <v>104</v>
      </c>
      <c r="C745">
        <v>163</v>
      </c>
      <c r="D745" t="s">
        <v>161</v>
      </c>
      <c r="E745" s="1">
        <v>42978</v>
      </c>
      <c r="F745" t="s">
        <v>383</v>
      </c>
      <c r="G745" t="s">
        <v>1188</v>
      </c>
      <c r="H745">
        <v>-14</v>
      </c>
      <c r="I745" t="s">
        <v>37</v>
      </c>
      <c r="J745">
        <v>0</v>
      </c>
      <c r="M745" t="s">
        <v>1910</v>
      </c>
      <c r="N745" t="s">
        <v>1190</v>
      </c>
      <c r="O745">
        <v>0</v>
      </c>
      <c r="P745">
        <v>0</v>
      </c>
      <c r="Q745" t="s">
        <v>381</v>
      </c>
    </row>
    <row r="746" spans="1:17" x14ac:dyDescent="0.15">
      <c r="A746" t="s">
        <v>103</v>
      </c>
      <c r="B746" t="s">
        <v>104</v>
      </c>
      <c r="C746">
        <v>163</v>
      </c>
      <c r="D746" t="s">
        <v>161</v>
      </c>
      <c r="E746" s="1">
        <v>42978</v>
      </c>
      <c r="F746" t="s">
        <v>843</v>
      </c>
      <c r="G746" t="s">
        <v>1700</v>
      </c>
      <c r="H746">
        <v>-75</v>
      </c>
      <c r="I746" t="s">
        <v>37</v>
      </c>
      <c r="J746">
        <v>0</v>
      </c>
      <c r="M746" t="s">
        <v>241</v>
      </c>
      <c r="N746" t="s">
        <v>1701</v>
      </c>
    </row>
    <row r="747" spans="1:17" x14ac:dyDescent="0.15">
      <c r="A747" t="s">
        <v>103</v>
      </c>
      <c r="B747" t="s">
        <v>104</v>
      </c>
      <c r="C747">
        <v>163</v>
      </c>
      <c r="D747" t="s">
        <v>161</v>
      </c>
      <c r="E747" s="1">
        <v>42978</v>
      </c>
      <c r="F747" t="s">
        <v>843</v>
      </c>
      <c r="G747" t="s">
        <v>1700</v>
      </c>
      <c r="H747">
        <v>-75</v>
      </c>
      <c r="I747" t="s">
        <v>37</v>
      </c>
      <c r="J747">
        <v>0</v>
      </c>
      <c r="M747" t="s">
        <v>1910</v>
      </c>
      <c r="N747" t="s">
        <v>1701</v>
      </c>
      <c r="O747">
        <v>0</v>
      </c>
      <c r="P747">
        <v>0</v>
      </c>
      <c r="Q747" t="s">
        <v>381</v>
      </c>
    </row>
    <row r="748" spans="1:17" x14ac:dyDescent="0.15">
      <c r="A748" t="s">
        <v>103</v>
      </c>
      <c r="B748" t="s">
        <v>104</v>
      </c>
      <c r="C748">
        <v>163</v>
      </c>
      <c r="D748" t="s">
        <v>161</v>
      </c>
      <c r="E748" s="1">
        <v>42978</v>
      </c>
      <c r="F748" t="s">
        <v>186</v>
      </c>
      <c r="G748" t="s">
        <v>1809</v>
      </c>
      <c r="H748">
        <v>75</v>
      </c>
      <c r="I748" t="s">
        <v>37</v>
      </c>
      <c r="J748">
        <v>0</v>
      </c>
      <c r="M748" t="s">
        <v>241</v>
      </c>
      <c r="N748" t="s">
        <v>1867</v>
      </c>
    </row>
    <row r="749" spans="1:17" x14ac:dyDescent="0.15">
      <c r="A749" t="s">
        <v>103</v>
      </c>
      <c r="B749" t="s">
        <v>104</v>
      </c>
      <c r="C749">
        <v>163</v>
      </c>
      <c r="D749" t="s">
        <v>161</v>
      </c>
      <c r="E749" s="1">
        <v>42978</v>
      </c>
      <c r="F749" t="s">
        <v>186</v>
      </c>
      <c r="G749" t="s">
        <v>1809</v>
      </c>
      <c r="H749">
        <v>75</v>
      </c>
      <c r="I749" t="s">
        <v>37</v>
      </c>
      <c r="J749">
        <v>0</v>
      </c>
      <c r="M749" t="s">
        <v>1910</v>
      </c>
      <c r="N749" t="s">
        <v>1867</v>
      </c>
      <c r="O749">
        <v>0</v>
      </c>
      <c r="P749">
        <v>0</v>
      </c>
      <c r="Q749" t="s">
        <v>381</v>
      </c>
    </row>
    <row r="750" spans="1:17" x14ac:dyDescent="0.15">
      <c r="A750" t="s">
        <v>103</v>
      </c>
      <c r="B750" t="s">
        <v>104</v>
      </c>
      <c r="C750">
        <v>163</v>
      </c>
      <c r="D750" t="s">
        <v>161</v>
      </c>
      <c r="E750" s="1">
        <v>42982</v>
      </c>
      <c r="F750" t="s">
        <v>186</v>
      </c>
      <c r="G750" t="s">
        <v>1811</v>
      </c>
      <c r="H750">
        <v>12</v>
      </c>
      <c r="I750" t="s">
        <v>37</v>
      </c>
      <c r="J750">
        <v>0</v>
      </c>
      <c r="M750" t="s">
        <v>241</v>
      </c>
      <c r="N750" t="s">
        <v>1868</v>
      </c>
    </row>
    <row r="751" spans="1:17" x14ac:dyDescent="0.15">
      <c r="A751" t="s">
        <v>103</v>
      </c>
      <c r="B751" t="s">
        <v>104</v>
      </c>
      <c r="C751">
        <v>163</v>
      </c>
      <c r="D751" t="s">
        <v>161</v>
      </c>
      <c r="E751" s="1">
        <v>42982</v>
      </c>
      <c r="F751" t="s">
        <v>186</v>
      </c>
      <c r="G751" t="s">
        <v>1811</v>
      </c>
      <c r="H751">
        <v>12</v>
      </c>
      <c r="I751" t="s">
        <v>37</v>
      </c>
      <c r="J751">
        <v>0</v>
      </c>
      <c r="M751" t="s">
        <v>1910</v>
      </c>
      <c r="N751" t="s">
        <v>1868</v>
      </c>
      <c r="O751">
        <v>0</v>
      </c>
      <c r="P751">
        <v>0</v>
      </c>
      <c r="Q751" t="s">
        <v>381</v>
      </c>
    </row>
    <row r="752" spans="1:17" x14ac:dyDescent="0.15">
      <c r="A752" t="s">
        <v>103</v>
      </c>
      <c r="B752" t="s">
        <v>104</v>
      </c>
      <c r="C752">
        <v>163</v>
      </c>
      <c r="D752" t="s">
        <v>161</v>
      </c>
      <c r="E752" s="1">
        <v>42982</v>
      </c>
      <c r="F752" t="s">
        <v>186</v>
      </c>
      <c r="G752" t="s">
        <v>1811</v>
      </c>
      <c r="H752">
        <v>8</v>
      </c>
      <c r="I752" t="s">
        <v>37</v>
      </c>
      <c r="J752">
        <v>0</v>
      </c>
      <c r="M752" t="s">
        <v>241</v>
      </c>
      <c r="N752" t="s">
        <v>1869</v>
      </c>
    </row>
    <row r="753" spans="1:17" x14ac:dyDescent="0.15">
      <c r="A753" t="s">
        <v>103</v>
      </c>
      <c r="B753" t="s">
        <v>104</v>
      </c>
      <c r="C753">
        <v>163</v>
      </c>
      <c r="D753" t="s">
        <v>161</v>
      </c>
      <c r="E753" s="1">
        <v>42982</v>
      </c>
      <c r="F753" t="s">
        <v>186</v>
      </c>
      <c r="G753" t="s">
        <v>1811</v>
      </c>
      <c r="H753">
        <v>8</v>
      </c>
      <c r="I753" t="s">
        <v>37</v>
      </c>
      <c r="J753">
        <v>0</v>
      </c>
      <c r="M753" t="s">
        <v>1910</v>
      </c>
      <c r="N753" t="s">
        <v>1869</v>
      </c>
      <c r="O753">
        <v>0</v>
      </c>
      <c r="P753">
        <v>0</v>
      </c>
      <c r="Q753" t="s">
        <v>381</v>
      </c>
    </row>
    <row r="754" spans="1:17" x14ac:dyDescent="0.15">
      <c r="A754" t="s">
        <v>103</v>
      </c>
      <c r="B754" t="s">
        <v>104</v>
      </c>
      <c r="C754">
        <v>163</v>
      </c>
      <c r="D754" t="s">
        <v>161</v>
      </c>
      <c r="E754" s="1">
        <v>42985</v>
      </c>
      <c r="F754" t="s">
        <v>383</v>
      </c>
      <c r="G754" t="s">
        <v>1209</v>
      </c>
      <c r="H754">
        <v>-12</v>
      </c>
      <c r="I754" t="s">
        <v>37</v>
      </c>
      <c r="J754">
        <v>0</v>
      </c>
      <c r="M754" t="s">
        <v>241</v>
      </c>
      <c r="N754" t="s">
        <v>1210</v>
      </c>
    </row>
    <row r="755" spans="1:17" x14ac:dyDescent="0.15">
      <c r="A755" t="s">
        <v>103</v>
      </c>
      <c r="B755" t="s">
        <v>104</v>
      </c>
      <c r="C755">
        <v>163</v>
      </c>
      <c r="D755" t="s">
        <v>161</v>
      </c>
      <c r="E755" s="1">
        <v>42985</v>
      </c>
      <c r="F755" t="s">
        <v>383</v>
      </c>
      <c r="G755" t="s">
        <v>1209</v>
      </c>
      <c r="H755">
        <v>-12</v>
      </c>
      <c r="I755" t="s">
        <v>37</v>
      </c>
      <c r="J755">
        <v>0</v>
      </c>
      <c r="M755" t="s">
        <v>1910</v>
      </c>
      <c r="N755" t="s">
        <v>1210</v>
      </c>
      <c r="O755">
        <v>0</v>
      </c>
      <c r="P755">
        <v>0</v>
      </c>
      <c r="Q755" t="s">
        <v>381</v>
      </c>
    </row>
    <row r="756" spans="1:17" x14ac:dyDescent="0.15">
      <c r="A756" t="s">
        <v>103</v>
      </c>
      <c r="B756" t="s">
        <v>104</v>
      </c>
      <c r="C756">
        <v>163</v>
      </c>
      <c r="D756" t="s">
        <v>161</v>
      </c>
      <c r="E756" s="1">
        <v>42985</v>
      </c>
      <c r="F756" t="s">
        <v>383</v>
      </c>
      <c r="G756" t="s">
        <v>1209</v>
      </c>
      <c r="H756">
        <v>-8</v>
      </c>
      <c r="I756" t="s">
        <v>37</v>
      </c>
      <c r="J756">
        <v>0</v>
      </c>
      <c r="M756" t="s">
        <v>241</v>
      </c>
      <c r="N756" t="s">
        <v>1211</v>
      </c>
    </row>
    <row r="757" spans="1:17" x14ac:dyDescent="0.15">
      <c r="A757" t="s">
        <v>103</v>
      </c>
      <c r="B757" t="s">
        <v>104</v>
      </c>
      <c r="C757">
        <v>163</v>
      </c>
      <c r="D757" t="s">
        <v>161</v>
      </c>
      <c r="E757" s="1">
        <v>42985</v>
      </c>
      <c r="F757" t="s">
        <v>383</v>
      </c>
      <c r="G757" t="s">
        <v>1209</v>
      </c>
      <c r="H757">
        <v>-8</v>
      </c>
      <c r="I757" t="s">
        <v>37</v>
      </c>
      <c r="J757">
        <v>0</v>
      </c>
      <c r="M757" t="s">
        <v>1910</v>
      </c>
      <c r="N757" t="s">
        <v>1211</v>
      </c>
      <c r="O757">
        <v>0</v>
      </c>
      <c r="P757">
        <v>0</v>
      </c>
      <c r="Q757" t="s">
        <v>381</v>
      </c>
    </row>
    <row r="758" spans="1:17" x14ac:dyDescent="0.15">
      <c r="A758" t="s">
        <v>103</v>
      </c>
      <c r="B758" t="s">
        <v>104</v>
      </c>
      <c r="C758">
        <v>163</v>
      </c>
      <c r="D758" t="s">
        <v>161</v>
      </c>
      <c r="E758" s="1">
        <v>42998</v>
      </c>
      <c r="F758" t="s">
        <v>186</v>
      </c>
      <c r="G758" t="s">
        <v>1820</v>
      </c>
      <c r="H758">
        <v>7</v>
      </c>
      <c r="I758" t="s">
        <v>37</v>
      </c>
      <c r="J758">
        <v>0</v>
      </c>
      <c r="M758" t="s">
        <v>241</v>
      </c>
      <c r="N758" t="s">
        <v>1872</v>
      </c>
    </row>
    <row r="759" spans="1:17" x14ac:dyDescent="0.15">
      <c r="A759" t="s">
        <v>103</v>
      </c>
      <c r="B759" t="s">
        <v>104</v>
      </c>
      <c r="C759">
        <v>163</v>
      </c>
      <c r="D759" t="s">
        <v>161</v>
      </c>
      <c r="E759" s="1">
        <v>42998</v>
      </c>
      <c r="F759" t="s">
        <v>186</v>
      </c>
      <c r="G759" t="s">
        <v>1820</v>
      </c>
      <c r="H759">
        <v>7</v>
      </c>
      <c r="I759" t="s">
        <v>37</v>
      </c>
      <c r="J759">
        <v>0</v>
      </c>
      <c r="M759" t="s">
        <v>1910</v>
      </c>
      <c r="N759" t="s">
        <v>1872</v>
      </c>
      <c r="O759">
        <v>0</v>
      </c>
      <c r="P759">
        <v>0</v>
      </c>
      <c r="Q759" t="s">
        <v>381</v>
      </c>
    </row>
    <row r="760" spans="1:17" x14ac:dyDescent="0.15">
      <c r="A760" t="s">
        <v>103</v>
      </c>
      <c r="B760" t="s">
        <v>104</v>
      </c>
      <c r="C760">
        <v>163</v>
      </c>
      <c r="D760" t="s">
        <v>161</v>
      </c>
      <c r="E760" s="1">
        <v>42998</v>
      </c>
      <c r="F760" t="s">
        <v>186</v>
      </c>
      <c r="G760" t="s">
        <v>1820</v>
      </c>
      <c r="H760">
        <v>2</v>
      </c>
      <c r="I760" t="s">
        <v>37</v>
      </c>
      <c r="J760">
        <v>0</v>
      </c>
      <c r="M760" t="s">
        <v>241</v>
      </c>
      <c r="N760" t="s">
        <v>1873</v>
      </c>
    </row>
    <row r="761" spans="1:17" x14ac:dyDescent="0.15">
      <c r="A761" t="s">
        <v>103</v>
      </c>
      <c r="B761" t="s">
        <v>104</v>
      </c>
      <c r="C761">
        <v>163</v>
      </c>
      <c r="D761" t="s">
        <v>161</v>
      </c>
      <c r="E761" s="1">
        <v>42998</v>
      </c>
      <c r="F761" t="s">
        <v>186</v>
      </c>
      <c r="G761" t="s">
        <v>1820</v>
      </c>
      <c r="H761">
        <v>2</v>
      </c>
      <c r="I761" t="s">
        <v>37</v>
      </c>
      <c r="J761">
        <v>0</v>
      </c>
      <c r="M761" t="s">
        <v>1910</v>
      </c>
      <c r="N761" t="s">
        <v>1873</v>
      </c>
      <c r="O761">
        <v>0</v>
      </c>
      <c r="P761">
        <v>0</v>
      </c>
      <c r="Q761" t="s">
        <v>381</v>
      </c>
    </row>
    <row r="762" spans="1:17" x14ac:dyDescent="0.15">
      <c r="A762" t="s">
        <v>103</v>
      </c>
      <c r="B762" t="s">
        <v>104</v>
      </c>
      <c r="C762">
        <v>163</v>
      </c>
      <c r="D762" t="s">
        <v>161</v>
      </c>
      <c r="E762" s="1">
        <v>42998</v>
      </c>
      <c r="F762" t="s">
        <v>186</v>
      </c>
      <c r="G762" t="s">
        <v>1820</v>
      </c>
      <c r="H762">
        <v>8</v>
      </c>
      <c r="I762" t="s">
        <v>37</v>
      </c>
      <c r="J762">
        <v>0</v>
      </c>
      <c r="M762" t="s">
        <v>241</v>
      </c>
      <c r="N762" t="s">
        <v>1874</v>
      </c>
    </row>
    <row r="763" spans="1:17" x14ac:dyDescent="0.15">
      <c r="A763" t="s">
        <v>103</v>
      </c>
      <c r="B763" t="s">
        <v>104</v>
      </c>
      <c r="C763">
        <v>163</v>
      </c>
      <c r="D763" t="s">
        <v>161</v>
      </c>
      <c r="E763" s="1">
        <v>42998</v>
      </c>
      <c r="F763" t="s">
        <v>186</v>
      </c>
      <c r="G763" t="s">
        <v>1820</v>
      </c>
      <c r="H763">
        <v>8</v>
      </c>
      <c r="I763" t="s">
        <v>37</v>
      </c>
      <c r="J763">
        <v>0</v>
      </c>
      <c r="M763" t="s">
        <v>1910</v>
      </c>
      <c r="N763" t="s">
        <v>1874</v>
      </c>
      <c r="O763">
        <v>0</v>
      </c>
      <c r="P763">
        <v>0</v>
      </c>
      <c r="Q763" t="s">
        <v>381</v>
      </c>
    </row>
    <row r="764" spans="1:17" x14ac:dyDescent="0.15">
      <c r="A764" t="s">
        <v>103</v>
      </c>
      <c r="B764" t="s">
        <v>104</v>
      </c>
      <c r="C764">
        <v>163</v>
      </c>
      <c r="D764" t="s">
        <v>161</v>
      </c>
      <c r="E764" s="1">
        <v>43000</v>
      </c>
      <c r="F764" t="s">
        <v>383</v>
      </c>
      <c r="G764" t="s">
        <v>1250</v>
      </c>
      <c r="H764">
        <v>-7</v>
      </c>
      <c r="I764" t="s">
        <v>37</v>
      </c>
      <c r="J764">
        <v>0</v>
      </c>
      <c r="M764" t="s">
        <v>241</v>
      </c>
      <c r="N764" t="s">
        <v>1253</v>
      </c>
    </row>
    <row r="765" spans="1:17" x14ac:dyDescent="0.15">
      <c r="A765" t="s">
        <v>103</v>
      </c>
      <c r="B765" t="s">
        <v>104</v>
      </c>
      <c r="C765">
        <v>163</v>
      </c>
      <c r="D765" t="s">
        <v>161</v>
      </c>
      <c r="E765" s="1">
        <v>43000</v>
      </c>
      <c r="F765" t="s">
        <v>383</v>
      </c>
      <c r="G765" t="s">
        <v>1250</v>
      </c>
      <c r="H765">
        <v>-7</v>
      </c>
      <c r="I765" t="s">
        <v>37</v>
      </c>
      <c r="J765">
        <v>0</v>
      </c>
      <c r="M765" t="s">
        <v>1910</v>
      </c>
      <c r="N765" t="s">
        <v>1253</v>
      </c>
      <c r="O765">
        <v>0</v>
      </c>
      <c r="P765">
        <v>0</v>
      </c>
      <c r="Q765" t="s">
        <v>381</v>
      </c>
    </row>
    <row r="766" spans="1:17" x14ac:dyDescent="0.15">
      <c r="A766" t="s">
        <v>103</v>
      </c>
      <c r="B766" t="s">
        <v>104</v>
      </c>
      <c r="C766">
        <v>163</v>
      </c>
      <c r="D766" t="s">
        <v>161</v>
      </c>
      <c r="E766" s="1">
        <v>43000</v>
      </c>
      <c r="F766" t="s">
        <v>383</v>
      </c>
      <c r="G766" t="s">
        <v>1250</v>
      </c>
      <c r="H766">
        <v>-2</v>
      </c>
      <c r="I766" t="s">
        <v>37</v>
      </c>
      <c r="J766">
        <v>0</v>
      </c>
      <c r="M766" t="s">
        <v>241</v>
      </c>
      <c r="N766" t="s">
        <v>1254</v>
      </c>
    </row>
    <row r="767" spans="1:17" x14ac:dyDescent="0.15">
      <c r="A767" t="s">
        <v>103</v>
      </c>
      <c r="B767" t="s">
        <v>104</v>
      </c>
      <c r="C767">
        <v>163</v>
      </c>
      <c r="D767" t="s">
        <v>161</v>
      </c>
      <c r="E767" s="1">
        <v>43000</v>
      </c>
      <c r="F767" t="s">
        <v>383</v>
      </c>
      <c r="G767" t="s">
        <v>1250</v>
      </c>
      <c r="H767">
        <v>-2</v>
      </c>
      <c r="I767" t="s">
        <v>37</v>
      </c>
      <c r="J767">
        <v>0</v>
      </c>
      <c r="M767" t="s">
        <v>1910</v>
      </c>
      <c r="N767" t="s">
        <v>1254</v>
      </c>
      <c r="O767">
        <v>0</v>
      </c>
      <c r="P767">
        <v>0</v>
      </c>
      <c r="Q767" t="s">
        <v>381</v>
      </c>
    </row>
    <row r="768" spans="1:17" x14ac:dyDescent="0.15">
      <c r="A768" t="s">
        <v>103</v>
      </c>
      <c r="B768" t="s">
        <v>104</v>
      </c>
      <c r="C768">
        <v>163</v>
      </c>
      <c r="D768" t="s">
        <v>161</v>
      </c>
      <c r="E768" s="1">
        <v>43000</v>
      </c>
      <c r="F768" t="s">
        <v>383</v>
      </c>
      <c r="G768" t="s">
        <v>1250</v>
      </c>
      <c r="H768">
        <v>-8</v>
      </c>
      <c r="I768" t="s">
        <v>37</v>
      </c>
      <c r="J768">
        <v>0</v>
      </c>
      <c r="M768" t="s">
        <v>241</v>
      </c>
      <c r="N768" t="s">
        <v>1255</v>
      </c>
    </row>
    <row r="769" spans="1:17" x14ac:dyDescent="0.15">
      <c r="A769" t="s">
        <v>103</v>
      </c>
      <c r="B769" t="s">
        <v>104</v>
      </c>
      <c r="C769">
        <v>163</v>
      </c>
      <c r="D769" t="s">
        <v>161</v>
      </c>
      <c r="E769" s="1">
        <v>43000</v>
      </c>
      <c r="F769" t="s">
        <v>383</v>
      </c>
      <c r="G769" t="s">
        <v>1250</v>
      </c>
      <c r="H769">
        <v>-8</v>
      </c>
      <c r="I769" t="s">
        <v>37</v>
      </c>
      <c r="J769">
        <v>0</v>
      </c>
      <c r="M769" t="s">
        <v>1910</v>
      </c>
      <c r="N769" t="s">
        <v>1255</v>
      </c>
      <c r="O769">
        <v>0</v>
      </c>
      <c r="P769">
        <v>0</v>
      </c>
      <c r="Q769" t="s">
        <v>381</v>
      </c>
    </row>
    <row r="770" spans="1:17" x14ac:dyDescent="0.15">
      <c r="A770" t="s">
        <v>103</v>
      </c>
      <c r="B770" t="s">
        <v>104</v>
      </c>
      <c r="C770">
        <v>163</v>
      </c>
      <c r="D770" t="s">
        <v>161</v>
      </c>
      <c r="E770" s="1">
        <v>43062</v>
      </c>
      <c r="F770" t="s">
        <v>186</v>
      </c>
      <c r="G770" t="s">
        <v>1833</v>
      </c>
      <c r="H770">
        <v>4</v>
      </c>
      <c r="I770" t="s">
        <v>37</v>
      </c>
      <c r="J770">
        <v>0</v>
      </c>
      <c r="M770" t="s">
        <v>241</v>
      </c>
      <c r="N770" t="s">
        <v>1878</v>
      </c>
    </row>
    <row r="771" spans="1:17" x14ac:dyDescent="0.15">
      <c r="A771" t="s">
        <v>103</v>
      </c>
      <c r="B771" t="s">
        <v>104</v>
      </c>
      <c r="C771">
        <v>163</v>
      </c>
      <c r="D771" t="s">
        <v>161</v>
      </c>
      <c r="E771" s="1">
        <v>43062</v>
      </c>
      <c r="F771" t="s">
        <v>186</v>
      </c>
      <c r="G771" t="s">
        <v>1833</v>
      </c>
      <c r="H771">
        <v>4</v>
      </c>
      <c r="I771" t="s">
        <v>37</v>
      </c>
      <c r="J771">
        <v>0</v>
      </c>
      <c r="M771" t="s">
        <v>1910</v>
      </c>
      <c r="N771" t="s">
        <v>1878</v>
      </c>
      <c r="O771">
        <v>0</v>
      </c>
      <c r="P771">
        <v>0</v>
      </c>
      <c r="Q771" t="s">
        <v>381</v>
      </c>
    </row>
    <row r="772" spans="1:17" x14ac:dyDescent="0.15">
      <c r="A772" t="s">
        <v>103</v>
      </c>
      <c r="B772" t="s">
        <v>104</v>
      </c>
      <c r="C772">
        <v>163</v>
      </c>
      <c r="D772" t="s">
        <v>161</v>
      </c>
      <c r="E772" s="1">
        <v>43067</v>
      </c>
      <c r="F772" t="s">
        <v>383</v>
      </c>
      <c r="G772" t="s">
        <v>1396</v>
      </c>
      <c r="H772">
        <v>-4</v>
      </c>
      <c r="I772" t="s">
        <v>37</v>
      </c>
      <c r="J772">
        <v>0</v>
      </c>
      <c r="M772" t="s">
        <v>241</v>
      </c>
      <c r="N772" t="s">
        <v>1397</v>
      </c>
    </row>
    <row r="773" spans="1:17" x14ac:dyDescent="0.15">
      <c r="A773" t="s">
        <v>103</v>
      </c>
      <c r="B773" t="s">
        <v>104</v>
      </c>
      <c r="C773">
        <v>163</v>
      </c>
      <c r="D773" t="s">
        <v>161</v>
      </c>
      <c r="E773" s="1">
        <v>43067</v>
      </c>
      <c r="F773" t="s">
        <v>383</v>
      </c>
      <c r="G773" t="s">
        <v>1396</v>
      </c>
      <c r="H773">
        <v>-4</v>
      </c>
      <c r="I773" t="s">
        <v>37</v>
      </c>
      <c r="J773">
        <v>0</v>
      </c>
      <c r="M773" t="s">
        <v>1910</v>
      </c>
      <c r="N773" t="s">
        <v>1397</v>
      </c>
      <c r="O773">
        <v>0</v>
      </c>
      <c r="P773">
        <v>0</v>
      </c>
      <c r="Q773" t="s">
        <v>381</v>
      </c>
    </row>
    <row r="774" spans="1:17" x14ac:dyDescent="0.15">
      <c r="A774" t="s">
        <v>129</v>
      </c>
      <c r="B774" t="s">
        <v>130</v>
      </c>
      <c r="C774">
        <v>163</v>
      </c>
      <c r="D774" t="s">
        <v>161</v>
      </c>
      <c r="E774" s="1">
        <v>42835</v>
      </c>
      <c r="F774" t="s">
        <v>17</v>
      </c>
      <c r="G774" t="s">
        <v>713</v>
      </c>
      <c r="H774">
        <v>750</v>
      </c>
      <c r="I774" t="s">
        <v>37</v>
      </c>
      <c r="J774">
        <v>0</v>
      </c>
      <c r="K774">
        <v>0</v>
      </c>
      <c r="M774" t="s">
        <v>241</v>
      </c>
      <c r="N774" t="s">
        <v>714</v>
      </c>
    </row>
    <row r="775" spans="1:17" x14ac:dyDescent="0.15">
      <c r="A775" t="s">
        <v>129</v>
      </c>
      <c r="B775" t="s">
        <v>130</v>
      </c>
      <c r="C775">
        <v>163</v>
      </c>
      <c r="D775" t="s">
        <v>161</v>
      </c>
      <c r="E775" s="1">
        <v>42835</v>
      </c>
      <c r="F775" t="s">
        <v>17</v>
      </c>
      <c r="G775" t="s">
        <v>713</v>
      </c>
      <c r="H775">
        <v>750</v>
      </c>
      <c r="I775" t="s">
        <v>37</v>
      </c>
      <c r="J775">
        <v>0</v>
      </c>
      <c r="K775">
        <v>0</v>
      </c>
      <c r="M775" t="s">
        <v>1910</v>
      </c>
      <c r="N775" t="s">
        <v>714</v>
      </c>
      <c r="O775">
        <v>0</v>
      </c>
      <c r="P775">
        <v>0</v>
      </c>
      <c r="Q775" t="s">
        <v>381</v>
      </c>
    </row>
    <row r="776" spans="1:17" x14ac:dyDescent="0.15">
      <c r="A776" t="s">
        <v>129</v>
      </c>
      <c r="B776" t="s">
        <v>130</v>
      </c>
      <c r="C776">
        <v>163</v>
      </c>
      <c r="D776" t="s">
        <v>161</v>
      </c>
      <c r="E776" s="1">
        <v>42836</v>
      </c>
      <c r="F776" t="s">
        <v>177</v>
      </c>
      <c r="G776" t="s">
        <v>897</v>
      </c>
      <c r="H776">
        <v>-343</v>
      </c>
      <c r="I776" t="s">
        <v>37</v>
      </c>
      <c r="J776">
        <v>0</v>
      </c>
      <c r="K776">
        <v>0</v>
      </c>
      <c r="M776" t="s">
        <v>241</v>
      </c>
      <c r="N776" t="s">
        <v>898</v>
      </c>
    </row>
    <row r="777" spans="1:17" x14ac:dyDescent="0.15">
      <c r="A777" t="s">
        <v>129</v>
      </c>
      <c r="B777" t="s">
        <v>130</v>
      </c>
      <c r="C777">
        <v>163</v>
      </c>
      <c r="D777" t="s">
        <v>161</v>
      </c>
      <c r="E777" s="1">
        <v>42836</v>
      </c>
      <c r="F777" t="s">
        <v>177</v>
      </c>
      <c r="G777" t="s">
        <v>897</v>
      </c>
      <c r="H777">
        <v>-343</v>
      </c>
      <c r="I777" t="s">
        <v>37</v>
      </c>
      <c r="J777">
        <v>0</v>
      </c>
      <c r="K777">
        <v>0</v>
      </c>
      <c r="M777" t="s">
        <v>1910</v>
      </c>
      <c r="N777" t="s">
        <v>898</v>
      </c>
      <c r="O777">
        <v>0</v>
      </c>
      <c r="P777">
        <v>0</v>
      </c>
      <c r="Q777" t="s">
        <v>381</v>
      </c>
    </row>
    <row r="778" spans="1:17" x14ac:dyDescent="0.15">
      <c r="A778" t="s">
        <v>129</v>
      </c>
      <c r="B778" t="s">
        <v>130</v>
      </c>
      <c r="C778">
        <v>163</v>
      </c>
      <c r="D778" t="s">
        <v>161</v>
      </c>
      <c r="E778" s="1">
        <v>42836</v>
      </c>
      <c r="F778" t="s">
        <v>177</v>
      </c>
      <c r="G778" t="s">
        <v>899</v>
      </c>
      <c r="H778">
        <v>-407</v>
      </c>
      <c r="I778" t="s">
        <v>37</v>
      </c>
      <c r="J778">
        <v>0</v>
      </c>
      <c r="K778">
        <v>0</v>
      </c>
      <c r="M778" t="s">
        <v>241</v>
      </c>
      <c r="N778" t="s">
        <v>900</v>
      </c>
    </row>
    <row r="779" spans="1:17" x14ac:dyDescent="0.15">
      <c r="A779" t="s">
        <v>129</v>
      </c>
      <c r="B779" t="s">
        <v>130</v>
      </c>
      <c r="C779">
        <v>163</v>
      </c>
      <c r="D779" t="s">
        <v>161</v>
      </c>
      <c r="E779" s="1">
        <v>42836</v>
      </c>
      <c r="F779" t="s">
        <v>177</v>
      </c>
      <c r="G779" t="s">
        <v>899</v>
      </c>
      <c r="H779">
        <v>-407</v>
      </c>
      <c r="I779" t="s">
        <v>37</v>
      </c>
      <c r="J779">
        <v>0</v>
      </c>
      <c r="K779">
        <v>0</v>
      </c>
      <c r="M779" t="s">
        <v>1910</v>
      </c>
      <c r="N779" t="s">
        <v>900</v>
      </c>
      <c r="O779">
        <v>0</v>
      </c>
      <c r="P779">
        <v>0</v>
      </c>
      <c r="Q779" t="s">
        <v>381</v>
      </c>
    </row>
    <row r="780" spans="1:17" x14ac:dyDescent="0.15">
      <c r="A780" t="s">
        <v>129</v>
      </c>
      <c r="B780" t="s">
        <v>130</v>
      </c>
      <c r="C780">
        <v>163</v>
      </c>
      <c r="D780" t="s">
        <v>161</v>
      </c>
      <c r="E780" s="1">
        <v>42838</v>
      </c>
      <c r="F780" t="s">
        <v>177</v>
      </c>
      <c r="G780" t="s">
        <v>902</v>
      </c>
      <c r="H780">
        <v>-514</v>
      </c>
      <c r="I780" t="s">
        <v>37</v>
      </c>
      <c r="J780">
        <v>0</v>
      </c>
      <c r="K780">
        <v>0</v>
      </c>
      <c r="M780" t="s">
        <v>241</v>
      </c>
      <c r="N780" t="s">
        <v>903</v>
      </c>
    </row>
    <row r="781" spans="1:17" x14ac:dyDescent="0.15">
      <c r="A781" t="s">
        <v>129</v>
      </c>
      <c r="B781" t="s">
        <v>130</v>
      </c>
      <c r="C781">
        <v>163</v>
      </c>
      <c r="D781" t="s">
        <v>161</v>
      </c>
      <c r="E781" s="1">
        <v>42838</v>
      </c>
      <c r="F781" t="s">
        <v>177</v>
      </c>
      <c r="G781" t="s">
        <v>902</v>
      </c>
      <c r="H781">
        <v>-514</v>
      </c>
      <c r="I781" t="s">
        <v>37</v>
      </c>
      <c r="J781">
        <v>0</v>
      </c>
      <c r="K781">
        <v>0</v>
      </c>
      <c r="M781" t="s">
        <v>1910</v>
      </c>
      <c r="N781" t="s">
        <v>903</v>
      </c>
      <c r="O781">
        <v>0</v>
      </c>
      <c r="P781">
        <v>0</v>
      </c>
      <c r="Q781" t="s">
        <v>381</v>
      </c>
    </row>
    <row r="782" spans="1:17" x14ac:dyDescent="0.15">
      <c r="A782" t="s">
        <v>129</v>
      </c>
      <c r="B782" t="s">
        <v>130</v>
      </c>
      <c r="C782">
        <v>163</v>
      </c>
      <c r="D782" t="s">
        <v>161</v>
      </c>
      <c r="E782" s="1">
        <v>42853</v>
      </c>
      <c r="F782" t="s">
        <v>17</v>
      </c>
      <c r="G782" t="s">
        <v>706</v>
      </c>
      <c r="H782">
        <v>16</v>
      </c>
      <c r="I782" t="s">
        <v>37</v>
      </c>
      <c r="J782">
        <v>0</v>
      </c>
      <c r="K782">
        <v>0</v>
      </c>
      <c r="M782" t="s">
        <v>241</v>
      </c>
      <c r="N782" t="s">
        <v>707</v>
      </c>
    </row>
    <row r="783" spans="1:17" x14ac:dyDescent="0.15">
      <c r="A783" t="s">
        <v>129</v>
      </c>
      <c r="B783" t="s">
        <v>130</v>
      </c>
      <c r="C783">
        <v>163</v>
      </c>
      <c r="D783" t="s">
        <v>161</v>
      </c>
      <c r="E783" s="1">
        <v>42853</v>
      </c>
      <c r="F783" t="s">
        <v>17</v>
      </c>
      <c r="G783" t="s">
        <v>706</v>
      </c>
      <c r="H783">
        <v>16</v>
      </c>
      <c r="I783" t="s">
        <v>37</v>
      </c>
      <c r="J783">
        <v>0</v>
      </c>
      <c r="K783">
        <v>0</v>
      </c>
      <c r="M783" t="s">
        <v>1910</v>
      </c>
      <c r="N783" t="s">
        <v>707</v>
      </c>
      <c r="O783">
        <v>0</v>
      </c>
      <c r="P783">
        <v>0</v>
      </c>
      <c r="Q783" t="s">
        <v>381</v>
      </c>
    </row>
    <row r="784" spans="1:17" x14ac:dyDescent="0.15">
      <c r="A784" t="s">
        <v>129</v>
      </c>
      <c r="B784" t="s">
        <v>130</v>
      </c>
      <c r="C784">
        <v>163</v>
      </c>
      <c r="D784" t="s">
        <v>161</v>
      </c>
      <c r="E784" s="1">
        <v>42853</v>
      </c>
      <c r="F784" t="s">
        <v>17</v>
      </c>
      <c r="G784" t="s">
        <v>725</v>
      </c>
      <c r="H784">
        <v>514</v>
      </c>
      <c r="I784" t="s">
        <v>37</v>
      </c>
      <c r="J784">
        <v>0</v>
      </c>
      <c r="K784">
        <v>0</v>
      </c>
      <c r="M784" t="s">
        <v>241</v>
      </c>
      <c r="N784" t="s">
        <v>726</v>
      </c>
    </row>
    <row r="785" spans="1:17" x14ac:dyDescent="0.15">
      <c r="A785" t="s">
        <v>129</v>
      </c>
      <c r="B785" t="s">
        <v>130</v>
      </c>
      <c r="C785">
        <v>163</v>
      </c>
      <c r="D785" t="s">
        <v>161</v>
      </c>
      <c r="E785" s="1">
        <v>42853</v>
      </c>
      <c r="F785" t="s">
        <v>17</v>
      </c>
      <c r="G785" t="s">
        <v>725</v>
      </c>
      <c r="H785">
        <v>514</v>
      </c>
      <c r="I785" t="s">
        <v>37</v>
      </c>
      <c r="J785">
        <v>0</v>
      </c>
      <c r="K785">
        <v>0</v>
      </c>
      <c r="M785" t="s">
        <v>1910</v>
      </c>
      <c r="N785" t="s">
        <v>726</v>
      </c>
      <c r="O785">
        <v>0</v>
      </c>
      <c r="P785">
        <v>0</v>
      </c>
      <c r="Q785" t="s">
        <v>381</v>
      </c>
    </row>
    <row r="786" spans="1:17" x14ac:dyDescent="0.15">
      <c r="A786" t="s">
        <v>129</v>
      </c>
      <c r="B786" t="s">
        <v>130</v>
      </c>
      <c r="C786">
        <v>163</v>
      </c>
      <c r="D786" t="s">
        <v>161</v>
      </c>
      <c r="E786" s="1">
        <v>42853</v>
      </c>
      <c r="F786" t="s">
        <v>17</v>
      </c>
      <c r="G786" t="s">
        <v>725</v>
      </c>
      <c r="H786">
        <v>-222</v>
      </c>
      <c r="I786" t="s">
        <v>37</v>
      </c>
      <c r="J786">
        <v>0</v>
      </c>
      <c r="K786">
        <v>0</v>
      </c>
      <c r="M786" t="s">
        <v>241</v>
      </c>
      <c r="N786" t="s">
        <v>726</v>
      </c>
    </row>
    <row r="787" spans="1:17" x14ac:dyDescent="0.15">
      <c r="A787" t="s">
        <v>129</v>
      </c>
      <c r="B787" t="s">
        <v>130</v>
      </c>
      <c r="C787">
        <v>163</v>
      </c>
      <c r="D787" t="s">
        <v>161</v>
      </c>
      <c r="E787" s="1">
        <v>42853</v>
      </c>
      <c r="F787" t="s">
        <v>17</v>
      </c>
      <c r="G787" t="s">
        <v>725</v>
      </c>
      <c r="H787">
        <v>-222</v>
      </c>
      <c r="I787" t="s">
        <v>37</v>
      </c>
      <c r="J787">
        <v>0</v>
      </c>
      <c r="K787">
        <v>0</v>
      </c>
      <c r="M787" t="s">
        <v>1910</v>
      </c>
      <c r="N787" t="s">
        <v>726</v>
      </c>
      <c r="O787">
        <v>0</v>
      </c>
      <c r="P787">
        <v>0</v>
      </c>
      <c r="Q787" t="s">
        <v>381</v>
      </c>
    </row>
    <row r="788" spans="1:17" x14ac:dyDescent="0.15">
      <c r="A788" t="s">
        <v>129</v>
      </c>
      <c r="B788" t="s">
        <v>130</v>
      </c>
      <c r="C788">
        <v>163</v>
      </c>
      <c r="D788" t="s">
        <v>161</v>
      </c>
      <c r="E788" s="1">
        <v>42853</v>
      </c>
      <c r="F788" t="s">
        <v>177</v>
      </c>
      <c r="G788" t="s">
        <v>905</v>
      </c>
      <c r="H788">
        <v>222</v>
      </c>
      <c r="I788" t="s">
        <v>37</v>
      </c>
      <c r="J788">
        <v>0</v>
      </c>
      <c r="K788">
        <v>0</v>
      </c>
      <c r="M788" t="s">
        <v>241</v>
      </c>
      <c r="N788" t="s">
        <v>906</v>
      </c>
    </row>
    <row r="789" spans="1:17" x14ac:dyDescent="0.15">
      <c r="A789" t="s">
        <v>129</v>
      </c>
      <c r="B789" t="s">
        <v>130</v>
      </c>
      <c r="C789">
        <v>163</v>
      </c>
      <c r="D789" t="s">
        <v>161</v>
      </c>
      <c r="E789" s="1">
        <v>42853</v>
      </c>
      <c r="F789" t="s">
        <v>177</v>
      </c>
      <c r="G789" t="s">
        <v>905</v>
      </c>
      <c r="H789">
        <v>222</v>
      </c>
      <c r="I789" t="s">
        <v>37</v>
      </c>
      <c r="J789">
        <v>0</v>
      </c>
      <c r="K789">
        <v>0</v>
      </c>
      <c r="M789" t="s">
        <v>1910</v>
      </c>
      <c r="N789" t="s">
        <v>906</v>
      </c>
      <c r="O789">
        <v>0</v>
      </c>
      <c r="P789">
        <v>0</v>
      </c>
      <c r="Q789" t="s">
        <v>381</v>
      </c>
    </row>
    <row r="790" spans="1:17" x14ac:dyDescent="0.15">
      <c r="A790" t="s">
        <v>129</v>
      </c>
      <c r="B790" t="s">
        <v>130</v>
      </c>
      <c r="C790">
        <v>163</v>
      </c>
      <c r="D790" t="s">
        <v>161</v>
      </c>
      <c r="E790" s="1">
        <v>42919</v>
      </c>
      <c r="F790" t="s">
        <v>17</v>
      </c>
      <c r="G790" t="s">
        <v>1528</v>
      </c>
      <c r="H790">
        <v>68</v>
      </c>
      <c r="I790" t="s">
        <v>37</v>
      </c>
      <c r="J790">
        <v>0</v>
      </c>
      <c r="K790">
        <v>0</v>
      </c>
      <c r="M790" t="s">
        <v>241</v>
      </c>
      <c r="N790" t="s">
        <v>1529</v>
      </c>
    </row>
    <row r="791" spans="1:17" x14ac:dyDescent="0.15">
      <c r="A791" t="s">
        <v>129</v>
      </c>
      <c r="B791" t="s">
        <v>130</v>
      </c>
      <c r="C791">
        <v>163</v>
      </c>
      <c r="D791" t="s">
        <v>161</v>
      </c>
      <c r="E791" s="1">
        <v>42919</v>
      </c>
      <c r="F791" t="s">
        <v>17</v>
      </c>
      <c r="G791" t="s">
        <v>1528</v>
      </c>
      <c r="H791">
        <v>68</v>
      </c>
      <c r="I791" t="s">
        <v>37</v>
      </c>
      <c r="J791">
        <v>0</v>
      </c>
      <c r="K791">
        <v>0</v>
      </c>
      <c r="M791" t="s">
        <v>1910</v>
      </c>
      <c r="N791" t="s">
        <v>1529</v>
      </c>
      <c r="O791">
        <v>0</v>
      </c>
      <c r="P791">
        <v>0</v>
      </c>
      <c r="Q791" t="s">
        <v>381</v>
      </c>
    </row>
    <row r="792" spans="1:17" x14ac:dyDescent="0.15">
      <c r="A792" t="s">
        <v>129</v>
      </c>
      <c r="B792" t="s">
        <v>130</v>
      </c>
      <c r="C792">
        <v>163</v>
      </c>
      <c r="D792" t="s">
        <v>161</v>
      </c>
      <c r="E792" s="1">
        <v>42919</v>
      </c>
      <c r="F792" t="s">
        <v>17</v>
      </c>
      <c r="G792" t="s">
        <v>1528</v>
      </c>
      <c r="H792">
        <v>262</v>
      </c>
      <c r="I792" t="s">
        <v>37</v>
      </c>
      <c r="J792">
        <v>0</v>
      </c>
      <c r="K792">
        <v>0</v>
      </c>
      <c r="M792" t="s">
        <v>241</v>
      </c>
      <c r="N792" t="s">
        <v>1530</v>
      </c>
    </row>
    <row r="793" spans="1:17" x14ac:dyDescent="0.15">
      <c r="A793" t="s">
        <v>129</v>
      </c>
      <c r="B793" t="s">
        <v>130</v>
      </c>
      <c r="C793">
        <v>163</v>
      </c>
      <c r="D793" t="s">
        <v>161</v>
      </c>
      <c r="E793" s="1">
        <v>42919</v>
      </c>
      <c r="F793" t="s">
        <v>17</v>
      </c>
      <c r="G793" t="s">
        <v>1528</v>
      </c>
      <c r="H793">
        <v>262</v>
      </c>
      <c r="I793" t="s">
        <v>37</v>
      </c>
      <c r="J793">
        <v>0</v>
      </c>
      <c r="K793">
        <v>0</v>
      </c>
      <c r="M793" t="s">
        <v>1910</v>
      </c>
      <c r="N793" t="s">
        <v>1530</v>
      </c>
      <c r="O793">
        <v>0</v>
      </c>
      <c r="P793">
        <v>0</v>
      </c>
      <c r="Q793" t="s">
        <v>381</v>
      </c>
    </row>
    <row r="794" spans="1:17" x14ac:dyDescent="0.15">
      <c r="A794" t="s">
        <v>129</v>
      </c>
      <c r="B794" t="s">
        <v>130</v>
      </c>
      <c r="C794">
        <v>163</v>
      </c>
      <c r="D794" t="s">
        <v>161</v>
      </c>
      <c r="E794" s="1">
        <v>42919</v>
      </c>
      <c r="F794" t="s">
        <v>17</v>
      </c>
      <c r="G794" t="s">
        <v>1528</v>
      </c>
      <c r="H794">
        <v>84</v>
      </c>
      <c r="I794" t="s">
        <v>37</v>
      </c>
      <c r="J794">
        <v>0</v>
      </c>
      <c r="K794">
        <v>0</v>
      </c>
      <c r="M794" t="s">
        <v>241</v>
      </c>
      <c r="N794" t="s">
        <v>1531</v>
      </c>
    </row>
    <row r="795" spans="1:17" x14ac:dyDescent="0.15">
      <c r="A795" t="s">
        <v>129</v>
      </c>
      <c r="B795" t="s">
        <v>130</v>
      </c>
      <c r="C795">
        <v>163</v>
      </c>
      <c r="D795" t="s">
        <v>161</v>
      </c>
      <c r="E795" s="1">
        <v>42919</v>
      </c>
      <c r="F795" t="s">
        <v>17</v>
      </c>
      <c r="G795" t="s">
        <v>1528</v>
      </c>
      <c r="H795">
        <v>84</v>
      </c>
      <c r="I795" t="s">
        <v>37</v>
      </c>
      <c r="J795">
        <v>0</v>
      </c>
      <c r="K795">
        <v>0</v>
      </c>
      <c r="M795" t="s">
        <v>1910</v>
      </c>
      <c r="N795" t="s">
        <v>1531</v>
      </c>
      <c r="O795">
        <v>0</v>
      </c>
      <c r="P795">
        <v>0</v>
      </c>
      <c r="Q795" t="s">
        <v>381</v>
      </c>
    </row>
    <row r="796" spans="1:17" x14ac:dyDescent="0.15">
      <c r="A796" t="s">
        <v>129</v>
      </c>
      <c r="B796" t="s">
        <v>130</v>
      </c>
      <c r="C796">
        <v>163</v>
      </c>
      <c r="D796" t="s">
        <v>161</v>
      </c>
      <c r="E796" s="1">
        <v>42919</v>
      </c>
      <c r="F796" t="s">
        <v>17</v>
      </c>
      <c r="G796" t="s">
        <v>1534</v>
      </c>
      <c r="H796">
        <v>2</v>
      </c>
      <c r="I796" t="s">
        <v>37</v>
      </c>
      <c r="J796">
        <v>0</v>
      </c>
      <c r="K796">
        <v>0</v>
      </c>
      <c r="M796" t="s">
        <v>241</v>
      </c>
      <c r="N796" t="s">
        <v>1535</v>
      </c>
    </row>
    <row r="797" spans="1:17" x14ac:dyDescent="0.15">
      <c r="A797" t="s">
        <v>129</v>
      </c>
      <c r="B797" t="s">
        <v>130</v>
      </c>
      <c r="C797">
        <v>163</v>
      </c>
      <c r="D797" t="s">
        <v>161</v>
      </c>
      <c r="E797" s="1">
        <v>42919</v>
      </c>
      <c r="F797" t="s">
        <v>17</v>
      </c>
      <c r="G797" t="s">
        <v>1534</v>
      </c>
      <c r="H797">
        <v>2</v>
      </c>
      <c r="I797" t="s">
        <v>37</v>
      </c>
      <c r="J797">
        <v>0</v>
      </c>
      <c r="K797">
        <v>0</v>
      </c>
      <c r="M797" t="s">
        <v>1910</v>
      </c>
      <c r="N797" t="s">
        <v>1535</v>
      </c>
      <c r="O797">
        <v>0</v>
      </c>
      <c r="P797">
        <v>0</v>
      </c>
      <c r="Q797" t="s">
        <v>381</v>
      </c>
    </row>
    <row r="798" spans="1:17" x14ac:dyDescent="0.15">
      <c r="A798" t="s">
        <v>129</v>
      </c>
      <c r="B798" t="s">
        <v>130</v>
      </c>
      <c r="C798">
        <v>163</v>
      </c>
      <c r="D798" t="s">
        <v>161</v>
      </c>
      <c r="E798" s="1">
        <v>42919</v>
      </c>
      <c r="F798" t="s">
        <v>17</v>
      </c>
      <c r="G798" t="s">
        <v>1534</v>
      </c>
      <c r="H798">
        <v>8</v>
      </c>
      <c r="I798" t="s">
        <v>37</v>
      </c>
      <c r="J798">
        <v>0</v>
      </c>
      <c r="K798">
        <v>0</v>
      </c>
      <c r="M798" t="s">
        <v>241</v>
      </c>
      <c r="N798" t="s">
        <v>1536</v>
      </c>
    </row>
    <row r="799" spans="1:17" x14ac:dyDescent="0.15">
      <c r="A799" t="s">
        <v>129</v>
      </c>
      <c r="B799" t="s">
        <v>130</v>
      </c>
      <c r="C799">
        <v>163</v>
      </c>
      <c r="D799" t="s">
        <v>161</v>
      </c>
      <c r="E799" s="1">
        <v>42919</v>
      </c>
      <c r="F799" t="s">
        <v>17</v>
      </c>
      <c r="G799" t="s">
        <v>1534</v>
      </c>
      <c r="H799">
        <v>8</v>
      </c>
      <c r="I799" t="s">
        <v>37</v>
      </c>
      <c r="J799">
        <v>0</v>
      </c>
      <c r="K799">
        <v>0</v>
      </c>
      <c r="M799" t="s">
        <v>1910</v>
      </c>
      <c r="N799" t="s">
        <v>1536</v>
      </c>
      <c r="O799">
        <v>0</v>
      </c>
      <c r="P799">
        <v>0</v>
      </c>
      <c r="Q799" t="s">
        <v>381</v>
      </c>
    </row>
    <row r="800" spans="1:17" x14ac:dyDescent="0.15">
      <c r="A800" t="s">
        <v>129</v>
      </c>
      <c r="B800" t="s">
        <v>130</v>
      </c>
      <c r="C800">
        <v>163</v>
      </c>
      <c r="D800" t="s">
        <v>161</v>
      </c>
      <c r="E800" s="1">
        <v>42919</v>
      </c>
      <c r="F800" t="s">
        <v>17</v>
      </c>
      <c r="G800" t="s">
        <v>1534</v>
      </c>
      <c r="H800">
        <v>32</v>
      </c>
      <c r="I800" t="s">
        <v>37</v>
      </c>
      <c r="J800">
        <v>0</v>
      </c>
      <c r="K800">
        <v>0</v>
      </c>
      <c r="M800" t="s">
        <v>241</v>
      </c>
      <c r="N800" t="s">
        <v>1537</v>
      </c>
    </row>
    <row r="801" spans="1:17" x14ac:dyDescent="0.15">
      <c r="A801" t="s">
        <v>129</v>
      </c>
      <c r="B801" t="s">
        <v>130</v>
      </c>
      <c r="C801">
        <v>163</v>
      </c>
      <c r="D801" t="s">
        <v>161</v>
      </c>
      <c r="E801" s="1">
        <v>42919</v>
      </c>
      <c r="F801" t="s">
        <v>17</v>
      </c>
      <c r="G801" t="s">
        <v>1534</v>
      </c>
      <c r="H801">
        <v>32</v>
      </c>
      <c r="I801" t="s">
        <v>37</v>
      </c>
      <c r="J801">
        <v>0</v>
      </c>
      <c r="K801">
        <v>0</v>
      </c>
      <c r="M801" t="s">
        <v>1910</v>
      </c>
      <c r="N801" t="s">
        <v>1537</v>
      </c>
      <c r="O801">
        <v>0</v>
      </c>
      <c r="P801">
        <v>0</v>
      </c>
      <c r="Q801" t="s">
        <v>381</v>
      </c>
    </row>
    <row r="802" spans="1:17" x14ac:dyDescent="0.15">
      <c r="A802" t="s">
        <v>129</v>
      </c>
      <c r="B802" t="s">
        <v>130</v>
      </c>
      <c r="C802">
        <v>163</v>
      </c>
      <c r="D802" t="s">
        <v>161</v>
      </c>
      <c r="E802" s="1">
        <v>42919</v>
      </c>
      <c r="F802" t="s">
        <v>17</v>
      </c>
      <c r="G802" t="s">
        <v>1534</v>
      </c>
      <c r="H802">
        <v>3</v>
      </c>
      <c r="I802" t="s">
        <v>37</v>
      </c>
      <c r="J802">
        <v>0</v>
      </c>
      <c r="K802">
        <v>0</v>
      </c>
      <c r="M802" t="s">
        <v>241</v>
      </c>
      <c r="N802" t="s">
        <v>1538</v>
      </c>
    </row>
    <row r="803" spans="1:17" x14ac:dyDescent="0.15">
      <c r="A803" t="s">
        <v>129</v>
      </c>
      <c r="B803" t="s">
        <v>130</v>
      </c>
      <c r="C803">
        <v>163</v>
      </c>
      <c r="D803" t="s">
        <v>161</v>
      </c>
      <c r="E803" s="1">
        <v>42919</v>
      </c>
      <c r="F803" t="s">
        <v>17</v>
      </c>
      <c r="G803" t="s">
        <v>1534</v>
      </c>
      <c r="H803">
        <v>3</v>
      </c>
      <c r="I803" t="s">
        <v>37</v>
      </c>
      <c r="J803">
        <v>0</v>
      </c>
      <c r="K803">
        <v>0</v>
      </c>
      <c r="M803" t="s">
        <v>1910</v>
      </c>
      <c r="N803" t="s">
        <v>1538</v>
      </c>
      <c r="O803">
        <v>0</v>
      </c>
      <c r="P803">
        <v>0</v>
      </c>
      <c r="Q803" t="s">
        <v>381</v>
      </c>
    </row>
    <row r="804" spans="1:17" x14ac:dyDescent="0.15">
      <c r="A804" t="s">
        <v>129</v>
      </c>
      <c r="B804" t="s">
        <v>130</v>
      </c>
      <c r="C804">
        <v>163</v>
      </c>
      <c r="D804" t="s">
        <v>161</v>
      </c>
      <c r="E804" s="1">
        <v>42919</v>
      </c>
      <c r="F804" t="s">
        <v>17</v>
      </c>
      <c r="G804" t="s">
        <v>1534</v>
      </c>
      <c r="H804">
        <v>12</v>
      </c>
      <c r="I804" t="s">
        <v>37</v>
      </c>
      <c r="J804">
        <v>0</v>
      </c>
      <c r="K804">
        <v>0</v>
      </c>
      <c r="M804" t="s">
        <v>241</v>
      </c>
      <c r="N804" t="s">
        <v>1539</v>
      </c>
    </row>
    <row r="805" spans="1:17" x14ac:dyDescent="0.15">
      <c r="A805" t="s">
        <v>129</v>
      </c>
      <c r="B805" t="s">
        <v>130</v>
      </c>
      <c r="C805">
        <v>163</v>
      </c>
      <c r="D805" t="s">
        <v>161</v>
      </c>
      <c r="E805" s="1">
        <v>42919</v>
      </c>
      <c r="F805" t="s">
        <v>17</v>
      </c>
      <c r="G805" t="s">
        <v>1534</v>
      </c>
      <c r="H805">
        <v>12</v>
      </c>
      <c r="I805" t="s">
        <v>37</v>
      </c>
      <c r="J805">
        <v>0</v>
      </c>
      <c r="K805">
        <v>0</v>
      </c>
      <c r="M805" t="s">
        <v>1910</v>
      </c>
      <c r="N805" t="s">
        <v>1539</v>
      </c>
      <c r="O805">
        <v>0</v>
      </c>
      <c r="P805">
        <v>0</v>
      </c>
      <c r="Q805" t="s">
        <v>381</v>
      </c>
    </row>
    <row r="806" spans="1:17" x14ac:dyDescent="0.15">
      <c r="A806" t="s">
        <v>129</v>
      </c>
      <c r="B806" t="s">
        <v>130</v>
      </c>
      <c r="C806">
        <v>163</v>
      </c>
      <c r="D806" t="s">
        <v>161</v>
      </c>
      <c r="E806" s="1">
        <v>42927</v>
      </c>
      <c r="F806" t="s">
        <v>17</v>
      </c>
      <c r="G806" t="s">
        <v>1501</v>
      </c>
      <c r="H806">
        <v>84</v>
      </c>
      <c r="I806" t="s">
        <v>37</v>
      </c>
      <c r="J806">
        <v>0</v>
      </c>
      <c r="K806">
        <v>0</v>
      </c>
      <c r="M806" t="s">
        <v>241</v>
      </c>
      <c r="N806" t="s">
        <v>1502</v>
      </c>
    </row>
    <row r="807" spans="1:17" x14ac:dyDescent="0.15">
      <c r="A807" t="s">
        <v>129</v>
      </c>
      <c r="B807" t="s">
        <v>130</v>
      </c>
      <c r="C807">
        <v>163</v>
      </c>
      <c r="D807" t="s">
        <v>161</v>
      </c>
      <c r="E807" s="1">
        <v>42927</v>
      </c>
      <c r="F807" t="s">
        <v>17</v>
      </c>
      <c r="G807" t="s">
        <v>1501</v>
      </c>
      <c r="H807">
        <v>84</v>
      </c>
      <c r="I807" t="s">
        <v>37</v>
      </c>
      <c r="J807">
        <v>0</v>
      </c>
      <c r="K807">
        <v>0</v>
      </c>
      <c r="M807" t="s">
        <v>1910</v>
      </c>
      <c r="N807" t="s">
        <v>1502</v>
      </c>
      <c r="O807">
        <v>0</v>
      </c>
      <c r="P807">
        <v>0</v>
      </c>
      <c r="Q807" t="s">
        <v>381</v>
      </c>
    </row>
    <row r="808" spans="1:17" x14ac:dyDescent="0.15">
      <c r="A808" t="s">
        <v>129</v>
      </c>
      <c r="B808" t="s">
        <v>130</v>
      </c>
      <c r="C808">
        <v>163</v>
      </c>
      <c r="D808" t="s">
        <v>161</v>
      </c>
      <c r="E808" s="1">
        <v>42932</v>
      </c>
      <c r="F808" t="s">
        <v>17</v>
      </c>
      <c r="G808" t="s">
        <v>1499</v>
      </c>
      <c r="H808">
        <v>16</v>
      </c>
      <c r="I808" t="s">
        <v>37</v>
      </c>
      <c r="J808">
        <v>0</v>
      </c>
      <c r="K808">
        <v>0</v>
      </c>
      <c r="M808" t="s">
        <v>241</v>
      </c>
      <c r="N808" t="s">
        <v>1500</v>
      </c>
    </row>
    <row r="809" spans="1:17" x14ac:dyDescent="0.15">
      <c r="A809" t="s">
        <v>129</v>
      </c>
      <c r="B809" t="s">
        <v>130</v>
      </c>
      <c r="C809">
        <v>163</v>
      </c>
      <c r="D809" t="s">
        <v>161</v>
      </c>
      <c r="E809" s="1">
        <v>42932</v>
      </c>
      <c r="F809" t="s">
        <v>17</v>
      </c>
      <c r="G809" t="s">
        <v>1499</v>
      </c>
      <c r="H809">
        <v>16</v>
      </c>
      <c r="I809" t="s">
        <v>37</v>
      </c>
      <c r="J809">
        <v>0</v>
      </c>
      <c r="K809">
        <v>0</v>
      </c>
      <c r="M809" t="s">
        <v>1910</v>
      </c>
      <c r="N809" t="s">
        <v>1500</v>
      </c>
      <c r="O809">
        <v>0</v>
      </c>
      <c r="P809">
        <v>0</v>
      </c>
      <c r="Q809" t="s">
        <v>381</v>
      </c>
    </row>
    <row r="810" spans="1:17" x14ac:dyDescent="0.15">
      <c r="A810" t="s">
        <v>129</v>
      </c>
      <c r="B810" t="s">
        <v>130</v>
      </c>
      <c r="C810">
        <v>163</v>
      </c>
      <c r="D810" t="s">
        <v>161</v>
      </c>
      <c r="E810" s="1">
        <v>42932</v>
      </c>
      <c r="F810" t="s">
        <v>177</v>
      </c>
      <c r="G810" t="s">
        <v>1766</v>
      </c>
      <c r="H810">
        <v>-16</v>
      </c>
      <c r="I810" t="s">
        <v>37</v>
      </c>
      <c r="J810">
        <v>0</v>
      </c>
      <c r="K810">
        <v>0</v>
      </c>
      <c r="M810" t="s">
        <v>241</v>
      </c>
      <c r="N810" t="s">
        <v>1767</v>
      </c>
    </row>
    <row r="811" spans="1:17" x14ac:dyDescent="0.15">
      <c r="A811" t="s">
        <v>129</v>
      </c>
      <c r="B811" t="s">
        <v>130</v>
      </c>
      <c r="C811">
        <v>163</v>
      </c>
      <c r="D811" t="s">
        <v>161</v>
      </c>
      <c r="E811" s="1">
        <v>42932</v>
      </c>
      <c r="F811" t="s">
        <v>177</v>
      </c>
      <c r="G811" t="s">
        <v>1766</v>
      </c>
      <c r="H811">
        <v>-16</v>
      </c>
      <c r="I811" t="s">
        <v>37</v>
      </c>
      <c r="J811">
        <v>0</v>
      </c>
      <c r="K811">
        <v>0</v>
      </c>
      <c r="M811" t="s">
        <v>1910</v>
      </c>
      <c r="N811" t="s">
        <v>1767</v>
      </c>
      <c r="O811">
        <v>0</v>
      </c>
      <c r="P811">
        <v>0</v>
      </c>
      <c r="Q811" t="s">
        <v>381</v>
      </c>
    </row>
    <row r="812" spans="1:17" x14ac:dyDescent="0.15">
      <c r="A812" t="s">
        <v>129</v>
      </c>
      <c r="B812" t="s">
        <v>130</v>
      </c>
      <c r="C812">
        <v>163</v>
      </c>
      <c r="D812" t="s">
        <v>161</v>
      </c>
      <c r="E812" s="1">
        <v>42932</v>
      </c>
      <c r="F812" t="s">
        <v>177</v>
      </c>
      <c r="G812" t="s">
        <v>1768</v>
      </c>
      <c r="H812">
        <v>-84</v>
      </c>
      <c r="I812" t="s">
        <v>37</v>
      </c>
      <c r="J812">
        <v>0</v>
      </c>
      <c r="K812">
        <v>0</v>
      </c>
      <c r="M812" t="s">
        <v>241</v>
      </c>
      <c r="N812" t="s">
        <v>1769</v>
      </c>
    </row>
    <row r="813" spans="1:17" x14ac:dyDescent="0.15">
      <c r="A813" t="s">
        <v>129</v>
      </c>
      <c r="B813" t="s">
        <v>130</v>
      </c>
      <c r="C813">
        <v>163</v>
      </c>
      <c r="D813" t="s">
        <v>161</v>
      </c>
      <c r="E813" s="1">
        <v>42932</v>
      </c>
      <c r="F813" t="s">
        <v>177</v>
      </c>
      <c r="G813" t="s">
        <v>1768</v>
      </c>
      <c r="H813">
        <v>-84</v>
      </c>
      <c r="I813" t="s">
        <v>37</v>
      </c>
      <c r="J813">
        <v>0</v>
      </c>
      <c r="K813">
        <v>0</v>
      </c>
      <c r="M813" t="s">
        <v>1910</v>
      </c>
      <c r="N813" t="s">
        <v>1769</v>
      </c>
      <c r="O813">
        <v>0</v>
      </c>
      <c r="P813">
        <v>0</v>
      </c>
      <c r="Q813" t="s">
        <v>381</v>
      </c>
    </row>
    <row r="814" spans="1:17" x14ac:dyDescent="0.15">
      <c r="A814" t="s">
        <v>129</v>
      </c>
      <c r="B814" t="s">
        <v>130</v>
      </c>
      <c r="C814">
        <v>163</v>
      </c>
      <c r="D814" t="s">
        <v>161</v>
      </c>
      <c r="E814" s="1">
        <v>42935</v>
      </c>
      <c r="F814" t="s">
        <v>17</v>
      </c>
      <c r="G814" t="s">
        <v>1518</v>
      </c>
      <c r="H814">
        <v>16</v>
      </c>
      <c r="I814" t="s">
        <v>37</v>
      </c>
      <c r="J814">
        <v>0</v>
      </c>
      <c r="K814">
        <v>0</v>
      </c>
      <c r="M814" t="s">
        <v>241</v>
      </c>
      <c r="N814" t="s">
        <v>1519</v>
      </c>
    </row>
    <row r="815" spans="1:17" x14ac:dyDescent="0.15">
      <c r="A815" t="s">
        <v>129</v>
      </c>
      <c r="B815" t="s">
        <v>130</v>
      </c>
      <c r="C815">
        <v>163</v>
      </c>
      <c r="D815" t="s">
        <v>161</v>
      </c>
      <c r="E815" s="1">
        <v>42935</v>
      </c>
      <c r="F815" t="s">
        <v>17</v>
      </c>
      <c r="G815" t="s">
        <v>1518</v>
      </c>
      <c r="H815">
        <v>16</v>
      </c>
      <c r="I815" t="s">
        <v>37</v>
      </c>
      <c r="J815">
        <v>0</v>
      </c>
      <c r="K815">
        <v>0</v>
      </c>
      <c r="M815" t="s">
        <v>1910</v>
      </c>
      <c r="N815" t="s">
        <v>1519</v>
      </c>
      <c r="O815">
        <v>0</v>
      </c>
      <c r="P815">
        <v>0</v>
      </c>
      <c r="Q815" t="s">
        <v>381</v>
      </c>
    </row>
    <row r="816" spans="1:17" x14ac:dyDescent="0.15">
      <c r="A816" t="s">
        <v>129</v>
      </c>
      <c r="B816" t="s">
        <v>130</v>
      </c>
      <c r="C816">
        <v>163</v>
      </c>
      <c r="D816" t="s">
        <v>161</v>
      </c>
      <c r="E816" s="1">
        <v>42935</v>
      </c>
      <c r="F816" t="s">
        <v>17</v>
      </c>
      <c r="G816" t="s">
        <v>1518</v>
      </c>
      <c r="H816">
        <v>16</v>
      </c>
      <c r="I816" t="s">
        <v>37</v>
      </c>
      <c r="J816">
        <v>0</v>
      </c>
      <c r="K816">
        <v>0</v>
      </c>
      <c r="M816" t="s">
        <v>241</v>
      </c>
      <c r="N816" t="s">
        <v>1520</v>
      </c>
    </row>
    <row r="817" spans="1:17" x14ac:dyDescent="0.15">
      <c r="A817" t="s">
        <v>129</v>
      </c>
      <c r="B817" t="s">
        <v>130</v>
      </c>
      <c r="C817">
        <v>163</v>
      </c>
      <c r="D817" t="s">
        <v>161</v>
      </c>
      <c r="E817" s="1">
        <v>42935</v>
      </c>
      <c r="F817" t="s">
        <v>17</v>
      </c>
      <c r="G817" t="s">
        <v>1518</v>
      </c>
      <c r="H817">
        <v>16</v>
      </c>
      <c r="I817" t="s">
        <v>37</v>
      </c>
      <c r="J817">
        <v>0</v>
      </c>
      <c r="K817">
        <v>0</v>
      </c>
      <c r="M817" t="s">
        <v>1910</v>
      </c>
      <c r="N817" t="s">
        <v>1520</v>
      </c>
      <c r="O817">
        <v>0</v>
      </c>
      <c r="P817">
        <v>0</v>
      </c>
      <c r="Q817" t="s">
        <v>381</v>
      </c>
    </row>
    <row r="818" spans="1:17" x14ac:dyDescent="0.15">
      <c r="A818" t="s">
        <v>129</v>
      </c>
      <c r="B818" t="s">
        <v>130</v>
      </c>
      <c r="C818">
        <v>163</v>
      </c>
      <c r="D818" t="s">
        <v>161</v>
      </c>
      <c r="E818" s="1">
        <v>42936</v>
      </c>
      <c r="F818" t="s">
        <v>177</v>
      </c>
      <c r="G818" t="s">
        <v>1773</v>
      </c>
      <c r="H818">
        <v>-16</v>
      </c>
      <c r="I818" t="s">
        <v>37</v>
      </c>
      <c r="J818">
        <v>0</v>
      </c>
      <c r="K818">
        <v>0</v>
      </c>
      <c r="M818" t="s">
        <v>241</v>
      </c>
      <c r="N818" t="s">
        <v>1774</v>
      </c>
    </row>
    <row r="819" spans="1:17" x14ac:dyDescent="0.15">
      <c r="A819" t="s">
        <v>129</v>
      </c>
      <c r="B819" t="s">
        <v>130</v>
      </c>
      <c r="C819">
        <v>163</v>
      </c>
      <c r="D819" t="s">
        <v>161</v>
      </c>
      <c r="E819" s="1">
        <v>42936</v>
      </c>
      <c r="F819" t="s">
        <v>177</v>
      </c>
      <c r="G819" t="s">
        <v>1773</v>
      </c>
      <c r="H819">
        <v>-16</v>
      </c>
      <c r="I819" t="s">
        <v>37</v>
      </c>
      <c r="J819">
        <v>0</v>
      </c>
      <c r="K819">
        <v>0</v>
      </c>
      <c r="M819" t="s">
        <v>1910</v>
      </c>
      <c r="N819" t="s">
        <v>1774</v>
      </c>
      <c r="O819">
        <v>0</v>
      </c>
      <c r="P819">
        <v>0</v>
      </c>
      <c r="Q819" t="s">
        <v>381</v>
      </c>
    </row>
    <row r="820" spans="1:17" x14ac:dyDescent="0.15">
      <c r="A820" t="s">
        <v>129</v>
      </c>
      <c r="B820" t="s">
        <v>130</v>
      </c>
      <c r="C820">
        <v>163</v>
      </c>
      <c r="D820" t="s">
        <v>161</v>
      </c>
      <c r="E820" s="1">
        <v>42936</v>
      </c>
      <c r="F820" t="s">
        <v>177</v>
      </c>
      <c r="G820" t="s">
        <v>1773</v>
      </c>
      <c r="H820">
        <v>-16</v>
      </c>
      <c r="I820" t="s">
        <v>37</v>
      </c>
      <c r="J820">
        <v>0</v>
      </c>
      <c r="K820">
        <v>0</v>
      </c>
      <c r="M820" t="s">
        <v>241</v>
      </c>
      <c r="N820" t="s">
        <v>1775</v>
      </c>
    </row>
    <row r="821" spans="1:17" x14ac:dyDescent="0.15">
      <c r="A821" t="s">
        <v>129</v>
      </c>
      <c r="B821" t="s">
        <v>130</v>
      </c>
      <c r="C821">
        <v>163</v>
      </c>
      <c r="D821" t="s">
        <v>161</v>
      </c>
      <c r="E821" s="1">
        <v>42936</v>
      </c>
      <c r="F821" t="s">
        <v>177</v>
      </c>
      <c r="G821" t="s">
        <v>1773</v>
      </c>
      <c r="H821">
        <v>-16</v>
      </c>
      <c r="I821" t="s">
        <v>37</v>
      </c>
      <c r="J821">
        <v>0</v>
      </c>
      <c r="K821">
        <v>0</v>
      </c>
      <c r="M821" t="s">
        <v>1910</v>
      </c>
      <c r="N821" t="s">
        <v>1775</v>
      </c>
      <c r="O821">
        <v>0</v>
      </c>
      <c r="P821">
        <v>0</v>
      </c>
      <c r="Q821" t="s">
        <v>381</v>
      </c>
    </row>
    <row r="822" spans="1:17" x14ac:dyDescent="0.15">
      <c r="A822" t="s">
        <v>129</v>
      </c>
      <c r="B822" t="s">
        <v>130</v>
      </c>
      <c r="C822">
        <v>163</v>
      </c>
      <c r="D822" t="s">
        <v>161</v>
      </c>
      <c r="E822" s="1">
        <v>42936</v>
      </c>
      <c r="F822" t="s">
        <v>177</v>
      </c>
      <c r="G822" t="s">
        <v>1779</v>
      </c>
      <c r="H822">
        <v>-1</v>
      </c>
      <c r="I822" t="s">
        <v>37</v>
      </c>
      <c r="J822">
        <v>0</v>
      </c>
      <c r="K822">
        <v>0</v>
      </c>
      <c r="M822" t="s">
        <v>241</v>
      </c>
      <c r="N822" t="s">
        <v>1780</v>
      </c>
    </row>
    <row r="823" spans="1:17" x14ac:dyDescent="0.15">
      <c r="A823" t="s">
        <v>129</v>
      </c>
      <c r="B823" t="s">
        <v>130</v>
      </c>
      <c r="C823">
        <v>163</v>
      </c>
      <c r="D823" t="s">
        <v>161</v>
      </c>
      <c r="E823" s="1">
        <v>42936</v>
      </c>
      <c r="F823" t="s">
        <v>177</v>
      </c>
      <c r="G823" t="s">
        <v>1779</v>
      </c>
      <c r="H823">
        <v>-1</v>
      </c>
      <c r="I823" t="s">
        <v>37</v>
      </c>
      <c r="J823">
        <v>0</v>
      </c>
      <c r="K823">
        <v>0</v>
      </c>
      <c r="M823" t="s">
        <v>1910</v>
      </c>
      <c r="N823" t="s">
        <v>1780</v>
      </c>
      <c r="O823">
        <v>0</v>
      </c>
      <c r="P823">
        <v>0</v>
      </c>
      <c r="Q823" t="s">
        <v>381</v>
      </c>
    </row>
    <row r="824" spans="1:17" x14ac:dyDescent="0.15">
      <c r="A824" t="s">
        <v>129</v>
      </c>
      <c r="B824" t="s">
        <v>130</v>
      </c>
      <c r="C824">
        <v>163</v>
      </c>
      <c r="D824" t="s">
        <v>161</v>
      </c>
      <c r="E824" s="1">
        <v>42940</v>
      </c>
      <c r="F824" t="s">
        <v>177</v>
      </c>
      <c r="G824" t="s">
        <v>1784</v>
      </c>
      <c r="H824">
        <v>-68</v>
      </c>
      <c r="I824" t="s">
        <v>37</v>
      </c>
      <c r="J824">
        <v>0</v>
      </c>
      <c r="K824">
        <v>0</v>
      </c>
      <c r="M824" t="s">
        <v>241</v>
      </c>
      <c r="N824" t="s">
        <v>1785</v>
      </c>
    </row>
    <row r="825" spans="1:17" x14ac:dyDescent="0.15">
      <c r="A825" t="s">
        <v>129</v>
      </c>
      <c r="B825" t="s">
        <v>130</v>
      </c>
      <c r="C825">
        <v>163</v>
      </c>
      <c r="D825" t="s">
        <v>161</v>
      </c>
      <c r="E825" s="1">
        <v>42940</v>
      </c>
      <c r="F825" t="s">
        <v>177</v>
      </c>
      <c r="G825" t="s">
        <v>1784</v>
      </c>
      <c r="H825">
        <v>-68</v>
      </c>
      <c r="I825" t="s">
        <v>37</v>
      </c>
      <c r="J825">
        <v>0</v>
      </c>
      <c r="K825">
        <v>0</v>
      </c>
      <c r="M825" t="s">
        <v>1910</v>
      </c>
      <c r="N825" t="s">
        <v>1785</v>
      </c>
      <c r="O825">
        <v>0</v>
      </c>
      <c r="P825">
        <v>0</v>
      </c>
      <c r="Q825" t="s">
        <v>381</v>
      </c>
    </row>
    <row r="826" spans="1:17" x14ac:dyDescent="0.15">
      <c r="A826" t="s">
        <v>129</v>
      </c>
      <c r="B826" t="s">
        <v>130</v>
      </c>
      <c r="C826">
        <v>163</v>
      </c>
      <c r="D826" t="s">
        <v>161</v>
      </c>
      <c r="E826" s="1">
        <v>42940</v>
      </c>
      <c r="F826" t="s">
        <v>177</v>
      </c>
      <c r="G826" t="s">
        <v>1786</v>
      </c>
      <c r="H826">
        <v>-262</v>
      </c>
      <c r="I826" t="s">
        <v>37</v>
      </c>
      <c r="J826">
        <v>0</v>
      </c>
      <c r="K826">
        <v>0</v>
      </c>
      <c r="M826" t="s">
        <v>241</v>
      </c>
      <c r="N826" t="s">
        <v>1787</v>
      </c>
    </row>
    <row r="827" spans="1:17" x14ac:dyDescent="0.15">
      <c r="A827" t="s">
        <v>129</v>
      </c>
      <c r="B827" t="s">
        <v>130</v>
      </c>
      <c r="C827">
        <v>163</v>
      </c>
      <c r="D827" t="s">
        <v>161</v>
      </c>
      <c r="E827" s="1">
        <v>42940</v>
      </c>
      <c r="F827" t="s">
        <v>177</v>
      </c>
      <c r="G827" t="s">
        <v>1786</v>
      </c>
      <c r="H827">
        <v>-262</v>
      </c>
      <c r="I827" t="s">
        <v>37</v>
      </c>
      <c r="J827">
        <v>0</v>
      </c>
      <c r="K827">
        <v>0</v>
      </c>
      <c r="M827" t="s">
        <v>1910</v>
      </c>
      <c r="N827" t="s">
        <v>1787</v>
      </c>
      <c r="O827">
        <v>0</v>
      </c>
      <c r="P827">
        <v>0</v>
      </c>
      <c r="Q827" t="s">
        <v>381</v>
      </c>
    </row>
    <row r="828" spans="1:17" x14ac:dyDescent="0.15">
      <c r="A828" t="s">
        <v>129</v>
      </c>
      <c r="B828" t="s">
        <v>130</v>
      </c>
      <c r="C828">
        <v>163</v>
      </c>
      <c r="D828" t="s">
        <v>161</v>
      </c>
      <c r="E828" s="1">
        <v>42940</v>
      </c>
      <c r="F828" t="s">
        <v>177</v>
      </c>
      <c r="G828" t="s">
        <v>1786</v>
      </c>
      <c r="H828">
        <v>-84</v>
      </c>
      <c r="I828" t="s">
        <v>37</v>
      </c>
      <c r="J828">
        <v>0</v>
      </c>
      <c r="M828" t="s">
        <v>241</v>
      </c>
      <c r="N828" t="s">
        <v>1788</v>
      </c>
    </row>
    <row r="829" spans="1:17" x14ac:dyDescent="0.15">
      <c r="A829" t="s">
        <v>129</v>
      </c>
      <c r="B829" t="s">
        <v>130</v>
      </c>
      <c r="C829">
        <v>163</v>
      </c>
      <c r="D829" t="s">
        <v>161</v>
      </c>
      <c r="E829" s="1">
        <v>42940</v>
      </c>
      <c r="F829" t="s">
        <v>177</v>
      </c>
      <c r="G829" t="s">
        <v>1786</v>
      </c>
      <c r="H829">
        <v>-84</v>
      </c>
      <c r="I829" t="s">
        <v>37</v>
      </c>
      <c r="J829">
        <v>0</v>
      </c>
      <c r="M829" t="s">
        <v>1910</v>
      </c>
      <c r="N829" t="s">
        <v>1788</v>
      </c>
      <c r="O829">
        <v>0</v>
      </c>
      <c r="P829">
        <v>0</v>
      </c>
      <c r="Q829" t="s">
        <v>381</v>
      </c>
    </row>
    <row r="830" spans="1:17" x14ac:dyDescent="0.15">
      <c r="A830" t="s">
        <v>129</v>
      </c>
      <c r="B830" t="s">
        <v>130</v>
      </c>
      <c r="C830">
        <v>163</v>
      </c>
      <c r="D830" t="s">
        <v>161</v>
      </c>
      <c r="E830" s="1">
        <v>42940</v>
      </c>
      <c r="F830" t="s">
        <v>177</v>
      </c>
      <c r="G830" t="s">
        <v>1786</v>
      </c>
      <c r="H830">
        <v>-258</v>
      </c>
      <c r="I830" t="s">
        <v>37</v>
      </c>
      <c r="J830">
        <v>0</v>
      </c>
      <c r="M830" t="s">
        <v>241</v>
      </c>
      <c r="N830" t="s">
        <v>1789</v>
      </c>
    </row>
    <row r="831" spans="1:17" x14ac:dyDescent="0.15">
      <c r="A831" t="s">
        <v>129</v>
      </c>
      <c r="B831" t="s">
        <v>130</v>
      </c>
      <c r="C831">
        <v>163</v>
      </c>
      <c r="D831" t="s">
        <v>161</v>
      </c>
      <c r="E831" s="1">
        <v>42940</v>
      </c>
      <c r="F831" t="s">
        <v>177</v>
      </c>
      <c r="G831" t="s">
        <v>1786</v>
      </c>
      <c r="H831">
        <v>-258</v>
      </c>
      <c r="I831" t="s">
        <v>37</v>
      </c>
      <c r="J831">
        <v>0</v>
      </c>
      <c r="M831" t="s">
        <v>1910</v>
      </c>
      <c r="N831" t="s">
        <v>1789</v>
      </c>
      <c r="O831">
        <v>0</v>
      </c>
      <c r="P831">
        <v>0</v>
      </c>
      <c r="Q831" t="s">
        <v>381</v>
      </c>
    </row>
    <row r="832" spans="1:17" x14ac:dyDescent="0.15">
      <c r="A832" t="s">
        <v>129</v>
      </c>
      <c r="B832" t="s">
        <v>130</v>
      </c>
      <c r="C832">
        <v>163</v>
      </c>
      <c r="D832" t="s">
        <v>161</v>
      </c>
      <c r="E832" s="1">
        <v>42940</v>
      </c>
      <c r="F832" t="s">
        <v>177</v>
      </c>
      <c r="G832" t="s">
        <v>1790</v>
      </c>
      <c r="H832">
        <v>-2</v>
      </c>
      <c r="I832" t="s">
        <v>37</v>
      </c>
      <c r="J832">
        <v>0</v>
      </c>
      <c r="M832" t="s">
        <v>241</v>
      </c>
      <c r="N832" t="s">
        <v>1791</v>
      </c>
    </row>
    <row r="833" spans="1:17" x14ac:dyDescent="0.15">
      <c r="A833" t="s">
        <v>129</v>
      </c>
      <c r="B833" t="s">
        <v>130</v>
      </c>
      <c r="C833">
        <v>163</v>
      </c>
      <c r="D833" t="s">
        <v>161</v>
      </c>
      <c r="E833" s="1">
        <v>42940</v>
      </c>
      <c r="F833" t="s">
        <v>177</v>
      </c>
      <c r="G833" t="s">
        <v>1790</v>
      </c>
      <c r="H833">
        <v>-2</v>
      </c>
      <c r="I833" t="s">
        <v>37</v>
      </c>
      <c r="J833">
        <v>0</v>
      </c>
      <c r="M833" t="s">
        <v>1910</v>
      </c>
      <c r="N833" t="s">
        <v>1791</v>
      </c>
      <c r="O833">
        <v>0</v>
      </c>
      <c r="P833">
        <v>0</v>
      </c>
      <c r="Q833" t="s">
        <v>381</v>
      </c>
    </row>
    <row r="834" spans="1:17" x14ac:dyDescent="0.15">
      <c r="A834" t="s">
        <v>129</v>
      </c>
      <c r="B834" t="s">
        <v>130</v>
      </c>
      <c r="C834">
        <v>163</v>
      </c>
      <c r="D834" t="s">
        <v>161</v>
      </c>
      <c r="E834" s="1">
        <v>42940</v>
      </c>
      <c r="F834" t="s">
        <v>177</v>
      </c>
      <c r="G834" t="s">
        <v>1790</v>
      </c>
      <c r="H834">
        <v>-8</v>
      </c>
      <c r="I834" t="s">
        <v>37</v>
      </c>
      <c r="J834">
        <v>0</v>
      </c>
      <c r="M834" t="s">
        <v>241</v>
      </c>
      <c r="N834" t="s">
        <v>1792</v>
      </c>
    </row>
    <row r="835" spans="1:17" x14ac:dyDescent="0.15">
      <c r="A835" t="s">
        <v>129</v>
      </c>
      <c r="B835" t="s">
        <v>130</v>
      </c>
      <c r="C835">
        <v>163</v>
      </c>
      <c r="D835" t="s">
        <v>161</v>
      </c>
      <c r="E835" s="1">
        <v>42940</v>
      </c>
      <c r="F835" t="s">
        <v>177</v>
      </c>
      <c r="G835" t="s">
        <v>1790</v>
      </c>
      <c r="H835">
        <v>-8</v>
      </c>
      <c r="I835" t="s">
        <v>37</v>
      </c>
      <c r="J835">
        <v>0</v>
      </c>
      <c r="M835" t="s">
        <v>1910</v>
      </c>
      <c r="N835" t="s">
        <v>1792</v>
      </c>
      <c r="O835">
        <v>0</v>
      </c>
      <c r="P835">
        <v>0</v>
      </c>
      <c r="Q835" t="s">
        <v>381</v>
      </c>
    </row>
    <row r="836" spans="1:17" x14ac:dyDescent="0.15">
      <c r="A836" t="s">
        <v>129</v>
      </c>
      <c r="B836" t="s">
        <v>130</v>
      </c>
      <c r="C836">
        <v>163</v>
      </c>
      <c r="D836" t="s">
        <v>161</v>
      </c>
      <c r="E836" s="1">
        <v>42940</v>
      </c>
      <c r="F836" t="s">
        <v>177</v>
      </c>
      <c r="G836" t="s">
        <v>1790</v>
      </c>
      <c r="H836">
        <v>-32</v>
      </c>
      <c r="I836" t="s">
        <v>37</v>
      </c>
      <c r="J836">
        <v>0</v>
      </c>
      <c r="M836" t="s">
        <v>241</v>
      </c>
      <c r="N836" t="s">
        <v>1793</v>
      </c>
    </row>
    <row r="837" spans="1:17" x14ac:dyDescent="0.15">
      <c r="A837" t="s">
        <v>129</v>
      </c>
      <c r="B837" t="s">
        <v>130</v>
      </c>
      <c r="C837">
        <v>163</v>
      </c>
      <c r="D837" t="s">
        <v>161</v>
      </c>
      <c r="E837" s="1">
        <v>42940</v>
      </c>
      <c r="F837" t="s">
        <v>177</v>
      </c>
      <c r="G837" t="s">
        <v>1790</v>
      </c>
      <c r="H837">
        <v>-32</v>
      </c>
      <c r="I837" t="s">
        <v>37</v>
      </c>
      <c r="J837">
        <v>0</v>
      </c>
      <c r="M837" t="s">
        <v>1910</v>
      </c>
      <c r="N837" t="s">
        <v>1793</v>
      </c>
      <c r="O837">
        <v>0</v>
      </c>
      <c r="P837">
        <v>0</v>
      </c>
      <c r="Q837" t="s">
        <v>381</v>
      </c>
    </row>
    <row r="838" spans="1:17" x14ac:dyDescent="0.15">
      <c r="A838" t="s">
        <v>129</v>
      </c>
      <c r="B838" t="s">
        <v>130</v>
      </c>
      <c r="C838">
        <v>163</v>
      </c>
      <c r="D838" t="s">
        <v>161</v>
      </c>
      <c r="E838" s="1">
        <v>42940</v>
      </c>
      <c r="F838" t="s">
        <v>177</v>
      </c>
      <c r="G838" t="s">
        <v>1790</v>
      </c>
      <c r="H838">
        <v>-3</v>
      </c>
      <c r="I838" t="s">
        <v>37</v>
      </c>
      <c r="J838">
        <v>0</v>
      </c>
      <c r="M838" t="s">
        <v>241</v>
      </c>
      <c r="N838" t="s">
        <v>1794</v>
      </c>
    </row>
    <row r="839" spans="1:17" x14ac:dyDescent="0.15">
      <c r="A839" t="s">
        <v>129</v>
      </c>
      <c r="B839" t="s">
        <v>130</v>
      </c>
      <c r="C839">
        <v>163</v>
      </c>
      <c r="D839" t="s">
        <v>161</v>
      </c>
      <c r="E839" s="1">
        <v>42940</v>
      </c>
      <c r="F839" t="s">
        <v>177</v>
      </c>
      <c r="G839" t="s">
        <v>1790</v>
      </c>
      <c r="H839">
        <v>-3</v>
      </c>
      <c r="I839" t="s">
        <v>37</v>
      </c>
      <c r="J839">
        <v>0</v>
      </c>
      <c r="M839" t="s">
        <v>1910</v>
      </c>
      <c r="N839" t="s">
        <v>1794</v>
      </c>
      <c r="O839">
        <v>0</v>
      </c>
      <c r="P839">
        <v>0</v>
      </c>
      <c r="Q839" t="s">
        <v>381</v>
      </c>
    </row>
    <row r="840" spans="1:17" x14ac:dyDescent="0.15">
      <c r="A840" t="s">
        <v>129</v>
      </c>
      <c r="B840" t="s">
        <v>130</v>
      </c>
      <c r="C840">
        <v>163</v>
      </c>
      <c r="D840" t="s">
        <v>161</v>
      </c>
      <c r="E840" s="1">
        <v>42940</v>
      </c>
      <c r="F840" t="s">
        <v>177</v>
      </c>
      <c r="G840" t="s">
        <v>1790</v>
      </c>
      <c r="H840">
        <v>-12</v>
      </c>
      <c r="I840" t="s">
        <v>37</v>
      </c>
      <c r="J840">
        <v>0</v>
      </c>
      <c r="M840" t="s">
        <v>241</v>
      </c>
      <c r="N840" t="s">
        <v>1795</v>
      </c>
    </row>
    <row r="841" spans="1:17" x14ac:dyDescent="0.15">
      <c r="A841" t="s">
        <v>129</v>
      </c>
      <c r="B841" t="s">
        <v>130</v>
      </c>
      <c r="C841">
        <v>163</v>
      </c>
      <c r="D841" t="s">
        <v>161</v>
      </c>
      <c r="E841" s="1">
        <v>42940</v>
      </c>
      <c r="F841" t="s">
        <v>177</v>
      </c>
      <c r="G841" t="s">
        <v>1790</v>
      </c>
      <c r="H841">
        <v>-12</v>
      </c>
      <c r="I841" t="s">
        <v>37</v>
      </c>
      <c r="J841">
        <v>0</v>
      </c>
      <c r="M841" t="s">
        <v>1910</v>
      </c>
      <c r="N841" t="s">
        <v>1795</v>
      </c>
      <c r="O841">
        <v>0</v>
      </c>
      <c r="P841">
        <v>0</v>
      </c>
      <c r="Q841" t="s">
        <v>381</v>
      </c>
    </row>
    <row r="842" spans="1:17" x14ac:dyDescent="0.15">
      <c r="A842" t="s">
        <v>129</v>
      </c>
      <c r="B842" t="s">
        <v>130</v>
      </c>
      <c r="C842">
        <v>163</v>
      </c>
      <c r="D842" t="s">
        <v>161</v>
      </c>
      <c r="E842" s="1">
        <v>42947</v>
      </c>
      <c r="F842" t="s">
        <v>177</v>
      </c>
      <c r="G842" t="s">
        <v>1799</v>
      </c>
      <c r="H842">
        <v>-47</v>
      </c>
      <c r="I842" t="s">
        <v>37</v>
      </c>
      <c r="J842">
        <v>0</v>
      </c>
      <c r="M842" t="s">
        <v>241</v>
      </c>
      <c r="N842" t="s">
        <v>1800</v>
      </c>
    </row>
    <row r="843" spans="1:17" x14ac:dyDescent="0.15">
      <c r="A843" t="s">
        <v>129</v>
      </c>
      <c r="B843" t="s">
        <v>130</v>
      </c>
      <c r="C843">
        <v>163</v>
      </c>
      <c r="D843" t="s">
        <v>161</v>
      </c>
      <c r="E843" s="1">
        <v>42947</v>
      </c>
      <c r="F843" t="s">
        <v>177</v>
      </c>
      <c r="G843" t="s">
        <v>1799</v>
      </c>
      <c r="H843">
        <v>-47</v>
      </c>
      <c r="I843" t="s">
        <v>37</v>
      </c>
      <c r="J843">
        <v>0</v>
      </c>
      <c r="M843" t="s">
        <v>1910</v>
      </c>
      <c r="N843" t="s">
        <v>1800</v>
      </c>
      <c r="O843">
        <v>0</v>
      </c>
      <c r="P843">
        <v>0</v>
      </c>
      <c r="Q843" t="s">
        <v>381</v>
      </c>
    </row>
    <row r="844" spans="1:17" x14ac:dyDescent="0.15">
      <c r="A844" t="s">
        <v>129</v>
      </c>
      <c r="B844" t="s">
        <v>130</v>
      </c>
      <c r="C844">
        <v>163</v>
      </c>
      <c r="D844" t="s">
        <v>161</v>
      </c>
      <c r="E844" s="1">
        <v>42947</v>
      </c>
      <c r="F844" t="s">
        <v>177</v>
      </c>
      <c r="G844" t="s">
        <v>1799</v>
      </c>
      <c r="H844">
        <v>-37</v>
      </c>
      <c r="I844" t="s">
        <v>37</v>
      </c>
      <c r="J844">
        <v>0</v>
      </c>
      <c r="M844" t="s">
        <v>241</v>
      </c>
      <c r="N844" t="s">
        <v>1801</v>
      </c>
    </row>
    <row r="845" spans="1:17" x14ac:dyDescent="0.15">
      <c r="A845" t="s">
        <v>129</v>
      </c>
      <c r="B845" t="s">
        <v>130</v>
      </c>
      <c r="C845">
        <v>163</v>
      </c>
      <c r="D845" t="s">
        <v>161</v>
      </c>
      <c r="E845" s="1">
        <v>42947</v>
      </c>
      <c r="F845" t="s">
        <v>177</v>
      </c>
      <c r="G845" t="s">
        <v>1799</v>
      </c>
      <c r="H845">
        <v>-37</v>
      </c>
      <c r="I845" t="s">
        <v>37</v>
      </c>
      <c r="J845">
        <v>0</v>
      </c>
      <c r="M845" t="s">
        <v>1910</v>
      </c>
      <c r="N845" t="s">
        <v>1801</v>
      </c>
      <c r="O845">
        <v>0</v>
      </c>
      <c r="P845">
        <v>0</v>
      </c>
      <c r="Q845" t="s">
        <v>381</v>
      </c>
    </row>
    <row r="846" spans="1:17" x14ac:dyDescent="0.15">
      <c r="A846" t="s">
        <v>129</v>
      </c>
      <c r="B846" t="s">
        <v>130</v>
      </c>
      <c r="C846">
        <v>163</v>
      </c>
      <c r="D846" t="s">
        <v>161</v>
      </c>
      <c r="E846" s="1">
        <v>42947</v>
      </c>
      <c r="F846" t="s">
        <v>177</v>
      </c>
      <c r="G846" t="s">
        <v>1799</v>
      </c>
      <c r="H846">
        <v>-52</v>
      </c>
      <c r="I846" t="s">
        <v>37</v>
      </c>
      <c r="J846">
        <v>0</v>
      </c>
      <c r="M846" t="s">
        <v>241</v>
      </c>
      <c r="N846" t="s">
        <v>1802</v>
      </c>
    </row>
    <row r="847" spans="1:17" x14ac:dyDescent="0.15">
      <c r="A847" t="s">
        <v>129</v>
      </c>
      <c r="B847" t="s">
        <v>130</v>
      </c>
      <c r="C847">
        <v>163</v>
      </c>
      <c r="D847" t="s">
        <v>161</v>
      </c>
      <c r="E847" s="1">
        <v>42947</v>
      </c>
      <c r="F847" t="s">
        <v>177</v>
      </c>
      <c r="G847" t="s">
        <v>1799</v>
      </c>
      <c r="H847">
        <v>-52</v>
      </c>
      <c r="I847" t="s">
        <v>37</v>
      </c>
      <c r="J847">
        <v>0</v>
      </c>
      <c r="M847" t="s">
        <v>1910</v>
      </c>
      <c r="N847" t="s">
        <v>1802</v>
      </c>
      <c r="O847">
        <v>0</v>
      </c>
      <c r="P847">
        <v>0</v>
      </c>
      <c r="Q847" t="s">
        <v>381</v>
      </c>
    </row>
    <row r="848" spans="1:17" x14ac:dyDescent="0.15">
      <c r="A848" t="s">
        <v>129</v>
      </c>
      <c r="B848" t="s">
        <v>130</v>
      </c>
      <c r="C848">
        <v>163</v>
      </c>
      <c r="D848" t="s">
        <v>161</v>
      </c>
      <c r="E848" s="1">
        <v>42947</v>
      </c>
      <c r="F848" t="s">
        <v>177</v>
      </c>
      <c r="G848" t="s">
        <v>1803</v>
      </c>
      <c r="H848">
        <v>-6</v>
      </c>
      <c r="I848" t="s">
        <v>37</v>
      </c>
      <c r="J848">
        <v>0</v>
      </c>
      <c r="M848" t="s">
        <v>241</v>
      </c>
      <c r="N848" t="s">
        <v>1804</v>
      </c>
    </row>
    <row r="849" spans="1:17" x14ac:dyDescent="0.15">
      <c r="A849" t="s">
        <v>129</v>
      </c>
      <c r="B849" t="s">
        <v>130</v>
      </c>
      <c r="C849">
        <v>163</v>
      </c>
      <c r="D849" t="s">
        <v>161</v>
      </c>
      <c r="E849" s="1">
        <v>42947</v>
      </c>
      <c r="F849" t="s">
        <v>177</v>
      </c>
      <c r="G849" t="s">
        <v>1803</v>
      </c>
      <c r="H849">
        <v>-6</v>
      </c>
      <c r="I849" t="s">
        <v>37</v>
      </c>
      <c r="J849">
        <v>0</v>
      </c>
      <c r="M849" t="s">
        <v>1910</v>
      </c>
      <c r="N849" t="s">
        <v>1804</v>
      </c>
      <c r="O849">
        <v>0</v>
      </c>
      <c r="P849">
        <v>0</v>
      </c>
      <c r="Q849" t="s">
        <v>381</v>
      </c>
    </row>
    <row r="850" spans="1:17" x14ac:dyDescent="0.15">
      <c r="A850" t="s">
        <v>129</v>
      </c>
      <c r="B850" t="s">
        <v>130</v>
      </c>
      <c r="C850">
        <v>163</v>
      </c>
      <c r="D850" t="s">
        <v>161</v>
      </c>
      <c r="E850" s="1">
        <v>42951</v>
      </c>
      <c r="F850" t="s">
        <v>17</v>
      </c>
      <c r="G850" t="s">
        <v>1521</v>
      </c>
      <c r="H850">
        <v>1</v>
      </c>
      <c r="I850" t="s">
        <v>37</v>
      </c>
      <c r="J850">
        <v>0</v>
      </c>
      <c r="M850" t="s">
        <v>241</v>
      </c>
      <c r="N850" t="s">
        <v>1523</v>
      </c>
    </row>
    <row r="851" spans="1:17" x14ac:dyDescent="0.15">
      <c r="A851" t="s">
        <v>129</v>
      </c>
      <c r="B851" t="s">
        <v>130</v>
      </c>
      <c r="C851">
        <v>163</v>
      </c>
      <c r="D851" t="s">
        <v>161</v>
      </c>
      <c r="E851" s="1">
        <v>42951</v>
      </c>
      <c r="F851" t="s">
        <v>17</v>
      </c>
      <c r="G851" t="s">
        <v>1521</v>
      </c>
      <c r="H851">
        <v>1</v>
      </c>
      <c r="I851" t="s">
        <v>37</v>
      </c>
      <c r="J851">
        <v>0</v>
      </c>
      <c r="M851" t="s">
        <v>1910</v>
      </c>
      <c r="N851" t="s">
        <v>1523</v>
      </c>
      <c r="O851">
        <v>0</v>
      </c>
      <c r="P851">
        <v>0</v>
      </c>
      <c r="Q851" t="s">
        <v>381</v>
      </c>
    </row>
    <row r="852" spans="1:17" x14ac:dyDescent="0.15">
      <c r="A852" t="s">
        <v>129</v>
      </c>
      <c r="B852" t="s">
        <v>130</v>
      </c>
      <c r="C852">
        <v>163</v>
      </c>
      <c r="D852" t="s">
        <v>161</v>
      </c>
      <c r="E852" s="1">
        <v>42951</v>
      </c>
      <c r="F852" t="s">
        <v>17</v>
      </c>
      <c r="G852" t="s">
        <v>1532</v>
      </c>
      <c r="H852">
        <v>258</v>
      </c>
      <c r="I852" t="s">
        <v>37</v>
      </c>
      <c r="J852">
        <v>0</v>
      </c>
      <c r="M852" t="s">
        <v>241</v>
      </c>
      <c r="N852" t="s">
        <v>1533</v>
      </c>
    </row>
    <row r="853" spans="1:17" x14ac:dyDescent="0.15">
      <c r="A853" t="s">
        <v>129</v>
      </c>
      <c r="B853" t="s">
        <v>130</v>
      </c>
      <c r="C853">
        <v>163</v>
      </c>
      <c r="D853" t="s">
        <v>161</v>
      </c>
      <c r="E853" s="1">
        <v>42951</v>
      </c>
      <c r="F853" t="s">
        <v>17</v>
      </c>
      <c r="G853" t="s">
        <v>1532</v>
      </c>
      <c r="H853">
        <v>258</v>
      </c>
      <c r="I853" t="s">
        <v>37</v>
      </c>
      <c r="J853">
        <v>0</v>
      </c>
      <c r="M853" t="s">
        <v>1910</v>
      </c>
      <c r="N853" t="s">
        <v>1533</v>
      </c>
      <c r="O853">
        <v>0</v>
      </c>
      <c r="P853">
        <v>0</v>
      </c>
      <c r="Q853" t="s">
        <v>381</v>
      </c>
    </row>
    <row r="854" spans="1:17" x14ac:dyDescent="0.15">
      <c r="A854" t="s">
        <v>129</v>
      </c>
      <c r="B854" t="s">
        <v>130</v>
      </c>
      <c r="C854">
        <v>163</v>
      </c>
      <c r="D854" t="s">
        <v>161</v>
      </c>
      <c r="E854" s="1">
        <v>42951</v>
      </c>
      <c r="F854" t="s">
        <v>17</v>
      </c>
      <c r="G854" t="s">
        <v>1542</v>
      </c>
      <c r="H854">
        <v>1</v>
      </c>
      <c r="I854" t="s">
        <v>37</v>
      </c>
      <c r="J854">
        <v>0</v>
      </c>
      <c r="M854" t="s">
        <v>241</v>
      </c>
      <c r="N854" t="s">
        <v>1543</v>
      </c>
    </row>
    <row r="855" spans="1:17" x14ac:dyDescent="0.15">
      <c r="A855" t="s">
        <v>129</v>
      </c>
      <c r="B855" t="s">
        <v>130</v>
      </c>
      <c r="C855">
        <v>163</v>
      </c>
      <c r="D855" t="s">
        <v>161</v>
      </c>
      <c r="E855" s="1">
        <v>42951</v>
      </c>
      <c r="F855" t="s">
        <v>17</v>
      </c>
      <c r="G855" t="s">
        <v>1542</v>
      </c>
      <c r="H855">
        <v>1</v>
      </c>
      <c r="I855" t="s">
        <v>37</v>
      </c>
      <c r="J855">
        <v>0</v>
      </c>
      <c r="M855" t="s">
        <v>1910</v>
      </c>
      <c r="N855" t="s">
        <v>1543</v>
      </c>
      <c r="O855">
        <v>0</v>
      </c>
      <c r="P855">
        <v>0</v>
      </c>
      <c r="Q855" t="s">
        <v>381</v>
      </c>
    </row>
    <row r="856" spans="1:17" x14ac:dyDescent="0.15">
      <c r="A856" t="s">
        <v>129</v>
      </c>
      <c r="B856" t="s">
        <v>130</v>
      </c>
      <c r="C856">
        <v>163</v>
      </c>
      <c r="D856" t="s">
        <v>161</v>
      </c>
      <c r="E856" s="1">
        <v>42951</v>
      </c>
      <c r="F856" t="s">
        <v>17</v>
      </c>
      <c r="G856" t="s">
        <v>1547</v>
      </c>
      <c r="H856">
        <v>47</v>
      </c>
      <c r="I856" t="s">
        <v>37</v>
      </c>
      <c r="J856">
        <v>0</v>
      </c>
      <c r="M856" t="s">
        <v>241</v>
      </c>
      <c r="N856" t="s">
        <v>1548</v>
      </c>
    </row>
    <row r="857" spans="1:17" x14ac:dyDescent="0.15">
      <c r="A857" t="s">
        <v>129</v>
      </c>
      <c r="B857" t="s">
        <v>130</v>
      </c>
      <c r="C857">
        <v>163</v>
      </c>
      <c r="D857" t="s">
        <v>161</v>
      </c>
      <c r="E857" s="1">
        <v>42951</v>
      </c>
      <c r="F857" t="s">
        <v>17</v>
      </c>
      <c r="G857" t="s">
        <v>1547</v>
      </c>
      <c r="H857">
        <v>47</v>
      </c>
      <c r="I857" t="s">
        <v>37</v>
      </c>
      <c r="J857">
        <v>0</v>
      </c>
      <c r="M857" t="s">
        <v>1910</v>
      </c>
      <c r="N857" t="s">
        <v>1548</v>
      </c>
      <c r="O857">
        <v>0</v>
      </c>
      <c r="P857">
        <v>0</v>
      </c>
      <c r="Q857" t="s">
        <v>381</v>
      </c>
    </row>
    <row r="858" spans="1:17" x14ac:dyDescent="0.15">
      <c r="A858" t="s">
        <v>129</v>
      </c>
      <c r="B858" t="s">
        <v>130</v>
      </c>
      <c r="C858">
        <v>163</v>
      </c>
      <c r="D858" t="s">
        <v>161</v>
      </c>
      <c r="E858" s="1">
        <v>42951</v>
      </c>
      <c r="F858" t="s">
        <v>17</v>
      </c>
      <c r="G858" t="s">
        <v>1547</v>
      </c>
      <c r="H858">
        <v>37</v>
      </c>
      <c r="I858" t="s">
        <v>37</v>
      </c>
      <c r="J858">
        <v>0</v>
      </c>
      <c r="M858" t="s">
        <v>241</v>
      </c>
      <c r="N858" t="s">
        <v>1549</v>
      </c>
    </row>
    <row r="859" spans="1:17" x14ac:dyDescent="0.15">
      <c r="A859" t="s">
        <v>129</v>
      </c>
      <c r="B859" t="s">
        <v>130</v>
      </c>
      <c r="C859">
        <v>163</v>
      </c>
      <c r="D859" t="s">
        <v>161</v>
      </c>
      <c r="E859" s="1">
        <v>42951</v>
      </c>
      <c r="F859" t="s">
        <v>17</v>
      </c>
      <c r="G859" t="s">
        <v>1547</v>
      </c>
      <c r="H859">
        <v>37</v>
      </c>
      <c r="I859" t="s">
        <v>37</v>
      </c>
      <c r="J859">
        <v>0</v>
      </c>
      <c r="M859" t="s">
        <v>1910</v>
      </c>
      <c r="N859" t="s">
        <v>1549</v>
      </c>
      <c r="O859">
        <v>0</v>
      </c>
      <c r="P859">
        <v>0</v>
      </c>
      <c r="Q859" t="s">
        <v>381</v>
      </c>
    </row>
    <row r="860" spans="1:17" x14ac:dyDescent="0.15">
      <c r="A860" t="s">
        <v>129</v>
      </c>
      <c r="B860" t="s">
        <v>130</v>
      </c>
      <c r="C860">
        <v>163</v>
      </c>
      <c r="D860" t="s">
        <v>161</v>
      </c>
      <c r="E860" s="1">
        <v>42951</v>
      </c>
      <c r="F860" t="s">
        <v>17</v>
      </c>
      <c r="G860" t="s">
        <v>1547</v>
      </c>
      <c r="H860">
        <v>52</v>
      </c>
      <c r="I860" t="s">
        <v>37</v>
      </c>
      <c r="J860">
        <v>0</v>
      </c>
      <c r="M860" t="s">
        <v>241</v>
      </c>
      <c r="N860" t="s">
        <v>1550</v>
      </c>
    </row>
    <row r="861" spans="1:17" x14ac:dyDescent="0.15">
      <c r="A861" t="s">
        <v>129</v>
      </c>
      <c r="B861" t="s">
        <v>130</v>
      </c>
      <c r="C861">
        <v>163</v>
      </c>
      <c r="D861" t="s">
        <v>161</v>
      </c>
      <c r="E861" s="1">
        <v>42951</v>
      </c>
      <c r="F861" t="s">
        <v>17</v>
      </c>
      <c r="G861" t="s">
        <v>1547</v>
      </c>
      <c r="H861">
        <v>52</v>
      </c>
      <c r="I861" t="s">
        <v>37</v>
      </c>
      <c r="J861">
        <v>0</v>
      </c>
      <c r="M861" t="s">
        <v>1910</v>
      </c>
      <c r="N861" t="s">
        <v>1550</v>
      </c>
      <c r="O861">
        <v>0</v>
      </c>
      <c r="P861">
        <v>0</v>
      </c>
      <c r="Q861" t="s">
        <v>381</v>
      </c>
    </row>
    <row r="862" spans="1:17" x14ac:dyDescent="0.15">
      <c r="A862" t="s">
        <v>129</v>
      </c>
      <c r="B862" t="s">
        <v>130</v>
      </c>
      <c r="C862">
        <v>163</v>
      </c>
      <c r="D862" t="s">
        <v>161</v>
      </c>
      <c r="E862" s="1">
        <v>42951</v>
      </c>
      <c r="F862" t="s">
        <v>17</v>
      </c>
      <c r="G862" t="s">
        <v>1547</v>
      </c>
      <c r="H862">
        <v>6</v>
      </c>
      <c r="I862" t="s">
        <v>37</v>
      </c>
      <c r="J862">
        <v>0</v>
      </c>
      <c r="M862" t="s">
        <v>241</v>
      </c>
      <c r="N862" t="s">
        <v>1551</v>
      </c>
    </row>
    <row r="863" spans="1:17" x14ac:dyDescent="0.15">
      <c r="A863" t="s">
        <v>129</v>
      </c>
      <c r="B863" t="s">
        <v>130</v>
      </c>
      <c r="C863">
        <v>163</v>
      </c>
      <c r="D863" t="s">
        <v>161</v>
      </c>
      <c r="E863" s="1">
        <v>42951</v>
      </c>
      <c r="F863" t="s">
        <v>17</v>
      </c>
      <c r="G863" t="s">
        <v>1547</v>
      </c>
      <c r="H863">
        <v>6</v>
      </c>
      <c r="I863" t="s">
        <v>37</v>
      </c>
      <c r="J863">
        <v>0</v>
      </c>
      <c r="M863" t="s">
        <v>1910</v>
      </c>
      <c r="N863" t="s">
        <v>1551</v>
      </c>
      <c r="O863">
        <v>0</v>
      </c>
      <c r="P863">
        <v>0</v>
      </c>
      <c r="Q863" t="s">
        <v>381</v>
      </c>
    </row>
    <row r="864" spans="1:17" x14ac:dyDescent="0.15">
      <c r="A864" t="s">
        <v>129</v>
      </c>
      <c r="B864" t="s">
        <v>130</v>
      </c>
      <c r="C864">
        <v>163</v>
      </c>
      <c r="D864" t="s">
        <v>161</v>
      </c>
      <c r="E864" s="1">
        <v>42951</v>
      </c>
      <c r="F864" t="s">
        <v>17</v>
      </c>
      <c r="G864" t="s">
        <v>374</v>
      </c>
      <c r="H864">
        <v>75</v>
      </c>
      <c r="I864" t="s">
        <v>37</v>
      </c>
      <c r="J864">
        <v>0</v>
      </c>
      <c r="M864" t="s">
        <v>241</v>
      </c>
      <c r="N864" t="s">
        <v>1554</v>
      </c>
    </row>
    <row r="865" spans="1:17" x14ac:dyDescent="0.15">
      <c r="A865" t="s">
        <v>129</v>
      </c>
      <c r="B865" t="s">
        <v>130</v>
      </c>
      <c r="C865">
        <v>163</v>
      </c>
      <c r="D865" t="s">
        <v>161</v>
      </c>
      <c r="E865" s="1">
        <v>42951</v>
      </c>
      <c r="F865" t="s">
        <v>17</v>
      </c>
      <c r="G865" t="s">
        <v>374</v>
      </c>
      <c r="H865">
        <v>75</v>
      </c>
      <c r="I865" t="s">
        <v>37</v>
      </c>
      <c r="J865">
        <v>0</v>
      </c>
      <c r="M865" t="s">
        <v>1910</v>
      </c>
      <c r="N865" t="s">
        <v>1554</v>
      </c>
      <c r="O865">
        <v>0</v>
      </c>
      <c r="P865">
        <v>0</v>
      </c>
      <c r="Q865" t="s">
        <v>381</v>
      </c>
    </row>
    <row r="866" spans="1:17" x14ac:dyDescent="0.15">
      <c r="A866" t="s">
        <v>129</v>
      </c>
      <c r="B866" t="s">
        <v>130</v>
      </c>
      <c r="C866">
        <v>163</v>
      </c>
      <c r="D866" t="s">
        <v>161</v>
      </c>
      <c r="E866" s="1">
        <v>42963</v>
      </c>
      <c r="F866" t="s">
        <v>177</v>
      </c>
      <c r="G866" t="s">
        <v>1805</v>
      </c>
      <c r="H866">
        <v>-1</v>
      </c>
      <c r="I866" t="s">
        <v>37</v>
      </c>
      <c r="J866">
        <v>0</v>
      </c>
      <c r="M866" t="s">
        <v>241</v>
      </c>
      <c r="N866" t="s">
        <v>376</v>
      </c>
    </row>
    <row r="867" spans="1:17" x14ac:dyDescent="0.15">
      <c r="A867" t="s">
        <v>129</v>
      </c>
      <c r="B867" t="s">
        <v>130</v>
      </c>
      <c r="C867">
        <v>163</v>
      </c>
      <c r="D867" t="s">
        <v>161</v>
      </c>
      <c r="E867" s="1">
        <v>42963</v>
      </c>
      <c r="F867" t="s">
        <v>177</v>
      </c>
      <c r="G867" t="s">
        <v>1805</v>
      </c>
      <c r="H867">
        <v>-1</v>
      </c>
      <c r="I867" t="s">
        <v>37</v>
      </c>
      <c r="J867">
        <v>0</v>
      </c>
      <c r="M867" t="s">
        <v>1910</v>
      </c>
      <c r="N867" t="s">
        <v>376</v>
      </c>
      <c r="O867">
        <v>0</v>
      </c>
      <c r="P867">
        <v>0</v>
      </c>
      <c r="Q867" t="s">
        <v>381</v>
      </c>
    </row>
    <row r="868" spans="1:17" x14ac:dyDescent="0.15">
      <c r="A868" t="s">
        <v>129</v>
      </c>
      <c r="B868" t="s">
        <v>130</v>
      </c>
      <c r="C868">
        <v>163</v>
      </c>
      <c r="D868" t="s">
        <v>161</v>
      </c>
      <c r="E868" s="1">
        <v>42971</v>
      </c>
      <c r="F868" t="s">
        <v>177</v>
      </c>
      <c r="G868" t="s">
        <v>1806</v>
      </c>
      <c r="H868">
        <v>-1</v>
      </c>
      <c r="I868" t="s">
        <v>37</v>
      </c>
      <c r="J868">
        <v>0</v>
      </c>
      <c r="M868" t="s">
        <v>241</v>
      </c>
      <c r="N868" t="s">
        <v>1807</v>
      </c>
    </row>
    <row r="869" spans="1:17" x14ac:dyDescent="0.15">
      <c r="A869" t="s">
        <v>129</v>
      </c>
      <c r="B869" t="s">
        <v>130</v>
      </c>
      <c r="C869">
        <v>163</v>
      </c>
      <c r="D869" t="s">
        <v>161</v>
      </c>
      <c r="E869" s="1">
        <v>42971</v>
      </c>
      <c r="F869" t="s">
        <v>177</v>
      </c>
      <c r="G869" t="s">
        <v>1806</v>
      </c>
      <c r="H869">
        <v>-1</v>
      </c>
      <c r="I869" t="s">
        <v>37</v>
      </c>
      <c r="J869">
        <v>0</v>
      </c>
      <c r="M869" t="s">
        <v>1910</v>
      </c>
      <c r="N869" t="s">
        <v>1807</v>
      </c>
      <c r="O869">
        <v>0</v>
      </c>
      <c r="P869">
        <v>0</v>
      </c>
      <c r="Q869" t="s">
        <v>381</v>
      </c>
    </row>
    <row r="870" spans="1:17" x14ac:dyDescent="0.15">
      <c r="A870" t="s">
        <v>129</v>
      </c>
      <c r="B870" t="s">
        <v>130</v>
      </c>
      <c r="C870">
        <v>163</v>
      </c>
      <c r="D870" t="s">
        <v>161</v>
      </c>
      <c r="E870" s="1">
        <v>42971</v>
      </c>
      <c r="F870" t="s">
        <v>177</v>
      </c>
      <c r="G870" t="s">
        <v>1806</v>
      </c>
      <c r="H870">
        <v>-14</v>
      </c>
      <c r="I870" t="s">
        <v>37</v>
      </c>
      <c r="J870">
        <v>0</v>
      </c>
      <c r="M870" t="s">
        <v>241</v>
      </c>
      <c r="N870" t="s">
        <v>1808</v>
      </c>
    </row>
    <row r="871" spans="1:17" x14ac:dyDescent="0.15">
      <c r="A871" t="s">
        <v>129</v>
      </c>
      <c r="B871" t="s">
        <v>130</v>
      </c>
      <c r="C871">
        <v>163</v>
      </c>
      <c r="D871" t="s">
        <v>161</v>
      </c>
      <c r="E871" s="1">
        <v>42971</v>
      </c>
      <c r="F871" t="s">
        <v>177</v>
      </c>
      <c r="G871" t="s">
        <v>1806</v>
      </c>
      <c r="H871">
        <v>-14</v>
      </c>
      <c r="I871" t="s">
        <v>37</v>
      </c>
      <c r="J871">
        <v>0</v>
      </c>
      <c r="M871" t="s">
        <v>1910</v>
      </c>
      <c r="N871" t="s">
        <v>1808</v>
      </c>
      <c r="O871">
        <v>0</v>
      </c>
      <c r="P871">
        <v>0</v>
      </c>
      <c r="Q871" t="s">
        <v>381</v>
      </c>
    </row>
    <row r="872" spans="1:17" x14ac:dyDescent="0.15">
      <c r="A872" t="s">
        <v>129</v>
      </c>
      <c r="B872" t="s">
        <v>130</v>
      </c>
      <c r="C872">
        <v>163</v>
      </c>
      <c r="D872" t="s">
        <v>161</v>
      </c>
      <c r="E872" s="1">
        <v>42978</v>
      </c>
      <c r="F872" t="s">
        <v>177</v>
      </c>
      <c r="G872" t="s">
        <v>1809</v>
      </c>
      <c r="H872">
        <v>-75</v>
      </c>
      <c r="I872" t="s">
        <v>37</v>
      </c>
      <c r="J872">
        <v>0</v>
      </c>
      <c r="M872" t="s">
        <v>241</v>
      </c>
      <c r="N872" t="s">
        <v>1810</v>
      </c>
    </row>
    <row r="873" spans="1:17" x14ac:dyDescent="0.15">
      <c r="A873" t="s">
        <v>129</v>
      </c>
      <c r="B873" t="s">
        <v>130</v>
      </c>
      <c r="C873">
        <v>163</v>
      </c>
      <c r="D873" t="s">
        <v>161</v>
      </c>
      <c r="E873" s="1">
        <v>42978</v>
      </c>
      <c r="F873" t="s">
        <v>177</v>
      </c>
      <c r="G873" t="s">
        <v>1809</v>
      </c>
      <c r="H873">
        <v>-75</v>
      </c>
      <c r="I873" t="s">
        <v>37</v>
      </c>
      <c r="J873">
        <v>0</v>
      </c>
      <c r="M873" t="s">
        <v>1910</v>
      </c>
      <c r="N873" t="s">
        <v>1810</v>
      </c>
      <c r="O873">
        <v>0</v>
      </c>
      <c r="P873">
        <v>0</v>
      </c>
      <c r="Q873" t="s">
        <v>381</v>
      </c>
    </row>
    <row r="874" spans="1:17" x14ac:dyDescent="0.15">
      <c r="A874" t="s">
        <v>129</v>
      </c>
      <c r="B874" t="s">
        <v>130</v>
      </c>
      <c r="C874">
        <v>163</v>
      </c>
      <c r="D874" t="s">
        <v>161</v>
      </c>
      <c r="E874" s="1">
        <v>42979</v>
      </c>
      <c r="F874" t="s">
        <v>17</v>
      </c>
      <c r="G874" t="s">
        <v>1558</v>
      </c>
      <c r="H874">
        <v>1</v>
      </c>
      <c r="I874" t="s">
        <v>37</v>
      </c>
      <c r="J874">
        <v>0</v>
      </c>
      <c r="M874" t="s">
        <v>241</v>
      </c>
      <c r="N874" t="s">
        <v>1559</v>
      </c>
    </row>
    <row r="875" spans="1:17" x14ac:dyDescent="0.15">
      <c r="A875" t="s">
        <v>129</v>
      </c>
      <c r="B875" t="s">
        <v>130</v>
      </c>
      <c r="C875">
        <v>163</v>
      </c>
      <c r="D875" t="s">
        <v>161</v>
      </c>
      <c r="E875" s="1">
        <v>42979</v>
      </c>
      <c r="F875" t="s">
        <v>17</v>
      </c>
      <c r="G875" t="s">
        <v>1558</v>
      </c>
      <c r="H875">
        <v>1</v>
      </c>
      <c r="I875" t="s">
        <v>37</v>
      </c>
      <c r="J875">
        <v>0</v>
      </c>
      <c r="M875" t="s">
        <v>1910</v>
      </c>
      <c r="N875" t="s">
        <v>1559</v>
      </c>
      <c r="O875">
        <v>0</v>
      </c>
      <c r="P875">
        <v>0</v>
      </c>
      <c r="Q875" t="s">
        <v>381</v>
      </c>
    </row>
    <row r="876" spans="1:17" x14ac:dyDescent="0.15">
      <c r="A876" t="s">
        <v>129</v>
      </c>
      <c r="B876" t="s">
        <v>130</v>
      </c>
      <c r="C876">
        <v>163</v>
      </c>
      <c r="D876" t="s">
        <v>161</v>
      </c>
      <c r="E876" s="1">
        <v>42979</v>
      </c>
      <c r="F876" t="s">
        <v>17</v>
      </c>
      <c r="G876" t="s">
        <v>1558</v>
      </c>
      <c r="H876">
        <v>14</v>
      </c>
      <c r="I876" t="s">
        <v>37</v>
      </c>
      <c r="J876">
        <v>0</v>
      </c>
      <c r="M876" t="s">
        <v>241</v>
      </c>
      <c r="N876" t="s">
        <v>1560</v>
      </c>
    </row>
    <row r="877" spans="1:17" x14ac:dyDescent="0.15">
      <c r="A877" t="s">
        <v>129</v>
      </c>
      <c r="B877" t="s">
        <v>130</v>
      </c>
      <c r="C877">
        <v>163</v>
      </c>
      <c r="D877" t="s">
        <v>161</v>
      </c>
      <c r="E877" s="1">
        <v>42979</v>
      </c>
      <c r="F877" t="s">
        <v>17</v>
      </c>
      <c r="G877" t="s">
        <v>1558</v>
      </c>
      <c r="H877">
        <v>14</v>
      </c>
      <c r="I877" t="s">
        <v>37</v>
      </c>
      <c r="J877">
        <v>0</v>
      </c>
      <c r="M877" t="s">
        <v>1910</v>
      </c>
      <c r="N877" t="s">
        <v>1560</v>
      </c>
      <c r="O877">
        <v>0</v>
      </c>
      <c r="P877">
        <v>0</v>
      </c>
      <c r="Q877" t="s">
        <v>381</v>
      </c>
    </row>
    <row r="878" spans="1:17" x14ac:dyDescent="0.15">
      <c r="A878" t="s">
        <v>129</v>
      </c>
      <c r="B878" t="s">
        <v>130</v>
      </c>
      <c r="C878">
        <v>163</v>
      </c>
      <c r="D878" t="s">
        <v>161</v>
      </c>
      <c r="E878" s="1">
        <v>42982</v>
      </c>
      <c r="F878" t="s">
        <v>177</v>
      </c>
      <c r="G878" t="s">
        <v>1811</v>
      </c>
      <c r="H878">
        <v>-12</v>
      </c>
      <c r="I878" t="s">
        <v>37</v>
      </c>
      <c r="J878">
        <v>0</v>
      </c>
      <c r="M878" t="s">
        <v>241</v>
      </c>
      <c r="N878" t="s">
        <v>1812</v>
      </c>
    </row>
    <row r="879" spans="1:17" x14ac:dyDescent="0.15">
      <c r="A879" t="s">
        <v>129</v>
      </c>
      <c r="B879" t="s">
        <v>130</v>
      </c>
      <c r="C879">
        <v>163</v>
      </c>
      <c r="D879" t="s">
        <v>161</v>
      </c>
      <c r="E879" s="1">
        <v>42982</v>
      </c>
      <c r="F879" t="s">
        <v>177</v>
      </c>
      <c r="G879" t="s">
        <v>1811</v>
      </c>
      <c r="H879">
        <v>-12</v>
      </c>
      <c r="I879" t="s">
        <v>37</v>
      </c>
      <c r="J879">
        <v>0</v>
      </c>
      <c r="M879" t="s">
        <v>1910</v>
      </c>
      <c r="N879" t="s">
        <v>1812</v>
      </c>
      <c r="O879">
        <v>0</v>
      </c>
      <c r="P879">
        <v>0</v>
      </c>
      <c r="Q879" t="s">
        <v>381</v>
      </c>
    </row>
    <row r="880" spans="1:17" x14ac:dyDescent="0.15">
      <c r="A880" t="s">
        <v>129</v>
      </c>
      <c r="B880" t="s">
        <v>130</v>
      </c>
      <c r="C880">
        <v>163</v>
      </c>
      <c r="D880" t="s">
        <v>161</v>
      </c>
      <c r="E880" s="1">
        <v>42982</v>
      </c>
      <c r="F880" t="s">
        <v>177</v>
      </c>
      <c r="G880" t="s">
        <v>1811</v>
      </c>
      <c r="H880">
        <v>-8</v>
      </c>
      <c r="I880" t="s">
        <v>37</v>
      </c>
      <c r="J880">
        <v>0</v>
      </c>
      <c r="M880" t="s">
        <v>241</v>
      </c>
      <c r="N880" t="s">
        <v>1813</v>
      </c>
    </row>
    <row r="881" spans="1:17" x14ac:dyDescent="0.15">
      <c r="A881" t="s">
        <v>129</v>
      </c>
      <c r="B881" t="s">
        <v>130</v>
      </c>
      <c r="C881">
        <v>163</v>
      </c>
      <c r="D881" t="s">
        <v>161</v>
      </c>
      <c r="E881" s="1">
        <v>42982</v>
      </c>
      <c r="F881" t="s">
        <v>177</v>
      </c>
      <c r="G881" t="s">
        <v>1811</v>
      </c>
      <c r="H881">
        <v>-8</v>
      </c>
      <c r="I881" t="s">
        <v>37</v>
      </c>
      <c r="J881">
        <v>0</v>
      </c>
      <c r="M881" t="s">
        <v>1910</v>
      </c>
      <c r="N881" t="s">
        <v>1813</v>
      </c>
      <c r="O881">
        <v>0</v>
      </c>
      <c r="P881">
        <v>0</v>
      </c>
      <c r="Q881" t="s">
        <v>381</v>
      </c>
    </row>
    <row r="882" spans="1:17" x14ac:dyDescent="0.15">
      <c r="A882" t="s">
        <v>129</v>
      </c>
      <c r="B882" t="s">
        <v>130</v>
      </c>
      <c r="C882">
        <v>163</v>
      </c>
      <c r="D882" t="s">
        <v>161</v>
      </c>
      <c r="E882" s="1">
        <v>42998</v>
      </c>
      <c r="F882" t="s">
        <v>177</v>
      </c>
      <c r="G882" t="s">
        <v>1820</v>
      </c>
      <c r="H882">
        <v>-7</v>
      </c>
      <c r="I882" t="s">
        <v>37</v>
      </c>
      <c r="J882">
        <v>0</v>
      </c>
      <c r="M882" t="s">
        <v>241</v>
      </c>
      <c r="N882" t="s">
        <v>1821</v>
      </c>
    </row>
    <row r="883" spans="1:17" x14ac:dyDescent="0.15">
      <c r="A883" t="s">
        <v>129</v>
      </c>
      <c r="B883" t="s">
        <v>130</v>
      </c>
      <c r="C883">
        <v>163</v>
      </c>
      <c r="D883" t="s">
        <v>161</v>
      </c>
      <c r="E883" s="1">
        <v>42998</v>
      </c>
      <c r="F883" t="s">
        <v>177</v>
      </c>
      <c r="G883" t="s">
        <v>1820</v>
      </c>
      <c r="H883">
        <v>-7</v>
      </c>
      <c r="I883" t="s">
        <v>37</v>
      </c>
      <c r="J883">
        <v>0</v>
      </c>
      <c r="M883" t="s">
        <v>1910</v>
      </c>
      <c r="N883" t="s">
        <v>1821</v>
      </c>
      <c r="O883">
        <v>0</v>
      </c>
      <c r="P883">
        <v>0</v>
      </c>
      <c r="Q883" t="s">
        <v>381</v>
      </c>
    </row>
    <row r="884" spans="1:17" x14ac:dyDescent="0.15">
      <c r="A884" t="s">
        <v>129</v>
      </c>
      <c r="B884" t="s">
        <v>130</v>
      </c>
      <c r="C884">
        <v>163</v>
      </c>
      <c r="D884" t="s">
        <v>161</v>
      </c>
      <c r="E884" s="1">
        <v>42998</v>
      </c>
      <c r="F884" t="s">
        <v>177</v>
      </c>
      <c r="G884" t="s">
        <v>1820</v>
      </c>
      <c r="H884">
        <v>-2</v>
      </c>
      <c r="I884" t="s">
        <v>37</v>
      </c>
      <c r="J884">
        <v>0</v>
      </c>
      <c r="M884" t="s">
        <v>241</v>
      </c>
      <c r="N884" t="s">
        <v>1822</v>
      </c>
    </row>
    <row r="885" spans="1:17" x14ac:dyDescent="0.15">
      <c r="A885" t="s">
        <v>129</v>
      </c>
      <c r="B885" t="s">
        <v>130</v>
      </c>
      <c r="C885">
        <v>163</v>
      </c>
      <c r="D885" t="s">
        <v>161</v>
      </c>
      <c r="E885" s="1">
        <v>42998</v>
      </c>
      <c r="F885" t="s">
        <v>177</v>
      </c>
      <c r="G885" t="s">
        <v>1820</v>
      </c>
      <c r="H885">
        <v>-2</v>
      </c>
      <c r="I885" t="s">
        <v>37</v>
      </c>
      <c r="J885">
        <v>0</v>
      </c>
      <c r="M885" t="s">
        <v>1910</v>
      </c>
      <c r="N885" t="s">
        <v>1822</v>
      </c>
      <c r="O885">
        <v>0</v>
      </c>
      <c r="P885">
        <v>0</v>
      </c>
      <c r="Q885" t="s">
        <v>381</v>
      </c>
    </row>
    <row r="886" spans="1:17" x14ac:dyDescent="0.15">
      <c r="A886" t="s">
        <v>129</v>
      </c>
      <c r="B886" t="s">
        <v>130</v>
      </c>
      <c r="C886">
        <v>163</v>
      </c>
      <c r="D886" t="s">
        <v>161</v>
      </c>
      <c r="E886" s="1">
        <v>42998</v>
      </c>
      <c r="F886" t="s">
        <v>177</v>
      </c>
      <c r="G886" t="s">
        <v>1820</v>
      </c>
      <c r="H886">
        <v>-8</v>
      </c>
      <c r="I886" t="s">
        <v>37</v>
      </c>
      <c r="J886">
        <v>0</v>
      </c>
      <c r="M886" t="s">
        <v>241</v>
      </c>
      <c r="N886" t="s">
        <v>1823</v>
      </c>
    </row>
    <row r="887" spans="1:17" x14ac:dyDescent="0.15">
      <c r="A887" t="s">
        <v>129</v>
      </c>
      <c r="B887" t="s">
        <v>130</v>
      </c>
      <c r="C887">
        <v>163</v>
      </c>
      <c r="D887" t="s">
        <v>161</v>
      </c>
      <c r="E887" s="1">
        <v>42998</v>
      </c>
      <c r="F887" t="s">
        <v>177</v>
      </c>
      <c r="G887" t="s">
        <v>1820</v>
      </c>
      <c r="H887">
        <v>-8</v>
      </c>
      <c r="I887" t="s">
        <v>37</v>
      </c>
      <c r="J887">
        <v>0</v>
      </c>
      <c r="M887" t="s">
        <v>1910</v>
      </c>
      <c r="N887" t="s">
        <v>1823</v>
      </c>
      <c r="O887">
        <v>0</v>
      </c>
      <c r="P887">
        <v>0</v>
      </c>
      <c r="Q887" t="s">
        <v>381</v>
      </c>
    </row>
    <row r="888" spans="1:17" x14ac:dyDescent="0.15">
      <c r="A888" t="s">
        <v>129</v>
      </c>
      <c r="B888" t="s">
        <v>130</v>
      </c>
      <c r="C888">
        <v>163</v>
      </c>
      <c r="D888" t="s">
        <v>161</v>
      </c>
      <c r="E888" s="1">
        <v>43061</v>
      </c>
      <c r="F888" t="s">
        <v>17</v>
      </c>
      <c r="G888" t="s">
        <v>1663</v>
      </c>
      <c r="H888">
        <v>4</v>
      </c>
      <c r="I888" t="s">
        <v>37</v>
      </c>
      <c r="J888">
        <v>0</v>
      </c>
      <c r="M888" t="s">
        <v>241</v>
      </c>
      <c r="N888" t="s">
        <v>1664</v>
      </c>
    </row>
    <row r="889" spans="1:17" x14ac:dyDescent="0.15">
      <c r="A889" t="s">
        <v>129</v>
      </c>
      <c r="B889" t="s">
        <v>130</v>
      </c>
      <c r="C889">
        <v>163</v>
      </c>
      <c r="D889" t="s">
        <v>161</v>
      </c>
      <c r="E889" s="1">
        <v>43061</v>
      </c>
      <c r="F889" t="s">
        <v>17</v>
      </c>
      <c r="G889" t="s">
        <v>1663</v>
      </c>
      <c r="H889">
        <v>4</v>
      </c>
      <c r="I889" t="s">
        <v>37</v>
      </c>
      <c r="J889">
        <v>0</v>
      </c>
      <c r="M889" t="s">
        <v>1910</v>
      </c>
      <c r="N889" t="s">
        <v>1664</v>
      </c>
      <c r="O889">
        <v>0</v>
      </c>
      <c r="P889">
        <v>0</v>
      </c>
      <c r="Q889" t="s">
        <v>381</v>
      </c>
    </row>
    <row r="890" spans="1:17" x14ac:dyDescent="0.15">
      <c r="A890" t="s">
        <v>129</v>
      </c>
      <c r="B890" t="s">
        <v>130</v>
      </c>
      <c r="C890">
        <v>163</v>
      </c>
      <c r="D890" t="s">
        <v>161</v>
      </c>
      <c r="E890" s="1">
        <v>43062</v>
      </c>
      <c r="F890" t="s">
        <v>177</v>
      </c>
      <c r="G890" t="s">
        <v>1833</v>
      </c>
      <c r="H890">
        <v>-4</v>
      </c>
      <c r="I890" t="s">
        <v>37</v>
      </c>
      <c r="J890">
        <v>0</v>
      </c>
      <c r="M890" t="s">
        <v>241</v>
      </c>
      <c r="N890" t="s">
        <v>1834</v>
      </c>
    </row>
    <row r="891" spans="1:17" x14ac:dyDescent="0.15">
      <c r="A891" t="s">
        <v>129</v>
      </c>
      <c r="B891" t="s">
        <v>130</v>
      </c>
      <c r="C891">
        <v>163</v>
      </c>
      <c r="D891" t="s">
        <v>161</v>
      </c>
      <c r="E891" s="1">
        <v>43062</v>
      </c>
      <c r="F891" t="s">
        <v>177</v>
      </c>
      <c r="G891" t="s">
        <v>1833</v>
      </c>
      <c r="H891">
        <v>-4</v>
      </c>
      <c r="I891" t="s">
        <v>37</v>
      </c>
      <c r="J891">
        <v>0</v>
      </c>
      <c r="M891" t="s">
        <v>1910</v>
      </c>
      <c r="N891" t="s">
        <v>1834</v>
      </c>
      <c r="O891">
        <v>0</v>
      </c>
      <c r="P891">
        <v>0</v>
      </c>
      <c r="Q891" t="s">
        <v>381</v>
      </c>
    </row>
    <row r="892" spans="1:17" x14ac:dyDescent="0.15">
      <c r="A892" t="s">
        <v>131</v>
      </c>
      <c r="B892" t="s">
        <v>132</v>
      </c>
      <c r="C892">
        <v>163</v>
      </c>
      <c r="D892" t="s">
        <v>161</v>
      </c>
      <c r="E892" s="1">
        <v>42914</v>
      </c>
      <c r="F892" t="s">
        <v>21</v>
      </c>
      <c r="G892" t="s">
        <v>187</v>
      </c>
      <c r="H892">
        <v>-2</v>
      </c>
      <c r="I892" t="s">
        <v>37</v>
      </c>
      <c r="J892">
        <v>0</v>
      </c>
      <c r="M892" t="s">
        <v>241</v>
      </c>
      <c r="N892" t="s">
        <v>190</v>
      </c>
    </row>
    <row r="893" spans="1:17" x14ac:dyDescent="0.15">
      <c r="A893" t="s">
        <v>131</v>
      </c>
      <c r="B893" t="s">
        <v>132</v>
      </c>
      <c r="C893">
        <v>163</v>
      </c>
      <c r="D893" t="s">
        <v>161</v>
      </c>
      <c r="E893" s="1">
        <v>42914</v>
      </c>
      <c r="F893" t="s">
        <v>21</v>
      </c>
      <c r="G893" t="s">
        <v>187</v>
      </c>
      <c r="H893">
        <v>-2</v>
      </c>
      <c r="I893" t="s">
        <v>37</v>
      </c>
      <c r="J893">
        <v>0</v>
      </c>
      <c r="M893" t="s">
        <v>1910</v>
      </c>
      <c r="N893" t="s">
        <v>190</v>
      </c>
      <c r="O893">
        <v>0</v>
      </c>
      <c r="P893">
        <v>0</v>
      </c>
      <c r="Q893" t="s">
        <v>381</v>
      </c>
    </row>
    <row r="894" spans="1:17" x14ac:dyDescent="0.15">
      <c r="A894" t="s">
        <v>131</v>
      </c>
      <c r="B894" t="s">
        <v>132</v>
      </c>
      <c r="C894">
        <v>163</v>
      </c>
      <c r="D894" t="s">
        <v>161</v>
      </c>
      <c r="E894" s="1">
        <v>42918</v>
      </c>
      <c r="F894" t="s">
        <v>177</v>
      </c>
      <c r="G894" t="s">
        <v>1760</v>
      </c>
      <c r="H894">
        <v>-1</v>
      </c>
      <c r="I894" t="s">
        <v>37</v>
      </c>
      <c r="J894">
        <v>0</v>
      </c>
      <c r="M894" t="s">
        <v>241</v>
      </c>
      <c r="N894" t="s">
        <v>1761</v>
      </c>
    </row>
    <row r="895" spans="1:17" x14ac:dyDescent="0.15">
      <c r="A895" t="s">
        <v>131</v>
      </c>
      <c r="B895" t="s">
        <v>132</v>
      </c>
      <c r="C895">
        <v>163</v>
      </c>
      <c r="D895" t="s">
        <v>161</v>
      </c>
      <c r="E895" s="1">
        <v>42918</v>
      </c>
      <c r="F895" t="s">
        <v>177</v>
      </c>
      <c r="G895" t="s">
        <v>1760</v>
      </c>
      <c r="H895">
        <v>-1</v>
      </c>
      <c r="I895" t="s">
        <v>37</v>
      </c>
      <c r="J895">
        <v>0</v>
      </c>
      <c r="M895" t="s">
        <v>1910</v>
      </c>
      <c r="N895" t="s">
        <v>1761</v>
      </c>
      <c r="O895">
        <v>0</v>
      </c>
      <c r="P895">
        <v>0</v>
      </c>
      <c r="Q895" t="s">
        <v>381</v>
      </c>
    </row>
    <row r="896" spans="1:17" x14ac:dyDescent="0.15">
      <c r="A896" t="s">
        <v>131</v>
      </c>
      <c r="B896" t="s">
        <v>132</v>
      </c>
      <c r="C896">
        <v>163</v>
      </c>
      <c r="D896" t="s">
        <v>161</v>
      </c>
      <c r="E896" s="1">
        <v>42940</v>
      </c>
      <c r="F896" t="s">
        <v>177</v>
      </c>
      <c r="G896" t="s">
        <v>1796</v>
      </c>
      <c r="H896">
        <v>-1</v>
      </c>
      <c r="I896" t="s">
        <v>37</v>
      </c>
      <c r="J896">
        <v>0</v>
      </c>
      <c r="M896" t="s">
        <v>241</v>
      </c>
      <c r="N896" t="s">
        <v>1797</v>
      </c>
    </row>
    <row r="897" spans="1:17" x14ac:dyDescent="0.15">
      <c r="A897" t="s">
        <v>131</v>
      </c>
      <c r="B897" t="s">
        <v>132</v>
      </c>
      <c r="C897">
        <v>163</v>
      </c>
      <c r="D897" t="s">
        <v>161</v>
      </c>
      <c r="E897" s="1">
        <v>42940</v>
      </c>
      <c r="F897" t="s">
        <v>177</v>
      </c>
      <c r="G897" t="s">
        <v>1796</v>
      </c>
      <c r="H897">
        <v>-1</v>
      </c>
      <c r="I897" t="s">
        <v>37</v>
      </c>
      <c r="J897">
        <v>0</v>
      </c>
      <c r="M897" t="s">
        <v>1910</v>
      </c>
      <c r="N897" t="s">
        <v>1797</v>
      </c>
      <c r="O897">
        <v>0</v>
      </c>
      <c r="P897">
        <v>0</v>
      </c>
      <c r="Q897" t="s">
        <v>381</v>
      </c>
    </row>
    <row r="898" spans="1:17" x14ac:dyDescent="0.15">
      <c r="A898" t="s">
        <v>131</v>
      </c>
      <c r="B898" t="s">
        <v>132</v>
      </c>
      <c r="C898">
        <v>163</v>
      </c>
      <c r="D898" t="s">
        <v>161</v>
      </c>
      <c r="E898" s="1">
        <v>42998</v>
      </c>
      <c r="F898" t="s">
        <v>177</v>
      </c>
      <c r="G898" t="s">
        <v>1824</v>
      </c>
      <c r="H898">
        <v>-1</v>
      </c>
      <c r="I898" t="s">
        <v>37</v>
      </c>
      <c r="J898">
        <v>0</v>
      </c>
      <c r="M898" t="s">
        <v>241</v>
      </c>
      <c r="N898" t="s">
        <v>1825</v>
      </c>
    </row>
    <row r="899" spans="1:17" x14ac:dyDescent="0.15">
      <c r="A899" t="s">
        <v>131</v>
      </c>
      <c r="B899" t="s">
        <v>132</v>
      </c>
      <c r="C899">
        <v>163</v>
      </c>
      <c r="D899" t="s">
        <v>161</v>
      </c>
      <c r="E899" s="1">
        <v>42998</v>
      </c>
      <c r="F899" t="s">
        <v>177</v>
      </c>
      <c r="G899" t="s">
        <v>1824</v>
      </c>
      <c r="H899">
        <v>-1</v>
      </c>
      <c r="I899" t="s">
        <v>37</v>
      </c>
      <c r="J899">
        <v>0</v>
      </c>
      <c r="M899" t="s">
        <v>1910</v>
      </c>
      <c r="N899" t="s">
        <v>1825</v>
      </c>
      <c r="O899">
        <v>0</v>
      </c>
      <c r="P899">
        <v>0</v>
      </c>
      <c r="Q899" t="s">
        <v>381</v>
      </c>
    </row>
    <row r="900" spans="1:17" x14ac:dyDescent="0.15">
      <c r="A900" t="s">
        <v>131</v>
      </c>
      <c r="B900" t="s">
        <v>132</v>
      </c>
      <c r="C900">
        <v>163</v>
      </c>
      <c r="D900" t="s">
        <v>161</v>
      </c>
      <c r="E900" s="1">
        <v>43004</v>
      </c>
      <c r="F900" t="s">
        <v>21</v>
      </c>
      <c r="G900" t="s">
        <v>1881</v>
      </c>
      <c r="H900">
        <v>-1</v>
      </c>
      <c r="I900" t="s">
        <v>37</v>
      </c>
      <c r="J900">
        <v>0</v>
      </c>
      <c r="M900" t="s">
        <v>241</v>
      </c>
      <c r="N900" t="s">
        <v>1888</v>
      </c>
    </row>
    <row r="901" spans="1:17" x14ac:dyDescent="0.15">
      <c r="A901" t="s">
        <v>131</v>
      </c>
      <c r="B901" t="s">
        <v>132</v>
      </c>
      <c r="C901">
        <v>163</v>
      </c>
      <c r="D901" t="s">
        <v>161</v>
      </c>
      <c r="E901" s="1">
        <v>43004</v>
      </c>
      <c r="F901" t="s">
        <v>21</v>
      </c>
      <c r="G901" t="s">
        <v>1881</v>
      </c>
      <c r="H901">
        <v>-1</v>
      </c>
      <c r="I901" t="s">
        <v>37</v>
      </c>
      <c r="J901">
        <v>0</v>
      </c>
      <c r="M901" t="s">
        <v>1910</v>
      </c>
      <c r="N901" t="s">
        <v>1888</v>
      </c>
      <c r="O901">
        <v>0</v>
      </c>
      <c r="P901">
        <v>0</v>
      </c>
      <c r="Q901" t="s">
        <v>381</v>
      </c>
    </row>
    <row r="902" spans="1:17" x14ac:dyDescent="0.15">
      <c r="A902" t="s">
        <v>131</v>
      </c>
      <c r="B902" t="s">
        <v>132</v>
      </c>
      <c r="C902">
        <v>163</v>
      </c>
      <c r="D902" t="s">
        <v>161</v>
      </c>
      <c r="E902" s="1">
        <v>43042</v>
      </c>
      <c r="F902" t="s">
        <v>177</v>
      </c>
      <c r="G902" t="s">
        <v>1827</v>
      </c>
      <c r="H902">
        <v>-1</v>
      </c>
      <c r="I902" t="s">
        <v>37</v>
      </c>
      <c r="J902">
        <v>0</v>
      </c>
      <c r="M902" t="s">
        <v>241</v>
      </c>
      <c r="N902" t="s">
        <v>1828</v>
      </c>
    </row>
    <row r="903" spans="1:17" x14ac:dyDescent="0.15">
      <c r="A903" t="s">
        <v>131</v>
      </c>
      <c r="B903" t="s">
        <v>132</v>
      </c>
      <c r="C903">
        <v>163</v>
      </c>
      <c r="D903" t="s">
        <v>161</v>
      </c>
      <c r="E903" s="1">
        <v>43042</v>
      </c>
      <c r="F903" t="s">
        <v>177</v>
      </c>
      <c r="G903" t="s">
        <v>1827</v>
      </c>
      <c r="H903">
        <v>-1</v>
      </c>
      <c r="I903" t="s">
        <v>37</v>
      </c>
      <c r="J903">
        <v>0</v>
      </c>
      <c r="M903" t="s">
        <v>1910</v>
      </c>
      <c r="N903" t="s">
        <v>1828</v>
      </c>
      <c r="O903">
        <v>0</v>
      </c>
      <c r="P903">
        <v>0</v>
      </c>
      <c r="Q903" t="s">
        <v>381</v>
      </c>
    </row>
    <row r="904" spans="1:17" x14ac:dyDescent="0.15">
      <c r="A904" t="s">
        <v>131</v>
      </c>
      <c r="B904" t="s">
        <v>132</v>
      </c>
      <c r="C904">
        <v>163</v>
      </c>
      <c r="D904" t="s">
        <v>161</v>
      </c>
      <c r="E904" s="1">
        <v>43062</v>
      </c>
      <c r="F904" t="s">
        <v>177</v>
      </c>
      <c r="G904" t="s">
        <v>1830</v>
      </c>
      <c r="H904">
        <v>-1</v>
      </c>
      <c r="I904" t="s">
        <v>37</v>
      </c>
      <c r="J904">
        <v>0</v>
      </c>
      <c r="M904" t="s">
        <v>241</v>
      </c>
      <c r="N904" t="s">
        <v>1831</v>
      </c>
    </row>
    <row r="905" spans="1:17" x14ac:dyDescent="0.15">
      <c r="A905" t="s">
        <v>131</v>
      </c>
      <c r="B905" t="s">
        <v>132</v>
      </c>
      <c r="C905">
        <v>163</v>
      </c>
      <c r="D905" t="s">
        <v>161</v>
      </c>
      <c r="E905" s="1">
        <v>43062</v>
      </c>
      <c r="F905" t="s">
        <v>177</v>
      </c>
      <c r="G905" t="s">
        <v>1830</v>
      </c>
      <c r="H905">
        <v>-1</v>
      </c>
      <c r="I905" t="s">
        <v>37</v>
      </c>
      <c r="J905">
        <v>0</v>
      </c>
      <c r="M905" t="s">
        <v>1910</v>
      </c>
      <c r="N905" t="s">
        <v>1831</v>
      </c>
      <c r="O905">
        <v>0</v>
      </c>
      <c r="P905">
        <v>0</v>
      </c>
      <c r="Q905" t="s">
        <v>381</v>
      </c>
    </row>
    <row r="906" spans="1:17" x14ac:dyDescent="0.15">
      <c r="A906" t="s">
        <v>131</v>
      </c>
      <c r="B906" t="s">
        <v>132</v>
      </c>
      <c r="C906">
        <v>163</v>
      </c>
      <c r="D906" t="s">
        <v>161</v>
      </c>
      <c r="E906" s="1">
        <v>43080</v>
      </c>
      <c r="F906" t="s">
        <v>177</v>
      </c>
      <c r="G906" t="s">
        <v>1835</v>
      </c>
      <c r="H906">
        <v>-1</v>
      </c>
      <c r="I906" t="s">
        <v>37</v>
      </c>
      <c r="J906">
        <v>0</v>
      </c>
      <c r="M906" t="s">
        <v>241</v>
      </c>
      <c r="N906" t="s">
        <v>1836</v>
      </c>
    </row>
    <row r="907" spans="1:17" x14ac:dyDescent="0.15">
      <c r="A907" t="s">
        <v>131</v>
      </c>
      <c r="B907" t="s">
        <v>132</v>
      </c>
      <c r="C907">
        <v>163</v>
      </c>
      <c r="D907" t="s">
        <v>161</v>
      </c>
      <c r="E907" s="1">
        <v>43080</v>
      </c>
      <c r="F907" t="s">
        <v>177</v>
      </c>
      <c r="G907" t="s">
        <v>1835</v>
      </c>
      <c r="H907">
        <v>-1</v>
      </c>
      <c r="I907" t="s">
        <v>37</v>
      </c>
      <c r="J907">
        <v>0</v>
      </c>
      <c r="M907" t="s">
        <v>1910</v>
      </c>
      <c r="N907" t="s">
        <v>1836</v>
      </c>
      <c r="O907">
        <v>0</v>
      </c>
      <c r="P907">
        <v>0</v>
      </c>
      <c r="Q907" t="s">
        <v>381</v>
      </c>
    </row>
    <row r="908" spans="1:17" x14ac:dyDescent="0.15">
      <c r="A908" t="s">
        <v>131</v>
      </c>
      <c r="B908" t="s">
        <v>132</v>
      </c>
      <c r="C908">
        <v>163</v>
      </c>
      <c r="D908" t="s">
        <v>161</v>
      </c>
      <c r="E908" s="1">
        <v>43089</v>
      </c>
      <c r="F908" t="s">
        <v>21</v>
      </c>
      <c r="G908" t="s">
        <v>1894</v>
      </c>
      <c r="H908">
        <v>-1</v>
      </c>
      <c r="I908" t="s">
        <v>37</v>
      </c>
      <c r="J908">
        <v>0</v>
      </c>
      <c r="M908" t="s">
        <v>241</v>
      </c>
      <c r="N908" t="s">
        <v>1897</v>
      </c>
    </row>
    <row r="909" spans="1:17" x14ac:dyDescent="0.15">
      <c r="A909" t="s">
        <v>131</v>
      </c>
      <c r="B909" t="s">
        <v>132</v>
      </c>
      <c r="C909">
        <v>163</v>
      </c>
      <c r="D909" t="s">
        <v>161</v>
      </c>
      <c r="E909" s="1">
        <v>43089</v>
      </c>
      <c r="F909" t="s">
        <v>21</v>
      </c>
      <c r="G909" t="s">
        <v>1894</v>
      </c>
      <c r="H909">
        <v>-1</v>
      </c>
      <c r="I909" t="s">
        <v>37</v>
      </c>
      <c r="J909">
        <v>0</v>
      </c>
      <c r="M909" t="s">
        <v>1910</v>
      </c>
      <c r="N909" t="s">
        <v>1897</v>
      </c>
      <c r="O909">
        <v>0</v>
      </c>
      <c r="P909">
        <v>0</v>
      </c>
      <c r="Q909" t="s">
        <v>381</v>
      </c>
    </row>
    <row r="910" spans="1:17" ht="54" x14ac:dyDescent="0.15">
      <c r="A910" t="s">
        <v>179</v>
      </c>
      <c r="B910" s="15" t="s">
        <v>180</v>
      </c>
      <c r="C910">
        <v>163</v>
      </c>
      <c r="D910" t="s">
        <v>161</v>
      </c>
      <c r="E910" s="1">
        <v>42831</v>
      </c>
      <c r="F910" t="s">
        <v>177</v>
      </c>
      <c r="G910" t="s">
        <v>224</v>
      </c>
      <c r="H910">
        <v>-3</v>
      </c>
      <c r="I910" t="s">
        <v>37</v>
      </c>
      <c r="J910">
        <v>0</v>
      </c>
      <c r="M910" t="s">
        <v>241</v>
      </c>
      <c r="N910" t="s">
        <v>896</v>
      </c>
    </row>
    <row r="911" spans="1:17" ht="54" x14ac:dyDescent="0.15">
      <c r="A911" t="s">
        <v>179</v>
      </c>
      <c r="B911" s="15" t="s">
        <v>180</v>
      </c>
      <c r="C911">
        <v>163</v>
      </c>
      <c r="D911" t="s">
        <v>161</v>
      </c>
      <c r="E911" s="1">
        <v>42831</v>
      </c>
      <c r="F911" t="s">
        <v>177</v>
      </c>
      <c r="G911" t="s">
        <v>224</v>
      </c>
      <c r="H911">
        <v>-3</v>
      </c>
      <c r="I911" t="s">
        <v>37</v>
      </c>
      <c r="J911">
        <v>0</v>
      </c>
      <c r="M911" t="s">
        <v>1910</v>
      </c>
      <c r="N911" t="s">
        <v>896</v>
      </c>
      <c r="O911">
        <v>0</v>
      </c>
      <c r="P911">
        <v>0</v>
      </c>
      <c r="Q911" t="s">
        <v>381</v>
      </c>
    </row>
    <row r="912" spans="1:17" ht="54" x14ac:dyDescent="0.15">
      <c r="A912" t="s">
        <v>179</v>
      </c>
      <c r="B912" s="15" t="s">
        <v>180</v>
      </c>
      <c r="C912">
        <v>163</v>
      </c>
      <c r="D912" t="s">
        <v>161</v>
      </c>
      <c r="E912" s="1">
        <v>42867</v>
      </c>
      <c r="F912" t="s">
        <v>177</v>
      </c>
      <c r="G912" t="s">
        <v>232</v>
      </c>
      <c r="H912">
        <v>-2</v>
      </c>
      <c r="I912" t="s">
        <v>37</v>
      </c>
      <c r="J912">
        <v>0</v>
      </c>
      <c r="M912" t="s">
        <v>241</v>
      </c>
      <c r="N912" t="s">
        <v>908</v>
      </c>
    </row>
    <row r="913" spans="1:17" ht="54" x14ac:dyDescent="0.15">
      <c r="A913" t="s">
        <v>179</v>
      </c>
      <c r="B913" s="15" t="s">
        <v>180</v>
      </c>
      <c r="C913">
        <v>163</v>
      </c>
      <c r="D913" t="s">
        <v>161</v>
      </c>
      <c r="E913" s="1">
        <v>42867</v>
      </c>
      <c r="F913" t="s">
        <v>177</v>
      </c>
      <c r="G913" t="s">
        <v>232</v>
      </c>
      <c r="H913">
        <v>-2</v>
      </c>
      <c r="I913" t="s">
        <v>37</v>
      </c>
      <c r="J913">
        <v>0</v>
      </c>
      <c r="M913" t="s">
        <v>1910</v>
      </c>
      <c r="N913" t="s">
        <v>908</v>
      </c>
      <c r="O913">
        <v>0</v>
      </c>
      <c r="P913">
        <v>0</v>
      </c>
      <c r="Q913" t="s">
        <v>381</v>
      </c>
    </row>
    <row r="914" spans="1:17" ht="54" x14ac:dyDescent="0.15">
      <c r="A914" t="s">
        <v>179</v>
      </c>
      <c r="B914" s="15" t="s">
        <v>180</v>
      </c>
      <c r="C914">
        <v>163</v>
      </c>
      <c r="D914" t="s">
        <v>161</v>
      </c>
      <c r="E914" s="1">
        <v>42895</v>
      </c>
      <c r="F914" t="s">
        <v>177</v>
      </c>
      <c r="G914" t="s">
        <v>178</v>
      </c>
      <c r="H914">
        <v>-1</v>
      </c>
      <c r="I914" t="s">
        <v>37</v>
      </c>
      <c r="J914">
        <v>0</v>
      </c>
      <c r="M914" t="s">
        <v>241</v>
      </c>
      <c r="N914" t="s">
        <v>911</v>
      </c>
    </row>
    <row r="915" spans="1:17" ht="54" x14ac:dyDescent="0.15">
      <c r="A915" t="s">
        <v>179</v>
      </c>
      <c r="B915" s="15" t="s">
        <v>180</v>
      </c>
      <c r="C915">
        <v>163</v>
      </c>
      <c r="D915" t="s">
        <v>161</v>
      </c>
      <c r="E915" s="1">
        <v>42895</v>
      </c>
      <c r="F915" t="s">
        <v>177</v>
      </c>
      <c r="G915" t="s">
        <v>178</v>
      </c>
      <c r="H915">
        <v>-1</v>
      </c>
      <c r="I915" t="s">
        <v>37</v>
      </c>
      <c r="J915">
        <v>0</v>
      </c>
      <c r="M915" t="s">
        <v>1910</v>
      </c>
      <c r="N915" t="s">
        <v>911</v>
      </c>
      <c r="O915">
        <v>0</v>
      </c>
      <c r="P915">
        <v>0</v>
      </c>
      <c r="Q915" t="s">
        <v>381</v>
      </c>
    </row>
    <row r="916" spans="1:17" ht="54" x14ac:dyDescent="0.15">
      <c r="A916" t="s">
        <v>179</v>
      </c>
      <c r="B916" s="15" t="s">
        <v>180</v>
      </c>
      <c r="C916">
        <v>163</v>
      </c>
      <c r="D916" t="s">
        <v>161</v>
      </c>
      <c r="E916" s="1">
        <v>42913</v>
      </c>
      <c r="F916" t="s">
        <v>177</v>
      </c>
      <c r="G916" t="s">
        <v>184</v>
      </c>
      <c r="H916">
        <v>-1</v>
      </c>
      <c r="I916" t="s">
        <v>37</v>
      </c>
      <c r="J916">
        <v>0</v>
      </c>
      <c r="M916" t="s">
        <v>241</v>
      </c>
      <c r="N916" t="s">
        <v>912</v>
      </c>
    </row>
    <row r="917" spans="1:17" ht="54" x14ac:dyDescent="0.15">
      <c r="A917" t="s">
        <v>179</v>
      </c>
      <c r="B917" s="15" t="s">
        <v>180</v>
      </c>
      <c r="C917">
        <v>163</v>
      </c>
      <c r="D917" t="s">
        <v>161</v>
      </c>
      <c r="E917" s="1">
        <v>42913</v>
      </c>
      <c r="F917" t="s">
        <v>177</v>
      </c>
      <c r="G917" t="s">
        <v>184</v>
      </c>
      <c r="H917">
        <v>-1</v>
      </c>
      <c r="I917" t="s">
        <v>37</v>
      </c>
      <c r="J917">
        <v>0</v>
      </c>
      <c r="M917" t="s">
        <v>1910</v>
      </c>
      <c r="N917" t="s">
        <v>912</v>
      </c>
      <c r="O917">
        <v>0</v>
      </c>
      <c r="P917">
        <v>0</v>
      </c>
      <c r="Q917" t="s">
        <v>381</v>
      </c>
    </row>
    <row r="918" spans="1:17" ht="54" x14ac:dyDescent="0.15">
      <c r="A918" t="s">
        <v>179</v>
      </c>
      <c r="B918" s="15" t="s">
        <v>180</v>
      </c>
      <c r="C918">
        <v>163</v>
      </c>
      <c r="D918" t="s">
        <v>161</v>
      </c>
      <c r="E918" s="1">
        <v>42922</v>
      </c>
      <c r="F918" t="s">
        <v>177</v>
      </c>
      <c r="G918" t="s">
        <v>1763</v>
      </c>
      <c r="H918">
        <v>-1</v>
      </c>
      <c r="I918" t="s">
        <v>37</v>
      </c>
      <c r="J918">
        <v>0</v>
      </c>
      <c r="M918" t="s">
        <v>241</v>
      </c>
      <c r="N918" t="s">
        <v>1764</v>
      </c>
    </row>
    <row r="919" spans="1:17" ht="54" x14ac:dyDescent="0.15">
      <c r="A919" t="s">
        <v>179</v>
      </c>
      <c r="B919" s="15" t="s">
        <v>180</v>
      </c>
      <c r="C919">
        <v>163</v>
      </c>
      <c r="D919" t="s">
        <v>161</v>
      </c>
      <c r="E919" s="1">
        <v>42922</v>
      </c>
      <c r="F919" t="s">
        <v>177</v>
      </c>
      <c r="G919" t="s">
        <v>1763</v>
      </c>
      <c r="H919">
        <v>-1</v>
      </c>
      <c r="I919" t="s">
        <v>37</v>
      </c>
      <c r="J919">
        <v>0</v>
      </c>
      <c r="M919" t="s">
        <v>1910</v>
      </c>
      <c r="N919" t="s">
        <v>1764</v>
      </c>
      <c r="O919">
        <v>0</v>
      </c>
      <c r="P919">
        <v>0</v>
      </c>
      <c r="Q919" t="s">
        <v>381</v>
      </c>
    </row>
    <row r="920" spans="1:17" ht="54" x14ac:dyDescent="0.15">
      <c r="A920" t="s">
        <v>179</v>
      </c>
      <c r="B920" s="15" t="s">
        <v>180</v>
      </c>
      <c r="C920">
        <v>163</v>
      </c>
      <c r="D920" t="s">
        <v>161</v>
      </c>
      <c r="E920" s="1">
        <v>42934</v>
      </c>
      <c r="F920" t="s">
        <v>177</v>
      </c>
      <c r="G920" t="s">
        <v>1770</v>
      </c>
      <c r="H920">
        <v>-1</v>
      </c>
      <c r="I920" t="s">
        <v>37</v>
      </c>
      <c r="J920">
        <v>0</v>
      </c>
      <c r="M920" t="s">
        <v>241</v>
      </c>
      <c r="N920" t="s">
        <v>1771</v>
      </c>
    </row>
    <row r="921" spans="1:17" ht="54" x14ac:dyDescent="0.15">
      <c r="A921" t="s">
        <v>179</v>
      </c>
      <c r="B921" s="15" t="s">
        <v>180</v>
      </c>
      <c r="C921">
        <v>163</v>
      </c>
      <c r="D921" t="s">
        <v>161</v>
      </c>
      <c r="E921" s="1">
        <v>42934</v>
      </c>
      <c r="F921" t="s">
        <v>177</v>
      </c>
      <c r="G921" t="s">
        <v>1770</v>
      </c>
      <c r="H921">
        <v>-1</v>
      </c>
      <c r="I921" t="s">
        <v>37</v>
      </c>
      <c r="J921">
        <v>0</v>
      </c>
      <c r="M921" t="s">
        <v>1910</v>
      </c>
      <c r="N921" t="s">
        <v>1771</v>
      </c>
      <c r="O921">
        <v>0</v>
      </c>
      <c r="P921">
        <v>0</v>
      </c>
      <c r="Q921" t="s">
        <v>381</v>
      </c>
    </row>
    <row r="922" spans="1:17" ht="54" x14ac:dyDescent="0.15">
      <c r="A922" t="s">
        <v>179</v>
      </c>
      <c r="B922" s="15" t="s">
        <v>180</v>
      </c>
      <c r="C922">
        <v>163</v>
      </c>
      <c r="D922" t="s">
        <v>161</v>
      </c>
      <c r="E922" s="1">
        <v>42991</v>
      </c>
      <c r="F922" t="s">
        <v>177</v>
      </c>
      <c r="G922" t="s">
        <v>1817</v>
      </c>
      <c r="H922">
        <v>-1</v>
      </c>
      <c r="I922" t="s">
        <v>37</v>
      </c>
      <c r="J922">
        <v>0</v>
      </c>
      <c r="M922" t="s">
        <v>241</v>
      </c>
      <c r="N922" t="s">
        <v>1818</v>
      </c>
    </row>
    <row r="923" spans="1:17" ht="54" x14ac:dyDescent="0.15">
      <c r="A923" t="s">
        <v>179</v>
      </c>
      <c r="B923" s="15" t="s">
        <v>180</v>
      </c>
      <c r="C923">
        <v>163</v>
      </c>
      <c r="D923" t="s">
        <v>161</v>
      </c>
      <c r="E923" s="1">
        <v>42991</v>
      </c>
      <c r="F923" t="s">
        <v>177</v>
      </c>
      <c r="G923" t="s">
        <v>1817</v>
      </c>
      <c r="H923">
        <v>-1</v>
      </c>
      <c r="I923" t="s">
        <v>37</v>
      </c>
      <c r="J923">
        <v>0</v>
      </c>
      <c r="M923" t="s">
        <v>1910</v>
      </c>
      <c r="N923" t="s">
        <v>1818</v>
      </c>
      <c r="O923">
        <v>0</v>
      </c>
      <c r="P923">
        <v>0</v>
      </c>
      <c r="Q923" t="s">
        <v>381</v>
      </c>
    </row>
    <row r="924" spans="1:17" ht="54" x14ac:dyDescent="0.15">
      <c r="A924" t="s">
        <v>179</v>
      </c>
      <c r="B924" s="15" t="s">
        <v>180</v>
      </c>
      <c r="C924">
        <v>163</v>
      </c>
      <c r="D924" t="s">
        <v>161</v>
      </c>
      <c r="E924" s="1">
        <v>43004</v>
      </c>
      <c r="F924" t="s">
        <v>21</v>
      </c>
      <c r="G924" t="s">
        <v>1881</v>
      </c>
      <c r="H924">
        <v>-11</v>
      </c>
      <c r="I924" t="s">
        <v>37</v>
      </c>
      <c r="J924">
        <v>0</v>
      </c>
      <c r="M924" t="s">
        <v>241</v>
      </c>
      <c r="N924" t="s">
        <v>1889</v>
      </c>
    </row>
    <row r="925" spans="1:17" ht="54" x14ac:dyDescent="0.15">
      <c r="A925" t="s">
        <v>179</v>
      </c>
      <c r="B925" s="15" t="s">
        <v>180</v>
      </c>
      <c r="C925">
        <v>163</v>
      </c>
      <c r="D925" t="s">
        <v>161</v>
      </c>
      <c r="E925" s="1">
        <v>43004</v>
      </c>
      <c r="F925" t="s">
        <v>21</v>
      </c>
      <c r="G925" t="s">
        <v>1881</v>
      </c>
      <c r="H925">
        <v>-11</v>
      </c>
      <c r="I925" t="s">
        <v>37</v>
      </c>
      <c r="J925">
        <v>0</v>
      </c>
      <c r="M925" t="s">
        <v>1910</v>
      </c>
      <c r="N925" t="s">
        <v>1889</v>
      </c>
      <c r="O925">
        <v>0</v>
      </c>
      <c r="P925">
        <v>0</v>
      </c>
      <c r="Q925" t="s">
        <v>381</v>
      </c>
    </row>
    <row r="926" spans="1:17" ht="54" x14ac:dyDescent="0.15">
      <c r="A926" t="s">
        <v>179</v>
      </c>
      <c r="B926" s="15" t="s">
        <v>180</v>
      </c>
      <c r="C926">
        <v>163</v>
      </c>
      <c r="D926" t="s">
        <v>161</v>
      </c>
      <c r="E926" s="1">
        <v>43080</v>
      </c>
      <c r="F926" t="s">
        <v>177</v>
      </c>
      <c r="G926" t="s">
        <v>1835</v>
      </c>
      <c r="H926">
        <v>-2</v>
      </c>
      <c r="I926" t="s">
        <v>37</v>
      </c>
      <c r="J926">
        <v>0</v>
      </c>
      <c r="M926" t="s">
        <v>241</v>
      </c>
      <c r="N926" t="s">
        <v>1837</v>
      </c>
    </row>
    <row r="927" spans="1:17" ht="54" x14ac:dyDescent="0.15">
      <c r="A927" t="s">
        <v>179</v>
      </c>
      <c r="B927" s="15" t="s">
        <v>180</v>
      </c>
      <c r="C927">
        <v>163</v>
      </c>
      <c r="D927" t="s">
        <v>161</v>
      </c>
      <c r="E927" s="1">
        <v>43080</v>
      </c>
      <c r="F927" t="s">
        <v>177</v>
      </c>
      <c r="G927" t="s">
        <v>1835</v>
      </c>
      <c r="H927">
        <v>-2</v>
      </c>
      <c r="I927" t="s">
        <v>37</v>
      </c>
      <c r="J927">
        <v>0</v>
      </c>
      <c r="M927" t="s">
        <v>1910</v>
      </c>
      <c r="N927" t="s">
        <v>1837</v>
      </c>
      <c r="O927">
        <v>0</v>
      </c>
      <c r="P927">
        <v>0</v>
      </c>
      <c r="Q927" t="s">
        <v>381</v>
      </c>
    </row>
    <row r="928" spans="1:17" ht="54" x14ac:dyDescent="0.15">
      <c r="A928" t="s">
        <v>179</v>
      </c>
      <c r="B928" s="15" t="s">
        <v>180</v>
      </c>
      <c r="C928">
        <v>163</v>
      </c>
      <c r="D928" t="s">
        <v>161</v>
      </c>
      <c r="E928" s="1">
        <v>43089</v>
      </c>
      <c r="F928" t="s">
        <v>21</v>
      </c>
      <c r="G928" t="s">
        <v>1894</v>
      </c>
      <c r="H928">
        <v>11</v>
      </c>
      <c r="I928" t="s">
        <v>37</v>
      </c>
      <c r="J928">
        <v>0</v>
      </c>
      <c r="M928" t="s">
        <v>241</v>
      </c>
      <c r="N928" t="s">
        <v>1898</v>
      </c>
    </row>
    <row r="929" spans="1:17" ht="54" x14ac:dyDescent="0.15">
      <c r="A929" t="s">
        <v>179</v>
      </c>
      <c r="B929" s="15" t="s">
        <v>180</v>
      </c>
      <c r="C929">
        <v>163</v>
      </c>
      <c r="D929" t="s">
        <v>161</v>
      </c>
      <c r="E929" s="1">
        <v>43089</v>
      </c>
      <c r="F929" t="s">
        <v>21</v>
      </c>
      <c r="G929" t="s">
        <v>1894</v>
      </c>
      <c r="H929">
        <v>11</v>
      </c>
      <c r="I929" t="s">
        <v>37</v>
      </c>
      <c r="J929">
        <v>0</v>
      </c>
      <c r="M929" t="s">
        <v>1910</v>
      </c>
      <c r="N929" t="s">
        <v>1898</v>
      </c>
      <c r="O929">
        <v>0</v>
      </c>
      <c r="P929">
        <v>0</v>
      </c>
      <c r="Q929" t="s">
        <v>381</v>
      </c>
    </row>
    <row r="930" spans="1:17" x14ac:dyDescent="0.15">
      <c r="A930" t="s">
        <v>134</v>
      </c>
      <c r="B930" t="s">
        <v>135</v>
      </c>
      <c r="C930">
        <v>163</v>
      </c>
      <c r="D930" t="s">
        <v>161</v>
      </c>
      <c r="E930" s="1">
        <v>42831</v>
      </c>
      <c r="F930" t="s">
        <v>177</v>
      </c>
      <c r="G930" t="s">
        <v>222</v>
      </c>
      <c r="H930">
        <v>-2</v>
      </c>
      <c r="I930" t="s">
        <v>37</v>
      </c>
      <c r="J930">
        <v>0</v>
      </c>
      <c r="K930">
        <v>0</v>
      </c>
      <c r="M930" t="s">
        <v>241</v>
      </c>
      <c r="N930" t="s">
        <v>895</v>
      </c>
    </row>
    <row r="931" spans="1:17" x14ac:dyDescent="0.15">
      <c r="A931" t="s">
        <v>134</v>
      </c>
      <c r="B931" t="s">
        <v>135</v>
      </c>
      <c r="C931">
        <v>163</v>
      </c>
      <c r="D931" t="s">
        <v>161</v>
      </c>
      <c r="E931" s="1">
        <v>42831</v>
      </c>
      <c r="F931" t="s">
        <v>177</v>
      </c>
      <c r="G931" t="s">
        <v>222</v>
      </c>
      <c r="H931">
        <v>-2</v>
      </c>
      <c r="I931" t="s">
        <v>37</v>
      </c>
      <c r="J931">
        <v>0</v>
      </c>
      <c r="K931">
        <v>0</v>
      </c>
      <c r="M931" t="s">
        <v>1910</v>
      </c>
      <c r="N931" t="s">
        <v>895</v>
      </c>
      <c r="O931">
        <v>0</v>
      </c>
      <c r="P931">
        <v>0</v>
      </c>
      <c r="Q931" t="s">
        <v>381</v>
      </c>
    </row>
    <row r="932" spans="1:17" x14ac:dyDescent="0.15">
      <c r="A932" t="s">
        <v>134</v>
      </c>
      <c r="B932" t="s">
        <v>135</v>
      </c>
      <c r="C932">
        <v>163</v>
      </c>
      <c r="D932" t="s">
        <v>161</v>
      </c>
      <c r="E932" s="1">
        <v>42836</v>
      </c>
      <c r="F932" t="s">
        <v>177</v>
      </c>
      <c r="G932" t="s">
        <v>226</v>
      </c>
      <c r="H932">
        <v>-2</v>
      </c>
      <c r="I932" t="s">
        <v>37</v>
      </c>
      <c r="J932">
        <v>0</v>
      </c>
      <c r="M932" t="s">
        <v>241</v>
      </c>
      <c r="N932" t="s">
        <v>901</v>
      </c>
    </row>
    <row r="933" spans="1:17" x14ac:dyDescent="0.15">
      <c r="A933" t="s">
        <v>134</v>
      </c>
      <c r="B933" t="s">
        <v>135</v>
      </c>
      <c r="C933">
        <v>163</v>
      </c>
      <c r="D933" t="s">
        <v>161</v>
      </c>
      <c r="E933" s="1">
        <v>42836</v>
      </c>
      <c r="F933" t="s">
        <v>177</v>
      </c>
      <c r="G933" t="s">
        <v>226</v>
      </c>
      <c r="H933">
        <v>-2</v>
      </c>
      <c r="I933" t="s">
        <v>37</v>
      </c>
      <c r="J933">
        <v>0</v>
      </c>
      <c r="M933" t="s">
        <v>1910</v>
      </c>
      <c r="N933" t="s">
        <v>901</v>
      </c>
      <c r="O933">
        <v>0</v>
      </c>
      <c r="P933">
        <v>0</v>
      </c>
      <c r="Q933" t="s">
        <v>381</v>
      </c>
    </row>
    <row r="934" spans="1:17" x14ac:dyDescent="0.15">
      <c r="A934" t="s">
        <v>134</v>
      </c>
      <c r="B934" t="s">
        <v>135</v>
      </c>
      <c r="C934">
        <v>163</v>
      </c>
      <c r="D934" t="s">
        <v>161</v>
      </c>
      <c r="E934" s="1">
        <v>42844</v>
      </c>
      <c r="F934" t="s">
        <v>177</v>
      </c>
      <c r="G934" t="s">
        <v>228</v>
      </c>
      <c r="H934">
        <v>-1</v>
      </c>
      <c r="I934" t="s">
        <v>37</v>
      </c>
      <c r="J934">
        <v>0</v>
      </c>
      <c r="M934" t="s">
        <v>241</v>
      </c>
      <c r="N934" t="s">
        <v>904</v>
      </c>
    </row>
    <row r="935" spans="1:17" x14ac:dyDescent="0.15">
      <c r="A935" t="s">
        <v>134</v>
      </c>
      <c r="B935" t="s">
        <v>135</v>
      </c>
      <c r="C935">
        <v>163</v>
      </c>
      <c r="D935" t="s">
        <v>161</v>
      </c>
      <c r="E935" s="1">
        <v>42844</v>
      </c>
      <c r="F935" t="s">
        <v>177</v>
      </c>
      <c r="G935" t="s">
        <v>228</v>
      </c>
      <c r="H935">
        <v>-1</v>
      </c>
      <c r="I935" t="s">
        <v>37</v>
      </c>
      <c r="J935">
        <v>0</v>
      </c>
      <c r="M935" t="s">
        <v>1910</v>
      </c>
      <c r="N935" t="s">
        <v>904</v>
      </c>
      <c r="O935">
        <v>0</v>
      </c>
      <c r="P935">
        <v>0</v>
      </c>
      <c r="Q935" t="s">
        <v>381</v>
      </c>
    </row>
    <row r="936" spans="1:17" x14ac:dyDescent="0.15">
      <c r="A936" t="s">
        <v>134</v>
      </c>
      <c r="B936" t="s">
        <v>135</v>
      </c>
      <c r="C936">
        <v>163</v>
      </c>
      <c r="D936" t="s">
        <v>161</v>
      </c>
      <c r="E936" s="1">
        <v>42860</v>
      </c>
      <c r="F936" t="s">
        <v>177</v>
      </c>
      <c r="G936" t="s">
        <v>230</v>
      </c>
      <c r="H936">
        <v>-2</v>
      </c>
      <c r="I936" t="s">
        <v>37</v>
      </c>
      <c r="J936">
        <v>0</v>
      </c>
      <c r="M936" t="s">
        <v>241</v>
      </c>
      <c r="N936" t="s">
        <v>907</v>
      </c>
    </row>
    <row r="937" spans="1:17" x14ac:dyDescent="0.15">
      <c r="A937" t="s">
        <v>134</v>
      </c>
      <c r="B937" t="s">
        <v>135</v>
      </c>
      <c r="C937">
        <v>163</v>
      </c>
      <c r="D937" t="s">
        <v>161</v>
      </c>
      <c r="E937" s="1">
        <v>42860</v>
      </c>
      <c r="F937" t="s">
        <v>177</v>
      </c>
      <c r="G937" t="s">
        <v>230</v>
      </c>
      <c r="H937">
        <v>-2</v>
      </c>
      <c r="I937" t="s">
        <v>37</v>
      </c>
      <c r="J937">
        <v>0</v>
      </c>
      <c r="M937" t="s">
        <v>1910</v>
      </c>
      <c r="N937" t="s">
        <v>907</v>
      </c>
      <c r="O937">
        <v>0</v>
      </c>
      <c r="P937">
        <v>0</v>
      </c>
      <c r="Q937" t="s">
        <v>381</v>
      </c>
    </row>
    <row r="938" spans="1:17" x14ac:dyDescent="0.15">
      <c r="A938" t="s">
        <v>134</v>
      </c>
      <c r="B938" t="s">
        <v>135</v>
      </c>
      <c r="C938">
        <v>163</v>
      </c>
      <c r="D938" t="s">
        <v>161</v>
      </c>
      <c r="E938" s="1">
        <v>42871</v>
      </c>
      <c r="F938" t="s">
        <v>177</v>
      </c>
      <c r="G938" t="s">
        <v>234</v>
      </c>
      <c r="H938">
        <v>-1</v>
      </c>
      <c r="I938" t="s">
        <v>37</v>
      </c>
      <c r="J938">
        <v>0</v>
      </c>
      <c r="M938" t="s">
        <v>241</v>
      </c>
      <c r="N938" t="s">
        <v>909</v>
      </c>
    </row>
    <row r="939" spans="1:17" x14ac:dyDescent="0.15">
      <c r="A939" t="s">
        <v>134</v>
      </c>
      <c r="B939" t="s">
        <v>135</v>
      </c>
      <c r="C939">
        <v>163</v>
      </c>
      <c r="D939" t="s">
        <v>161</v>
      </c>
      <c r="E939" s="1">
        <v>42871</v>
      </c>
      <c r="F939" t="s">
        <v>177</v>
      </c>
      <c r="G939" t="s">
        <v>234</v>
      </c>
      <c r="H939">
        <v>-1</v>
      </c>
      <c r="I939" t="s">
        <v>37</v>
      </c>
      <c r="J939">
        <v>0</v>
      </c>
      <c r="M939" t="s">
        <v>1910</v>
      </c>
      <c r="N939" t="s">
        <v>909</v>
      </c>
      <c r="O939">
        <v>0</v>
      </c>
      <c r="P939">
        <v>0</v>
      </c>
      <c r="Q939" t="s">
        <v>381</v>
      </c>
    </row>
    <row r="940" spans="1:17" x14ac:dyDescent="0.15">
      <c r="A940" t="s">
        <v>134</v>
      </c>
      <c r="B940" t="s">
        <v>135</v>
      </c>
      <c r="C940">
        <v>163</v>
      </c>
      <c r="D940" t="s">
        <v>161</v>
      </c>
      <c r="E940" s="1">
        <v>42873</v>
      </c>
      <c r="F940" t="s">
        <v>177</v>
      </c>
      <c r="G940" t="s">
        <v>236</v>
      </c>
      <c r="H940">
        <v>-1</v>
      </c>
      <c r="I940" t="s">
        <v>37</v>
      </c>
      <c r="J940">
        <v>0</v>
      </c>
      <c r="M940" t="s">
        <v>241</v>
      </c>
      <c r="N940" t="s">
        <v>910</v>
      </c>
    </row>
    <row r="941" spans="1:17" x14ac:dyDescent="0.15">
      <c r="A941" t="s">
        <v>134</v>
      </c>
      <c r="B941" t="s">
        <v>135</v>
      </c>
      <c r="C941">
        <v>163</v>
      </c>
      <c r="D941" t="s">
        <v>161</v>
      </c>
      <c r="E941" s="1">
        <v>42873</v>
      </c>
      <c r="F941" t="s">
        <v>177</v>
      </c>
      <c r="G941" t="s">
        <v>236</v>
      </c>
      <c r="H941">
        <v>-1</v>
      </c>
      <c r="I941" t="s">
        <v>37</v>
      </c>
      <c r="J941">
        <v>0</v>
      </c>
      <c r="M941" t="s">
        <v>1910</v>
      </c>
      <c r="N941" t="s">
        <v>910</v>
      </c>
      <c r="O941">
        <v>0</v>
      </c>
      <c r="P941">
        <v>0</v>
      </c>
      <c r="Q941" t="s">
        <v>381</v>
      </c>
    </row>
    <row r="942" spans="1:17" x14ac:dyDescent="0.15">
      <c r="A942" t="s">
        <v>134</v>
      </c>
      <c r="B942" t="s">
        <v>135</v>
      </c>
      <c r="C942">
        <v>163</v>
      </c>
      <c r="D942" t="s">
        <v>161</v>
      </c>
      <c r="E942" s="1">
        <v>42914</v>
      </c>
      <c r="F942" t="s">
        <v>21</v>
      </c>
      <c r="G942" t="s">
        <v>187</v>
      </c>
      <c r="H942">
        <v>-4</v>
      </c>
      <c r="I942" t="s">
        <v>37</v>
      </c>
      <c r="J942">
        <v>0</v>
      </c>
      <c r="M942" t="s">
        <v>241</v>
      </c>
      <c r="N942" t="s">
        <v>930</v>
      </c>
    </row>
    <row r="943" spans="1:17" x14ac:dyDescent="0.15">
      <c r="A943" t="s">
        <v>134</v>
      </c>
      <c r="B943" t="s">
        <v>135</v>
      </c>
      <c r="C943">
        <v>163</v>
      </c>
      <c r="D943" t="s">
        <v>161</v>
      </c>
      <c r="E943" s="1">
        <v>42914</v>
      </c>
      <c r="F943" t="s">
        <v>21</v>
      </c>
      <c r="G943" t="s">
        <v>187</v>
      </c>
      <c r="H943">
        <v>-4</v>
      </c>
      <c r="I943" t="s">
        <v>37</v>
      </c>
      <c r="J943">
        <v>0</v>
      </c>
      <c r="M943" t="s">
        <v>1910</v>
      </c>
      <c r="N943" t="s">
        <v>930</v>
      </c>
      <c r="O943">
        <v>0</v>
      </c>
      <c r="P943">
        <v>0</v>
      </c>
      <c r="Q943" t="s">
        <v>381</v>
      </c>
    </row>
    <row r="944" spans="1:17" x14ac:dyDescent="0.15">
      <c r="A944" t="s">
        <v>134</v>
      </c>
      <c r="B944" t="s">
        <v>135</v>
      </c>
      <c r="C944">
        <v>163</v>
      </c>
      <c r="D944" t="s">
        <v>161</v>
      </c>
      <c r="E944" s="1">
        <v>42936</v>
      </c>
      <c r="F944" t="s">
        <v>177</v>
      </c>
      <c r="G944" t="s">
        <v>1776</v>
      </c>
      <c r="H944">
        <v>-1</v>
      </c>
      <c r="I944" t="s">
        <v>37</v>
      </c>
      <c r="J944">
        <v>0</v>
      </c>
      <c r="M944" t="s">
        <v>241</v>
      </c>
      <c r="N944" t="s">
        <v>1777</v>
      </c>
    </row>
    <row r="945" spans="1:17" x14ac:dyDescent="0.15">
      <c r="A945" t="s">
        <v>134</v>
      </c>
      <c r="B945" t="s">
        <v>135</v>
      </c>
      <c r="C945">
        <v>163</v>
      </c>
      <c r="D945" t="s">
        <v>161</v>
      </c>
      <c r="E945" s="1">
        <v>42936</v>
      </c>
      <c r="F945" t="s">
        <v>177</v>
      </c>
      <c r="G945" t="s">
        <v>1776</v>
      </c>
      <c r="H945">
        <v>-1</v>
      </c>
      <c r="I945" t="s">
        <v>37</v>
      </c>
      <c r="J945">
        <v>0</v>
      </c>
      <c r="M945" t="s">
        <v>1910</v>
      </c>
      <c r="N945" t="s">
        <v>1777</v>
      </c>
      <c r="O945">
        <v>0</v>
      </c>
      <c r="P945">
        <v>0</v>
      </c>
      <c r="Q945" t="s">
        <v>381</v>
      </c>
    </row>
    <row r="946" spans="1:17" x14ac:dyDescent="0.15">
      <c r="A946" t="s">
        <v>134</v>
      </c>
      <c r="B946" t="s">
        <v>135</v>
      </c>
      <c r="C946">
        <v>163</v>
      </c>
      <c r="D946" t="s">
        <v>161</v>
      </c>
      <c r="E946" s="1">
        <v>42937</v>
      </c>
      <c r="F946" t="s">
        <v>177</v>
      </c>
      <c r="G946" t="s">
        <v>1781</v>
      </c>
      <c r="H946">
        <v>-1</v>
      </c>
      <c r="I946" t="s">
        <v>37</v>
      </c>
      <c r="J946">
        <v>0</v>
      </c>
      <c r="M946" t="s">
        <v>241</v>
      </c>
      <c r="N946" t="s">
        <v>1782</v>
      </c>
    </row>
    <row r="947" spans="1:17" x14ac:dyDescent="0.15">
      <c r="A947" t="s">
        <v>134</v>
      </c>
      <c r="B947" t="s">
        <v>135</v>
      </c>
      <c r="C947">
        <v>163</v>
      </c>
      <c r="D947" t="s">
        <v>161</v>
      </c>
      <c r="E947" s="1">
        <v>42937</v>
      </c>
      <c r="F947" t="s">
        <v>177</v>
      </c>
      <c r="G947" t="s">
        <v>1781</v>
      </c>
      <c r="H947">
        <v>-1</v>
      </c>
      <c r="I947" t="s">
        <v>37</v>
      </c>
      <c r="J947">
        <v>0</v>
      </c>
      <c r="M947" t="s">
        <v>1910</v>
      </c>
      <c r="N947" t="s">
        <v>1782</v>
      </c>
      <c r="O947">
        <v>0</v>
      </c>
      <c r="P947">
        <v>0</v>
      </c>
      <c r="Q947" t="s">
        <v>381</v>
      </c>
    </row>
    <row r="948" spans="1:17" x14ac:dyDescent="0.15">
      <c r="A948" t="s">
        <v>134</v>
      </c>
      <c r="B948" t="s">
        <v>135</v>
      </c>
      <c r="C948">
        <v>163</v>
      </c>
      <c r="D948" t="s">
        <v>161</v>
      </c>
      <c r="E948" s="1">
        <v>42972</v>
      </c>
      <c r="F948" t="s">
        <v>17</v>
      </c>
      <c r="G948" t="s">
        <v>1567</v>
      </c>
      <c r="H948">
        <v>29</v>
      </c>
      <c r="I948" t="s">
        <v>37</v>
      </c>
      <c r="J948">
        <v>0</v>
      </c>
      <c r="M948" t="s">
        <v>241</v>
      </c>
      <c r="N948" t="s">
        <v>1568</v>
      </c>
    </row>
    <row r="949" spans="1:17" x14ac:dyDescent="0.15">
      <c r="A949" t="s">
        <v>134</v>
      </c>
      <c r="B949" t="s">
        <v>135</v>
      </c>
      <c r="C949">
        <v>163</v>
      </c>
      <c r="D949" t="s">
        <v>161</v>
      </c>
      <c r="E949" s="1">
        <v>42972</v>
      </c>
      <c r="F949" t="s">
        <v>17</v>
      </c>
      <c r="G949" t="s">
        <v>1567</v>
      </c>
      <c r="H949">
        <v>29</v>
      </c>
      <c r="I949" t="s">
        <v>37</v>
      </c>
      <c r="J949">
        <v>0</v>
      </c>
      <c r="M949" t="s">
        <v>1910</v>
      </c>
      <c r="N949" t="s">
        <v>1568</v>
      </c>
      <c r="O949">
        <v>0</v>
      </c>
      <c r="P949">
        <v>0</v>
      </c>
      <c r="Q949" t="s">
        <v>381</v>
      </c>
    </row>
    <row r="950" spans="1:17" x14ac:dyDescent="0.15">
      <c r="A950" t="s">
        <v>134</v>
      </c>
      <c r="B950" t="s">
        <v>135</v>
      </c>
      <c r="C950">
        <v>163</v>
      </c>
      <c r="D950" t="s">
        <v>161</v>
      </c>
      <c r="E950" s="1">
        <v>42991</v>
      </c>
      <c r="F950" t="s">
        <v>177</v>
      </c>
      <c r="G950" t="s">
        <v>1814</v>
      </c>
      <c r="H950">
        <v>-1</v>
      </c>
      <c r="I950" t="s">
        <v>37</v>
      </c>
      <c r="J950">
        <v>0</v>
      </c>
      <c r="M950" t="s">
        <v>241</v>
      </c>
      <c r="N950" t="s">
        <v>1815</v>
      </c>
    </row>
    <row r="951" spans="1:17" x14ac:dyDescent="0.15">
      <c r="A951" t="s">
        <v>134</v>
      </c>
      <c r="B951" t="s">
        <v>135</v>
      </c>
      <c r="C951">
        <v>163</v>
      </c>
      <c r="D951" t="s">
        <v>161</v>
      </c>
      <c r="E951" s="1">
        <v>42991</v>
      </c>
      <c r="F951" t="s">
        <v>177</v>
      </c>
      <c r="G951" t="s">
        <v>1814</v>
      </c>
      <c r="H951">
        <v>-1</v>
      </c>
      <c r="I951" t="s">
        <v>37</v>
      </c>
      <c r="J951">
        <v>0</v>
      </c>
      <c r="M951" t="s">
        <v>1910</v>
      </c>
      <c r="N951" t="s">
        <v>1815</v>
      </c>
      <c r="O951">
        <v>0</v>
      </c>
      <c r="P951">
        <v>0</v>
      </c>
      <c r="Q951" t="s">
        <v>381</v>
      </c>
    </row>
    <row r="952" spans="1:17" x14ac:dyDescent="0.15">
      <c r="A952" t="s">
        <v>134</v>
      </c>
      <c r="B952" t="s">
        <v>135</v>
      </c>
      <c r="C952">
        <v>163</v>
      </c>
      <c r="D952" t="s">
        <v>161</v>
      </c>
      <c r="E952" s="1">
        <v>43004</v>
      </c>
      <c r="F952" t="s">
        <v>21</v>
      </c>
      <c r="G952" t="s">
        <v>1881</v>
      </c>
      <c r="H952">
        <v>-4</v>
      </c>
      <c r="I952" t="s">
        <v>37</v>
      </c>
      <c r="J952">
        <v>0</v>
      </c>
      <c r="M952" t="s">
        <v>241</v>
      </c>
      <c r="N952" t="s">
        <v>1890</v>
      </c>
    </row>
    <row r="953" spans="1:17" x14ac:dyDescent="0.15">
      <c r="A953" t="s">
        <v>134</v>
      </c>
      <c r="B953" t="s">
        <v>135</v>
      </c>
      <c r="C953">
        <v>163</v>
      </c>
      <c r="D953" t="s">
        <v>161</v>
      </c>
      <c r="E953" s="1">
        <v>43004</v>
      </c>
      <c r="F953" t="s">
        <v>21</v>
      </c>
      <c r="G953" t="s">
        <v>1881</v>
      </c>
      <c r="H953">
        <v>-4</v>
      </c>
      <c r="I953" t="s">
        <v>37</v>
      </c>
      <c r="J953">
        <v>0</v>
      </c>
      <c r="M953" t="s">
        <v>1910</v>
      </c>
      <c r="N953" t="s">
        <v>1890</v>
      </c>
      <c r="O953">
        <v>0</v>
      </c>
      <c r="P953">
        <v>0</v>
      </c>
      <c r="Q953" t="s">
        <v>381</v>
      </c>
    </row>
    <row r="954" spans="1:17" x14ac:dyDescent="0.15">
      <c r="A954" t="s">
        <v>134</v>
      </c>
      <c r="B954" t="s">
        <v>135</v>
      </c>
      <c r="C954">
        <v>163</v>
      </c>
      <c r="D954" t="s">
        <v>161</v>
      </c>
      <c r="E954" s="1">
        <v>43089</v>
      </c>
      <c r="F954" t="s">
        <v>21</v>
      </c>
      <c r="G954" t="s">
        <v>1894</v>
      </c>
      <c r="H954">
        <v>-2</v>
      </c>
      <c r="I954" t="s">
        <v>37</v>
      </c>
      <c r="J954">
        <v>0</v>
      </c>
      <c r="M954" t="s">
        <v>241</v>
      </c>
      <c r="N954" t="s">
        <v>1899</v>
      </c>
    </row>
    <row r="955" spans="1:17" x14ac:dyDescent="0.15">
      <c r="A955" t="s">
        <v>134</v>
      </c>
      <c r="B955" t="s">
        <v>135</v>
      </c>
      <c r="C955">
        <v>163</v>
      </c>
      <c r="D955" t="s">
        <v>161</v>
      </c>
      <c r="E955" s="1">
        <v>43089</v>
      </c>
      <c r="F955" t="s">
        <v>21</v>
      </c>
      <c r="G955" t="s">
        <v>1894</v>
      </c>
      <c r="H955">
        <v>-2</v>
      </c>
      <c r="I955" t="s">
        <v>37</v>
      </c>
      <c r="J955">
        <v>0</v>
      </c>
      <c r="M955" t="s">
        <v>1910</v>
      </c>
      <c r="N955" t="s">
        <v>1899</v>
      </c>
      <c r="O955">
        <v>0</v>
      </c>
      <c r="P955">
        <v>0</v>
      </c>
      <c r="Q955" t="s">
        <v>381</v>
      </c>
    </row>
    <row r="956" spans="1:17" x14ac:dyDescent="0.15">
      <c r="A956" t="s">
        <v>79</v>
      </c>
      <c r="B956" t="s">
        <v>289</v>
      </c>
      <c r="C956">
        <v>163</v>
      </c>
      <c r="D956" t="s">
        <v>161</v>
      </c>
      <c r="E956" s="1">
        <v>42918</v>
      </c>
      <c r="F956" t="s">
        <v>186</v>
      </c>
      <c r="G956" t="s">
        <v>1760</v>
      </c>
      <c r="H956">
        <v>1</v>
      </c>
      <c r="I956" t="s">
        <v>37</v>
      </c>
      <c r="J956">
        <v>0</v>
      </c>
      <c r="M956" t="s">
        <v>241</v>
      </c>
      <c r="N956" t="s">
        <v>1840</v>
      </c>
    </row>
    <row r="957" spans="1:17" x14ac:dyDescent="0.15">
      <c r="A957" t="s">
        <v>79</v>
      </c>
      <c r="B957" t="s">
        <v>289</v>
      </c>
      <c r="C957">
        <v>163</v>
      </c>
      <c r="D957" t="s">
        <v>161</v>
      </c>
      <c r="E957" s="1">
        <v>42918</v>
      </c>
      <c r="F957" t="s">
        <v>186</v>
      </c>
      <c r="G957" t="s">
        <v>1760</v>
      </c>
      <c r="H957">
        <v>1</v>
      </c>
      <c r="I957" t="s">
        <v>37</v>
      </c>
      <c r="J957">
        <v>0</v>
      </c>
      <c r="M957" t="s">
        <v>1910</v>
      </c>
      <c r="N957" t="s">
        <v>1840</v>
      </c>
      <c r="O957">
        <v>0</v>
      </c>
      <c r="P957">
        <v>0</v>
      </c>
      <c r="Q957" t="s">
        <v>381</v>
      </c>
    </row>
    <row r="958" spans="1:17" x14ac:dyDescent="0.15">
      <c r="A958" t="s">
        <v>79</v>
      </c>
      <c r="B958" t="s">
        <v>289</v>
      </c>
      <c r="C958">
        <v>163</v>
      </c>
      <c r="D958" t="s">
        <v>161</v>
      </c>
      <c r="E958" s="1">
        <v>42926</v>
      </c>
      <c r="F958" t="s">
        <v>383</v>
      </c>
      <c r="G958" t="s">
        <v>1030</v>
      </c>
      <c r="H958">
        <v>-1</v>
      </c>
      <c r="I958" t="s">
        <v>37</v>
      </c>
      <c r="J958">
        <v>0</v>
      </c>
      <c r="M958" t="s">
        <v>241</v>
      </c>
      <c r="N958" t="s">
        <v>1032</v>
      </c>
    </row>
    <row r="959" spans="1:17" x14ac:dyDescent="0.15">
      <c r="A959" t="s">
        <v>79</v>
      </c>
      <c r="B959" t="s">
        <v>289</v>
      </c>
      <c r="C959">
        <v>163</v>
      </c>
      <c r="D959" t="s">
        <v>161</v>
      </c>
      <c r="E959" s="1">
        <v>42926</v>
      </c>
      <c r="F959" t="s">
        <v>383</v>
      </c>
      <c r="G959" t="s">
        <v>1030</v>
      </c>
      <c r="H959">
        <v>-1</v>
      </c>
      <c r="I959" t="s">
        <v>37</v>
      </c>
      <c r="J959">
        <v>0</v>
      </c>
      <c r="M959" t="s">
        <v>1910</v>
      </c>
      <c r="N959" t="s">
        <v>1032</v>
      </c>
      <c r="O959">
        <v>0</v>
      </c>
      <c r="P959">
        <v>0</v>
      </c>
      <c r="Q959" t="s">
        <v>381</v>
      </c>
    </row>
    <row r="960" spans="1:17" x14ac:dyDescent="0.15">
      <c r="A960" t="s">
        <v>79</v>
      </c>
      <c r="B960" t="s">
        <v>289</v>
      </c>
      <c r="C960">
        <v>163</v>
      </c>
      <c r="D960" t="s">
        <v>161</v>
      </c>
      <c r="E960" s="1">
        <v>42940</v>
      </c>
      <c r="F960" t="s">
        <v>186</v>
      </c>
      <c r="G960" t="s">
        <v>1796</v>
      </c>
      <c r="H960">
        <v>1</v>
      </c>
      <c r="I960" t="s">
        <v>37</v>
      </c>
      <c r="J960">
        <v>0</v>
      </c>
      <c r="M960" t="s">
        <v>241</v>
      </c>
      <c r="N960" t="s">
        <v>1859</v>
      </c>
    </row>
    <row r="961" spans="1:17" x14ac:dyDescent="0.15">
      <c r="A961" t="s">
        <v>79</v>
      </c>
      <c r="B961" t="s">
        <v>289</v>
      </c>
      <c r="C961">
        <v>163</v>
      </c>
      <c r="D961" t="s">
        <v>161</v>
      </c>
      <c r="E961" s="1">
        <v>42940</v>
      </c>
      <c r="F961" t="s">
        <v>186</v>
      </c>
      <c r="G961" t="s">
        <v>1796</v>
      </c>
      <c r="H961">
        <v>1</v>
      </c>
      <c r="I961" t="s">
        <v>37</v>
      </c>
      <c r="J961">
        <v>0</v>
      </c>
      <c r="M961" t="s">
        <v>1910</v>
      </c>
      <c r="N961" t="s">
        <v>1859</v>
      </c>
      <c r="O961">
        <v>0</v>
      </c>
      <c r="P961">
        <v>0</v>
      </c>
      <c r="Q961" t="s">
        <v>381</v>
      </c>
    </row>
    <row r="962" spans="1:17" x14ac:dyDescent="0.15">
      <c r="A962" t="s">
        <v>79</v>
      </c>
      <c r="B962" t="s">
        <v>289</v>
      </c>
      <c r="C962">
        <v>163</v>
      </c>
      <c r="D962" t="s">
        <v>161</v>
      </c>
      <c r="E962" s="1">
        <v>42942</v>
      </c>
      <c r="F962" t="s">
        <v>383</v>
      </c>
      <c r="G962" t="s">
        <v>1125</v>
      </c>
      <c r="H962">
        <v>-1</v>
      </c>
      <c r="I962" t="s">
        <v>37</v>
      </c>
      <c r="J962">
        <v>0</v>
      </c>
      <c r="M962" t="s">
        <v>241</v>
      </c>
      <c r="N962" t="s">
        <v>1127</v>
      </c>
    </row>
    <row r="963" spans="1:17" x14ac:dyDescent="0.15">
      <c r="A963" t="s">
        <v>79</v>
      </c>
      <c r="B963" t="s">
        <v>289</v>
      </c>
      <c r="C963">
        <v>163</v>
      </c>
      <c r="D963" t="s">
        <v>161</v>
      </c>
      <c r="E963" s="1">
        <v>42942</v>
      </c>
      <c r="F963" t="s">
        <v>383</v>
      </c>
      <c r="G963" t="s">
        <v>1125</v>
      </c>
      <c r="H963">
        <v>-1</v>
      </c>
      <c r="I963" t="s">
        <v>37</v>
      </c>
      <c r="J963">
        <v>0</v>
      </c>
      <c r="M963" t="s">
        <v>1910</v>
      </c>
      <c r="N963" t="s">
        <v>1127</v>
      </c>
      <c r="O963">
        <v>0</v>
      </c>
      <c r="P963">
        <v>0</v>
      </c>
      <c r="Q963" t="s">
        <v>381</v>
      </c>
    </row>
    <row r="964" spans="1:17" x14ac:dyDescent="0.15">
      <c r="A964" t="s">
        <v>79</v>
      </c>
      <c r="B964" t="s">
        <v>289</v>
      </c>
      <c r="C964">
        <v>163</v>
      </c>
      <c r="D964" t="s">
        <v>161</v>
      </c>
      <c r="E964" s="1">
        <v>42998</v>
      </c>
      <c r="F964" t="s">
        <v>186</v>
      </c>
      <c r="G964" t="s">
        <v>1824</v>
      </c>
      <c r="H964">
        <v>1</v>
      </c>
      <c r="I964" t="s">
        <v>37</v>
      </c>
      <c r="J964">
        <v>0</v>
      </c>
      <c r="M964" t="s">
        <v>241</v>
      </c>
      <c r="N964" t="s">
        <v>1875</v>
      </c>
    </row>
    <row r="965" spans="1:17" x14ac:dyDescent="0.15">
      <c r="A965" t="s">
        <v>79</v>
      </c>
      <c r="B965" t="s">
        <v>289</v>
      </c>
      <c r="C965">
        <v>163</v>
      </c>
      <c r="D965" t="s">
        <v>161</v>
      </c>
      <c r="E965" s="1">
        <v>42998</v>
      </c>
      <c r="F965" t="s">
        <v>186</v>
      </c>
      <c r="G965" t="s">
        <v>1824</v>
      </c>
      <c r="H965">
        <v>1</v>
      </c>
      <c r="I965" t="s">
        <v>37</v>
      </c>
      <c r="J965">
        <v>0</v>
      </c>
      <c r="M965" t="s">
        <v>1910</v>
      </c>
      <c r="N965" t="s">
        <v>1875</v>
      </c>
      <c r="O965">
        <v>0</v>
      </c>
      <c r="P965">
        <v>0</v>
      </c>
      <c r="Q965" t="s">
        <v>381</v>
      </c>
    </row>
    <row r="966" spans="1:17" x14ac:dyDescent="0.15">
      <c r="A966" t="s">
        <v>79</v>
      </c>
      <c r="B966" t="s">
        <v>289</v>
      </c>
      <c r="C966">
        <v>163</v>
      </c>
      <c r="D966" t="s">
        <v>161</v>
      </c>
      <c r="E966" s="1">
        <v>42999</v>
      </c>
      <c r="F966" t="s">
        <v>383</v>
      </c>
      <c r="G966" t="s">
        <v>1258</v>
      </c>
      <c r="H966">
        <v>-1</v>
      </c>
      <c r="I966" t="s">
        <v>37</v>
      </c>
      <c r="J966">
        <v>0</v>
      </c>
      <c r="M966" t="s">
        <v>241</v>
      </c>
      <c r="N966" t="s">
        <v>1260</v>
      </c>
    </row>
    <row r="967" spans="1:17" x14ac:dyDescent="0.15">
      <c r="A967" t="s">
        <v>79</v>
      </c>
      <c r="B967" t="s">
        <v>289</v>
      </c>
      <c r="C967">
        <v>163</v>
      </c>
      <c r="D967" t="s">
        <v>161</v>
      </c>
      <c r="E967" s="1">
        <v>42999</v>
      </c>
      <c r="F967" t="s">
        <v>383</v>
      </c>
      <c r="G967" t="s">
        <v>1258</v>
      </c>
      <c r="H967">
        <v>-1</v>
      </c>
      <c r="I967" t="s">
        <v>37</v>
      </c>
      <c r="J967">
        <v>0</v>
      </c>
      <c r="M967" t="s">
        <v>1910</v>
      </c>
      <c r="N967" t="s">
        <v>1260</v>
      </c>
      <c r="O967">
        <v>0</v>
      </c>
      <c r="P967">
        <v>0</v>
      </c>
      <c r="Q967" t="s">
        <v>381</v>
      </c>
    </row>
    <row r="968" spans="1:17" x14ac:dyDescent="0.15">
      <c r="A968" t="s">
        <v>79</v>
      </c>
      <c r="B968" t="s">
        <v>289</v>
      </c>
      <c r="C968">
        <v>163</v>
      </c>
      <c r="D968" t="s">
        <v>161</v>
      </c>
      <c r="E968" s="1">
        <v>42999</v>
      </c>
      <c r="F968" t="s">
        <v>383</v>
      </c>
      <c r="G968" t="s">
        <v>1258</v>
      </c>
      <c r="H968">
        <v>1</v>
      </c>
      <c r="I968" t="s">
        <v>37</v>
      </c>
      <c r="J968">
        <v>0</v>
      </c>
      <c r="M968" t="s">
        <v>241</v>
      </c>
      <c r="N968" t="s">
        <v>1260</v>
      </c>
    </row>
    <row r="969" spans="1:17" x14ac:dyDescent="0.15">
      <c r="A969" t="s">
        <v>79</v>
      </c>
      <c r="B969" t="s">
        <v>289</v>
      </c>
      <c r="C969">
        <v>163</v>
      </c>
      <c r="D969" t="s">
        <v>161</v>
      </c>
      <c r="E969" s="1">
        <v>42999</v>
      </c>
      <c r="F969" t="s">
        <v>383</v>
      </c>
      <c r="G969" t="s">
        <v>1258</v>
      </c>
      <c r="H969">
        <v>1</v>
      </c>
      <c r="I969" t="s">
        <v>37</v>
      </c>
      <c r="J969">
        <v>0</v>
      </c>
      <c r="M969" t="s">
        <v>1910</v>
      </c>
      <c r="N969" t="s">
        <v>1260</v>
      </c>
      <c r="O969">
        <v>0</v>
      </c>
      <c r="P969">
        <v>0</v>
      </c>
      <c r="Q969" t="s">
        <v>381</v>
      </c>
    </row>
    <row r="970" spans="1:17" x14ac:dyDescent="0.15">
      <c r="A970" t="s">
        <v>79</v>
      </c>
      <c r="B970" t="s">
        <v>289</v>
      </c>
      <c r="C970">
        <v>163</v>
      </c>
      <c r="D970" t="s">
        <v>161</v>
      </c>
      <c r="E970" s="1">
        <v>43031</v>
      </c>
      <c r="F970" t="s">
        <v>383</v>
      </c>
      <c r="G970" t="s">
        <v>1314</v>
      </c>
      <c r="H970">
        <v>-1</v>
      </c>
      <c r="I970" t="s">
        <v>37</v>
      </c>
      <c r="J970">
        <v>0</v>
      </c>
      <c r="M970" t="s">
        <v>241</v>
      </c>
      <c r="N970" t="s">
        <v>1316</v>
      </c>
    </row>
    <row r="971" spans="1:17" x14ac:dyDescent="0.15">
      <c r="A971" t="s">
        <v>79</v>
      </c>
      <c r="B971" t="s">
        <v>289</v>
      </c>
      <c r="C971">
        <v>163</v>
      </c>
      <c r="D971" t="s">
        <v>161</v>
      </c>
      <c r="E971" s="1">
        <v>43031</v>
      </c>
      <c r="F971" t="s">
        <v>383</v>
      </c>
      <c r="G971" t="s">
        <v>1314</v>
      </c>
      <c r="H971">
        <v>-1</v>
      </c>
      <c r="I971" t="s">
        <v>37</v>
      </c>
      <c r="J971">
        <v>0</v>
      </c>
      <c r="M971" t="s">
        <v>1910</v>
      </c>
      <c r="N971" t="s">
        <v>1316</v>
      </c>
      <c r="O971">
        <v>0</v>
      </c>
      <c r="P971">
        <v>0</v>
      </c>
      <c r="Q971" t="s">
        <v>381</v>
      </c>
    </row>
    <row r="972" spans="1:17" x14ac:dyDescent="0.15">
      <c r="A972" t="s">
        <v>79</v>
      </c>
      <c r="B972" t="s">
        <v>289</v>
      </c>
      <c r="C972">
        <v>163</v>
      </c>
      <c r="D972" t="s">
        <v>161</v>
      </c>
      <c r="E972" s="1">
        <v>43042</v>
      </c>
      <c r="F972" t="s">
        <v>186</v>
      </c>
      <c r="G972" t="s">
        <v>1827</v>
      </c>
      <c r="H972">
        <v>1</v>
      </c>
      <c r="I972" t="s">
        <v>37</v>
      </c>
      <c r="J972">
        <v>0</v>
      </c>
      <c r="M972" t="s">
        <v>241</v>
      </c>
      <c r="N972" t="s">
        <v>1876</v>
      </c>
    </row>
    <row r="973" spans="1:17" x14ac:dyDescent="0.15">
      <c r="A973" t="s">
        <v>79</v>
      </c>
      <c r="B973" t="s">
        <v>289</v>
      </c>
      <c r="C973">
        <v>163</v>
      </c>
      <c r="D973" t="s">
        <v>161</v>
      </c>
      <c r="E973" s="1">
        <v>43042</v>
      </c>
      <c r="F973" t="s">
        <v>186</v>
      </c>
      <c r="G973" t="s">
        <v>1827</v>
      </c>
      <c r="H973">
        <v>1</v>
      </c>
      <c r="I973" t="s">
        <v>37</v>
      </c>
      <c r="J973">
        <v>0</v>
      </c>
      <c r="M973" t="s">
        <v>1910</v>
      </c>
      <c r="N973" t="s">
        <v>1876</v>
      </c>
      <c r="O973">
        <v>0</v>
      </c>
      <c r="P973">
        <v>0</v>
      </c>
      <c r="Q973" t="s">
        <v>381</v>
      </c>
    </row>
    <row r="974" spans="1:17" x14ac:dyDescent="0.15">
      <c r="A974" t="s">
        <v>79</v>
      </c>
      <c r="B974" t="s">
        <v>289</v>
      </c>
      <c r="C974">
        <v>163</v>
      </c>
      <c r="D974" t="s">
        <v>161</v>
      </c>
      <c r="E974" s="1">
        <v>43047</v>
      </c>
      <c r="F974" t="s">
        <v>383</v>
      </c>
      <c r="G974" t="s">
        <v>1341</v>
      </c>
      <c r="H974">
        <v>-1</v>
      </c>
      <c r="I974" t="s">
        <v>37</v>
      </c>
      <c r="J974">
        <v>0</v>
      </c>
      <c r="M974" t="s">
        <v>241</v>
      </c>
      <c r="N974" t="s">
        <v>1343</v>
      </c>
    </row>
    <row r="975" spans="1:17" x14ac:dyDescent="0.15">
      <c r="A975" t="s">
        <v>79</v>
      </c>
      <c r="B975" t="s">
        <v>289</v>
      </c>
      <c r="C975">
        <v>163</v>
      </c>
      <c r="D975" t="s">
        <v>161</v>
      </c>
      <c r="E975" s="1">
        <v>43047</v>
      </c>
      <c r="F975" t="s">
        <v>383</v>
      </c>
      <c r="G975" t="s">
        <v>1341</v>
      </c>
      <c r="H975">
        <v>-1</v>
      </c>
      <c r="I975" t="s">
        <v>37</v>
      </c>
      <c r="J975">
        <v>0</v>
      </c>
      <c r="M975" t="s">
        <v>1910</v>
      </c>
      <c r="N975" t="s">
        <v>1343</v>
      </c>
      <c r="O975">
        <v>0</v>
      </c>
      <c r="P975">
        <v>0</v>
      </c>
      <c r="Q975" t="s">
        <v>381</v>
      </c>
    </row>
    <row r="976" spans="1:17" x14ac:dyDescent="0.15">
      <c r="A976" t="s">
        <v>79</v>
      </c>
      <c r="B976" t="s">
        <v>289</v>
      </c>
      <c r="C976">
        <v>163</v>
      </c>
      <c r="D976" t="s">
        <v>161</v>
      </c>
      <c r="E976" s="1">
        <v>43062</v>
      </c>
      <c r="F976" t="s">
        <v>186</v>
      </c>
      <c r="G976" t="s">
        <v>1830</v>
      </c>
      <c r="H976">
        <v>1</v>
      </c>
      <c r="I976" t="s">
        <v>37</v>
      </c>
      <c r="J976">
        <v>0</v>
      </c>
      <c r="M976" t="s">
        <v>241</v>
      </c>
      <c r="N976" t="s">
        <v>1877</v>
      </c>
    </row>
    <row r="977" spans="1:17" x14ac:dyDescent="0.15">
      <c r="A977" t="s">
        <v>79</v>
      </c>
      <c r="B977" t="s">
        <v>289</v>
      </c>
      <c r="C977">
        <v>163</v>
      </c>
      <c r="D977" t="s">
        <v>161</v>
      </c>
      <c r="E977" s="1">
        <v>43062</v>
      </c>
      <c r="F977" t="s">
        <v>186</v>
      </c>
      <c r="G977" t="s">
        <v>1830</v>
      </c>
      <c r="H977">
        <v>1</v>
      </c>
      <c r="I977" t="s">
        <v>37</v>
      </c>
      <c r="J977">
        <v>0</v>
      </c>
      <c r="M977" t="s">
        <v>1910</v>
      </c>
      <c r="N977" t="s">
        <v>1877</v>
      </c>
      <c r="O977">
        <v>0</v>
      </c>
      <c r="P977">
        <v>0</v>
      </c>
      <c r="Q977" t="s">
        <v>381</v>
      </c>
    </row>
    <row r="978" spans="1:17" x14ac:dyDescent="0.15">
      <c r="A978" t="s">
        <v>79</v>
      </c>
      <c r="B978" t="s">
        <v>289</v>
      </c>
      <c r="C978">
        <v>163</v>
      </c>
      <c r="D978" t="s">
        <v>161</v>
      </c>
      <c r="E978" s="1">
        <v>43067</v>
      </c>
      <c r="F978" t="s">
        <v>383</v>
      </c>
      <c r="G978" t="s">
        <v>1403</v>
      </c>
      <c r="H978">
        <v>-1</v>
      </c>
      <c r="I978" t="s">
        <v>37</v>
      </c>
      <c r="J978">
        <v>0</v>
      </c>
      <c r="M978" t="s">
        <v>241</v>
      </c>
      <c r="N978" t="s">
        <v>1405</v>
      </c>
    </row>
    <row r="979" spans="1:17" x14ac:dyDescent="0.15">
      <c r="A979" t="s">
        <v>79</v>
      </c>
      <c r="B979" t="s">
        <v>289</v>
      </c>
      <c r="C979">
        <v>163</v>
      </c>
      <c r="D979" t="s">
        <v>161</v>
      </c>
      <c r="E979" s="1">
        <v>43067</v>
      </c>
      <c r="F979" t="s">
        <v>383</v>
      </c>
      <c r="G979" t="s">
        <v>1403</v>
      </c>
      <c r="H979">
        <v>-1</v>
      </c>
      <c r="I979" t="s">
        <v>37</v>
      </c>
      <c r="J979">
        <v>0</v>
      </c>
      <c r="M979" t="s">
        <v>1910</v>
      </c>
      <c r="N979" t="s">
        <v>1405</v>
      </c>
      <c r="O979">
        <v>0</v>
      </c>
      <c r="P979">
        <v>0</v>
      </c>
      <c r="Q979" t="s">
        <v>381</v>
      </c>
    </row>
    <row r="980" spans="1:17" x14ac:dyDescent="0.15">
      <c r="A980" t="s">
        <v>79</v>
      </c>
      <c r="B980" t="s">
        <v>289</v>
      </c>
      <c r="C980">
        <v>163</v>
      </c>
      <c r="D980" t="s">
        <v>161</v>
      </c>
      <c r="E980" s="1">
        <v>43080</v>
      </c>
      <c r="F980" t="s">
        <v>186</v>
      </c>
      <c r="G980" t="s">
        <v>1835</v>
      </c>
      <c r="H980">
        <v>1</v>
      </c>
      <c r="I980" t="s">
        <v>37</v>
      </c>
      <c r="J980">
        <v>0</v>
      </c>
      <c r="M980" t="s">
        <v>241</v>
      </c>
      <c r="N980" t="s">
        <v>1879</v>
      </c>
    </row>
    <row r="981" spans="1:17" x14ac:dyDescent="0.15">
      <c r="A981" t="s">
        <v>79</v>
      </c>
      <c r="B981" t="s">
        <v>289</v>
      </c>
      <c r="C981">
        <v>163</v>
      </c>
      <c r="D981" t="s">
        <v>161</v>
      </c>
      <c r="E981" s="1">
        <v>43080</v>
      </c>
      <c r="F981" t="s">
        <v>186</v>
      </c>
      <c r="G981" t="s">
        <v>1835</v>
      </c>
      <c r="H981">
        <v>1</v>
      </c>
      <c r="I981" t="s">
        <v>37</v>
      </c>
      <c r="J981">
        <v>0</v>
      </c>
      <c r="M981" t="s">
        <v>1910</v>
      </c>
      <c r="N981" t="s">
        <v>1879</v>
      </c>
      <c r="O981">
        <v>0</v>
      </c>
      <c r="P981">
        <v>0</v>
      </c>
      <c r="Q981" t="s">
        <v>381</v>
      </c>
    </row>
    <row r="982" spans="1:17" x14ac:dyDescent="0.15">
      <c r="A982" t="s">
        <v>79</v>
      </c>
      <c r="B982" t="s">
        <v>289</v>
      </c>
      <c r="C982">
        <v>163</v>
      </c>
      <c r="D982" t="s">
        <v>161</v>
      </c>
      <c r="E982" s="1">
        <v>43088</v>
      </c>
      <c r="F982" t="s">
        <v>383</v>
      </c>
      <c r="G982" t="s">
        <v>1462</v>
      </c>
      <c r="H982">
        <v>-1</v>
      </c>
      <c r="I982" t="s">
        <v>37</v>
      </c>
      <c r="J982">
        <v>0</v>
      </c>
      <c r="M982" t="s">
        <v>241</v>
      </c>
      <c r="N982" t="s">
        <v>1465</v>
      </c>
    </row>
    <row r="983" spans="1:17" x14ac:dyDescent="0.15">
      <c r="A983" t="s">
        <v>79</v>
      </c>
      <c r="B983" t="s">
        <v>289</v>
      </c>
      <c r="C983">
        <v>163</v>
      </c>
      <c r="D983" t="s">
        <v>161</v>
      </c>
      <c r="E983" s="1">
        <v>43088</v>
      </c>
      <c r="F983" t="s">
        <v>383</v>
      </c>
      <c r="G983" t="s">
        <v>1462</v>
      </c>
      <c r="H983">
        <v>-1</v>
      </c>
      <c r="I983" t="s">
        <v>37</v>
      </c>
      <c r="J983">
        <v>0</v>
      </c>
      <c r="M983" t="s">
        <v>1910</v>
      </c>
      <c r="N983" t="s">
        <v>1465</v>
      </c>
      <c r="O983">
        <v>0</v>
      </c>
      <c r="P983">
        <v>0</v>
      </c>
      <c r="Q983" t="s">
        <v>381</v>
      </c>
    </row>
    <row r="984" spans="1:17" x14ac:dyDescent="0.15">
      <c r="A984" t="s">
        <v>79</v>
      </c>
      <c r="B984" t="s">
        <v>289</v>
      </c>
      <c r="C984">
        <v>163</v>
      </c>
      <c r="D984" t="s">
        <v>161</v>
      </c>
      <c r="E984" s="1">
        <v>43088</v>
      </c>
      <c r="F984" t="s">
        <v>383</v>
      </c>
      <c r="G984" t="s">
        <v>1462</v>
      </c>
      <c r="H984">
        <v>1</v>
      </c>
      <c r="I984" t="s">
        <v>37</v>
      </c>
      <c r="J984">
        <v>0</v>
      </c>
      <c r="M984" t="s">
        <v>241</v>
      </c>
      <c r="N984" t="s">
        <v>1465</v>
      </c>
    </row>
    <row r="985" spans="1:17" x14ac:dyDescent="0.15">
      <c r="A985" t="s">
        <v>79</v>
      </c>
      <c r="B985" t="s">
        <v>289</v>
      </c>
      <c r="C985">
        <v>163</v>
      </c>
      <c r="D985" t="s">
        <v>161</v>
      </c>
      <c r="E985" s="1">
        <v>43088</v>
      </c>
      <c r="F985" t="s">
        <v>383</v>
      </c>
      <c r="G985" t="s">
        <v>1462</v>
      </c>
      <c r="H985">
        <v>1</v>
      </c>
      <c r="I985" t="s">
        <v>37</v>
      </c>
      <c r="J985">
        <v>0</v>
      </c>
      <c r="M985" t="s">
        <v>1910</v>
      </c>
      <c r="N985" t="s">
        <v>1465</v>
      </c>
      <c r="O985">
        <v>0</v>
      </c>
      <c r="P985">
        <v>0</v>
      </c>
      <c r="Q985" t="s">
        <v>381</v>
      </c>
    </row>
    <row r="986" spans="1:17" ht="54" x14ac:dyDescent="0.15">
      <c r="A986" t="s">
        <v>181</v>
      </c>
      <c r="B986" s="15" t="s">
        <v>182</v>
      </c>
      <c r="C986">
        <v>163</v>
      </c>
      <c r="D986" t="s">
        <v>161</v>
      </c>
      <c r="E986" s="1">
        <v>42831</v>
      </c>
      <c r="F986" t="s">
        <v>177</v>
      </c>
      <c r="G986" t="s">
        <v>222</v>
      </c>
      <c r="H986">
        <v>-17.78</v>
      </c>
      <c r="I986" t="s">
        <v>120</v>
      </c>
      <c r="J986">
        <v>0</v>
      </c>
      <c r="K986">
        <v>0</v>
      </c>
      <c r="M986" t="s">
        <v>241</v>
      </c>
      <c r="N986" t="s">
        <v>223</v>
      </c>
    </row>
    <row r="987" spans="1:17" ht="54" x14ac:dyDescent="0.15">
      <c r="A987" t="s">
        <v>181</v>
      </c>
      <c r="B987" s="15" t="s">
        <v>182</v>
      </c>
      <c r="C987">
        <v>163</v>
      </c>
      <c r="D987" t="s">
        <v>161</v>
      </c>
      <c r="E987" s="1">
        <v>42831</v>
      </c>
      <c r="F987" t="s">
        <v>177</v>
      </c>
      <c r="G987" t="s">
        <v>222</v>
      </c>
      <c r="H987">
        <v>-17.78</v>
      </c>
      <c r="I987" t="s">
        <v>120</v>
      </c>
      <c r="J987">
        <v>0</v>
      </c>
      <c r="K987">
        <v>0</v>
      </c>
      <c r="M987" t="s">
        <v>1910</v>
      </c>
      <c r="N987" t="s">
        <v>223</v>
      </c>
      <c r="O987">
        <v>0</v>
      </c>
      <c r="P987">
        <v>0</v>
      </c>
      <c r="Q987" t="s">
        <v>381</v>
      </c>
    </row>
    <row r="988" spans="1:17" ht="54" x14ac:dyDescent="0.15">
      <c r="A988" t="s">
        <v>181</v>
      </c>
      <c r="B988" s="15" t="s">
        <v>182</v>
      </c>
      <c r="C988">
        <v>163</v>
      </c>
      <c r="D988" t="s">
        <v>161</v>
      </c>
      <c r="E988" s="1">
        <v>42831</v>
      </c>
      <c r="F988" t="s">
        <v>177</v>
      </c>
      <c r="G988" t="s">
        <v>224</v>
      </c>
      <c r="H988">
        <v>-13.33</v>
      </c>
      <c r="I988" t="s">
        <v>120</v>
      </c>
      <c r="J988">
        <v>0</v>
      </c>
      <c r="K988">
        <v>0</v>
      </c>
      <c r="M988" t="s">
        <v>241</v>
      </c>
      <c r="N988" t="s">
        <v>225</v>
      </c>
    </row>
    <row r="989" spans="1:17" ht="54" x14ac:dyDescent="0.15">
      <c r="A989" t="s">
        <v>181</v>
      </c>
      <c r="B989" s="15" t="s">
        <v>182</v>
      </c>
      <c r="C989">
        <v>163</v>
      </c>
      <c r="D989" t="s">
        <v>161</v>
      </c>
      <c r="E989" s="1">
        <v>42831</v>
      </c>
      <c r="F989" t="s">
        <v>177</v>
      </c>
      <c r="G989" t="s">
        <v>224</v>
      </c>
      <c r="H989">
        <v>-13.33</v>
      </c>
      <c r="I989" t="s">
        <v>120</v>
      </c>
      <c r="J989">
        <v>0</v>
      </c>
      <c r="K989">
        <v>0</v>
      </c>
      <c r="M989" t="s">
        <v>1910</v>
      </c>
      <c r="N989" t="s">
        <v>225</v>
      </c>
      <c r="O989">
        <v>0</v>
      </c>
      <c r="P989">
        <v>0</v>
      </c>
      <c r="Q989" t="s">
        <v>381</v>
      </c>
    </row>
    <row r="990" spans="1:17" ht="54" x14ac:dyDescent="0.15">
      <c r="A990" t="s">
        <v>181</v>
      </c>
      <c r="B990" s="15" t="s">
        <v>182</v>
      </c>
      <c r="C990">
        <v>163</v>
      </c>
      <c r="D990" t="s">
        <v>161</v>
      </c>
      <c r="E990" s="1">
        <v>42836</v>
      </c>
      <c r="F990" t="s">
        <v>177</v>
      </c>
      <c r="G990" t="s">
        <v>226</v>
      </c>
      <c r="H990">
        <v>-17.78</v>
      </c>
      <c r="I990" t="s">
        <v>120</v>
      </c>
      <c r="J990">
        <v>0</v>
      </c>
      <c r="K990">
        <v>0</v>
      </c>
      <c r="M990" t="s">
        <v>241</v>
      </c>
      <c r="N990" t="s">
        <v>227</v>
      </c>
    </row>
    <row r="991" spans="1:17" ht="54" x14ac:dyDescent="0.15">
      <c r="A991" t="s">
        <v>181</v>
      </c>
      <c r="B991" s="15" t="s">
        <v>182</v>
      </c>
      <c r="C991">
        <v>163</v>
      </c>
      <c r="D991" t="s">
        <v>161</v>
      </c>
      <c r="E991" s="1">
        <v>42836</v>
      </c>
      <c r="F991" t="s">
        <v>177</v>
      </c>
      <c r="G991" t="s">
        <v>226</v>
      </c>
      <c r="H991">
        <v>-17.78</v>
      </c>
      <c r="I991" t="s">
        <v>120</v>
      </c>
      <c r="J991">
        <v>0</v>
      </c>
      <c r="K991">
        <v>0</v>
      </c>
      <c r="M991" t="s">
        <v>1910</v>
      </c>
      <c r="N991" t="s">
        <v>227</v>
      </c>
      <c r="O991">
        <v>0</v>
      </c>
      <c r="P991">
        <v>0</v>
      </c>
      <c r="Q991" t="s">
        <v>381</v>
      </c>
    </row>
    <row r="992" spans="1:17" ht="54" x14ac:dyDescent="0.15">
      <c r="A992" t="s">
        <v>181</v>
      </c>
      <c r="B992" s="15" t="s">
        <v>182</v>
      </c>
      <c r="C992">
        <v>163</v>
      </c>
      <c r="D992" t="s">
        <v>161</v>
      </c>
      <c r="E992" s="1">
        <v>42843</v>
      </c>
      <c r="F992" t="s">
        <v>17</v>
      </c>
      <c r="G992" t="s">
        <v>216</v>
      </c>
      <c r="H992">
        <v>40</v>
      </c>
      <c r="I992" t="s">
        <v>120</v>
      </c>
      <c r="J992">
        <v>0</v>
      </c>
      <c r="K992">
        <v>0</v>
      </c>
      <c r="M992" t="s">
        <v>241</v>
      </c>
      <c r="N992" t="s">
        <v>217</v>
      </c>
    </row>
    <row r="993" spans="1:17" ht="54" x14ac:dyDescent="0.15">
      <c r="A993" t="s">
        <v>181</v>
      </c>
      <c r="B993" s="15" t="s">
        <v>182</v>
      </c>
      <c r="C993">
        <v>163</v>
      </c>
      <c r="D993" t="s">
        <v>161</v>
      </c>
      <c r="E993" s="1">
        <v>42843</v>
      </c>
      <c r="F993" t="s">
        <v>17</v>
      </c>
      <c r="G993" t="s">
        <v>216</v>
      </c>
      <c r="H993">
        <v>40</v>
      </c>
      <c r="I993" t="s">
        <v>120</v>
      </c>
      <c r="J993">
        <v>0</v>
      </c>
      <c r="K993">
        <v>0</v>
      </c>
      <c r="M993" t="s">
        <v>1910</v>
      </c>
      <c r="N993" t="s">
        <v>217</v>
      </c>
      <c r="O993">
        <v>0</v>
      </c>
      <c r="P993">
        <v>0</v>
      </c>
      <c r="Q993" t="s">
        <v>381</v>
      </c>
    </row>
    <row r="994" spans="1:17" ht="54" x14ac:dyDescent="0.15">
      <c r="A994" t="s">
        <v>181</v>
      </c>
      <c r="B994" s="15" t="s">
        <v>182</v>
      </c>
      <c r="C994">
        <v>163</v>
      </c>
      <c r="D994" t="s">
        <v>161</v>
      </c>
      <c r="E994" s="1">
        <v>42844</v>
      </c>
      <c r="F994" t="s">
        <v>177</v>
      </c>
      <c r="G994" t="s">
        <v>228</v>
      </c>
      <c r="H994">
        <v>-8.89</v>
      </c>
      <c r="I994" t="s">
        <v>120</v>
      </c>
      <c r="J994">
        <v>0</v>
      </c>
      <c r="M994" t="s">
        <v>241</v>
      </c>
      <c r="N994" t="s">
        <v>229</v>
      </c>
    </row>
    <row r="995" spans="1:17" ht="54" x14ac:dyDescent="0.15">
      <c r="A995" t="s">
        <v>181</v>
      </c>
      <c r="B995" s="15" t="s">
        <v>182</v>
      </c>
      <c r="C995">
        <v>163</v>
      </c>
      <c r="D995" t="s">
        <v>161</v>
      </c>
      <c r="E995" s="1">
        <v>42844</v>
      </c>
      <c r="F995" t="s">
        <v>177</v>
      </c>
      <c r="G995" t="s">
        <v>228</v>
      </c>
      <c r="H995">
        <v>-8.89</v>
      </c>
      <c r="I995" t="s">
        <v>120</v>
      </c>
      <c r="J995">
        <v>0</v>
      </c>
      <c r="M995" t="s">
        <v>1910</v>
      </c>
      <c r="N995" t="s">
        <v>229</v>
      </c>
      <c r="O995">
        <v>0</v>
      </c>
      <c r="P995">
        <v>0</v>
      </c>
      <c r="Q995" t="s">
        <v>381</v>
      </c>
    </row>
    <row r="996" spans="1:17" ht="54" x14ac:dyDescent="0.15">
      <c r="A996" t="s">
        <v>181</v>
      </c>
      <c r="B996" s="15" t="s">
        <v>182</v>
      </c>
      <c r="C996">
        <v>163</v>
      </c>
      <c r="D996" t="s">
        <v>161</v>
      </c>
      <c r="E996" s="1">
        <v>42857</v>
      </c>
      <c r="F996" t="s">
        <v>17</v>
      </c>
      <c r="G996" t="s">
        <v>220</v>
      </c>
      <c r="H996">
        <v>40</v>
      </c>
      <c r="I996" t="s">
        <v>120</v>
      </c>
      <c r="J996">
        <v>0</v>
      </c>
      <c r="M996" t="s">
        <v>241</v>
      </c>
      <c r="N996" t="s">
        <v>221</v>
      </c>
    </row>
    <row r="997" spans="1:17" ht="54" x14ac:dyDescent="0.15">
      <c r="A997" t="s">
        <v>181</v>
      </c>
      <c r="B997" s="15" t="s">
        <v>182</v>
      </c>
      <c r="C997">
        <v>163</v>
      </c>
      <c r="D997" t="s">
        <v>161</v>
      </c>
      <c r="E997" s="1">
        <v>42857</v>
      </c>
      <c r="F997" t="s">
        <v>17</v>
      </c>
      <c r="G997" t="s">
        <v>220</v>
      </c>
      <c r="H997">
        <v>40</v>
      </c>
      <c r="I997" t="s">
        <v>120</v>
      </c>
      <c r="J997">
        <v>0</v>
      </c>
      <c r="M997" t="s">
        <v>1910</v>
      </c>
      <c r="N997" t="s">
        <v>221</v>
      </c>
      <c r="O997">
        <v>0</v>
      </c>
      <c r="P997">
        <v>0</v>
      </c>
      <c r="Q997" t="s">
        <v>381</v>
      </c>
    </row>
    <row r="998" spans="1:17" ht="54" x14ac:dyDescent="0.15">
      <c r="A998" t="s">
        <v>181</v>
      </c>
      <c r="B998" s="15" t="s">
        <v>182</v>
      </c>
      <c r="C998">
        <v>163</v>
      </c>
      <c r="D998" t="s">
        <v>161</v>
      </c>
      <c r="E998" s="1">
        <v>42860</v>
      </c>
      <c r="F998" t="s">
        <v>177</v>
      </c>
      <c r="G998" t="s">
        <v>230</v>
      </c>
      <c r="H998">
        <v>-17.78</v>
      </c>
      <c r="I998" t="s">
        <v>120</v>
      </c>
      <c r="J998">
        <v>0</v>
      </c>
      <c r="M998" t="s">
        <v>241</v>
      </c>
      <c r="N998" t="s">
        <v>231</v>
      </c>
    </row>
    <row r="999" spans="1:17" ht="54" x14ac:dyDescent="0.15">
      <c r="A999" t="s">
        <v>181</v>
      </c>
      <c r="B999" s="15" t="s">
        <v>182</v>
      </c>
      <c r="C999">
        <v>163</v>
      </c>
      <c r="D999" t="s">
        <v>161</v>
      </c>
      <c r="E999" s="1">
        <v>42860</v>
      </c>
      <c r="F999" t="s">
        <v>177</v>
      </c>
      <c r="G999" t="s">
        <v>230</v>
      </c>
      <c r="H999">
        <v>-17.78</v>
      </c>
      <c r="I999" t="s">
        <v>120</v>
      </c>
      <c r="J999">
        <v>0</v>
      </c>
      <c r="M999" t="s">
        <v>1910</v>
      </c>
      <c r="N999" t="s">
        <v>231</v>
      </c>
      <c r="O999">
        <v>0</v>
      </c>
      <c r="P999">
        <v>0</v>
      </c>
      <c r="Q999" t="s">
        <v>381</v>
      </c>
    </row>
    <row r="1000" spans="1:17" ht="54" x14ac:dyDescent="0.15">
      <c r="A1000" t="s">
        <v>181</v>
      </c>
      <c r="B1000" s="15" t="s">
        <v>182</v>
      </c>
      <c r="C1000">
        <v>163</v>
      </c>
      <c r="D1000" t="s">
        <v>161</v>
      </c>
      <c r="E1000" s="1">
        <v>42867</v>
      </c>
      <c r="F1000" t="s">
        <v>177</v>
      </c>
      <c r="G1000" t="s">
        <v>232</v>
      </c>
      <c r="H1000">
        <v>-8.89</v>
      </c>
      <c r="I1000" t="s">
        <v>120</v>
      </c>
      <c r="J1000">
        <v>0</v>
      </c>
      <c r="M1000" t="s">
        <v>241</v>
      </c>
      <c r="N1000" t="s">
        <v>233</v>
      </c>
    </row>
    <row r="1001" spans="1:17" ht="54" x14ac:dyDescent="0.15">
      <c r="A1001" t="s">
        <v>181</v>
      </c>
      <c r="B1001" s="15" t="s">
        <v>182</v>
      </c>
      <c r="C1001">
        <v>163</v>
      </c>
      <c r="D1001" t="s">
        <v>161</v>
      </c>
      <c r="E1001" s="1">
        <v>42867</v>
      </c>
      <c r="F1001" t="s">
        <v>177</v>
      </c>
      <c r="G1001" t="s">
        <v>232</v>
      </c>
      <c r="H1001">
        <v>-8.89</v>
      </c>
      <c r="I1001" t="s">
        <v>120</v>
      </c>
      <c r="J1001">
        <v>0</v>
      </c>
      <c r="M1001" t="s">
        <v>1910</v>
      </c>
      <c r="N1001" t="s">
        <v>233</v>
      </c>
      <c r="O1001">
        <v>0</v>
      </c>
      <c r="P1001">
        <v>0</v>
      </c>
      <c r="Q1001" t="s">
        <v>381</v>
      </c>
    </row>
    <row r="1002" spans="1:17" ht="54" x14ac:dyDescent="0.15">
      <c r="A1002" t="s">
        <v>181</v>
      </c>
      <c r="B1002" s="15" t="s">
        <v>182</v>
      </c>
      <c r="C1002">
        <v>163</v>
      </c>
      <c r="D1002" t="s">
        <v>161</v>
      </c>
      <c r="E1002" s="1">
        <v>42871</v>
      </c>
      <c r="F1002" t="s">
        <v>177</v>
      </c>
      <c r="G1002" t="s">
        <v>234</v>
      </c>
      <c r="H1002">
        <v>-8.89</v>
      </c>
      <c r="I1002" t="s">
        <v>120</v>
      </c>
      <c r="J1002">
        <v>0</v>
      </c>
      <c r="M1002" t="s">
        <v>241</v>
      </c>
      <c r="N1002" t="s">
        <v>235</v>
      </c>
    </row>
    <row r="1003" spans="1:17" ht="54" x14ac:dyDescent="0.15">
      <c r="A1003" t="s">
        <v>181</v>
      </c>
      <c r="B1003" s="15" t="s">
        <v>182</v>
      </c>
      <c r="C1003">
        <v>163</v>
      </c>
      <c r="D1003" t="s">
        <v>161</v>
      </c>
      <c r="E1003" s="1">
        <v>42871</v>
      </c>
      <c r="F1003" t="s">
        <v>177</v>
      </c>
      <c r="G1003" t="s">
        <v>234</v>
      </c>
      <c r="H1003">
        <v>-8.89</v>
      </c>
      <c r="I1003" t="s">
        <v>120</v>
      </c>
      <c r="J1003">
        <v>0</v>
      </c>
      <c r="M1003" t="s">
        <v>1910</v>
      </c>
      <c r="N1003" t="s">
        <v>235</v>
      </c>
      <c r="O1003">
        <v>0</v>
      </c>
      <c r="P1003">
        <v>0</v>
      </c>
      <c r="Q1003" t="s">
        <v>381</v>
      </c>
    </row>
    <row r="1004" spans="1:17" ht="54" x14ac:dyDescent="0.15">
      <c r="A1004" t="s">
        <v>181</v>
      </c>
      <c r="B1004" s="15" t="s">
        <v>182</v>
      </c>
      <c r="C1004">
        <v>163</v>
      </c>
      <c r="D1004" t="s">
        <v>161</v>
      </c>
      <c r="E1004" s="1">
        <v>42873</v>
      </c>
      <c r="F1004" t="s">
        <v>177</v>
      </c>
      <c r="G1004" t="s">
        <v>236</v>
      </c>
      <c r="H1004">
        <v>-8.89</v>
      </c>
      <c r="I1004" t="s">
        <v>120</v>
      </c>
      <c r="J1004">
        <v>0</v>
      </c>
      <c r="M1004" t="s">
        <v>241</v>
      </c>
      <c r="N1004" t="s">
        <v>237</v>
      </c>
    </row>
    <row r="1005" spans="1:17" ht="54" x14ac:dyDescent="0.15">
      <c r="A1005" t="s">
        <v>181</v>
      </c>
      <c r="B1005" s="15" t="s">
        <v>182</v>
      </c>
      <c r="C1005">
        <v>163</v>
      </c>
      <c r="D1005" t="s">
        <v>161</v>
      </c>
      <c r="E1005" s="1">
        <v>42873</v>
      </c>
      <c r="F1005" t="s">
        <v>177</v>
      </c>
      <c r="G1005" t="s">
        <v>236</v>
      </c>
      <c r="H1005">
        <v>-8.89</v>
      </c>
      <c r="I1005" t="s">
        <v>120</v>
      </c>
      <c r="J1005">
        <v>0</v>
      </c>
      <c r="M1005" t="s">
        <v>1910</v>
      </c>
      <c r="N1005" t="s">
        <v>237</v>
      </c>
      <c r="O1005">
        <v>0</v>
      </c>
      <c r="P1005">
        <v>0</v>
      </c>
      <c r="Q1005" t="s">
        <v>381</v>
      </c>
    </row>
    <row r="1006" spans="1:17" ht="54" x14ac:dyDescent="0.15">
      <c r="A1006" t="s">
        <v>181</v>
      </c>
      <c r="B1006" s="15" t="s">
        <v>182</v>
      </c>
      <c r="C1006">
        <v>163</v>
      </c>
      <c r="D1006" t="s">
        <v>161</v>
      </c>
      <c r="E1006" s="1">
        <v>42895</v>
      </c>
      <c r="F1006" t="s">
        <v>177</v>
      </c>
      <c r="G1006" t="s">
        <v>178</v>
      </c>
      <c r="H1006">
        <v>-4.4399999999999995</v>
      </c>
      <c r="I1006" t="s">
        <v>120</v>
      </c>
      <c r="J1006">
        <v>0</v>
      </c>
      <c r="M1006" t="s">
        <v>241</v>
      </c>
      <c r="N1006" t="s">
        <v>183</v>
      </c>
    </row>
    <row r="1007" spans="1:17" ht="54" x14ac:dyDescent="0.15">
      <c r="A1007" t="s">
        <v>181</v>
      </c>
      <c r="B1007" s="15" t="s">
        <v>182</v>
      </c>
      <c r="C1007">
        <v>163</v>
      </c>
      <c r="D1007" t="s">
        <v>161</v>
      </c>
      <c r="E1007" s="1">
        <v>42895</v>
      </c>
      <c r="F1007" t="s">
        <v>177</v>
      </c>
      <c r="G1007" t="s">
        <v>178</v>
      </c>
      <c r="H1007">
        <v>-4.4399999999999995</v>
      </c>
      <c r="I1007" t="s">
        <v>120</v>
      </c>
      <c r="J1007">
        <v>0</v>
      </c>
      <c r="M1007" t="s">
        <v>1910</v>
      </c>
      <c r="N1007" t="s">
        <v>183</v>
      </c>
      <c r="O1007">
        <v>0</v>
      </c>
      <c r="P1007">
        <v>0</v>
      </c>
      <c r="Q1007" t="s">
        <v>381</v>
      </c>
    </row>
    <row r="1008" spans="1:17" ht="54" x14ac:dyDescent="0.15">
      <c r="A1008" t="s">
        <v>181</v>
      </c>
      <c r="B1008" s="15" t="s">
        <v>182</v>
      </c>
      <c r="C1008">
        <v>163</v>
      </c>
      <c r="D1008" t="s">
        <v>161</v>
      </c>
      <c r="E1008" s="1">
        <v>42913</v>
      </c>
      <c r="F1008" t="s">
        <v>177</v>
      </c>
      <c r="G1008" t="s">
        <v>184</v>
      </c>
      <c r="H1008">
        <v>-4.4399999999999995</v>
      </c>
      <c r="I1008" t="s">
        <v>120</v>
      </c>
      <c r="J1008">
        <v>0</v>
      </c>
      <c r="M1008" t="s">
        <v>241</v>
      </c>
      <c r="N1008" t="s">
        <v>185</v>
      </c>
    </row>
    <row r="1009" spans="1:17" ht="54" x14ac:dyDescent="0.15">
      <c r="A1009" t="s">
        <v>181</v>
      </c>
      <c r="B1009" s="15" t="s">
        <v>182</v>
      </c>
      <c r="C1009">
        <v>163</v>
      </c>
      <c r="D1009" t="s">
        <v>161</v>
      </c>
      <c r="E1009" s="1">
        <v>42913</v>
      </c>
      <c r="F1009" t="s">
        <v>177</v>
      </c>
      <c r="G1009" t="s">
        <v>184</v>
      </c>
      <c r="H1009">
        <v>-4.4399999999999995</v>
      </c>
      <c r="I1009" t="s">
        <v>120</v>
      </c>
      <c r="J1009">
        <v>0</v>
      </c>
      <c r="M1009" t="s">
        <v>1910</v>
      </c>
      <c r="N1009" t="s">
        <v>185</v>
      </c>
      <c r="O1009">
        <v>0</v>
      </c>
      <c r="P1009">
        <v>0</v>
      </c>
      <c r="Q1009" t="s">
        <v>381</v>
      </c>
    </row>
    <row r="1010" spans="1:17" ht="54" x14ac:dyDescent="0.15">
      <c r="A1010" t="s">
        <v>181</v>
      </c>
      <c r="B1010" s="15" t="s">
        <v>182</v>
      </c>
      <c r="C1010">
        <v>163</v>
      </c>
      <c r="D1010" t="s">
        <v>161</v>
      </c>
      <c r="E1010" s="1">
        <v>42918</v>
      </c>
      <c r="F1010" t="s">
        <v>177</v>
      </c>
      <c r="G1010" t="s">
        <v>1760</v>
      </c>
      <c r="H1010">
        <v>-1.78</v>
      </c>
      <c r="I1010" t="s">
        <v>120</v>
      </c>
      <c r="J1010">
        <v>0</v>
      </c>
      <c r="M1010" t="s">
        <v>241</v>
      </c>
      <c r="N1010" t="s">
        <v>1762</v>
      </c>
    </row>
    <row r="1011" spans="1:17" ht="54" x14ac:dyDescent="0.15">
      <c r="A1011" t="s">
        <v>181</v>
      </c>
      <c r="B1011" s="15" t="s">
        <v>182</v>
      </c>
      <c r="C1011">
        <v>163</v>
      </c>
      <c r="D1011" t="s">
        <v>161</v>
      </c>
      <c r="E1011" s="1">
        <v>42918</v>
      </c>
      <c r="F1011" t="s">
        <v>177</v>
      </c>
      <c r="G1011" t="s">
        <v>1760</v>
      </c>
      <c r="H1011">
        <v>-1.78</v>
      </c>
      <c r="I1011" t="s">
        <v>120</v>
      </c>
      <c r="J1011">
        <v>0</v>
      </c>
      <c r="M1011" t="s">
        <v>1910</v>
      </c>
      <c r="N1011" t="s">
        <v>1762</v>
      </c>
      <c r="O1011">
        <v>0</v>
      </c>
      <c r="P1011">
        <v>0</v>
      </c>
      <c r="Q1011" t="s">
        <v>381</v>
      </c>
    </row>
    <row r="1012" spans="1:17" ht="54" x14ac:dyDescent="0.15">
      <c r="A1012" t="s">
        <v>181</v>
      </c>
      <c r="B1012" s="15" t="s">
        <v>182</v>
      </c>
      <c r="C1012">
        <v>163</v>
      </c>
      <c r="D1012" t="s">
        <v>161</v>
      </c>
      <c r="E1012" s="1">
        <v>42922</v>
      </c>
      <c r="F1012" t="s">
        <v>177</v>
      </c>
      <c r="G1012" t="s">
        <v>1763</v>
      </c>
      <c r="H1012">
        <v>-4.4399999999999995</v>
      </c>
      <c r="I1012" t="s">
        <v>120</v>
      </c>
      <c r="J1012">
        <v>0</v>
      </c>
      <c r="M1012" t="s">
        <v>241</v>
      </c>
      <c r="N1012" t="s">
        <v>1765</v>
      </c>
    </row>
    <row r="1013" spans="1:17" ht="54" x14ac:dyDescent="0.15">
      <c r="A1013" t="s">
        <v>181</v>
      </c>
      <c r="B1013" s="15" t="s">
        <v>182</v>
      </c>
      <c r="C1013">
        <v>163</v>
      </c>
      <c r="D1013" t="s">
        <v>161</v>
      </c>
      <c r="E1013" s="1">
        <v>42922</v>
      </c>
      <c r="F1013" t="s">
        <v>177</v>
      </c>
      <c r="G1013" t="s">
        <v>1763</v>
      </c>
      <c r="H1013">
        <v>-4.4399999999999995</v>
      </c>
      <c r="I1013" t="s">
        <v>120</v>
      </c>
      <c r="J1013">
        <v>0</v>
      </c>
      <c r="M1013" t="s">
        <v>1910</v>
      </c>
      <c r="N1013" t="s">
        <v>1765</v>
      </c>
      <c r="O1013">
        <v>0</v>
      </c>
      <c r="P1013">
        <v>0</v>
      </c>
      <c r="Q1013" t="s">
        <v>381</v>
      </c>
    </row>
    <row r="1014" spans="1:17" ht="54" x14ac:dyDescent="0.15">
      <c r="A1014" t="s">
        <v>181</v>
      </c>
      <c r="B1014" s="15" t="s">
        <v>182</v>
      </c>
      <c r="C1014">
        <v>163</v>
      </c>
      <c r="D1014" t="s">
        <v>161</v>
      </c>
      <c r="E1014" s="1">
        <v>42934</v>
      </c>
      <c r="F1014" t="s">
        <v>177</v>
      </c>
      <c r="G1014" t="s">
        <v>1770</v>
      </c>
      <c r="H1014">
        <v>-4.4399999999999995</v>
      </c>
      <c r="I1014" t="s">
        <v>120</v>
      </c>
      <c r="J1014">
        <v>0</v>
      </c>
      <c r="M1014" t="s">
        <v>241</v>
      </c>
      <c r="N1014" t="s">
        <v>1772</v>
      </c>
    </row>
    <row r="1015" spans="1:17" ht="54" x14ac:dyDescent="0.15">
      <c r="A1015" t="s">
        <v>181</v>
      </c>
      <c r="B1015" s="15" t="s">
        <v>182</v>
      </c>
      <c r="C1015">
        <v>163</v>
      </c>
      <c r="D1015" t="s">
        <v>161</v>
      </c>
      <c r="E1015" s="1">
        <v>42934</v>
      </c>
      <c r="F1015" t="s">
        <v>177</v>
      </c>
      <c r="G1015" t="s">
        <v>1770</v>
      </c>
      <c r="H1015">
        <v>-4.4399999999999995</v>
      </c>
      <c r="I1015" t="s">
        <v>120</v>
      </c>
      <c r="J1015">
        <v>0</v>
      </c>
      <c r="M1015" t="s">
        <v>1910</v>
      </c>
      <c r="N1015" t="s">
        <v>1772</v>
      </c>
      <c r="O1015">
        <v>0</v>
      </c>
      <c r="P1015">
        <v>0</v>
      </c>
      <c r="Q1015" t="s">
        <v>381</v>
      </c>
    </row>
    <row r="1016" spans="1:17" ht="54" x14ac:dyDescent="0.15">
      <c r="A1016" t="s">
        <v>181</v>
      </c>
      <c r="B1016" s="15" t="s">
        <v>182</v>
      </c>
      <c r="C1016">
        <v>163</v>
      </c>
      <c r="D1016" t="s">
        <v>161</v>
      </c>
      <c r="E1016" s="1">
        <v>42936</v>
      </c>
      <c r="F1016" t="s">
        <v>177</v>
      </c>
      <c r="G1016" t="s">
        <v>1776</v>
      </c>
      <c r="H1016">
        <v>-8.89</v>
      </c>
      <c r="I1016" t="s">
        <v>120</v>
      </c>
      <c r="J1016">
        <v>0</v>
      </c>
      <c r="M1016" t="s">
        <v>241</v>
      </c>
      <c r="N1016" t="s">
        <v>1778</v>
      </c>
    </row>
    <row r="1017" spans="1:17" ht="54" x14ac:dyDescent="0.15">
      <c r="A1017" t="s">
        <v>181</v>
      </c>
      <c r="B1017" s="15" t="s">
        <v>182</v>
      </c>
      <c r="C1017">
        <v>163</v>
      </c>
      <c r="D1017" t="s">
        <v>161</v>
      </c>
      <c r="E1017" s="1">
        <v>42936</v>
      </c>
      <c r="F1017" t="s">
        <v>177</v>
      </c>
      <c r="G1017" t="s">
        <v>1776</v>
      </c>
      <c r="H1017">
        <v>-8.89</v>
      </c>
      <c r="I1017" t="s">
        <v>120</v>
      </c>
      <c r="J1017">
        <v>0</v>
      </c>
      <c r="M1017" t="s">
        <v>1910</v>
      </c>
      <c r="N1017" t="s">
        <v>1778</v>
      </c>
      <c r="O1017">
        <v>0</v>
      </c>
      <c r="P1017">
        <v>0</v>
      </c>
      <c r="Q1017" t="s">
        <v>381</v>
      </c>
    </row>
    <row r="1018" spans="1:17" ht="54" x14ac:dyDescent="0.15">
      <c r="A1018" t="s">
        <v>181</v>
      </c>
      <c r="B1018" s="15" t="s">
        <v>182</v>
      </c>
      <c r="C1018">
        <v>163</v>
      </c>
      <c r="D1018" t="s">
        <v>161</v>
      </c>
      <c r="E1018" s="1">
        <v>42937</v>
      </c>
      <c r="F1018" t="s">
        <v>177</v>
      </c>
      <c r="G1018" t="s">
        <v>1781</v>
      </c>
      <c r="H1018">
        <v>-8.89</v>
      </c>
      <c r="I1018" t="s">
        <v>120</v>
      </c>
      <c r="J1018">
        <v>0</v>
      </c>
      <c r="M1018" t="s">
        <v>241</v>
      </c>
      <c r="N1018" t="s">
        <v>1783</v>
      </c>
    </row>
    <row r="1019" spans="1:17" ht="54" x14ac:dyDescent="0.15">
      <c r="A1019" t="s">
        <v>181</v>
      </c>
      <c r="B1019" s="15" t="s">
        <v>182</v>
      </c>
      <c r="C1019">
        <v>163</v>
      </c>
      <c r="D1019" t="s">
        <v>161</v>
      </c>
      <c r="E1019" s="1">
        <v>42937</v>
      </c>
      <c r="F1019" t="s">
        <v>177</v>
      </c>
      <c r="G1019" t="s">
        <v>1781</v>
      </c>
      <c r="H1019">
        <v>-8.89</v>
      </c>
      <c r="I1019" t="s">
        <v>120</v>
      </c>
      <c r="J1019">
        <v>0</v>
      </c>
      <c r="M1019" t="s">
        <v>1910</v>
      </c>
      <c r="N1019" t="s">
        <v>1783</v>
      </c>
      <c r="O1019">
        <v>0</v>
      </c>
      <c r="P1019">
        <v>0</v>
      </c>
      <c r="Q1019" t="s">
        <v>381</v>
      </c>
    </row>
    <row r="1020" spans="1:17" ht="54" x14ac:dyDescent="0.15">
      <c r="A1020" t="s">
        <v>181</v>
      </c>
      <c r="B1020" s="15" t="s">
        <v>182</v>
      </c>
      <c r="C1020">
        <v>163</v>
      </c>
      <c r="D1020" t="s">
        <v>161</v>
      </c>
      <c r="E1020" s="1">
        <v>42940</v>
      </c>
      <c r="F1020" t="s">
        <v>177</v>
      </c>
      <c r="G1020" t="s">
        <v>1796</v>
      </c>
      <c r="H1020">
        <v>-1.78</v>
      </c>
      <c r="I1020" t="s">
        <v>120</v>
      </c>
      <c r="J1020">
        <v>0</v>
      </c>
      <c r="M1020" t="s">
        <v>241</v>
      </c>
      <c r="N1020" t="s">
        <v>1798</v>
      </c>
    </row>
    <row r="1021" spans="1:17" ht="54" x14ac:dyDescent="0.15">
      <c r="A1021" t="s">
        <v>181</v>
      </c>
      <c r="B1021" s="15" t="s">
        <v>182</v>
      </c>
      <c r="C1021">
        <v>163</v>
      </c>
      <c r="D1021" t="s">
        <v>161</v>
      </c>
      <c r="E1021" s="1">
        <v>42940</v>
      </c>
      <c r="F1021" t="s">
        <v>177</v>
      </c>
      <c r="G1021" t="s">
        <v>1796</v>
      </c>
      <c r="H1021">
        <v>-1.78</v>
      </c>
      <c r="I1021" t="s">
        <v>120</v>
      </c>
      <c r="J1021">
        <v>0</v>
      </c>
      <c r="M1021" t="s">
        <v>1910</v>
      </c>
      <c r="N1021" t="s">
        <v>1798</v>
      </c>
      <c r="O1021">
        <v>0</v>
      </c>
      <c r="P1021">
        <v>0</v>
      </c>
      <c r="Q1021" t="s">
        <v>381</v>
      </c>
    </row>
    <row r="1022" spans="1:17" ht="54" x14ac:dyDescent="0.15">
      <c r="A1022" t="s">
        <v>181</v>
      </c>
      <c r="B1022" s="15" t="s">
        <v>182</v>
      </c>
      <c r="C1022">
        <v>163</v>
      </c>
      <c r="D1022" t="s">
        <v>161</v>
      </c>
      <c r="E1022" s="1">
        <v>42942</v>
      </c>
      <c r="F1022" t="s">
        <v>17</v>
      </c>
      <c r="G1022" t="s">
        <v>1514</v>
      </c>
      <c r="H1022">
        <v>40</v>
      </c>
      <c r="I1022" t="s">
        <v>120</v>
      </c>
      <c r="J1022">
        <v>0</v>
      </c>
      <c r="M1022" t="s">
        <v>241</v>
      </c>
      <c r="N1022" t="s">
        <v>1515</v>
      </c>
    </row>
    <row r="1023" spans="1:17" ht="54" x14ac:dyDescent="0.15">
      <c r="A1023" t="s">
        <v>181</v>
      </c>
      <c r="B1023" s="15" t="s">
        <v>182</v>
      </c>
      <c r="C1023">
        <v>163</v>
      </c>
      <c r="D1023" t="s">
        <v>161</v>
      </c>
      <c r="E1023" s="1">
        <v>42942</v>
      </c>
      <c r="F1023" t="s">
        <v>17</v>
      </c>
      <c r="G1023" t="s">
        <v>1514</v>
      </c>
      <c r="H1023">
        <v>40</v>
      </c>
      <c r="I1023" t="s">
        <v>120</v>
      </c>
      <c r="J1023">
        <v>0</v>
      </c>
      <c r="M1023" t="s">
        <v>1910</v>
      </c>
      <c r="N1023" t="s">
        <v>1515</v>
      </c>
      <c r="O1023">
        <v>0</v>
      </c>
      <c r="P1023">
        <v>0</v>
      </c>
      <c r="Q1023" t="s">
        <v>381</v>
      </c>
    </row>
    <row r="1024" spans="1:17" ht="54" x14ac:dyDescent="0.15">
      <c r="A1024" t="s">
        <v>181</v>
      </c>
      <c r="B1024" s="15" t="s">
        <v>182</v>
      </c>
      <c r="C1024">
        <v>163</v>
      </c>
      <c r="D1024" t="s">
        <v>161</v>
      </c>
      <c r="E1024" s="1">
        <v>42991</v>
      </c>
      <c r="F1024" t="s">
        <v>177</v>
      </c>
      <c r="G1024" t="s">
        <v>1814</v>
      </c>
      <c r="H1024">
        <v>-8.89</v>
      </c>
      <c r="I1024" t="s">
        <v>120</v>
      </c>
      <c r="J1024">
        <v>0</v>
      </c>
      <c r="M1024" t="s">
        <v>241</v>
      </c>
      <c r="N1024" t="s">
        <v>1816</v>
      </c>
    </row>
    <row r="1025" spans="1:17" ht="54" x14ac:dyDescent="0.15">
      <c r="A1025" t="s">
        <v>181</v>
      </c>
      <c r="B1025" s="15" t="s">
        <v>182</v>
      </c>
      <c r="C1025">
        <v>163</v>
      </c>
      <c r="D1025" t="s">
        <v>161</v>
      </c>
      <c r="E1025" s="1">
        <v>42991</v>
      </c>
      <c r="F1025" t="s">
        <v>177</v>
      </c>
      <c r="G1025" t="s">
        <v>1814</v>
      </c>
      <c r="H1025">
        <v>-8.89</v>
      </c>
      <c r="I1025" t="s">
        <v>120</v>
      </c>
      <c r="J1025">
        <v>0</v>
      </c>
      <c r="M1025" t="s">
        <v>1910</v>
      </c>
      <c r="N1025" t="s">
        <v>1816</v>
      </c>
      <c r="O1025">
        <v>0</v>
      </c>
      <c r="P1025">
        <v>0</v>
      </c>
      <c r="Q1025" t="s">
        <v>381</v>
      </c>
    </row>
    <row r="1026" spans="1:17" ht="54" x14ac:dyDescent="0.15">
      <c r="A1026" t="s">
        <v>181</v>
      </c>
      <c r="B1026" s="15" t="s">
        <v>182</v>
      </c>
      <c r="C1026">
        <v>163</v>
      </c>
      <c r="D1026" t="s">
        <v>161</v>
      </c>
      <c r="E1026" s="1">
        <v>42991</v>
      </c>
      <c r="F1026" t="s">
        <v>177</v>
      </c>
      <c r="G1026" t="s">
        <v>1817</v>
      </c>
      <c r="H1026">
        <v>-4.4399999999999995</v>
      </c>
      <c r="I1026" t="s">
        <v>120</v>
      </c>
      <c r="J1026">
        <v>0</v>
      </c>
      <c r="M1026" t="s">
        <v>241</v>
      </c>
      <c r="N1026" t="s">
        <v>1819</v>
      </c>
    </row>
    <row r="1027" spans="1:17" ht="54" x14ac:dyDescent="0.15">
      <c r="A1027" t="s">
        <v>181</v>
      </c>
      <c r="B1027" s="15" t="s">
        <v>182</v>
      </c>
      <c r="C1027">
        <v>163</v>
      </c>
      <c r="D1027" t="s">
        <v>161</v>
      </c>
      <c r="E1027" s="1">
        <v>42991</v>
      </c>
      <c r="F1027" t="s">
        <v>177</v>
      </c>
      <c r="G1027" t="s">
        <v>1817</v>
      </c>
      <c r="H1027">
        <v>-4.4399999999999995</v>
      </c>
      <c r="I1027" t="s">
        <v>120</v>
      </c>
      <c r="J1027">
        <v>0</v>
      </c>
      <c r="M1027" t="s">
        <v>1910</v>
      </c>
      <c r="N1027" t="s">
        <v>1819</v>
      </c>
      <c r="O1027">
        <v>0</v>
      </c>
      <c r="P1027">
        <v>0</v>
      </c>
      <c r="Q1027" t="s">
        <v>381</v>
      </c>
    </row>
    <row r="1028" spans="1:17" ht="54" x14ac:dyDescent="0.15">
      <c r="A1028" t="s">
        <v>181</v>
      </c>
      <c r="B1028" s="15" t="s">
        <v>182</v>
      </c>
      <c r="C1028">
        <v>163</v>
      </c>
      <c r="D1028" t="s">
        <v>161</v>
      </c>
      <c r="E1028" s="1">
        <v>42998</v>
      </c>
      <c r="F1028" t="s">
        <v>177</v>
      </c>
      <c r="G1028" t="s">
        <v>1824</v>
      </c>
      <c r="H1028">
        <v>-1.78</v>
      </c>
      <c r="I1028" t="s">
        <v>120</v>
      </c>
      <c r="J1028">
        <v>0</v>
      </c>
      <c r="M1028" t="s">
        <v>241</v>
      </c>
      <c r="N1028" t="s">
        <v>1826</v>
      </c>
    </row>
    <row r="1029" spans="1:17" ht="54" x14ac:dyDescent="0.15">
      <c r="A1029" t="s">
        <v>181</v>
      </c>
      <c r="B1029" s="15" t="s">
        <v>182</v>
      </c>
      <c r="C1029">
        <v>163</v>
      </c>
      <c r="D1029" t="s">
        <v>161</v>
      </c>
      <c r="E1029" s="1">
        <v>42998</v>
      </c>
      <c r="F1029" t="s">
        <v>177</v>
      </c>
      <c r="G1029" t="s">
        <v>1824</v>
      </c>
      <c r="H1029">
        <v>-1.78</v>
      </c>
      <c r="I1029" t="s">
        <v>120</v>
      </c>
      <c r="J1029">
        <v>0</v>
      </c>
      <c r="M1029" t="s">
        <v>1910</v>
      </c>
      <c r="N1029" t="s">
        <v>1826</v>
      </c>
      <c r="O1029">
        <v>0</v>
      </c>
      <c r="P1029">
        <v>0</v>
      </c>
      <c r="Q1029" t="s">
        <v>381</v>
      </c>
    </row>
    <row r="1030" spans="1:17" ht="54" x14ac:dyDescent="0.15">
      <c r="A1030" t="s">
        <v>181</v>
      </c>
      <c r="B1030" s="15" t="s">
        <v>182</v>
      </c>
      <c r="C1030">
        <v>163</v>
      </c>
      <c r="D1030" t="s">
        <v>161</v>
      </c>
      <c r="E1030" s="1">
        <v>43017</v>
      </c>
      <c r="F1030" t="s">
        <v>17</v>
      </c>
      <c r="G1030" t="s">
        <v>1613</v>
      </c>
      <c r="H1030">
        <v>20</v>
      </c>
      <c r="I1030" t="s">
        <v>120</v>
      </c>
      <c r="J1030">
        <v>0</v>
      </c>
      <c r="M1030" t="s">
        <v>241</v>
      </c>
      <c r="N1030" t="s">
        <v>1614</v>
      </c>
    </row>
    <row r="1031" spans="1:17" ht="54" x14ac:dyDescent="0.15">
      <c r="A1031" t="s">
        <v>181</v>
      </c>
      <c r="B1031" s="15" t="s">
        <v>182</v>
      </c>
      <c r="C1031">
        <v>163</v>
      </c>
      <c r="D1031" t="s">
        <v>161</v>
      </c>
      <c r="E1031" s="1">
        <v>43017</v>
      </c>
      <c r="F1031" t="s">
        <v>17</v>
      </c>
      <c r="G1031" t="s">
        <v>1613</v>
      </c>
      <c r="H1031">
        <v>20</v>
      </c>
      <c r="I1031" t="s">
        <v>120</v>
      </c>
      <c r="J1031">
        <v>0</v>
      </c>
      <c r="M1031" t="s">
        <v>1910</v>
      </c>
      <c r="N1031" t="s">
        <v>1614</v>
      </c>
      <c r="O1031">
        <v>0</v>
      </c>
      <c r="P1031">
        <v>0</v>
      </c>
      <c r="Q1031" t="s">
        <v>381</v>
      </c>
    </row>
    <row r="1032" spans="1:17" ht="54" x14ac:dyDescent="0.15">
      <c r="A1032" t="s">
        <v>181</v>
      </c>
      <c r="B1032" s="15" t="s">
        <v>182</v>
      </c>
      <c r="C1032">
        <v>163</v>
      </c>
      <c r="D1032" t="s">
        <v>161</v>
      </c>
      <c r="E1032" s="1">
        <v>43042</v>
      </c>
      <c r="F1032" t="s">
        <v>177</v>
      </c>
      <c r="G1032" t="s">
        <v>1827</v>
      </c>
      <c r="H1032">
        <v>-1.78</v>
      </c>
      <c r="I1032" t="s">
        <v>120</v>
      </c>
      <c r="J1032">
        <v>0</v>
      </c>
      <c r="M1032" t="s">
        <v>241</v>
      </c>
      <c r="N1032" t="s">
        <v>1829</v>
      </c>
    </row>
    <row r="1033" spans="1:17" ht="54" x14ac:dyDescent="0.15">
      <c r="A1033" t="s">
        <v>181</v>
      </c>
      <c r="B1033" s="15" t="s">
        <v>182</v>
      </c>
      <c r="C1033">
        <v>163</v>
      </c>
      <c r="D1033" t="s">
        <v>161</v>
      </c>
      <c r="E1033" s="1">
        <v>43042</v>
      </c>
      <c r="F1033" t="s">
        <v>177</v>
      </c>
      <c r="G1033" t="s">
        <v>1827</v>
      </c>
      <c r="H1033">
        <v>-1.78</v>
      </c>
      <c r="I1033" t="s">
        <v>120</v>
      </c>
      <c r="J1033">
        <v>0</v>
      </c>
      <c r="M1033" t="s">
        <v>1910</v>
      </c>
      <c r="N1033" t="s">
        <v>1829</v>
      </c>
      <c r="O1033">
        <v>0</v>
      </c>
      <c r="P1033">
        <v>0</v>
      </c>
      <c r="Q1033" t="s">
        <v>381</v>
      </c>
    </row>
    <row r="1034" spans="1:17" ht="54" x14ac:dyDescent="0.15">
      <c r="A1034" t="s">
        <v>181</v>
      </c>
      <c r="B1034" s="15" t="s">
        <v>182</v>
      </c>
      <c r="C1034">
        <v>163</v>
      </c>
      <c r="D1034" t="s">
        <v>161</v>
      </c>
      <c r="E1034" s="1">
        <v>43062</v>
      </c>
      <c r="F1034" t="s">
        <v>177</v>
      </c>
      <c r="G1034" t="s">
        <v>1830</v>
      </c>
      <c r="H1034">
        <v>-1.78</v>
      </c>
      <c r="I1034" t="s">
        <v>120</v>
      </c>
      <c r="J1034">
        <v>0</v>
      </c>
      <c r="M1034" t="s">
        <v>241</v>
      </c>
      <c r="N1034" t="s">
        <v>1832</v>
      </c>
    </row>
    <row r="1035" spans="1:17" ht="54" x14ac:dyDescent="0.15">
      <c r="A1035" t="s">
        <v>181</v>
      </c>
      <c r="B1035" s="15" t="s">
        <v>182</v>
      </c>
      <c r="C1035">
        <v>163</v>
      </c>
      <c r="D1035" t="s">
        <v>161</v>
      </c>
      <c r="E1035" s="1">
        <v>43062</v>
      </c>
      <c r="F1035" t="s">
        <v>177</v>
      </c>
      <c r="G1035" t="s">
        <v>1830</v>
      </c>
      <c r="H1035">
        <v>-1.78</v>
      </c>
      <c r="I1035" t="s">
        <v>120</v>
      </c>
      <c r="J1035">
        <v>0</v>
      </c>
      <c r="M1035" t="s">
        <v>1910</v>
      </c>
      <c r="N1035" t="s">
        <v>1832</v>
      </c>
      <c r="O1035">
        <v>0</v>
      </c>
      <c r="P1035">
        <v>0</v>
      </c>
      <c r="Q1035" t="s">
        <v>381</v>
      </c>
    </row>
    <row r="1036" spans="1:17" ht="54" x14ac:dyDescent="0.15">
      <c r="A1036" t="s">
        <v>181</v>
      </c>
      <c r="B1036" s="15" t="s">
        <v>182</v>
      </c>
      <c r="C1036">
        <v>163</v>
      </c>
      <c r="D1036" t="s">
        <v>161</v>
      </c>
      <c r="E1036" s="1">
        <v>43080</v>
      </c>
      <c r="F1036" t="s">
        <v>177</v>
      </c>
      <c r="G1036" t="s">
        <v>1835</v>
      </c>
      <c r="H1036">
        <v>-1.78</v>
      </c>
      <c r="I1036" t="s">
        <v>120</v>
      </c>
      <c r="J1036">
        <v>0</v>
      </c>
      <c r="M1036" t="s">
        <v>241</v>
      </c>
      <c r="N1036" t="s">
        <v>1838</v>
      </c>
    </row>
    <row r="1037" spans="1:17" ht="54" x14ac:dyDescent="0.15">
      <c r="A1037" t="s">
        <v>181</v>
      </c>
      <c r="B1037" s="15" t="s">
        <v>182</v>
      </c>
      <c r="C1037">
        <v>163</v>
      </c>
      <c r="D1037" t="s">
        <v>161</v>
      </c>
      <c r="E1037" s="1">
        <v>43080</v>
      </c>
      <c r="F1037" t="s">
        <v>177</v>
      </c>
      <c r="G1037" t="s">
        <v>1835</v>
      </c>
      <c r="H1037">
        <v>-1.78</v>
      </c>
      <c r="I1037" t="s">
        <v>120</v>
      </c>
      <c r="J1037">
        <v>0</v>
      </c>
      <c r="M1037" t="s">
        <v>1910</v>
      </c>
      <c r="N1037" t="s">
        <v>1838</v>
      </c>
      <c r="O1037">
        <v>0</v>
      </c>
      <c r="P1037">
        <v>0</v>
      </c>
      <c r="Q1037" t="s">
        <v>381</v>
      </c>
    </row>
    <row r="1038" spans="1:17" ht="54" x14ac:dyDescent="0.15">
      <c r="A1038" t="s">
        <v>181</v>
      </c>
      <c r="B1038" s="15" t="s">
        <v>182</v>
      </c>
      <c r="C1038">
        <v>163</v>
      </c>
      <c r="D1038" t="s">
        <v>161</v>
      </c>
      <c r="E1038" s="1">
        <v>43080</v>
      </c>
      <c r="F1038" t="s">
        <v>177</v>
      </c>
      <c r="G1038" t="s">
        <v>1835</v>
      </c>
      <c r="H1038">
        <v>-8.89</v>
      </c>
      <c r="I1038" t="s">
        <v>120</v>
      </c>
      <c r="J1038">
        <v>0</v>
      </c>
      <c r="M1038" t="s">
        <v>241</v>
      </c>
      <c r="N1038" t="s">
        <v>1839</v>
      </c>
    </row>
    <row r="1039" spans="1:17" ht="54" x14ac:dyDescent="0.15">
      <c r="A1039" t="s">
        <v>181</v>
      </c>
      <c r="B1039" s="15" t="s">
        <v>182</v>
      </c>
      <c r="C1039">
        <v>163</v>
      </c>
      <c r="D1039" t="s">
        <v>161</v>
      </c>
      <c r="E1039" s="1">
        <v>43080</v>
      </c>
      <c r="F1039" t="s">
        <v>177</v>
      </c>
      <c r="G1039" t="s">
        <v>1835</v>
      </c>
      <c r="H1039">
        <v>-8.89</v>
      </c>
      <c r="I1039" t="s">
        <v>120</v>
      </c>
      <c r="J1039">
        <v>0</v>
      </c>
      <c r="M1039" t="s">
        <v>1910</v>
      </c>
      <c r="N1039" t="s">
        <v>1839</v>
      </c>
      <c r="O1039">
        <v>0</v>
      </c>
      <c r="P1039">
        <v>0</v>
      </c>
      <c r="Q1039" t="s">
        <v>381</v>
      </c>
    </row>
    <row r="1040" spans="1:17" x14ac:dyDescent="0.15">
      <c r="A1040" t="s">
        <v>128</v>
      </c>
      <c r="B1040" t="s">
        <v>212</v>
      </c>
      <c r="C1040">
        <v>163</v>
      </c>
      <c r="D1040" t="s">
        <v>161</v>
      </c>
      <c r="E1040" s="1">
        <v>42871</v>
      </c>
      <c r="F1040" t="s">
        <v>383</v>
      </c>
      <c r="G1040" t="s">
        <v>552</v>
      </c>
      <c r="H1040">
        <v>-4</v>
      </c>
      <c r="I1040" t="s">
        <v>37</v>
      </c>
      <c r="J1040">
        <v>0</v>
      </c>
      <c r="M1040" t="s">
        <v>241</v>
      </c>
      <c r="N1040" t="s">
        <v>553</v>
      </c>
    </row>
    <row r="1041" spans="1:17" x14ac:dyDescent="0.15">
      <c r="A1041" t="s">
        <v>128</v>
      </c>
      <c r="B1041" t="s">
        <v>212</v>
      </c>
      <c r="C1041">
        <v>163</v>
      </c>
      <c r="D1041" t="s">
        <v>161</v>
      </c>
      <c r="E1041" s="1">
        <v>42871</v>
      </c>
      <c r="F1041" t="s">
        <v>383</v>
      </c>
      <c r="G1041" t="s">
        <v>552</v>
      </c>
      <c r="H1041">
        <v>-4</v>
      </c>
      <c r="I1041" t="s">
        <v>37</v>
      </c>
      <c r="J1041">
        <v>0</v>
      </c>
      <c r="M1041" t="s">
        <v>1910</v>
      </c>
      <c r="N1041" t="s">
        <v>553</v>
      </c>
      <c r="O1041">
        <v>0</v>
      </c>
      <c r="P1041">
        <v>0</v>
      </c>
      <c r="Q1041" t="s">
        <v>381</v>
      </c>
    </row>
    <row r="1042" spans="1:17" x14ac:dyDescent="0.15">
      <c r="A1042" t="s">
        <v>128</v>
      </c>
      <c r="B1042" t="s">
        <v>212</v>
      </c>
      <c r="C1042">
        <v>163</v>
      </c>
      <c r="D1042" t="s">
        <v>161</v>
      </c>
      <c r="E1042" s="1">
        <v>43008</v>
      </c>
      <c r="F1042" t="s">
        <v>383</v>
      </c>
      <c r="G1042" t="s">
        <v>1268</v>
      </c>
      <c r="H1042">
        <v>-2</v>
      </c>
      <c r="I1042" t="s">
        <v>37</v>
      </c>
      <c r="J1042">
        <v>0</v>
      </c>
      <c r="M1042" t="s">
        <v>241</v>
      </c>
      <c r="N1042" t="s">
        <v>1269</v>
      </c>
    </row>
    <row r="1043" spans="1:17" x14ac:dyDescent="0.15">
      <c r="A1043" t="s">
        <v>128</v>
      </c>
      <c r="B1043" t="s">
        <v>212</v>
      </c>
      <c r="C1043">
        <v>163</v>
      </c>
      <c r="D1043" t="s">
        <v>161</v>
      </c>
      <c r="E1043" s="1">
        <v>43008</v>
      </c>
      <c r="F1043" t="s">
        <v>383</v>
      </c>
      <c r="G1043" t="s">
        <v>1268</v>
      </c>
      <c r="H1043">
        <v>-2</v>
      </c>
      <c r="I1043" t="s">
        <v>37</v>
      </c>
      <c r="J1043">
        <v>0</v>
      </c>
      <c r="M1043" t="s">
        <v>1910</v>
      </c>
      <c r="N1043" t="s">
        <v>1269</v>
      </c>
      <c r="O1043">
        <v>0</v>
      </c>
      <c r="P1043">
        <v>0</v>
      </c>
      <c r="Q1043" t="s">
        <v>381</v>
      </c>
    </row>
    <row r="1044" spans="1:17" x14ac:dyDescent="0.15">
      <c r="A1044" t="s">
        <v>128</v>
      </c>
      <c r="B1044" t="s">
        <v>212</v>
      </c>
      <c r="C1044">
        <v>163</v>
      </c>
      <c r="D1044" t="s">
        <v>161</v>
      </c>
      <c r="E1044" s="1">
        <v>43008</v>
      </c>
      <c r="F1044" t="s">
        <v>383</v>
      </c>
      <c r="G1044" t="s">
        <v>1268</v>
      </c>
      <c r="H1044">
        <v>-2</v>
      </c>
      <c r="I1044" t="s">
        <v>37</v>
      </c>
      <c r="J1044">
        <v>0</v>
      </c>
      <c r="M1044" t="s">
        <v>241</v>
      </c>
      <c r="N1044" t="s">
        <v>1270</v>
      </c>
    </row>
    <row r="1045" spans="1:17" x14ac:dyDescent="0.15">
      <c r="A1045" t="s">
        <v>128</v>
      </c>
      <c r="B1045" t="s">
        <v>212</v>
      </c>
      <c r="C1045">
        <v>163</v>
      </c>
      <c r="D1045" t="s">
        <v>161</v>
      </c>
      <c r="E1045" s="1">
        <v>43008</v>
      </c>
      <c r="F1045" t="s">
        <v>383</v>
      </c>
      <c r="G1045" t="s">
        <v>1268</v>
      </c>
      <c r="H1045">
        <v>-2</v>
      </c>
      <c r="I1045" t="s">
        <v>37</v>
      </c>
      <c r="J1045">
        <v>0</v>
      </c>
      <c r="M1045" t="s">
        <v>1910</v>
      </c>
      <c r="N1045" t="s">
        <v>1270</v>
      </c>
      <c r="O1045">
        <v>0</v>
      </c>
      <c r="P1045">
        <v>0</v>
      </c>
      <c r="Q1045" t="s">
        <v>381</v>
      </c>
    </row>
    <row r="1046" spans="1:17" x14ac:dyDescent="0.15">
      <c r="A1046" t="s">
        <v>80</v>
      </c>
      <c r="B1046" t="s">
        <v>163</v>
      </c>
      <c r="C1046">
        <v>163</v>
      </c>
      <c r="D1046" t="s">
        <v>161</v>
      </c>
      <c r="E1046" s="1">
        <v>42851</v>
      </c>
      <c r="F1046" t="s">
        <v>383</v>
      </c>
      <c r="G1046" t="s">
        <v>458</v>
      </c>
      <c r="H1046">
        <v>-4</v>
      </c>
      <c r="I1046" t="s">
        <v>37</v>
      </c>
      <c r="J1046">
        <v>0</v>
      </c>
      <c r="M1046" t="s">
        <v>241</v>
      </c>
      <c r="N1046" t="s">
        <v>462</v>
      </c>
    </row>
    <row r="1047" spans="1:17" x14ac:dyDescent="0.15">
      <c r="A1047" t="s">
        <v>80</v>
      </c>
      <c r="B1047" t="s">
        <v>163</v>
      </c>
      <c r="C1047">
        <v>163</v>
      </c>
      <c r="D1047" t="s">
        <v>161</v>
      </c>
      <c r="E1047" s="1">
        <v>42851</v>
      </c>
      <c r="F1047" t="s">
        <v>383</v>
      </c>
      <c r="G1047" t="s">
        <v>458</v>
      </c>
      <c r="H1047">
        <v>-4</v>
      </c>
      <c r="I1047" t="s">
        <v>37</v>
      </c>
      <c r="J1047">
        <v>0</v>
      </c>
      <c r="M1047" t="s">
        <v>1910</v>
      </c>
      <c r="N1047" t="s">
        <v>462</v>
      </c>
      <c r="O1047">
        <v>0</v>
      </c>
      <c r="P1047">
        <v>0</v>
      </c>
      <c r="Q1047" t="s">
        <v>381</v>
      </c>
    </row>
    <row r="1048" spans="1:17" x14ac:dyDescent="0.15">
      <c r="A1048" t="s">
        <v>80</v>
      </c>
      <c r="B1048" t="s">
        <v>163</v>
      </c>
      <c r="C1048">
        <v>163</v>
      </c>
      <c r="D1048" t="s">
        <v>161</v>
      </c>
      <c r="E1048" s="1">
        <v>42895</v>
      </c>
      <c r="F1048" t="s">
        <v>383</v>
      </c>
      <c r="G1048" t="s">
        <v>626</v>
      </c>
      <c r="H1048">
        <v>-16</v>
      </c>
      <c r="I1048" t="s">
        <v>37</v>
      </c>
      <c r="J1048">
        <v>0</v>
      </c>
      <c r="M1048" t="s">
        <v>241</v>
      </c>
      <c r="N1048" t="s">
        <v>628</v>
      </c>
    </row>
    <row r="1049" spans="1:17" x14ac:dyDescent="0.15">
      <c r="A1049" t="s">
        <v>80</v>
      </c>
      <c r="B1049" t="s">
        <v>163</v>
      </c>
      <c r="C1049">
        <v>163</v>
      </c>
      <c r="D1049" t="s">
        <v>161</v>
      </c>
      <c r="E1049" s="1">
        <v>42895</v>
      </c>
      <c r="F1049" t="s">
        <v>383</v>
      </c>
      <c r="G1049" t="s">
        <v>626</v>
      </c>
      <c r="H1049">
        <v>-16</v>
      </c>
      <c r="I1049" t="s">
        <v>37</v>
      </c>
      <c r="J1049">
        <v>0</v>
      </c>
      <c r="M1049" t="s">
        <v>1910</v>
      </c>
      <c r="N1049" t="s">
        <v>628</v>
      </c>
      <c r="O1049">
        <v>0</v>
      </c>
      <c r="P1049">
        <v>0</v>
      </c>
      <c r="Q1049" t="s">
        <v>381</v>
      </c>
    </row>
    <row r="1050" spans="1:17" x14ac:dyDescent="0.15">
      <c r="A1050" t="s">
        <v>80</v>
      </c>
      <c r="B1050" t="s">
        <v>163</v>
      </c>
      <c r="C1050">
        <v>163</v>
      </c>
      <c r="D1050" t="s">
        <v>161</v>
      </c>
      <c r="E1050" s="1">
        <v>42907</v>
      </c>
      <c r="F1050" t="s">
        <v>383</v>
      </c>
      <c r="G1050" t="s">
        <v>675</v>
      </c>
      <c r="H1050">
        <v>0</v>
      </c>
      <c r="I1050" t="s">
        <v>37</v>
      </c>
      <c r="J1050">
        <v>0</v>
      </c>
      <c r="M1050" t="s">
        <v>241</v>
      </c>
      <c r="N1050" t="s">
        <v>676</v>
      </c>
    </row>
    <row r="1051" spans="1:17" x14ac:dyDescent="0.15">
      <c r="A1051" t="s">
        <v>80</v>
      </c>
      <c r="B1051" t="s">
        <v>163</v>
      </c>
      <c r="C1051">
        <v>163</v>
      </c>
      <c r="D1051" t="s">
        <v>161</v>
      </c>
      <c r="E1051" s="1">
        <v>42907</v>
      </c>
      <c r="F1051" t="s">
        <v>383</v>
      </c>
      <c r="G1051" t="s">
        <v>675</v>
      </c>
      <c r="H1051">
        <v>0</v>
      </c>
      <c r="I1051" t="s">
        <v>37</v>
      </c>
      <c r="J1051">
        <v>0</v>
      </c>
      <c r="M1051" t="s">
        <v>1910</v>
      </c>
      <c r="N1051" t="s">
        <v>676</v>
      </c>
      <c r="O1051">
        <v>0</v>
      </c>
      <c r="P1051">
        <v>0</v>
      </c>
      <c r="Q1051" t="s">
        <v>381</v>
      </c>
    </row>
    <row r="1052" spans="1:17" x14ac:dyDescent="0.15">
      <c r="A1052" t="s">
        <v>80</v>
      </c>
      <c r="B1052" t="s">
        <v>163</v>
      </c>
      <c r="C1052">
        <v>163</v>
      </c>
      <c r="D1052" t="s">
        <v>161</v>
      </c>
      <c r="E1052" s="1">
        <v>42908</v>
      </c>
      <c r="F1052" t="s">
        <v>383</v>
      </c>
      <c r="G1052" t="s">
        <v>669</v>
      </c>
      <c r="H1052">
        <v>-18</v>
      </c>
      <c r="I1052" t="s">
        <v>37</v>
      </c>
      <c r="J1052">
        <v>0</v>
      </c>
      <c r="M1052" t="s">
        <v>241</v>
      </c>
      <c r="N1052" t="s">
        <v>671</v>
      </c>
    </row>
    <row r="1053" spans="1:17" x14ac:dyDescent="0.15">
      <c r="A1053" t="s">
        <v>80</v>
      </c>
      <c r="B1053" t="s">
        <v>163</v>
      </c>
      <c r="C1053">
        <v>163</v>
      </c>
      <c r="D1053" t="s">
        <v>161</v>
      </c>
      <c r="E1053" s="1">
        <v>42908</v>
      </c>
      <c r="F1053" t="s">
        <v>383</v>
      </c>
      <c r="G1053" t="s">
        <v>669</v>
      </c>
      <c r="H1053">
        <v>-18</v>
      </c>
      <c r="I1053" t="s">
        <v>37</v>
      </c>
      <c r="J1053">
        <v>0</v>
      </c>
      <c r="M1053" t="s">
        <v>1910</v>
      </c>
      <c r="N1053" t="s">
        <v>671</v>
      </c>
      <c r="O1053">
        <v>0</v>
      </c>
      <c r="P1053">
        <v>0</v>
      </c>
      <c r="Q1053" t="s">
        <v>381</v>
      </c>
    </row>
    <row r="1054" spans="1:17" x14ac:dyDescent="0.15">
      <c r="A1054" t="s">
        <v>80</v>
      </c>
      <c r="B1054" t="s">
        <v>163</v>
      </c>
      <c r="C1054">
        <v>163</v>
      </c>
      <c r="D1054" t="s">
        <v>161</v>
      </c>
      <c r="E1054" s="1">
        <v>43004</v>
      </c>
      <c r="F1054" t="s">
        <v>21</v>
      </c>
      <c r="G1054" t="s">
        <v>1881</v>
      </c>
      <c r="H1054">
        <v>1</v>
      </c>
      <c r="I1054" t="s">
        <v>37</v>
      </c>
      <c r="J1054">
        <v>0</v>
      </c>
      <c r="M1054" t="s">
        <v>241</v>
      </c>
      <c r="N1054" t="s">
        <v>1891</v>
      </c>
    </row>
    <row r="1055" spans="1:17" x14ac:dyDescent="0.15">
      <c r="A1055" t="s">
        <v>80</v>
      </c>
      <c r="B1055" t="s">
        <v>163</v>
      </c>
      <c r="C1055">
        <v>163</v>
      </c>
      <c r="D1055" t="s">
        <v>161</v>
      </c>
      <c r="E1055" s="1">
        <v>43004</v>
      </c>
      <c r="F1055" t="s">
        <v>21</v>
      </c>
      <c r="G1055" t="s">
        <v>1881</v>
      </c>
      <c r="H1055">
        <v>1</v>
      </c>
      <c r="I1055" t="s">
        <v>37</v>
      </c>
      <c r="J1055">
        <v>0</v>
      </c>
      <c r="M1055" t="s">
        <v>1910</v>
      </c>
      <c r="N1055" t="s">
        <v>1891</v>
      </c>
      <c r="O1055">
        <v>0</v>
      </c>
      <c r="P1055">
        <v>0</v>
      </c>
      <c r="Q1055" t="s">
        <v>381</v>
      </c>
    </row>
    <row r="1056" spans="1:17" x14ac:dyDescent="0.15">
      <c r="A1056" t="s">
        <v>148</v>
      </c>
      <c r="B1056" t="s">
        <v>170</v>
      </c>
      <c r="C1056">
        <v>163</v>
      </c>
      <c r="D1056" t="s">
        <v>161</v>
      </c>
      <c r="E1056" s="1">
        <v>42851</v>
      </c>
      <c r="F1056" t="s">
        <v>383</v>
      </c>
      <c r="G1056" t="s">
        <v>458</v>
      </c>
      <c r="H1056">
        <v>-12</v>
      </c>
      <c r="I1056" t="s">
        <v>37</v>
      </c>
      <c r="J1056">
        <v>0</v>
      </c>
      <c r="M1056" t="s">
        <v>241</v>
      </c>
      <c r="N1056" t="s">
        <v>463</v>
      </c>
    </row>
    <row r="1057" spans="1:17" x14ac:dyDescent="0.15">
      <c r="A1057" t="s">
        <v>148</v>
      </c>
      <c r="B1057" t="s">
        <v>170</v>
      </c>
      <c r="C1057">
        <v>163</v>
      </c>
      <c r="D1057" t="s">
        <v>161</v>
      </c>
      <c r="E1057" s="1">
        <v>42851</v>
      </c>
      <c r="F1057" t="s">
        <v>383</v>
      </c>
      <c r="G1057" t="s">
        <v>458</v>
      </c>
      <c r="H1057">
        <v>-12</v>
      </c>
      <c r="I1057" t="s">
        <v>37</v>
      </c>
      <c r="J1057">
        <v>0</v>
      </c>
      <c r="M1057" t="s">
        <v>1910</v>
      </c>
      <c r="N1057" t="s">
        <v>463</v>
      </c>
      <c r="O1057">
        <v>0</v>
      </c>
      <c r="P1057">
        <v>0</v>
      </c>
      <c r="Q1057" t="s">
        <v>381</v>
      </c>
    </row>
    <row r="1058" spans="1:17" x14ac:dyDescent="0.15">
      <c r="A1058" t="s">
        <v>148</v>
      </c>
      <c r="B1058" t="s">
        <v>170</v>
      </c>
      <c r="C1058">
        <v>163</v>
      </c>
      <c r="D1058" t="s">
        <v>161</v>
      </c>
      <c r="E1058" s="1">
        <v>42908</v>
      </c>
      <c r="F1058" t="s">
        <v>383</v>
      </c>
      <c r="G1058" t="s">
        <v>664</v>
      </c>
      <c r="H1058">
        <v>-32</v>
      </c>
      <c r="I1058" t="s">
        <v>37</v>
      </c>
      <c r="J1058">
        <v>0</v>
      </c>
      <c r="M1058" t="s">
        <v>241</v>
      </c>
      <c r="N1058" t="s">
        <v>667</v>
      </c>
    </row>
    <row r="1059" spans="1:17" x14ac:dyDescent="0.15">
      <c r="A1059" t="s">
        <v>148</v>
      </c>
      <c r="B1059" t="s">
        <v>170</v>
      </c>
      <c r="C1059">
        <v>163</v>
      </c>
      <c r="D1059" t="s">
        <v>161</v>
      </c>
      <c r="E1059" s="1">
        <v>42908</v>
      </c>
      <c r="F1059" t="s">
        <v>383</v>
      </c>
      <c r="G1059" t="s">
        <v>664</v>
      </c>
      <c r="H1059">
        <v>-32</v>
      </c>
      <c r="I1059" t="s">
        <v>37</v>
      </c>
      <c r="J1059">
        <v>0</v>
      </c>
      <c r="M1059" t="s">
        <v>1910</v>
      </c>
      <c r="N1059" t="s">
        <v>667</v>
      </c>
      <c r="O1059">
        <v>0</v>
      </c>
      <c r="P1059">
        <v>0</v>
      </c>
      <c r="Q1059" t="s">
        <v>381</v>
      </c>
    </row>
    <row r="1060" spans="1:17" x14ac:dyDescent="0.15">
      <c r="A1060" t="s">
        <v>148</v>
      </c>
      <c r="B1060" t="s">
        <v>170</v>
      </c>
      <c r="C1060">
        <v>163</v>
      </c>
      <c r="D1060" t="s">
        <v>161</v>
      </c>
      <c r="E1060" s="1">
        <v>43004</v>
      </c>
      <c r="F1060" t="s">
        <v>21</v>
      </c>
      <c r="G1060" t="s">
        <v>1881</v>
      </c>
      <c r="H1060">
        <v>10</v>
      </c>
      <c r="I1060" t="s">
        <v>37</v>
      </c>
      <c r="J1060">
        <v>0</v>
      </c>
      <c r="M1060" t="s">
        <v>241</v>
      </c>
      <c r="N1060" t="s">
        <v>1892</v>
      </c>
    </row>
    <row r="1061" spans="1:17" x14ac:dyDescent="0.15">
      <c r="A1061" t="s">
        <v>148</v>
      </c>
      <c r="B1061" t="s">
        <v>170</v>
      </c>
      <c r="C1061">
        <v>163</v>
      </c>
      <c r="D1061" t="s">
        <v>161</v>
      </c>
      <c r="E1061" s="1">
        <v>43004</v>
      </c>
      <c r="F1061" t="s">
        <v>21</v>
      </c>
      <c r="G1061" t="s">
        <v>1881</v>
      </c>
      <c r="H1061">
        <v>10</v>
      </c>
      <c r="I1061" t="s">
        <v>37</v>
      </c>
      <c r="J1061">
        <v>0</v>
      </c>
      <c r="M1061" t="s">
        <v>1910</v>
      </c>
      <c r="N1061" t="s">
        <v>1892</v>
      </c>
      <c r="O1061">
        <v>0</v>
      </c>
      <c r="P1061">
        <v>0</v>
      </c>
      <c r="Q1061" t="s">
        <v>381</v>
      </c>
    </row>
    <row r="1062" spans="1:17" x14ac:dyDescent="0.15">
      <c r="A1062" t="s">
        <v>66</v>
      </c>
      <c r="B1062" t="s">
        <v>116</v>
      </c>
      <c r="C1062">
        <v>163</v>
      </c>
      <c r="D1062" t="s">
        <v>161</v>
      </c>
      <c r="E1062" s="1">
        <v>42871</v>
      </c>
      <c r="F1062" t="s">
        <v>383</v>
      </c>
      <c r="G1062" t="s">
        <v>531</v>
      </c>
      <c r="H1062">
        <v>-1</v>
      </c>
      <c r="I1062" t="s">
        <v>37</v>
      </c>
      <c r="J1062">
        <v>0</v>
      </c>
      <c r="M1062" t="s">
        <v>241</v>
      </c>
      <c r="N1062" t="s">
        <v>534</v>
      </c>
    </row>
    <row r="1063" spans="1:17" x14ac:dyDescent="0.15">
      <c r="A1063" t="s">
        <v>66</v>
      </c>
      <c r="B1063" t="s">
        <v>116</v>
      </c>
      <c r="C1063">
        <v>163</v>
      </c>
      <c r="D1063" t="s">
        <v>161</v>
      </c>
      <c r="E1063" s="1">
        <v>42871</v>
      </c>
      <c r="F1063" t="s">
        <v>383</v>
      </c>
      <c r="G1063" t="s">
        <v>531</v>
      </c>
      <c r="H1063">
        <v>-1</v>
      </c>
      <c r="I1063" t="s">
        <v>37</v>
      </c>
      <c r="J1063">
        <v>0</v>
      </c>
      <c r="M1063" t="s">
        <v>1910</v>
      </c>
      <c r="N1063" t="s">
        <v>534</v>
      </c>
      <c r="O1063">
        <v>0</v>
      </c>
      <c r="P1063">
        <v>0</v>
      </c>
      <c r="Q1063" t="s">
        <v>381</v>
      </c>
    </row>
    <row r="1064" spans="1:17" x14ac:dyDescent="0.15">
      <c r="A1064" t="s">
        <v>66</v>
      </c>
      <c r="B1064" t="s">
        <v>116</v>
      </c>
      <c r="C1064">
        <v>163</v>
      </c>
      <c r="D1064" t="s">
        <v>161</v>
      </c>
      <c r="E1064" s="1">
        <v>42894</v>
      </c>
      <c r="F1064" t="s">
        <v>17</v>
      </c>
      <c r="G1064" t="s">
        <v>833</v>
      </c>
      <c r="H1064">
        <v>5</v>
      </c>
      <c r="I1064" t="s">
        <v>37</v>
      </c>
      <c r="J1064">
        <v>0</v>
      </c>
      <c r="K1064">
        <v>0</v>
      </c>
      <c r="L1064" t="s">
        <v>375</v>
      </c>
      <c r="M1064" t="s">
        <v>241</v>
      </c>
      <c r="N1064" t="s">
        <v>834</v>
      </c>
    </row>
    <row r="1065" spans="1:17" x14ac:dyDescent="0.15">
      <c r="A1065" t="s">
        <v>66</v>
      </c>
      <c r="B1065" t="s">
        <v>116</v>
      </c>
      <c r="C1065">
        <v>163</v>
      </c>
      <c r="D1065" t="s">
        <v>161</v>
      </c>
      <c r="E1065" s="1">
        <v>42894</v>
      </c>
      <c r="F1065" t="s">
        <v>17</v>
      </c>
      <c r="G1065" t="s">
        <v>833</v>
      </c>
      <c r="H1065">
        <v>5</v>
      </c>
      <c r="I1065" t="s">
        <v>37</v>
      </c>
      <c r="J1065">
        <v>0</v>
      </c>
      <c r="K1065">
        <v>0</v>
      </c>
      <c r="L1065" t="s">
        <v>375</v>
      </c>
      <c r="M1065" t="s">
        <v>1910</v>
      </c>
      <c r="N1065" t="s">
        <v>834</v>
      </c>
      <c r="O1065">
        <v>0</v>
      </c>
      <c r="P1065">
        <v>0</v>
      </c>
      <c r="Q1065" t="s">
        <v>381</v>
      </c>
    </row>
    <row r="1066" spans="1:17" x14ac:dyDescent="0.15">
      <c r="A1066" t="s">
        <v>66</v>
      </c>
      <c r="B1066" t="s">
        <v>116</v>
      </c>
      <c r="C1066">
        <v>163</v>
      </c>
      <c r="D1066" t="s">
        <v>161</v>
      </c>
      <c r="E1066" s="1">
        <v>42900</v>
      </c>
      <c r="F1066" t="s">
        <v>383</v>
      </c>
      <c r="G1066" t="s">
        <v>643</v>
      </c>
      <c r="H1066">
        <v>-1</v>
      </c>
      <c r="I1066" t="s">
        <v>37</v>
      </c>
      <c r="J1066">
        <v>0</v>
      </c>
      <c r="M1066" t="s">
        <v>241</v>
      </c>
      <c r="N1066" t="s">
        <v>646</v>
      </c>
    </row>
    <row r="1067" spans="1:17" x14ac:dyDescent="0.15">
      <c r="A1067" t="s">
        <v>66</v>
      </c>
      <c r="B1067" t="s">
        <v>116</v>
      </c>
      <c r="C1067">
        <v>163</v>
      </c>
      <c r="D1067" t="s">
        <v>161</v>
      </c>
      <c r="E1067" s="1">
        <v>42900</v>
      </c>
      <c r="F1067" t="s">
        <v>383</v>
      </c>
      <c r="G1067" t="s">
        <v>643</v>
      </c>
      <c r="H1067">
        <v>-1</v>
      </c>
      <c r="I1067" t="s">
        <v>37</v>
      </c>
      <c r="J1067">
        <v>0</v>
      </c>
      <c r="M1067" t="s">
        <v>1910</v>
      </c>
      <c r="N1067" t="s">
        <v>646</v>
      </c>
      <c r="O1067">
        <v>0</v>
      </c>
      <c r="P1067">
        <v>0</v>
      </c>
      <c r="Q1067" t="s">
        <v>381</v>
      </c>
    </row>
    <row r="1068" spans="1:17" x14ac:dyDescent="0.15">
      <c r="A1068" t="s">
        <v>66</v>
      </c>
      <c r="B1068" t="s">
        <v>116</v>
      </c>
      <c r="C1068">
        <v>163</v>
      </c>
      <c r="D1068" t="s">
        <v>161</v>
      </c>
      <c r="E1068" s="1">
        <v>42997</v>
      </c>
      <c r="F1068" t="s">
        <v>383</v>
      </c>
      <c r="G1068" t="s">
        <v>1234</v>
      </c>
      <c r="H1068">
        <v>-1</v>
      </c>
      <c r="I1068" t="s">
        <v>37</v>
      </c>
      <c r="J1068">
        <v>0</v>
      </c>
      <c r="M1068" t="s">
        <v>241</v>
      </c>
      <c r="N1068" t="s">
        <v>1237</v>
      </c>
    </row>
    <row r="1069" spans="1:17" x14ac:dyDescent="0.15">
      <c r="A1069" t="s">
        <v>66</v>
      </c>
      <c r="B1069" t="s">
        <v>116</v>
      </c>
      <c r="C1069">
        <v>163</v>
      </c>
      <c r="D1069" t="s">
        <v>161</v>
      </c>
      <c r="E1069" s="1">
        <v>42997</v>
      </c>
      <c r="F1069" t="s">
        <v>383</v>
      </c>
      <c r="G1069" t="s">
        <v>1234</v>
      </c>
      <c r="H1069">
        <v>-1</v>
      </c>
      <c r="I1069" t="s">
        <v>37</v>
      </c>
      <c r="J1069">
        <v>0</v>
      </c>
      <c r="M1069" t="s">
        <v>1910</v>
      </c>
      <c r="N1069" t="s">
        <v>1237</v>
      </c>
      <c r="O1069">
        <v>0</v>
      </c>
      <c r="P1069">
        <v>0</v>
      </c>
      <c r="Q1069" t="s">
        <v>381</v>
      </c>
    </row>
    <row r="1070" spans="1:17" x14ac:dyDescent="0.15">
      <c r="A1070" t="s">
        <v>66</v>
      </c>
      <c r="B1070" t="s">
        <v>116</v>
      </c>
      <c r="C1070">
        <v>163</v>
      </c>
      <c r="D1070" t="s">
        <v>161</v>
      </c>
      <c r="E1070" s="1">
        <v>43014</v>
      </c>
      <c r="F1070" t="s">
        <v>383</v>
      </c>
      <c r="G1070" t="s">
        <v>1283</v>
      </c>
      <c r="H1070">
        <v>-1</v>
      </c>
      <c r="I1070" t="s">
        <v>37</v>
      </c>
      <c r="J1070">
        <v>0</v>
      </c>
      <c r="M1070" t="s">
        <v>241</v>
      </c>
      <c r="N1070" t="s">
        <v>1285</v>
      </c>
    </row>
    <row r="1071" spans="1:17" x14ac:dyDescent="0.15">
      <c r="A1071" t="s">
        <v>66</v>
      </c>
      <c r="B1071" t="s">
        <v>116</v>
      </c>
      <c r="C1071">
        <v>163</v>
      </c>
      <c r="D1071" t="s">
        <v>161</v>
      </c>
      <c r="E1071" s="1">
        <v>43014</v>
      </c>
      <c r="F1071" t="s">
        <v>383</v>
      </c>
      <c r="G1071" t="s">
        <v>1283</v>
      </c>
      <c r="H1071">
        <v>-1</v>
      </c>
      <c r="I1071" t="s">
        <v>37</v>
      </c>
      <c r="J1071">
        <v>0</v>
      </c>
      <c r="M1071" t="s">
        <v>1910</v>
      </c>
      <c r="N1071" t="s">
        <v>1285</v>
      </c>
      <c r="O1071">
        <v>0</v>
      </c>
      <c r="P1071">
        <v>0</v>
      </c>
      <c r="Q1071" t="s">
        <v>381</v>
      </c>
    </row>
    <row r="1072" spans="1:17" x14ac:dyDescent="0.15">
      <c r="A1072" t="s">
        <v>167</v>
      </c>
      <c r="B1072" t="s">
        <v>168</v>
      </c>
      <c r="C1072">
        <v>163</v>
      </c>
      <c r="D1072" t="s">
        <v>161</v>
      </c>
      <c r="E1072" s="1">
        <v>42846</v>
      </c>
      <c r="F1072" t="s">
        <v>17</v>
      </c>
      <c r="G1072" t="s">
        <v>747</v>
      </c>
      <c r="H1072">
        <v>27000</v>
      </c>
      <c r="I1072" t="s">
        <v>133</v>
      </c>
      <c r="J1072">
        <v>0</v>
      </c>
      <c r="M1072" t="s">
        <v>241</v>
      </c>
      <c r="N1072" t="s">
        <v>748</v>
      </c>
    </row>
    <row r="1073" spans="1:17" x14ac:dyDescent="0.15">
      <c r="A1073" t="s">
        <v>167</v>
      </c>
      <c r="B1073" t="s">
        <v>168</v>
      </c>
      <c r="C1073">
        <v>163</v>
      </c>
      <c r="D1073" t="s">
        <v>161</v>
      </c>
      <c r="E1073" s="1">
        <v>42846</v>
      </c>
      <c r="F1073" t="s">
        <v>17</v>
      </c>
      <c r="G1073" t="s">
        <v>747</v>
      </c>
      <c r="H1073">
        <v>27000</v>
      </c>
      <c r="I1073" t="s">
        <v>133</v>
      </c>
      <c r="J1073">
        <v>0</v>
      </c>
      <c r="M1073" t="s">
        <v>1910</v>
      </c>
      <c r="N1073" t="s">
        <v>748</v>
      </c>
      <c r="O1073">
        <v>0</v>
      </c>
      <c r="P1073">
        <v>0</v>
      </c>
      <c r="Q1073" t="s">
        <v>381</v>
      </c>
    </row>
    <row r="1074" spans="1:17" x14ac:dyDescent="0.15">
      <c r="A1074" t="s">
        <v>167</v>
      </c>
      <c r="B1074" t="s">
        <v>168</v>
      </c>
      <c r="C1074">
        <v>163</v>
      </c>
      <c r="D1074" t="s">
        <v>161</v>
      </c>
      <c r="E1074" s="1">
        <v>42850</v>
      </c>
      <c r="F1074" t="s">
        <v>383</v>
      </c>
      <c r="G1074" t="s">
        <v>509</v>
      </c>
      <c r="H1074">
        <v>-3150</v>
      </c>
      <c r="I1074" t="s">
        <v>133</v>
      </c>
      <c r="J1074">
        <v>0</v>
      </c>
      <c r="M1074" t="s">
        <v>241</v>
      </c>
      <c r="N1074" t="s">
        <v>510</v>
      </c>
    </row>
    <row r="1075" spans="1:17" x14ac:dyDescent="0.15">
      <c r="A1075" t="s">
        <v>167</v>
      </c>
      <c r="B1075" t="s">
        <v>168</v>
      </c>
      <c r="C1075">
        <v>163</v>
      </c>
      <c r="D1075" t="s">
        <v>161</v>
      </c>
      <c r="E1075" s="1">
        <v>42850</v>
      </c>
      <c r="F1075" t="s">
        <v>383</v>
      </c>
      <c r="G1075" t="s">
        <v>509</v>
      </c>
      <c r="H1075">
        <v>-3150</v>
      </c>
      <c r="I1075" t="s">
        <v>133</v>
      </c>
      <c r="J1075">
        <v>0</v>
      </c>
      <c r="M1075" t="s">
        <v>1910</v>
      </c>
      <c r="N1075" t="s">
        <v>510</v>
      </c>
      <c r="O1075">
        <v>0</v>
      </c>
      <c r="P1075">
        <v>0</v>
      </c>
      <c r="Q1075" t="s">
        <v>381</v>
      </c>
    </row>
    <row r="1076" spans="1:17" x14ac:dyDescent="0.15">
      <c r="A1076" t="s">
        <v>167</v>
      </c>
      <c r="B1076" t="s">
        <v>168</v>
      </c>
      <c r="C1076">
        <v>163</v>
      </c>
      <c r="D1076" t="s">
        <v>161</v>
      </c>
      <c r="E1076" s="1">
        <v>42851</v>
      </c>
      <c r="F1076" t="s">
        <v>383</v>
      </c>
      <c r="G1076" t="s">
        <v>498</v>
      </c>
      <c r="H1076">
        <v>-1500</v>
      </c>
      <c r="I1076" t="s">
        <v>133</v>
      </c>
      <c r="J1076">
        <v>0</v>
      </c>
      <c r="M1076" t="s">
        <v>241</v>
      </c>
      <c r="N1076" t="s">
        <v>499</v>
      </c>
    </row>
    <row r="1077" spans="1:17" x14ac:dyDescent="0.15">
      <c r="A1077" t="s">
        <v>167</v>
      </c>
      <c r="B1077" t="s">
        <v>168</v>
      </c>
      <c r="C1077">
        <v>163</v>
      </c>
      <c r="D1077" t="s">
        <v>161</v>
      </c>
      <c r="E1077" s="1">
        <v>42851</v>
      </c>
      <c r="F1077" t="s">
        <v>383</v>
      </c>
      <c r="G1077" t="s">
        <v>498</v>
      </c>
      <c r="H1077">
        <v>-1500</v>
      </c>
      <c r="I1077" t="s">
        <v>133</v>
      </c>
      <c r="J1077">
        <v>0</v>
      </c>
      <c r="M1077" t="s">
        <v>1910</v>
      </c>
      <c r="N1077" t="s">
        <v>499</v>
      </c>
      <c r="O1077">
        <v>0</v>
      </c>
      <c r="P1077">
        <v>0</v>
      </c>
      <c r="Q1077" t="s">
        <v>381</v>
      </c>
    </row>
    <row r="1078" spans="1:17" x14ac:dyDescent="0.15">
      <c r="A1078" t="s">
        <v>167</v>
      </c>
      <c r="B1078" t="s">
        <v>168</v>
      </c>
      <c r="C1078">
        <v>163</v>
      </c>
      <c r="D1078" t="s">
        <v>161</v>
      </c>
      <c r="E1078" s="1">
        <v>42865</v>
      </c>
      <c r="F1078" t="s">
        <v>383</v>
      </c>
      <c r="G1078" t="s">
        <v>548</v>
      </c>
      <c r="H1078">
        <v>-27000</v>
      </c>
      <c r="I1078" t="s">
        <v>133</v>
      </c>
      <c r="J1078">
        <v>0</v>
      </c>
      <c r="M1078" t="s">
        <v>241</v>
      </c>
      <c r="N1078" t="s">
        <v>549</v>
      </c>
    </row>
    <row r="1079" spans="1:17" x14ac:dyDescent="0.15">
      <c r="A1079" t="s">
        <v>167</v>
      </c>
      <c r="B1079" t="s">
        <v>168</v>
      </c>
      <c r="C1079">
        <v>163</v>
      </c>
      <c r="D1079" t="s">
        <v>161</v>
      </c>
      <c r="E1079" s="1">
        <v>42865</v>
      </c>
      <c r="F1079" t="s">
        <v>383</v>
      </c>
      <c r="G1079" t="s">
        <v>548</v>
      </c>
      <c r="H1079">
        <v>-27000</v>
      </c>
      <c r="I1079" t="s">
        <v>133</v>
      </c>
      <c r="J1079">
        <v>0</v>
      </c>
      <c r="M1079" t="s">
        <v>1910</v>
      </c>
      <c r="N1079" t="s">
        <v>549</v>
      </c>
      <c r="O1079">
        <v>0</v>
      </c>
      <c r="P1079">
        <v>0</v>
      </c>
      <c r="Q1079" t="s">
        <v>381</v>
      </c>
    </row>
    <row r="1080" spans="1:17" x14ac:dyDescent="0.15">
      <c r="A1080" t="s">
        <v>167</v>
      </c>
      <c r="B1080" t="s">
        <v>168</v>
      </c>
      <c r="C1080">
        <v>163</v>
      </c>
      <c r="D1080" t="s">
        <v>161</v>
      </c>
      <c r="E1080" s="1">
        <v>42885</v>
      </c>
      <c r="F1080" t="s">
        <v>383</v>
      </c>
      <c r="G1080" t="s">
        <v>598</v>
      </c>
      <c r="H1080">
        <v>8000</v>
      </c>
      <c r="I1080" t="s">
        <v>133</v>
      </c>
      <c r="J1080">
        <v>0</v>
      </c>
      <c r="M1080" t="s">
        <v>241</v>
      </c>
      <c r="N1080" t="s">
        <v>599</v>
      </c>
    </row>
    <row r="1081" spans="1:17" x14ac:dyDescent="0.15">
      <c r="A1081" t="s">
        <v>167</v>
      </c>
      <c r="B1081" t="s">
        <v>168</v>
      </c>
      <c r="C1081">
        <v>163</v>
      </c>
      <c r="D1081" t="s">
        <v>161</v>
      </c>
      <c r="E1081" s="1">
        <v>42885</v>
      </c>
      <c r="F1081" t="s">
        <v>383</v>
      </c>
      <c r="G1081" t="s">
        <v>598</v>
      </c>
      <c r="H1081">
        <v>8000</v>
      </c>
      <c r="I1081" t="s">
        <v>133</v>
      </c>
      <c r="J1081">
        <v>0</v>
      </c>
      <c r="M1081" t="s">
        <v>1910</v>
      </c>
      <c r="N1081" t="s">
        <v>599</v>
      </c>
      <c r="O1081">
        <v>0</v>
      </c>
      <c r="P1081">
        <v>0</v>
      </c>
      <c r="Q1081" t="s">
        <v>381</v>
      </c>
    </row>
    <row r="1082" spans="1:17" x14ac:dyDescent="0.15">
      <c r="A1082" t="s">
        <v>167</v>
      </c>
      <c r="B1082" t="s">
        <v>168</v>
      </c>
      <c r="C1082">
        <v>163</v>
      </c>
      <c r="D1082" t="s">
        <v>161</v>
      </c>
      <c r="E1082" s="1">
        <v>42900</v>
      </c>
      <c r="F1082" t="s">
        <v>383</v>
      </c>
      <c r="G1082" t="s">
        <v>641</v>
      </c>
      <c r="H1082">
        <v>-1000</v>
      </c>
      <c r="I1082" t="s">
        <v>133</v>
      </c>
      <c r="J1082">
        <v>0</v>
      </c>
      <c r="M1082" t="s">
        <v>241</v>
      </c>
      <c r="N1082" t="s">
        <v>642</v>
      </c>
    </row>
    <row r="1083" spans="1:17" x14ac:dyDescent="0.15">
      <c r="A1083" t="s">
        <v>167</v>
      </c>
      <c r="B1083" t="s">
        <v>168</v>
      </c>
      <c r="C1083">
        <v>163</v>
      </c>
      <c r="D1083" t="s">
        <v>161</v>
      </c>
      <c r="E1083" s="1">
        <v>42900</v>
      </c>
      <c r="F1083" t="s">
        <v>383</v>
      </c>
      <c r="G1083" t="s">
        <v>641</v>
      </c>
      <c r="H1083">
        <v>-1000</v>
      </c>
      <c r="I1083" t="s">
        <v>133</v>
      </c>
      <c r="J1083">
        <v>0</v>
      </c>
      <c r="M1083" t="s">
        <v>1910</v>
      </c>
      <c r="N1083" t="s">
        <v>642</v>
      </c>
      <c r="O1083">
        <v>0</v>
      </c>
      <c r="P1083">
        <v>0</v>
      </c>
      <c r="Q1083" t="s">
        <v>381</v>
      </c>
    </row>
    <row r="1084" spans="1:17" x14ac:dyDescent="0.15">
      <c r="A1084" t="s">
        <v>167</v>
      </c>
      <c r="B1084" t="s">
        <v>168</v>
      </c>
      <c r="C1084">
        <v>163</v>
      </c>
      <c r="D1084" t="s">
        <v>161</v>
      </c>
      <c r="E1084" s="1">
        <v>42914</v>
      </c>
      <c r="F1084" t="s">
        <v>21</v>
      </c>
      <c r="G1084" t="s">
        <v>187</v>
      </c>
      <c r="H1084">
        <v>100</v>
      </c>
      <c r="I1084" t="s">
        <v>133</v>
      </c>
      <c r="J1084">
        <v>0</v>
      </c>
      <c r="K1084">
        <v>0</v>
      </c>
      <c r="M1084" t="s">
        <v>241</v>
      </c>
      <c r="N1084" t="s">
        <v>931</v>
      </c>
    </row>
    <row r="1085" spans="1:17" x14ac:dyDescent="0.15">
      <c r="A1085" t="s">
        <v>167</v>
      </c>
      <c r="B1085" t="s">
        <v>168</v>
      </c>
      <c r="C1085">
        <v>163</v>
      </c>
      <c r="D1085" t="s">
        <v>161</v>
      </c>
      <c r="E1085" s="1">
        <v>42914</v>
      </c>
      <c r="F1085" t="s">
        <v>21</v>
      </c>
      <c r="G1085" t="s">
        <v>187</v>
      </c>
      <c r="H1085">
        <v>100</v>
      </c>
      <c r="I1085" t="s">
        <v>133</v>
      </c>
      <c r="J1085">
        <v>0</v>
      </c>
      <c r="K1085">
        <v>0</v>
      </c>
      <c r="M1085" t="s">
        <v>1910</v>
      </c>
      <c r="N1085" t="s">
        <v>931</v>
      </c>
      <c r="O1085">
        <v>0</v>
      </c>
      <c r="P1085">
        <v>0</v>
      </c>
      <c r="Q1085" t="s">
        <v>381</v>
      </c>
    </row>
    <row r="1086" spans="1:17" x14ac:dyDescent="0.15">
      <c r="A1086" t="s">
        <v>167</v>
      </c>
      <c r="B1086" t="s">
        <v>168</v>
      </c>
      <c r="C1086">
        <v>163</v>
      </c>
      <c r="D1086" t="s">
        <v>161</v>
      </c>
      <c r="E1086" s="1">
        <v>43014</v>
      </c>
      <c r="F1086" t="s">
        <v>383</v>
      </c>
      <c r="G1086" t="s">
        <v>1277</v>
      </c>
      <c r="H1086">
        <v>-500</v>
      </c>
      <c r="I1086" t="s">
        <v>133</v>
      </c>
      <c r="J1086">
        <v>0</v>
      </c>
      <c r="M1086" t="s">
        <v>241</v>
      </c>
      <c r="N1086" t="s">
        <v>1278</v>
      </c>
    </row>
    <row r="1087" spans="1:17" x14ac:dyDescent="0.15">
      <c r="A1087" t="s">
        <v>167</v>
      </c>
      <c r="B1087" t="s">
        <v>168</v>
      </c>
      <c r="C1087">
        <v>163</v>
      </c>
      <c r="D1087" t="s">
        <v>161</v>
      </c>
      <c r="E1087" s="1">
        <v>43014</v>
      </c>
      <c r="F1087" t="s">
        <v>383</v>
      </c>
      <c r="G1087" t="s">
        <v>1277</v>
      </c>
      <c r="H1087">
        <v>-500</v>
      </c>
      <c r="I1087" t="s">
        <v>133</v>
      </c>
      <c r="J1087">
        <v>0</v>
      </c>
      <c r="M1087" t="s">
        <v>1910</v>
      </c>
      <c r="N1087" t="s">
        <v>1278</v>
      </c>
      <c r="O1087">
        <v>0</v>
      </c>
      <c r="P1087">
        <v>0</v>
      </c>
      <c r="Q1087" t="s">
        <v>381</v>
      </c>
    </row>
    <row r="1088" spans="1:17" x14ac:dyDescent="0.15">
      <c r="A1088" t="s">
        <v>114</v>
      </c>
      <c r="B1088" t="s">
        <v>115</v>
      </c>
      <c r="C1088">
        <v>163</v>
      </c>
      <c r="D1088" t="s">
        <v>161</v>
      </c>
      <c r="E1088" s="1">
        <v>42873</v>
      </c>
      <c r="F1088" t="s">
        <v>383</v>
      </c>
      <c r="G1088" t="s">
        <v>561</v>
      </c>
      <c r="H1088">
        <v>-3</v>
      </c>
      <c r="I1088" t="s">
        <v>37</v>
      </c>
      <c r="J1088">
        <v>0</v>
      </c>
      <c r="M1088" t="s">
        <v>241</v>
      </c>
      <c r="N1088" t="s">
        <v>566</v>
      </c>
    </row>
    <row r="1089" spans="1:17" x14ac:dyDescent="0.15">
      <c r="A1089" t="s">
        <v>114</v>
      </c>
      <c r="B1089" t="s">
        <v>115</v>
      </c>
      <c r="C1089">
        <v>163</v>
      </c>
      <c r="D1089" t="s">
        <v>161</v>
      </c>
      <c r="E1089" s="1">
        <v>42873</v>
      </c>
      <c r="F1089" t="s">
        <v>383</v>
      </c>
      <c r="G1089" t="s">
        <v>561</v>
      </c>
      <c r="H1089">
        <v>-3</v>
      </c>
      <c r="I1089" t="s">
        <v>37</v>
      </c>
      <c r="J1089">
        <v>0</v>
      </c>
      <c r="M1089" t="s">
        <v>1910</v>
      </c>
      <c r="N1089" t="s">
        <v>566</v>
      </c>
      <c r="O1089">
        <v>0</v>
      </c>
      <c r="P1089">
        <v>0</v>
      </c>
      <c r="Q1089" t="s">
        <v>381</v>
      </c>
    </row>
    <row r="1090" spans="1:17" x14ac:dyDescent="0.15">
      <c r="A1090" t="s">
        <v>114</v>
      </c>
      <c r="B1090" t="s">
        <v>115</v>
      </c>
      <c r="C1090">
        <v>163</v>
      </c>
      <c r="D1090" t="s">
        <v>161</v>
      </c>
      <c r="E1090" s="1">
        <v>42914</v>
      </c>
      <c r="F1090" t="s">
        <v>21</v>
      </c>
      <c r="G1090" t="s">
        <v>187</v>
      </c>
      <c r="H1090">
        <v>-1</v>
      </c>
      <c r="I1090" t="s">
        <v>37</v>
      </c>
      <c r="J1090">
        <v>0</v>
      </c>
      <c r="M1090" t="s">
        <v>241</v>
      </c>
      <c r="N1090" t="s">
        <v>932</v>
      </c>
    </row>
    <row r="1091" spans="1:17" x14ac:dyDescent="0.15">
      <c r="A1091" t="s">
        <v>114</v>
      </c>
      <c r="B1091" t="s">
        <v>115</v>
      </c>
      <c r="C1091">
        <v>163</v>
      </c>
      <c r="D1091" t="s">
        <v>161</v>
      </c>
      <c r="E1091" s="1">
        <v>42914</v>
      </c>
      <c r="F1091" t="s">
        <v>21</v>
      </c>
      <c r="G1091" t="s">
        <v>187</v>
      </c>
      <c r="H1091">
        <v>-1</v>
      </c>
      <c r="I1091" t="s">
        <v>37</v>
      </c>
      <c r="J1091">
        <v>0</v>
      </c>
      <c r="M1091" t="s">
        <v>1910</v>
      </c>
      <c r="N1091" t="s">
        <v>932</v>
      </c>
      <c r="O1091">
        <v>0</v>
      </c>
      <c r="P1091">
        <v>0</v>
      </c>
      <c r="Q1091" t="s">
        <v>381</v>
      </c>
    </row>
    <row r="1092" spans="1:17" x14ac:dyDescent="0.15">
      <c r="A1092" t="s">
        <v>114</v>
      </c>
      <c r="B1092" t="s">
        <v>115</v>
      </c>
      <c r="C1092">
        <v>163</v>
      </c>
      <c r="D1092" t="s">
        <v>161</v>
      </c>
      <c r="E1092" s="1">
        <v>43062</v>
      </c>
      <c r="F1092" t="s">
        <v>17</v>
      </c>
      <c r="G1092" t="s">
        <v>1671</v>
      </c>
      <c r="H1092">
        <v>6</v>
      </c>
      <c r="I1092" t="s">
        <v>37</v>
      </c>
      <c r="J1092">
        <v>0</v>
      </c>
      <c r="M1092" t="s">
        <v>241</v>
      </c>
      <c r="N1092" t="s">
        <v>1672</v>
      </c>
    </row>
    <row r="1093" spans="1:17" x14ac:dyDescent="0.15">
      <c r="A1093" t="s">
        <v>114</v>
      </c>
      <c r="B1093" t="s">
        <v>115</v>
      </c>
      <c r="C1093">
        <v>163</v>
      </c>
      <c r="D1093" t="s">
        <v>161</v>
      </c>
      <c r="E1093" s="1">
        <v>43062</v>
      </c>
      <c r="F1093" t="s">
        <v>17</v>
      </c>
      <c r="G1093" t="s">
        <v>1671</v>
      </c>
      <c r="H1093">
        <v>6</v>
      </c>
      <c r="I1093" t="s">
        <v>37</v>
      </c>
      <c r="J1093">
        <v>0</v>
      </c>
      <c r="M1093" t="s">
        <v>1910</v>
      </c>
      <c r="N1093" t="s">
        <v>1672</v>
      </c>
      <c r="O1093">
        <v>0</v>
      </c>
      <c r="P1093">
        <v>0</v>
      </c>
      <c r="Q1093" t="s">
        <v>381</v>
      </c>
    </row>
    <row r="1094" spans="1:17" x14ac:dyDescent="0.15">
      <c r="A1094" t="s">
        <v>114</v>
      </c>
      <c r="B1094" t="s">
        <v>115</v>
      </c>
      <c r="C1094">
        <v>163</v>
      </c>
      <c r="D1094" t="s">
        <v>161</v>
      </c>
      <c r="E1094" s="1">
        <v>43067</v>
      </c>
      <c r="F1094" t="s">
        <v>383</v>
      </c>
      <c r="G1094" t="s">
        <v>1403</v>
      </c>
      <c r="H1094">
        <v>-2</v>
      </c>
      <c r="I1094" t="s">
        <v>37</v>
      </c>
      <c r="J1094">
        <v>0</v>
      </c>
      <c r="K1094">
        <v>0</v>
      </c>
      <c r="M1094" t="s">
        <v>241</v>
      </c>
      <c r="N1094" t="s">
        <v>1406</v>
      </c>
    </row>
    <row r="1095" spans="1:17" x14ac:dyDescent="0.15">
      <c r="A1095" t="s">
        <v>114</v>
      </c>
      <c r="B1095" t="s">
        <v>115</v>
      </c>
      <c r="C1095">
        <v>163</v>
      </c>
      <c r="D1095" t="s">
        <v>161</v>
      </c>
      <c r="E1095" s="1">
        <v>43067</v>
      </c>
      <c r="F1095" t="s">
        <v>383</v>
      </c>
      <c r="G1095" t="s">
        <v>1403</v>
      </c>
      <c r="H1095">
        <v>-2</v>
      </c>
      <c r="I1095" t="s">
        <v>37</v>
      </c>
      <c r="J1095">
        <v>0</v>
      </c>
      <c r="K1095">
        <v>0</v>
      </c>
      <c r="M1095" t="s">
        <v>1910</v>
      </c>
      <c r="N1095" t="s">
        <v>1406</v>
      </c>
      <c r="O1095">
        <v>0</v>
      </c>
      <c r="P1095">
        <v>0</v>
      </c>
      <c r="Q1095" t="s">
        <v>381</v>
      </c>
    </row>
    <row r="1096" spans="1:17" x14ac:dyDescent="0.15">
      <c r="A1096" t="s">
        <v>114</v>
      </c>
      <c r="B1096" t="s">
        <v>115</v>
      </c>
      <c r="C1096">
        <v>163</v>
      </c>
      <c r="D1096" t="s">
        <v>161</v>
      </c>
      <c r="E1096" s="1">
        <v>43067</v>
      </c>
      <c r="F1096" t="s">
        <v>383</v>
      </c>
      <c r="G1096" t="s">
        <v>1403</v>
      </c>
      <c r="H1096">
        <v>1</v>
      </c>
      <c r="I1096" t="s">
        <v>37</v>
      </c>
      <c r="J1096">
        <v>0</v>
      </c>
      <c r="M1096" t="s">
        <v>241</v>
      </c>
      <c r="N1096" t="s">
        <v>1406</v>
      </c>
    </row>
    <row r="1097" spans="1:17" x14ac:dyDescent="0.15">
      <c r="A1097" t="s">
        <v>114</v>
      </c>
      <c r="B1097" t="s">
        <v>115</v>
      </c>
      <c r="C1097">
        <v>163</v>
      </c>
      <c r="D1097" t="s">
        <v>161</v>
      </c>
      <c r="E1097" s="1">
        <v>43067</v>
      </c>
      <c r="F1097" t="s">
        <v>383</v>
      </c>
      <c r="G1097" t="s">
        <v>1403</v>
      </c>
      <c r="H1097">
        <v>1</v>
      </c>
      <c r="I1097" t="s">
        <v>37</v>
      </c>
      <c r="J1097">
        <v>0</v>
      </c>
      <c r="M1097" t="s">
        <v>1910</v>
      </c>
      <c r="N1097" t="s">
        <v>1406</v>
      </c>
      <c r="O1097">
        <v>0</v>
      </c>
      <c r="P1097">
        <v>0</v>
      </c>
      <c r="Q1097" t="s">
        <v>381</v>
      </c>
    </row>
    <row r="1098" spans="1:17" x14ac:dyDescent="0.15">
      <c r="A1098" t="s">
        <v>67</v>
      </c>
      <c r="B1098" t="s">
        <v>162</v>
      </c>
      <c r="C1098">
        <v>163</v>
      </c>
      <c r="D1098" t="s">
        <v>161</v>
      </c>
      <c r="E1098" s="1">
        <v>42830</v>
      </c>
      <c r="F1098" t="s">
        <v>383</v>
      </c>
      <c r="G1098" t="s">
        <v>435</v>
      </c>
      <c r="H1098">
        <v>-6</v>
      </c>
      <c r="I1098" t="s">
        <v>37</v>
      </c>
      <c r="J1098">
        <v>0</v>
      </c>
      <c r="M1098" t="s">
        <v>241</v>
      </c>
      <c r="N1098" t="s">
        <v>436</v>
      </c>
    </row>
    <row r="1099" spans="1:17" x14ac:dyDescent="0.15">
      <c r="A1099" t="s">
        <v>67</v>
      </c>
      <c r="B1099" t="s">
        <v>162</v>
      </c>
      <c r="C1099">
        <v>163</v>
      </c>
      <c r="D1099" t="s">
        <v>161</v>
      </c>
      <c r="E1099" s="1">
        <v>42830</v>
      </c>
      <c r="F1099" t="s">
        <v>383</v>
      </c>
      <c r="G1099" t="s">
        <v>435</v>
      </c>
      <c r="H1099">
        <v>-6</v>
      </c>
      <c r="I1099" t="s">
        <v>37</v>
      </c>
      <c r="J1099">
        <v>0</v>
      </c>
      <c r="M1099" t="s">
        <v>1910</v>
      </c>
      <c r="N1099" t="s">
        <v>436</v>
      </c>
      <c r="O1099">
        <v>0</v>
      </c>
      <c r="P1099">
        <v>0</v>
      </c>
      <c r="Q1099" t="s">
        <v>381</v>
      </c>
    </row>
    <row r="1100" spans="1:17" x14ac:dyDescent="0.15">
      <c r="A1100" t="s">
        <v>67</v>
      </c>
      <c r="B1100" t="s">
        <v>162</v>
      </c>
      <c r="C1100">
        <v>163</v>
      </c>
      <c r="D1100" t="s">
        <v>161</v>
      </c>
      <c r="E1100" s="1">
        <v>42830</v>
      </c>
      <c r="F1100" t="s">
        <v>17</v>
      </c>
      <c r="G1100" t="s">
        <v>704</v>
      </c>
      <c r="H1100">
        <v>28</v>
      </c>
      <c r="I1100" t="s">
        <v>37</v>
      </c>
      <c r="J1100">
        <v>0</v>
      </c>
      <c r="M1100" t="s">
        <v>241</v>
      </c>
      <c r="N1100" t="s">
        <v>705</v>
      </c>
    </row>
    <row r="1101" spans="1:17" x14ac:dyDescent="0.15">
      <c r="A1101" t="s">
        <v>67</v>
      </c>
      <c r="B1101" t="s">
        <v>162</v>
      </c>
      <c r="C1101">
        <v>163</v>
      </c>
      <c r="D1101" t="s">
        <v>161</v>
      </c>
      <c r="E1101" s="1">
        <v>42830</v>
      </c>
      <c r="F1101" t="s">
        <v>17</v>
      </c>
      <c r="G1101" t="s">
        <v>704</v>
      </c>
      <c r="H1101">
        <v>28</v>
      </c>
      <c r="I1101" t="s">
        <v>37</v>
      </c>
      <c r="J1101">
        <v>0</v>
      </c>
      <c r="M1101" t="s">
        <v>1910</v>
      </c>
      <c r="N1101" t="s">
        <v>705</v>
      </c>
      <c r="O1101">
        <v>0</v>
      </c>
      <c r="P1101">
        <v>0</v>
      </c>
      <c r="Q1101" t="s">
        <v>381</v>
      </c>
    </row>
    <row r="1102" spans="1:17" x14ac:dyDescent="0.15">
      <c r="A1102" t="s">
        <v>67</v>
      </c>
      <c r="B1102" t="s">
        <v>162</v>
      </c>
      <c r="C1102">
        <v>163</v>
      </c>
      <c r="D1102" t="s">
        <v>161</v>
      </c>
      <c r="E1102" s="1">
        <v>42832</v>
      </c>
      <c r="F1102" t="s">
        <v>383</v>
      </c>
      <c r="G1102" t="s">
        <v>388</v>
      </c>
      <c r="H1102">
        <v>-112</v>
      </c>
      <c r="I1102" t="s">
        <v>37</v>
      </c>
      <c r="J1102">
        <v>0</v>
      </c>
      <c r="M1102" t="s">
        <v>241</v>
      </c>
      <c r="N1102" t="s">
        <v>390</v>
      </c>
    </row>
    <row r="1103" spans="1:17" x14ac:dyDescent="0.15">
      <c r="A1103" t="s">
        <v>67</v>
      </c>
      <c r="B1103" t="s">
        <v>162</v>
      </c>
      <c r="C1103">
        <v>163</v>
      </c>
      <c r="D1103" t="s">
        <v>161</v>
      </c>
      <c r="E1103" s="1">
        <v>42832</v>
      </c>
      <c r="F1103" t="s">
        <v>383</v>
      </c>
      <c r="G1103" t="s">
        <v>388</v>
      </c>
      <c r="H1103">
        <v>-112</v>
      </c>
      <c r="I1103" t="s">
        <v>37</v>
      </c>
      <c r="J1103">
        <v>0</v>
      </c>
      <c r="M1103" t="s">
        <v>1910</v>
      </c>
      <c r="N1103" t="s">
        <v>390</v>
      </c>
      <c r="O1103">
        <v>0</v>
      </c>
      <c r="P1103">
        <v>0</v>
      </c>
      <c r="Q1103" t="s">
        <v>381</v>
      </c>
    </row>
    <row r="1104" spans="1:17" x14ac:dyDescent="0.15">
      <c r="A1104" t="s">
        <v>67</v>
      </c>
      <c r="B1104" t="s">
        <v>162</v>
      </c>
      <c r="C1104">
        <v>163</v>
      </c>
      <c r="D1104" t="s">
        <v>161</v>
      </c>
      <c r="E1104" s="1">
        <v>42832</v>
      </c>
      <c r="F1104" t="s">
        <v>383</v>
      </c>
      <c r="G1104" t="s">
        <v>441</v>
      </c>
      <c r="H1104">
        <v>-2</v>
      </c>
      <c r="I1104" t="s">
        <v>37</v>
      </c>
      <c r="J1104">
        <v>0</v>
      </c>
      <c r="M1104" t="s">
        <v>241</v>
      </c>
      <c r="N1104" t="s">
        <v>443</v>
      </c>
    </row>
    <row r="1105" spans="1:17" x14ac:dyDescent="0.15">
      <c r="A1105" t="s">
        <v>67</v>
      </c>
      <c r="B1105" t="s">
        <v>162</v>
      </c>
      <c r="C1105">
        <v>163</v>
      </c>
      <c r="D1105" t="s">
        <v>161</v>
      </c>
      <c r="E1105" s="1">
        <v>42832</v>
      </c>
      <c r="F1105" t="s">
        <v>383</v>
      </c>
      <c r="G1105" t="s">
        <v>441</v>
      </c>
      <c r="H1105">
        <v>-2</v>
      </c>
      <c r="I1105" t="s">
        <v>37</v>
      </c>
      <c r="J1105">
        <v>0</v>
      </c>
      <c r="M1105" t="s">
        <v>1910</v>
      </c>
      <c r="N1105" t="s">
        <v>443</v>
      </c>
      <c r="O1105">
        <v>0</v>
      </c>
      <c r="P1105">
        <v>0</v>
      </c>
      <c r="Q1105" t="s">
        <v>381</v>
      </c>
    </row>
    <row r="1106" spans="1:17" x14ac:dyDescent="0.15">
      <c r="A1106" t="s">
        <v>67</v>
      </c>
      <c r="B1106" t="s">
        <v>162</v>
      </c>
      <c r="C1106">
        <v>163</v>
      </c>
      <c r="D1106" t="s">
        <v>161</v>
      </c>
      <c r="E1106" s="1">
        <v>42835</v>
      </c>
      <c r="F1106" t="s">
        <v>17</v>
      </c>
      <c r="G1106" t="s">
        <v>708</v>
      </c>
      <c r="H1106">
        <v>112</v>
      </c>
      <c r="I1106" t="s">
        <v>37</v>
      </c>
      <c r="J1106">
        <v>0</v>
      </c>
      <c r="M1106" t="s">
        <v>241</v>
      </c>
      <c r="N1106" t="s">
        <v>710</v>
      </c>
    </row>
    <row r="1107" spans="1:17" x14ac:dyDescent="0.15">
      <c r="A1107" t="s">
        <v>67</v>
      </c>
      <c r="B1107" t="s">
        <v>162</v>
      </c>
      <c r="C1107">
        <v>163</v>
      </c>
      <c r="D1107" t="s">
        <v>161</v>
      </c>
      <c r="E1107" s="1">
        <v>42835</v>
      </c>
      <c r="F1107" t="s">
        <v>17</v>
      </c>
      <c r="G1107" t="s">
        <v>708</v>
      </c>
      <c r="H1107">
        <v>112</v>
      </c>
      <c r="I1107" t="s">
        <v>37</v>
      </c>
      <c r="J1107">
        <v>0</v>
      </c>
      <c r="M1107" t="s">
        <v>1910</v>
      </c>
      <c r="N1107" t="s">
        <v>710</v>
      </c>
      <c r="O1107">
        <v>0</v>
      </c>
      <c r="P1107">
        <v>0</v>
      </c>
      <c r="Q1107" t="s">
        <v>381</v>
      </c>
    </row>
    <row r="1108" spans="1:17" x14ac:dyDescent="0.15">
      <c r="A1108" t="s">
        <v>67</v>
      </c>
      <c r="B1108" t="s">
        <v>162</v>
      </c>
      <c r="C1108">
        <v>163</v>
      </c>
      <c r="D1108" t="s">
        <v>161</v>
      </c>
      <c r="E1108" s="1">
        <v>42836</v>
      </c>
      <c r="F1108" t="s">
        <v>383</v>
      </c>
      <c r="G1108" t="s">
        <v>439</v>
      </c>
      <c r="H1108">
        <v>-20</v>
      </c>
      <c r="I1108" t="s">
        <v>37</v>
      </c>
      <c r="J1108">
        <v>0</v>
      </c>
      <c r="M1108" t="s">
        <v>241</v>
      </c>
      <c r="N1108" t="s">
        <v>440</v>
      </c>
    </row>
    <row r="1109" spans="1:17" x14ac:dyDescent="0.15">
      <c r="A1109" t="s">
        <v>67</v>
      </c>
      <c r="B1109" t="s">
        <v>162</v>
      </c>
      <c r="C1109">
        <v>163</v>
      </c>
      <c r="D1109" t="s">
        <v>161</v>
      </c>
      <c r="E1109" s="1">
        <v>42836</v>
      </c>
      <c r="F1109" t="s">
        <v>383</v>
      </c>
      <c r="G1109" t="s">
        <v>439</v>
      </c>
      <c r="H1109">
        <v>-20</v>
      </c>
      <c r="I1109" t="s">
        <v>37</v>
      </c>
      <c r="J1109">
        <v>0</v>
      </c>
      <c r="M1109" t="s">
        <v>1910</v>
      </c>
      <c r="N1109" t="s">
        <v>440</v>
      </c>
      <c r="O1109">
        <v>0</v>
      </c>
      <c r="P1109">
        <v>0</v>
      </c>
      <c r="Q1109" t="s">
        <v>381</v>
      </c>
    </row>
    <row r="1110" spans="1:17" x14ac:dyDescent="0.15">
      <c r="A1110" t="s">
        <v>67</v>
      </c>
      <c r="B1110" t="s">
        <v>162</v>
      </c>
      <c r="C1110">
        <v>163</v>
      </c>
      <c r="D1110" t="s">
        <v>161</v>
      </c>
      <c r="E1110" s="1">
        <v>42836</v>
      </c>
      <c r="F1110" t="s">
        <v>383</v>
      </c>
      <c r="G1110" t="s">
        <v>444</v>
      </c>
      <c r="H1110">
        <v>-14</v>
      </c>
      <c r="I1110" t="s">
        <v>37</v>
      </c>
      <c r="J1110">
        <v>0</v>
      </c>
      <c r="M1110" t="s">
        <v>241</v>
      </c>
      <c r="N1110" t="s">
        <v>447</v>
      </c>
    </row>
    <row r="1111" spans="1:17" x14ac:dyDescent="0.15">
      <c r="A1111" t="s">
        <v>67</v>
      </c>
      <c r="B1111" t="s">
        <v>162</v>
      </c>
      <c r="C1111">
        <v>163</v>
      </c>
      <c r="D1111" t="s">
        <v>161</v>
      </c>
      <c r="E1111" s="1">
        <v>42836</v>
      </c>
      <c r="F1111" t="s">
        <v>383</v>
      </c>
      <c r="G1111" t="s">
        <v>444</v>
      </c>
      <c r="H1111">
        <v>-14</v>
      </c>
      <c r="I1111" t="s">
        <v>37</v>
      </c>
      <c r="J1111">
        <v>0</v>
      </c>
      <c r="M1111" t="s">
        <v>1910</v>
      </c>
      <c r="N1111" t="s">
        <v>447</v>
      </c>
      <c r="O1111">
        <v>0</v>
      </c>
      <c r="P1111">
        <v>0</v>
      </c>
      <c r="Q1111" t="s">
        <v>381</v>
      </c>
    </row>
    <row r="1112" spans="1:17" x14ac:dyDescent="0.15">
      <c r="A1112" t="s">
        <v>67</v>
      </c>
      <c r="B1112" t="s">
        <v>162</v>
      </c>
      <c r="C1112">
        <v>163</v>
      </c>
      <c r="D1112" t="s">
        <v>161</v>
      </c>
      <c r="E1112" s="1">
        <v>42836</v>
      </c>
      <c r="F1112" t="s">
        <v>383</v>
      </c>
      <c r="G1112" t="s">
        <v>448</v>
      </c>
      <c r="H1112">
        <v>-28</v>
      </c>
      <c r="I1112" t="s">
        <v>37</v>
      </c>
      <c r="J1112">
        <v>0</v>
      </c>
      <c r="M1112" t="s">
        <v>241</v>
      </c>
      <c r="N1112" t="s">
        <v>451</v>
      </c>
    </row>
    <row r="1113" spans="1:17" x14ac:dyDescent="0.15">
      <c r="A1113" t="s">
        <v>67</v>
      </c>
      <c r="B1113" t="s">
        <v>162</v>
      </c>
      <c r="C1113">
        <v>163</v>
      </c>
      <c r="D1113" t="s">
        <v>161</v>
      </c>
      <c r="E1113" s="1">
        <v>42836</v>
      </c>
      <c r="F1113" t="s">
        <v>383</v>
      </c>
      <c r="G1113" t="s">
        <v>448</v>
      </c>
      <c r="H1113">
        <v>-28</v>
      </c>
      <c r="I1113" t="s">
        <v>37</v>
      </c>
      <c r="J1113">
        <v>0</v>
      </c>
      <c r="M1113" t="s">
        <v>1910</v>
      </c>
      <c r="N1113" t="s">
        <v>451</v>
      </c>
      <c r="O1113">
        <v>0</v>
      </c>
      <c r="P1113">
        <v>0</v>
      </c>
      <c r="Q1113" t="s">
        <v>381</v>
      </c>
    </row>
    <row r="1114" spans="1:17" x14ac:dyDescent="0.15">
      <c r="A1114" t="s">
        <v>67</v>
      </c>
      <c r="B1114" t="s">
        <v>162</v>
      </c>
      <c r="C1114">
        <v>163</v>
      </c>
      <c r="D1114" t="s">
        <v>161</v>
      </c>
      <c r="E1114" s="1">
        <v>42839</v>
      </c>
      <c r="F1114" t="s">
        <v>383</v>
      </c>
      <c r="G1114" t="s">
        <v>456</v>
      </c>
      <c r="H1114">
        <v>-2</v>
      </c>
      <c r="I1114" t="s">
        <v>37</v>
      </c>
      <c r="J1114">
        <v>0</v>
      </c>
      <c r="M1114" t="s">
        <v>241</v>
      </c>
      <c r="N1114" t="s">
        <v>457</v>
      </c>
    </row>
    <row r="1115" spans="1:17" x14ac:dyDescent="0.15">
      <c r="A1115" t="s">
        <v>67</v>
      </c>
      <c r="B1115" t="s">
        <v>162</v>
      </c>
      <c r="C1115">
        <v>163</v>
      </c>
      <c r="D1115" t="s">
        <v>161</v>
      </c>
      <c r="E1115" s="1">
        <v>42839</v>
      </c>
      <c r="F1115" t="s">
        <v>383</v>
      </c>
      <c r="G1115" t="s">
        <v>456</v>
      </c>
      <c r="H1115">
        <v>-2</v>
      </c>
      <c r="I1115" t="s">
        <v>37</v>
      </c>
      <c r="J1115">
        <v>0</v>
      </c>
      <c r="M1115" t="s">
        <v>1910</v>
      </c>
      <c r="N1115" t="s">
        <v>457</v>
      </c>
      <c r="O1115">
        <v>0</v>
      </c>
      <c r="P1115">
        <v>0</v>
      </c>
      <c r="Q1115" t="s">
        <v>381</v>
      </c>
    </row>
    <row r="1116" spans="1:17" x14ac:dyDescent="0.15">
      <c r="A1116" t="s">
        <v>67</v>
      </c>
      <c r="B1116" t="s">
        <v>162</v>
      </c>
      <c r="C1116">
        <v>163</v>
      </c>
      <c r="D1116" t="s">
        <v>161</v>
      </c>
      <c r="E1116" s="1">
        <v>42839</v>
      </c>
      <c r="F1116" t="s">
        <v>383</v>
      </c>
      <c r="G1116" t="s">
        <v>471</v>
      </c>
      <c r="H1116">
        <v>-10</v>
      </c>
      <c r="I1116" t="s">
        <v>37</v>
      </c>
      <c r="J1116">
        <v>0</v>
      </c>
      <c r="M1116" t="s">
        <v>241</v>
      </c>
      <c r="N1116" t="s">
        <v>473</v>
      </c>
    </row>
    <row r="1117" spans="1:17" x14ac:dyDescent="0.15">
      <c r="A1117" t="s">
        <v>67</v>
      </c>
      <c r="B1117" t="s">
        <v>162</v>
      </c>
      <c r="C1117">
        <v>163</v>
      </c>
      <c r="D1117" t="s">
        <v>161</v>
      </c>
      <c r="E1117" s="1">
        <v>42839</v>
      </c>
      <c r="F1117" t="s">
        <v>383</v>
      </c>
      <c r="G1117" t="s">
        <v>471</v>
      </c>
      <c r="H1117">
        <v>-10</v>
      </c>
      <c r="I1117" t="s">
        <v>37</v>
      </c>
      <c r="J1117">
        <v>0</v>
      </c>
      <c r="M1117" t="s">
        <v>1910</v>
      </c>
      <c r="N1117" t="s">
        <v>473</v>
      </c>
      <c r="O1117">
        <v>0</v>
      </c>
      <c r="P1117">
        <v>0</v>
      </c>
      <c r="Q1117" t="s">
        <v>381</v>
      </c>
    </row>
    <row r="1118" spans="1:17" x14ac:dyDescent="0.15">
      <c r="A1118" t="s">
        <v>67</v>
      </c>
      <c r="B1118" t="s">
        <v>162</v>
      </c>
      <c r="C1118">
        <v>163</v>
      </c>
      <c r="D1118" t="s">
        <v>161</v>
      </c>
      <c r="E1118" s="1">
        <v>42839</v>
      </c>
      <c r="F1118" t="s">
        <v>383</v>
      </c>
      <c r="G1118" t="s">
        <v>471</v>
      </c>
      <c r="H1118">
        <v>-16</v>
      </c>
      <c r="I1118" t="s">
        <v>37</v>
      </c>
      <c r="J1118">
        <v>0</v>
      </c>
      <c r="M1118" t="s">
        <v>241</v>
      </c>
      <c r="N1118" t="s">
        <v>474</v>
      </c>
    </row>
    <row r="1119" spans="1:17" x14ac:dyDescent="0.15">
      <c r="A1119" t="s">
        <v>67</v>
      </c>
      <c r="B1119" t="s">
        <v>162</v>
      </c>
      <c r="C1119">
        <v>163</v>
      </c>
      <c r="D1119" t="s">
        <v>161</v>
      </c>
      <c r="E1119" s="1">
        <v>42839</v>
      </c>
      <c r="F1119" t="s">
        <v>383</v>
      </c>
      <c r="G1119" t="s">
        <v>471</v>
      </c>
      <c r="H1119">
        <v>-16</v>
      </c>
      <c r="I1119" t="s">
        <v>37</v>
      </c>
      <c r="J1119">
        <v>0</v>
      </c>
      <c r="M1119" t="s">
        <v>1910</v>
      </c>
      <c r="N1119" t="s">
        <v>474</v>
      </c>
      <c r="O1119">
        <v>0</v>
      </c>
      <c r="P1119">
        <v>0</v>
      </c>
      <c r="Q1119" t="s">
        <v>381</v>
      </c>
    </row>
    <row r="1120" spans="1:17" x14ac:dyDescent="0.15">
      <c r="A1120" t="s">
        <v>67</v>
      </c>
      <c r="B1120" t="s">
        <v>162</v>
      </c>
      <c r="C1120">
        <v>163</v>
      </c>
      <c r="D1120" t="s">
        <v>161</v>
      </c>
      <c r="E1120" s="1">
        <v>42843</v>
      </c>
      <c r="F1120" t="s">
        <v>383</v>
      </c>
      <c r="G1120" t="s">
        <v>424</v>
      </c>
      <c r="H1120">
        <v>-420</v>
      </c>
      <c r="I1120" t="s">
        <v>37</v>
      </c>
      <c r="J1120">
        <v>0</v>
      </c>
      <c r="M1120" t="s">
        <v>241</v>
      </c>
      <c r="N1120" t="s">
        <v>426</v>
      </c>
    </row>
    <row r="1121" spans="1:17" x14ac:dyDescent="0.15">
      <c r="A1121" t="s">
        <v>67</v>
      </c>
      <c r="B1121" t="s">
        <v>162</v>
      </c>
      <c r="C1121">
        <v>163</v>
      </c>
      <c r="D1121" t="s">
        <v>161</v>
      </c>
      <c r="E1121" s="1">
        <v>42843</v>
      </c>
      <c r="F1121" t="s">
        <v>383</v>
      </c>
      <c r="G1121" t="s">
        <v>424</v>
      </c>
      <c r="H1121">
        <v>-420</v>
      </c>
      <c r="I1121" t="s">
        <v>37</v>
      </c>
      <c r="J1121">
        <v>0</v>
      </c>
      <c r="M1121" t="s">
        <v>1910</v>
      </c>
      <c r="N1121" t="s">
        <v>426</v>
      </c>
      <c r="O1121">
        <v>0</v>
      </c>
      <c r="P1121">
        <v>0</v>
      </c>
      <c r="Q1121" t="s">
        <v>381</v>
      </c>
    </row>
    <row r="1122" spans="1:17" x14ac:dyDescent="0.15">
      <c r="A1122" t="s">
        <v>67</v>
      </c>
      <c r="B1122" t="s">
        <v>162</v>
      </c>
      <c r="C1122">
        <v>163</v>
      </c>
      <c r="D1122" t="s">
        <v>161</v>
      </c>
      <c r="E1122" s="1">
        <v>42843</v>
      </c>
      <c r="F1122" t="s">
        <v>17</v>
      </c>
      <c r="G1122" t="s">
        <v>216</v>
      </c>
      <c r="H1122">
        <v>84</v>
      </c>
      <c r="I1122" t="s">
        <v>37</v>
      </c>
      <c r="J1122">
        <v>0</v>
      </c>
      <c r="M1122" t="s">
        <v>241</v>
      </c>
      <c r="N1122" t="s">
        <v>712</v>
      </c>
    </row>
    <row r="1123" spans="1:17" x14ac:dyDescent="0.15">
      <c r="A1123" t="s">
        <v>67</v>
      </c>
      <c r="B1123" t="s">
        <v>162</v>
      </c>
      <c r="C1123">
        <v>163</v>
      </c>
      <c r="D1123" t="s">
        <v>161</v>
      </c>
      <c r="E1123" s="1">
        <v>42843</v>
      </c>
      <c r="F1123" t="s">
        <v>17</v>
      </c>
      <c r="G1123" t="s">
        <v>216</v>
      </c>
      <c r="H1123">
        <v>84</v>
      </c>
      <c r="I1123" t="s">
        <v>37</v>
      </c>
      <c r="J1123">
        <v>0</v>
      </c>
      <c r="M1123" t="s">
        <v>1910</v>
      </c>
      <c r="N1123" t="s">
        <v>712</v>
      </c>
      <c r="O1123">
        <v>0</v>
      </c>
      <c r="P1123">
        <v>0</v>
      </c>
      <c r="Q1123" t="s">
        <v>381</v>
      </c>
    </row>
    <row r="1124" spans="1:17" x14ac:dyDescent="0.15">
      <c r="A1124" t="s">
        <v>67</v>
      </c>
      <c r="B1124" t="s">
        <v>162</v>
      </c>
      <c r="C1124">
        <v>163</v>
      </c>
      <c r="D1124" t="s">
        <v>161</v>
      </c>
      <c r="E1124" s="1">
        <v>42846</v>
      </c>
      <c r="F1124" t="s">
        <v>383</v>
      </c>
      <c r="G1124" t="s">
        <v>411</v>
      </c>
      <c r="H1124">
        <v>-56</v>
      </c>
      <c r="I1124" t="s">
        <v>37</v>
      </c>
      <c r="J1124">
        <v>0</v>
      </c>
      <c r="M1124" t="s">
        <v>241</v>
      </c>
      <c r="N1124" t="s">
        <v>413</v>
      </c>
    </row>
    <row r="1125" spans="1:17" x14ac:dyDescent="0.15">
      <c r="A1125" t="s">
        <v>67</v>
      </c>
      <c r="B1125" t="s">
        <v>162</v>
      </c>
      <c r="C1125">
        <v>163</v>
      </c>
      <c r="D1125" t="s">
        <v>161</v>
      </c>
      <c r="E1125" s="1">
        <v>42846</v>
      </c>
      <c r="F1125" t="s">
        <v>383</v>
      </c>
      <c r="G1125" t="s">
        <v>411</v>
      </c>
      <c r="H1125">
        <v>-56</v>
      </c>
      <c r="I1125" t="s">
        <v>37</v>
      </c>
      <c r="J1125">
        <v>0</v>
      </c>
      <c r="M1125" t="s">
        <v>1910</v>
      </c>
      <c r="N1125" t="s">
        <v>413</v>
      </c>
      <c r="O1125">
        <v>0</v>
      </c>
      <c r="P1125">
        <v>0</v>
      </c>
      <c r="Q1125" t="s">
        <v>381</v>
      </c>
    </row>
    <row r="1126" spans="1:17" x14ac:dyDescent="0.15">
      <c r="A1126" t="s">
        <v>67</v>
      </c>
      <c r="B1126" t="s">
        <v>162</v>
      </c>
      <c r="C1126">
        <v>163</v>
      </c>
      <c r="D1126" t="s">
        <v>161</v>
      </c>
      <c r="E1126" s="1">
        <v>42849</v>
      </c>
      <c r="F1126" t="s">
        <v>383</v>
      </c>
      <c r="G1126" t="s">
        <v>485</v>
      </c>
      <c r="H1126">
        <v>-2</v>
      </c>
      <c r="I1126" t="s">
        <v>37</v>
      </c>
      <c r="J1126">
        <v>0</v>
      </c>
      <c r="M1126" t="s">
        <v>241</v>
      </c>
      <c r="N1126" t="s">
        <v>486</v>
      </c>
    </row>
    <row r="1127" spans="1:17" x14ac:dyDescent="0.15">
      <c r="A1127" t="s">
        <v>67</v>
      </c>
      <c r="B1127" t="s">
        <v>162</v>
      </c>
      <c r="C1127">
        <v>163</v>
      </c>
      <c r="D1127" t="s">
        <v>161</v>
      </c>
      <c r="E1127" s="1">
        <v>42849</v>
      </c>
      <c r="F1127" t="s">
        <v>383</v>
      </c>
      <c r="G1127" t="s">
        <v>485</v>
      </c>
      <c r="H1127">
        <v>-2</v>
      </c>
      <c r="I1127" t="s">
        <v>37</v>
      </c>
      <c r="J1127">
        <v>0</v>
      </c>
      <c r="M1127" t="s">
        <v>1910</v>
      </c>
      <c r="N1127" t="s">
        <v>486</v>
      </c>
      <c r="O1127">
        <v>0</v>
      </c>
      <c r="P1127">
        <v>0</v>
      </c>
      <c r="Q1127" t="s">
        <v>381</v>
      </c>
    </row>
    <row r="1128" spans="1:17" x14ac:dyDescent="0.15">
      <c r="A1128" t="s">
        <v>67</v>
      </c>
      <c r="B1128" t="s">
        <v>162</v>
      </c>
      <c r="C1128">
        <v>163</v>
      </c>
      <c r="D1128" t="s">
        <v>161</v>
      </c>
      <c r="E1128" s="1">
        <v>42849</v>
      </c>
      <c r="F1128" t="s">
        <v>17</v>
      </c>
      <c r="G1128" t="s">
        <v>728</v>
      </c>
      <c r="H1128">
        <v>84</v>
      </c>
      <c r="I1128" t="s">
        <v>37</v>
      </c>
      <c r="J1128">
        <v>0</v>
      </c>
      <c r="M1128" t="s">
        <v>241</v>
      </c>
      <c r="N1128" t="s">
        <v>730</v>
      </c>
    </row>
    <row r="1129" spans="1:17" x14ac:dyDescent="0.15">
      <c r="A1129" t="s">
        <v>67</v>
      </c>
      <c r="B1129" t="s">
        <v>162</v>
      </c>
      <c r="C1129">
        <v>163</v>
      </c>
      <c r="D1129" t="s">
        <v>161</v>
      </c>
      <c r="E1129" s="1">
        <v>42849</v>
      </c>
      <c r="F1129" t="s">
        <v>17</v>
      </c>
      <c r="G1129" t="s">
        <v>728</v>
      </c>
      <c r="H1129">
        <v>84</v>
      </c>
      <c r="I1129" t="s">
        <v>37</v>
      </c>
      <c r="J1129">
        <v>0</v>
      </c>
      <c r="M1129" t="s">
        <v>1910</v>
      </c>
      <c r="N1129" t="s">
        <v>730</v>
      </c>
      <c r="O1129">
        <v>0</v>
      </c>
      <c r="P1129">
        <v>0</v>
      </c>
      <c r="Q1129" t="s">
        <v>381</v>
      </c>
    </row>
    <row r="1130" spans="1:17" x14ac:dyDescent="0.15">
      <c r="A1130" t="s">
        <v>67</v>
      </c>
      <c r="B1130" t="s">
        <v>162</v>
      </c>
      <c r="C1130">
        <v>163</v>
      </c>
      <c r="D1130" t="s">
        <v>161</v>
      </c>
      <c r="E1130" s="1">
        <v>42849</v>
      </c>
      <c r="F1130" t="s">
        <v>17</v>
      </c>
      <c r="G1130" t="s">
        <v>731</v>
      </c>
      <c r="H1130">
        <v>392</v>
      </c>
      <c r="I1130" t="s">
        <v>37</v>
      </c>
      <c r="J1130">
        <v>0</v>
      </c>
      <c r="M1130" t="s">
        <v>241</v>
      </c>
      <c r="N1130" t="s">
        <v>732</v>
      </c>
    </row>
    <row r="1131" spans="1:17" x14ac:dyDescent="0.15">
      <c r="A1131" t="s">
        <v>67</v>
      </c>
      <c r="B1131" t="s">
        <v>162</v>
      </c>
      <c r="C1131">
        <v>163</v>
      </c>
      <c r="D1131" t="s">
        <v>161</v>
      </c>
      <c r="E1131" s="1">
        <v>42849</v>
      </c>
      <c r="F1131" t="s">
        <v>17</v>
      </c>
      <c r="G1131" t="s">
        <v>731</v>
      </c>
      <c r="H1131">
        <v>392</v>
      </c>
      <c r="I1131" t="s">
        <v>37</v>
      </c>
      <c r="J1131">
        <v>0</v>
      </c>
      <c r="M1131" t="s">
        <v>1910</v>
      </c>
      <c r="N1131" t="s">
        <v>732</v>
      </c>
      <c r="O1131">
        <v>0</v>
      </c>
      <c r="P1131">
        <v>0</v>
      </c>
      <c r="Q1131" t="s">
        <v>381</v>
      </c>
    </row>
    <row r="1132" spans="1:17" x14ac:dyDescent="0.15">
      <c r="A1132" t="s">
        <v>67</v>
      </c>
      <c r="B1132" t="s">
        <v>162</v>
      </c>
      <c r="C1132">
        <v>163</v>
      </c>
      <c r="D1132" t="s">
        <v>161</v>
      </c>
      <c r="E1132" s="1">
        <v>42850</v>
      </c>
      <c r="F1132" t="s">
        <v>383</v>
      </c>
      <c r="G1132" t="s">
        <v>488</v>
      </c>
      <c r="H1132">
        <v>-20</v>
      </c>
      <c r="I1132" t="s">
        <v>37</v>
      </c>
      <c r="J1132">
        <v>0</v>
      </c>
      <c r="M1132" t="s">
        <v>241</v>
      </c>
      <c r="N1132" t="s">
        <v>493</v>
      </c>
    </row>
    <row r="1133" spans="1:17" x14ac:dyDescent="0.15">
      <c r="A1133" t="s">
        <v>67</v>
      </c>
      <c r="B1133" t="s">
        <v>162</v>
      </c>
      <c r="C1133">
        <v>163</v>
      </c>
      <c r="D1133" t="s">
        <v>161</v>
      </c>
      <c r="E1133" s="1">
        <v>42850</v>
      </c>
      <c r="F1133" t="s">
        <v>383</v>
      </c>
      <c r="G1133" t="s">
        <v>488</v>
      </c>
      <c r="H1133">
        <v>-20</v>
      </c>
      <c r="I1133" t="s">
        <v>37</v>
      </c>
      <c r="J1133">
        <v>0</v>
      </c>
      <c r="M1133" t="s">
        <v>1910</v>
      </c>
      <c r="N1133" t="s">
        <v>493</v>
      </c>
      <c r="O1133">
        <v>0</v>
      </c>
      <c r="P1133">
        <v>0</v>
      </c>
      <c r="Q1133" t="s">
        <v>381</v>
      </c>
    </row>
    <row r="1134" spans="1:17" x14ac:dyDescent="0.15">
      <c r="A1134" t="s">
        <v>67</v>
      </c>
      <c r="B1134" t="s">
        <v>162</v>
      </c>
      <c r="C1134">
        <v>163</v>
      </c>
      <c r="D1134" t="s">
        <v>161</v>
      </c>
      <c r="E1134" s="1">
        <v>42851</v>
      </c>
      <c r="F1134" t="s">
        <v>383</v>
      </c>
      <c r="G1134" t="s">
        <v>458</v>
      </c>
      <c r="H1134">
        <v>-10</v>
      </c>
      <c r="I1134" t="s">
        <v>37</v>
      </c>
      <c r="J1134">
        <v>0</v>
      </c>
      <c r="M1134" t="s">
        <v>241</v>
      </c>
      <c r="N1134" t="s">
        <v>464</v>
      </c>
    </row>
    <row r="1135" spans="1:17" x14ac:dyDescent="0.15">
      <c r="A1135" t="s">
        <v>67</v>
      </c>
      <c r="B1135" t="s">
        <v>162</v>
      </c>
      <c r="C1135">
        <v>163</v>
      </c>
      <c r="D1135" t="s">
        <v>161</v>
      </c>
      <c r="E1135" s="1">
        <v>42851</v>
      </c>
      <c r="F1135" t="s">
        <v>383</v>
      </c>
      <c r="G1135" t="s">
        <v>458</v>
      </c>
      <c r="H1135">
        <v>-10</v>
      </c>
      <c r="I1135" t="s">
        <v>37</v>
      </c>
      <c r="J1135">
        <v>0</v>
      </c>
      <c r="M1135" t="s">
        <v>1910</v>
      </c>
      <c r="N1135" t="s">
        <v>464</v>
      </c>
      <c r="O1135">
        <v>0</v>
      </c>
      <c r="P1135">
        <v>0</v>
      </c>
      <c r="Q1135" t="s">
        <v>381</v>
      </c>
    </row>
    <row r="1136" spans="1:17" x14ac:dyDescent="0.15">
      <c r="A1136" t="s">
        <v>67</v>
      </c>
      <c r="B1136" t="s">
        <v>162</v>
      </c>
      <c r="C1136">
        <v>163</v>
      </c>
      <c r="D1136" t="s">
        <v>161</v>
      </c>
      <c r="E1136" s="1">
        <v>42851</v>
      </c>
      <c r="F1136" t="s">
        <v>383</v>
      </c>
      <c r="G1136" t="s">
        <v>500</v>
      </c>
      <c r="H1136">
        <v>-20</v>
      </c>
      <c r="I1136" t="s">
        <v>37</v>
      </c>
      <c r="J1136">
        <v>0</v>
      </c>
      <c r="M1136" t="s">
        <v>241</v>
      </c>
      <c r="N1136" t="s">
        <v>501</v>
      </c>
    </row>
    <row r="1137" spans="1:17" x14ac:dyDescent="0.15">
      <c r="A1137" t="s">
        <v>67</v>
      </c>
      <c r="B1137" t="s">
        <v>162</v>
      </c>
      <c r="C1137">
        <v>163</v>
      </c>
      <c r="D1137" t="s">
        <v>161</v>
      </c>
      <c r="E1137" s="1">
        <v>42851</v>
      </c>
      <c r="F1137" t="s">
        <v>383</v>
      </c>
      <c r="G1137" t="s">
        <v>500</v>
      </c>
      <c r="H1137">
        <v>-20</v>
      </c>
      <c r="I1137" t="s">
        <v>37</v>
      </c>
      <c r="J1137">
        <v>0</v>
      </c>
      <c r="M1137" t="s">
        <v>1910</v>
      </c>
      <c r="N1137" t="s">
        <v>501</v>
      </c>
      <c r="O1137">
        <v>0</v>
      </c>
      <c r="P1137">
        <v>0</v>
      </c>
      <c r="Q1137" t="s">
        <v>381</v>
      </c>
    </row>
    <row r="1138" spans="1:17" x14ac:dyDescent="0.15">
      <c r="A1138" t="s">
        <v>67</v>
      </c>
      <c r="B1138" t="s">
        <v>162</v>
      </c>
      <c r="C1138">
        <v>163</v>
      </c>
      <c r="D1138" t="s">
        <v>161</v>
      </c>
      <c r="E1138" s="1">
        <v>42851</v>
      </c>
      <c r="F1138" t="s">
        <v>383</v>
      </c>
      <c r="G1138" t="s">
        <v>506</v>
      </c>
      <c r="H1138">
        <v>-2</v>
      </c>
      <c r="I1138" t="s">
        <v>37</v>
      </c>
      <c r="J1138">
        <v>0</v>
      </c>
      <c r="M1138" t="s">
        <v>241</v>
      </c>
      <c r="N1138" t="s">
        <v>508</v>
      </c>
    </row>
    <row r="1139" spans="1:17" x14ac:dyDescent="0.15">
      <c r="A1139" t="s">
        <v>67</v>
      </c>
      <c r="B1139" t="s">
        <v>162</v>
      </c>
      <c r="C1139">
        <v>163</v>
      </c>
      <c r="D1139" t="s">
        <v>161</v>
      </c>
      <c r="E1139" s="1">
        <v>42851</v>
      </c>
      <c r="F1139" t="s">
        <v>383</v>
      </c>
      <c r="G1139" t="s">
        <v>506</v>
      </c>
      <c r="H1139">
        <v>-2</v>
      </c>
      <c r="I1139" t="s">
        <v>37</v>
      </c>
      <c r="J1139">
        <v>0</v>
      </c>
      <c r="M1139" t="s">
        <v>1910</v>
      </c>
      <c r="N1139" t="s">
        <v>508</v>
      </c>
      <c r="O1139">
        <v>0</v>
      </c>
      <c r="P1139">
        <v>0</v>
      </c>
      <c r="Q1139" t="s">
        <v>381</v>
      </c>
    </row>
    <row r="1140" spans="1:17" x14ac:dyDescent="0.15">
      <c r="A1140" t="s">
        <v>67</v>
      </c>
      <c r="B1140" t="s">
        <v>162</v>
      </c>
      <c r="C1140">
        <v>163</v>
      </c>
      <c r="D1140" t="s">
        <v>161</v>
      </c>
      <c r="E1140" s="1">
        <v>42851</v>
      </c>
      <c r="F1140" t="s">
        <v>383</v>
      </c>
      <c r="G1140" t="s">
        <v>520</v>
      </c>
      <c r="H1140">
        <v>-3</v>
      </c>
      <c r="I1140" t="s">
        <v>37</v>
      </c>
      <c r="J1140">
        <v>0</v>
      </c>
      <c r="M1140" t="s">
        <v>241</v>
      </c>
      <c r="N1140" t="s">
        <v>522</v>
      </c>
    </row>
    <row r="1141" spans="1:17" x14ac:dyDescent="0.15">
      <c r="A1141" t="s">
        <v>67</v>
      </c>
      <c r="B1141" t="s">
        <v>162</v>
      </c>
      <c r="C1141">
        <v>163</v>
      </c>
      <c r="D1141" t="s">
        <v>161</v>
      </c>
      <c r="E1141" s="1">
        <v>42851</v>
      </c>
      <c r="F1141" t="s">
        <v>383</v>
      </c>
      <c r="G1141" t="s">
        <v>520</v>
      </c>
      <c r="H1141">
        <v>-3</v>
      </c>
      <c r="I1141" t="s">
        <v>37</v>
      </c>
      <c r="J1141">
        <v>0</v>
      </c>
      <c r="M1141" t="s">
        <v>1910</v>
      </c>
      <c r="N1141" t="s">
        <v>522</v>
      </c>
      <c r="O1141">
        <v>0</v>
      </c>
      <c r="P1141">
        <v>0</v>
      </c>
      <c r="Q1141" t="s">
        <v>381</v>
      </c>
    </row>
    <row r="1142" spans="1:17" x14ac:dyDescent="0.15">
      <c r="A1142" t="s">
        <v>67</v>
      </c>
      <c r="B1142" t="s">
        <v>162</v>
      </c>
      <c r="C1142">
        <v>163</v>
      </c>
      <c r="D1142" t="s">
        <v>161</v>
      </c>
      <c r="E1142" s="1">
        <v>42859</v>
      </c>
      <c r="F1142" t="s">
        <v>17</v>
      </c>
      <c r="G1142" t="s">
        <v>750</v>
      </c>
      <c r="H1142">
        <v>112</v>
      </c>
      <c r="I1142" t="s">
        <v>37</v>
      </c>
      <c r="J1142">
        <v>0</v>
      </c>
      <c r="M1142" t="s">
        <v>241</v>
      </c>
      <c r="N1142" t="s">
        <v>751</v>
      </c>
    </row>
    <row r="1143" spans="1:17" x14ac:dyDescent="0.15">
      <c r="A1143" t="s">
        <v>67</v>
      </c>
      <c r="B1143" t="s">
        <v>162</v>
      </c>
      <c r="C1143">
        <v>163</v>
      </c>
      <c r="D1143" t="s">
        <v>161</v>
      </c>
      <c r="E1143" s="1">
        <v>42859</v>
      </c>
      <c r="F1143" t="s">
        <v>17</v>
      </c>
      <c r="G1143" t="s">
        <v>750</v>
      </c>
      <c r="H1143">
        <v>112</v>
      </c>
      <c r="I1143" t="s">
        <v>37</v>
      </c>
      <c r="J1143">
        <v>0</v>
      </c>
      <c r="M1143" t="s">
        <v>1910</v>
      </c>
      <c r="N1143" t="s">
        <v>751</v>
      </c>
      <c r="O1143">
        <v>0</v>
      </c>
      <c r="P1143">
        <v>0</v>
      </c>
      <c r="Q1143" t="s">
        <v>381</v>
      </c>
    </row>
    <row r="1144" spans="1:17" x14ac:dyDescent="0.15">
      <c r="A1144" t="s">
        <v>67</v>
      </c>
      <c r="B1144" t="s">
        <v>162</v>
      </c>
      <c r="C1144">
        <v>163</v>
      </c>
      <c r="D1144" t="s">
        <v>161</v>
      </c>
      <c r="E1144" s="1">
        <v>42860</v>
      </c>
      <c r="F1144" t="s">
        <v>383</v>
      </c>
      <c r="G1144" t="s">
        <v>403</v>
      </c>
      <c r="H1144">
        <v>-112</v>
      </c>
      <c r="I1144" t="s">
        <v>37</v>
      </c>
      <c r="J1144">
        <v>0</v>
      </c>
      <c r="M1144" t="s">
        <v>241</v>
      </c>
      <c r="N1144" t="s">
        <v>404</v>
      </c>
    </row>
    <row r="1145" spans="1:17" x14ac:dyDescent="0.15">
      <c r="A1145" t="s">
        <v>67</v>
      </c>
      <c r="B1145" t="s">
        <v>162</v>
      </c>
      <c r="C1145">
        <v>163</v>
      </c>
      <c r="D1145" t="s">
        <v>161</v>
      </c>
      <c r="E1145" s="1">
        <v>42860</v>
      </c>
      <c r="F1145" t="s">
        <v>383</v>
      </c>
      <c r="G1145" t="s">
        <v>403</v>
      </c>
      <c r="H1145">
        <v>-112</v>
      </c>
      <c r="I1145" t="s">
        <v>37</v>
      </c>
      <c r="J1145">
        <v>0</v>
      </c>
      <c r="M1145" t="s">
        <v>1910</v>
      </c>
      <c r="N1145" t="s">
        <v>404</v>
      </c>
      <c r="O1145">
        <v>0</v>
      </c>
      <c r="P1145">
        <v>0</v>
      </c>
      <c r="Q1145" t="s">
        <v>381</v>
      </c>
    </row>
    <row r="1146" spans="1:17" x14ac:dyDescent="0.15">
      <c r="A1146" t="s">
        <v>67</v>
      </c>
      <c r="B1146" t="s">
        <v>162</v>
      </c>
      <c r="C1146">
        <v>163</v>
      </c>
      <c r="D1146" t="s">
        <v>161</v>
      </c>
      <c r="E1146" s="1">
        <v>42863</v>
      </c>
      <c r="F1146" t="s">
        <v>383</v>
      </c>
      <c r="G1146" t="s">
        <v>394</v>
      </c>
      <c r="H1146">
        <v>-280</v>
      </c>
      <c r="I1146" t="s">
        <v>37</v>
      </c>
      <c r="J1146">
        <v>0</v>
      </c>
      <c r="M1146" t="s">
        <v>241</v>
      </c>
      <c r="N1146" t="s">
        <v>396</v>
      </c>
    </row>
    <row r="1147" spans="1:17" x14ac:dyDescent="0.15">
      <c r="A1147" t="s">
        <v>67</v>
      </c>
      <c r="B1147" t="s">
        <v>162</v>
      </c>
      <c r="C1147">
        <v>163</v>
      </c>
      <c r="D1147" t="s">
        <v>161</v>
      </c>
      <c r="E1147" s="1">
        <v>42863</v>
      </c>
      <c r="F1147" t="s">
        <v>383</v>
      </c>
      <c r="G1147" t="s">
        <v>394</v>
      </c>
      <c r="H1147">
        <v>-280</v>
      </c>
      <c r="I1147" t="s">
        <v>37</v>
      </c>
      <c r="J1147">
        <v>0</v>
      </c>
      <c r="M1147" t="s">
        <v>1910</v>
      </c>
      <c r="N1147" t="s">
        <v>396</v>
      </c>
      <c r="O1147">
        <v>0</v>
      </c>
      <c r="P1147">
        <v>0</v>
      </c>
      <c r="Q1147" t="s">
        <v>381</v>
      </c>
    </row>
    <row r="1148" spans="1:17" x14ac:dyDescent="0.15">
      <c r="A1148" t="s">
        <v>67</v>
      </c>
      <c r="B1148" t="s">
        <v>162</v>
      </c>
      <c r="C1148">
        <v>163</v>
      </c>
      <c r="D1148" t="s">
        <v>161</v>
      </c>
      <c r="E1148" s="1">
        <v>42865</v>
      </c>
      <c r="F1148" t="s">
        <v>383</v>
      </c>
      <c r="G1148" t="s">
        <v>525</v>
      </c>
      <c r="H1148">
        <v>-15</v>
      </c>
      <c r="I1148" t="s">
        <v>37</v>
      </c>
      <c r="J1148">
        <v>0</v>
      </c>
      <c r="M1148" t="s">
        <v>241</v>
      </c>
      <c r="N1148" t="s">
        <v>527</v>
      </c>
    </row>
    <row r="1149" spans="1:17" x14ac:dyDescent="0.15">
      <c r="A1149" t="s">
        <v>67</v>
      </c>
      <c r="B1149" t="s">
        <v>162</v>
      </c>
      <c r="C1149">
        <v>163</v>
      </c>
      <c r="D1149" t="s">
        <v>161</v>
      </c>
      <c r="E1149" s="1">
        <v>42865</v>
      </c>
      <c r="F1149" t="s">
        <v>383</v>
      </c>
      <c r="G1149" t="s">
        <v>525</v>
      </c>
      <c r="H1149">
        <v>-15</v>
      </c>
      <c r="I1149" t="s">
        <v>37</v>
      </c>
      <c r="J1149">
        <v>0</v>
      </c>
      <c r="M1149" t="s">
        <v>1910</v>
      </c>
      <c r="N1149" t="s">
        <v>527</v>
      </c>
      <c r="O1149">
        <v>0</v>
      </c>
      <c r="P1149">
        <v>0</v>
      </c>
      <c r="Q1149" t="s">
        <v>381</v>
      </c>
    </row>
    <row r="1150" spans="1:17" x14ac:dyDescent="0.15">
      <c r="A1150" t="s">
        <v>67</v>
      </c>
      <c r="B1150" t="s">
        <v>162</v>
      </c>
      <c r="C1150">
        <v>163</v>
      </c>
      <c r="D1150" t="s">
        <v>161</v>
      </c>
      <c r="E1150" s="1">
        <v>42865</v>
      </c>
      <c r="F1150" t="s">
        <v>17</v>
      </c>
      <c r="G1150" t="s">
        <v>758</v>
      </c>
      <c r="H1150">
        <v>112</v>
      </c>
      <c r="I1150" t="s">
        <v>37</v>
      </c>
      <c r="J1150">
        <v>0</v>
      </c>
      <c r="M1150" t="s">
        <v>241</v>
      </c>
      <c r="N1150" t="s">
        <v>759</v>
      </c>
    </row>
    <row r="1151" spans="1:17" x14ac:dyDescent="0.15">
      <c r="A1151" t="s">
        <v>67</v>
      </c>
      <c r="B1151" t="s">
        <v>162</v>
      </c>
      <c r="C1151">
        <v>163</v>
      </c>
      <c r="D1151" t="s">
        <v>161</v>
      </c>
      <c r="E1151" s="1">
        <v>42865</v>
      </c>
      <c r="F1151" t="s">
        <v>17</v>
      </c>
      <c r="G1151" t="s">
        <v>758</v>
      </c>
      <c r="H1151">
        <v>112</v>
      </c>
      <c r="I1151" t="s">
        <v>37</v>
      </c>
      <c r="J1151">
        <v>0</v>
      </c>
      <c r="M1151" t="s">
        <v>1910</v>
      </c>
      <c r="N1151" t="s">
        <v>759</v>
      </c>
      <c r="O1151">
        <v>0</v>
      </c>
      <c r="P1151">
        <v>0</v>
      </c>
      <c r="Q1151" t="s">
        <v>381</v>
      </c>
    </row>
    <row r="1152" spans="1:17" x14ac:dyDescent="0.15">
      <c r="A1152" t="s">
        <v>67</v>
      </c>
      <c r="B1152" t="s">
        <v>162</v>
      </c>
      <c r="C1152">
        <v>163</v>
      </c>
      <c r="D1152" t="s">
        <v>161</v>
      </c>
      <c r="E1152" s="1">
        <v>42870</v>
      </c>
      <c r="F1152" t="s">
        <v>17</v>
      </c>
      <c r="G1152" t="s">
        <v>773</v>
      </c>
      <c r="H1152">
        <v>280</v>
      </c>
      <c r="I1152" t="s">
        <v>37</v>
      </c>
      <c r="J1152">
        <v>0</v>
      </c>
      <c r="M1152" t="s">
        <v>241</v>
      </c>
      <c r="N1152" t="s">
        <v>775</v>
      </c>
    </row>
    <row r="1153" spans="1:17" x14ac:dyDescent="0.15">
      <c r="A1153" t="s">
        <v>67</v>
      </c>
      <c r="B1153" t="s">
        <v>162</v>
      </c>
      <c r="C1153">
        <v>163</v>
      </c>
      <c r="D1153" t="s">
        <v>161</v>
      </c>
      <c r="E1153" s="1">
        <v>42870</v>
      </c>
      <c r="F1153" t="s">
        <v>17</v>
      </c>
      <c r="G1153" t="s">
        <v>773</v>
      </c>
      <c r="H1153">
        <v>280</v>
      </c>
      <c r="I1153" t="s">
        <v>37</v>
      </c>
      <c r="J1153">
        <v>0</v>
      </c>
      <c r="M1153" t="s">
        <v>1910</v>
      </c>
      <c r="N1153" t="s">
        <v>775</v>
      </c>
      <c r="O1153">
        <v>0</v>
      </c>
      <c r="P1153">
        <v>0</v>
      </c>
      <c r="Q1153" t="s">
        <v>381</v>
      </c>
    </row>
    <row r="1154" spans="1:17" x14ac:dyDescent="0.15">
      <c r="A1154" t="s">
        <v>67</v>
      </c>
      <c r="B1154" t="s">
        <v>162</v>
      </c>
      <c r="C1154">
        <v>163</v>
      </c>
      <c r="D1154" t="s">
        <v>161</v>
      </c>
      <c r="E1154" s="1">
        <v>42871</v>
      </c>
      <c r="F1154" t="s">
        <v>383</v>
      </c>
      <c r="G1154" t="s">
        <v>531</v>
      </c>
      <c r="H1154">
        <v>-28</v>
      </c>
      <c r="I1154" t="s">
        <v>37</v>
      </c>
      <c r="J1154">
        <v>0</v>
      </c>
      <c r="M1154" t="s">
        <v>241</v>
      </c>
      <c r="N1154" t="s">
        <v>535</v>
      </c>
    </row>
    <row r="1155" spans="1:17" x14ac:dyDescent="0.15">
      <c r="A1155" t="s">
        <v>67</v>
      </c>
      <c r="B1155" t="s">
        <v>162</v>
      </c>
      <c r="C1155">
        <v>163</v>
      </c>
      <c r="D1155" t="s">
        <v>161</v>
      </c>
      <c r="E1155" s="1">
        <v>42871</v>
      </c>
      <c r="F1155" t="s">
        <v>383</v>
      </c>
      <c r="G1155" t="s">
        <v>531</v>
      </c>
      <c r="H1155">
        <v>-28</v>
      </c>
      <c r="I1155" t="s">
        <v>37</v>
      </c>
      <c r="J1155">
        <v>0</v>
      </c>
      <c r="M1155" t="s">
        <v>1910</v>
      </c>
      <c r="N1155" t="s">
        <v>535</v>
      </c>
      <c r="O1155">
        <v>0</v>
      </c>
      <c r="P1155">
        <v>0</v>
      </c>
      <c r="Q1155" t="s">
        <v>381</v>
      </c>
    </row>
    <row r="1156" spans="1:17" x14ac:dyDescent="0.15">
      <c r="A1156" t="s">
        <v>67</v>
      </c>
      <c r="B1156" t="s">
        <v>162</v>
      </c>
      <c r="C1156">
        <v>163</v>
      </c>
      <c r="D1156" t="s">
        <v>161</v>
      </c>
      <c r="E1156" s="1">
        <v>42871</v>
      </c>
      <c r="F1156" t="s">
        <v>383</v>
      </c>
      <c r="G1156" t="s">
        <v>558</v>
      </c>
      <c r="H1156">
        <v>-2</v>
      </c>
      <c r="I1156" t="s">
        <v>37</v>
      </c>
      <c r="J1156">
        <v>0</v>
      </c>
      <c r="M1156" t="s">
        <v>241</v>
      </c>
      <c r="N1156" t="s">
        <v>559</v>
      </c>
    </row>
    <row r="1157" spans="1:17" x14ac:dyDescent="0.15">
      <c r="A1157" t="s">
        <v>67</v>
      </c>
      <c r="B1157" t="s">
        <v>162</v>
      </c>
      <c r="C1157">
        <v>163</v>
      </c>
      <c r="D1157" t="s">
        <v>161</v>
      </c>
      <c r="E1157" s="1">
        <v>42871</v>
      </c>
      <c r="F1157" t="s">
        <v>383</v>
      </c>
      <c r="G1157" t="s">
        <v>558</v>
      </c>
      <c r="H1157">
        <v>-2</v>
      </c>
      <c r="I1157" t="s">
        <v>37</v>
      </c>
      <c r="J1157">
        <v>0</v>
      </c>
      <c r="M1157" t="s">
        <v>1910</v>
      </c>
      <c r="N1157" t="s">
        <v>559</v>
      </c>
      <c r="O1157">
        <v>0</v>
      </c>
      <c r="P1157">
        <v>0</v>
      </c>
      <c r="Q1157" t="s">
        <v>381</v>
      </c>
    </row>
    <row r="1158" spans="1:17" x14ac:dyDescent="0.15">
      <c r="A1158" t="s">
        <v>67</v>
      </c>
      <c r="B1158" t="s">
        <v>162</v>
      </c>
      <c r="C1158">
        <v>163</v>
      </c>
      <c r="D1158" t="s">
        <v>161</v>
      </c>
      <c r="E1158" s="1">
        <v>42873</v>
      </c>
      <c r="F1158" t="s">
        <v>383</v>
      </c>
      <c r="G1158" t="s">
        <v>561</v>
      </c>
      <c r="H1158">
        <v>-8</v>
      </c>
      <c r="I1158" t="s">
        <v>37</v>
      </c>
      <c r="J1158">
        <v>0</v>
      </c>
      <c r="M1158" t="s">
        <v>241</v>
      </c>
      <c r="N1158" t="s">
        <v>568</v>
      </c>
    </row>
    <row r="1159" spans="1:17" x14ac:dyDescent="0.15">
      <c r="A1159" t="s">
        <v>67</v>
      </c>
      <c r="B1159" t="s">
        <v>162</v>
      </c>
      <c r="C1159">
        <v>163</v>
      </c>
      <c r="D1159" t="s">
        <v>161</v>
      </c>
      <c r="E1159" s="1">
        <v>42873</v>
      </c>
      <c r="F1159" t="s">
        <v>383</v>
      </c>
      <c r="G1159" t="s">
        <v>561</v>
      </c>
      <c r="H1159">
        <v>-8</v>
      </c>
      <c r="I1159" t="s">
        <v>37</v>
      </c>
      <c r="J1159">
        <v>0</v>
      </c>
      <c r="M1159" t="s">
        <v>1910</v>
      </c>
      <c r="N1159" t="s">
        <v>568</v>
      </c>
      <c r="O1159">
        <v>0</v>
      </c>
      <c r="P1159">
        <v>0</v>
      </c>
      <c r="Q1159" t="s">
        <v>381</v>
      </c>
    </row>
    <row r="1160" spans="1:17" x14ac:dyDescent="0.15">
      <c r="A1160" t="s">
        <v>67</v>
      </c>
      <c r="B1160" t="s">
        <v>162</v>
      </c>
      <c r="C1160">
        <v>163</v>
      </c>
      <c r="D1160" t="s">
        <v>161</v>
      </c>
      <c r="E1160" s="1">
        <v>42874</v>
      </c>
      <c r="F1160" t="s">
        <v>383</v>
      </c>
      <c r="G1160" t="s">
        <v>570</v>
      </c>
      <c r="H1160">
        <v>0</v>
      </c>
      <c r="I1160" t="s">
        <v>37</v>
      </c>
      <c r="J1160">
        <v>0</v>
      </c>
      <c r="M1160" t="s">
        <v>241</v>
      </c>
      <c r="N1160" t="s">
        <v>573</v>
      </c>
    </row>
    <row r="1161" spans="1:17" x14ac:dyDescent="0.15">
      <c r="A1161" t="s">
        <v>67</v>
      </c>
      <c r="B1161" t="s">
        <v>162</v>
      </c>
      <c r="C1161">
        <v>163</v>
      </c>
      <c r="D1161" t="s">
        <v>161</v>
      </c>
      <c r="E1161" s="1">
        <v>42874</v>
      </c>
      <c r="F1161" t="s">
        <v>383</v>
      </c>
      <c r="G1161" t="s">
        <v>570</v>
      </c>
      <c r="H1161">
        <v>0</v>
      </c>
      <c r="I1161" t="s">
        <v>37</v>
      </c>
      <c r="J1161">
        <v>0</v>
      </c>
      <c r="M1161" t="s">
        <v>1910</v>
      </c>
      <c r="N1161" t="s">
        <v>573</v>
      </c>
      <c r="O1161">
        <v>0</v>
      </c>
      <c r="P1161">
        <v>0</v>
      </c>
      <c r="Q1161" t="s">
        <v>381</v>
      </c>
    </row>
    <row r="1162" spans="1:17" x14ac:dyDescent="0.15">
      <c r="A1162" t="s">
        <v>67</v>
      </c>
      <c r="B1162" t="s">
        <v>162</v>
      </c>
      <c r="C1162">
        <v>163</v>
      </c>
      <c r="D1162" t="s">
        <v>161</v>
      </c>
      <c r="E1162" s="1">
        <v>42877</v>
      </c>
      <c r="F1162" t="s">
        <v>383</v>
      </c>
      <c r="G1162" t="s">
        <v>384</v>
      </c>
      <c r="H1162">
        <v>-280</v>
      </c>
      <c r="I1162" t="s">
        <v>37</v>
      </c>
      <c r="J1162">
        <v>0</v>
      </c>
      <c r="M1162" t="s">
        <v>241</v>
      </c>
      <c r="N1162" t="s">
        <v>385</v>
      </c>
    </row>
    <row r="1163" spans="1:17" x14ac:dyDescent="0.15">
      <c r="A1163" t="s">
        <v>67</v>
      </c>
      <c r="B1163" t="s">
        <v>162</v>
      </c>
      <c r="C1163">
        <v>163</v>
      </c>
      <c r="D1163" t="s">
        <v>161</v>
      </c>
      <c r="E1163" s="1">
        <v>42877</v>
      </c>
      <c r="F1163" t="s">
        <v>383</v>
      </c>
      <c r="G1163" t="s">
        <v>384</v>
      </c>
      <c r="H1163">
        <v>-280</v>
      </c>
      <c r="I1163" t="s">
        <v>37</v>
      </c>
      <c r="J1163">
        <v>0</v>
      </c>
      <c r="M1163" t="s">
        <v>1910</v>
      </c>
      <c r="N1163" t="s">
        <v>385</v>
      </c>
      <c r="O1163">
        <v>0</v>
      </c>
      <c r="P1163">
        <v>0</v>
      </c>
      <c r="Q1163" t="s">
        <v>381</v>
      </c>
    </row>
    <row r="1164" spans="1:17" x14ac:dyDescent="0.15">
      <c r="A1164" t="s">
        <v>67</v>
      </c>
      <c r="B1164" t="s">
        <v>162</v>
      </c>
      <c r="C1164">
        <v>163</v>
      </c>
      <c r="D1164" t="s">
        <v>161</v>
      </c>
      <c r="E1164" s="1">
        <v>42877</v>
      </c>
      <c r="F1164" t="s">
        <v>383</v>
      </c>
      <c r="G1164" t="s">
        <v>555</v>
      </c>
      <c r="H1164">
        <v>-3</v>
      </c>
      <c r="I1164" t="s">
        <v>37</v>
      </c>
      <c r="J1164">
        <v>0</v>
      </c>
      <c r="M1164" t="s">
        <v>241</v>
      </c>
      <c r="N1164" t="s">
        <v>557</v>
      </c>
    </row>
    <row r="1165" spans="1:17" x14ac:dyDescent="0.15">
      <c r="A1165" t="s">
        <v>67</v>
      </c>
      <c r="B1165" t="s">
        <v>162</v>
      </c>
      <c r="C1165">
        <v>163</v>
      </c>
      <c r="D1165" t="s">
        <v>161</v>
      </c>
      <c r="E1165" s="1">
        <v>42877</v>
      </c>
      <c r="F1165" t="s">
        <v>383</v>
      </c>
      <c r="G1165" t="s">
        <v>555</v>
      </c>
      <c r="H1165">
        <v>-3</v>
      </c>
      <c r="I1165" t="s">
        <v>37</v>
      </c>
      <c r="J1165">
        <v>0</v>
      </c>
      <c r="M1165" t="s">
        <v>1910</v>
      </c>
      <c r="N1165" t="s">
        <v>557</v>
      </c>
      <c r="O1165">
        <v>0</v>
      </c>
      <c r="P1165">
        <v>0</v>
      </c>
      <c r="Q1165" t="s">
        <v>381</v>
      </c>
    </row>
    <row r="1166" spans="1:17" x14ac:dyDescent="0.15">
      <c r="A1166" t="s">
        <v>67</v>
      </c>
      <c r="B1166" t="s">
        <v>162</v>
      </c>
      <c r="C1166">
        <v>163</v>
      </c>
      <c r="D1166" t="s">
        <v>161</v>
      </c>
      <c r="E1166" s="1">
        <v>42877</v>
      </c>
      <c r="F1166" t="s">
        <v>17</v>
      </c>
      <c r="G1166" t="s">
        <v>778</v>
      </c>
      <c r="H1166">
        <v>280</v>
      </c>
      <c r="I1166" t="s">
        <v>37</v>
      </c>
      <c r="J1166">
        <v>0</v>
      </c>
      <c r="M1166" t="s">
        <v>241</v>
      </c>
      <c r="N1166" t="s">
        <v>780</v>
      </c>
    </row>
    <row r="1167" spans="1:17" x14ac:dyDescent="0.15">
      <c r="A1167" t="s">
        <v>67</v>
      </c>
      <c r="B1167" t="s">
        <v>162</v>
      </c>
      <c r="C1167">
        <v>163</v>
      </c>
      <c r="D1167" t="s">
        <v>161</v>
      </c>
      <c r="E1167" s="1">
        <v>42877</v>
      </c>
      <c r="F1167" t="s">
        <v>17</v>
      </c>
      <c r="G1167" t="s">
        <v>778</v>
      </c>
      <c r="H1167">
        <v>280</v>
      </c>
      <c r="I1167" t="s">
        <v>37</v>
      </c>
      <c r="J1167">
        <v>0</v>
      </c>
      <c r="M1167" t="s">
        <v>1910</v>
      </c>
      <c r="N1167" t="s">
        <v>780</v>
      </c>
      <c r="O1167">
        <v>0</v>
      </c>
      <c r="P1167">
        <v>0</v>
      </c>
      <c r="Q1167" t="s">
        <v>381</v>
      </c>
    </row>
    <row r="1168" spans="1:17" x14ac:dyDescent="0.15">
      <c r="A1168" t="s">
        <v>67</v>
      </c>
      <c r="B1168" t="s">
        <v>162</v>
      </c>
      <c r="C1168">
        <v>163</v>
      </c>
      <c r="D1168" t="s">
        <v>161</v>
      </c>
      <c r="E1168" s="1">
        <v>42878</v>
      </c>
      <c r="F1168" t="s">
        <v>383</v>
      </c>
      <c r="G1168" t="s">
        <v>570</v>
      </c>
      <c r="H1168">
        <v>-15</v>
      </c>
      <c r="I1168" t="s">
        <v>37</v>
      </c>
      <c r="J1168">
        <v>0</v>
      </c>
      <c r="M1168" t="s">
        <v>241</v>
      </c>
      <c r="N1168" t="s">
        <v>573</v>
      </c>
    </row>
    <row r="1169" spans="1:17" x14ac:dyDescent="0.15">
      <c r="A1169" t="s">
        <v>67</v>
      </c>
      <c r="B1169" t="s">
        <v>162</v>
      </c>
      <c r="C1169">
        <v>163</v>
      </c>
      <c r="D1169" t="s">
        <v>161</v>
      </c>
      <c r="E1169" s="1">
        <v>42878</v>
      </c>
      <c r="F1169" t="s">
        <v>383</v>
      </c>
      <c r="G1169" t="s">
        <v>570</v>
      </c>
      <c r="H1169">
        <v>-15</v>
      </c>
      <c r="I1169" t="s">
        <v>37</v>
      </c>
      <c r="J1169">
        <v>0</v>
      </c>
      <c r="M1169" t="s">
        <v>1910</v>
      </c>
      <c r="N1169" t="s">
        <v>573</v>
      </c>
      <c r="O1169">
        <v>0</v>
      </c>
      <c r="P1169">
        <v>0</v>
      </c>
      <c r="Q1169" t="s">
        <v>381</v>
      </c>
    </row>
    <row r="1170" spans="1:17" x14ac:dyDescent="0.15">
      <c r="A1170" t="s">
        <v>67</v>
      </c>
      <c r="B1170" t="s">
        <v>162</v>
      </c>
      <c r="C1170">
        <v>163</v>
      </c>
      <c r="D1170" t="s">
        <v>161</v>
      </c>
      <c r="E1170" s="1">
        <v>42885</v>
      </c>
      <c r="F1170" t="s">
        <v>383</v>
      </c>
      <c r="G1170" t="s">
        <v>407</v>
      </c>
      <c r="H1170">
        <v>-252</v>
      </c>
      <c r="I1170" t="s">
        <v>37</v>
      </c>
      <c r="J1170">
        <v>0</v>
      </c>
      <c r="M1170" t="s">
        <v>241</v>
      </c>
      <c r="N1170" t="s">
        <v>408</v>
      </c>
    </row>
    <row r="1171" spans="1:17" x14ac:dyDescent="0.15">
      <c r="A1171" t="s">
        <v>67</v>
      </c>
      <c r="B1171" t="s">
        <v>162</v>
      </c>
      <c r="C1171">
        <v>163</v>
      </c>
      <c r="D1171" t="s">
        <v>161</v>
      </c>
      <c r="E1171" s="1">
        <v>42885</v>
      </c>
      <c r="F1171" t="s">
        <v>383</v>
      </c>
      <c r="G1171" t="s">
        <v>407</v>
      </c>
      <c r="H1171">
        <v>-252</v>
      </c>
      <c r="I1171" t="s">
        <v>37</v>
      </c>
      <c r="J1171">
        <v>0</v>
      </c>
      <c r="M1171" t="s">
        <v>1910</v>
      </c>
      <c r="N1171" t="s">
        <v>408</v>
      </c>
      <c r="O1171">
        <v>0</v>
      </c>
      <c r="P1171">
        <v>0</v>
      </c>
      <c r="Q1171" t="s">
        <v>381</v>
      </c>
    </row>
    <row r="1172" spans="1:17" x14ac:dyDescent="0.15">
      <c r="A1172" t="s">
        <v>67</v>
      </c>
      <c r="B1172" t="s">
        <v>162</v>
      </c>
      <c r="C1172">
        <v>163</v>
      </c>
      <c r="D1172" t="s">
        <v>161</v>
      </c>
      <c r="E1172" s="1">
        <v>42885</v>
      </c>
      <c r="F1172" t="s">
        <v>383</v>
      </c>
      <c r="G1172" t="s">
        <v>578</v>
      </c>
      <c r="H1172">
        <v>-10</v>
      </c>
      <c r="I1172" t="s">
        <v>37</v>
      </c>
      <c r="J1172">
        <v>0</v>
      </c>
      <c r="M1172" t="s">
        <v>241</v>
      </c>
      <c r="N1172" t="s">
        <v>582</v>
      </c>
    </row>
    <row r="1173" spans="1:17" x14ac:dyDescent="0.15">
      <c r="A1173" t="s">
        <v>67</v>
      </c>
      <c r="B1173" t="s">
        <v>162</v>
      </c>
      <c r="C1173">
        <v>163</v>
      </c>
      <c r="D1173" t="s">
        <v>161</v>
      </c>
      <c r="E1173" s="1">
        <v>42885</v>
      </c>
      <c r="F1173" t="s">
        <v>383</v>
      </c>
      <c r="G1173" t="s">
        <v>578</v>
      </c>
      <c r="H1173">
        <v>-10</v>
      </c>
      <c r="I1173" t="s">
        <v>37</v>
      </c>
      <c r="J1173">
        <v>0</v>
      </c>
      <c r="M1173" t="s">
        <v>1910</v>
      </c>
      <c r="N1173" t="s">
        <v>582</v>
      </c>
      <c r="O1173">
        <v>0</v>
      </c>
      <c r="P1173">
        <v>0</v>
      </c>
      <c r="Q1173" t="s">
        <v>381</v>
      </c>
    </row>
    <row r="1174" spans="1:17" x14ac:dyDescent="0.15">
      <c r="A1174" t="s">
        <v>67</v>
      </c>
      <c r="B1174" t="s">
        <v>162</v>
      </c>
      <c r="C1174">
        <v>163</v>
      </c>
      <c r="D1174" t="s">
        <v>161</v>
      </c>
      <c r="E1174" s="1">
        <v>42892</v>
      </c>
      <c r="F1174" t="s">
        <v>383</v>
      </c>
      <c r="G1174" t="s">
        <v>603</v>
      </c>
      <c r="H1174">
        <v>-6</v>
      </c>
      <c r="I1174" t="s">
        <v>37</v>
      </c>
      <c r="J1174">
        <v>0</v>
      </c>
      <c r="M1174" t="s">
        <v>241</v>
      </c>
      <c r="N1174" t="s">
        <v>606</v>
      </c>
    </row>
    <row r="1175" spans="1:17" x14ac:dyDescent="0.15">
      <c r="A1175" t="s">
        <v>67</v>
      </c>
      <c r="B1175" t="s">
        <v>162</v>
      </c>
      <c r="C1175">
        <v>163</v>
      </c>
      <c r="D1175" t="s">
        <v>161</v>
      </c>
      <c r="E1175" s="1">
        <v>42892</v>
      </c>
      <c r="F1175" t="s">
        <v>383</v>
      </c>
      <c r="G1175" t="s">
        <v>603</v>
      </c>
      <c r="H1175">
        <v>-6</v>
      </c>
      <c r="I1175" t="s">
        <v>37</v>
      </c>
      <c r="J1175">
        <v>0</v>
      </c>
      <c r="M1175" t="s">
        <v>1910</v>
      </c>
      <c r="N1175" t="s">
        <v>606</v>
      </c>
      <c r="O1175">
        <v>0</v>
      </c>
      <c r="P1175">
        <v>0</v>
      </c>
      <c r="Q1175" t="s">
        <v>381</v>
      </c>
    </row>
    <row r="1176" spans="1:17" x14ac:dyDescent="0.15">
      <c r="A1176" t="s">
        <v>67</v>
      </c>
      <c r="B1176" t="s">
        <v>162</v>
      </c>
      <c r="C1176">
        <v>163</v>
      </c>
      <c r="D1176" t="s">
        <v>161</v>
      </c>
      <c r="E1176" s="1">
        <v>42893</v>
      </c>
      <c r="F1176" t="s">
        <v>17</v>
      </c>
      <c r="G1176" t="s">
        <v>796</v>
      </c>
      <c r="H1176">
        <v>252</v>
      </c>
      <c r="I1176" t="s">
        <v>37</v>
      </c>
      <c r="J1176">
        <v>0</v>
      </c>
      <c r="M1176" t="s">
        <v>241</v>
      </c>
      <c r="N1176" t="s">
        <v>797</v>
      </c>
    </row>
    <row r="1177" spans="1:17" x14ac:dyDescent="0.15">
      <c r="A1177" t="s">
        <v>67</v>
      </c>
      <c r="B1177" t="s">
        <v>162</v>
      </c>
      <c r="C1177">
        <v>163</v>
      </c>
      <c r="D1177" t="s">
        <v>161</v>
      </c>
      <c r="E1177" s="1">
        <v>42893</v>
      </c>
      <c r="F1177" t="s">
        <v>17</v>
      </c>
      <c r="G1177" t="s">
        <v>796</v>
      </c>
      <c r="H1177">
        <v>252</v>
      </c>
      <c r="I1177" t="s">
        <v>37</v>
      </c>
      <c r="J1177">
        <v>0</v>
      </c>
      <c r="M1177" t="s">
        <v>1910</v>
      </c>
      <c r="N1177" t="s">
        <v>797</v>
      </c>
      <c r="O1177">
        <v>0</v>
      </c>
      <c r="P1177">
        <v>0</v>
      </c>
      <c r="Q1177" t="s">
        <v>381</v>
      </c>
    </row>
    <row r="1178" spans="1:17" x14ac:dyDescent="0.15">
      <c r="A1178" t="s">
        <v>67</v>
      </c>
      <c r="B1178" t="s">
        <v>162</v>
      </c>
      <c r="C1178">
        <v>163</v>
      </c>
      <c r="D1178" t="s">
        <v>161</v>
      </c>
      <c r="E1178" s="1">
        <v>42898</v>
      </c>
      <c r="F1178" t="s">
        <v>17</v>
      </c>
      <c r="G1178" t="s">
        <v>800</v>
      </c>
      <c r="H1178">
        <v>28</v>
      </c>
      <c r="I1178" t="s">
        <v>37</v>
      </c>
      <c r="J1178">
        <v>0</v>
      </c>
      <c r="M1178" t="s">
        <v>241</v>
      </c>
      <c r="N1178" t="s">
        <v>801</v>
      </c>
    </row>
    <row r="1179" spans="1:17" x14ac:dyDescent="0.15">
      <c r="A1179" t="s">
        <v>67</v>
      </c>
      <c r="B1179" t="s">
        <v>162</v>
      </c>
      <c r="C1179">
        <v>163</v>
      </c>
      <c r="D1179" t="s">
        <v>161</v>
      </c>
      <c r="E1179" s="1">
        <v>42898</v>
      </c>
      <c r="F1179" t="s">
        <v>17</v>
      </c>
      <c r="G1179" t="s">
        <v>800</v>
      </c>
      <c r="H1179">
        <v>28</v>
      </c>
      <c r="I1179" t="s">
        <v>37</v>
      </c>
      <c r="J1179">
        <v>0</v>
      </c>
      <c r="M1179" t="s">
        <v>1910</v>
      </c>
      <c r="N1179" t="s">
        <v>801</v>
      </c>
      <c r="O1179">
        <v>0</v>
      </c>
      <c r="P1179">
        <v>0</v>
      </c>
      <c r="Q1179" t="s">
        <v>381</v>
      </c>
    </row>
    <row r="1180" spans="1:17" x14ac:dyDescent="0.15">
      <c r="A1180" t="s">
        <v>67</v>
      </c>
      <c r="B1180" t="s">
        <v>162</v>
      </c>
      <c r="C1180">
        <v>163</v>
      </c>
      <c r="D1180" t="s">
        <v>161</v>
      </c>
      <c r="E1180" s="1">
        <v>42898</v>
      </c>
      <c r="F1180" t="s">
        <v>17</v>
      </c>
      <c r="G1180" t="s">
        <v>804</v>
      </c>
      <c r="H1180">
        <v>84</v>
      </c>
      <c r="I1180" t="s">
        <v>37</v>
      </c>
      <c r="J1180">
        <v>0</v>
      </c>
      <c r="M1180" t="s">
        <v>241</v>
      </c>
      <c r="N1180" t="s">
        <v>805</v>
      </c>
    </row>
    <row r="1181" spans="1:17" x14ac:dyDescent="0.15">
      <c r="A1181" t="s">
        <v>67</v>
      </c>
      <c r="B1181" t="s">
        <v>162</v>
      </c>
      <c r="C1181">
        <v>163</v>
      </c>
      <c r="D1181" t="s">
        <v>161</v>
      </c>
      <c r="E1181" s="1">
        <v>42898</v>
      </c>
      <c r="F1181" t="s">
        <v>17</v>
      </c>
      <c r="G1181" t="s">
        <v>804</v>
      </c>
      <c r="H1181">
        <v>84</v>
      </c>
      <c r="I1181" t="s">
        <v>37</v>
      </c>
      <c r="J1181">
        <v>0</v>
      </c>
      <c r="M1181" t="s">
        <v>1910</v>
      </c>
      <c r="N1181" t="s">
        <v>805</v>
      </c>
      <c r="O1181">
        <v>0</v>
      </c>
      <c r="P1181">
        <v>0</v>
      </c>
      <c r="Q1181" t="s">
        <v>381</v>
      </c>
    </row>
    <row r="1182" spans="1:17" x14ac:dyDescent="0.15">
      <c r="A1182" t="s">
        <v>67</v>
      </c>
      <c r="B1182" t="s">
        <v>162</v>
      </c>
      <c r="C1182">
        <v>163</v>
      </c>
      <c r="D1182" t="s">
        <v>161</v>
      </c>
      <c r="E1182" s="1">
        <v>42900</v>
      </c>
      <c r="F1182" t="s">
        <v>383</v>
      </c>
      <c r="G1182" t="s">
        <v>615</v>
      </c>
      <c r="H1182">
        <v>-56</v>
      </c>
      <c r="I1182" t="s">
        <v>37</v>
      </c>
      <c r="J1182">
        <v>0</v>
      </c>
      <c r="M1182" t="s">
        <v>241</v>
      </c>
      <c r="N1182" t="s">
        <v>619</v>
      </c>
    </row>
    <row r="1183" spans="1:17" x14ac:dyDescent="0.15">
      <c r="A1183" t="s">
        <v>67</v>
      </c>
      <c r="B1183" t="s">
        <v>162</v>
      </c>
      <c r="C1183">
        <v>163</v>
      </c>
      <c r="D1183" t="s">
        <v>161</v>
      </c>
      <c r="E1183" s="1">
        <v>42900</v>
      </c>
      <c r="F1183" t="s">
        <v>383</v>
      </c>
      <c r="G1183" t="s">
        <v>615</v>
      </c>
      <c r="H1183">
        <v>-56</v>
      </c>
      <c r="I1183" t="s">
        <v>37</v>
      </c>
      <c r="J1183">
        <v>0</v>
      </c>
      <c r="M1183" t="s">
        <v>1910</v>
      </c>
      <c r="N1183" t="s">
        <v>619</v>
      </c>
      <c r="O1183">
        <v>0</v>
      </c>
      <c r="P1183">
        <v>0</v>
      </c>
      <c r="Q1183" t="s">
        <v>381</v>
      </c>
    </row>
    <row r="1184" spans="1:17" x14ac:dyDescent="0.15">
      <c r="A1184" t="s">
        <v>67</v>
      </c>
      <c r="B1184" t="s">
        <v>162</v>
      </c>
      <c r="C1184">
        <v>163</v>
      </c>
      <c r="D1184" t="s">
        <v>161</v>
      </c>
      <c r="E1184" s="1">
        <v>42900</v>
      </c>
      <c r="F1184" t="s">
        <v>383</v>
      </c>
      <c r="G1184" t="s">
        <v>624</v>
      </c>
      <c r="H1184">
        <v>-56</v>
      </c>
      <c r="I1184" t="s">
        <v>37</v>
      </c>
      <c r="J1184">
        <v>0</v>
      </c>
      <c r="M1184" t="s">
        <v>241</v>
      </c>
      <c r="N1184" t="s">
        <v>625</v>
      </c>
    </row>
    <row r="1185" spans="1:17" x14ac:dyDescent="0.15">
      <c r="A1185" t="s">
        <v>67</v>
      </c>
      <c r="B1185" t="s">
        <v>162</v>
      </c>
      <c r="C1185">
        <v>163</v>
      </c>
      <c r="D1185" t="s">
        <v>161</v>
      </c>
      <c r="E1185" s="1">
        <v>42900</v>
      </c>
      <c r="F1185" t="s">
        <v>383</v>
      </c>
      <c r="G1185" t="s">
        <v>624</v>
      </c>
      <c r="H1185">
        <v>-56</v>
      </c>
      <c r="I1185" t="s">
        <v>37</v>
      </c>
      <c r="J1185">
        <v>0</v>
      </c>
      <c r="M1185" t="s">
        <v>1910</v>
      </c>
      <c r="N1185" t="s">
        <v>625</v>
      </c>
      <c r="O1185">
        <v>0</v>
      </c>
      <c r="P1185">
        <v>0</v>
      </c>
      <c r="Q1185" t="s">
        <v>381</v>
      </c>
    </row>
    <row r="1186" spans="1:17" x14ac:dyDescent="0.15">
      <c r="A1186" t="s">
        <v>67</v>
      </c>
      <c r="B1186" t="s">
        <v>162</v>
      </c>
      <c r="C1186">
        <v>163</v>
      </c>
      <c r="D1186" t="s">
        <v>161</v>
      </c>
      <c r="E1186" s="1">
        <v>42900</v>
      </c>
      <c r="F1186" t="s">
        <v>383</v>
      </c>
      <c r="G1186" t="s">
        <v>629</v>
      </c>
      <c r="H1186">
        <v>-5</v>
      </c>
      <c r="I1186" t="s">
        <v>37</v>
      </c>
      <c r="J1186">
        <v>0</v>
      </c>
      <c r="M1186" t="s">
        <v>241</v>
      </c>
      <c r="N1186" t="s">
        <v>633</v>
      </c>
    </row>
    <row r="1187" spans="1:17" x14ac:dyDescent="0.15">
      <c r="A1187" t="s">
        <v>67</v>
      </c>
      <c r="B1187" t="s">
        <v>162</v>
      </c>
      <c r="C1187">
        <v>163</v>
      </c>
      <c r="D1187" t="s">
        <v>161</v>
      </c>
      <c r="E1187" s="1">
        <v>42900</v>
      </c>
      <c r="F1187" t="s">
        <v>383</v>
      </c>
      <c r="G1187" t="s">
        <v>629</v>
      </c>
      <c r="H1187">
        <v>-5</v>
      </c>
      <c r="I1187" t="s">
        <v>37</v>
      </c>
      <c r="J1187">
        <v>0</v>
      </c>
      <c r="M1187" t="s">
        <v>1910</v>
      </c>
      <c r="N1187" t="s">
        <v>633</v>
      </c>
      <c r="O1187">
        <v>0</v>
      </c>
      <c r="P1187">
        <v>0</v>
      </c>
      <c r="Q1187" t="s">
        <v>381</v>
      </c>
    </row>
    <row r="1188" spans="1:17" x14ac:dyDescent="0.15">
      <c r="A1188" t="s">
        <v>67</v>
      </c>
      <c r="B1188" t="s">
        <v>162</v>
      </c>
      <c r="C1188">
        <v>163</v>
      </c>
      <c r="D1188" t="s">
        <v>161</v>
      </c>
      <c r="E1188" s="1">
        <v>42900</v>
      </c>
      <c r="F1188" t="s">
        <v>383</v>
      </c>
      <c r="G1188" t="s">
        <v>639</v>
      </c>
      <c r="H1188">
        <v>-56</v>
      </c>
      <c r="I1188" t="s">
        <v>37</v>
      </c>
      <c r="J1188">
        <v>0</v>
      </c>
      <c r="M1188" t="s">
        <v>241</v>
      </c>
      <c r="N1188" t="s">
        <v>640</v>
      </c>
    </row>
    <row r="1189" spans="1:17" x14ac:dyDescent="0.15">
      <c r="A1189" t="s">
        <v>67</v>
      </c>
      <c r="B1189" t="s">
        <v>162</v>
      </c>
      <c r="C1189">
        <v>163</v>
      </c>
      <c r="D1189" t="s">
        <v>161</v>
      </c>
      <c r="E1189" s="1">
        <v>42900</v>
      </c>
      <c r="F1189" t="s">
        <v>383</v>
      </c>
      <c r="G1189" t="s">
        <v>639</v>
      </c>
      <c r="H1189">
        <v>-56</v>
      </c>
      <c r="I1189" t="s">
        <v>37</v>
      </c>
      <c r="J1189">
        <v>0</v>
      </c>
      <c r="M1189" t="s">
        <v>1910</v>
      </c>
      <c r="N1189" t="s">
        <v>640</v>
      </c>
      <c r="O1189">
        <v>0</v>
      </c>
      <c r="P1189">
        <v>0</v>
      </c>
      <c r="Q1189" t="s">
        <v>381</v>
      </c>
    </row>
    <row r="1190" spans="1:17" x14ac:dyDescent="0.15">
      <c r="A1190" t="s">
        <v>67</v>
      </c>
      <c r="B1190" t="s">
        <v>162</v>
      </c>
      <c r="C1190">
        <v>163</v>
      </c>
      <c r="D1190" t="s">
        <v>161</v>
      </c>
      <c r="E1190" s="1">
        <v>42905</v>
      </c>
      <c r="F1190" t="s">
        <v>17</v>
      </c>
      <c r="G1190" t="s">
        <v>806</v>
      </c>
      <c r="H1190">
        <v>56</v>
      </c>
      <c r="I1190" t="s">
        <v>37</v>
      </c>
      <c r="J1190">
        <v>0</v>
      </c>
      <c r="M1190" t="s">
        <v>241</v>
      </c>
      <c r="N1190" t="s">
        <v>807</v>
      </c>
    </row>
    <row r="1191" spans="1:17" x14ac:dyDescent="0.15">
      <c r="A1191" t="s">
        <v>67</v>
      </c>
      <c r="B1191" t="s">
        <v>162</v>
      </c>
      <c r="C1191">
        <v>163</v>
      </c>
      <c r="D1191" t="s">
        <v>161</v>
      </c>
      <c r="E1191" s="1">
        <v>42905</v>
      </c>
      <c r="F1191" t="s">
        <v>17</v>
      </c>
      <c r="G1191" t="s">
        <v>806</v>
      </c>
      <c r="H1191">
        <v>56</v>
      </c>
      <c r="I1191" t="s">
        <v>37</v>
      </c>
      <c r="J1191">
        <v>0</v>
      </c>
      <c r="M1191" t="s">
        <v>1910</v>
      </c>
      <c r="N1191" t="s">
        <v>807</v>
      </c>
      <c r="O1191">
        <v>0</v>
      </c>
      <c r="P1191">
        <v>0</v>
      </c>
      <c r="Q1191" t="s">
        <v>381</v>
      </c>
    </row>
    <row r="1192" spans="1:17" x14ac:dyDescent="0.15">
      <c r="A1192" t="s">
        <v>67</v>
      </c>
      <c r="B1192" t="s">
        <v>162</v>
      </c>
      <c r="C1192">
        <v>163</v>
      </c>
      <c r="D1192" t="s">
        <v>161</v>
      </c>
      <c r="E1192" s="1">
        <v>42907</v>
      </c>
      <c r="F1192" t="s">
        <v>17</v>
      </c>
      <c r="G1192" t="s">
        <v>808</v>
      </c>
      <c r="H1192">
        <v>112</v>
      </c>
      <c r="I1192" t="s">
        <v>37</v>
      </c>
      <c r="J1192">
        <v>0</v>
      </c>
      <c r="M1192" t="s">
        <v>241</v>
      </c>
      <c r="N1192" t="s">
        <v>810</v>
      </c>
    </row>
    <row r="1193" spans="1:17" x14ac:dyDescent="0.15">
      <c r="A1193" t="s">
        <v>67</v>
      </c>
      <c r="B1193" t="s">
        <v>162</v>
      </c>
      <c r="C1193">
        <v>163</v>
      </c>
      <c r="D1193" t="s">
        <v>161</v>
      </c>
      <c r="E1193" s="1">
        <v>42907</v>
      </c>
      <c r="F1193" t="s">
        <v>17</v>
      </c>
      <c r="G1193" t="s">
        <v>808</v>
      </c>
      <c r="H1193">
        <v>112</v>
      </c>
      <c r="I1193" t="s">
        <v>37</v>
      </c>
      <c r="J1193">
        <v>0</v>
      </c>
      <c r="M1193" t="s">
        <v>1910</v>
      </c>
      <c r="N1193" t="s">
        <v>810</v>
      </c>
      <c r="O1193">
        <v>0</v>
      </c>
      <c r="P1193">
        <v>0</v>
      </c>
      <c r="Q1193" t="s">
        <v>381</v>
      </c>
    </row>
    <row r="1194" spans="1:17" x14ac:dyDescent="0.15">
      <c r="A1194" t="s">
        <v>67</v>
      </c>
      <c r="B1194" t="s">
        <v>162</v>
      </c>
      <c r="C1194">
        <v>163</v>
      </c>
      <c r="D1194" t="s">
        <v>161</v>
      </c>
      <c r="E1194" s="1">
        <v>42908</v>
      </c>
      <c r="F1194" t="s">
        <v>383</v>
      </c>
      <c r="G1194" t="s">
        <v>647</v>
      </c>
      <c r="H1194">
        <v>-8</v>
      </c>
      <c r="I1194" t="s">
        <v>37</v>
      </c>
      <c r="J1194">
        <v>0</v>
      </c>
      <c r="M1194" t="s">
        <v>241</v>
      </c>
      <c r="N1194" t="s">
        <v>650</v>
      </c>
    </row>
    <row r="1195" spans="1:17" x14ac:dyDescent="0.15">
      <c r="A1195" t="s">
        <v>67</v>
      </c>
      <c r="B1195" t="s">
        <v>162</v>
      </c>
      <c r="C1195">
        <v>163</v>
      </c>
      <c r="D1195" t="s">
        <v>161</v>
      </c>
      <c r="E1195" s="1">
        <v>42908</v>
      </c>
      <c r="F1195" t="s">
        <v>383</v>
      </c>
      <c r="G1195" t="s">
        <v>647</v>
      </c>
      <c r="H1195">
        <v>-8</v>
      </c>
      <c r="I1195" t="s">
        <v>37</v>
      </c>
      <c r="J1195">
        <v>0</v>
      </c>
      <c r="M1195" t="s">
        <v>1910</v>
      </c>
      <c r="N1195" t="s">
        <v>650</v>
      </c>
      <c r="O1195">
        <v>0</v>
      </c>
      <c r="P1195">
        <v>0</v>
      </c>
      <c r="Q1195" t="s">
        <v>381</v>
      </c>
    </row>
    <row r="1196" spans="1:17" x14ac:dyDescent="0.15">
      <c r="A1196" t="s">
        <v>67</v>
      </c>
      <c r="B1196" t="s">
        <v>162</v>
      </c>
      <c r="C1196">
        <v>163</v>
      </c>
      <c r="D1196" t="s">
        <v>161</v>
      </c>
      <c r="E1196" s="1">
        <v>42908</v>
      </c>
      <c r="F1196" t="s">
        <v>383</v>
      </c>
      <c r="G1196" t="s">
        <v>651</v>
      </c>
      <c r="H1196">
        <v>-56</v>
      </c>
      <c r="I1196" t="s">
        <v>37</v>
      </c>
      <c r="J1196">
        <v>0</v>
      </c>
      <c r="M1196" t="s">
        <v>241</v>
      </c>
      <c r="N1196" t="s">
        <v>652</v>
      </c>
    </row>
    <row r="1197" spans="1:17" x14ac:dyDescent="0.15">
      <c r="A1197" t="s">
        <v>67</v>
      </c>
      <c r="B1197" t="s">
        <v>162</v>
      </c>
      <c r="C1197">
        <v>163</v>
      </c>
      <c r="D1197" t="s">
        <v>161</v>
      </c>
      <c r="E1197" s="1">
        <v>42908</v>
      </c>
      <c r="F1197" t="s">
        <v>383</v>
      </c>
      <c r="G1197" t="s">
        <v>651</v>
      </c>
      <c r="H1197">
        <v>-56</v>
      </c>
      <c r="I1197" t="s">
        <v>37</v>
      </c>
      <c r="J1197">
        <v>0</v>
      </c>
      <c r="M1197" t="s">
        <v>1910</v>
      </c>
      <c r="N1197" t="s">
        <v>652</v>
      </c>
      <c r="O1197">
        <v>0</v>
      </c>
      <c r="P1197">
        <v>0</v>
      </c>
      <c r="Q1197" t="s">
        <v>381</v>
      </c>
    </row>
    <row r="1198" spans="1:17" x14ac:dyDescent="0.15">
      <c r="A1198" t="s">
        <v>67</v>
      </c>
      <c r="B1198" t="s">
        <v>162</v>
      </c>
      <c r="C1198">
        <v>163</v>
      </c>
      <c r="D1198" t="s">
        <v>161</v>
      </c>
      <c r="E1198" s="1">
        <v>42908</v>
      </c>
      <c r="F1198" t="s">
        <v>383</v>
      </c>
      <c r="G1198" t="s">
        <v>653</v>
      </c>
      <c r="H1198">
        <v>-2</v>
      </c>
      <c r="I1198" t="s">
        <v>37</v>
      </c>
      <c r="J1198">
        <v>0</v>
      </c>
      <c r="M1198" t="s">
        <v>241</v>
      </c>
      <c r="N1198" t="s">
        <v>655</v>
      </c>
    </row>
    <row r="1199" spans="1:17" x14ac:dyDescent="0.15">
      <c r="A1199" t="s">
        <v>67</v>
      </c>
      <c r="B1199" t="s">
        <v>162</v>
      </c>
      <c r="C1199">
        <v>163</v>
      </c>
      <c r="D1199" t="s">
        <v>161</v>
      </c>
      <c r="E1199" s="1">
        <v>42908</v>
      </c>
      <c r="F1199" t="s">
        <v>383</v>
      </c>
      <c r="G1199" t="s">
        <v>653</v>
      </c>
      <c r="H1199">
        <v>-2</v>
      </c>
      <c r="I1199" t="s">
        <v>37</v>
      </c>
      <c r="J1199">
        <v>0</v>
      </c>
      <c r="M1199" t="s">
        <v>1910</v>
      </c>
      <c r="N1199" t="s">
        <v>655</v>
      </c>
      <c r="O1199">
        <v>0</v>
      </c>
      <c r="P1199">
        <v>0</v>
      </c>
      <c r="Q1199" t="s">
        <v>381</v>
      </c>
    </row>
    <row r="1200" spans="1:17" x14ac:dyDescent="0.15">
      <c r="A1200" t="s">
        <v>67</v>
      </c>
      <c r="B1200" t="s">
        <v>162</v>
      </c>
      <c r="C1200">
        <v>163</v>
      </c>
      <c r="D1200" t="s">
        <v>161</v>
      </c>
      <c r="E1200" s="1">
        <v>42908</v>
      </c>
      <c r="F1200" t="s">
        <v>383</v>
      </c>
      <c r="G1200" t="s">
        <v>669</v>
      </c>
      <c r="H1200">
        <v>-3</v>
      </c>
      <c r="I1200" t="s">
        <v>37</v>
      </c>
      <c r="J1200">
        <v>0</v>
      </c>
      <c r="M1200" t="s">
        <v>241</v>
      </c>
      <c r="N1200" t="s">
        <v>672</v>
      </c>
    </row>
    <row r="1201" spans="1:17" x14ac:dyDescent="0.15">
      <c r="A1201" t="s">
        <v>67</v>
      </c>
      <c r="B1201" t="s">
        <v>162</v>
      </c>
      <c r="C1201">
        <v>163</v>
      </c>
      <c r="D1201" t="s">
        <v>161</v>
      </c>
      <c r="E1201" s="1">
        <v>42908</v>
      </c>
      <c r="F1201" t="s">
        <v>383</v>
      </c>
      <c r="G1201" t="s">
        <v>669</v>
      </c>
      <c r="H1201">
        <v>-3</v>
      </c>
      <c r="I1201" t="s">
        <v>37</v>
      </c>
      <c r="J1201">
        <v>0</v>
      </c>
      <c r="M1201" t="s">
        <v>1910</v>
      </c>
      <c r="N1201" t="s">
        <v>672</v>
      </c>
      <c r="O1201">
        <v>0</v>
      </c>
      <c r="P1201">
        <v>0</v>
      </c>
      <c r="Q1201" t="s">
        <v>381</v>
      </c>
    </row>
    <row r="1202" spans="1:17" x14ac:dyDescent="0.15">
      <c r="A1202" t="s">
        <v>67</v>
      </c>
      <c r="B1202" t="s">
        <v>162</v>
      </c>
      <c r="C1202">
        <v>163</v>
      </c>
      <c r="D1202" t="s">
        <v>161</v>
      </c>
      <c r="E1202" s="1">
        <v>42912</v>
      </c>
      <c r="F1202" t="s">
        <v>383</v>
      </c>
      <c r="G1202" t="s">
        <v>675</v>
      </c>
      <c r="H1202">
        <v>-28</v>
      </c>
      <c r="I1202" t="s">
        <v>37</v>
      </c>
      <c r="J1202">
        <v>0</v>
      </c>
      <c r="M1202" t="s">
        <v>241</v>
      </c>
      <c r="N1202" t="s">
        <v>677</v>
      </c>
    </row>
    <row r="1203" spans="1:17" x14ac:dyDescent="0.15">
      <c r="A1203" t="s">
        <v>67</v>
      </c>
      <c r="B1203" t="s">
        <v>162</v>
      </c>
      <c r="C1203">
        <v>163</v>
      </c>
      <c r="D1203" t="s">
        <v>161</v>
      </c>
      <c r="E1203" s="1">
        <v>42912</v>
      </c>
      <c r="F1203" t="s">
        <v>383</v>
      </c>
      <c r="G1203" t="s">
        <v>675</v>
      </c>
      <c r="H1203">
        <v>-28</v>
      </c>
      <c r="I1203" t="s">
        <v>37</v>
      </c>
      <c r="J1203">
        <v>0</v>
      </c>
      <c r="M1203" t="s">
        <v>1910</v>
      </c>
      <c r="N1203" t="s">
        <v>677</v>
      </c>
      <c r="O1203">
        <v>0</v>
      </c>
      <c r="P1203">
        <v>0</v>
      </c>
      <c r="Q1203" t="s">
        <v>381</v>
      </c>
    </row>
    <row r="1204" spans="1:17" x14ac:dyDescent="0.15">
      <c r="A1204" t="s">
        <v>67</v>
      </c>
      <c r="B1204" t="s">
        <v>162</v>
      </c>
      <c r="C1204">
        <v>163</v>
      </c>
      <c r="D1204" t="s">
        <v>161</v>
      </c>
      <c r="E1204" s="1">
        <v>42913</v>
      </c>
      <c r="F1204" t="s">
        <v>383</v>
      </c>
      <c r="G1204" t="s">
        <v>678</v>
      </c>
      <c r="H1204">
        <v>-56</v>
      </c>
      <c r="I1204" t="s">
        <v>37</v>
      </c>
      <c r="J1204">
        <v>0</v>
      </c>
      <c r="M1204" t="s">
        <v>241</v>
      </c>
      <c r="N1204" t="s">
        <v>680</v>
      </c>
    </row>
    <row r="1205" spans="1:17" x14ac:dyDescent="0.15">
      <c r="A1205" t="s">
        <v>67</v>
      </c>
      <c r="B1205" t="s">
        <v>162</v>
      </c>
      <c r="C1205">
        <v>163</v>
      </c>
      <c r="D1205" t="s">
        <v>161</v>
      </c>
      <c r="E1205" s="1">
        <v>42913</v>
      </c>
      <c r="F1205" t="s">
        <v>383</v>
      </c>
      <c r="G1205" t="s">
        <v>678</v>
      </c>
      <c r="H1205">
        <v>-56</v>
      </c>
      <c r="I1205" t="s">
        <v>37</v>
      </c>
      <c r="J1205">
        <v>0</v>
      </c>
      <c r="M1205" t="s">
        <v>1910</v>
      </c>
      <c r="N1205" t="s">
        <v>680</v>
      </c>
      <c r="O1205">
        <v>0</v>
      </c>
      <c r="P1205">
        <v>0</v>
      </c>
      <c r="Q1205" t="s">
        <v>381</v>
      </c>
    </row>
    <row r="1206" spans="1:17" x14ac:dyDescent="0.15">
      <c r="A1206" t="s">
        <v>67</v>
      </c>
      <c r="B1206" t="s">
        <v>162</v>
      </c>
      <c r="C1206">
        <v>163</v>
      </c>
      <c r="D1206" t="s">
        <v>161</v>
      </c>
      <c r="E1206" s="1">
        <v>42914</v>
      </c>
      <c r="F1206" t="s">
        <v>21</v>
      </c>
      <c r="G1206" t="s">
        <v>187</v>
      </c>
      <c r="H1206">
        <v>1</v>
      </c>
      <c r="I1206" t="s">
        <v>37</v>
      </c>
      <c r="J1206">
        <v>0</v>
      </c>
      <c r="M1206" t="s">
        <v>241</v>
      </c>
      <c r="N1206" t="s">
        <v>933</v>
      </c>
    </row>
    <row r="1207" spans="1:17" x14ac:dyDescent="0.15">
      <c r="A1207" t="s">
        <v>67</v>
      </c>
      <c r="B1207" t="s">
        <v>162</v>
      </c>
      <c r="C1207">
        <v>163</v>
      </c>
      <c r="D1207" t="s">
        <v>161</v>
      </c>
      <c r="E1207" s="1">
        <v>42914</v>
      </c>
      <c r="F1207" t="s">
        <v>21</v>
      </c>
      <c r="G1207" t="s">
        <v>187</v>
      </c>
      <c r="H1207">
        <v>1</v>
      </c>
      <c r="I1207" t="s">
        <v>37</v>
      </c>
      <c r="J1207">
        <v>0</v>
      </c>
      <c r="M1207" t="s">
        <v>1910</v>
      </c>
      <c r="N1207" t="s">
        <v>933</v>
      </c>
      <c r="O1207">
        <v>0</v>
      </c>
      <c r="P1207">
        <v>0</v>
      </c>
      <c r="Q1207" t="s">
        <v>381</v>
      </c>
    </row>
    <row r="1208" spans="1:17" x14ac:dyDescent="0.15">
      <c r="A1208" t="s">
        <v>67</v>
      </c>
      <c r="B1208" t="s">
        <v>162</v>
      </c>
      <c r="C1208">
        <v>163</v>
      </c>
      <c r="D1208" t="s">
        <v>161</v>
      </c>
      <c r="E1208" s="1">
        <v>42915</v>
      </c>
      <c r="F1208" t="s">
        <v>383</v>
      </c>
      <c r="G1208" t="s">
        <v>684</v>
      </c>
      <c r="H1208">
        <v>-16</v>
      </c>
      <c r="I1208" t="s">
        <v>37</v>
      </c>
      <c r="J1208">
        <v>0</v>
      </c>
      <c r="M1208" t="s">
        <v>241</v>
      </c>
      <c r="N1208" t="s">
        <v>687</v>
      </c>
    </row>
    <row r="1209" spans="1:17" x14ac:dyDescent="0.15">
      <c r="A1209" t="s">
        <v>67</v>
      </c>
      <c r="B1209" t="s">
        <v>162</v>
      </c>
      <c r="C1209">
        <v>163</v>
      </c>
      <c r="D1209" t="s">
        <v>161</v>
      </c>
      <c r="E1209" s="1">
        <v>42915</v>
      </c>
      <c r="F1209" t="s">
        <v>383</v>
      </c>
      <c r="G1209" t="s">
        <v>684</v>
      </c>
      <c r="H1209">
        <v>-16</v>
      </c>
      <c r="I1209" t="s">
        <v>37</v>
      </c>
      <c r="J1209">
        <v>0</v>
      </c>
      <c r="M1209" t="s">
        <v>1910</v>
      </c>
      <c r="N1209" t="s">
        <v>687</v>
      </c>
      <c r="O1209">
        <v>0</v>
      </c>
      <c r="P1209">
        <v>0</v>
      </c>
      <c r="Q1209" t="s">
        <v>381</v>
      </c>
    </row>
    <row r="1210" spans="1:17" x14ac:dyDescent="0.15">
      <c r="A1210" t="s">
        <v>67</v>
      </c>
      <c r="B1210" t="s">
        <v>162</v>
      </c>
      <c r="C1210">
        <v>163</v>
      </c>
      <c r="D1210" t="s">
        <v>161</v>
      </c>
      <c r="E1210" s="1">
        <v>42915</v>
      </c>
      <c r="F1210" t="s">
        <v>383</v>
      </c>
      <c r="G1210" t="s">
        <v>688</v>
      </c>
      <c r="H1210">
        <v>-8</v>
      </c>
      <c r="I1210" t="s">
        <v>37</v>
      </c>
      <c r="J1210">
        <v>0</v>
      </c>
      <c r="M1210" t="s">
        <v>241</v>
      </c>
      <c r="N1210" t="s">
        <v>690</v>
      </c>
    </row>
    <row r="1211" spans="1:17" x14ac:dyDescent="0.15">
      <c r="A1211" t="s">
        <v>67</v>
      </c>
      <c r="B1211" t="s">
        <v>162</v>
      </c>
      <c r="C1211">
        <v>163</v>
      </c>
      <c r="D1211" t="s">
        <v>161</v>
      </c>
      <c r="E1211" s="1">
        <v>42915</v>
      </c>
      <c r="F1211" t="s">
        <v>383</v>
      </c>
      <c r="G1211" t="s">
        <v>688</v>
      </c>
      <c r="H1211">
        <v>-8</v>
      </c>
      <c r="I1211" t="s">
        <v>37</v>
      </c>
      <c r="J1211">
        <v>0</v>
      </c>
      <c r="M1211" t="s">
        <v>1910</v>
      </c>
      <c r="N1211" t="s">
        <v>690</v>
      </c>
      <c r="O1211">
        <v>0</v>
      </c>
      <c r="P1211">
        <v>0</v>
      </c>
      <c r="Q1211" t="s">
        <v>381</v>
      </c>
    </row>
    <row r="1212" spans="1:17" x14ac:dyDescent="0.15">
      <c r="A1212" t="s">
        <v>67</v>
      </c>
      <c r="B1212" t="s">
        <v>162</v>
      </c>
      <c r="C1212">
        <v>163</v>
      </c>
      <c r="D1212" t="s">
        <v>161</v>
      </c>
      <c r="E1212" s="1">
        <v>42916</v>
      </c>
      <c r="F1212" t="s">
        <v>383</v>
      </c>
      <c r="G1212" t="s">
        <v>691</v>
      </c>
      <c r="H1212">
        <v>-28</v>
      </c>
      <c r="I1212" t="s">
        <v>37</v>
      </c>
      <c r="J1212">
        <v>0</v>
      </c>
      <c r="M1212" t="s">
        <v>241</v>
      </c>
      <c r="N1212" t="s">
        <v>693</v>
      </c>
    </row>
    <row r="1213" spans="1:17" x14ac:dyDescent="0.15">
      <c r="A1213" t="s">
        <v>67</v>
      </c>
      <c r="B1213" t="s">
        <v>162</v>
      </c>
      <c r="C1213">
        <v>163</v>
      </c>
      <c r="D1213" t="s">
        <v>161</v>
      </c>
      <c r="E1213" s="1">
        <v>42916</v>
      </c>
      <c r="F1213" t="s">
        <v>383</v>
      </c>
      <c r="G1213" t="s">
        <v>691</v>
      </c>
      <c r="H1213">
        <v>-28</v>
      </c>
      <c r="I1213" t="s">
        <v>37</v>
      </c>
      <c r="J1213">
        <v>0</v>
      </c>
      <c r="M1213" t="s">
        <v>1910</v>
      </c>
      <c r="N1213" t="s">
        <v>693</v>
      </c>
      <c r="O1213">
        <v>0</v>
      </c>
      <c r="P1213">
        <v>0</v>
      </c>
      <c r="Q1213" t="s">
        <v>381</v>
      </c>
    </row>
    <row r="1214" spans="1:17" x14ac:dyDescent="0.15">
      <c r="A1214" t="s">
        <v>67</v>
      </c>
      <c r="B1214" t="s">
        <v>162</v>
      </c>
      <c r="C1214">
        <v>163</v>
      </c>
      <c r="D1214" t="s">
        <v>161</v>
      </c>
      <c r="E1214" s="1">
        <v>42916</v>
      </c>
      <c r="F1214" t="s">
        <v>383</v>
      </c>
      <c r="G1214" t="s">
        <v>697</v>
      </c>
      <c r="H1214">
        <v>-4</v>
      </c>
      <c r="I1214" t="s">
        <v>37</v>
      </c>
      <c r="J1214">
        <v>0</v>
      </c>
      <c r="M1214" t="s">
        <v>241</v>
      </c>
      <c r="N1214" t="s">
        <v>699</v>
      </c>
    </row>
    <row r="1215" spans="1:17" x14ac:dyDescent="0.15">
      <c r="A1215" t="s">
        <v>67</v>
      </c>
      <c r="B1215" t="s">
        <v>162</v>
      </c>
      <c r="C1215">
        <v>163</v>
      </c>
      <c r="D1215" t="s">
        <v>161</v>
      </c>
      <c r="E1215" s="1">
        <v>42916</v>
      </c>
      <c r="F1215" t="s">
        <v>383</v>
      </c>
      <c r="G1215" t="s">
        <v>697</v>
      </c>
      <c r="H1215">
        <v>-4</v>
      </c>
      <c r="I1215" t="s">
        <v>37</v>
      </c>
      <c r="J1215">
        <v>0</v>
      </c>
      <c r="M1215" t="s">
        <v>1910</v>
      </c>
      <c r="N1215" t="s">
        <v>699</v>
      </c>
      <c r="O1215">
        <v>0</v>
      </c>
      <c r="P1215">
        <v>0</v>
      </c>
      <c r="Q1215" t="s">
        <v>381</v>
      </c>
    </row>
    <row r="1216" spans="1:17" x14ac:dyDescent="0.15">
      <c r="A1216" t="s">
        <v>67</v>
      </c>
      <c r="B1216" t="s">
        <v>162</v>
      </c>
      <c r="C1216">
        <v>163</v>
      </c>
      <c r="D1216" t="s">
        <v>161</v>
      </c>
      <c r="E1216" s="1">
        <v>42919</v>
      </c>
      <c r="F1216" t="s">
        <v>17</v>
      </c>
      <c r="G1216" t="s">
        <v>1487</v>
      </c>
      <c r="H1216">
        <v>84</v>
      </c>
      <c r="I1216" t="s">
        <v>37</v>
      </c>
      <c r="J1216">
        <v>0</v>
      </c>
      <c r="M1216" t="s">
        <v>241</v>
      </c>
      <c r="N1216" t="s">
        <v>1488</v>
      </c>
    </row>
    <row r="1217" spans="1:17" x14ac:dyDescent="0.15">
      <c r="A1217" t="s">
        <v>67</v>
      </c>
      <c r="B1217" t="s">
        <v>162</v>
      </c>
      <c r="C1217">
        <v>163</v>
      </c>
      <c r="D1217" t="s">
        <v>161</v>
      </c>
      <c r="E1217" s="1">
        <v>42919</v>
      </c>
      <c r="F1217" t="s">
        <v>17</v>
      </c>
      <c r="G1217" t="s">
        <v>1487</v>
      </c>
      <c r="H1217">
        <v>84</v>
      </c>
      <c r="I1217" t="s">
        <v>37</v>
      </c>
      <c r="J1217">
        <v>0</v>
      </c>
      <c r="M1217" t="s">
        <v>1910</v>
      </c>
      <c r="N1217" t="s">
        <v>1488</v>
      </c>
      <c r="O1217">
        <v>0</v>
      </c>
      <c r="P1217">
        <v>0</v>
      </c>
      <c r="Q1217" t="s">
        <v>381</v>
      </c>
    </row>
    <row r="1218" spans="1:17" x14ac:dyDescent="0.15">
      <c r="A1218" t="s">
        <v>67</v>
      </c>
      <c r="B1218" t="s">
        <v>162</v>
      </c>
      <c r="C1218">
        <v>163</v>
      </c>
      <c r="D1218" t="s">
        <v>161</v>
      </c>
      <c r="E1218" s="1">
        <v>42922</v>
      </c>
      <c r="F1218" t="s">
        <v>383</v>
      </c>
      <c r="G1218" t="s">
        <v>1034</v>
      </c>
      <c r="H1218">
        <v>-28</v>
      </c>
      <c r="I1218" t="s">
        <v>37</v>
      </c>
      <c r="J1218">
        <v>0</v>
      </c>
      <c r="M1218" t="s">
        <v>241</v>
      </c>
      <c r="N1218" t="s">
        <v>1035</v>
      </c>
    </row>
    <row r="1219" spans="1:17" x14ac:dyDescent="0.15">
      <c r="A1219" t="s">
        <v>67</v>
      </c>
      <c r="B1219" t="s">
        <v>162</v>
      </c>
      <c r="C1219">
        <v>163</v>
      </c>
      <c r="D1219" t="s">
        <v>161</v>
      </c>
      <c r="E1219" s="1">
        <v>42922</v>
      </c>
      <c r="F1219" t="s">
        <v>383</v>
      </c>
      <c r="G1219" t="s">
        <v>1034</v>
      </c>
      <c r="H1219">
        <v>-28</v>
      </c>
      <c r="I1219" t="s">
        <v>37</v>
      </c>
      <c r="J1219">
        <v>0</v>
      </c>
      <c r="M1219" t="s">
        <v>1910</v>
      </c>
      <c r="N1219" t="s">
        <v>1035</v>
      </c>
      <c r="O1219">
        <v>0</v>
      </c>
      <c r="P1219">
        <v>0</v>
      </c>
      <c r="Q1219" t="s">
        <v>381</v>
      </c>
    </row>
    <row r="1220" spans="1:17" x14ac:dyDescent="0.15">
      <c r="A1220" t="s">
        <v>67</v>
      </c>
      <c r="B1220" t="s">
        <v>162</v>
      </c>
      <c r="C1220">
        <v>163</v>
      </c>
      <c r="D1220" t="s">
        <v>161</v>
      </c>
      <c r="E1220" s="1">
        <v>42922</v>
      </c>
      <c r="F1220" t="s">
        <v>383</v>
      </c>
      <c r="G1220" t="s">
        <v>1043</v>
      </c>
      <c r="H1220">
        <v>-5</v>
      </c>
      <c r="I1220" t="s">
        <v>37</v>
      </c>
      <c r="J1220">
        <v>0</v>
      </c>
      <c r="M1220" t="s">
        <v>241</v>
      </c>
      <c r="N1220" t="s">
        <v>1044</v>
      </c>
    </row>
    <row r="1221" spans="1:17" x14ac:dyDescent="0.15">
      <c r="A1221" t="s">
        <v>67</v>
      </c>
      <c r="B1221" t="s">
        <v>162</v>
      </c>
      <c r="C1221">
        <v>163</v>
      </c>
      <c r="D1221" t="s">
        <v>161</v>
      </c>
      <c r="E1221" s="1">
        <v>42922</v>
      </c>
      <c r="F1221" t="s">
        <v>383</v>
      </c>
      <c r="G1221" t="s">
        <v>1043</v>
      </c>
      <c r="H1221">
        <v>-5</v>
      </c>
      <c r="I1221" t="s">
        <v>37</v>
      </c>
      <c r="J1221">
        <v>0</v>
      </c>
      <c r="M1221" t="s">
        <v>1910</v>
      </c>
      <c r="N1221" t="s">
        <v>1044</v>
      </c>
      <c r="O1221">
        <v>0</v>
      </c>
      <c r="P1221">
        <v>0</v>
      </c>
      <c r="Q1221" t="s">
        <v>381</v>
      </c>
    </row>
    <row r="1222" spans="1:17" x14ac:dyDescent="0.15">
      <c r="A1222" t="s">
        <v>67</v>
      </c>
      <c r="B1222" t="s">
        <v>162</v>
      </c>
      <c r="C1222">
        <v>163</v>
      </c>
      <c r="D1222" t="s">
        <v>161</v>
      </c>
      <c r="E1222" s="1">
        <v>42923</v>
      </c>
      <c r="F1222" t="s">
        <v>383</v>
      </c>
      <c r="G1222" t="s">
        <v>1051</v>
      </c>
      <c r="H1222">
        <v>-4</v>
      </c>
      <c r="I1222" t="s">
        <v>37</v>
      </c>
      <c r="J1222">
        <v>0</v>
      </c>
      <c r="M1222" t="s">
        <v>241</v>
      </c>
      <c r="N1222" t="s">
        <v>1053</v>
      </c>
    </row>
    <row r="1223" spans="1:17" x14ac:dyDescent="0.15">
      <c r="A1223" t="s">
        <v>67</v>
      </c>
      <c r="B1223" t="s">
        <v>162</v>
      </c>
      <c r="C1223">
        <v>163</v>
      </c>
      <c r="D1223" t="s">
        <v>161</v>
      </c>
      <c r="E1223" s="1">
        <v>42923</v>
      </c>
      <c r="F1223" t="s">
        <v>383</v>
      </c>
      <c r="G1223" t="s">
        <v>1051</v>
      </c>
      <c r="H1223">
        <v>-4</v>
      </c>
      <c r="I1223" t="s">
        <v>37</v>
      </c>
      <c r="J1223">
        <v>0</v>
      </c>
      <c r="M1223" t="s">
        <v>1910</v>
      </c>
      <c r="N1223" t="s">
        <v>1053</v>
      </c>
      <c r="O1223">
        <v>0</v>
      </c>
      <c r="P1223">
        <v>0</v>
      </c>
      <c r="Q1223" t="s">
        <v>381</v>
      </c>
    </row>
    <row r="1224" spans="1:17" x14ac:dyDescent="0.15">
      <c r="A1224" t="s">
        <v>67</v>
      </c>
      <c r="B1224" t="s">
        <v>162</v>
      </c>
      <c r="C1224">
        <v>163</v>
      </c>
      <c r="D1224" t="s">
        <v>161</v>
      </c>
      <c r="E1224" s="1">
        <v>42926</v>
      </c>
      <c r="F1224" t="s">
        <v>383</v>
      </c>
      <c r="G1224" t="s">
        <v>1030</v>
      </c>
      <c r="H1224">
        <v>-6</v>
      </c>
      <c r="I1224" t="s">
        <v>37</v>
      </c>
      <c r="J1224">
        <v>0</v>
      </c>
      <c r="M1224" t="s">
        <v>241</v>
      </c>
      <c r="N1224" t="s">
        <v>1033</v>
      </c>
    </row>
    <row r="1225" spans="1:17" x14ac:dyDescent="0.15">
      <c r="A1225" t="s">
        <v>67</v>
      </c>
      <c r="B1225" t="s">
        <v>162</v>
      </c>
      <c r="C1225">
        <v>163</v>
      </c>
      <c r="D1225" t="s">
        <v>161</v>
      </c>
      <c r="E1225" s="1">
        <v>42926</v>
      </c>
      <c r="F1225" t="s">
        <v>383</v>
      </c>
      <c r="G1225" t="s">
        <v>1030</v>
      </c>
      <c r="H1225">
        <v>-6</v>
      </c>
      <c r="I1225" t="s">
        <v>37</v>
      </c>
      <c r="J1225">
        <v>0</v>
      </c>
      <c r="M1225" t="s">
        <v>1910</v>
      </c>
      <c r="N1225" t="s">
        <v>1033</v>
      </c>
      <c r="O1225">
        <v>0</v>
      </c>
      <c r="P1225">
        <v>0</v>
      </c>
      <c r="Q1225" t="s">
        <v>381</v>
      </c>
    </row>
    <row r="1226" spans="1:17" x14ac:dyDescent="0.15">
      <c r="A1226" t="s">
        <v>67</v>
      </c>
      <c r="B1226" t="s">
        <v>162</v>
      </c>
      <c r="C1226">
        <v>163</v>
      </c>
      <c r="D1226" t="s">
        <v>161</v>
      </c>
      <c r="E1226" s="1">
        <v>42928</v>
      </c>
      <c r="F1226" t="s">
        <v>17</v>
      </c>
      <c r="G1226" t="s">
        <v>1491</v>
      </c>
      <c r="H1226">
        <v>112</v>
      </c>
      <c r="I1226" t="s">
        <v>37</v>
      </c>
      <c r="J1226">
        <v>0</v>
      </c>
      <c r="M1226" t="s">
        <v>241</v>
      </c>
      <c r="N1226" t="s">
        <v>1492</v>
      </c>
    </row>
    <row r="1227" spans="1:17" x14ac:dyDescent="0.15">
      <c r="A1227" t="s">
        <v>67</v>
      </c>
      <c r="B1227" t="s">
        <v>162</v>
      </c>
      <c r="C1227">
        <v>163</v>
      </c>
      <c r="D1227" t="s">
        <v>161</v>
      </c>
      <c r="E1227" s="1">
        <v>42928</v>
      </c>
      <c r="F1227" t="s">
        <v>17</v>
      </c>
      <c r="G1227" t="s">
        <v>1491</v>
      </c>
      <c r="H1227">
        <v>112</v>
      </c>
      <c r="I1227" t="s">
        <v>37</v>
      </c>
      <c r="J1227">
        <v>0</v>
      </c>
      <c r="M1227" t="s">
        <v>1910</v>
      </c>
      <c r="N1227" t="s">
        <v>1492</v>
      </c>
      <c r="O1227">
        <v>0</v>
      </c>
      <c r="P1227">
        <v>0</v>
      </c>
      <c r="Q1227" t="s">
        <v>381</v>
      </c>
    </row>
    <row r="1228" spans="1:17" x14ac:dyDescent="0.15">
      <c r="A1228" t="s">
        <v>67</v>
      </c>
      <c r="B1228" t="s">
        <v>162</v>
      </c>
      <c r="C1228">
        <v>163</v>
      </c>
      <c r="D1228" t="s">
        <v>161</v>
      </c>
      <c r="E1228" s="1">
        <v>42930</v>
      </c>
      <c r="F1228" t="s">
        <v>383</v>
      </c>
      <c r="G1228" t="s">
        <v>1068</v>
      </c>
      <c r="H1228">
        <v>-15</v>
      </c>
      <c r="I1228" t="s">
        <v>37</v>
      </c>
      <c r="J1228">
        <v>0</v>
      </c>
      <c r="M1228" t="s">
        <v>241</v>
      </c>
      <c r="N1228" t="s">
        <v>1072</v>
      </c>
    </row>
    <row r="1229" spans="1:17" x14ac:dyDescent="0.15">
      <c r="A1229" t="s">
        <v>67</v>
      </c>
      <c r="B1229" t="s">
        <v>162</v>
      </c>
      <c r="C1229">
        <v>163</v>
      </c>
      <c r="D1229" t="s">
        <v>161</v>
      </c>
      <c r="E1229" s="1">
        <v>42930</v>
      </c>
      <c r="F1229" t="s">
        <v>383</v>
      </c>
      <c r="G1229" t="s">
        <v>1068</v>
      </c>
      <c r="H1229">
        <v>-15</v>
      </c>
      <c r="I1229" t="s">
        <v>37</v>
      </c>
      <c r="J1229">
        <v>0</v>
      </c>
      <c r="M1229" t="s">
        <v>1910</v>
      </c>
      <c r="N1229" t="s">
        <v>1072</v>
      </c>
      <c r="O1229">
        <v>0</v>
      </c>
      <c r="P1229">
        <v>0</v>
      </c>
      <c r="Q1229" t="s">
        <v>381</v>
      </c>
    </row>
    <row r="1230" spans="1:17" x14ac:dyDescent="0.15">
      <c r="A1230" t="s">
        <v>67</v>
      </c>
      <c r="B1230" t="s">
        <v>162</v>
      </c>
      <c r="C1230">
        <v>163</v>
      </c>
      <c r="D1230" t="s">
        <v>161</v>
      </c>
      <c r="E1230" s="1">
        <v>42932</v>
      </c>
      <c r="F1230" t="s">
        <v>383</v>
      </c>
      <c r="G1230" t="s">
        <v>1054</v>
      </c>
      <c r="H1230">
        <v>-10</v>
      </c>
      <c r="I1230" t="s">
        <v>37</v>
      </c>
      <c r="J1230">
        <v>0</v>
      </c>
      <c r="M1230" t="s">
        <v>241</v>
      </c>
      <c r="N1230" t="s">
        <v>1058</v>
      </c>
    </row>
    <row r="1231" spans="1:17" x14ac:dyDescent="0.15">
      <c r="A1231" t="s">
        <v>67</v>
      </c>
      <c r="B1231" t="s">
        <v>162</v>
      </c>
      <c r="C1231">
        <v>163</v>
      </c>
      <c r="D1231" t="s">
        <v>161</v>
      </c>
      <c r="E1231" s="1">
        <v>42932</v>
      </c>
      <c r="F1231" t="s">
        <v>383</v>
      </c>
      <c r="G1231" t="s">
        <v>1054</v>
      </c>
      <c r="H1231">
        <v>-10</v>
      </c>
      <c r="I1231" t="s">
        <v>37</v>
      </c>
      <c r="J1231">
        <v>0</v>
      </c>
      <c r="M1231" t="s">
        <v>1910</v>
      </c>
      <c r="N1231" t="s">
        <v>1058</v>
      </c>
      <c r="O1231">
        <v>0</v>
      </c>
      <c r="P1231">
        <v>0</v>
      </c>
      <c r="Q1231" t="s">
        <v>381</v>
      </c>
    </row>
    <row r="1232" spans="1:17" x14ac:dyDescent="0.15">
      <c r="A1232" t="s">
        <v>67</v>
      </c>
      <c r="B1232" t="s">
        <v>162</v>
      </c>
      <c r="C1232">
        <v>163</v>
      </c>
      <c r="D1232" t="s">
        <v>161</v>
      </c>
      <c r="E1232" s="1">
        <v>42932</v>
      </c>
      <c r="F1232" t="s">
        <v>383</v>
      </c>
      <c r="G1232" t="s">
        <v>1060</v>
      </c>
      <c r="H1232">
        <v>-10</v>
      </c>
      <c r="I1232" t="s">
        <v>37</v>
      </c>
      <c r="J1232">
        <v>0</v>
      </c>
      <c r="M1232" t="s">
        <v>241</v>
      </c>
      <c r="N1232" t="s">
        <v>1061</v>
      </c>
    </row>
    <row r="1233" spans="1:17" x14ac:dyDescent="0.15">
      <c r="A1233" t="s">
        <v>67</v>
      </c>
      <c r="B1233" t="s">
        <v>162</v>
      </c>
      <c r="C1233">
        <v>163</v>
      </c>
      <c r="D1233" t="s">
        <v>161</v>
      </c>
      <c r="E1233" s="1">
        <v>42932</v>
      </c>
      <c r="F1233" t="s">
        <v>383</v>
      </c>
      <c r="G1233" t="s">
        <v>1060</v>
      </c>
      <c r="H1233">
        <v>-10</v>
      </c>
      <c r="I1233" t="s">
        <v>37</v>
      </c>
      <c r="J1233">
        <v>0</v>
      </c>
      <c r="M1233" t="s">
        <v>1910</v>
      </c>
      <c r="N1233" t="s">
        <v>1061</v>
      </c>
      <c r="O1233">
        <v>0</v>
      </c>
      <c r="P1233">
        <v>0</v>
      </c>
      <c r="Q1233" t="s">
        <v>381</v>
      </c>
    </row>
    <row r="1234" spans="1:17" x14ac:dyDescent="0.15">
      <c r="A1234" t="s">
        <v>67</v>
      </c>
      <c r="B1234" t="s">
        <v>162</v>
      </c>
      <c r="C1234">
        <v>163</v>
      </c>
      <c r="D1234" t="s">
        <v>161</v>
      </c>
      <c r="E1234" s="1">
        <v>42934</v>
      </c>
      <c r="F1234" t="s">
        <v>383</v>
      </c>
      <c r="G1234" t="s">
        <v>973</v>
      </c>
      <c r="H1234">
        <v>-56</v>
      </c>
      <c r="I1234" t="s">
        <v>37</v>
      </c>
      <c r="J1234">
        <v>0</v>
      </c>
      <c r="M1234" t="s">
        <v>241</v>
      </c>
      <c r="N1234" t="s">
        <v>975</v>
      </c>
    </row>
    <row r="1235" spans="1:17" x14ac:dyDescent="0.15">
      <c r="A1235" t="s">
        <v>67</v>
      </c>
      <c r="B1235" t="s">
        <v>162</v>
      </c>
      <c r="C1235">
        <v>163</v>
      </c>
      <c r="D1235" t="s">
        <v>161</v>
      </c>
      <c r="E1235" s="1">
        <v>42934</v>
      </c>
      <c r="F1235" t="s">
        <v>383</v>
      </c>
      <c r="G1235" t="s">
        <v>973</v>
      </c>
      <c r="H1235">
        <v>-56</v>
      </c>
      <c r="I1235" t="s">
        <v>37</v>
      </c>
      <c r="J1235">
        <v>0</v>
      </c>
      <c r="M1235" t="s">
        <v>1910</v>
      </c>
      <c r="N1235" t="s">
        <v>975</v>
      </c>
      <c r="O1235">
        <v>0</v>
      </c>
      <c r="P1235">
        <v>0</v>
      </c>
      <c r="Q1235" t="s">
        <v>381</v>
      </c>
    </row>
    <row r="1236" spans="1:17" x14ac:dyDescent="0.15">
      <c r="A1236" t="s">
        <v>67</v>
      </c>
      <c r="B1236" t="s">
        <v>162</v>
      </c>
      <c r="C1236">
        <v>163</v>
      </c>
      <c r="D1236" t="s">
        <v>161</v>
      </c>
      <c r="E1236" s="1">
        <v>42934</v>
      </c>
      <c r="F1236" t="s">
        <v>383</v>
      </c>
      <c r="G1236" t="s">
        <v>1046</v>
      </c>
      <c r="H1236">
        <v>-34</v>
      </c>
      <c r="I1236" t="s">
        <v>37</v>
      </c>
      <c r="J1236">
        <v>0</v>
      </c>
      <c r="M1236" t="s">
        <v>241</v>
      </c>
      <c r="N1236" t="s">
        <v>1050</v>
      </c>
    </row>
    <row r="1237" spans="1:17" x14ac:dyDescent="0.15">
      <c r="A1237" t="s">
        <v>67</v>
      </c>
      <c r="B1237" t="s">
        <v>162</v>
      </c>
      <c r="C1237">
        <v>163</v>
      </c>
      <c r="D1237" t="s">
        <v>161</v>
      </c>
      <c r="E1237" s="1">
        <v>42934</v>
      </c>
      <c r="F1237" t="s">
        <v>383</v>
      </c>
      <c r="G1237" t="s">
        <v>1046</v>
      </c>
      <c r="H1237">
        <v>-34</v>
      </c>
      <c r="I1237" t="s">
        <v>37</v>
      </c>
      <c r="J1237">
        <v>0</v>
      </c>
      <c r="M1237" t="s">
        <v>1910</v>
      </c>
      <c r="N1237" t="s">
        <v>1050</v>
      </c>
      <c r="O1237">
        <v>0</v>
      </c>
      <c r="P1237">
        <v>0</v>
      </c>
      <c r="Q1237" t="s">
        <v>381</v>
      </c>
    </row>
    <row r="1238" spans="1:17" x14ac:dyDescent="0.15">
      <c r="A1238" t="s">
        <v>67</v>
      </c>
      <c r="B1238" t="s">
        <v>162</v>
      </c>
      <c r="C1238">
        <v>163</v>
      </c>
      <c r="D1238" t="s">
        <v>161</v>
      </c>
      <c r="E1238" s="1">
        <v>42935</v>
      </c>
      <c r="F1238" t="s">
        <v>383</v>
      </c>
      <c r="G1238" t="s">
        <v>1079</v>
      </c>
      <c r="H1238">
        <v>-4</v>
      </c>
      <c r="I1238" t="s">
        <v>37</v>
      </c>
      <c r="J1238">
        <v>0</v>
      </c>
      <c r="M1238" t="s">
        <v>241</v>
      </c>
      <c r="N1238" t="s">
        <v>1081</v>
      </c>
    </row>
    <row r="1239" spans="1:17" x14ac:dyDescent="0.15">
      <c r="A1239" t="s">
        <v>67</v>
      </c>
      <c r="B1239" t="s">
        <v>162</v>
      </c>
      <c r="C1239">
        <v>163</v>
      </c>
      <c r="D1239" t="s">
        <v>161</v>
      </c>
      <c r="E1239" s="1">
        <v>42935</v>
      </c>
      <c r="F1239" t="s">
        <v>383</v>
      </c>
      <c r="G1239" t="s">
        <v>1079</v>
      </c>
      <c r="H1239">
        <v>-4</v>
      </c>
      <c r="I1239" t="s">
        <v>37</v>
      </c>
      <c r="J1239">
        <v>0</v>
      </c>
      <c r="M1239" t="s">
        <v>1910</v>
      </c>
      <c r="N1239" t="s">
        <v>1081</v>
      </c>
      <c r="O1239">
        <v>0</v>
      </c>
      <c r="P1239">
        <v>0</v>
      </c>
      <c r="Q1239" t="s">
        <v>381</v>
      </c>
    </row>
    <row r="1240" spans="1:17" x14ac:dyDescent="0.15">
      <c r="A1240" t="s">
        <v>67</v>
      </c>
      <c r="B1240" t="s">
        <v>162</v>
      </c>
      <c r="C1240">
        <v>163</v>
      </c>
      <c r="D1240" t="s">
        <v>161</v>
      </c>
      <c r="E1240" s="1">
        <v>42936</v>
      </c>
      <c r="F1240" t="s">
        <v>383</v>
      </c>
      <c r="G1240" t="s">
        <v>984</v>
      </c>
      <c r="H1240">
        <v>-280</v>
      </c>
      <c r="I1240" t="s">
        <v>37</v>
      </c>
      <c r="J1240">
        <v>0</v>
      </c>
      <c r="M1240" t="s">
        <v>241</v>
      </c>
      <c r="N1240" t="s">
        <v>986</v>
      </c>
    </row>
    <row r="1241" spans="1:17" x14ac:dyDescent="0.15">
      <c r="A1241" t="s">
        <v>67</v>
      </c>
      <c r="B1241" t="s">
        <v>162</v>
      </c>
      <c r="C1241">
        <v>163</v>
      </c>
      <c r="D1241" t="s">
        <v>161</v>
      </c>
      <c r="E1241" s="1">
        <v>42936</v>
      </c>
      <c r="F1241" t="s">
        <v>383</v>
      </c>
      <c r="G1241" t="s">
        <v>984</v>
      </c>
      <c r="H1241">
        <v>-280</v>
      </c>
      <c r="I1241" t="s">
        <v>37</v>
      </c>
      <c r="J1241">
        <v>0</v>
      </c>
      <c r="M1241" t="s">
        <v>1910</v>
      </c>
      <c r="N1241" t="s">
        <v>986</v>
      </c>
      <c r="O1241">
        <v>0</v>
      </c>
      <c r="P1241">
        <v>0</v>
      </c>
      <c r="Q1241" t="s">
        <v>381</v>
      </c>
    </row>
    <row r="1242" spans="1:17" x14ac:dyDescent="0.15">
      <c r="A1242" t="s">
        <v>67</v>
      </c>
      <c r="B1242" t="s">
        <v>162</v>
      </c>
      <c r="C1242">
        <v>163</v>
      </c>
      <c r="D1242" t="s">
        <v>161</v>
      </c>
      <c r="E1242" s="1">
        <v>42940</v>
      </c>
      <c r="F1242" t="s">
        <v>383</v>
      </c>
      <c r="G1242" t="s">
        <v>1098</v>
      </c>
      <c r="H1242">
        <v>-16</v>
      </c>
      <c r="I1242" t="s">
        <v>37</v>
      </c>
      <c r="J1242">
        <v>0</v>
      </c>
      <c r="M1242" t="s">
        <v>241</v>
      </c>
      <c r="N1242" t="s">
        <v>1100</v>
      </c>
    </row>
    <row r="1243" spans="1:17" x14ac:dyDescent="0.15">
      <c r="A1243" t="s">
        <v>67</v>
      </c>
      <c r="B1243" t="s">
        <v>162</v>
      </c>
      <c r="C1243">
        <v>163</v>
      </c>
      <c r="D1243" t="s">
        <v>161</v>
      </c>
      <c r="E1243" s="1">
        <v>42940</v>
      </c>
      <c r="F1243" t="s">
        <v>383</v>
      </c>
      <c r="G1243" t="s">
        <v>1098</v>
      </c>
      <c r="H1243">
        <v>-16</v>
      </c>
      <c r="I1243" t="s">
        <v>37</v>
      </c>
      <c r="J1243">
        <v>0</v>
      </c>
      <c r="M1243" t="s">
        <v>1910</v>
      </c>
      <c r="N1243" t="s">
        <v>1100</v>
      </c>
      <c r="O1243">
        <v>0</v>
      </c>
      <c r="P1243">
        <v>0</v>
      </c>
      <c r="Q1243" t="s">
        <v>381</v>
      </c>
    </row>
    <row r="1244" spans="1:17" x14ac:dyDescent="0.15">
      <c r="A1244" t="s">
        <v>67</v>
      </c>
      <c r="B1244" t="s">
        <v>162</v>
      </c>
      <c r="C1244">
        <v>163</v>
      </c>
      <c r="D1244" t="s">
        <v>161</v>
      </c>
      <c r="E1244" s="1">
        <v>42940</v>
      </c>
      <c r="F1244" t="s">
        <v>17</v>
      </c>
      <c r="G1244" t="s">
        <v>1497</v>
      </c>
      <c r="H1244">
        <v>140</v>
      </c>
      <c r="I1244" t="s">
        <v>37</v>
      </c>
      <c r="J1244">
        <v>0</v>
      </c>
      <c r="M1244" t="s">
        <v>241</v>
      </c>
      <c r="N1244" t="s">
        <v>1498</v>
      </c>
    </row>
    <row r="1245" spans="1:17" x14ac:dyDescent="0.15">
      <c r="A1245" t="s">
        <v>67</v>
      </c>
      <c r="B1245" t="s">
        <v>162</v>
      </c>
      <c r="C1245">
        <v>163</v>
      </c>
      <c r="D1245" t="s">
        <v>161</v>
      </c>
      <c r="E1245" s="1">
        <v>42940</v>
      </c>
      <c r="F1245" t="s">
        <v>17</v>
      </c>
      <c r="G1245" t="s">
        <v>1497</v>
      </c>
      <c r="H1245">
        <v>140</v>
      </c>
      <c r="I1245" t="s">
        <v>37</v>
      </c>
      <c r="J1245">
        <v>0</v>
      </c>
      <c r="M1245" t="s">
        <v>1910</v>
      </c>
      <c r="N1245" t="s">
        <v>1498</v>
      </c>
      <c r="O1245">
        <v>0</v>
      </c>
      <c r="P1245">
        <v>0</v>
      </c>
      <c r="Q1245" t="s">
        <v>381</v>
      </c>
    </row>
    <row r="1246" spans="1:17" x14ac:dyDescent="0.15">
      <c r="A1246" t="s">
        <v>67</v>
      </c>
      <c r="B1246" t="s">
        <v>162</v>
      </c>
      <c r="C1246">
        <v>163</v>
      </c>
      <c r="D1246" t="s">
        <v>161</v>
      </c>
      <c r="E1246" s="1">
        <v>42940</v>
      </c>
      <c r="F1246" t="s">
        <v>17</v>
      </c>
      <c r="G1246" t="s">
        <v>1503</v>
      </c>
      <c r="H1246">
        <v>56</v>
      </c>
      <c r="I1246" t="s">
        <v>37</v>
      </c>
      <c r="J1246">
        <v>0</v>
      </c>
      <c r="M1246" t="s">
        <v>241</v>
      </c>
      <c r="N1246" t="s">
        <v>1505</v>
      </c>
    </row>
    <row r="1247" spans="1:17" x14ac:dyDescent="0.15">
      <c r="A1247" t="s">
        <v>67</v>
      </c>
      <c r="B1247" t="s">
        <v>162</v>
      </c>
      <c r="C1247">
        <v>163</v>
      </c>
      <c r="D1247" t="s">
        <v>161</v>
      </c>
      <c r="E1247" s="1">
        <v>42940</v>
      </c>
      <c r="F1247" t="s">
        <v>17</v>
      </c>
      <c r="G1247" t="s">
        <v>1503</v>
      </c>
      <c r="H1247">
        <v>56</v>
      </c>
      <c r="I1247" t="s">
        <v>37</v>
      </c>
      <c r="J1247">
        <v>0</v>
      </c>
      <c r="M1247" t="s">
        <v>1910</v>
      </c>
      <c r="N1247" t="s">
        <v>1505</v>
      </c>
      <c r="O1247">
        <v>0</v>
      </c>
      <c r="P1247">
        <v>0</v>
      </c>
      <c r="Q1247" t="s">
        <v>381</v>
      </c>
    </row>
    <row r="1248" spans="1:17" x14ac:dyDescent="0.15">
      <c r="A1248" t="s">
        <v>67</v>
      </c>
      <c r="B1248" t="s">
        <v>162</v>
      </c>
      <c r="C1248">
        <v>163</v>
      </c>
      <c r="D1248" t="s">
        <v>161</v>
      </c>
      <c r="E1248" s="1">
        <v>42942</v>
      </c>
      <c r="F1248" t="s">
        <v>383</v>
      </c>
      <c r="G1248" t="s">
        <v>1106</v>
      </c>
      <c r="H1248">
        <v>-92</v>
      </c>
      <c r="I1248" t="s">
        <v>37</v>
      </c>
      <c r="J1248">
        <v>0</v>
      </c>
      <c r="M1248" t="s">
        <v>241</v>
      </c>
      <c r="N1248" t="s">
        <v>1110</v>
      </c>
    </row>
    <row r="1249" spans="1:17" x14ac:dyDescent="0.15">
      <c r="A1249" t="s">
        <v>67</v>
      </c>
      <c r="B1249" t="s">
        <v>162</v>
      </c>
      <c r="C1249">
        <v>163</v>
      </c>
      <c r="D1249" t="s">
        <v>161</v>
      </c>
      <c r="E1249" s="1">
        <v>42942</v>
      </c>
      <c r="F1249" t="s">
        <v>383</v>
      </c>
      <c r="G1249" t="s">
        <v>1106</v>
      </c>
      <c r="H1249">
        <v>-92</v>
      </c>
      <c r="I1249" t="s">
        <v>37</v>
      </c>
      <c r="J1249">
        <v>0</v>
      </c>
      <c r="M1249" t="s">
        <v>1910</v>
      </c>
      <c r="N1249" t="s">
        <v>1110</v>
      </c>
      <c r="O1249">
        <v>0</v>
      </c>
      <c r="P1249">
        <v>0</v>
      </c>
      <c r="Q1249" t="s">
        <v>381</v>
      </c>
    </row>
    <row r="1250" spans="1:17" x14ac:dyDescent="0.15">
      <c r="A1250" t="s">
        <v>67</v>
      </c>
      <c r="B1250" t="s">
        <v>162</v>
      </c>
      <c r="C1250">
        <v>163</v>
      </c>
      <c r="D1250" t="s">
        <v>161</v>
      </c>
      <c r="E1250" s="1">
        <v>42942</v>
      </c>
      <c r="F1250" t="s">
        <v>383</v>
      </c>
      <c r="G1250" t="s">
        <v>1106</v>
      </c>
      <c r="H1250">
        <v>-2</v>
      </c>
      <c r="I1250" t="s">
        <v>37</v>
      </c>
      <c r="J1250">
        <v>0</v>
      </c>
      <c r="M1250" t="s">
        <v>241</v>
      </c>
      <c r="N1250" t="s">
        <v>1111</v>
      </c>
    </row>
    <row r="1251" spans="1:17" x14ac:dyDescent="0.15">
      <c r="A1251" t="s">
        <v>67</v>
      </c>
      <c r="B1251" t="s">
        <v>162</v>
      </c>
      <c r="C1251">
        <v>163</v>
      </c>
      <c r="D1251" t="s">
        <v>161</v>
      </c>
      <c r="E1251" s="1">
        <v>42942</v>
      </c>
      <c r="F1251" t="s">
        <v>383</v>
      </c>
      <c r="G1251" t="s">
        <v>1106</v>
      </c>
      <c r="H1251">
        <v>-2</v>
      </c>
      <c r="I1251" t="s">
        <v>37</v>
      </c>
      <c r="J1251">
        <v>0</v>
      </c>
      <c r="M1251" t="s">
        <v>1910</v>
      </c>
      <c r="N1251" t="s">
        <v>1111</v>
      </c>
      <c r="O1251">
        <v>0</v>
      </c>
      <c r="P1251">
        <v>0</v>
      </c>
      <c r="Q1251" t="s">
        <v>381</v>
      </c>
    </row>
    <row r="1252" spans="1:17" x14ac:dyDescent="0.15">
      <c r="A1252" t="s">
        <v>67</v>
      </c>
      <c r="B1252" t="s">
        <v>162</v>
      </c>
      <c r="C1252">
        <v>163</v>
      </c>
      <c r="D1252" t="s">
        <v>161</v>
      </c>
      <c r="E1252" s="1">
        <v>42942</v>
      </c>
      <c r="F1252" t="s">
        <v>383</v>
      </c>
      <c r="G1252" t="s">
        <v>1125</v>
      </c>
      <c r="H1252">
        <v>-5</v>
      </c>
      <c r="I1252" t="s">
        <v>37</v>
      </c>
      <c r="J1252">
        <v>0</v>
      </c>
      <c r="M1252" t="s">
        <v>241</v>
      </c>
      <c r="N1252" t="s">
        <v>1128</v>
      </c>
    </row>
    <row r="1253" spans="1:17" x14ac:dyDescent="0.15">
      <c r="A1253" t="s">
        <v>67</v>
      </c>
      <c r="B1253" t="s">
        <v>162</v>
      </c>
      <c r="C1253">
        <v>163</v>
      </c>
      <c r="D1253" t="s">
        <v>161</v>
      </c>
      <c r="E1253" s="1">
        <v>42942</v>
      </c>
      <c r="F1253" t="s">
        <v>383</v>
      </c>
      <c r="G1253" t="s">
        <v>1125</v>
      </c>
      <c r="H1253">
        <v>-5</v>
      </c>
      <c r="I1253" t="s">
        <v>37</v>
      </c>
      <c r="J1253">
        <v>0</v>
      </c>
      <c r="M1253" t="s">
        <v>1910</v>
      </c>
      <c r="N1253" t="s">
        <v>1128</v>
      </c>
      <c r="O1253">
        <v>0</v>
      </c>
      <c r="P1253">
        <v>0</v>
      </c>
      <c r="Q1253" t="s">
        <v>381</v>
      </c>
    </row>
    <row r="1254" spans="1:17" x14ac:dyDescent="0.15">
      <c r="A1254" t="s">
        <v>67</v>
      </c>
      <c r="B1254" t="s">
        <v>162</v>
      </c>
      <c r="C1254">
        <v>163</v>
      </c>
      <c r="D1254" t="s">
        <v>161</v>
      </c>
      <c r="E1254" s="1">
        <v>42942</v>
      </c>
      <c r="F1254" t="s">
        <v>17</v>
      </c>
      <c r="G1254" t="s">
        <v>1514</v>
      </c>
      <c r="H1254">
        <v>280</v>
      </c>
      <c r="I1254" t="s">
        <v>37</v>
      </c>
      <c r="J1254">
        <v>0</v>
      </c>
      <c r="M1254" t="s">
        <v>241</v>
      </c>
      <c r="N1254" t="s">
        <v>1517</v>
      </c>
    </row>
    <row r="1255" spans="1:17" x14ac:dyDescent="0.15">
      <c r="A1255" t="s">
        <v>67</v>
      </c>
      <c r="B1255" t="s">
        <v>162</v>
      </c>
      <c r="C1255">
        <v>163</v>
      </c>
      <c r="D1255" t="s">
        <v>161</v>
      </c>
      <c r="E1255" s="1">
        <v>42942</v>
      </c>
      <c r="F1255" t="s">
        <v>17</v>
      </c>
      <c r="G1255" t="s">
        <v>1514</v>
      </c>
      <c r="H1255">
        <v>280</v>
      </c>
      <c r="I1255" t="s">
        <v>37</v>
      </c>
      <c r="J1255">
        <v>0</v>
      </c>
      <c r="M1255" t="s">
        <v>1910</v>
      </c>
      <c r="N1255" t="s">
        <v>1517</v>
      </c>
      <c r="O1255">
        <v>0</v>
      </c>
      <c r="P1255">
        <v>0</v>
      </c>
      <c r="Q1255" t="s">
        <v>381</v>
      </c>
    </row>
    <row r="1256" spans="1:17" x14ac:dyDescent="0.15">
      <c r="A1256" t="s">
        <v>67</v>
      </c>
      <c r="B1256" t="s">
        <v>162</v>
      </c>
      <c r="C1256">
        <v>163</v>
      </c>
      <c r="D1256" t="s">
        <v>161</v>
      </c>
      <c r="E1256" s="1">
        <v>42947</v>
      </c>
      <c r="F1256" t="s">
        <v>383</v>
      </c>
      <c r="G1256" t="s">
        <v>1139</v>
      </c>
      <c r="H1256">
        <v>-2</v>
      </c>
      <c r="I1256" t="s">
        <v>37</v>
      </c>
      <c r="J1256">
        <v>0</v>
      </c>
      <c r="M1256" t="s">
        <v>241</v>
      </c>
      <c r="N1256" t="s">
        <v>1140</v>
      </c>
    </row>
    <row r="1257" spans="1:17" x14ac:dyDescent="0.15">
      <c r="A1257" t="s">
        <v>67</v>
      </c>
      <c r="B1257" t="s">
        <v>162</v>
      </c>
      <c r="C1257">
        <v>163</v>
      </c>
      <c r="D1257" t="s">
        <v>161</v>
      </c>
      <c r="E1257" s="1">
        <v>42947</v>
      </c>
      <c r="F1257" t="s">
        <v>383</v>
      </c>
      <c r="G1257" t="s">
        <v>1139</v>
      </c>
      <c r="H1257">
        <v>-2</v>
      </c>
      <c r="I1257" t="s">
        <v>37</v>
      </c>
      <c r="J1257">
        <v>0</v>
      </c>
      <c r="M1257" t="s">
        <v>1910</v>
      </c>
      <c r="N1257" t="s">
        <v>1140</v>
      </c>
      <c r="O1257">
        <v>0</v>
      </c>
      <c r="P1257">
        <v>0</v>
      </c>
      <c r="Q1257" t="s">
        <v>381</v>
      </c>
    </row>
    <row r="1258" spans="1:17" x14ac:dyDescent="0.15">
      <c r="A1258" t="s">
        <v>67</v>
      </c>
      <c r="B1258" t="s">
        <v>162</v>
      </c>
      <c r="C1258">
        <v>163</v>
      </c>
      <c r="D1258" t="s">
        <v>161</v>
      </c>
      <c r="E1258" s="1">
        <v>42963</v>
      </c>
      <c r="F1258" t="s">
        <v>383</v>
      </c>
      <c r="G1258" t="s">
        <v>1147</v>
      </c>
      <c r="H1258">
        <v>-9</v>
      </c>
      <c r="I1258" t="s">
        <v>37</v>
      </c>
      <c r="J1258">
        <v>0</v>
      </c>
      <c r="M1258" t="s">
        <v>241</v>
      </c>
      <c r="N1258" t="s">
        <v>1150</v>
      </c>
    </row>
    <row r="1259" spans="1:17" x14ac:dyDescent="0.15">
      <c r="A1259" t="s">
        <v>67</v>
      </c>
      <c r="B1259" t="s">
        <v>162</v>
      </c>
      <c r="C1259">
        <v>163</v>
      </c>
      <c r="D1259" t="s">
        <v>161</v>
      </c>
      <c r="E1259" s="1">
        <v>42963</v>
      </c>
      <c r="F1259" t="s">
        <v>383</v>
      </c>
      <c r="G1259" t="s">
        <v>1147</v>
      </c>
      <c r="H1259">
        <v>-9</v>
      </c>
      <c r="I1259" t="s">
        <v>37</v>
      </c>
      <c r="J1259">
        <v>0</v>
      </c>
      <c r="M1259" t="s">
        <v>1910</v>
      </c>
      <c r="N1259" t="s">
        <v>1150</v>
      </c>
      <c r="O1259">
        <v>0</v>
      </c>
      <c r="P1259">
        <v>0</v>
      </c>
      <c r="Q1259" t="s">
        <v>381</v>
      </c>
    </row>
    <row r="1260" spans="1:17" x14ac:dyDescent="0.15">
      <c r="A1260" t="s">
        <v>67</v>
      </c>
      <c r="B1260" t="s">
        <v>162</v>
      </c>
      <c r="C1260">
        <v>163</v>
      </c>
      <c r="D1260" t="s">
        <v>161</v>
      </c>
      <c r="E1260" s="1">
        <v>42965</v>
      </c>
      <c r="F1260" t="s">
        <v>383</v>
      </c>
      <c r="G1260" t="s">
        <v>978</v>
      </c>
      <c r="H1260">
        <v>-56</v>
      </c>
      <c r="I1260" t="s">
        <v>37</v>
      </c>
      <c r="J1260">
        <v>0</v>
      </c>
      <c r="M1260" t="s">
        <v>241</v>
      </c>
      <c r="N1260" t="s">
        <v>980</v>
      </c>
    </row>
    <row r="1261" spans="1:17" x14ac:dyDescent="0.15">
      <c r="A1261" t="s">
        <v>67</v>
      </c>
      <c r="B1261" t="s">
        <v>162</v>
      </c>
      <c r="C1261">
        <v>163</v>
      </c>
      <c r="D1261" t="s">
        <v>161</v>
      </c>
      <c r="E1261" s="1">
        <v>42965</v>
      </c>
      <c r="F1261" t="s">
        <v>383</v>
      </c>
      <c r="G1261" t="s">
        <v>978</v>
      </c>
      <c r="H1261">
        <v>-56</v>
      </c>
      <c r="I1261" t="s">
        <v>37</v>
      </c>
      <c r="J1261">
        <v>0</v>
      </c>
      <c r="M1261" t="s">
        <v>1910</v>
      </c>
      <c r="N1261" t="s">
        <v>980</v>
      </c>
      <c r="O1261">
        <v>0</v>
      </c>
      <c r="P1261">
        <v>0</v>
      </c>
      <c r="Q1261" t="s">
        <v>381</v>
      </c>
    </row>
    <row r="1262" spans="1:17" x14ac:dyDescent="0.15">
      <c r="A1262" t="s">
        <v>67</v>
      </c>
      <c r="B1262" t="s">
        <v>162</v>
      </c>
      <c r="C1262">
        <v>163</v>
      </c>
      <c r="D1262" t="s">
        <v>161</v>
      </c>
      <c r="E1262" s="1">
        <v>42965</v>
      </c>
      <c r="F1262" t="s">
        <v>383</v>
      </c>
      <c r="G1262" t="s">
        <v>1164</v>
      </c>
      <c r="H1262">
        <v>20</v>
      </c>
      <c r="I1262" t="s">
        <v>37</v>
      </c>
      <c r="J1262">
        <v>0</v>
      </c>
      <c r="M1262" t="s">
        <v>241</v>
      </c>
      <c r="N1262" t="s">
        <v>1166</v>
      </c>
    </row>
    <row r="1263" spans="1:17" x14ac:dyDescent="0.15">
      <c r="A1263" t="s">
        <v>67</v>
      </c>
      <c r="B1263" t="s">
        <v>162</v>
      </c>
      <c r="C1263">
        <v>163</v>
      </c>
      <c r="D1263" t="s">
        <v>161</v>
      </c>
      <c r="E1263" s="1">
        <v>42965</v>
      </c>
      <c r="F1263" t="s">
        <v>383</v>
      </c>
      <c r="G1263" t="s">
        <v>1164</v>
      </c>
      <c r="H1263">
        <v>20</v>
      </c>
      <c r="I1263" t="s">
        <v>37</v>
      </c>
      <c r="J1263">
        <v>0</v>
      </c>
      <c r="M1263" t="s">
        <v>1910</v>
      </c>
      <c r="N1263" t="s">
        <v>1166</v>
      </c>
      <c r="O1263">
        <v>0</v>
      </c>
      <c r="P1263">
        <v>0</v>
      </c>
      <c r="Q1263" t="s">
        <v>381</v>
      </c>
    </row>
    <row r="1264" spans="1:17" x14ac:dyDescent="0.15">
      <c r="A1264" t="s">
        <v>67</v>
      </c>
      <c r="B1264" t="s">
        <v>162</v>
      </c>
      <c r="C1264">
        <v>163</v>
      </c>
      <c r="D1264" t="s">
        <v>161</v>
      </c>
      <c r="E1264" s="1">
        <v>42970</v>
      </c>
      <c r="F1264" t="s">
        <v>383</v>
      </c>
      <c r="G1264" t="s">
        <v>989</v>
      </c>
      <c r="H1264">
        <v>-140</v>
      </c>
      <c r="I1264" t="s">
        <v>37</v>
      </c>
      <c r="J1264">
        <v>0</v>
      </c>
      <c r="M1264" t="s">
        <v>241</v>
      </c>
      <c r="N1264" t="s">
        <v>990</v>
      </c>
    </row>
    <row r="1265" spans="1:17" x14ac:dyDescent="0.15">
      <c r="A1265" t="s">
        <v>67</v>
      </c>
      <c r="B1265" t="s">
        <v>162</v>
      </c>
      <c r="C1265">
        <v>163</v>
      </c>
      <c r="D1265" t="s">
        <v>161</v>
      </c>
      <c r="E1265" s="1">
        <v>42970</v>
      </c>
      <c r="F1265" t="s">
        <v>383</v>
      </c>
      <c r="G1265" t="s">
        <v>989</v>
      </c>
      <c r="H1265">
        <v>-140</v>
      </c>
      <c r="I1265" t="s">
        <v>37</v>
      </c>
      <c r="J1265">
        <v>0</v>
      </c>
      <c r="M1265" t="s">
        <v>1910</v>
      </c>
      <c r="N1265" t="s">
        <v>990</v>
      </c>
      <c r="O1265">
        <v>0</v>
      </c>
      <c r="P1265">
        <v>0</v>
      </c>
      <c r="Q1265" t="s">
        <v>381</v>
      </c>
    </row>
    <row r="1266" spans="1:17" x14ac:dyDescent="0.15">
      <c r="A1266" t="s">
        <v>67</v>
      </c>
      <c r="B1266" t="s">
        <v>162</v>
      </c>
      <c r="C1266">
        <v>163</v>
      </c>
      <c r="D1266" t="s">
        <v>161</v>
      </c>
      <c r="E1266" s="1">
        <v>42970</v>
      </c>
      <c r="F1266" t="s">
        <v>383</v>
      </c>
      <c r="G1266" t="s">
        <v>1168</v>
      </c>
      <c r="H1266">
        <v>-2</v>
      </c>
      <c r="I1266" t="s">
        <v>37</v>
      </c>
      <c r="J1266">
        <v>0</v>
      </c>
      <c r="M1266" t="s">
        <v>241</v>
      </c>
      <c r="N1266" t="s">
        <v>1170</v>
      </c>
    </row>
    <row r="1267" spans="1:17" x14ac:dyDescent="0.15">
      <c r="A1267" t="s">
        <v>67</v>
      </c>
      <c r="B1267" t="s">
        <v>162</v>
      </c>
      <c r="C1267">
        <v>163</v>
      </c>
      <c r="D1267" t="s">
        <v>161</v>
      </c>
      <c r="E1267" s="1">
        <v>42970</v>
      </c>
      <c r="F1267" t="s">
        <v>383</v>
      </c>
      <c r="G1267" t="s">
        <v>1168</v>
      </c>
      <c r="H1267">
        <v>-2</v>
      </c>
      <c r="I1267" t="s">
        <v>37</v>
      </c>
      <c r="J1267">
        <v>0</v>
      </c>
      <c r="M1267" t="s">
        <v>1910</v>
      </c>
      <c r="N1267" t="s">
        <v>1170</v>
      </c>
      <c r="O1267">
        <v>0</v>
      </c>
      <c r="P1267">
        <v>0</v>
      </c>
      <c r="Q1267" t="s">
        <v>381</v>
      </c>
    </row>
    <row r="1268" spans="1:17" x14ac:dyDescent="0.15">
      <c r="A1268" t="s">
        <v>67</v>
      </c>
      <c r="B1268" t="s">
        <v>162</v>
      </c>
      <c r="C1268">
        <v>163</v>
      </c>
      <c r="D1268" t="s">
        <v>161</v>
      </c>
      <c r="E1268" s="1">
        <v>42970</v>
      </c>
      <c r="F1268" t="s">
        <v>17</v>
      </c>
      <c r="G1268" t="s">
        <v>1544</v>
      </c>
      <c r="H1268">
        <v>56</v>
      </c>
      <c r="I1268" t="s">
        <v>37</v>
      </c>
      <c r="J1268">
        <v>0</v>
      </c>
      <c r="M1268" t="s">
        <v>241</v>
      </c>
      <c r="N1268" t="s">
        <v>1545</v>
      </c>
    </row>
    <row r="1269" spans="1:17" x14ac:dyDescent="0.15">
      <c r="A1269" t="s">
        <v>67</v>
      </c>
      <c r="B1269" t="s">
        <v>162</v>
      </c>
      <c r="C1269">
        <v>163</v>
      </c>
      <c r="D1269" t="s">
        <v>161</v>
      </c>
      <c r="E1269" s="1">
        <v>42970</v>
      </c>
      <c r="F1269" t="s">
        <v>17</v>
      </c>
      <c r="G1269" t="s">
        <v>1544</v>
      </c>
      <c r="H1269">
        <v>56</v>
      </c>
      <c r="I1269" t="s">
        <v>37</v>
      </c>
      <c r="J1269">
        <v>0</v>
      </c>
      <c r="M1269" t="s">
        <v>1910</v>
      </c>
      <c r="N1269" t="s">
        <v>1545</v>
      </c>
      <c r="O1269">
        <v>0</v>
      </c>
      <c r="P1269">
        <v>0</v>
      </c>
      <c r="Q1269" t="s">
        <v>381</v>
      </c>
    </row>
    <row r="1270" spans="1:17" x14ac:dyDescent="0.15">
      <c r="A1270" t="s">
        <v>67</v>
      </c>
      <c r="B1270" t="s">
        <v>162</v>
      </c>
      <c r="C1270">
        <v>163</v>
      </c>
      <c r="D1270" t="s">
        <v>161</v>
      </c>
      <c r="E1270" s="1">
        <v>42971</v>
      </c>
      <c r="F1270" t="s">
        <v>383</v>
      </c>
      <c r="G1270" t="s">
        <v>1179</v>
      </c>
      <c r="H1270">
        <v>-28</v>
      </c>
      <c r="I1270" t="s">
        <v>37</v>
      </c>
      <c r="J1270">
        <v>0</v>
      </c>
      <c r="M1270" t="s">
        <v>241</v>
      </c>
      <c r="N1270" t="s">
        <v>1180</v>
      </c>
    </row>
    <row r="1271" spans="1:17" x14ac:dyDescent="0.15">
      <c r="A1271" t="s">
        <v>67</v>
      </c>
      <c r="B1271" t="s">
        <v>162</v>
      </c>
      <c r="C1271">
        <v>163</v>
      </c>
      <c r="D1271" t="s">
        <v>161</v>
      </c>
      <c r="E1271" s="1">
        <v>42971</v>
      </c>
      <c r="F1271" t="s">
        <v>383</v>
      </c>
      <c r="G1271" t="s">
        <v>1179</v>
      </c>
      <c r="H1271">
        <v>-28</v>
      </c>
      <c r="I1271" t="s">
        <v>37</v>
      </c>
      <c r="J1271">
        <v>0</v>
      </c>
      <c r="M1271" t="s">
        <v>1910</v>
      </c>
      <c r="N1271" t="s">
        <v>1180</v>
      </c>
      <c r="O1271">
        <v>0</v>
      </c>
      <c r="P1271">
        <v>0</v>
      </c>
      <c r="Q1271" t="s">
        <v>381</v>
      </c>
    </row>
    <row r="1272" spans="1:17" x14ac:dyDescent="0.15">
      <c r="A1272" t="s">
        <v>67</v>
      </c>
      <c r="B1272" t="s">
        <v>162</v>
      </c>
      <c r="C1272">
        <v>163</v>
      </c>
      <c r="D1272" t="s">
        <v>161</v>
      </c>
      <c r="E1272" s="1">
        <v>42971</v>
      </c>
      <c r="F1272" t="s">
        <v>383</v>
      </c>
      <c r="G1272" t="s">
        <v>1182</v>
      </c>
      <c r="H1272">
        <v>-10</v>
      </c>
      <c r="I1272" t="s">
        <v>37</v>
      </c>
      <c r="J1272">
        <v>0</v>
      </c>
      <c r="M1272" t="s">
        <v>241</v>
      </c>
      <c r="N1272" t="s">
        <v>1185</v>
      </c>
    </row>
    <row r="1273" spans="1:17" x14ac:dyDescent="0.15">
      <c r="A1273" t="s">
        <v>67</v>
      </c>
      <c r="B1273" t="s">
        <v>162</v>
      </c>
      <c r="C1273">
        <v>163</v>
      </c>
      <c r="D1273" t="s">
        <v>161</v>
      </c>
      <c r="E1273" s="1">
        <v>42971</v>
      </c>
      <c r="F1273" t="s">
        <v>383</v>
      </c>
      <c r="G1273" t="s">
        <v>1182</v>
      </c>
      <c r="H1273">
        <v>-10</v>
      </c>
      <c r="I1273" t="s">
        <v>37</v>
      </c>
      <c r="J1273">
        <v>0</v>
      </c>
      <c r="M1273" t="s">
        <v>1910</v>
      </c>
      <c r="N1273" t="s">
        <v>1185</v>
      </c>
      <c r="O1273">
        <v>0</v>
      </c>
      <c r="P1273">
        <v>0</v>
      </c>
      <c r="Q1273" t="s">
        <v>381</v>
      </c>
    </row>
    <row r="1274" spans="1:17" x14ac:dyDescent="0.15">
      <c r="A1274" t="s">
        <v>67</v>
      </c>
      <c r="B1274" t="s">
        <v>162</v>
      </c>
      <c r="C1274">
        <v>163</v>
      </c>
      <c r="D1274" t="s">
        <v>161</v>
      </c>
      <c r="E1274" s="1">
        <v>42976</v>
      </c>
      <c r="F1274" t="s">
        <v>383</v>
      </c>
      <c r="G1274" t="s">
        <v>1195</v>
      </c>
      <c r="H1274">
        <v>-1</v>
      </c>
      <c r="I1274" t="s">
        <v>37</v>
      </c>
      <c r="J1274">
        <v>0</v>
      </c>
      <c r="M1274" t="s">
        <v>241</v>
      </c>
      <c r="N1274" t="s">
        <v>1197</v>
      </c>
    </row>
    <row r="1275" spans="1:17" x14ac:dyDescent="0.15">
      <c r="A1275" t="s">
        <v>67</v>
      </c>
      <c r="B1275" t="s">
        <v>162</v>
      </c>
      <c r="C1275">
        <v>163</v>
      </c>
      <c r="D1275" t="s">
        <v>161</v>
      </c>
      <c r="E1275" s="1">
        <v>42976</v>
      </c>
      <c r="F1275" t="s">
        <v>383</v>
      </c>
      <c r="G1275" t="s">
        <v>1195</v>
      </c>
      <c r="H1275">
        <v>-1</v>
      </c>
      <c r="I1275" t="s">
        <v>37</v>
      </c>
      <c r="J1275">
        <v>0</v>
      </c>
      <c r="M1275" t="s">
        <v>1910</v>
      </c>
      <c r="N1275" t="s">
        <v>1197</v>
      </c>
      <c r="O1275">
        <v>0</v>
      </c>
      <c r="P1275">
        <v>0</v>
      </c>
      <c r="Q1275" t="s">
        <v>381</v>
      </c>
    </row>
    <row r="1276" spans="1:17" x14ac:dyDescent="0.15">
      <c r="A1276" t="s">
        <v>67</v>
      </c>
      <c r="B1276" t="s">
        <v>162</v>
      </c>
      <c r="C1276">
        <v>163</v>
      </c>
      <c r="D1276" t="s">
        <v>161</v>
      </c>
      <c r="E1276" s="1">
        <v>42977</v>
      </c>
      <c r="F1276" t="s">
        <v>17</v>
      </c>
      <c r="G1276" t="s">
        <v>1556</v>
      </c>
      <c r="H1276">
        <v>168</v>
      </c>
      <c r="I1276" t="s">
        <v>37</v>
      </c>
      <c r="J1276">
        <v>0</v>
      </c>
      <c r="M1276" t="s">
        <v>241</v>
      </c>
      <c r="N1276" t="s">
        <v>1557</v>
      </c>
    </row>
    <row r="1277" spans="1:17" x14ac:dyDescent="0.15">
      <c r="A1277" t="s">
        <v>67</v>
      </c>
      <c r="B1277" t="s">
        <v>162</v>
      </c>
      <c r="C1277">
        <v>163</v>
      </c>
      <c r="D1277" t="s">
        <v>161</v>
      </c>
      <c r="E1277" s="1">
        <v>42977</v>
      </c>
      <c r="F1277" t="s">
        <v>17</v>
      </c>
      <c r="G1277" t="s">
        <v>1556</v>
      </c>
      <c r="H1277">
        <v>168</v>
      </c>
      <c r="I1277" t="s">
        <v>37</v>
      </c>
      <c r="J1277">
        <v>0</v>
      </c>
      <c r="M1277" t="s">
        <v>1910</v>
      </c>
      <c r="N1277" t="s">
        <v>1557</v>
      </c>
      <c r="O1277">
        <v>0</v>
      </c>
      <c r="P1277">
        <v>0</v>
      </c>
      <c r="Q1277" t="s">
        <v>381</v>
      </c>
    </row>
    <row r="1278" spans="1:17" x14ac:dyDescent="0.15">
      <c r="A1278" t="s">
        <v>67</v>
      </c>
      <c r="B1278" t="s">
        <v>162</v>
      </c>
      <c r="C1278">
        <v>163</v>
      </c>
      <c r="D1278" t="s">
        <v>161</v>
      </c>
      <c r="E1278" s="1">
        <v>42978</v>
      </c>
      <c r="F1278" t="s">
        <v>383</v>
      </c>
      <c r="G1278" t="s">
        <v>1198</v>
      </c>
      <c r="H1278">
        <v>-10</v>
      </c>
      <c r="I1278" t="s">
        <v>37</v>
      </c>
      <c r="J1278">
        <v>0</v>
      </c>
      <c r="M1278" t="s">
        <v>241</v>
      </c>
      <c r="N1278" t="s">
        <v>1200</v>
      </c>
    </row>
    <row r="1279" spans="1:17" x14ac:dyDescent="0.15">
      <c r="A1279" t="s">
        <v>67</v>
      </c>
      <c r="B1279" t="s">
        <v>162</v>
      </c>
      <c r="C1279">
        <v>163</v>
      </c>
      <c r="D1279" t="s">
        <v>161</v>
      </c>
      <c r="E1279" s="1">
        <v>42978</v>
      </c>
      <c r="F1279" t="s">
        <v>383</v>
      </c>
      <c r="G1279" t="s">
        <v>1198</v>
      </c>
      <c r="H1279">
        <v>-10</v>
      </c>
      <c r="I1279" t="s">
        <v>37</v>
      </c>
      <c r="J1279">
        <v>0</v>
      </c>
      <c r="M1279" t="s">
        <v>1910</v>
      </c>
      <c r="N1279" t="s">
        <v>1200</v>
      </c>
      <c r="O1279">
        <v>0</v>
      </c>
      <c r="P1279">
        <v>0</v>
      </c>
      <c r="Q1279" t="s">
        <v>381</v>
      </c>
    </row>
    <row r="1280" spans="1:17" x14ac:dyDescent="0.15">
      <c r="A1280" t="s">
        <v>67</v>
      </c>
      <c r="B1280" t="s">
        <v>162</v>
      </c>
      <c r="C1280">
        <v>163</v>
      </c>
      <c r="D1280" t="s">
        <v>161</v>
      </c>
      <c r="E1280" s="1">
        <v>42978</v>
      </c>
      <c r="F1280" t="s">
        <v>383</v>
      </c>
      <c r="G1280" t="s">
        <v>1207</v>
      </c>
      <c r="H1280">
        <v>-6</v>
      </c>
      <c r="I1280" t="s">
        <v>37</v>
      </c>
      <c r="J1280">
        <v>0</v>
      </c>
      <c r="M1280" t="s">
        <v>241</v>
      </c>
      <c r="N1280" t="s">
        <v>1208</v>
      </c>
    </row>
    <row r="1281" spans="1:17" x14ac:dyDescent="0.15">
      <c r="A1281" t="s">
        <v>67</v>
      </c>
      <c r="B1281" t="s">
        <v>162</v>
      </c>
      <c r="C1281">
        <v>163</v>
      </c>
      <c r="D1281" t="s">
        <v>161</v>
      </c>
      <c r="E1281" s="1">
        <v>42978</v>
      </c>
      <c r="F1281" t="s">
        <v>383</v>
      </c>
      <c r="G1281" t="s">
        <v>1207</v>
      </c>
      <c r="H1281">
        <v>-6</v>
      </c>
      <c r="I1281" t="s">
        <v>37</v>
      </c>
      <c r="J1281">
        <v>0</v>
      </c>
      <c r="M1281" t="s">
        <v>1910</v>
      </c>
      <c r="N1281" t="s">
        <v>1208</v>
      </c>
      <c r="O1281">
        <v>0</v>
      </c>
      <c r="P1281">
        <v>0</v>
      </c>
      <c r="Q1281" t="s">
        <v>381</v>
      </c>
    </row>
    <row r="1282" spans="1:17" x14ac:dyDescent="0.15">
      <c r="A1282" t="s">
        <v>67</v>
      </c>
      <c r="B1282" t="s">
        <v>162</v>
      </c>
      <c r="C1282">
        <v>163</v>
      </c>
      <c r="D1282" t="s">
        <v>161</v>
      </c>
      <c r="E1282" s="1">
        <v>42983</v>
      </c>
      <c r="F1282" t="s">
        <v>17</v>
      </c>
      <c r="G1282" t="s">
        <v>1575</v>
      </c>
      <c r="H1282">
        <v>28</v>
      </c>
      <c r="I1282" t="s">
        <v>37</v>
      </c>
      <c r="J1282">
        <v>0</v>
      </c>
      <c r="M1282" t="s">
        <v>241</v>
      </c>
      <c r="N1282" t="s">
        <v>1576</v>
      </c>
    </row>
    <row r="1283" spans="1:17" x14ac:dyDescent="0.15">
      <c r="A1283" t="s">
        <v>67</v>
      </c>
      <c r="B1283" t="s">
        <v>162</v>
      </c>
      <c r="C1283">
        <v>163</v>
      </c>
      <c r="D1283" t="s">
        <v>161</v>
      </c>
      <c r="E1283" s="1">
        <v>42983</v>
      </c>
      <c r="F1283" t="s">
        <v>17</v>
      </c>
      <c r="G1283" t="s">
        <v>1575</v>
      </c>
      <c r="H1283">
        <v>28</v>
      </c>
      <c r="I1283" t="s">
        <v>37</v>
      </c>
      <c r="J1283">
        <v>0</v>
      </c>
      <c r="M1283" t="s">
        <v>1910</v>
      </c>
      <c r="N1283" t="s">
        <v>1576</v>
      </c>
      <c r="O1283">
        <v>0</v>
      </c>
      <c r="P1283">
        <v>0</v>
      </c>
      <c r="Q1283" t="s">
        <v>381</v>
      </c>
    </row>
    <row r="1284" spans="1:17" x14ac:dyDescent="0.15">
      <c r="A1284" t="s">
        <v>67</v>
      </c>
      <c r="B1284" t="s">
        <v>162</v>
      </c>
      <c r="C1284">
        <v>163</v>
      </c>
      <c r="D1284" t="s">
        <v>161</v>
      </c>
      <c r="E1284" s="1">
        <v>42985</v>
      </c>
      <c r="F1284" t="s">
        <v>383</v>
      </c>
      <c r="G1284" t="s">
        <v>957</v>
      </c>
      <c r="H1284">
        <v>-224</v>
      </c>
      <c r="I1284" t="s">
        <v>37</v>
      </c>
      <c r="J1284">
        <v>0</v>
      </c>
      <c r="M1284" t="s">
        <v>241</v>
      </c>
      <c r="N1284" t="s">
        <v>959</v>
      </c>
    </row>
    <row r="1285" spans="1:17" x14ac:dyDescent="0.15">
      <c r="A1285" t="s">
        <v>67</v>
      </c>
      <c r="B1285" t="s">
        <v>162</v>
      </c>
      <c r="C1285">
        <v>163</v>
      </c>
      <c r="D1285" t="s">
        <v>161</v>
      </c>
      <c r="E1285" s="1">
        <v>42985</v>
      </c>
      <c r="F1285" t="s">
        <v>383</v>
      </c>
      <c r="G1285" t="s">
        <v>957</v>
      </c>
      <c r="H1285">
        <v>-224</v>
      </c>
      <c r="I1285" t="s">
        <v>37</v>
      </c>
      <c r="J1285">
        <v>0</v>
      </c>
      <c r="M1285" t="s">
        <v>1910</v>
      </c>
      <c r="N1285" t="s">
        <v>959</v>
      </c>
      <c r="O1285">
        <v>0</v>
      </c>
      <c r="P1285">
        <v>0</v>
      </c>
      <c r="Q1285" t="s">
        <v>381</v>
      </c>
    </row>
    <row r="1286" spans="1:17" x14ac:dyDescent="0.15">
      <c r="A1286" t="s">
        <v>67</v>
      </c>
      <c r="B1286" t="s">
        <v>162</v>
      </c>
      <c r="C1286">
        <v>163</v>
      </c>
      <c r="D1286" t="s">
        <v>161</v>
      </c>
      <c r="E1286" s="1">
        <v>42990</v>
      </c>
      <c r="F1286" t="s">
        <v>383</v>
      </c>
      <c r="G1286" t="s">
        <v>1214</v>
      </c>
      <c r="H1286">
        <v>-15</v>
      </c>
      <c r="I1286" t="s">
        <v>37</v>
      </c>
      <c r="J1286">
        <v>0</v>
      </c>
      <c r="M1286" t="s">
        <v>241</v>
      </c>
      <c r="N1286" t="s">
        <v>1218</v>
      </c>
    </row>
    <row r="1287" spans="1:17" x14ac:dyDescent="0.15">
      <c r="A1287" t="s">
        <v>67</v>
      </c>
      <c r="B1287" t="s">
        <v>162</v>
      </c>
      <c r="C1287">
        <v>163</v>
      </c>
      <c r="D1287" t="s">
        <v>161</v>
      </c>
      <c r="E1287" s="1">
        <v>42990</v>
      </c>
      <c r="F1287" t="s">
        <v>383</v>
      </c>
      <c r="G1287" t="s">
        <v>1214</v>
      </c>
      <c r="H1287">
        <v>-15</v>
      </c>
      <c r="I1287" t="s">
        <v>37</v>
      </c>
      <c r="J1287">
        <v>0</v>
      </c>
      <c r="M1287" t="s">
        <v>1910</v>
      </c>
      <c r="N1287" t="s">
        <v>1218</v>
      </c>
      <c r="O1287">
        <v>0</v>
      </c>
      <c r="P1287">
        <v>0</v>
      </c>
      <c r="Q1287" t="s">
        <v>381</v>
      </c>
    </row>
    <row r="1288" spans="1:17" x14ac:dyDescent="0.15">
      <c r="A1288" t="s">
        <v>67</v>
      </c>
      <c r="B1288" t="s">
        <v>162</v>
      </c>
      <c r="C1288">
        <v>163</v>
      </c>
      <c r="D1288" t="s">
        <v>161</v>
      </c>
      <c r="E1288" s="1">
        <v>42990</v>
      </c>
      <c r="F1288" t="s">
        <v>383</v>
      </c>
      <c r="G1288" t="s">
        <v>1222</v>
      </c>
      <c r="H1288">
        <v>-3</v>
      </c>
      <c r="I1288" t="s">
        <v>37</v>
      </c>
      <c r="J1288">
        <v>0</v>
      </c>
      <c r="M1288" t="s">
        <v>241</v>
      </c>
      <c r="N1288" t="s">
        <v>1223</v>
      </c>
    </row>
    <row r="1289" spans="1:17" x14ac:dyDescent="0.15">
      <c r="A1289" t="s">
        <v>67</v>
      </c>
      <c r="B1289" t="s">
        <v>162</v>
      </c>
      <c r="C1289">
        <v>163</v>
      </c>
      <c r="D1289" t="s">
        <v>161</v>
      </c>
      <c r="E1289" s="1">
        <v>42990</v>
      </c>
      <c r="F1289" t="s">
        <v>383</v>
      </c>
      <c r="G1289" t="s">
        <v>1222</v>
      </c>
      <c r="H1289">
        <v>-3</v>
      </c>
      <c r="I1289" t="s">
        <v>37</v>
      </c>
      <c r="J1289">
        <v>0</v>
      </c>
      <c r="M1289" t="s">
        <v>1910</v>
      </c>
      <c r="N1289" t="s">
        <v>1223</v>
      </c>
      <c r="O1289">
        <v>0</v>
      </c>
      <c r="P1289">
        <v>0</v>
      </c>
      <c r="Q1289" t="s">
        <v>381</v>
      </c>
    </row>
    <row r="1290" spans="1:17" x14ac:dyDescent="0.15">
      <c r="A1290" t="s">
        <v>67</v>
      </c>
      <c r="B1290" t="s">
        <v>162</v>
      </c>
      <c r="C1290">
        <v>163</v>
      </c>
      <c r="D1290" t="s">
        <v>161</v>
      </c>
      <c r="E1290" s="1">
        <v>42991</v>
      </c>
      <c r="F1290" t="s">
        <v>383</v>
      </c>
      <c r="G1290" t="s">
        <v>1231</v>
      </c>
      <c r="H1290">
        <v>-3</v>
      </c>
      <c r="I1290" t="s">
        <v>37</v>
      </c>
      <c r="J1290">
        <v>0</v>
      </c>
      <c r="M1290" t="s">
        <v>241</v>
      </c>
      <c r="N1290" t="s">
        <v>1233</v>
      </c>
    </row>
    <row r="1291" spans="1:17" x14ac:dyDescent="0.15">
      <c r="A1291" t="s">
        <v>67</v>
      </c>
      <c r="B1291" t="s">
        <v>162</v>
      </c>
      <c r="C1291">
        <v>163</v>
      </c>
      <c r="D1291" t="s">
        <v>161</v>
      </c>
      <c r="E1291" s="1">
        <v>42991</v>
      </c>
      <c r="F1291" t="s">
        <v>383</v>
      </c>
      <c r="G1291" t="s">
        <v>1231</v>
      </c>
      <c r="H1291">
        <v>-3</v>
      </c>
      <c r="I1291" t="s">
        <v>37</v>
      </c>
      <c r="J1291">
        <v>0</v>
      </c>
      <c r="M1291" t="s">
        <v>1910</v>
      </c>
      <c r="N1291" t="s">
        <v>1233</v>
      </c>
      <c r="O1291">
        <v>0</v>
      </c>
      <c r="P1291">
        <v>0</v>
      </c>
      <c r="Q1291" t="s">
        <v>381</v>
      </c>
    </row>
    <row r="1292" spans="1:17" x14ac:dyDescent="0.15">
      <c r="A1292" t="s">
        <v>67</v>
      </c>
      <c r="B1292" t="s">
        <v>162</v>
      </c>
      <c r="C1292">
        <v>163</v>
      </c>
      <c r="D1292" t="s">
        <v>161</v>
      </c>
      <c r="E1292" s="1">
        <v>42991</v>
      </c>
      <c r="F1292" t="s">
        <v>17</v>
      </c>
      <c r="G1292" t="s">
        <v>1581</v>
      </c>
      <c r="H1292">
        <v>224</v>
      </c>
      <c r="I1292" t="s">
        <v>37</v>
      </c>
      <c r="J1292">
        <v>0</v>
      </c>
      <c r="M1292" t="s">
        <v>241</v>
      </c>
      <c r="N1292" t="s">
        <v>1582</v>
      </c>
    </row>
    <row r="1293" spans="1:17" x14ac:dyDescent="0.15">
      <c r="A1293" t="s">
        <v>67</v>
      </c>
      <c r="B1293" t="s">
        <v>162</v>
      </c>
      <c r="C1293">
        <v>163</v>
      </c>
      <c r="D1293" t="s">
        <v>161</v>
      </c>
      <c r="E1293" s="1">
        <v>42991</v>
      </c>
      <c r="F1293" t="s">
        <v>17</v>
      </c>
      <c r="G1293" t="s">
        <v>1581</v>
      </c>
      <c r="H1293">
        <v>224</v>
      </c>
      <c r="I1293" t="s">
        <v>37</v>
      </c>
      <c r="J1293">
        <v>0</v>
      </c>
      <c r="M1293" t="s">
        <v>1910</v>
      </c>
      <c r="N1293" t="s">
        <v>1582</v>
      </c>
      <c r="O1293">
        <v>0</v>
      </c>
      <c r="P1293">
        <v>0</v>
      </c>
      <c r="Q1293" t="s">
        <v>381</v>
      </c>
    </row>
    <row r="1294" spans="1:17" x14ac:dyDescent="0.15">
      <c r="A1294" t="s">
        <v>67</v>
      </c>
      <c r="B1294" t="s">
        <v>162</v>
      </c>
      <c r="C1294">
        <v>163</v>
      </c>
      <c r="D1294" t="s">
        <v>161</v>
      </c>
      <c r="E1294" s="1">
        <v>42992</v>
      </c>
      <c r="F1294" t="s">
        <v>383</v>
      </c>
      <c r="G1294" t="s">
        <v>997</v>
      </c>
      <c r="H1294">
        <v>-56</v>
      </c>
      <c r="I1294" t="s">
        <v>37</v>
      </c>
      <c r="J1294">
        <v>0</v>
      </c>
      <c r="M1294" t="s">
        <v>241</v>
      </c>
      <c r="N1294" t="s">
        <v>998</v>
      </c>
    </row>
    <row r="1295" spans="1:17" x14ac:dyDescent="0.15">
      <c r="A1295" t="s">
        <v>67</v>
      </c>
      <c r="B1295" t="s">
        <v>162</v>
      </c>
      <c r="C1295">
        <v>163</v>
      </c>
      <c r="D1295" t="s">
        <v>161</v>
      </c>
      <c r="E1295" s="1">
        <v>42992</v>
      </c>
      <c r="F1295" t="s">
        <v>383</v>
      </c>
      <c r="G1295" t="s">
        <v>997</v>
      </c>
      <c r="H1295">
        <v>-56</v>
      </c>
      <c r="I1295" t="s">
        <v>37</v>
      </c>
      <c r="J1295">
        <v>0</v>
      </c>
      <c r="M1295" t="s">
        <v>1910</v>
      </c>
      <c r="N1295" t="s">
        <v>998</v>
      </c>
      <c r="O1295">
        <v>0</v>
      </c>
      <c r="P1295">
        <v>0</v>
      </c>
      <c r="Q1295" t="s">
        <v>381</v>
      </c>
    </row>
    <row r="1296" spans="1:17" x14ac:dyDescent="0.15">
      <c r="A1296" t="s">
        <v>67</v>
      </c>
      <c r="B1296" t="s">
        <v>162</v>
      </c>
      <c r="C1296">
        <v>163</v>
      </c>
      <c r="D1296" t="s">
        <v>161</v>
      </c>
      <c r="E1296" s="1">
        <v>42996</v>
      </c>
      <c r="F1296" t="s">
        <v>383</v>
      </c>
      <c r="G1296" t="s">
        <v>999</v>
      </c>
      <c r="H1296">
        <v>-252</v>
      </c>
      <c r="I1296" t="s">
        <v>37</v>
      </c>
      <c r="J1296">
        <v>0</v>
      </c>
      <c r="M1296" t="s">
        <v>241</v>
      </c>
      <c r="N1296" t="s">
        <v>1000</v>
      </c>
    </row>
    <row r="1297" spans="1:17" x14ac:dyDescent="0.15">
      <c r="A1297" t="s">
        <v>67</v>
      </c>
      <c r="B1297" t="s">
        <v>162</v>
      </c>
      <c r="C1297">
        <v>163</v>
      </c>
      <c r="D1297" t="s">
        <v>161</v>
      </c>
      <c r="E1297" s="1">
        <v>42996</v>
      </c>
      <c r="F1297" t="s">
        <v>383</v>
      </c>
      <c r="G1297" t="s">
        <v>999</v>
      </c>
      <c r="H1297">
        <v>-252</v>
      </c>
      <c r="I1297" t="s">
        <v>37</v>
      </c>
      <c r="J1297">
        <v>0</v>
      </c>
      <c r="M1297" t="s">
        <v>1910</v>
      </c>
      <c r="N1297" t="s">
        <v>1000</v>
      </c>
      <c r="O1297">
        <v>0</v>
      </c>
      <c r="P1297">
        <v>0</v>
      </c>
      <c r="Q1297" t="s">
        <v>381</v>
      </c>
    </row>
    <row r="1298" spans="1:17" x14ac:dyDescent="0.15">
      <c r="A1298" t="s">
        <v>67</v>
      </c>
      <c r="B1298" t="s">
        <v>162</v>
      </c>
      <c r="C1298">
        <v>163</v>
      </c>
      <c r="D1298" t="s">
        <v>161</v>
      </c>
      <c r="E1298" s="1">
        <v>42997</v>
      </c>
      <c r="F1298" t="s">
        <v>383</v>
      </c>
      <c r="G1298" t="s">
        <v>1234</v>
      </c>
      <c r="H1298">
        <v>-4</v>
      </c>
      <c r="I1298" t="s">
        <v>37</v>
      </c>
      <c r="J1298">
        <v>0</v>
      </c>
      <c r="M1298" t="s">
        <v>241</v>
      </c>
      <c r="N1298" t="s">
        <v>1238</v>
      </c>
    </row>
    <row r="1299" spans="1:17" x14ac:dyDescent="0.15">
      <c r="A1299" t="s">
        <v>67</v>
      </c>
      <c r="B1299" t="s">
        <v>162</v>
      </c>
      <c r="C1299">
        <v>163</v>
      </c>
      <c r="D1299" t="s">
        <v>161</v>
      </c>
      <c r="E1299" s="1">
        <v>42997</v>
      </c>
      <c r="F1299" t="s">
        <v>383</v>
      </c>
      <c r="G1299" t="s">
        <v>1234</v>
      </c>
      <c r="H1299">
        <v>-4</v>
      </c>
      <c r="I1299" t="s">
        <v>37</v>
      </c>
      <c r="J1299">
        <v>0</v>
      </c>
      <c r="M1299" t="s">
        <v>1910</v>
      </c>
      <c r="N1299" t="s">
        <v>1238</v>
      </c>
      <c r="O1299">
        <v>0</v>
      </c>
      <c r="P1299">
        <v>0</v>
      </c>
      <c r="Q1299" t="s">
        <v>381</v>
      </c>
    </row>
    <row r="1300" spans="1:17" x14ac:dyDescent="0.15">
      <c r="A1300" t="s">
        <v>67</v>
      </c>
      <c r="B1300" t="s">
        <v>162</v>
      </c>
      <c r="C1300">
        <v>163</v>
      </c>
      <c r="D1300" t="s">
        <v>161</v>
      </c>
      <c r="E1300" s="1">
        <v>42998</v>
      </c>
      <c r="F1300" t="s">
        <v>17</v>
      </c>
      <c r="G1300" t="s">
        <v>1587</v>
      </c>
      <c r="H1300">
        <v>84</v>
      </c>
      <c r="I1300" t="s">
        <v>37</v>
      </c>
      <c r="J1300">
        <v>0</v>
      </c>
      <c r="M1300" t="s">
        <v>241</v>
      </c>
      <c r="N1300" t="s">
        <v>1588</v>
      </c>
    </row>
    <row r="1301" spans="1:17" x14ac:dyDescent="0.15">
      <c r="A1301" t="s">
        <v>67</v>
      </c>
      <c r="B1301" t="s">
        <v>162</v>
      </c>
      <c r="C1301">
        <v>163</v>
      </c>
      <c r="D1301" t="s">
        <v>161</v>
      </c>
      <c r="E1301" s="1">
        <v>42998</v>
      </c>
      <c r="F1301" t="s">
        <v>17</v>
      </c>
      <c r="G1301" t="s">
        <v>1587</v>
      </c>
      <c r="H1301">
        <v>84</v>
      </c>
      <c r="I1301" t="s">
        <v>37</v>
      </c>
      <c r="J1301">
        <v>0</v>
      </c>
      <c r="M1301" t="s">
        <v>1910</v>
      </c>
      <c r="N1301" t="s">
        <v>1588</v>
      </c>
      <c r="O1301">
        <v>0</v>
      </c>
      <c r="P1301">
        <v>0</v>
      </c>
      <c r="Q1301" t="s">
        <v>381</v>
      </c>
    </row>
    <row r="1302" spans="1:17" x14ac:dyDescent="0.15">
      <c r="A1302" t="s">
        <v>67</v>
      </c>
      <c r="B1302" t="s">
        <v>162</v>
      </c>
      <c r="C1302">
        <v>163</v>
      </c>
      <c r="D1302" t="s">
        <v>161</v>
      </c>
      <c r="E1302" s="1">
        <v>43003</v>
      </c>
      <c r="F1302" t="s">
        <v>17</v>
      </c>
      <c r="G1302" t="s">
        <v>1589</v>
      </c>
      <c r="H1302">
        <v>196</v>
      </c>
      <c r="I1302" t="s">
        <v>37</v>
      </c>
      <c r="J1302">
        <v>0</v>
      </c>
      <c r="M1302" t="s">
        <v>241</v>
      </c>
      <c r="N1302" t="s">
        <v>1590</v>
      </c>
    </row>
    <row r="1303" spans="1:17" x14ac:dyDescent="0.15">
      <c r="A1303" t="s">
        <v>67</v>
      </c>
      <c r="B1303" t="s">
        <v>162</v>
      </c>
      <c r="C1303">
        <v>163</v>
      </c>
      <c r="D1303" t="s">
        <v>161</v>
      </c>
      <c r="E1303" s="1">
        <v>43003</v>
      </c>
      <c r="F1303" t="s">
        <v>17</v>
      </c>
      <c r="G1303" t="s">
        <v>1589</v>
      </c>
      <c r="H1303">
        <v>196</v>
      </c>
      <c r="I1303" t="s">
        <v>37</v>
      </c>
      <c r="J1303">
        <v>0</v>
      </c>
      <c r="M1303" t="s">
        <v>1910</v>
      </c>
      <c r="N1303" t="s">
        <v>1590</v>
      </c>
      <c r="O1303">
        <v>0</v>
      </c>
      <c r="P1303">
        <v>0</v>
      </c>
      <c r="Q1303" t="s">
        <v>381</v>
      </c>
    </row>
    <row r="1304" spans="1:17" x14ac:dyDescent="0.15">
      <c r="A1304" t="s">
        <v>67</v>
      </c>
      <c r="B1304" t="s">
        <v>162</v>
      </c>
      <c r="C1304">
        <v>163</v>
      </c>
      <c r="D1304" t="s">
        <v>161</v>
      </c>
      <c r="E1304" s="1">
        <v>43004</v>
      </c>
      <c r="F1304" t="s">
        <v>21</v>
      </c>
      <c r="G1304" t="s">
        <v>1881</v>
      </c>
      <c r="H1304">
        <v>-1</v>
      </c>
      <c r="I1304" t="s">
        <v>37</v>
      </c>
      <c r="J1304">
        <v>0</v>
      </c>
      <c r="M1304" t="s">
        <v>241</v>
      </c>
      <c r="N1304" t="s">
        <v>1893</v>
      </c>
    </row>
    <row r="1305" spans="1:17" x14ac:dyDescent="0.15">
      <c r="A1305" t="s">
        <v>67</v>
      </c>
      <c r="B1305" t="s">
        <v>162</v>
      </c>
      <c r="C1305">
        <v>163</v>
      </c>
      <c r="D1305" t="s">
        <v>161</v>
      </c>
      <c r="E1305" s="1">
        <v>43004</v>
      </c>
      <c r="F1305" t="s">
        <v>21</v>
      </c>
      <c r="G1305" t="s">
        <v>1881</v>
      </c>
      <c r="H1305">
        <v>-1</v>
      </c>
      <c r="I1305" t="s">
        <v>37</v>
      </c>
      <c r="J1305">
        <v>0</v>
      </c>
      <c r="M1305" t="s">
        <v>1910</v>
      </c>
      <c r="N1305" t="s">
        <v>1893</v>
      </c>
      <c r="O1305">
        <v>0</v>
      </c>
      <c r="P1305">
        <v>0</v>
      </c>
      <c r="Q1305" t="s">
        <v>381</v>
      </c>
    </row>
    <row r="1306" spans="1:17" x14ac:dyDescent="0.15">
      <c r="A1306" t="s">
        <v>67</v>
      </c>
      <c r="B1306" t="s">
        <v>162</v>
      </c>
      <c r="C1306">
        <v>163</v>
      </c>
      <c r="D1306" t="s">
        <v>161</v>
      </c>
      <c r="E1306" s="1">
        <v>43008</v>
      </c>
      <c r="F1306" t="s">
        <v>383</v>
      </c>
      <c r="G1306" t="s">
        <v>1268</v>
      </c>
      <c r="H1306">
        <v>-6</v>
      </c>
      <c r="I1306" t="s">
        <v>37</v>
      </c>
      <c r="J1306">
        <v>0</v>
      </c>
      <c r="M1306" t="s">
        <v>241</v>
      </c>
      <c r="N1306" t="s">
        <v>1271</v>
      </c>
    </row>
    <row r="1307" spans="1:17" x14ac:dyDescent="0.15">
      <c r="A1307" t="s">
        <v>67</v>
      </c>
      <c r="B1307" t="s">
        <v>162</v>
      </c>
      <c r="C1307">
        <v>163</v>
      </c>
      <c r="D1307" t="s">
        <v>161</v>
      </c>
      <c r="E1307" s="1">
        <v>43008</v>
      </c>
      <c r="F1307" t="s">
        <v>383</v>
      </c>
      <c r="G1307" t="s">
        <v>1268</v>
      </c>
      <c r="H1307">
        <v>-6</v>
      </c>
      <c r="I1307" t="s">
        <v>37</v>
      </c>
      <c r="J1307">
        <v>0</v>
      </c>
      <c r="M1307" t="s">
        <v>1910</v>
      </c>
      <c r="N1307" t="s">
        <v>1271</v>
      </c>
      <c r="O1307">
        <v>0</v>
      </c>
      <c r="P1307">
        <v>0</v>
      </c>
      <c r="Q1307" t="s">
        <v>381</v>
      </c>
    </row>
    <row r="1308" spans="1:17" x14ac:dyDescent="0.15">
      <c r="A1308" t="s">
        <v>67</v>
      </c>
      <c r="B1308" t="s">
        <v>162</v>
      </c>
      <c r="C1308">
        <v>163</v>
      </c>
      <c r="D1308" t="s">
        <v>161</v>
      </c>
      <c r="E1308" s="1">
        <v>43010</v>
      </c>
      <c r="F1308" t="s">
        <v>17</v>
      </c>
      <c r="G1308" t="s">
        <v>1602</v>
      </c>
      <c r="H1308">
        <v>56</v>
      </c>
      <c r="I1308" t="s">
        <v>37</v>
      </c>
      <c r="J1308">
        <v>0</v>
      </c>
      <c r="M1308" t="s">
        <v>241</v>
      </c>
      <c r="N1308" t="s">
        <v>1603</v>
      </c>
    </row>
    <row r="1309" spans="1:17" x14ac:dyDescent="0.15">
      <c r="A1309" t="s">
        <v>67</v>
      </c>
      <c r="B1309" t="s">
        <v>162</v>
      </c>
      <c r="C1309">
        <v>163</v>
      </c>
      <c r="D1309" t="s">
        <v>161</v>
      </c>
      <c r="E1309" s="1">
        <v>43010</v>
      </c>
      <c r="F1309" t="s">
        <v>17</v>
      </c>
      <c r="G1309" t="s">
        <v>1602</v>
      </c>
      <c r="H1309">
        <v>56</v>
      </c>
      <c r="I1309" t="s">
        <v>37</v>
      </c>
      <c r="J1309">
        <v>0</v>
      </c>
      <c r="M1309" t="s">
        <v>1910</v>
      </c>
      <c r="N1309" t="s">
        <v>1603</v>
      </c>
      <c r="O1309">
        <v>0</v>
      </c>
      <c r="P1309">
        <v>0</v>
      </c>
      <c r="Q1309" t="s">
        <v>381</v>
      </c>
    </row>
    <row r="1310" spans="1:17" x14ac:dyDescent="0.15">
      <c r="A1310" t="s">
        <v>67</v>
      </c>
      <c r="B1310" t="s">
        <v>162</v>
      </c>
      <c r="C1310">
        <v>163</v>
      </c>
      <c r="D1310" t="s">
        <v>161</v>
      </c>
      <c r="E1310" s="1">
        <v>43014</v>
      </c>
      <c r="F1310" t="s">
        <v>383</v>
      </c>
      <c r="G1310" t="s">
        <v>1283</v>
      </c>
      <c r="H1310">
        <v>-28</v>
      </c>
      <c r="I1310" t="s">
        <v>37</v>
      </c>
      <c r="J1310">
        <v>0</v>
      </c>
      <c r="M1310" t="s">
        <v>241</v>
      </c>
      <c r="N1310" t="s">
        <v>1286</v>
      </c>
    </row>
    <row r="1311" spans="1:17" x14ac:dyDescent="0.15">
      <c r="A1311" t="s">
        <v>67</v>
      </c>
      <c r="B1311" t="s">
        <v>162</v>
      </c>
      <c r="C1311">
        <v>163</v>
      </c>
      <c r="D1311" t="s">
        <v>161</v>
      </c>
      <c r="E1311" s="1">
        <v>43014</v>
      </c>
      <c r="F1311" t="s">
        <v>383</v>
      </c>
      <c r="G1311" t="s">
        <v>1283</v>
      </c>
      <c r="H1311">
        <v>-28</v>
      </c>
      <c r="I1311" t="s">
        <v>37</v>
      </c>
      <c r="J1311">
        <v>0</v>
      </c>
      <c r="M1311" t="s">
        <v>1910</v>
      </c>
      <c r="N1311" t="s">
        <v>1286</v>
      </c>
      <c r="O1311">
        <v>0</v>
      </c>
      <c r="P1311">
        <v>0</v>
      </c>
      <c r="Q1311" t="s">
        <v>381</v>
      </c>
    </row>
    <row r="1312" spans="1:17" x14ac:dyDescent="0.15">
      <c r="A1312" t="s">
        <v>67</v>
      </c>
      <c r="B1312" t="s">
        <v>162</v>
      </c>
      <c r="C1312">
        <v>163</v>
      </c>
      <c r="D1312" t="s">
        <v>161</v>
      </c>
      <c r="E1312" s="1">
        <v>43014</v>
      </c>
      <c r="F1312" t="s">
        <v>383</v>
      </c>
      <c r="G1312" t="s">
        <v>1289</v>
      </c>
      <c r="H1312">
        <v>-1</v>
      </c>
      <c r="I1312" t="s">
        <v>37</v>
      </c>
      <c r="J1312">
        <v>0</v>
      </c>
      <c r="M1312" t="s">
        <v>241</v>
      </c>
      <c r="N1312" t="s">
        <v>1290</v>
      </c>
    </row>
    <row r="1313" spans="1:17" x14ac:dyDescent="0.15">
      <c r="A1313" t="s">
        <v>67</v>
      </c>
      <c r="B1313" t="s">
        <v>162</v>
      </c>
      <c r="C1313">
        <v>163</v>
      </c>
      <c r="D1313" t="s">
        <v>161</v>
      </c>
      <c r="E1313" s="1">
        <v>43014</v>
      </c>
      <c r="F1313" t="s">
        <v>383</v>
      </c>
      <c r="G1313" t="s">
        <v>1289</v>
      </c>
      <c r="H1313">
        <v>-1</v>
      </c>
      <c r="I1313" t="s">
        <v>37</v>
      </c>
      <c r="J1313">
        <v>0</v>
      </c>
      <c r="M1313" t="s">
        <v>1910</v>
      </c>
      <c r="N1313" t="s">
        <v>1290</v>
      </c>
      <c r="O1313">
        <v>0</v>
      </c>
      <c r="P1313">
        <v>0</v>
      </c>
      <c r="Q1313" t="s">
        <v>381</v>
      </c>
    </row>
    <row r="1314" spans="1:17" x14ac:dyDescent="0.15">
      <c r="A1314" t="s">
        <v>67</v>
      </c>
      <c r="B1314" t="s">
        <v>162</v>
      </c>
      <c r="C1314">
        <v>163</v>
      </c>
      <c r="D1314" t="s">
        <v>161</v>
      </c>
      <c r="E1314" s="1">
        <v>43017</v>
      </c>
      <c r="F1314" t="s">
        <v>383</v>
      </c>
      <c r="G1314" t="s">
        <v>1003</v>
      </c>
      <c r="H1314">
        <v>-168</v>
      </c>
      <c r="I1314" t="s">
        <v>37</v>
      </c>
      <c r="J1314">
        <v>0</v>
      </c>
      <c r="M1314" t="s">
        <v>241</v>
      </c>
      <c r="N1314" t="s">
        <v>1005</v>
      </c>
    </row>
    <row r="1315" spans="1:17" x14ac:dyDescent="0.15">
      <c r="A1315" t="s">
        <v>67</v>
      </c>
      <c r="B1315" t="s">
        <v>162</v>
      </c>
      <c r="C1315">
        <v>163</v>
      </c>
      <c r="D1315" t="s">
        <v>161</v>
      </c>
      <c r="E1315" s="1">
        <v>43017</v>
      </c>
      <c r="F1315" t="s">
        <v>383</v>
      </c>
      <c r="G1315" t="s">
        <v>1003</v>
      </c>
      <c r="H1315">
        <v>-168</v>
      </c>
      <c r="I1315" t="s">
        <v>37</v>
      </c>
      <c r="J1315">
        <v>0</v>
      </c>
      <c r="M1315" t="s">
        <v>1910</v>
      </c>
      <c r="N1315" t="s">
        <v>1005</v>
      </c>
      <c r="O1315">
        <v>0</v>
      </c>
      <c r="P1315">
        <v>0</v>
      </c>
      <c r="Q1315" t="s">
        <v>381</v>
      </c>
    </row>
    <row r="1316" spans="1:17" x14ac:dyDescent="0.15">
      <c r="A1316" t="s">
        <v>67</v>
      </c>
      <c r="B1316" t="s">
        <v>162</v>
      </c>
      <c r="C1316">
        <v>163</v>
      </c>
      <c r="D1316" t="s">
        <v>161</v>
      </c>
      <c r="E1316" s="1">
        <v>43017</v>
      </c>
      <c r="F1316" t="s">
        <v>17</v>
      </c>
      <c r="G1316" t="s">
        <v>1608</v>
      </c>
      <c r="H1316">
        <v>168</v>
      </c>
      <c r="I1316" t="s">
        <v>37</v>
      </c>
      <c r="J1316">
        <v>0</v>
      </c>
      <c r="M1316" t="s">
        <v>241</v>
      </c>
      <c r="N1316" t="s">
        <v>1610</v>
      </c>
    </row>
    <row r="1317" spans="1:17" x14ac:dyDescent="0.15">
      <c r="A1317" t="s">
        <v>67</v>
      </c>
      <c r="B1317" t="s">
        <v>162</v>
      </c>
      <c r="C1317">
        <v>163</v>
      </c>
      <c r="D1317" t="s">
        <v>161</v>
      </c>
      <c r="E1317" s="1">
        <v>43017</v>
      </c>
      <c r="F1317" t="s">
        <v>17</v>
      </c>
      <c r="G1317" t="s">
        <v>1608</v>
      </c>
      <c r="H1317">
        <v>168</v>
      </c>
      <c r="I1317" t="s">
        <v>37</v>
      </c>
      <c r="J1317">
        <v>0</v>
      </c>
      <c r="M1317" t="s">
        <v>1910</v>
      </c>
      <c r="N1317" t="s">
        <v>1610</v>
      </c>
      <c r="O1317">
        <v>0</v>
      </c>
      <c r="P1317">
        <v>0</v>
      </c>
      <c r="Q1317" t="s">
        <v>381</v>
      </c>
    </row>
    <row r="1318" spans="1:17" x14ac:dyDescent="0.15">
      <c r="A1318" t="s">
        <v>67</v>
      </c>
      <c r="B1318" t="s">
        <v>162</v>
      </c>
      <c r="C1318">
        <v>163</v>
      </c>
      <c r="D1318" t="s">
        <v>161</v>
      </c>
      <c r="E1318" s="1">
        <v>43021</v>
      </c>
      <c r="F1318" t="s">
        <v>383</v>
      </c>
      <c r="G1318" t="s">
        <v>1008</v>
      </c>
      <c r="H1318">
        <v>-252</v>
      </c>
      <c r="I1318" t="s">
        <v>37</v>
      </c>
      <c r="J1318">
        <v>0</v>
      </c>
      <c r="M1318" t="s">
        <v>241</v>
      </c>
      <c r="N1318" t="s">
        <v>1009</v>
      </c>
    </row>
    <row r="1319" spans="1:17" x14ac:dyDescent="0.15">
      <c r="A1319" t="s">
        <v>67</v>
      </c>
      <c r="B1319" t="s">
        <v>162</v>
      </c>
      <c r="C1319">
        <v>163</v>
      </c>
      <c r="D1319" t="s">
        <v>161</v>
      </c>
      <c r="E1319" s="1">
        <v>43021</v>
      </c>
      <c r="F1319" t="s">
        <v>383</v>
      </c>
      <c r="G1319" t="s">
        <v>1008</v>
      </c>
      <c r="H1319">
        <v>-252</v>
      </c>
      <c r="I1319" t="s">
        <v>37</v>
      </c>
      <c r="J1319">
        <v>0</v>
      </c>
      <c r="M1319" t="s">
        <v>1910</v>
      </c>
      <c r="N1319" t="s">
        <v>1009</v>
      </c>
      <c r="O1319">
        <v>0</v>
      </c>
      <c r="P1319">
        <v>0</v>
      </c>
      <c r="Q1319" t="s">
        <v>381</v>
      </c>
    </row>
    <row r="1320" spans="1:17" x14ac:dyDescent="0.15">
      <c r="A1320" t="s">
        <v>67</v>
      </c>
      <c r="B1320" t="s">
        <v>162</v>
      </c>
      <c r="C1320">
        <v>163</v>
      </c>
      <c r="D1320" t="s">
        <v>161</v>
      </c>
      <c r="E1320" s="1">
        <v>43021</v>
      </c>
      <c r="F1320" t="s">
        <v>383</v>
      </c>
      <c r="G1320" t="s">
        <v>1293</v>
      </c>
      <c r="H1320">
        <v>-5</v>
      </c>
      <c r="I1320" t="s">
        <v>37</v>
      </c>
      <c r="J1320">
        <v>0</v>
      </c>
      <c r="M1320" t="s">
        <v>241</v>
      </c>
      <c r="N1320" t="s">
        <v>1295</v>
      </c>
    </row>
    <row r="1321" spans="1:17" x14ac:dyDescent="0.15">
      <c r="A1321" t="s">
        <v>67</v>
      </c>
      <c r="B1321" t="s">
        <v>162</v>
      </c>
      <c r="C1321">
        <v>163</v>
      </c>
      <c r="D1321" t="s">
        <v>161</v>
      </c>
      <c r="E1321" s="1">
        <v>43021</v>
      </c>
      <c r="F1321" t="s">
        <v>383</v>
      </c>
      <c r="G1321" t="s">
        <v>1293</v>
      </c>
      <c r="H1321">
        <v>-5</v>
      </c>
      <c r="I1321" t="s">
        <v>37</v>
      </c>
      <c r="J1321">
        <v>0</v>
      </c>
      <c r="M1321" t="s">
        <v>1910</v>
      </c>
      <c r="N1321" t="s">
        <v>1295</v>
      </c>
      <c r="O1321">
        <v>0</v>
      </c>
      <c r="P1321">
        <v>0</v>
      </c>
      <c r="Q1321" t="s">
        <v>381</v>
      </c>
    </row>
    <row r="1322" spans="1:17" x14ac:dyDescent="0.15">
      <c r="A1322" t="s">
        <v>67</v>
      </c>
      <c r="B1322" t="s">
        <v>162</v>
      </c>
      <c r="C1322">
        <v>163</v>
      </c>
      <c r="D1322" t="s">
        <v>161</v>
      </c>
      <c r="E1322" s="1">
        <v>43024</v>
      </c>
      <c r="F1322" t="s">
        <v>17</v>
      </c>
      <c r="G1322" t="s">
        <v>1611</v>
      </c>
      <c r="H1322">
        <v>56</v>
      </c>
      <c r="I1322" t="s">
        <v>37</v>
      </c>
      <c r="J1322">
        <v>0</v>
      </c>
      <c r="M1322" t="s">
        <v>241</v>
      </c>
      <c r="N1322" t="s">
        <v>1612</v>
      </c>
    </row>
    <row r="1323" spans="1:17" x14ac:dyDescent="0.15">
      <c r="A1323" t="s">
        <v>67</v>
      </c>
      <c r="B1323" t="s">
        <v>162</v>
      </c>
      <c r="C1323">
        <v>163</v>
      </c>
      <c r="D1323" t="s">
        <v>161</v>
      </c>
      <c r="E1323" s="1">
        <v>43024</v>
      </c>
      <c r="F1323" t="s">
        <v>17</v>
      </c>
      <c r="G1323" t="s">
        <v>1611</v>
      </c>
      <c r="H1323">
        <v>56</v>
      </c>
      <c r="I1323" t="s">
        <v>37</v>
      </c>
      <c r="J1323">
        <v>0</v>
      </c>
      <c r="M1323" t="s">
        <v>1910</v>
      </c>
      <c r="N1323" t="s">
        <v>1612</v>
      </c>
      <c r="O1323">
        <v>0</v>
      </c>
      <c r="P1323">
        <v>0</v>
      </c>
      <c r="Q1323" t="s">
        <v>381</v>
      </c>
    </row>
    <row r="1324" spans="1:17" x14ac:dyDescent="0.15">
      <c r="A1324" t="s">
        <v>67</v>
      </c>
      <c r="B1324" t="s">
        <v>162</v>
      </c>
      <c r="C1324">
        <v>163</v>
      </c>
      <c r="D1324" t="s">
        <v>161</v>
      </c>
      <c r="E1324" s="1">
        <v>43027</v>
      </c>
      <c r="F1324" t="s">
        <v>383</v>
      </c>
      <c r="G1324" t="s">
        <v>1307</v>
      </c>
      <c r="H1324">
        <v>-2</v>
      </c>
      <c r="I1324" t="s">
        <v>37</v>
      </c>
      <c r="J1324">
        <v>0</v>
      </c>
      <c r="M1324" t="s">
        <v>241</v>
      </c>
      <c r="N1324" t="s">
        <v>1309</v>
      </c>
    </row>
    <row r="1325" spans="1:17" x14ac:dyDescent="0.15">
      <c r="A1325" t="s">
        <v>67</v>
      </c>
      <c r="B1325" t="s">
        <v>162</v>
      </c>
      <c r="C1325">
        <v>163</v>
      </c>
      <c r="D1325" t="s">
        <v>161</v>
      </c>
      <c r="E1325" s="1">
        <v>43027</v>
      </c>
      <c r="F1325" t="s">
        <v>383</v>
      </c>
      <c r="G1325" t="s">
        <v>1307</v>
      </c>
      <c r="H1325">
        <v>-2</v>
      </c>
      <c r="I1325" t="s">
        <v>37</v>
      </c>
      <c r="J1325">
        <v>0</v>
      </c>
      <c r="M1325" t="s">
        <v>1910</v>
      </c>
      <c r="N1325" t="s">
        <v>1309</v>
      </c>
      <c r="O1325">
        <v>0</v>
      </c>
      <c r="P1325">
        <v>0</v>
      </c>
      <c r="Q1325" t="s">
        <v>381</v>
      </c>
    </row>
    <row r="1326" spans="1:17" x14ac:dyDescent="0.15">
      <c r="A1326" t="s">
        <v>67</v>
      </c>
      <c r="B1326" t="s">
        <v>162</v>
      </c>
      <c r="C1326">
        <v>163</v>
      </c>
      <c r="D1326" t="s">
        <v>161</v>
      </c>
      <c r="E1326" s="1">
        <v>43031</v>
      </c>
      <c r="F1326" t="s">
        <v>383</v>
      </c>
      <c r="G1326" t="s">
        <v>1012</v>
      </c>
      <c r="H1326">
        <v>-196</v>
      </c>
      <c r="I1326" t="s">
        <v>37</v>
      </c>
      <c r="J1326">
        <v>0</v>
      </c>
      <c r="M1326" t="s">
        <v>241</v>
      </c>
      <c r="N1326" t="s">
        <v>1014</v>
      </c>
    </row>
    <row r="1327" spans="1:17" x14ac:dyDescent="0.15">
      <c r="A1327" t="s">
        <v>67</v>
      </c>
      <c r="B1327" t="s">
        <v>162</v>
      </c>
      <c r="C1327">
        <v>163</v>
      </c>
      <c r="D1327" t="s">
        <v>161</v>
      </c>
      <c r="E1327" s="1">
        <v>43031</v>
      </c>
      <c r="F1327" t="s">
        <v>383</v>
      </c>
      <c r="G1327" t="s">
        <v>1012</v>
      </c>
      <c r="H1327">
        <v>-196</v>
      </c>
      <c r="I1327" t="s">
        <v>37</v>
      </c>
      <c r="J1327">
        <v>0</v>
      </c>
      <c r="M1327" t="s">
        <v>1910</v>
      </c>
      <c r="N1327" t="s">
        <v>1014</v>
      </c>
      <c r="O1327">
        <v>0</v>
      </c>
      <c r="P1327">
        <v>0</v>
      </c>
      <c r="Q1327" t="s">
        <v>381</v>
      </c>
    </row>
    <row r="1328" spans="1:17" x14ac:dyDescent="0.15">
      <c r="A1328" t="s">
        <v>67</v>
      </c>
      <c r="B1328" t="s">
        <v>162</v>
      </c>
      <c r="C1328">
        <v>163</v>
      </c>
      <c r="D1328" t="s">
        <v>161</v>
      </c>
      <c r="E1328" s="1">
        <v>43032</v>
      </c>
      <c r="F1328" t="s">
        <v>17</v>
      </c>
      <c r="G1328" t="s">
        <v>1622</v>
      </c>
      <c r="H1328">
        <v>252</v>
      </c>
      <c r="I1328" t="s">
        <v>37</v>
      </c>
      <c r="J1328">
        <v>0</v>
      </c>
      <c r="M1328" t="s">
        <v>241</v>
      </c>
      <c r="N1328" t="s">
        <v>1623</v>
      </c>
    </row>
    <row r="1329" spans="1:17" x14ac:dyDescent="0.15">
      <c r="A1329" t="s">
        <v>67</v>
      </c>
      <c r="B1329" t="s">
        <v>162</v>
      </c>
      <c r="C1329">
        <v>163</v>
      </c>
      <c r="D1329" t="s">
        <v>161</v>
      </c>
      <c r="E1329" s="1">
        <v>43032</v>
      </c>
      <c r="F1329" t="s">
        <v>17</v>
      </c>
      <c r="G1329" t="s">
        <v>1622</v>
      </c>
      <c r="H1329">
        <v>252</v>
      </c>
      <c r="I1329" t="s">
        <v>37</v>
      </c>
      <c r="J1329">
        <v>0</v>
      </c>
      <c r="M1329" t="s">
        <v>1910</v>
      </c>
      <c r="N1329" t="s">
        <v>1623</v>
      </c>
      <c r="O1329">
        <v>0</v>
      </c>
      <c r="P1329">
        <v>0</v>
      </c>
      <c r="Q1329" t="s">
        <v>381</v>
      </c>
    </row>
    <row r="1330" spans="1:17" x14ac:dyDescent="0.15">
      <c r="A1330" t="s">
        <v>67</v>
      </c>
      <c r="B1330" t="s">
        <v>162</v>
      </c>
      <c r="C1330">
        <v>163</v>
      </c>
      <c r="D1330" t="s">
        <v>161</v>
      </c>
      <c r="E1330" s="1">
        <v>43038</v>
      </c>
      <c r="F1330" t="s">
        <v>383</v>
      </c>
      <c r="G1330" t="s">
        <v>1323</v>
      </c>
      <c r="H1330">
        <v>-17</v>
      </c>
      <c r="I1330" t="s">
        <v>37</v>
      </c>
      <c r="J1330">
        <v>0</v>
      </c>
      <c r="K1330">
        <v>0</v>
      </c>
      <c r="M1330" t="s">
        <v>241</v>
      </c>
      <c r="N1330" t="s">
        <v>1324</v>
      </c>
    </row>
    <row r="1331" spans="1:17" x14ac:dyDescent="0.15">
      <c r="A1331" t="s">
        <v>67</v>
      </c>
      <c r="B1331" t="s">
        <v>162</v>
      </c>
      <c r="C1331">
        <v>163</v>
      </c>
      <c r="D1331" t="s">
        <v>161</v>
      </c>
      <c r="E1331" s="1">
        <v>43038</v>
      </c>
      <c r="F1331" t="s">
        <v>383</v>
      </c>
      <c r="G1331" t="s">
        <v>1323</v>
      </c>
      <c r="H1331">
        <v>-17</v>
      </c>
      <c r="I1331" t="s">
        <v>37</v>
      </c>
      <c r="J1331">
        <v>0</v>
      </c>
      <c r="K1331">
        <v>0</v>
      </c>
      <c r="M1331" t="s">
        <v>1910</v>
      </c>
      <c r="N1331" t="s">
        <v>1324</v>
      </c>
      <c r="O1331">
        <v>0</v>
      </c>
      <c r="P1331">
        <v>0</v>
      </c>
      <c r="Q1331" t="s">
        <v>381</v>
      </c>
    </row>
    <row r="1332" spans="1:17" x14ac:dyDescent="0.15">
      <c r="A1332" t="s">
        <v>67</v>
      </c>
      <c r="B1332" t="s">
        <v>162</v>
      </c>
      <c r="C1332">
        <v>163</v>
      </c>
      <c r="D1332" t="s">
        <v>161</v>
      </c>
      <c r="E1332" s="1">
        <v>43038</v>
      </c>
      <c r="F1332" t="s">
        <v>383</v>
      </c>
      <c r="G1332" t="s">
        <v>1323</v>
      </c>
      <c r="H1332">
        <v>-3</v>
      </c>
      <c r="I1332" t="s">
        <v>37</v>
      </c>
      <c r="J1332">
        <v>0</v>
      </c>
      <c r="K1332">
        <v>0</v>
      </c>
      <c r="M1332" t="s">
        <v>241</v>
      </c>
      <c r="N1332" t="s">
        <v>1325</v>
      </c>
    </row>
    <row r="1333" spans="1:17" x14ac:dyDescent="0.15">
      <c r="A1333" t="s">
        <v>67</v>
      </c>
      <c r="B1333" t="s">
        <v>162</v>
      </c>
      <c r="C1333">
        <v>163</v>
      </c>
      <c r="D1333" t="s">
        <v>161</v>
      </c>
      <c r="E1333" s="1">
        <v>43038</v>
      </c>
      <c r="F1333" t="s">
        <v>383</v>
      </c>
      <c r="G1333" t="s">
        <v>1323</v>
      </c>
      <c r="H1333">
        <v>-3</v>
      </c>
      <c r="I1333" t="s">
        <v>37</v>
      </c>
      <c r="J1333">
        <v>0</v>
      </c>
      <c r="K1333">
        <v>0</v>
      </c>
      <c r="M1333" t="s">
        <v>1910</v>
      </c>
      <c r="N1333" t="s">
        <v>1325</v>
      </c>
      <c r="O1333">
        <v>0</v>
      </c>
      <c r="P1333">
        <v>0</v>
      </c>
      <c r="Q1333" t="s">
        <v>381</v>
      </c>
    </row>
    <row r="1334" spans="1:17" x14ac:dyDescent="0.15">
      <c r="A1334" t="s">
        <v>67</v>
      </c>
      <c r="B1334" t="s">
        <v>162</v>
      </c>
      <c r="C1334">
        <v>163</v>
      </c>
      <c r="D1334" t="s">
        <v>161</v>
      </c>
      <c r="E1334" s="1">
        <v>43038</v>
      </c>
      <c r="F1334" t="s">
        <v>17</v>
      </c>
      <c r="G1334" t="s">
        <v>1629</v>
      </c>
      <c r="H1334">
        <v>196</v>
      </c>
      <c r="I1334" t="s">
        <v>37</v>
      </c>
      <c r="J1334">
        <v>0</v>
      </c>
      <c r="K1334">
        <v>0</v>
      </c>
      <c r="M1334" t="s">
        <v>241</v>
      </c>
      <c r="N1334" t="s">
        <v>1631</v>
      </c>
    </row>
    <row r="1335" spans="1:17" x14ac:dyDescent="0.15">
      <c r="A1335" t="s">
        <v>67</v>
      </c>
      <c r="B1335" t="s">
        <v>162</v>
      </c>
      <c r="C1335">
        <v>163</v>
      </c>
      <c r="D1335" t="s">
        <v>161</v>
      </c>
      <c r="E1335" s="1">
        <v>43038</v>
      </c>
      <c r="F1335" t="s">
        <v>17</v>
      </c>
      <c r="G1335" t="s">
        <v>1629</v>
      </c>
      <c r="H1335">
        <v>196</v>
      </c>
      <c r="I1335" t="s">
        <v>37</v>
      </c>
      <c r="J1335">
        <v>0</v>
      </c>
      <c r="K1335">
        <v>0</v>
      </c>
      <c r="M1335" t="s">
        <v>1910</v>
      </c>
      <c r="N1335" t="s">
        <v>1631</v>
      </c>
      <c r="O1335">
        <v>0</v>
      </c>
      <c r="P1335">
        <v>0</v>
      </c>
      <c r="Q1335" t="s">
        <v>381</v>
      </c>
    </row>
    <row r="1336" spans="1:17" x14ac:dyDescent="0.15">
      <c r="A1336" t="s">
        <v>67</v>
      </c>
      <c r="B1336" t="s">
        <v>162</v>
      </c>
      <c r="C1336">
        <v>163</v>
      </c>
      <c r="D1336" t="s">
        <v>161</v>
      </c>
      <c r="E1336" s="1">
        <v>43039</v>
      </c>
      <c r="F1336" t="s">
        <v>383</v>
      </c>
      <c r="G1336" t="s">
        <v>1326</v>
      </c>
      <c r="H1336">
        <v>-1</v>
      </c>
      <c r="I1336" t="s">
        <v>37</v>
      </c>
      <c r="J1336">
        <v>0</v>
      </c>
      <c r="K1336">
        <v>0</v>
      </c>
      <c r="M1336" t="s">
        <v>241</v>
      </c>
      <c r="N1336" t="s">
        <v>1329</v>
      </c>
    </row>
    <row r="1337" spans="1:17" x14ac:dyDescent="0.15">
      <c r="A1337" t="s">
        <v>67</v>
      </c>
      <c r="B1337" t="s">
        <v>162</v>
      </c>
      <c r="C1337">
        <v>163</v>
      </c>
      <c r="D1337" t="s">
        <v>161</v>
      </c>
      <c r="E1337" s="1">
        <v>43039</v>
      </c>
      <c r="F1337" t="s">
        <v>383</v>
      </c>
      <c r="G1337" t="s">
        <v>1326</v>
      </c>
      <c r="H1337">
        <v>-1</v>
      </c>
      <c r="I1337" t="s">
        <v>37</v>
      </c>
      <c r="J1337">
        <v>0</v>
      </c>
      <c r="K1337">
        <v>0</v>
      </c>
      <c r="M1337" t="s">
        <v>1910</v>
      </c>
      <c r="N1337" t="s">
        <v>1329</v>
      </c>
      <c r="O1337">
        <v>0</v>
      </c>
      <c r="P1337">
        <v>0</v>
      </c>
      <c r="Q1337" t="s">
        <v>381</v>
      </c>
    </row>
    <row r="1338" spans="1:17" x14ac:dyDescent="0.15">
      <c r="A1338" t="s">
        <v>67</v>
      </c>
      <c r="B1338" t="s">
        <v>162</v>
      </c>
      <c r="C1338">
        <v>163</v>
      </c>
      <c r="D1338" t="s">
        <v>161</v>
      </c>
      <c r="E1338" s="1">
        <v>43042</v>
      </c>
      <c r="F1338" t="s">
        <v>383</v>
      </c>
      <c r="G1338" t="s">
        <v>962</v>
      </c>
      <c r="H1338">
        <v>-224</v>
      </c>
      <c r="I1338" t="s">
        <v>37</v>
      </c>
      <c r="J1338">
        <v>0</v>
      </c>
      <c r="K1338">
        <v>0</v>
      </c>
      <c r="M1338" t="s">
        <v>241</v>
      </c>
      <c r="N1338" t="s">
        <v>964</v>
      </c>
    </row>
    <row r="1339" spans="1:17" x14ac:dyDescent="0.15">
      <c r="A1339" t="s">
        <v>67</v>
      </c>
      <c r="B1339" t="s">
        <v>162</v>
      </c>
      <c r="C1339">
        <v>163</v>
      </c>
      <c r="D1339" t="s">
        <v>161</v>
      </c>
      <c r="E1339" s="1">
        <v>43042</v>
      </c>
      <c r="F1339" t="s">
        <v>383</v>
      </c>
      <c r="G1339" t="s">
        <v>962</v>
      </c>
      <c r="H1339">
        <v>-224</v>
      </c>
      <c r="I1339" t="s">
        <v>37</v>
      </c>
      <c r="J1339">
        <v>0</v>
      </c>
      <c r="K1339">
        <v>0</v>
      </c>
      <c r="M1339" t="s">
        <v>1910</v>
      </c>
      <c r="N1339" t="s">
        <v>964</v>
      </c>
      <c r="O1339">
        <v>0</v>
      </c>
      <c r="P1339">
        <v>0</v>
      </c>
      <c r="Q1339" t="s">
        <v>381</v>
      </c>
    </row>
    <row r="1340" spans="1:17" x14ac:dyDescent="0.15">
      <c r="A1340" t="s">
        <v>67</v>
      </c>
      <c r="B1340" t="s">
        <v>162</v>
      </c>
      <c r="C1340">
        <v>163</v>
      </c>
      <c r="D1340" t="s">
        <v>161</v>
      </c>
      <c r="E1340" s="1">
        <v>43046</v>
      </c>
      <c r="F1340" t="s">
        <v>383</v>
      </c>
      <c r="G1340" t="s">
        <v>1345</v>
      </c>
      <c r="H1340">
        <v>-1</v>
      </c>
      <c r="I1340" t="s">
        <v>37</v>
      </c>
      <c r="J1340">
        <v>0</v>
      </c>
      <c r="K1340">
        <v>0</v>
      </c>
      <c r="M1340" t="s">
        <v>241</v>
      </c>
      <c r="N1340" t="s">
        <v>1346</v>
      </c>
    </row>
    <row r="1341" spans="1:17" x14ac:dyDescent="0.15">
      <c r="A1341" t="s">
        <v>67</v>
      </c>
      <c r="B1341" t="s">
        <v>162</v>
      </c>
      <c r="C1341">
        <v>163</v>
      </c>
      <c r="D1341" t="s">
        <v>161</v>
      </c>
      <c r="E1341" s="1">
        <v>43046</v>
      </c>
      <c r="F1341" t="s">
        <v>383</v>
      </c>
      <c r="G1341" t="s">
        <v>1345</v>
      </c>
      <c r="H1341">
        <v>-1</v>
      </c>
      <c r="I1341" t="s">
        <v>37</v>
      </c>
      <c r="J1341">
        <v>0</v>
      </c>
      <c r="K1341">
        <v>0</v>
      </c>
      <c r="M1341" t="s">
        <v>1910</v>
      </c>
      <c r="N1341" t="s">
        <v>1346</v>
      </c>
      <c r="O1341">
        <v>0</v>
      </c>
      <c r="P1341">
        <v>0</v>
      </c>
      <c r="Q1341" t="s">
        <v>381</v>
      </c>
    </row>
    <row r="1342" spans="1:17" x14ac:dyDescent="0.15">
      <c r="A1342" t="s">
        <v>67</v>
      </c>
      <c r="B1342" t="s">
        <v>162</v>
      </c>
      <c r="C1342">
        <v>163</v>
      </c>
      <c r="D1342" t="s">
        <v>161</v>
      </c>
      <c r="E1342" s="1">
        <v>43047</v>
      </c>
      <c r="F1342" t="s">
        <v>383</v>
      </c>
      <c r="G1342" t="s">
        <v>1341</v>
      </c>
      <c r="H1342">
        <v>-1</v>
      </c>
      <c r="I1342" t="s">
        <v>37</v>
      </c>
      <c r="J1342">
        <v>0</v>
      </c>
      <c r="K1342">
        <v>0</v>
      </c>
      <c r="M1342" t="s">
        <v>241</v>
      </c>
      <c r="N1342" t="s">
        <v>1344</v>
      </c>
    </row>
    <row r="1343" spans="1:17" x14ac:dyDescent="0.15">
      <c r="A1343" t="s">
        <v>67</v>
      </c>
      <c r="B1343" t="s">
        <v>162</v>
      </c>
      <c r="C1343">
        <v>163</v>
      </c>
      <c r="D1343" t="s">
        <v>161</v>
      </c>
      <c r="E1343" s="1">
        <v>43047</v>
      </c>
      <c r="F1343" t="s">
        <v>383</v>
      </c>
      <c r="G1343" t="s">
        <v>1341</v>
      </c>
      <c r="H1343">
        <v>-1</v>
      </c>
      <c r="I1343" t="s">
        <v>37</v>
      </c>
      <c r="J1343">
        <v>0</v>
      </c>
      <c r="K1343">
        <v>0</v>
      </c>
      <c r="M1343" t="s">
        <v>1910</v>
      </c>
      <c r="N1343" t="s">
        <v>1344</v>
      </c>
      <c r="O1343">
        <v>0</v>
      </c>
      <c r="P1343">
        <v>0</v>
      </c>
      <c r="Q1343" t="s">
        <v>381</v>
      </c>
    </row>
    <row r="1344" spans="1:17" x14ac:dyDescent="0.15">
      <c r="A1344" t="s">
        <v>67</v>
      </c>
      <c r="B1344" t="s">
        <v>162</v>
      </c>
      <c r="C1344">
        <v>163</v>
      </c>
      <c r="D1344" t="s">
        <v>161</v>
      </c>
      <c r="E1344" s="1">
        <v>43052</v>
      </c>
      <c r="F1344" t="s">
        <v>383</v>
      </c>
      <c r="G1344" t="s">
        <v>1017</v>
      </c>
      <c r="H1344">
        <v>-84</v>
      </c>
      <c r="I1344" t="s">
        <v>37</v>
      </c>
      <c r="J1344">
        <v>0</v>
      </c>
      <c r="K1344">
        <v>0</v>
      </c>
      <c r="M1344" t="s">
        <v>241</v>
      </c>
      <c r="N1344" t="s">
        <v>1019</v>
      </c>
    </row>
    <row r="1345" spans="1:17" x14ac:dyDescent="0.15">
      <c r="A1345" t="s">
        <v>67</v>
      </c>
      <c r="B1345" t="s">
        <v>162</v>
      </c>
      <c r="C1345">
        <v>163</v>
      </c>
      <c r="D1345" t="s">
        <v>161</v>
      </c>
      <c r="E1345" s="1">
        <v>43052</v>
      </c>
      <c r="F1345" t="s">
        <v>383</v>
      </c>
      <c r="G1345" t="s">
        <v>1017</v>
      </c>
      <c r="H1345">
        <v>-84</v>
      </c>
      <c r="I1345" t="s">
        <v>37</v>
      </c>
      <c r="J1345">
        <v>0</v>
      </c>
      <c r="K1345">
        <v>0</v>
      </c>
      <c r="M1345" t="s">
        <v>1910</v>
      </c>
      <c r="N1345" t="s">
        <v>1019</v>
      </c>
      <c r="O1345">
        <v>0</v>
      </c>
      <c r="P1345">
        <v>0</v>
      </c>
      <c r="Q1345" t="s">
        <v>381</v>
      </c>
    </row>
    <row r="1346" spans="1:17" x14ac:dyDescent="0.15">
      <c r="A1346" t="s">
        <v>67</v>
      </c>
      <c r="B1346" t="s">
        <v>162</v>
      </c>
      <c r="C1346">
        <v>163</v>
      </c>
      <c r="D1346" t="s">
        <v>161</v>
      </c>
      <c r="E1346" s="1">
        <v>43052</v>
      </c>
      <c r="F1346" t="s">
        <v>17</v>
      </c>
      <c r="G1346" t="s">
        <v>1634</v>
      </c>
      <c r="H1346">
        <v>224</v>
      </c>
      <c r="I1346" t="s">
        <v>37</v>
      </c>
      <c r="J1346">
        <v>0</v>
      </c>
      <c r="K1346">
        <v>0</v>
      </c>
      <c r="M1346" t="s">
        <v>241</v>
      </c>
      <c r="N1346" t="s">
        <v>1636</v>
      </c>
    </row>
    <row r="1347" spans="1:17" x14ac:dyDescent="0.15">
      <c r="A1347" t="s">
        <v>67</v>
      </c>
      <c r="B1347" t="s">
        <v>162</v>
      </c>
      <c r="C1347">
        <v>163</v>
      </c>
      <c r="D1347" t="s">
        <v>161</v>
      </c>
      <c r="E1347" s="1">
        <v>43052</v>
      </c>
      <c r="F1347" t="s">
        <v>17</v>
      </c>
      <c r="G1347" t="s">
        <v>1634</v>
      </c>
      <c r="H1347">
        <v>224</v>
      </c>
      <c r="I1347" t="s">
        <v>37</v>
      </c>
      <c r="J1347">
        <v>0</v>
      </c>
      <c r="K1347">
        <v>0</v>
      </c>
      <c r="M1347" t="s">
        <v>1910</v>
      </c>
      <c r="N1347" t="s">
        <v>1636</v>
      </c>
      <c r="O1347">
        <v>0</v>
      </c>
      <c r="P1347">
        <v>0</v>
      </c>
      <c r="Q1347" t="s">
        <v>381</v>
      </c>
    </row>
    <row r="1348" spans="1:17" x14ac:dyDescent="0.15">
      <c r="A1348" t="s">
        <v>67</v>
      </c>
      <c r="B1348" t="s">
        <v>162</v>
      </c>
      <c r="C1348">
        <v>163</v>
      </c>
      <c r="D1348" t="s">
        <v>161</v>
      </c>
      <c r="E1348" s="1">
        <v>43054</v>
      </c>
      <c r="F1348" t="s">
        <v>17</v>
      </c>
      <c r="G1348" t="s">
        <v>1639</v>
      </c>
      <c r="H1348">
        <v>140</v>
      </c>
      <c r="I1348" t="s">
        <v>37</v>
      </c>
      <c r="J1348">
        <v>0</v>
      </c>
      <c r="K1348">
        <v>0</v>
      </c>
      <c r="M1348" t="s">
        <v>241</v>
      </c>
      <c r="N1348" t="s">
        <v>1640</v>
      </c>
    </row>
    <row r="1349" spans="1:17" x14ac:dyDescent="0.15">
      <c r="A1349" t="s">
        <v>67</v>
      </c>
      <c r="B1349" t="s">
        <v>162</v>
      </c>
      <c r="C1349">
        <v>163</v>
      </c>
      <c r="D1349" t="s">
        <v>161</v>
      </c>
      <c r="E1349" s="1">
        <v>43054</v>
      </c>
      <c r="F1349" t="s">
        <v>17</v>
      </c>
      <c r="G1349" t="s">
        <v>1639</v>
      </c>
      <c r="H1349">
        <v>140</v>
      </c>
      <c r="I1349" t="s">
        <v>37</v>
      </c>
      <c r="J1349">
        <v>0</v>
      </c>
      <c r="K1349">
        <v>0</v>
      </c>
      <c r="M1349" t="s">
        <v>1910</v>
      </c>
      <c r="N1349" t="s">
        <v>1640</v>
      </c>
      <c r="O1349">
        <v>0</v>
      </c>
      <c r="P1349">
        <v>0</v>
      </c>
      <c r="Q1349" t="s">
        <v>381</v>
      </c>
    </row>
    <row r="1350" spans="1:17" x14ac:dyDescent="0.15">
      <c r="A1350" t="s">
        <v>67</v>
      </c>
      <c r="B1350" t="s">
        <v>162</v>
      </c>
      <c r="C1350">
        <v>163</v>
      </c>
      <c r="D1350" t="s">
        <v>161</v>
      </c>
      <c r="E1350" s="1">
        <v>43056</v>
      </c>
      <c r="F1350" t="s">
        <v>383</v>
      </c>
      <c r="G1350" t="s">
        <v>1376</v>
      </c>
      <c r="H1350">
        <v>-5</v>
      </c>
      <c r="I1350" t="s">
        <v>37</v>
      </c>
      <c r="J1350">
        <v>0</v>
      </c>
      <c r="K1350">
        <v>0</v>
      </c>
      <c r="M1350" t="s">
        <v>241</v>
      </c>
      <c r="N1350" t="s">
        <v>1378</v>
      </c>
    </row>
    <row r="1351" spans="1:17" x14ac:dyDescent="0.15">
      <c r="A1351" t="s">
        <v>67</v>
      </c>
      <c r="B1351" t="s">
        <v>162</v>
      </c>
      <c r="C1351">
        <v>163</v>
      </c>
      <c r="D1351" t="s">
        <v>161</v>
      </c>
      <c r="E1351" s="1">
        <v>43056</v>
      </c>
      <c r="F1351" t="s">
        <v>383</v>
      </c>
      <c r="G1351" t="s">
        <v>1376</v>
      </c>
      <c r="H1351">
        <v>-5</v>
      </c>
      <c r="I1351" t="s">
        <v>37</v>
      </c>
      <c r="J1351">
        <v>0</v>
      </c>
      <c r="K1351">
        <v>0</v>
      </c>
      <c r="M1351" t="s">
        <v>1910</v>
      </c>
      <c r="N1351" t="s">
        <v>1378</v>
      </c>
      <c r="O1351">
        <v>0</v>
      </c>
      <c r="P1351">
        <v>0</v>
      </c>
      <c r="Q1351" t="s">
        <v>381</v>
      </c>
    </row>
    <row r="1352" spans="1:17" x14ac:dyDescent="0.15">
      <c r="A1352" t="s">
        <v>67</v>
      </c>
      <c r="B1352" t="s">
        <v>162</v>
      </c>
      <c r="C1352">
        <v>163</v>
      </c>
      <c r="D1352" t="s">
        <v>161</v>
      </c>
      <c r="E1352" s="1">
        <v>43056</v>
      </c>
      <c r="F1352" t="s">
        <v>383</v>
      </c>
      <c r="G1352" t="s">
        <v>1379</v>
      </c>
      <c r="H1352">
        <v>-14</v>
      </c>
      <c r="I1352" t="s">
        <v>37</v>
      </c>
      <c r="J1352">
        <v>0</v>
      </c>
      <c r="K1352">
        <v>0</v>
      </c>
      <c r="M1352" t="s">
        <v>241</v>
      </c>
      <c r="N1352" t="s">
        <v>1380</v>
      </c>
    </row>
    <row r="1353" spans="1:17" x14ac:dyDescent="0.15">
      <c r="A1353" t="s">
        <v>67</v>
      </c>
      <c r="B1353" t="s">
        <v>162</v>
      </c>
      <c r="C1353">
        <v>163</v>
      </c>
      <c r="D1353" t="s">
        <v>161</v>
      </c>
      <c r="E1353" s="1">
        <v>43056</v>
      </c>
      <c r="F1353" t="s">
        <v>383</v>
      </c>
      <c r="G1353" t="s">
        <v>1379</v>
      </c>
      <c r="H1353">
        <v>-14</v>
      </c>
      <c r="I1353" t="s">
        <v>37</v>
      </c>
      <c r="J1353">
        <v>0</v>
      </c>
      <c r="K1353">
        <v>0</v>
      </c>
      <c r="M1353" t="s">
        <v>1910</v>
      </c>
      <c r="N1353" t="s">
        <v>1380</v>
      </c>
      <c r="O1353">
        <v>0</v>
      </c>
      <c r="P1353">
        <v>0</v>
      </c>
      <c r="Q1353" t="s">
        <v>381</v>
      </c>
    </row>
    <row r="1354" spans="1:17" x14ac:dyDescent="0.15">
      <c r="A1354" t="s">
        <v>67</v>
      </c>
      <c r="B1354" t="s">
        <v>162</v>
      </c>
      <c r="C1354">
        <v>163</v>
      </c>
      <c r="D1354" t="s">
        <v>161</v>
      </c>
      <c r="E1354" s="1">
        <v>43059</v>
      </c>
      <c r="F1354" t="s">
        <v>17</v>
      </c>
      <c r="G1354" t="s">
        <v>1651</v>
      </c>
      <c r="H1354">
        <v>84</v>
      </c>
      <c r="I1354" t="s">
        <v>37</v>
      </c>
      <c r="J1354">
        <v>0</v>
      </c>
      <c r="K1354">
        <v>0</v>
      </c>
      <c r="M1354" t="s">
        <v>241</v>
      </c>
      <c r="N1354" t="s">
        <v>1653</v>
      </c>
    </row>
    <row r="1355" spans="1:17" x14ac:dyDescent="0.15">
      <c r="A1355" t="s">
        <v>67</v>
      </c>
      <c r="B1355" t="s">
        <v>162</v>
      </c>
      <c r="C1355">
        <v>163</v>
      </c>
      <c r="D1355" t="s">
        <v>161</v>
      </c>
      <c r="E1355" s="1">
        <v>43059</v>
      </c>
      <c r="F1355" t="s">
        <v>17</v>
      </c>
      <c r="G1355" t="s">
        <v>1651</v>
      </c>
      <c r="H1355">
        <v>84</v>
      </c>
      <c r="I1355" t="s">
        <v>37</v>
      </c>
      <c r="J1355">
        <v>0</v>
      </c>
      <c r="K1355">
        <v>0</v>
      </c>
      <c r="M1355" t="s">
        <v>1910</v>
      </c>
      <c r="N1355" t="s">
        <v>1653</v>
      </c>
      <c r="O1355">
        <v>0</v>
      </c>
      <c r="P1355">
        <v>0</v>
      </c>
      <c r="Q1355" t="s">
        <v>381</v>
      </c>
    </row>
    <row r="1356" spans="1:17" x14ac:dyDescent="0.15">
      <c r="A1356" t="s">
        <v>67</v>
      </c>
      <c r="B1356" t="s">
        <v>162</v>
      </c>
      <c r="C1356">
        <v>163</v>
      </c>
      <c r="D1356" t="s">
        <v>161</v>
      </c>
      <c r="E1356" s="1">
        <v>43060</v>
      </c>
      <c r="F1356" t="s">
        <v>383</v>
      </c>
      <c r="G1356" t="s">
        <v>1385</v>
      </c>
      <c r="H1356">
        <v>-5</v>
      </c>
      <c r="I1356" t="s">
        <v>37</v>
      </c>
      <c r="J1356">
        <v>0</v>
      </c>
      <c r="K1356">
        <v>0</v>
      </c>
      <c r="M1356" t="s">
        <v>241</v>
      </c>
      <c r="N1356" t="s">
        <v>1387</v>
      </c>
    </row>
    <row r="1357" spans="1:17" x14ac:dyDescent="0.15">
      <c r="A1357" t="s">
        <v>67</v>
      </c>
      <c r="B1357" t="s">
        <v>162</v>
      </c>
      <c r="C1357">
        <v>163</v>
      </c>
      <c r="D1357" t="s">
        <v>161</v>
      </c>
      <c r="E1357" s="1">
        <v>43060</v>
      </c>
      <c r="F1357" t="s">
        <v>383</v>
      </c>
      <c r="G1357" t="s">
        <v>1385</v>
      </c>
      <c r="H1357">
        <v>-5</v>
      </c>
      <c r="I1357" t="s">
        <v>37</v>
      </c>
      <c r="J1357">
        <v>0</v>
      </c>
      <c r="K1357">
        <v>0</v>
      </c>
      <c r="M1357" t="s">
        <v>1910</v>
      </c>
      <c r="N1357" t="s">
        <v>1387</v>
      </c>
      <c r="O1357">
        <v>0</v>
      </c>
      <c r="P1357">
        <v>0</v>
      </c>
      <c r="Q1357" t="s">
        <v>381</v>
      </c>
    </row>
    <row r="1358" spans="1:17" x14ac:dyDescent="0.15">
      <c r="A1358" t="s">
        <v>67</v>
      </c>
      <c r="B1358" t="s">
        <v>162</v>
      </c>
      <c r="C1358">
        <v>163</v>
      </c>
      <c r="D1358" t="s">
        <v>161</v>
      </c>
      <c r="E1358" s="1">
        <v>43060</v>
      </c>
      <c r="F1358" t="s">
        <v>383</v>
      </c>
      <c r="G1358" t="s">
        <v>1390</v>
      </c>
      <c r="H1358">
        <v>-3</v>
      </c>
      <c r="I1358" t="s">
        <v>37</v>
      </c>
      <c r="J1358">
        <v>0</v>
      </c>
      <c r="K1358">
        <v>0</v>
      </c>
      <c r="M1358" t="s">
        <v>241</v>
      </c>
      <c r="N1358" t="s">
        <v>1392</v>
      </c>
    </row>
    <row r="1359" spans="1:17" x14ac:dyDescent="0.15">
      <c r="A1359" t="s">
        <v>67</v>
      </c>
      <c r="B1359" t="s">
        <v>162</v>
      </c>
      <c r="C1359">
        <v>163</v>
      </c>
      <c r="D1359" t="s">
        <v>161</v>
      </c>
      <c r="E1359" s="1">
        <v>43060</v>
      </c>
      <c r="F1359" t="s">
        <v>383</v>
      </c>
      <c r="G1359" t="s">
        <v>1390</v>
      </c>
      <c r="H1359">
        <v>-3</v>
      </c>
      <c r="I1359" t="s">
        <v>37</v>
      </c>
      <c r="J1359">
        <v>0</v>
      </c>
      <c r="K1359">
        <v>0</v>
      </c>
      <c r="M1359" t="s">
        <v>1910</v>
      </c>
      <c r="N1359" t="s">
        <v>1392</v>
      </c>
      <c r="O1359">
        <v>0</v>
      </c>
      <c r="P1359">
        <v>0</v>
      </c>
      <c r="Q1359" t="s">
        <v>381</v>
      </c>
    </row>
    <row r="1360" spans="1:17" x14ac:dyDescent="0.15">
      <c r="A1360" t="s">
        <v>67</v>
      </c>
      <c r="B1360" t="s">
        <v>162</v>
      </c>
      <c r="C1360">
        <v>163</v>
      </c>
      <c r="D1360" t="s">
        <v>161</v>
      </c>
      <c r="E1360" s="1">
        <v>43062</v>
      </c>
      <c r="F1360" t="s">
        <v>383</v>
      </c>
      <c r="G1360" t="s">
        <v>1023</v>
      </c>
      <c r="H1360">
        <v>-560</v>
      </c>
      <c r="I1360" t="s">
        <v>37</v>
      </c>
      <c r="J1360">
        <v>0</v>
      </c>
      <c r="K1360">
        <v>0</v>
      </c>
      <c r="M1360" t="s">
        <v>241</v>
      </c>
      <c r="N1360" t="s">
        <v>1025</v>
      </c>
    </row>
    <row r="1361" spans="1:17" x14ac:dyDescent="0.15">
      <c r="A1361" t="s">
        <v>67</v>
      </c>
      <c r="B1361" t="s">
        <v>162</v>
      </c>
      <c r="C1361">
        <v>163</v>
      </c>
      <c r="D1361" t="s">
        <v>161</v>
      </c>
      <c r="E1361" s="1">
        <v>43062</v>
      </c>
      <c r="F1361" t="s">
        <v>383</v>
      </c>
      <c r="G1361" t="s">
        <v>1023</v>
      </c>
      <c r="H1361">
        <v>-560</v>
      </c>
      <c r="I1361" t="s">
        <v>37</v>
      </c>
      <c r="J1361">
        <v>0</v>
      </c>
      <c r="K1361">
        <v>0</v>
      </c>
      <c r="M1361" t="s">
        <v>1910</v>
      </c>
      <c r="N1361" t="s">
        <v>1025</v>
      </c>
      <c r="O1361">
        <v>0</v>
      </c>
      <c r="P1361">
        <v>0</v>
      </c>
      <c r="Q1361" t="s">
        <v>381</v>
      </c>
    </row>
    <row r="1362" spans="1:17" x14ac:dyDescent="0.15">
      <c r="A1362" t="s">
        <v>67</v>
      </c>
      <c r="B1362" t="s">
        <v>162</v>
      </c>
      <c r="C1362">
        <v>163</v>
      </c>
      <c r="D1362" t="s">
        <v>161</v>
      </c>
      <c r="E1362" s="1">
        <v>43063</v>
      </c>
      <c r="F1362" t="s">
        <v>383</v>
      </c>
      <c r="G1362" t="s">
        <v>1358</v>
      </c>
      <c r="H1362">
        <v>-2</v>
      </c>
      <c r="I1362" t="s">
        <v>37</v>
      </c>
      <c r="J1362">
        <v>0</v>
      </c>
      <c r="K1362">
        <v>0</v>
      </c>
      <c r="M1362" t="s">
        <v>241</v>
      </c>
      <c r="N1362" t="s">
        <v>1361</v>
      </c>
    </row>
    <row r="1363" spans="1:17" x14ac:dyDescent="0.15">
      <c r="A1363" t="s">
        <v>67</v>
      </c>
      <c r="B1363" t="s">
        <v>162</v>
      </c>
      <c r="C1363">
        <v>163</v>
      </c>
      <c r="D1363" t="s">
        <v>161</v>
      </c>
      <c r="E1363" s="1">
        <v>43063</v>
      </c>
      <c r="F1363" t="s">
        <v>383</v>
      </c>
      <c r="G1363" t="s">
        <v>1358</v>
      </c>
      <c r="H1363">
        <v>-2</v>
      </c>
      <c r="I1363" t="s">
        <v>37</v>
      </c>
      <c r="J1363">
        <v>0</v>
      </c>
      <c r="K1363">
        <v>0</v>
      </c>
      <c r="M1363" t="s">
        <v>1910</v>
      </c>
      <c r="N1363" t="s">
        <v>1361</v>
      </c>
      <c r="O1363">
        <v>0</v>
      </c>
      <c r="P1363">
        <v>0</v>
      </c>
      <c r="Q1363" t="s">
        <v>381</v>
      </c>
    </row>
    <row r="1364" spans="1:17" x14ac:dyDescent="0.15">
      <c r="A1364" t="s">
        <v>67</v>
      </c>
      <c r="B1364" t="s">
        <v>162</v>
      </c>
      <c r="C1364">
        <v>163</v>
      </c>
      <c r="D1364" t="s">
        <v>161</v>
      </c>
      <c r="E1364" s="1">
        <v>43063</v>
      </c>
      <c r="F1364" t="s">
        <v>383</v>
      </c>
      <c r="G1364" t="s">
        <v>1388</v>
      </c>
      <c r="H1364">
        <v>-14</v>
      </c>
      <c r="I1364" t="s">
        <v>37</v>
      </c>
      <c r="J1364">
        <v>0</v>
      </c>
      <c r="K1364">
        <v>0</v>
      </c>
      <c r="M1364" t="s">
        <v>241</v>
      </c>
      <c r="N1364" t="s">
        <v>1389</v>
      </c>
    </row>
    <row r="1365" spans="1:17" x14ac:dyDescent="0.15">
      <c r="A1365" t="s">
        <v>67</v>
      </c>
      <c r="B1365" t="s">
        <v>162</v>
      </c>
      <c r="C1365">
        <v>163</v>
      </c>
      <c r="D1365" t="s">
        <v>161</v>
      </c>
      <c r="E1365" s="1">
        <v>43063</v>
      </c>
      <c r="F1365" t="s">
        <v>383</v>
      </c>
      <c r="G1365" t="s">
        <v>1388</v>
      </c>
      <c r="H1365">
        <v>-14</v>
      </c>
      <c r="I1365" t="s">
        <v>37</v>
      </c>
      <c r="J1365">
        <v>0</v>
      </c>
      <c r="K1365">
        <v>0</v>
      </c>
      <c r="M1365" t="s">
        <v>1910</v>
      </c>
      <c r="N1365" t="s">
        <v>1389</v>
      </c>
      <c r="O1365">
        <v>0</v>
      </c>
      <c r="P1365">
        <v>0</v>
      </c>
      <c r="Q1365" t="s">
        <v>381</v>
      </c>
    </row>
    <row r="1366" spans="1:17" x14ac:dyDescent="0.15">
      <c r="A1366" t="s">
        <v>67</v>
      </c>
      <c r="B1366" t="s">
        <v>162</v>
      </c>
      <c r="C1366">
        <v>163</v>
      </c>
      <c r="D1366" t="s">
        <v>161</v>
      </c>
      <c r="E1366" s="1">
        <v>43063</v>
      </c>
      <c r="F1366" t="s">
        <v>383</v>
      </c>
      <c r="G1366" t="s">
        <v>1399</v>
      </c>
      <c r="H1366">
        <v>-1</v>
      </c>
      <c r="I1366" t="s">
        <v>37</v>
      </c>
      <c r="J1366">
        <v>0</v>
      </c>
      <c r="K1366">
        <v>0</v>
      </c>
      <c r="M1366" t="s">
        <v>241</v>
      </c>
      <c r="N1366" t="s">
        <v>1401</v>
      </c>
    </row>
    <row r="1367" spans="1:17" x14ac:dyDescent="0.15">
      <c r="A1367" t="s">
        <v>67</v>
      </c>
      <c r="B1367" t="s">
        <v>162</v>
      </c>
      <c r="C1367">
        <v>163</v>
      </c>
      <c r="D1367" t="s">
        <v>161</v>
      </c>
      <c r="E1367" s="1">
        <v>43063</v>
      </c>
      <c r="F1367" t="s">
        <v>383</v>
      </c>
      <c r="G1367" t="s">
        <v>1399</v>
      </c>
      <c r="H1367">
        <v>-1</v>
      </c>
      <c r="I1367" t="s">
        <v>37</v>
      </c>
      <c r="J1367">
        <v>0</v>
      </c>
      <c r="K1367">
        <v>0</v>
      </c>
      <c r="M1367" t="s">
        <v>1910</v>
      </c>
      <c r="N1367" t="s">
        <v>1401</v>
      </c>
      <c r="O1367">
        <v>0</v>
      </c>
      <c r="P1367">
        <v>0</v>
      </c>
      <c r="Q1367" t="s">
        <v>381</v>
      </c>
    </row>
    <row r="1368" spans="1:17" x14ac:dyDescent="0.15">
      <c r="A1368" t="s">
        <v>67</v>
      </c>
      <c r="B1368" t="s">
        <v>162</v>
      </c>
      <c r="C1368">
        <v>163</v>
      </c>
      <c r="D1368" t="s">
        <v>161</v>
      </c>
      <c r="E1368" s="1">
        <v>43063</v>
      </c>
      <c r="F1368" t="s">
        <v>383</v>
      </c>
      <c r="G1368" t="s">
        <v>1410</v>
      </c>
      <c r="H1368">
        <v>-2</v>
      </c>
      <c r="I1368" t="s">
        <v>37</v>
      </c>
      <c r="J1368">
        <v>0</v>
      </c>
      <c r="K1368">
        <v>0</v>
      </c>
      <c r="M1368" t="s">
        <v>241</v>
      </c>
      <c r="N1368" t="s">
        <v>1412</v>
      </c>
    </row>
    <row r="1369" spans="1:17" x14ac:dyDescent="0.15">
      <c r="A1369" t="s">
        <v>67</v>
      </c>
      <c r="B1369" t="s">
        <v>162</v>
      </c>
      <c r="C1369">
        <v>163</v>
      </c>
      <c r="D1369" t="s">
        <v>161</v>
      </c>
      <c r="E1369" s="1">
        <v>43063</v>
      </c>
      <c r="F1369" t="s">
        <v>383</v>
      </c>
      <c r="G1369" t="s">
        <v>1410</v>
      </c>
      <c r="H1369">
        <v>-2</v>
      </c>
      <c r="I1369" t="s">
        <v>37</v>
      </c>
      <c r="J1369">
        <v>0</v>
      </c>
      <c r="K1369">
        <v>0</v>
      </c>
      <c r="M1369" t="s">
        <v>1910</v>
      </c>
      <c r="N1369" t="s">
        <v>1412</v>
      </c>
      <c r="O1369">
        <v>0</v>
      </c>
      <c r="P1369">
        <v>0</v>
      </c>
      <c r="Q1369" t="s">
        <v>381</v>
      </c>
    </row>
    <row r="1370" spans="1:17" x14ac:dyDescent="0.15">
      <c r="A1370" t="s">
        <v>67</v>
      </c>
      <c r="B1370" t="s">
        <v>162</v>
      </c>
      <c r="C1370">
        <v>163</v>
      </c>
      <c r="D1370" t="s">
        <v>161</v>
      </c>
      <c r="E1370" s="1">
        <v>43067</v>
      </c>
      <c r="F1370" t="s">
        <v>383</v>
      </c>
      <c r="G1370" t="s">
        <v>1415</v>
      </c>
      <c r="H1370">
        <v>-7</v>
      </c>
      <c r="I1370" t="s">
        <v>37</v>
      </c>
      <c r="J1370">
        <v>0</v>
      </c>
      <c r="K1370">
        <v>0</v>
      </c>
      <c r="M1370" t="s">
        <v>241</v>
      </c>
      <c r="N1370" t="s">
        <v>1417</v>
      </c>
    </row>
    <row r="1371" spans="1:17" x14ac:dyDescent="0.15">
      <c r="A1371" t="s">
        <v>67</v>
      </c>
      <c r="B1371" t="s">
        <v>162</v>
      </c>
      <c r="C1371">
        <v>163</v>
      </c>
      <c r="D1371" t="s">
        <v>161</v>
      </c>
      <c r="E1371" s="1">
        <v>43067</v>
      </c>
      <c r="F1371" t="s">
        <v>383</v>
      </c>
      <c r="G1371" t="s">
        <v>1415</v>
      </c>
      <c r="H1371">
        <v>-7</v>
      </c>
      <c r="I1371" t="s">
        <v>37</v>
      </c>
      <c r="J1371">
        <v>0</v>
      </c>
      <c r="K1371">
        <v>0</v>
      </c>
      <c r="M1371" t="s">
        <v>1910</v>
      </c>
      <c r="N1371" t="s">
        <v>1417</v>
      </c>
      <c r="O1371">
        <v>0</v>
      </c>
      <c r="P1371">
        <v>0</v>
      </c>
      <c r="Q1371" t="s">
        <v>381</v>
      </c>
    </row>
    <row r="1372" spans="1:17" x14ac:dyDescent="0.15">
      <c r="A1372" t="s">
        <v>67</v>
      </c>
      <c r="B1372" t="s">
        <v>162</v>
      </c>
      <c r="C1372">
        <v>163</v>
      </c>
      <c r="D1372" t="s">
        <v>161</v>
      </c>
      <c r="E1372" s="1">
        <v>43067</v>
      </c>
      <c r="F1372" t="s">
        <v>383</v>
      </c>
      <c r="G1372" t="s">
        <v>1420</v>
      </c>
      <c r="H1372">
        <v>-8</v>
      </c>
      <c r="I1372" t="s">
        <v>37</v>
      </c>
      <c r="J1372">
        <v>0</v>
      </c>
      <c r="K1372">
        <v>0</v>
      </c>
      <c r="M1372" t="s">
        <v>241</v>
      </c>
      <c r="N1372" t="s">
        <v>1423</v>
      </c>
    </row>
    <row r="1373" spans="1:17" x14ac:dyDescent="0.15">
      <c r="A1373" t="s">
        <v>67</v>
      </c>
      <c r="B1373" t="s">
        <v>162</v>
      </c>
      <c r="C1373">
        <v>163</v>
      </c>
      <c r="D1373" t="s">
        <v>161</v>
      </c>
      <c r="E1373" s="1">
        <v>43067</v>
      </c>
      <c r="F1373" t="s">
        <v>383</v>
      </c>
      <c r="G1373" t="s">
        <v>1420</v>
      </c>
      <c r="H1373">
        <v>-8</v>
      </c>
      <c r="I1373" t="s">
        <v>37</v>
      </c>
      <c r="J1373">
        <v>0</v>
      </c>
      <c r="K1373">
        <v>0</v>
      </c>
      <c r="M1373" t="s">
        <v>1910</v>
      </c>
      <c r="N1373" t="s">
        <v>1423</v>
      </c>
      <c r="O1373">
        <v>0</v>
      </c>
      <c r="P1373">
        <v>0</v>
      </c>
      <c r="Q1373" t="s">
        <v>381</v>
      </c>
    </row>
    <row r="1374" spans="1:17" x14ac:dyDescent="0.15">
      <c r="A1374" t="s">
        <v>67</v>
      </c>
      <c r="B1374" t="s">
        <v>162</v>
      </c>
      <c r="C1374">
        <v>163</v>
      </c>
      <c r="D1374" t="s">
        <v>161</v>
      </c>
      <c r="E1374" s="1">
        <v>43068</v>
      </c>
      <c r="F1374" t="s">
        <v>17</v>
      </c>
      <c r="G1374" t="s">
        <v>1677</v>
      </c>
      <c r="H1374">
        <v>140</v>
      </c>
      <c r="I1374" t="s">
        <v>37</v>
      </c>
      <c r="J1374">
        <v>0</v>
      </c>
      <c r="K1374">
        <v>0</v>
      </c>
      <c r="M1374" t="s">
        <v>241</v>
      </c>
      <c r="N1374" t="s">
        <v>1679</v>
      </c>
    </row>
    <row r="1375" spans="1:17" x14ac:dyDescent="0.15">
      <c r="A1375" t="s">
        <v>67</v>
      </c>
      <c r="B1375" t="s">
        <v>162</v>
      </c>
      <c r="C1375">
        <v>163</v>
      </c>
      <c r="D1375" t="s">
        <v>161</v>
      </c>
      <c r="E1375" s="1">
        <v>43068</v>
      </c>
      <c r="F1375" t="s">
        <v>17</v>
      </c>
      <c r="G1375" t="s">
        <v>1677</v>
      </c>
      <c r="H1375">
        <v>140</v>
      </c>
      <c r="I1375" t="s">
        <v>37</v>
      </c>
      <c r="J1375">
        <v>0</v>
      </c>
      <c r="K1375">
        <v>0</v>
      </c>
      <c r="M1375" t="s">
        <v>1910</v>
      </c>
      <c r="N1375" t="s">
        <v>1679</v>
      </c>
      <c r="O1375">
        <v>0</v>
      </c>
      <c r="P1375">
        <v>0</v>
      </c>
      <c r="Q1375" t="s">
        <v>381</v>
      </c>
    </row>
    <row r="1376" spans="1:17" x14ac:dyDescent="0.15">
      <c r="A1376" t="s">
        <v>67</v>
      </c>
      <c r="B1376" t="s">
        <v>162</v>
      </c>
      <c r="C1376">
        <v>163</v>
      </c>
      <c r="D1376" t="s">
        <v>161</v>
      </c>
      <c r="E1376" s="1">
        <v>43068</v>
      </c>
      <c r="F1376" t="s">
        <v>17</v>
      </c>
      <c r="G1376" t="s">
        <v>1680</v>
      </c>
      <c r="H1376">
        <v>364</v>
      </c>
      <c r="I1376" t="s">
        <v>37</v>
      </c>
      <c r="J1376">
        <v>0</v>
      </c>
      <c r="K1376">
        <v>0</v>
      </c>
      <c r="M1376" t="s">
        <v>241</v>
      </c>
      <c r="N1376" t="s">
        <v>1681</v>
      </c>
    </row>
    <row r="1377" spans="1:17" x14ac:dyDescent="0.15">
      <c r="A1377" t="s">
        <v>67</v>
      </c>
      <c r="B1377" t="s">
        <v>162</v>
      </c>
      <c r="C1377">
        <v>163</v>
      </c>
      <c r="D1377" t="s">
        <v>161</v>
      </c>
      <c r="E1377" s="1">
        <v>43068</v>
      </c>
      <c r="F1377" t="s">
        <v>17</v>
      </c>
      <c r="G1377" t="s">
        <v>1680</v>
      </c>
      <c r="H1377">
        <v>364</v>
      </c>
      <c r="I1377" t="s">
        <v>37</v>
      </c>
      <c r="J1377">
        <v>0</v>
      </c>
      <c r="K1377">
        <v>0</v>
      </c>
      <c r="M1377" t="s">
        <v>1910</v>
      </c>
      <c r="N1377" t="s">
        <v>1681</v>
      </c>
      <c r="O1377">
        <v>0</v>
      </c>
      <c r="P1377">
        <v>0</v>
      </c>
      <c r="Q1377" t="s">
        <v>381</v>
      </c>
    </row>
    <row r="1378" spans="1:17" x14ac:dyDescent="0.15">
      <c r="A1378" t="s">
        <v>67</v>
      </c>
      <c r="B1378" t="s">
        <v>162</v>
      </c>
      <c r="C1378">
        <v>163</v>
      </c>
      <c r="D1378" t="s">
        <v>161</v>
      </c>
      <c r="E1378" s="1">
        <v>43068</v>
      </c>
      <c r="F1378" t="s">
        <v>17</v>
      </c>
      <c r="G1378" t="s">
        <v>1682</v>
      </c>
      <c r="H1378">
        <v>56</v>
      </c>
      <c r="I1378" t="s">
        <v>37</v>
      </c>
      <c r="J1378">
        <v>0</v>
      </c>
      <c r="K1378">
        <v>0</v>
      </c>
      <c r="M1378" t="s">
        <v>241</v>
      </c>
      <c r="N1378" t="s">
        <v>1683</v>
      </c>
    </row>
    <row r="1379" spans="1:17" x14ac:dyDescent="0.15">
      <c r="A1379" t="s">
        <v>67</v>
      </c>
      <c r="B1379" t="s">
        <v>162</v>
      </c>
      <c r="C1379">
        <v>163</v>
      </c>
      <c r="D1379" t="s">
        <v>161</v>
      </c>
      <c r="E1379" s="1">
        <v>43068</v>
      </c>
      <c r="F1379" t="s">
        <v>17</v>
      </c>
      <c r="G1379" t="s">
        <v>1682</v>
      </c>
      <c r="H1379">
        <v>56</v>
      </c>
      <c r="I1379" t="s">
        <v>37</v>
      </c>
      <c r="J1379">
        <v>0</v>
      </c>
      <c r="K1379">
        <v>0</v>
      </c>
      <c r="M1379" t="s">
        <v>1910</v>
      </c>
      <c r="N1379" t="s">
        <v>1683</v>
      </c>
      <c r="O1379">
        <v>0</v>
      </c>
      <c r="P1379">
        <v>0</v>
      </c>
      <c r="Q1379" t="s">
        <v>381</v>
      </c>
    </row>
    <row r="1380" spans="1:17" x14ac:dyDescent="0.15">
      <c r="A1380" t="s">
        <v>67</v>
      </c>
      <c r="B1380" t="s">
        <v>162</v>
      </c>
      <c r="C1380">
        <v>163</v>
      </c>
      <c r="D1380" t="s">
        <v>161</v>
      </c>
      <c r="E1380" s="1">
        <v>43073</v>
      </c>
      <c r="F1380" t="s">
        <v>383</v>
      </c>
      <c r="G1380" t="s">
        <v>1428</v>
      </c>
      <c r="H1380">
        <v>-66</v>
      </c>
      <c r="I1380" t="s">
        <v>37</v>
      </c>
      <c r="J1380">
        <v>0</v>
      </c>
      <c r="K1380">
        <v>0</v>
      </c>
      <c r="M1380" t="s">
        <v>241</v>
      </c>
      <c r="N1380" t="s">
        <v>1432</v>
      </c>
    </row>
    <row r="1381" spans="1:17" x14ac:dyDescent="0.15">
      <c r="A1381" t="s">
        <v>67</v>
      </c>
      <c r="B1381" t="s">
        <v>162</v>
      </c>
      <c r="C1381">
        <v>163</v>
      </c>
      <c r="D1381" t="s">
        <v>161</v>
      </c>
      <c r="E1381" s="1">
        <v>43073</v>
      </c>
      <c r="F1381" t="s">
        <v>383</v>
      </c>
      <c r="G1381" t="s">
        <v>1428</v>
      </c>
      <c r="H1381">
        <v>-66</v>
      </c>
      <c r="I1381" t="s">
        <v>37</v>
      </c>
      <c r="J1381">
        <v>0</v>
      </c>
      <c r="K1381">
        <v>0</v>
      </c>
      <c r="M1381" t="s">
        <v>1910</v>
      </c>
      <c r="N1381" t="s">
        <v>1432</v>
      </c>
      <c r="O1381">
        <v>0</v>
      </c>
      <c r="P1381">
        <v>0</v>
      </c>
      <c r="Q1381" t="s">
        <v>381</v>
      </c>
    </row>
    <row r="1382" spans="1:17" x14ac:dyDescent="0.15">
      <c r="A1382" t="s">
        <v>67</v>
      </c>
      <c r="B1382" t="s">
        <v>162</v>
      </c>
      <c r="C1382">
        <v>163</v>
      </c>
      <c r="D1382" t="s">
        <v>161</v>
      </c>
      <c r="E1382" s="1">
        <v>43076</v>
      </c>
      <c r="F1382" t="s">
        <v>383</v>
      </c>
      <c r="G1382" t="s">
        <v>1433</v>
      </c>
      <c r="H1382">
        <v>-4</v>
      </c>
      <c r="I1382" t="s">
        <v>37</v>
      </c>
      <c r="J1382">
        <v>0</v>
      </c>
      <c r="K1382">
        <v>0</v>
      </c>
      <c r="M1382" t="s">
        <v>241</v>
      </c>
      <c r="N1382" t="s">
        <v>1435</v>
      </c>
    </row>
    <row r="1383" spans="1:17" x14ac:dyDescent="0.15">
      <c r="A1383" t="s">
        <v>67</v>
      </c>
      <c r="B1383" t="s">
        <v>162</v>
      </c>
      <c r="C1383">
        <v>163</v>
      </c>
      <c r="D1383" t="s">
        <v>161</v>
      </c>
      <c r="E1383" s="1">
        <v>43076</v>
      </c>
      <c r="F1383" t="s">
        <v>383</v>
      </c>
      <c r="G1383" t="s">
        <v>1433</v>
      </c>
      <c r="H1383">
        <v>-4</v>
      </c>
      <c r="I1383" t="s">
        <v>37</v>
      </c>
      <c r="J1383">
        <v>0</v>
      </c>
      <c r="K1383">
        <v>0</v>
      </c>
      <c r="M1383" t="s">
        <v>1910</v>
      </c>
      <c r="N1383" t="s">
        <v>1435</v>
      </c>
      <c r="O1383">
        <v>0</v>
      </c>
      <c r="P1383">
        <v>0</v>
      </c>
      <c r="Q1383" t="s">
        <v>381</v>
      </c>
    </row>
    <row r="1384" spans="1:17" x14ac:dyDescent="0.15">
      <c r="A1384" t="s">
        <v>67</v>
      </c>
      <c r="B1384" t="s">
        <v>162</v>
      </c>
      <c r="C1384">
        <v>163</v>
      </c>
      <c r="D1384" t="s">
        <v>161</v>
      </c>
      <c r="E1384" s="1">
        <v>43076</v>
      </c>
      <c r="F1384" t="s">
        <v>383</v>
      </c>
      <c r="G1384" t="s">
        <v>1436</v>
      </c>
      <c r="H1384">
        <v>-5</v>
      </c>
      <c r="I1384" t="s">
        <v>37</v>
      </c>
      <c r="J1384">
        <v>0</v>
      </c>
      <c r="K1384">
        <v>0</v>
      </c>
      <c r="M1384" t="s">
        <v>241</v>
      </c>
      <c r="N1384" t="s">
        <v>1437</v>
      </c>
    </row>
    <row r="1385" spans="1:17" x14ac:dyDescent="0.15">
      <c r="A1385" t="s">
        <v>67</v>
      </c>
      <c r="B1385" t="s">
        <v>162</v>
      </c>
      <c r="C1385">
        <v>163</v>
      </c>
      <c r="D1385" t="s">
        <v>161</v>
      </c>
      <c r="E1385" s="1">
        <v>43076</v>
      </c>
      <c r="F1385" t="s">
        <v>383</v>
      </c>
      <c r="G1385" t="s">
        <v>1436</v>
      </c>
      <c r="H1385">
        <v>-5</v>
      </c>
      <c r="I1385" t="s">
        <v>37</v>
      </c>
      <c r="J1385">
        <v>0</v>
      </c>
      <c r="K1385">
        <v>0</v>
      </c>
      <c r="M1385" t="s">
        <v>1910</v>
      </c>
      <c r="N1385" t="s">
        <v>1437</v>
      </c>
      <c r="O1385">
        <v>0</v>
      </c>
      <c r="P1385">
        <v>0</v>
      </c>
      <c r="Q1385" t="s">
        <v>381</v>
      </c>
    </row>
    <row r="1386" spans="1:17" x14ac:dyDescent="0.15">
      <c r="A1386" t="s">
        <v>67</v>
      </c>
      <c r="B1386" t="s">
        <v>162</v>
      </c>
      <c r="C1386">
        <v>163</v>
      </c>
      <c r="D1386" t="s">
        <v>161</v>
      </c>
      <c r="E1386" s="1">
        <v>43076</v>
      </c>
      <c r="F1386" t="s">
        <v>383</v>
      </c>
      <c r="G1386" t="s">
        <v>1436</v>
      </c>
      <c r="H1386">
        <v>-2</v>
      </c>
      <c r="I1386" t="s">
        <v>37</v>
      </c>
      <c r="J1386">
        <v>0</v>
      </c>
      <c r="K1386">
        <v>0</v>
      </c>
      <c r="M1386" t="s">
        <v>241</v>
      </c>
      <c r="N1386" t="s">
        <v>1438</v>
      </c>
    </row>
    <row r="1387" spans="1:17" x14ac:dyDescent="0.15">
      <c r="A1387" t="s">
        <v>67</v>
      </c>
      <c r="B1387" t="s">
        <v>162</v>
      </c>
      <c r="C1387">
        <v>163</v>
      </c>
      <c r="D1387" t="s">
        <v>161</v>
      </c>
      <c r="E1387" s="1">
        <v>43076</v>
      </c>
      <c r="F1387" t="s">
        <v>383</v>
      </c>
      <c r="G1387" t="s">
        <v>1436</v>
      </c>
      <c r="H1387">
        <v>-2</v>
      </c>
      <c r="I1387" t="s">
        <v>37</v>
      </c>
      <c r="J1387">
        <v>0</v>
      </c>
      <c r="K1387">
        <v>0</v>
      </c>
      <c r="M1387" t="s">
        <v>1910</v>
      </c>
      <c r="N1387" t="s">
        <v>1438</v>
      </c>
      <c r="O1387">
        <v>0</v>
      </c>
      <c r="P1387">
        <v>0</v>
      </c>
      <c r="Q1387" t="s">
        <v>381</v>
      </c>
    </row>
    <row r="1388" spans="1:17" x14ac:dyDescent="0.15">
      <c r="A1388" t="s">
        <v>67</v>
      </c>
      <c r="B1388" t="s">
        <v>162</v>
      </c>
      <c r="C1388">
        <v>163</v>
      </c>
      <c r="D1388" t="s">
        <v>161</v>
      </c>
      <c r="E1388" s="1">
        <v>43076</v>
      </c>
      <c r="F1388" t="s">
        <v>383</v>
      </c>
      <c r="G1388" t="s">
        <v>1447</v>
      </c>
      <c r="H1388">
        <v>-9</v>
      </c>
      <c r="I1388" t="s">
        <v>37</v>
      </c>
      <c r="J1388">
        <v>0</v>
      </c>
      <c r="K1388">
        <v>0</v>
      </c>
      <c r="M1388" t="s">
        <v>241</v>
      </c>
      <c r="N1388" t="s">
        <v>1449</v>
      </c>
    </row>
    <row r="1389" spans="1:17" x14ac:dyDescent="0.15">
      <c r="A1389" t="s">
        <v>67</v>
      </c>
      <c r="B1389" t="s">
        <v>162</v>
      </c>
      <c r="C1389">
        <v>163</v>
      </c>
      <c r="D1389" t="s">
        <v>161</v>
      </c>
      <c r="E1389" s="1">
        <v>43076</v>
      </c>
      <c r="F1389" t="s">
        <v>383</v>
      </c>
      <c r="G1389" t="s">
        <v>1447</v>
      </c>
      <c r="H1389">
        <v>-9</v>
      </c>
      <c r="I1389" t="s">
        <v>37</v>
      </c>
      <c r="J1389">
        <v>0</v>
      </c>
      <c r="K1389">
        <v>0</v>
      </c>
      <c r="M1389" t="s">
        <v>1910</v>
      </c>
      <c r="N1389" t="s">
        <v>1449</v>
      </c>
      <c r="O1389">
        <v>0</v>
      </c>
      <c r="P1389">
        <v>0</v>
      </c>
      <c r="Q1389" t="s">
        <v>381</v>
      </c>
    </row>
    <row r="1390" spans="1:17" x14ac:dyDescent="0.15">
      <c r="A1390" t="s">
        <v>67</v>
      </c>
      <c r="B1390" t="s">
        <v>162</v>
      </c>
      <c r="C1390">
        <v>163</v>
      </c>
      <c r="D1390" t="s">
        <v>161</v>
      </c>
      <c r="E1390" s="1">
        <v>43082</v>
      </c>
      <c r="F1390" t="s">
        <v>383</v>
      </c>
      <c r="G1390" t="s">
        <v>969</v>
      </c>
      <c r="H1390">
        <v>-56</v>
      </c>
      <c r="I1390" t="s">
        <v>37</v>
      </c>
      <c r="J1390">
        <v>0</v>
      </c>
      <c r="K1390">
        <v>0</v>
      </c>
      <c r="M1390" t="s">
        <v>241</v>
      </c>
      <c r="N1390" t="s">
        <v>970</v>
      </c>
    </row>
    <row r="1391" spans="1:17" x14ac:dyDescent="0.15">
      <c r="A1391" t="s">
        <v>67</v>
      </c>
      <c r="B1391" t="s">
        <v>162</v>
      </c>
      <c r="C1391">
        <v>163</v>
      </c>
      <c r="D1391" t="s">
        <v>161</v>
      </c>
      <c r="E1391" s="1">
        <v>43082</v>
      </c>
      <c r="F1391" t="s">
        <v>383</v>
      </c>
      <c r="G1391" t="s">
        <v>969</v>
      </c>
      <c r="H1391">
        <v>-56</v>
      </c>
      <c r="I1391" t="s">
        <v>37</v>
      </c>
      <c r="J1391">
        <v>0</v>
      </c>
      <c r="K1391">
        <v>0</v>
      </c>
      <c r="M1391" t="s">
        <v>1910</v>
      </c>
      <c r="N1391" t="s">
        <v>970</v>
      </c>
      <c r="O1391">
        <v>0</v>
      </c>
      <c r="P1391">
        <v>0</v>
      </c>
      <c r="Q1391" t="s">
        <v>381</v>
      </c>
    </row>
    <row r="1392" spans="1:17" x14ac:dyDescent="0.15">
      <c r="A1392" t="s">
        <v>67</v>
      </c>
      <c r="B1392" t="s">
        <v>162</v>
      </c>
      <c r="C1392">
        <v>163</v>
      </c>
      <c r="D1392" t="s">
        <v>161</v>
      </c>
      <c r="E1392" s="1">
        <v>43082</v>
      </c>
      <c r="F1392" t="s">
        <v>383</v>
      </c>
      <c r="G1392" t="s">
        <v>1453</v>
      </c>
      <c r="H1392">
        <v>-10</v>
      </c>
      <c r="I1392" t="s">
        <v>37</v>
      </c>
      <c r="J1392">
        <v>0</v>
      </c>
      <c r="K1392">
        <v>0</v>
      </c>
      <c r="M1392" t="s">
        <v>241</v>
      </c>
      <c r="N1392" t="s">
        <v>1456</v>
      </c>
    </row>
    <row r="1393" spans="1:17" x14ac:dyDescent="0.15">
      <c r="A1393" t="s">
        <v>67</v>
      </c>
      <c r="B1393" t="s">
        <v>162</v>
      </c>
      <c r="C1393">
        <v>163</v>
      </c>
      <c r="D1393" t="s">
        <v>161</v>
      </c>
      <c r="E1393" s="1">
        <v>43082</v>
      </c>
      <c r="F1393" t="s">
        <v>383</v>
      </c>
      <c r="G1393" t="s">
        <v>1453</v>
      </c>
      <c r="H1393">
        <v>-10</v>
      </c>
      <c r="I1393" t="s">
        <v>37</v>
      </c>
      <c r="J1393">
        <v>0</v>
      </c>
      <c r="K1393">
        <v>0</v>
      </c>
      <c r="M1393" t="s">
        <v>1910</v>
      </c>
      <c r="N1393" t="s">
        <v>1456</v>
      </c>
      <c r="O1393">
        <v>0</v>
      </c>
      <c r="P1393">
        <v>0</v>
      </c>
      <c r="Q1393" t="s">
        <v>381</v>
      </c>
    </row>
    <row r="1394" spans="1:17" x14ac:dyDescent="0.15">
      <c r="A1394" t="s">
        <v>67</v>
      </c>
      <c r="B1394" t="s">
        <v>162</v>
      </c>
      <c r="C1394">
        <v>163</v>
      </c>
      <c r="D1394" t="s">
        <v>161</v>
      </c>
      <c r="E1394" s="1">
        <v>43082</v>
      </c>
      <c r="F1394" t="s">
        <v>383</v>
      </c>
      <c r="G1394" t="s">
        <v>1453</v>
      </c>
      <c r="H1394">
        <v>-8</v>
      </c>
      <c r="I1394" t="s">
        <v>37</v>
      </c>
      <c r="J1394">
        <v>0</v>
      </c>
      <c r="K1394">
        <v>0</v>
      </c>
      <c r="M1394" t="s">
        <v>241</v>
      </c>
      <c r="N1394" t="s">
        <v>1457</v>
      </c>
    </row>
    <row r="1395" spans="1:17" x14ac:dyDescent="0.15">
      <c r="A1395" t="s">
        <v>67</v>
      </c>
      <c r="B1395" t="s">
        <v>162</v>
      </c>
      <c r="C1395">
        <v>163</v>
      </c>
      <c r="D1395" t="s">
        <v>161</v>
      </c>
      <c r="E1395" s="1">
        <v>43082</v>
      </c>
      <c r="F1395" t="s">
        <v>383</v>
      </c>
      <c r="G1395" t="s">
        <v>1453</v>
      </c>
      <c r="H1395">
        <v>-8</v>
      </c>
      <c r="I1395" t="s">
        <v>37</v>
      </c>
      <c r="J1395">
        <v>0</v>
      </c>
      <c r="K1395">
        <v>0</v>
      </c>
      <c r="M1395" t="s">
        <v>1910</v>
      </c>
      <c r="N1395" t="s">
        <v>1457</v>
      </c>
      <c r="O1395">
        <v>0</v>
      </c>
      <c r="P1395">
        <v>0</v>
      </c>
      <c r="Q1395" t="s">
        <v>381</v>
      </c>
    </row>
    <row r="1396" spans="1:17" x14ac:dyDescent="0.15">
      <c r="A1396" t="s">
        <v>67</v>
      </c>
      <c r="B1396" t="s">
        <v>162</v>
      </c>
      <c r="C1396">
        <v>163</v>
      </c>
      <c r="D1396" t="s">
        <v>161</v>
      </c>
      <c r="E1396" s="1">
        <v>43082</v>
      </c>
      <c r="F1396" t="s">
        <v>383</v>
      </c>
      <c r="G1396" t="s">
        <v>1467</v>
      </c>
      <c r="H1396">
        <v>-28</v>
      </c>
      <c r="I1396" t="s">
        <v>37</v>
      </c>
      <c r="J1396">
        <v>0</v>
      </c>
      <c r="K1396">
        <v>0</v>
      </c>
      <c r="M1396" t="s">
        <v>241</v>
      </c>
      <c r="N1396" t="s">
        <v>1469</v>
      </c>
    </row>
    <row r="1397" spans="1:17" x14ac:dyDescent="0.15">
      <c r="A1397" t="s">
        <v>67</v>
      </c>
      <c r="B1397" t="s">
        <v>162</v>
      </c>
      <c r="C1397">
        <v>163</v>
      </c>
      <c r="D1397" t="s">
        <v>161</v>
      </c>
      <c r="E1397" s="1">
        <v>43082</v>
      </c>
      <c r="F1397" t="s">
        <v>383</v>
      </c>
      <c r="G1397" t="s">
        <v>1467</v>
      </c>
      <c r="H1397">
        <v>-28</v>
      </c>
      <c r="I1397" t="s">
        <v>37</v>
      </c>
      <c r="J1397">
        <v>0</v>
      </c>
      <c r="K1397">
        <v>0</v>
      </c>
      <c r="M1397" t="s">
        <v>1910</v>
      </c>
      <c r="N1397" t="s">
        <v>1469</v>
      </c>
      <c r="O1397">
        <v>0</v>
      </c>
      <c r="P1397">
        <v>0</v>
      </c>
      <c r="Q1397" t="s">
        <v>381</v>
      </c>
    </row>
    <row r="1398" spans="1:17" x14ac:dyDescent="0.15">
      <c r="A1398" t="s">
        <v>67</v>
      </c>
      <c r="B1398" t="s">
        <v>162</v>
      </c>
      <c r="C1398">
        <v>163</v>
      </c>
      <c r="D1398" t="s">
        <v>161</v>
      </c>
      <c r="E1398" s="1">
        <v>43083</v>
      </c>
      <c r="F1398" t="s">
        <v>383</v>
      </c>
      <c r="G1398" t="s">
        <v>1458</v>
      </c>
      <c r="H1398">
        <v>-8</v>
      </c>
      <c r="I1398" t="s">
        <v>37</v>
      </c>
      <c r="J1398">
        <v>0</v>
      </c>
      <c r="K1398">
        <v>0</v>
      </c>
      <c r="M1398" t="s">
        <v>241</v>
      </c>
      <c r="N1398" t="s">
        <v>1461</v>
      </c>
    </row>
    <row r="1399" spans="1:17" x14ac:dyDescent="0.15">
      <c r="A1399" t="s">
        <v>67</v>
      </c>
      <c r="B1399" t="s">
        <v>162</v>
      </c>
      <c r="C1399">
        <v>163</v>
      </c>
      <c r="D1399" t="s">
        <v>161</v>
      </c>
      <c r="E1399" s="1">
        <v>43083</v>
      </c>
      <c r="F1399" t="s">
        <v>383</v>
      </c>
      <c r="G1399" t="s">
        <v>1458</v>
      </c>
      <c r="H1399">
        <v>-8</v>
      </c>
      <c r="I1399" t="s">
        <v>37</v>
      </c>
      <c r="J1399">
        <v>0</v>
      </c>
      <c r="K1399">
        <v>0</v>
      </c>
      <c r="M1399" t="s">
        <v>1910</v>
      </c>
      <c r="N1399" t="s">
        <v>1461</v>
      </c>
      <c r="O1399">
        <v>0</v>
      </c>
      <c r="P1399">
        <v>0</v>
      </c>
      <c r="Q1399" t="s">
        <v>381</v>
      </c>
    </row>
    <row r="1400" spans="1:17" x14ac:dyDescent="0.15">
      <c r="A1400" t="s">
        <v>67</v>
      </c>
      <c r="B1400" t="s">
        <v>162</v>
      </c>
      <c r="C1400">
        <v>163</v>
      </c>
      <c r="D1400" t="s">
        <v>161</v>
      </c>
      <c r="E1400" s="1">
        <v>43087</v>
      </c>
      <c r="F1400" t="s">
        <v>17</v>
      </c>
      <c r="G1400" t="s">
        <v>1696</v>
      </c>
      <c r="H1400">
        <v>56</v>
      </c>
      <c r="I1400" t="s">
        <v>37</v>
      </c>
      <c r="J1400">
        <v>0</v>
      </c>
      <c r="K1400">
        <v>0</v>
      </c>
      <c r="M1400" t="s">
        <v>241</v>
      </c>
      <c r="N1400" t="s">
        <v>1697</v>
      </c>
    </row>
    <row r="1401" spans="1:17" x14ac:dyDescent="0.15">
      <c r="A1401" t="s">
        <v>67</v>
      </c>
      <c r="B1401" t="s">
        <v>162</v>
      </c>
      <c r="C1401">
        <v>163</v>
      </c>
      <c r="D1401" t="s">
        <v>161</v>
      </c>
      <c r="E1401" s="1">
        <v>43087</v>
      </c>
      <c r="F1401" t="s">
        <v>17</v>
      </c>
      <c r="G1401" t="s">
        <v>1696</v>
      </c>
      <c r="H1401">
        <v>56</v>
      </c>
      <c r="I1401" t="s">
        <v>37</v>
      </c>
      <c r="J1401">
        <v>0</v>
      </c>
      <c r="K1401">
        <v>0</v>
      </c>
      <c r="M1401" t="s">
        <v>1910</v>
      </c>
      <c r="N1401" t="s">
        <v>1697</v>
      </c>
      <c r="O1401">
        <v>0</v>
      </c>
      <c r="P1401">
        <v>0</v>
      </c>
      <c r="Q1401" t="s">
        <v>381</v>
      </c>
    </row>
    <row r="1402" spans="1:17" x14ac:dyDescent="0.15">
      <c r="A1402" t="s">
        <v>67</v>
      </c>
      <c r="B1402" t="s">
        <v>162</v>
      </c>
      <c r="C1402">
        <v>163</v>
      </c>
      <c r="D1402" t="s">
        <v>161</v>
      </c>
      <c r="E1402" s="1">
        <v>43087</v>
      </c>
      <c r="F1402" t="s">
        <v>17</v>
      </c>
      <c r="G1402" t="s">
        <v>1698</v>
      </c>
      <c r="H1402">
        <v>56</v>
      </c>
      <c r="I1402" t="s">
        <v>37</v>
      </c>
      <c r="J1402">
        <v>0</v>
      </c>
      <c r="K1402">
        <v>0</v>
      </c>
      <c r="M1402" t="s">
        <v>241</v>
      </c>
      <c r="N1402" t="s">
        <v>1699</v>
      </c>
    </row>
    <row r="1403" spans="1:17" x14ac:dyDescent="0.15">
      <c r="A1403" t="s">
        <v>67</v>
      </c>
      <c r="B1403" t="s">
        <v>162</v>
      </c>
      <c r="C1403">
        <v>163</v>
      </c>
      <c r="D1403" t="s">
        <v>161</v>
      </c>
      <c r="E1403" s="1">
        <v>43087</v>
      </c>
      <c r="F1403" t="s">
        <v>17</v>
      </c>
      <c r="G1403" t="s">
        <v>1698</v>
      </c>
      <c r="H1403">
        <v>56</v>
      </c>
      <c r="I1403" t="s">
        <v>37</v>
      </c>
      <c r="J1403">
        <v>0</v>
      </c>
      <c r="K1403">
        <v>0</v>
      </c>
      <c r="M1403" t="s">
        <v>1910</v>
      </c>
      <c r="N1403" t="s">
        <v>1699</v>
      </c>
      <c r="O1403">
        <v>0</v>
      </c>
      <c r="P1403">
        <v>0</v>
      </c>
      <c r="Q1403" t="s">
        <v>381</v>
      </c>
    </row>
    <row r="1404" spans="1:17" x14ac:dyDescent="0.15">
      <c r="A1404" t="s">
        <v>67</v>
      </c>
      <c r="B1404" t="s">
        <v>162</v>
      </c>
      <c r="C1404">
        <v>163</v>
      </c>
      <c r="D1404" t="s">
        <v>161</v>
      </c>
      <c r="E1404" s="1">
        <v>43088</v>
      </c>
      <c r="F1404" t="s">
        <v>383</v>
      </c>
      <c r="G1404" t="s">
        <v>1462</v>
      </c>
      <c r="H1404">
        <v>-2</v>
      </c>
      <c r="I1404" t="s">
        <v>37</v>
      </c>
      <c r="J1404">
        <v>0</v>
      </c>
      <c r="K1404">
        <v>0</v>
      </c>
      <c r="M1404" t="s">
        <v>241</v>
      </c>
      <c r="N1404" t="s">
        <v>1466</v>
      </c>
    </row>
    <row r="1405" spans="1:17" x14ac:dyDescent="0.15">
      <c r="A1405" t="s">
        <v>67</v>
      </c>
      <c r="B1405" t="s">
        <v>162</v>
      </c>
      <c r="C1405">
        <v>163</v>
      </c>
      <c r="D1405" t="s">
        <v>161</v>
      </c>
      <c r="E1405" s="1">
        <v>43088</v>
      </c>
      <c r="F1405" t="s">
        <v>383</v>
      </c>
      <c r="G1405" t="s">
        <v>1462</v>
      </c>
      <c r="H1405">
        <v>-2</v>
      </c>
      <c r="I1405" t="s">
        <v>37</v>
      </c>
      <c r="J1405">
        <v>0</v>
      </c>
      <c r="K1405">
        <v>0</v>
      </c>
      <c r="M1405" t="s">
        <v>1910</v>
      </c>
      <c r="N1405" t="s">
        <v>1466</v>
      </c>
      <c r="O1405">
        <v>0</v>
      </c>
      <c r="P1405">
        <v>0</v>
      </c>
      <c r="Q1405" t="s">
        <v>381</v>
      </c>
    </row>
    <row r="1406" spans="1:17" x14ac:dyDescent="0.15">
      <c r="A1406" t="s">
        <v>67</v>
      </c>
      <c r="B1406" t="s">
        <v>162</v>
      </c>
      <c r="C1406">
        <v>163</v>
      </c>
      <c r="D1406" t="s">
        <v>161</v>
      </c>
      <c r="E1406" s="1">
        <v>43088</v>
      </c>
      <c r="F1406" t="s">
        <v>383</v>
      </c>
      <c r="G1406" t="s">
        <v>1462</v>
      </c>
      <c r="H1406">
        <v>2</v>
      </c>
      <c r="I1406" t="s">
        <v>37</v>
      </c>
      <c r="J1406">
        <v>0</v>
      </c>
      <c r="M1406" t="s">
        <v>241</v>
      </c>
      <c r="N1406" t="s">
        <v>1466</v>
      </c>
    </row>
    <row r="1407" spans="1:17" x14ac:dyDescent="0.15">
      <c r="A1407" t="s">
        <v>67</v>
      </c>
      <c r="B1407" t="s">
        <v>162</v>
      </c>
      <c r="C1407">
        <v>163</v>
      </c>
      <c r="D1407" t="s">
        <v>161</v>
      </c>
      <c r="E1407" s="1">
        <v>43088</v>
      </c>
      <c r="F1407" t="s">
        <v>383</v>
      </c>
      <c r="G1407" t="s">
        <v>1462</v>
      </c>
      <c r="H1407">
        <v>2</v>
      </c>
      <c r="I1407" t="s">
        <v>37</v>
      </c>
      <c r="J1407">
        <v>0</v>
      </c>
      <c r="M1407" t="s">
        <v>1910</v>
      </c>
      <c r="N1407" t="s">
        <v>1466</v>
      </c>
      <c r="O1407">
        <v>0</v>
      </c>
      <c r="P1407">
        <v>0</v>
      </c>
      <c r="Q1407" t="s">
        <v>381</v>
      </c>
    </row>
    <row r="1408" spans="1:17" x14ac:dyDescent="0.15">
      <c r="A1408" t="s">
        <v>67</v>
      </c>
      <c r="B1408" t="s">
        <v>162</v>
      </c>
      <c r="C1408">
        <v>163</v>
      </c>
      <c r="D1408" t="s">
        <v>161</v>
      </c>
      <c r="E1408" s="1">
        <v>43088</v>
      </c>
      <c r="F1408" t="s">
        <v>383</v>
      </c>
      <c r="G1408" t="s">
        <v>1470</v>
      </c>
      <c r="H1408">
        <v>-30</v>
      </c>
      <c r="I1408" t="s">
        <v>37</v>
      </c>
      <c r="J1408">
        <v>0</v>
      </c>
      <c r="M1408" t="s">
        <v>241</v>
      </c>
      <c r="N1408" t="s">
        <v>1473</v>
      </c>
    </row>
    <row r="1409" spans="1:17" x14ac:dyDescent="0.15">
      <c r="A1409" t="s">
        <v>67</v>
      </c>
      <c r="B1409" t="s">
        <v>162</v>
      </c>
      <c r="C1409">
        <v>163</v>
      </c>
      <c r="D1409" t="s">
        <v>161</v>
      </c>
      <c r="E1409" s="1">
        <v>43088</v>
      </c>
      <c r="F1409" t="s">
        <v>383</v>
      </c>
      <c r="G1409" t="s">
        <v>1470</v>
      </c>
      <c r="H1409">
        <v>-30</v>
      </c>
      <c r="I1409" t="s">
        <v>37</v>
      </c>
      <c r="J1409">
        <v>0</v>
      </c>
      <c r="M1409" t="s">
        <v>1910</v>
      </c>
      <c r="N1409" t="s">
        <v>1473</v>
      </c>
      <c r="O1409">
        <v>0</v>
      </c>
      <c r="P1409">
        <v>0</v>
      </c>
      <c r="Q1409" t="s">
        <v>381</v>
      </c>
    </row>
    <row r="1410" spans="1:17" x14ac:dyDescent="0.15">
      <c r="A1410" t="s">
        <v>28</v>
      </c>
      <c r="B1410" t="s">
        <v>202</v>
      </c>
      <c r="C1410">
        <v>163</v>
      </c>
      <c r="D1410" t="s">
        <v>161</v>
      </c>
      <c r="E1410" s="1">
        <v>42832</v>
      </c>
      <c r="F1410" t="s">
        <v>383</v>
      </c>
      <c r="G1410" t="s">
        <v>388</v>
      </c>
      <c r="H1410">
        <v>-23</v>
      </c>
      <c r="I1410" t="s">
        <v>37</v>
      </c>
      <c r="J1410">
        <v>0</v>
      </c>
      <c r="M1410" t="s">
        <v>241</v>
      </c>
      <c r="N1410" t="s">
        <v>391</v>
      </c>
    </row>
    <row r="1411" spans="1:17" x14ac:dyDescent="0.15">
      <c r="A1411" t="s">
        <v>28</v>
      </c>
      <c r="B1411" t="s">
        <v>202</v>
      </c>
      <c r="C1411">
        <v>163</v>
      </c>
      <c r="D1411" t="s">
        <v>161</v>
      </c>
      <c r="E1411" s="1">
        <v>42832</v>
      </c>
      <c r="F1411" t="s">
        <v>383</v>
      </c>
      <c r="G1411" t="s">
        <v>388</v>
      </c>
      <c r="H1411">
        <v>-23</v>
      </c>
      <c r="I1411" t="s">
        <v>37</v>
      </c>
      <c r="J1411">
        <v>0</v>
      </c>
      <c r="M1411" t="s">
        <v>1910</v>
      </c>
      <c r="N1411" t="s">
        <v>391</v>
      </c>
      <c r="O1411">
        <v>0</v>
      </c>
      <c r="P1411">
        <v>0</v>
      </c>
      <c r="Q1411" t="s">
        <v>381</v>
      </c>
    </row>
    <row r="1412" spans="1:17" x14ac:dyDescent="0.15">
      <c r="A1412" t="s">
        <v>28</v>
      </c>
      <c r="B1412" t="s">
        <v>202</v>
      </c>
      <c r="C1412">
        <v>163</v>
      </c>
      <c r="D1412" t="s">
        <v>161</v>
      </c>
      <c r="E1412" s="1">
        <v>42835</v>
      </c>
      <c r="F1412" t="s">
        <v>17</v>
      </c>
      <c r="G1412" t="s">
        <v>708</v>
      </c>
      <c r="H1412">
        <v>23</v>
      </c>
      <c r="I1412" t="s">
        <v>37</v>
      </c>
      <c r="J1412">
        <v>0</v>
      </c>
      <c r="M1412" t="s">
        <v>241</v>
      </c>
      <c r="N1412" t="s">
        <v>711</v>
      </c>
    </row>
    <row r="1413" spans="1:17" x14ac:dyDescent="0.15">
      <c r="A1413" t="s">
        <v>28</v>
      </c>
      <c r="B1413" t="s">
        <v>202</v>
      </c>
      <c r="C1413">
        <v>163</v>
      </c>
      <c r="D1413" t="s">
        <v>161</v>
      </c>
      <c r="E1413" s="1">
        <v>42835</v>
      </c>
      <c r="F1413" t="s">
        <v>17</v>
      </c>
      <c r="G1413" t="s">
        <v>708</v>
      </c>
      <c r="H1413">
        <v>23</v>
      </c>
      <c r="I1413" t="s">
        <v>37</v>
      </c>
      <c r="J1413">
        <v>0</v>
      </c>
      <c r="M1413" t="s">
        <v>1910</v>
      </c>
      <c r="N1413" t="s">
        <v>711</v>
      </c>
      <c r="O1413">
        <v>0</v>
      </c>
      <c r="P1413">
        <v>0</v>
      </c>
      <c r="Q1413" t="s">
        <v>381</v>
      </c>
    </row>
    <row r="1414" spans="1:17" x14ac:dyDescent="0.15">
      <c r="A1414" t="s">
        <v>28</v>
      </c>
      <c r="B1414" t="s">
        <v>202</v>
      </c>
      <c r="C1414">
        <v>163</v>
      </c>
      <c r="D1414" t="s">
        <v>161</v>
      </c>
      <c r="E1414" s="1">
        <v>42873</v>
      </c>
      <c r="F1414" t="s">
        <v>383</v>
      </c>
      <c r="G1414" t="s">
        <v>561</v>
      </c>
      <c r="H1414">
        <v>-3</v>
      </c>
      <c r="I1414" t="s">
        <v>37</v>
      </c>
      <c r="J1414">
        <v>0</v>
      </c>
      <c r="M1414" t="s">
        <v>241</v>
      </c>
      <c r="N1414" t="s">
        <v>569</v>
      </c>
    </row>
    <row r="1415" spans="1:17" x14ac:dyDescent="0.15">
      <c r="A1415" t="s">
        <v>28</v>
      </c>
      <c r="B1415" t="s">
        <v>202</v>
      </c>
      <c r="C1415">
        <v>163</v>
      </c>
      <c r="D1415" t="s">
        <v>161</v>
      </c>
      <c r="E1415" s="1">
        <v>42873</v>
      </c>
      <c r="F1415" t="s">
        <v>383</v>
      </c>
      <c r="G1415" t="s">
        <v>561</v>
      </c>
      <c r="H1415">
        <v>-3</v>
      </c>
      <c r="I1415" t="s">
        <v>37</v>
      </c>
      <c r="J1415">
        <v>0</v>
      </c>
      <c r="M1415" t="s">
        <v>1910</v>
      </c>
      <c r="N1415" t="s">
        <v>569</v>
      </c>
      <c r="O1415">
        <v>0</v>
      </c>
      <c r="P1415">
        <v>0</v>
      </c>
      <c r="Q1415" t="s">
        <v>381</v>
      </c>
    </row>
    <row r="1416" spans="1:17" x14ac:dyDescent="0.15">
      <c r="A1416" t="s">
        <v>28</v>
      </c>
      <c r="B1416" t="s">
        <v>202</v>
      </c>
      <c r="C1416">
        <v>163</v>
      </c>
      <c r="D1416" t="s">
        <v>161</v>
      </c>
      <c r="E1416" s="1">
        <v>42877</v>
      </c>
      <c r="F1416" t="s">
        <v>17</v>
      </c>
      <c r="G1416" t="s">
        <v>778</v>
      </c>
      <c r="H1416">
        <v>2</v>
      </c>
      <c r="I1416" t="s">
        <v>37</v>
      </c>
      <c r="J1416">
        <v>0</v>
      </c>
      <c r="M1416" t="s">
        <v>241</v>
      </c>
      <c r="N1416" t="s">
        <v>781</v>
      </c>
    </row>
    <row r="1417" spans="1:17" x14ac:dyDescent="0.15">
      <c r="A1417" t="s">
        <v>28</v>
      </c>
      <c r="B1417" t="s">
        <v>202</v>
      </c>
      <c r="C1417">
        <v>163</v>
      </c>
      <c r="D1417" t="s">
        <v>161</v>
      </c>
      <c r="E1417" s="1">
        <v>42877</v>
      </c>
      <c r="F1417" t="s">
        <v>17</v>
      </c>
      <c r="G1417" t="s">
        <v>778</v>
      </c>
      <c r="H1417">
        <v>2</v>
      </c>
      <c r="I1417" t="s">
        <v>37</v>
      </c>
      <c r="J1417">
        <v>0</v>
      </c>
      <c r="M1417" t="s">
        <v>1910</v>
      </c>
      <c r="N1417" t="s">
        <v>781</v>
      </c>
      <c r="O1417">
        <v>0</v>
      </c>
      <c r="P1417">
        <v>0</v>
      </c>
      <c r="Q1417" t="s">
        <v>381</v>
      </c>
    </row>
    <row r="1418" spans="1:17" x14ac:dyDescent="0.15">
      <c r="A1418" t="s">
        <v>28</v>
      </c>
      <c r="B1418" t="s">
        <v>202</v>
      </c>
      <c r="C1418">
        <v>163</v>
      </c>
      <c r="D1418" t="s">
        <v>161</v>
      </c>
      <c r="E1418" s="1">
        <v>42965</v>
      </c>
      <c r="F1418" t="s">
        <v>383</v>
      </c>
      <c r="G1418" t="s">
        <v>978</v>
      </c>
      <c r="H1418">
        <v>-56</v>
      </c>
      <c r="I1418" t="s">
        <v>37</v>
      </c>
      <c r="J1418">
        <v>0</v>
      </c>
      <c r="M1418" t="s">
        <v>241</v>
      </c>
      <c r="N1418" t="s">
        <v>981</v>
      </c>
    </row>
    <row r="1419" spans="1:17" x14ac:dyDescent="0.15">
      <c r="A1419" t="s">
        <v>28</v>
      </c>
      <c r="B1419" t="s">
        <v>202</v>
      </c>
      <c r="C1419">
        <v>163</v>
      </c>
      <c r="D1419" t="s">
        <v>161</v>
      </c>
      <c r="E1419" s="1">
        <v>42965</v>
      </c>
      <c r="F1419" t="s">
        <v>383</v>
      </c>
      <c r="G1419" t="s">
        <v>978</v>
      </c>
      <c r="H1419">
        <v>-56</v>
      </c>
      <c r="I1419" t="s">
        <v>37</v>
      </c>
      <c r="J1419">
        <v>0</v>
      </c>
      <c r="M1419" t="s">
        <v>1910</v>
      </c>
      <c r="N1419" t="s">
        <v>981</v>
      </c>
      <c r="O1419">
        <v>0</v>
      </c>
      <c r="P1419">
        <v>0</v>
      </c>
      <c r="Q1419" t="s">
        <v>381</v>
      </c>
    </row>
    <row r="1420" spans="1:17" x14ac:dyDescent="0.15">
      <c r="A1420" t="s">
        <v>28</v>
      </c>
      <c r="B1420" t="s">
        <v>202</v>
      </c>
      <c r="C1420">
        <v>163</v>
      </c>
      <c r="D1420" t="s">
        <v>161</v>
      </c>
      <c r="E1420" s="1">
        <v>42970</v>
      </c>
      <c r="F1420" t="s">
        <v>17</v>
      </c>
      <c r="G1420" t="s">
        <v>1544</v>
      </c>
      <c r="H1420">
        <v>56</v>
      </c>
      <c r="I1420" t="s">
        <v>37</v>
      </c>
      <c r="J1420">
        <v>0</v>
      </c>
      <c r="M1420" t="s">
        <v>241</v>
      </c>
      <c r="N1420" t="s">
        <v>1546</v>
      </c>
    </row>
    <row r="1421" spans="1:17" x14ac:dyDescent="0.15">
      <c r="A1421" t="s">
        <v>28</v>
      </c>
      <c r="B1421" t="s">
        <v>202</v>
      </c>
      <c r="C1421">
        <v>163</v>
      </c>
      <c r="D1421" t="s">
        <v>161</v>
      </c>
      <c r="E1421" s="1">
        <v>42970</v>
      </c>
      <c r="F1421" t="s">
        <v>17</v>
      </c>
      <c r="G1421" t="s">
        <v>1544</v>
      </c>
      <c r="H1421">
        <v>56</v>
      </c>
      <c r="I1421" t="s">
        <v>37</v>
      </c>
      <c r="J1421">
        <v>0</v>
      </c>
      <c r="M1421" t="s">
        <v>1910</v>
      </c>
      <c r="N1421" t="s">
        <v>1546</v>
      </c>
      <c r="O1421">
        <v>0</v>
      </c>
      <c r="P1421">
        <v>0</v>
      </c>
      <c r="Q1421" t="s">
        <v>381</v>
      </c>
    </row>
    <row r="1422" spans="1:17" x14ac:dyDescent="0.15">
      <c r="A1422" t="s">
        <v>28</v>
      </c>
      <c r="B1422" t="s">
        <v>202</v>
      </c>
      <c r="C1422">
        <v>163</v>
      </c>
      <c r="D1422" t="s">
        <v>161</v>
      </c>
      <c r="E1422" s="1">
        <v>43052</v>
      </c>
      <c r="F1422" t="s">
        <v>383</v>
      </c>
      <c r="G1422" t="s">
        <v>1017</v>
      </c>
      <c r="H1422">
        <v>-54</v>
      </c>
      <c r="I1422" t="s">
        <v>37</v>
      </c>
      <c r="J1422">
        <v>0</v>
      </c>
      <c r="K1422">
        <v>0</v>
      </c>
      <c r="M1422" t="s">
        <v>241</v>
      </c>
      <c r="N1422" t="s">
        <v>1020</v>
      </c>
    </row>
    <row r="1423" spans="1:17" x14ac:dyDescent="0.15">
      <c r="A1423" t="s">
        <v>28</v>
      </c>
      <c r="B1423" t="s">
        <v>202</v>
      </c>
      <c r="C1423">
        <v>163</v>
      </c>
      <c r="D1423" t="s">
        <v>161</v>
      </c>
      <c r="E1423" s="1">
        <v>43052</v>
      </c>
      <c r="F1423" t="s">
        <v>383</v>
      </c>
      <c r="G1423" t="s">
        <v>1017</v>
      </c>
      <c r="H1423">
        <v>-54</v>
      </c>
      <c r="I1423" t="s">
        <v>37</v>
      </c>
      <c r="J1423">
        <v>0</v>
      </c>
      <c r="K1423">
        <v>0</v>
      </c>
      <c r="M1423" t="s">
        <v>1910</v>
      </c>
      <c r="N1423" t="s">
        <v>1020</v>
      </c>
      <c r="O1423">
        <v>0</v>
      </c>
      <c r="P1423">
        <v>0</v>
      </c>
      <c r="Q1423" t="s">
        <v>381</v>
      </c>
    </row>
    <row r="1424" spans="1:17" x14ac:dyDescent="0.15">
      <c r="A1424" t="s">
        <v>28</v>
      </c>
      <c r="B1424" t="s">
        <v>202</v>
      </c>
      <c r="C1424">
        <v>163</v>
      </c>
      <c r="D1424" t="s">
        <v>161</v>
      </c>
      <c r="E1424" s="1">
        <v>43059</v>
      </c>
      <c r="F1424" t="s">
        <v>17</v>
      </c>
      <c r="G1424" t="s">
        <v>1647</v>
      </c>
      <c r="H1424">
        <v>27</v>
      </c>
      <c r="I1424" t="s">
        <v>37</v>
      </c>
      <c r="J1424">
        <v>0</v>
      </c>
      <c r="K1424">
        <v>0</v>
      </c>
      <c r="M1424" t="s">
        <v>241</v>
      </c>
      <c r="N1424" t="s">
        <v>1648</v>
      </c>
    </row>
    <row r="1425" spans="1:17" x14ac:dyDescent="0.15">
      <c r="A1425" t="s">
        <v>28</v>
      </c>
      <c r="B1425" t="s">
        <v>202</v>
      </c>
      <c r="C1425">
        <v>163</v>
      </c>
      <c r="D1425" t="s">
        <v>161</v>
      </c>
      <c r="E1425" s="1">
        <v>43059</v>
      </c>
      <c r="F1425" t="s">
        <v>17</v>
      </c>
      <c r="G1425" t="s">
        <v>1647</v>
      </c>
      <c r="H1425">
        <v>27</v>
      </c>
      <c r="I1425" t="s">
        <v>37</v>
      </c>
      <c r="J1425">
        <v>0</v>
      </c>
      <c r="K1425">
        <v>0</v>
      </c>
      <c r="M1425" t="s">
        <v>1910</v>
      </c>
      <c r="N1425" t="s">
        <v>1648</v>
      </c>
      <c r="O1425">
        <v>0</v>
      </c>
      <c r="P1425">
        <v>0</v>
      </c>
      <c r="Q1425" t="s">
        <v>381</v>
      </c>
    </row>
    <row r="1426" spans="1:17" x14ac:dyDescent="0.15">
      <c r="A1426" t="s">
        <v>28</v>
      </c>
      <c r="B1426" t="s">
        <v>202</v>
      </c>
      <c r="C1426">
        <v>163</v>
      </c>
      <c r="D1426" t="s">
        <v>161</v>
      </c>
      <c r="E1426" s="1">
        <v>43059</v>
      </c>
      <c r="F1426" t="s">
        <v>17</v>
      </c>
      <c r="G1426" t="s">
        <v>1649</v>
      </c>
      <c r="H1426">
        <v>27</v>
      </c>
      <c r="I1426" t="s">
        <v>37</v>
      </c>
      <c r="J1426">
        <v>0</v>
      </c>
      <c r="K1426">
        <v>0</v>
      </c>
      <c r="M1426" t="s">
        <v>241</v>
      </c>
      <c r="N1426" t="s">
        <v>1650</v>
      </c>
    </row>
    <row r="1427" spans="1:17" x14ac:dyDescent="0.15">
      <c r="A1427" t="s">
        <v>28</v>
      </c>
      <c r="B1427" t="s">
        <v>202</v>
      </c>
      <c r="C1427">
        <v>163</v>
      </c>
      <c r="D1427" t="s">
        <v>161</v>
      </c>
      <c r="E1427" s="1">
        <v>43059</v>
      </c>
      <c r="F1427" t="s">
        <v>17</v>
      </c>
      <c r="G1427" t="s">
        <v>1649</v>
      </c>
      <c r="H1427">
        <v>27</v>
      </c>
      <c r="I1427" t="s">
        <v>37</v>
      </c>
      <c r="J1427">
        <v>0</v>
      </c>
      <c r="K1427">
        <v>0</v>
      </c>
      <c r="M1427" t="s">
        <v>1910</v>
      </c>
      <c r="N1427" t="s">
        <v>1650</v>
      </c>
      <c r="O1427">
        <v>0</v>
      </c>
      <c r="P1427">
        <v>0</v>
      </c>
      <c r="Q1427" t="s">
        <v>381</v>
      </c>
    </row>
    <row r="1428" spans="1:17" x14ac:dyDescent="0.15">
      <c r="A1428" t="s">
        <v>28</v>
      </c>
      <c r="B1428" t="s">
        <v>202</v>
      </c>
      <c r="C1428">
        <v>163</v>
      </c>
      <c r="D1428" t="s">
        <v>161</v>
      </c>
      <c r="E1428" s="1">
        <v>43067</v>
      </c>
      <c r="F1428" t="s">
        <v>383</v>
      </c>
      <c r="G1428" t="s">
        <v>1403</v>
      </c>
      <c r="H1428">
        <v>-2</v>
      </c>
      <c r="I1428" t="s">
        <v>37</v>
      </c>
      <c r="J1428">
        <v>0</v>
      </c>
      <c r="K1428">
        <v>0</v>
      </c>
      <c r="M1428" t="s">
        <v>241</v>
      </c>
      <c r="N1428" t="s">
        <v>1407</v>
      </c>
    </row>
    <row r="1429" spans="1:17" x14ac:dyDescent="0.15">
      <c r="A1429" t="s">
        <v>28</v>
      </c>
      <c r="B1429" t="s">
        <v>202</v>
      </c>
      <c r="C1429">
        <v>163</v>
      </c>
      <c r="D1429" t="s">
        <v>161</v>
      </c>
      <c r="E1429" s="1">
        <v>43067</v>
      </c>
      <c r="F1429" t="s">
        <v>383</v>
      </c>
      <c r="G1429" t="s">
        <v>1403</v>
      </c>
      <c r="H1429">
        <v>-2</v>
      </c>
      <c r="I1429" t="s">
        <v>37</v>
      </c>
      <c r="J1429">
        <v>0</v>
      </c>
      <c r="K1429">
        <v>0</v>
      </c>
      <c r="M1429" t="s">
        <v>1910</v>
      </c>
      <c r="N1429" t="s">
        <v>1407</v>
      </c>
      <c r="O1429">
        <v>0</v>
      </c>
      <c r="P1429">
        <v>0</v>
      </c>
      <c r="Q1429" t="s">
        <v>381</v>
      </c>
    </row>
    <row r="1430" spans="1:17" x14ac:dyDescent="0.15">
      <c r="A1430" t="s">
        <v>28</v>
      </c>
      <c r="B1430" t="s">
        <v>202</v>
      </c>
      <c r="C1430">
        <v>163</v>
      </c>
      <c r="D1430" t="s">
        <v>161</v>
      </c>
      <c r="E1430" s="1">
        <v>43067</v>
      </c>
      <c r="F1430" t="s">
        <v>383</v>
      </c>
      <c r="G1430" t="s">
        <v>1403</v>
      </c>
      <c r="H1430">
        <v>1</v>
      </c>
      <c r="I1430" t="s">
        <v>37</v>
      </c>
      <c r="J1430">
        <v>0</v>
      </c>
      <c r="K1430">
        <v>0</v>
      </c>
      <c r="M1430" t="s">
        <v>241</v>
      </c>
      <c r="N1430" t="s">
        <v>1407</v>
      </c>
    </row>
    <row r="1431" spans="1:17" x14ac:dyDescent="0.15">
      <c r="A1431" t="s">
        <v>28</v>
      </c>
      <c r="B1431" t="s">
        <v>202</v>
      </c>
      <c r="C1431">
        <v>163</v>
      </c>
      <c r="D1431" t="s">
        <v>161</v>
      </c>
      <c r="E1431" s="1">
        <v>43067</v>
      </c>
      <c r="F1431" t="s">
        <v>383</v>
      </c>
      <c r="G1431" t="s">
        <v>1403</v>
      </c>
      <c r="H1431">
        <v>1</v>
      </c>
      <c r="I1431" t="s">
        <v>37</v>
      </c>
      <c r="J1431">
        <v>0</v>
      </c>
      <c r="K1431">
        <v>0</v>
      </c>
      <c r="M1431" t="s">
        <v>1910</v>
      </c>
      <c r="N1431" t="s">
        <v>1407</v>
      </c>
      <c r="O1431">
        <v>0</v>
      </c>
      <c r="P1431">
        <v>0</v>
      </c>
      <c r="Q1431" t="s">
        <v>381</v>
      </c>
    </row>
    <row r="1432" spans="1:17" x14ac:dyDescent="0.15">
      <c r="A1432" t="s">
        <v>198</v>
      </c>
      <c r="B1432" t="s">
        <v>210</v>
      </c>
      <c r="C1432">
        <v>163</v>
      </c>
      <c r="D1432" t="s">
        <v>161</v>
      </c>
      <c r="E1432" s="1">
        <v>42850</v>
      </c>
      <c r="F1432" t="s">
        <v>383</v>
      </c>
      <c r="G1432" t="s">
        <v>509</v>
      </c>
      <c r="H1432">
        <v>-125</v>
      </c>
      <c r="I1432" t="s">
        <v>133</v>
      </c>
      <c r="J1432">
        <v>0</v>
      </c>
      <c r="M1432" t="s">
        <v>241</v>
      </c>
      <c r="N1432" t="s">
        <v>511</v>
      </c>
    </row>
    <row r="1433" spans="1:17" x14ac:dyDescent="0.15">
      <c r="A1433" t="s">
        <v>198</v>
      </c>
      <c r="B1433" t="s">
        <v>210</v>
      </c>
      <c r="C1433">
        <v>163</v>
      </c>
      <c r="D1433" t="s">
        <v>161</v>
      </c>
      <c r="E1433" s="1">
        <v>42850</v>
      </c>
      <c r="F1433" t="s">
        <v>383</v>
      </c>
      <c r="G1433" t="s">
        <v>509</v>
      </c>
      <c r="H1433">
        <v>-125</v>
      </c>
      <c r="I1433" t="s">
        <v>133</v>
      </c>
      <c r="J1433">
        <v>0</v>
      </c>
      <c r="M1433" t="s">
        <v>1910</v>
      </c>
      <c r="N1433" t="s">
        <v>511</v>
      </c>
      <c r="O1433">
        <v>0</v>
      </c>
      <c r="P1433">
        <v>0</v>
      </c>
      <c r="Q1433" t="s">
        <v>381</v>
      </c>
    </row>
    <row r="1434" spans="1:17" x14ac:dyDescent="0.15">
      <c r="A1434" t="s">
        <v>198</v>
      </c>
      <c r="B1434" t="s">
        <v>210</v>
      </c>
      <c r="C1434">
        <v>163</v>
      </c>
      <c r="D1434" t="s">
        <v>161</v>
      </c>
      <c r="E1434" s="1">
        <v>42850</v>
      </c>
      <c r="F1434" t="s">
        <v>17</v>
      </c>
      <c r="G1434" t="s">
        <v>745</v>
      </c>
      <c r="H1434">
        <v>125</v>
      </c>
      <c r="I1434" t="s">
        <v>133</v>
      </c>
      <c r="J1434">
        <v>0</v>
      </c>
      <c r="M1434" t="s">
        <v>241</v>
      </c>
      <c r="N1434" t="s">
        <v>746</v>
      </c>
    </row>
    <row r="1435" spans="1:17" x14ac:dyDescent="0.15">
      <c r="A1435" t="s">
        <v>198</v>
      </c>
      <c r="B1435" t="s">
        <v>210</v>
      </c>
      <c r="C1435">
        <v>163</v>
      </c>
      <c r="D1435" t="s">
        <v>161</v>
      </c>
      <c r="E1435" s="1">
        <v>42850</v>
      </c>
      <c r="F1435" t="s">
        <v>17</v>
      </c>
      <c r="G1435" t="s">
        <v>745</v>
      </c>
      <c r="H1435">
        <v>125</v>
      </c>
      <c r="I1435" t="s">
        <v>133</v>
      </c>
      <c r="J1435">
        <v>0</v>
      </c>
      <c r="M1435" t="s">
        <v>1910</v>
      </c>
      <c r="N1435" t="s">
        <v>746</v>
      </c>
      <c r="O1435">
        <v>0</v>
      </c>
      <c r="P1435">
        <v>0</v>
      </c>
      <c r="Q1435" t="s">
        <v>381</v>
      </c>
    </row>
    <row r="1436" spans="1:17" x14ac:dyDescent="0.15">
      <c r="A1436" t="s">
        <v>198</v>
      </c>
      <c r="B1436" t="s">
        <v>210</v>
      </c>
      <c r="C1436">
        <v>163</v>
      </c>
      <c r="D1436" t="s">
        <v>161</v>
      </c>
      <c r="E1436" s="1">
        <v>42933</v>
      </c>
      <c r="F1436" t="s">
        <v>383</v>
      </c>
      <c r="G1436" t="s">
        <v>1062</v>
      </c>
      <c r="H1436">
        <v>-20</v>
      </c>
      <c r="I1436" t="s">
        <v>133</v>
      </c>
      <c r="J1436">
        <v>0</v>
      </c>
      <c r="K1436">
        <v>0</v>
      </c>
      <c r="M1436" t="s">
        <v>241</v>
      </c>
      <c r="N1436" t="s">
        <v>1063</v>
      </c>
    </row>
    <row r="1437" spans="1:17" x14ac:dyDescent="0.15">
      <c r="A1437" t="s">
        <v>198</v>
      </c>
      <c r="B1437" t="s">
        <v>210</v>
      </c>
      <c r="C1437">
        <v>163</v>
      </c>
      <c r="D1437" t="s">
        <v>161</v>
      </c>
      <c r="E1437" s="1">
        <v>42933</v>
      </c>
      <c r="F1437" t="s">
        <v>383</v>
      </c>
      <c r="G1437" t="s">
        <v>1062</v>
      </c>
      <c r="H1437">
        <v>-20</v>
      </c>
      <c r="I1437" t="s">
        <v>133</v>
      </c>
      <c r="J1437">
        <v>0</v>
      </c>
      <c r="K1437">
        <v>0</v>
      </c>
      <c r="M1437" t="s">
        <v>1910</v>
      </c>
      <c r="N1437" t="s">
        <v>1063</v>
      </c>
      <c r="O1437">
        <v>0</v>
      </c>
      <c r="P1437">
        <v>0</v>
      </c>
      <c r="Q1437" t="s">
        <v>381</v>
      </c>
    </row>
    <row r="1438" spans="1:17" x14ac:dyDescent="0.15">
      <c r="A1438" t="s">
        <v>68</v>
      </c>
      <c r="B1438" t="s">
        <v>166</v>
      </c>
      <c r="C1438">
        <v>163</v>
      </c>
      <c r="D1438" t="s">
        <v>161</v>
      </c>
      <c r="E1438" s="1">
        <v>42839</v>
      </c>
      <c r="F1438" t="s">
        <v>383</v>
      </c>
      <c r="G1438" t="s">
        <v>465</v>
      </c>
      <c r="H1438">
        <v>-2</v>
      </c>
      <c r="I1438" t="s">
        <v>37</v>
      </c>
      <c r="J1438">
        <v>0</v>
      </c>
      <c r="M1438" t="s">
        <v>241</v>
      </c>
      <c r="N1438" t="s">
        <v>467</v>
      </c>
    </row>
    <row r="1439" spans="1:17" x14ac:dyDescent="0.15">
      <c r="A1439" t="s">
        <v>68</v>
      </c>
      <c r="B1439" t="s">
        <v>166</v>
      </c>
      <c r="C1439">
        <v>163</v>
      </c>
      <c r="D1439" t="s">
        <v>161</v>
      </c>
      <c r="E1439" s="1">
        <v>42839</v>
      </c>
      <c r="F1439" t="s">
        <v>383</v>
      </c>
      <c r="G1439" t="s">
        <v>465</v>
      </c>
      <c r="H1439">
        <v>-2</v>
      </c>
      <c r="I1439" t="s">
        <v>37</v>
      </c>
      <c r="J1439">
        <v>0</v>
      </c>
      <c r="M1439" t="s">
        <v>1910</v>
      </c>
      <c r="N1439" t="s">
        <v>467</v>
      </c>
      <c r="O1439">
        <v>0</v>
      </c>
      <c r="P1439">
        <v>0</v>
      </c>
      <c r="Q1439" t="s">
        <v>381</v>
      </c>
    </row>
    <row r="1440" spans="1:17" x14ac:dyDescent="0.15">
      <c r="A1440" t="s">
        <v>68</v>
      </c>
      <c r="B1440" t="s">
        <v>166</v>
      </c>
      <c r="C1440">
        <v>163</v>
      </c>
      <c r="D1440" t="s">
        <v>161</v>
      </c>
      <c r="E1440" s="1">
        <v>42843</v>
      </c>
      <c r="F1440" t="s">
        <v>383</v>
      </c>
      <c r="G1440" t="s">
        <v>475</v>
      </c>
      <c r="H1440">
        <v>-1</v>
      </c>
      <c r="I1440" t="s">
        <v>37</v>
      </c>
      <c r="J1440">
        <v>0</v>
      </c>
      <c r="M1440" t="s">
        <v>241</v>
      </c>
      <c r="N1440" t="s">
        <v>477</v>
      </c>
    </row>
    <row r="1441" spans="1:17" x14ac:dyDescent="0.15">
      <c r="A1441" t="s">
        <v>68</v>
      </c>
      <c r="B1441" t="s">
        <v>166</v>
      </c>
      <c r="C1441">
        <v>163</v>
      </c>
      <c r="D1441" t="s">
        <v>161</v>
      </c>
      <c r="E1441" s="1">
        <v>42843</v>
      </c>
      <c r="F1441" t="s">
        <v>383</v>
      </c>
      <c r="G1441" t="s">
        <v>475</v>
      </c>
      <c r="H1441">
        <v>-1</v>
      </c>
      <c r="I1441" t="s">
        <v>37</v>
      </c>
      <c r="J1441">
        <v>0</v>
      </c>
      <c r="M1441" t="s">
        <v>1910</v>
      </c>
      <c r="N1441" t="s">
        <v>477</v>
      </c>
      <c r="O1441">
        <v>0</v>
      </c>
      <c r="P1441">
        <v>0</v>
      </c>
      <c r="Q1441" t="s">
        <v>381</v>
      </c>
    </row>
    <row r="1442" spans="1:17" x14ac:dyDescent="0.15">
      <c r="A1442" t="s">
        <v>68</v>
      </c>
      <c r="B1442" t="s">
        <v>166</v>
      </c>
      <c r="C1442">
        <v>163</v>
      </c>
      <c r="D1442" t="s">
        <v>161</v>
      </c>
      <c r="E1442" s="1">
        <v>42850</v>
      </c>
      <c r="F1442" t="s">
        <v>383</v>
      </c>
      <c r="G1442" t="s">
        <v>509</v>
      </c>
      <c r="H1442">
        <v>-1</v>
      </c>
      <c r="I1442" t="s">
        <v>37</v>
      </c>
      <c r="J1442">
        <v>0</v>
      </c>
      <c r="M1442" t="s">
        <v>241</v>
      </c>
      <c r="N1442" t="s">
        <v>512</v>
      </c>
    </row>
    <row r="1443" spans="1:17" x14ac:dyDescent="0.15">
      <c r="A1443" t="s">
        <v>68</v>
      </c>
      <c r="B1443" t="s">
        <v>166</v>
      </c>
      <c r="C1443">
        <v>163</v>
      </c>
      <c r="D1443" t="s">
        <v>161</v>
      </c>
      <c r="E1443" s="1">
        <v>42850</v>
      </c>
      <c r="F1443" t="s">
        <v>383</v>
      </c>
      <c r="G1443" t="s">
        <v>509</v>
      </c>
      <c r="H1443">
        <v>-1</v>
      </c>
      <c r="I1443" t="s">
        <v>37</v>
      </c>
      <c r="J1443">
        <v>0</v>
      </c>
      <c r="M1443" t="s">
        <v>1910</v>
      </c>
      <c r="N1443" t="s">
        <v>512</v>
      </c>
      <c r="O1443">
        <v>0</v>
      </c>
      <c r="P1443">
        <v>0</v>
      </c>
      <c r="Q1443" t="s">
        <v>381</v>
      </c>
    </row>
    <row r="1444" spans="1:17" x14ac:dyDescent="0.15">
      <c r="A1444" t="s">
        <v>68</v>
      </c>
      <c r="B1444" t="s">
        <v>166</v>
      </c>
      <c r="C1444">
        <v>163</v>
      </c>
      <c r="D1444" t="s">
        <v>161</v>
      </c>
      <c r="E1444" s="1">
        <v>42851</v>
      </c>
      <c r="F1444" t="s">
        <v>383</v>
      </c>
      <c r="G1444" t="s">
        <v>494</v>
      </c>
      <c r="H1444">
        <v>-10</v>
      </c>
      <c r="I1444" t="s">
        <v>37</v>
      </c>
      <c r="J1444">
        <v>0</v>
      </c>
      <c r="M1444" t="s">
        <v>241</v>
      </c>
      <c r="N1444" t="s">
        <v>496</v>
      </c>
    </row>
    <row r="1445" spans="1:17" x14ac:dyDescent="0.15">
      <c r="A1445" t="s">
        <v>68</v>
      </c>
      <c r="B1445" t="s">
        <v>166</v>
      </c>
      <c r="C1445">
        <v>163</v>
      </c>
      <c r="D1445" t="s">
        <v>161</v>
      </c>
      <c r="E1445" s="1">
        <v>42851</v>
      </c>
      <c r="F1445" t="s">
        <v>383</v>
      </c>
      <c r="G1445" t="s">
        <v>494</v>
      </c>
      <c r="H1445">
        <v>-10</v>
      </c>
      <c r="I1445" t="s">
        <v>37</v>
      </c>
      <c r="J1445">
        <v>0</v>
      </c>
      <c r="M1445" t="s">
        <v>1910</v>
      </c>
      <c r="N1445" t="s">
        <v>496</v>
      </c>
      <c r="O1445">
        <v>0</v>
      </c>
      <c r="P1445">
        <v>0</v>
      </c>
      <c r="Q1445" t="s">
        <v>381</v>
      </c>
    </row>
    <row r="1446" spans="1:17" x14ac:dyDescent="0.15">
      <c r="A1446" t="s">
        <v>68</v>
      </c>
      <c r="B1446" t="s">
        <v>166</v>
      </c>
      <c r="C1446">
        <v>163</v>
      </c>
      <c r="D1446" t="s">
        <v>161</v>
      </c>
      <c r="E1446" s="1">
        <v>42878</v>
      </c>
      <c r="F1446" t="s">
        <v>383</v>
      </c>
      <c r="G1446" t="s">
        <v>584</v>
      </c>
      <c r="H1446">
        <v>-2</v>
      </c>
      <c r="I1446" t="s">
        <v>37</v>
      </c>
      <c r="J1446">
        <v>0</v>
      </c>
      <c r="M1446" t="s">
        <v>241</v>
      </c>
      <c r="N1446" t="s">
        <v>587</v>
      </c>
    </row>
    <row r="1447" spans="1:17" x14ac:dyDescent="0.15">
      <c r="A1447" t="s">
        <v>68</v>
      </c>
      <c r="B1447" t="s">
        <v>166</v>
      </c>
      <c r="C1447">
        <v>163</v>
      </c>
      <c r="D1447" t="s">
        <v>161</v>
      </c>
      <c r="E1447" s="1">
        <v>42878</v>
      </c>
      <c r="F1447" t="s">
        <v>383</v>
      </c>
      <c r="G1447" t="s">
        <v>584</v>
      </c>
      <c r="H1447">
        <v>-2</v>
      </c>
      <c r="I1447" t="s">
        <v>37</v>
      </c>
      <c r="J1447">
        <v>0</v>
      </c>
      <c r="M1447" t="s">
        <v>1910</v>
      </c>
      <c r="N1447" t="s">
        <v>587</v>
      </c>
      <c r="O1447">
        <v>0</v>
      </c>
      <c r="P1447">
        <v>0</v>
      </c>
      <c r="Q1447" t="s">
        <v>381</v>
      </c>
    </row>
    <row r="1448" spans="1:17" x14ac:dyDescent="0.15">
      <c r="A1448" t="s">
        <v>68</v>
      </c>
      <c r="B1448" t="s">
        <v>166</v>
      </c>
      <c r="C1448">
        <v>163</v>
      </c>
      <c r="D1448" t="s">
        <v>161</v>
      </c>
      <c r="E1448" s="1">
        <v>42885</v>
      </c>
      <c r="F1448" t="s">
        <v>383</v>
      </c>
      <c r="G1448" t="s">
        <v>578</v>
      </c>
      <c r="H1448">
        <v>-6</v>
      </c>
      <c r="I1448" t="s">
        <v>37</v>
      </c>
      <c r="J1448">
        <v>0</v>
      </c>
      <c r="M1448" t="s">
        <v>241</v>
      </c>
      <c r="N1448" t="s">
        <v>583</v>
      </c>
    </row>
    <row r="1449" spans="1:17" x14ac:dyDescent="0.15">
      <c r="A1449" t="s">
        <v>68</v>
      </c>
      <c r="B1449" t="s">
        <v>166</v>
      </c>
      <c r="C1449">
        <v>163</v>
      </c>
      <c r="D1449" t="s">
        <v>161</v>
      </c>
      <c r="E1449" s="1">
        <v>42885</v>
      </c>
      <c r="F1449" t="s">
        <v>383</v>
      </c>
      <c r="G1449" t="s">
        <v>578</v>
      </c>
      <c r="H1449">
        <v>-6</v>
      </c>
      <c r="I1449" t="s">
        <v>37</v>
      </c>
      <c r="J1449">
        <v>0</v>
      </c>
      <c r="M1449" t="s">
        <v>1910</v>
      </c>
      <c r="N1449" t="s">
        <v>583</v>
      </c>
      <c r="O1449">
        <v>0</v>
      </c>
      <c r="P1449">
        <v>0</v>
      </c>
      <c r="Q1449" t="s">
        <v>381</v>
      </c>
    </row>
    <row r="1450" spans="1:17" x14ac:dyDescent="0.15">
      <c r="A1450" t="s">
        <v>68</v>
      </c>
      <c r="B1450" t="s">
        <v>166</v>
      </c>
      <c r="C1450">
        <v>163</v>
      </c>
      <c r="D1450" t="s">
        <v>161</v>
      </c>
      <c r="E1450" s="1">
        <v>42886</v>
      </c>
      <c r="F1450" t="s">
        <v>383</v>
      </c>
      <c r="G1450" t="s">
        <v>592</v>
      </c>
      <c r="H1450">
        <v>-10</v>
      </c>
      <c r="I1450" t="s">
        <v>37</v>
      </c>
      <c r="J1450">
        <v>0</v>
      </c>
      <c r="M1450" t="s">
        <v>241</v>
      </c>
      <c r="N1450" t="s">
        <v>594</v>
      </c>
    </row>
    <row r="1451" spans="1:17" x14ac:dyDescent="0.15">
      <c r="A1451" t="s">
        <v>68</v>
      </c>
      <c r="B1451" t="s">
        <v>166</v>
      </c>
      <c r="C1451">
        <v>163</v>
      </c>
      <c r="D1451" t="s">
        <v>161</v>
      </c>
      <c r="E1451" s="1">
        <v>42886</v>
      </c>
      <c r="F1451" t="s">
        <v>383</v>
      </c>
      <c r="G1451" t="s">
        <v>592</v>
      </c>
      <c r="H1451">
        <v>-10</v>
      </c>
      <c r="I1451" t="s">
        <v>37</v>
      </c>
      <c r="J1451">
        <v>0</v>
      </c>
      <c r="M1451" t="s">
        <v>1910</v>
      </c>
      <c r="N1451" t="s">
        <v>594</v>
      </c>
      <c r="O1451">
        <v>0</v>
      </c>
      <c r="P1451">
        <v>0</v>
      </c>
      <c r="Q1451" t="s">
        <v>381</v>
      </c>
    </row>
    <row r="1452" spans="1:17" x14ac:dyDescent="0.15">
      <c r="A1452" t="s">
        <v>68</v>
      </c>
      <c r="B1452" t="s">
        <v>166</v>
      </c>
      <c r="C1452">
        <v>163</v>
      </c>
      <c r="D1452" t="s">
        <v>161</v>
      </c>
      <c r="E1452" s="1">
        <v>42886</v>
      </c>
      <c r="F1452" t="s">
        <v>383</v>
      </c>
      <c r="G1452" t="s">
        <v>607</v>
      </c>
      <c r="H1452">
        <v>10</v>
      </c>
      <c r="I1452" t="s">
        <v>37</v>
      </c>
      <c r="J1452">
        <v>0</v>
      </c>
      <c r="M1452" t="s">
        <v>241</v>
      </c>
      <c r="N1452" t="s">
        <v>609</v>
      </c>
    </row>
    <row r="1453" spans="1:17" x14ac:dyDescent="0.15">
      <c r="A1453" t="s">
        <v>68</v>
      </c>
      <c r="B1453" t="s">
        <v>166</v>
      </c>
      <c r="C1453">
        <v>163</v>
      </c>
      <c r="D1453" t="s">
        <v>161</v>
      </c>
      <c r="E1453" s="1">
        <v>42886</v>
      </c>
      <c r="F1453" t="s">
        <v>383</v>
      </c>
      <c r="G1453" t="s">
        <v>607</v>
      </c>
      <c r="H1453">
        <v>10</v>
      </c>
      <c r="I1453" t="s">
        <v>37</v>
      </c>
      <c r="J1453">
        <v>0</v>
      </c>
      <c r="M1453" t="s">
        <v>1910</v>
      </c>
      <c r="N1453" t="s">
        <v>609</v>
      </c>
      <c r="O1453">
        <v>0</v>
      </c>
      <c r="P1453">
        <v>0</v>
      </c>
      <c r="Q1453" t="s">
        <v>381</v>
      </c>
    </row>
    <row r="1454" spans="1:17" x14ac:dyDescent="0.15">
      <c r="A1454" t="s">
        <v>68</v>
      </c>
      <c r="B1454" t="s">
        <v>166</v>
      </c>
      <c r="C1454">
        <v>163</v>
      </c>
      <c r="D1454" t="s">
        <v>161</v>
      </c>
      <c r="E1454" s="1">
        <v>42886</v>
      </c>
      <c r="F1454" t="s">
        <v>383</v>
      </c>
      <c r="G1454" t="s">
        <v>610</v>
      </c>
      <c r="H1454">
        <v>-10</v>
      </c>
      <c r="I1454" t="s">
        <v>37</v>
      </c>
      <c r="J1454">
        <v>0</v>
      </c>
      <c r="M1454" t="s">
        <v>241</v>
      </c>
      <c r="N1454" t="s">
        <v>612</v>
      </c>
    </row>
    <row r="1455" spans="1:17" x14ac:dyDescent="0.15">
      <c r="A1455" t="s">
        <v>68</v>
      </c>
      <c r="B1455" t="s">
        <v>166</v>
      </c>
      <c r="C1455">
        <v>163</v>
      </c>
      <c r="D1455" t="s">
        <v>161</v>
      </c>
      <c r="E1455" s="1">
        <v>42886</v>
      </c>
      <c r="F1455" t="s">
        <v>383</v>
      </c>
      <c r="G1455" t="s">
        <v>610</v>
      </c>
      <c r="H1455">
        <v>-10</v>
      </c>
      <c r="I1455" t="s">
        <v>37</v>
      </c>
      <c r="J1455">
        <v>0</v>
      </c>
      <c r="M1455" t="s">
        <v>1910</v>
      </c>
      <c r="N1455" t="s">
        <v>612</v>
      </c>
      <c r="O1455">
        <v>0</v>
      </c>
      <c r="P1455">
        <v>0</v>
      </c>
      <c r="Q1455" t="s">
        <v>381</v>
      </c>
    </row>
    <row r="1456" spans="1:17" x14ac:dyDescent="0.15">
      <c r="A1456" t="s">
        <v>68</v>
      </c>
      <c r="B1456" t="s">
        <v>166</v>
      </c>
      <c r="C1456">
        <v>163</v>
      </c>
      <c r="D1456" t="s">
        <v>161</v>
      </c>
      <c r="E1456" s="1">
        <v>42900</v>
      </c>
      <c r="F1456" t="s">
        <v>383</v>
      </c>
      <c r="G1456" t="s">
        <v>629</v>
      </c>
      <c r="H1456">
        <v>-10</v>
      </c>
      <c r="I1456" t="s">
        <v>37</v>
      </c>
      <c r="J1456">
        <v>0</v>
      </c>
      <c r="M1456" t="s">
        <v>241</v>
      </c>
      <c r="N1456" t="s">
        <v>634</v>
      </c>
    </row>
    <row r="1457" spans="1:17" x14ac:dyDescent="0.15">
      <c r="A1457" t="s">
        <v>68</v>
      </c>
      <c r="B1457" t="s">
        <v>166</v>
      </c>
      <c r="C1457">
        <v>163</v>
      </c>
      <c r="D1457" t="s">
        <v>161</v>
      </c>
      <c r="E1457" s="1">
        <v>42900</v>
      </c>
      <c r="F1457" t="s">
        <v>383</v>
      </c>
      <c r="G1457" t="s">
        <v>629</v>
      </c>
      <c r="H1457">
        <v>-10</v>
      </c>
      <c r="I1457" t="s">
        <v>37</v>
      </c>
      <c r="J1457">
        <v>0</v>
      </c>
      <c r="M1457" t="s">
        <v>1910</v>
      </c>
      <c r="N1457" t="s">
        <v>634</v>
      </c>
      <c r="O1457">
        <v>0</v>
      </c>
      <c r="P1457">
        <v>0</v>
      </c>
      <c r="Q1457" t="s">
        <v>381</v>
      </c>
    </row>
    <row r="1458" spans="1:17" x14ac:dyDescent="0.15">
      <c r="A1458" t="s">
        <v>68</v>
      </c>
      <c r="B1458" t="s">
        <v>166</v>
      </c>
      <c r="C1458">
        <v>163</v>
      </c>
      <c r="D1458" t="s">
        <v>161</v>
      </c>
      <c r="E1458" s="1">
        <v>42907</v>
      </c>
      <c r="F1458" t="s">
        <v>17</v>
      </c>
      <c r="G1458" t="s">
        <v>835</v>
      </c>
      <c r="H1458">
        <v>84</v>
      </c>
      <c r="I1458" t="s">
        <v>37</v>
      </c>
      <c r="J1458">
        <v>0</v>
      </c>
      <c r="K1458">
        <v>0</v>
      </c>
      <c r="M1458" t="s">
        <v>241</v>
      </c>
      <c r="N1458" t="s">
        <v>836</v>
      </c>
    </row>
    <row r="1459" spans="1:17" x14ac:dyDescent="0.15">
      <c r="A1459" t="s">
        <v>68</v>
      </c>
      <c r="B1459" t="s">
        <v>166</v>
      </c>
      <c r="C1459">
        <v>163</v>
      </c>
      <c r="D1459" t="s">
        <v>161</v>
      </c>
      <c r="E1459" s="1">
        <v>42907</v>
      </c>
      <c r="F1459" t="s">
        <v>17</v>
      </c>
      <c r="G1459" t="s">
        <v>835</v>
      </c>
      <c r="H1459">
        <v>84</v>
      </c>
      <c r="I1459" t="s">
        <v>37</v>
      </c>
      <c r="J1459">
        <v>0</v>
      </c>
      <c r="K1459">
        <v>0</v>
      </c>
      <c r="M1459" t="s">
        <v>1910</v>
      </c>
      <c r="N1459" t="s">
        <v>836</v>
      </c>
      <c r="O1459">
        <v>0</v>
      </c>
      <c r="P1459">
        <v>0</v>
      </c>
      <c r="Q1459" t="s">
        <v>381</v>
      </c>
    </row>
    <row r="1460" spans="1:17" x14ac:dyDescent="0.15">
      <c r="A1460" t="s">
        <v>68</v>
      </c>
      <c r="B1460" t="s">
        <v>166</v>
      </c>
      <c r="C1460">
        <v>163</v>
      </c>
      <c r="D1460" t="s">
        <v>161</v>
      </c>
      <c r="E1460" s="1">
        <v>42908</v>
      </c>
      <c r="F1460" t="s">
        <v>383</v>
      </c>
      <c r="G1460" t="s">
        <v>658</v>
      </c>
      <c r="H1460">
        <v>-1</v>
      </c>
      <c r="I1460" t="s">
        <v>37</v>
      </c>
      <c r="J1460">
        <v>0</v>
      </c>
      <c r="M1460" t="s">
        <v>241</v>
      </c>
      <c r="N1460" t="s">
        <v>660</v>
      </c>
    </row>
    <row r="1461" spans="1:17" x14ac:dyDescent="0.15">
      <c r="A1461" t="s">
        <v>68</v>
      </c>
      <c r="B1461" t="s">
        <v>166</v>
      </c>
      <c r="C1461">
        <v>163</v>
      </c>
      <c r="D1461" t="s">
        <v>161</v>
      </c>
      <c r="E1461" s="1">
        <v>42908</v>
      </c>
      <c r="F1461" t="s">
        <v>383</v>
      </c>
      <c r="G1461" t="s">
        <v>658</v>
      </c>
      <c r="H1461">
        <v>-1</v>
      </c>
      <c r="I1461" t="s">
        <v>37</v>
      </c>
      <c r="J1461">
        <v>0</v>
      </c>
      <c r="M1461" t="s">
        <v>1910</v>
      </c>
      <c r="N1461" t="s">
        <v>660</v>
      </c>
      <c r="O1461">
        <v>0</v>
      </c>
      <c r="P1461">
        <v>0</v>
      </c>
      <c r="Q1461" t="s">
        <v>381</v>
      </c>
    </row>
    <row r="1462" spans="1:17" x14ac:dyDescent="0.15">
      <c r="A1462" t="s">
        <v>68</v>
      </c>
      <c r="B1462" t="s">
        <v>166</v>
      </c>
      <c r="C1462">
        <v>163</v>
      </c>
      <c r="D1462" t="s">
        <v>161</v>
      </c>
      <c r="E1462" s="1">
        <v>42908</v>
      </c>
      <c r="F1462" t="s">
        <v>383</v>
      </c>
      <c r="G1462" t="s">
        <v>664</v>
      </c>
      <c r="H1462">
        <v>-2</v>
      </c>
      <c r="I1462" t="s">
        <v>37</v>
      </c>
      <c r="J1462">
        <v>0</v>
      </c>
      <c r="M1462" t="s">
        <v>241</v>
      </c>
      <c r="N1462" t="s">
        <v>668</v>
      </c>
    </row>
    <row r="1463" spans="1:17" x14ac:dyDescent="0.15">
      <c r="A1463" t="s">
        <v>68</v>
      </c>
      <c r="B1463" t="s">
        <v>166</v>
      </c>
      <c r="C1463">
        <v>163</v>
      </c>
      <c r="D1463" t="s">
        <v>161</v>
      </c>
      <c r="E1463" s="1">
        <v>42908</v>
      </c>
      <c r="F1463" t="s">
        <v>383</v>
      </c>
      <c r="G1463" t="s">
        <v>664</v>
      </c>
      <c r="H1463">
        <v>-2</v>
      </c>
      <c r="I1463" t="s">
        <v>37</v>
      </c>
      <c r="J1463">
        <v>0</v>
      </c>
      <c r="M1463" t="s">
        <v>1910</v>
      </c>
      <c r="N1463" t="s">
        <v>668</v>
      </c>
      <c r="O1463">
        <v>0</v>
      </c>
      <c r="P1463">
        <v>0</v>
      </c>
      <c r="Q1463" t="s">
        <v>381</v>
      </c>
    </row>
    <row r="1464" spans="1:17" x14ac:dyDescent="0.15">
      <c r="A1464" t="s">
        <v>68</v>
      </c>
      <c r="B1464" t="s">
        <v>166</v>
      </c>
      <c r="C1464">
        <v>163</v>
      </c>
      <c r="D1464" t="s">
        <v>161</v>
      </c>
      <c r="E1464" s="1">
        <v>42929</v>
      </c>
      <c r="F1464" t="s">
        <v>17</v>
      </c>
      <c r="G1464" t="s">
        <v>1506</v>
      </c>
      <c r="H1464">
        <v>210</v>
      </c>
      <c r="I1464" t="s">
        <v>37</v>
      </c>
      <c r="J1464">
        <v>7.4469523809523803</v>
      </c>
      <c r="K1464">
        <v>1563.86</v>
      </c>
      <c r="L1464" t="s">
        <v>375</v>
      </c>
      <c r="M1464" t="s">
        <v>241</v>
      </c>
      <c r="N1464" t="s">
        <v>1507</v>
      </c>
      <c r="Q1464" t="s">
        <v>956</v>
      </c>
    </row>
    <row r="1465" spans="1:17" x14ac:dyDescent="0.15">
      <c r="A1465" t="s">
        <v>68</v>
      </c>
      <c r="B1465" t="s">
        <v>166</v>
      </c>
      <c r="C1465">
        <v>163</v>
      </c>
      <c r="D1465" t="s">
        <v>161</v>
      </c>
      <c r="E1465" s="1">
        <v>42929</v>
      </c>
      <c r="F1465" t="s">
        <v>17</v>
      </c>
      <c r="G1465" t="s">
        <v>1508</v>
      </c>
      <c r="H1465">
        <v>-210</v>
      </c>
      <c r="I1465" t="s">
        <v>37</v>
      </c>
      <c r="J1465">
        <v>7.4469523809523803</v>
      </c>
      <c r="K1465">
        <v>-1563.86</v>
      </c>
      <c r="L1465" t="s">
        <v>375</v>
      </c>
      <c r="M1465" t="s">
        <v>241</v>
      </c>
      <c r="N1465" t="s">
        <v>1509</v>
      </c>
      <c r="Q1465" t="s">
        <v>956</v>
      </c>
    </row>
    <row r="1466" spans="1:17" x14ac:dyDescent="0.15">
      <c r="A1466" t="s">
        <v>68</v>
      </c>
      <c r="B1466" t="s">
        <v>166</v>
      </c>
      <c r="C1466">
        <v>163</v>
      </c>
      <c r="D1466" t="s">
        <v>161</v>
      </c>
      <c r="E1466" s="1">
        <v>42929</v>
      </c>
      <c r="F1466" t="s">
        <v>17</v>
      </c>
      <c r="G1466" t="s">
        <v>1510</v>
      </c>
      <c r="H1466">
        <v>210</v>
      </c>
      <c r="I1466" t="s">
        <v>37</v>
      </c>
      <c r="J1466">
        <v>0</v>
      </c>
      <c r="K1466">
        <v>0</v>
      </c>
      <c r="M1466" t="s">
        <v>241</v>
      </c>
      <c r="N1466" t="s">
        <v>1511</v>
      </c>
    </row>
    <row r="1467" spans="1:17" x14ac:dyDescent="0.15">
      <c r="A1467" t="s">
        <v>68</v>
      </c>
      <c r="B1467" t="s">
        <v>166</v>
      </c>
      <c r="C1467">
        <v>163</v>
      </c>
      <c r="D1467" t="s">
        <v>161</v>
      </c>
      <c r="E1467" s="1">
        <v>42929</v>
      </c>
      <c r="F1467" t="s">
        <v>17</v>
      </c>
      <c r="G1467" t="s">
        <v>1510</v>
      </c>
      <c r="H1467">
        <v>210</v>
      </c>
      <c r="I1467" t="s">
        <v>37</v>
      </c>
      <c r="J1467">
        <v>0</v>
      </c>
      <c r="K1467">
        <v>0</v>
      </c>
      <c r="M1467" t="s">
        <v>1910</v>
      </c>
      <c r="N1467" t="s">
        <v>1511</v>
      </c>
      <c r="O1467">
        <v>0</v>
      </c>
      <c r="P1467">
        <v>0</v>
      </c>
      <c r="Q1467" t="s">
        <v>381</v>
      </c>
    </row>
    <row r="1468" spans="1:17" x14ac:dyDescent="0.15">
      <c r="A1468" t="s">
        <v>68</v>
      </c>
      <c r="B1468" t="s">
        <v>166</v>
      </c>
      <c r="C1468">
        <v>163</v>
      </c>
      <c r="D1468" t="s">
        <v>161</v>
      </c>
      <c r="E1468" s="1">
        <v>42929</v>
      </c>
      <c r="F1468" t="s">
        <v>17</v>
      </c>
      <c r="G1468" t="s">
        <v>1506</v>
      </c>
      <c r="H1468">
        <v>210</v>
      </c>
      <c r="I1468" t="s">
        <v>37</v>
      </c>
      <c r="J1468">
        <v>7.4469523809520011</v>
      </c>
      <c r="K1468">
        <v>1563.86</v>
      </c>
      <c r="L1468" t="s">
        <v>375</v>
      </c>
      <c r="M1468" t="s">
        <v>242</v>
      </c>
      <c r="N1468" t="s">
        <v>1507</v>
      </c>
      <c r="O1468">
        <v>2.9674762808349144</v>
      </c>
      <c r="P1468">
        <v>1563.86</v>
      </c>
      <c r="Q1468" t="s">
        <v>956</v>
      </c>
    </row>
    <row r="1469" spans="1:17" x14ac:dyDescent="0.15">
      <c r="A1469" t="s">
        <v>68</v>
      </c>
      <c r="B1469" t="s">
        <v>166</v>
      </c>
      <c r="C1469">
        <v>163</v>
      </c>
      <c r="D1469" t="s">
        <v>161</v>
      </c>
      <c r="E1469" s="1">
        <v>42929</v>
      </c>
      <c r="F1469" t="s">
        <v>17</v>
      </c>
      <c r="G1469" t="s">
        <v>1508</v>
      </c>
      <c r="H1469">
        <v>-210</v>
      </c>
      <c r="I1469" t="s">
        <v>37</v>
      </c>
      <c r="J1469">
        <v>7.4469523809520011</v>
      </c>
      <c r="K1469">
        <v>-1563.86</v>
      </c>
      <c r="L1469" t="s">
        <v>375</v>
      </c>
      <c r="M1469" t="s">
        <v>242</v>
      </c>
      <c r="N1469" t="s">
        <v>1509</v>
      </c>
      <c r="O1469">
        <v>2.9674762808349144</v>
      </c>
      <c r="P1469">
        <v>-623.17001897533203</v>
      </c>
      <c r="Q1469" t="s">
        <v>956</v>
      </c>
    </row>
    <row r="1470" spans="1:17" x14ac:dyDescent="0.15">
      <c r="A1470" t="s">
        <v>68</v>
      </c>
      <c r="B1470" t="s">
        <v>166</v>
      </c>
      <c r="C1470">
        <v>163</v>
      </c>
      <c r="D1470" t="s">
        <v>161</v>
      </c>
      <c r="E1470" s="1">
        <v>42932</v>
      </c>
      <c r="F1470" t="s">
        <v>383</v>
      </c>
      <c r="G1470" t="s">
        <v>1054</v>
      </c>
      <c r="H1470">
        <v>-6</v>
      </c>
      <c r="I1470" t="s">
        <v>37</v>
      </c>
      <c r="J1470">
        <v>0</v>
      </c>
      <c r="M1470" t="s">
        <v>241</v>
      </c>
      <c r="N1470" t="s">
        <v>1059</v>
      </c>
    </row>
    <row r="1471" spans="1:17" x14ac:dyDescent="0.15">
      <c r="A1471" t="s">
        <v>68</v>
      </c>
      <c r="B1471" t="s">
        <v>166</v>
      </c>
      <c r="C1471">
        <v>163</v>
      </c>
      <c r="D1471" t="s">
        <v>161</v>
      </c>
      <c r="E1471" s="1">
        <v>42932</v>
      </c>
      <c r="F1471" t="s">
        <v>383</v>
      </c>
      <c r="G1471" t="s">
        <v>1054</v>
      </c>
      <c r="H1471">
        <v>-6</v>
      </c>
      <c r="I1471" t="s">
        <v>37</v>
      </c>
      <c r="J1471">
        <v>0</v>
      </c>
      <c r="M1471" t="s">
        <v>1910</v>
      </c>
      <c r="N1471" t="s">
        <v>1059</v>
      </c>
      <c r="O1471">
        <v>2.9674762808349144</v>
      </c>
      <c r="P1471">
        <v>-17.804857685009488</v>
      </c>
      <c r="Q1471" t="s">
        <v>381</v>
      </c>
    </row>
    <row r="1472" spans="1:17" x14ac:dyDescent="0.15">
      <c r="A1472" t="s">
        <v>68</v>
      </c>
      <c r="B1472" t="s">
        <v>166</v>
      </c>
      <c r="C1472">
        <v>163</v>
      </c>
      <c r="D1472" t="s">
        <v>161</v>
      </c>
      <c r="E1472" s="1">
        <v>42942</v>
      </c>
      <c r="F1472" t="s">
        <v>383</v>
      </c>
      <c r="G1472" t="s">
        <v>1106</v>
      </c>
      <c r="H1472">
        <v>-210</v>
      </c>
      <c r="I1472" t="s">
        <v>37</v>
      </c>
      <c r="J1472">
        <v>0</v>
      </c>
      <c r="M1472" t="s">
        <v>241</v>
      </c>
      <c r="N1472" t="s">
        <v>1113</v>
      </c>
    </row>
    <row r="1473" spans="1:17" x14ac:dyDescent="0.15">
      <c r="A1473" t="s">
        <v>68</v>
      </c>
      <c r="B1473" t="s">
        <v>166</v>
      </c>
      <c r="C1473">
        <v>163</v>
      </c>
      <c r="D1473" t="s">
        <v>161</v>
      </c>
      <c r="E1473" s="1">
        <v>42942</v>
      </c>
      <c r="F1473" t="s">
        <v>383</v>
      </c>
      <c r="G1473" t="s">
        <v>1106</v>
      </c>
      <c r="H1473">
        <v>-210</v>
      </c>
      <c r="I1473" t="s">
        <v>37</v>
      </c>
      <c r="J1473">
        <v>0</v>
      </c>
      <c r="M1473" t="s">
        <v>1910</v>
      </c>
      <c r="N1473" t="s">
        <v>1113</v>
      </c>
      <c r="O1473">
        <v>2.9674762808349144</v>
      </c>
      <c r="P1473">
        <v>-623.17001897533203</v>
      </c>
      <c r="Q1473" t="s">
        <v>381</v>
      </c>
    </row>
    <row r="1474" spans="1:17" x14ac:dyDescent="0.15">
      <c r="A1474" t="s">
        <v>68</v>
      </c>
      <c r="B1474" t="s">
        <v>166</v>
      </c>
      <c r="C1474">
        <v>163</v>
      </c>
      <c r="D1474" t="s">
        <v>161</v>
      </c>
      <c r="E1474" s="1">
        <v>42947</v>
      </c>
      <c r="F1474" t="s">
        <v>383</v>
      </c>
      <c r="G1474" t="s">
        <v>1136</v>
      </c>
      <c r="H1474">
        <v>-1</v>
      </c>
      <c r="I1474" t="s">
        <v>37</v>
      </c>
      <c r="J1474">
        <v>0</v>
      </c>
      <c r="M1474" t="s">
        <v>241</v>
      </c>
      <c r="N1474" t="s">
        <v>1138</v>
      </c>
    </row>
    <row r="1475" spans="1:17" x14ac:dyDescent="0.15">
      <c r="A1475" t="s">
        <v>68</v>
      </c>
      <c r="B1475" t="s">
        <v>166</v>
      </c>
      <c r="C1475">
        <v>163</v>
      </c>
      <c r="D1475" t="s">
        <v>161</v>
      </c>
      <c r="E1475" s="1">
        <v>42947</v>
      </c>
      <c r="F1475" t="s">
        <v>383</v>
      </c>
      <c r="G1475" t="s">
        <v>1136</v>
      </c>
      <c r="H1475">
        <v>-1</v>
      </c>
      <c r="I1475" t="s">
        <v>37</v>
      </c>
      <c r="J1475">
        <v>0</v>
      </c>
      <c r="M1475" t="s">
        <v>1910</v>
      </c>
      <c r="N1475" t="s">
        <v>1138</v>
      </c>
      <c r="O1475">
        <v>2.9674762808349149</v>
      </c>
      <c r="P1475">
        <v>-2.9674762808349149</v>
      </c>
      <c r="Q1475" t="s">
        <v>381</v>
      </c>
    </row>
    <row r="1476" spans="1:17" x14ac:dyDescent="0.15">
      <c r="A1476" t="s">
        <v>68</v>
      </c>
      <c r="B1476" t="s">
        <v>166</v>
      </c>
      <c r="C1476">
        <v>163</v>
      </c>
      <c r="D1476" t="s">
        <v>161</v>
      </c>
      <c r="E1476" s="1">
        <v>42963</v>
      </c>
      <c r="F1476" t="s">
        <v>383</v>
      </c>
      <c r="G1476" t="s">
        <v>1154</v>
      </c>
      <c r="H1476">
        <v>-5</v>
      </c>
      <c r="I1476" t="s">
        <v>37</v>
      </c>
      <c r="J1476">
        <v>0</v>
      </c>
      <c r="M1476" t="s">
        <v>241</v>
      </c>
      <c r="N1476" t="s">
        <v>1156</v>
      </c>
    </row>
    <row r="1477" spans="1:17" x14ac:dyDescent="0.15">
      <c r="A1477" t="s">
        <v>68</v>
      </c>
      <c r="B1477" t="s">
        <v>166</v>
      </c>
      <c r="C1477">
        <v>163</v>
      </c>
      <c r="D1477" t="s">
        <v>161</v>
      </c>
      <c r="E1477" s="1">
        <v>42963</v>
      </c>
      <c r="F1477" t="s">
        <v>383</v>
      </c>
      <c r="G1477" t="s">
        <v>1154</v>
      </c>
      <c r="H1477">
        <v>-5</v>
      </c>
      <c r="I1477" t="s">
        <v>37</v>
      </c>
      <c r="J1477">
        <v>0</v>
      </c>
      <c r="M1477" t="s">
        <v>1910</v>
      </c>
      <c r="N1477" t="s">
        <v>1156</v>
      </c>
      <c r="O1477">
        <v>2.9674762808349153</v>
      </c>
      <c r="P1477">
        <v>-14.837381404174577</v>
      </c>
      <c r="Q1477" t="s">
        <v>381</v>
      </c>
    </row>
    <row r="1478" spans="1:17" x14ac:dyDescent="0.15">
      <c r="A1478" t="s">
        <v>68</v>
      </c>
      <c r="B1478" t="s">
        <v>166</v>
      </c>
      <c r="C1478">
        <v>163</v>
      </c>
      <c r="D1478" t="s">
        <v>161</v>
      </c>
      <c r="E1478" s="1">
        <v>42971</v>
      </c>
      <c r="F1478" t="s">
        <v>383</v>
      </c>
      <c r="G1478" t="s">
        <v>1179</v>
      </c>
      <c r="H1478">
        <v>-4</v>
      </c>
      <c r="I1478" t="s">
        <v>37</v>
      </c>
      <c r="J1478">
        <v>0</v>
      </c>
      <c r="M1478" t="s">
        <v>241</v>
      </c>
      <c r="N1478" t="s">
        <v>1181</v>
      </c>
    </row>
    <row r="1479" spans="1:17" x14ac:dyDescent="0.15">
      <c r="A1479" t="s">
        <v>68</v>
      </c>
      <c r="B1479" t="s">
        <v>166</v>
      </c>
      <c r="C1479">
        <v>163</v>
      </c>
      <c r="D1479" t="s">
        <v>161</v>
      </c>
      <c r="E1479" s="1">
        <v>42971</v>
      </c>
      <c r="F1479" t="s">
        <v>383</v>
      </c>
      <c r="G1479" t="s">
        <v>1179</v>
      </c>
      <c r="H1479">
        <v>-4</v>
      </c>
      <c r="I1479" t="s">
        <v>37</v>
      </c>
      <c r="J1479">
        <v>0</v>
      </c>
      <c r="M1479" t="s">
        <v>1910</v>
      </c>
      <c r="N1479" t="s">
        <v>1181</v>
      </c>
      <c r="O1479">
        <v>2.9674762808349153</v>
      </c>
      <c r="P1479">
        <v>-11.869905123339661</v>
      </c>
      <c r="Q1479" t="s">
        <v>381</v>
      </c>
    </row>
    <row r="1480" spans="1:17" x14ac:dyDescent="0.15">
      <c r="A1480" t="s">
        <v>68</v>
      </c>
      <c r="B1480" t="s">
        <v>166</v>
      </c>
      <c r="C1480">
        <v>163</v>
      </c>
      <c r="D1480" t="s">
        <v>161</v>
      </c>
      <c r="E1480" s="1">
        <v>42976</v>
      </c>
      <c r="F1480" t="s">
        <v>383</v>
      </c>
      <c r="G1480" t="s">
        <v>1191</v>
      </c>
      <c r="H1480">
        <v>-1</v>
      </c>
      <c r="I1480" t="s">
        <v>37</v>
      </c>
      <c r="J1480">
        <v>0</v>
      </c>
      <c r="M1480" t="s">
        <v>241</v>
      </c>
      <c r="N1480" t="s">
        <v>1193</v>
      </c>
    </row>
    <row r="1481" spans="1:17" x14ac:dyDescent="0.15">
      <c r="A1481" t="s">
        <v>68</v>
      </c>
      <c r="B1481" t="s">
        <v>166</v>
      </c>
      <c r="C1481">
        <v>163</v>
      </c>
      <c r="D1481" t="s">
        <v>161</v>
      </c>
      <c r="E1481" s="1">
        <v>42976</v>
      </c>
      <c r="F1481" t="s">
        <v>383</v>
      </c>
      <c r="G1481" t="s">
        <v>1191</v>
      </c>
      <c r="H1481">
        <v>-1</v>
      </c>
      <c r="I1481" t="s">
        <v>37</v>
      </c>
      <c r="J1481">
        <v>0</v>
      </c>
      <c r="M1481" t="s">
        <v>1910</v>
      </c>
      <c r="N1481" t="s">
        <v>1193</v>
      </c>
      <c r="O1481">
        <v>2.9674762808349153</v>
      </c>
      <c r="P1481">
        <v>-2.9674762808349153</v>
      </c>
      <c r="Q1481" t="s">
        <v>381</v>
      </c>
    </row>
    <row r="1482" spans="1:17" x14ac:dyDescent="0.15">
      <c r="A1482" t="s">
        <v>68</v>
      </c>
      <c r="B1482" t="s">
        <v>166</v>
      </c>
      <c r="C1482">
        <v>163</v>
      </c>
      <c r="D1482" t="s">
        <v>161</v>
      </c>
      <c r="E1482" s="1">
        <v>42997</v>
      </c>
      <c r="F1482" t="s">
        <v>383</v>
      </c>
      <c r="G1482" t="s">
        <v>1239</v>
      </c>
      <c r="H1482">
        <v>-1</v>
      </c>
      <c r="I1482" t="s">
        <v>37</v>
      </c>
      <c r="J1482">
        <v>0</v>
      </c>
      <c r="M1482" t="s">
        <v>241</v>
      </c>
      <c r="N1482" t="s">
        <v>1241</v>
      </c>
    </row>
    <row r="1483" spans="1:17" x14ac:dyDescent="0.15">
      <c r="A1483" t="s">
        <v>68</v>
      </c>
      <c r="B1483" t="s">
        <v>166</v>
      </c>
      <c r="C1483">
        <v>163</v>
      </c>
      <c r="D1483" t="s">
        <v>161</v>
      </c>
      <c r="E1483" s="1">
        <v>42997</v>
      </c>
      <c r="F1483" t="s">
        <v>383</v>
      </c>
      <c r="G1483" t="s">
        <v>1239</v>
      </c>
      <c r="H1483">
        <v>-1</v>
      </c>
      <c r="I1483" t="s">
        <v>37</v>
      </c>
      <c r="J1483">
        <v>0</v>
      </c>
      <c r="M1483" t="s">
        <v>1910</v>
      </c>
      <c r="N1483" t="s">
        <v>1241</v>
      </c>
      <c r="O1483">
        <v>2.9674762808349158</v>
      </c>
      <c r="P1483">
        <v>-2.9674762808349158</v>
      </c>
      <c r="Q1483" t="s">
        <v>381</v>
      </c>
    </row>
    <row r="1484" spans="1:17" x14ac:dyDescent="0.15">
      <c r="A1484" t="s">
        <v>68</v>
      </c>
      <c r="B1484" t="s">
        <v>166</v>
      </c>
      <c r="C1484">
        <v>163</v>
      </c>
      <c r="D1484" t="s">
        <v>161</v>
      </c>
      <c r="E1484" s="1">
        <v>42999</v>
      </c>
      <c r="F1484" t="s">
        <v>383</v>
      </c>
      <c r="G1484" t="s">
        <v>1258</v>
      </c>
      <c r="H1484">
        <v>-2</v>
      </c>
      <c r="I1484" t="s">
        <v>37</v>
      </c>
      <c r="J1484">
        <v>0</v>
      </c>
      <c r="M1484" t="s">
        <v>241</v>
      </c>
      <c r="N1484" t="s">
        <v>1262</v>
      </c>
    </row>
    <row r="1485" spans="1:17" x14ac:dyDescent="0.15">
      <c r="A1485" t="s">
        <v>68</v>
      </c>
      <c r="B1485" t="s">
        <v>166</v>
      </c>
      <c r="C1485">
        <v>163</v>
      </c>
      <c r="D1485" t="s">
        <v>161</v>
      </c>
      <c r="E1485" s="1">
        <v>42999</v>
      </c>
      <c r="F1485" t="s">
        <v>383</v>
      </c>
      <c r="G1485" t="s">
        <v>1258</v>
      </c>
      <c r="H1485">
        <v>-2</v>
      </c>
      <c r="I1485" t="s">
        <v>37</v>
      </c>
      <c r="J1485">
        <v>0</v>
      </c>
      <c r="M1485" t="s">
        <v>1910</v>
      </c>
      <c r="N1485" t="s">
        <v>1262</v>
      </c>
      <c r="O1485">
        <v>2.9674762808349162</v>
      </c>
      <c r="P1485">
        <v>-5.9349525616698324</v>
      </c>
      <c r="Q1485" t="s">
        <v>381</v>
      </c>
    </row>
    <row r="1486" spans="1:17" x14ac:dyDescent="0.15">
      <c r="A1486" t="s">
        <v>68</v>
      </c>
      <c r="B1486" t="s">
        <v>166</v>
      </c>
      <c r="C1486">
        <v>163</v>
      </c>
      <c r="D1486" t="s">
        <v>161</v>
      </c>
      <c r="E1486" s="1">
        <v>42999</v>
      </c>
      <c r="F1486" t="s">
        <v>383</v>
      </c>
      <c r="G1486" t="s">
        <v>1258</v>
      </c>
      <c r="H1486">
        <v>1</v>
      </c>
      <c r="I1486" t="s">
        <v>37</v>
      </c>
      <c r="J1486">
        <v>0</v>
      </c>
      <c r="M1486" t="s">
        <v>241</v>
      </c>
      <c r="N1486" t="s">
        <v>1262</v>
      </c>
    </row>
    <row r="1487" spans="1:17" x14ac:dyDescent="0.15">
      <c r="A1487" t="s">
        <v>68</v>
      </c>
      <c r="B1487" t="s">
        <v>166</v>
      </c>
      <c r="C1487">
        <v>163</v>
      </c>
      <c r="D1487" t="s">
        <v>161</v>
      </c>
      <c r="E1487" s="1">
        <v>42999</v>
      </c>
      <c r="F1487" t="s">
        <v>383</v>
      </c>
      <c r="G1487" t="s">
        <v>1258</v>
      </c>
      <c r="H1487">
        <v>1</v>
      </c>
      <c r="I1487" t="s">
        <v>37</v>
      </c>
      <c r="J1487">
        <v>0</v>
      </c>
      <c r="M1487" t="s">
        <v>1910</v>
      </c>
      <c r="N1487" t="s">
        <v>1262</v>
      </c>
      <c r="O1487">
        <v>2.9337549594617922</v>
      </c>
      <c r="P1487">
        <v>258.1704364326377</v>
      </c>
      <c r="Q1487" t="s">
        <v>381</v>
      </c>
    </row>
    <row r="1488" spans="1:17" x14ac:dyDescent="0.15">
      <c r="A1488" t="s">
        <v>68</v>
      </c>
      <c r="B1488" t="s">
        <v>166</v>
      </c>
      <c r="C1488">
        <v>163</v>
      </c>
      <c r="D1488" t="s">
        <v>161</v>
      </c>
      <c r="E1488" s="1">
        <v>43021</v>
      </c>
      <c r="F1488" t="s">
        <v>383</v>
      </c>
      <c r="G1488" t="s">
        <v>1293</v>
      </c>
      <c r="H1488">
        <v>-5</v>
      </c>
      <c r="I1488" t="s">
        <v>37</v>
      </c>
      <c r="J1488">
        <v>0</v>
      </c>
      <c r="M1488" t="s">
        <v>241</v>
      </c>
      <c r="N1488" t="s">
        <v>1296</v>
      </c>
    </row>
    <row r="1489" spans="1:17" x14ac:dyDescent="0.15">
      <c r="A1489" t="s">
        <v>68</v>
      </c>
      <c r="B1489" t="s">
        <v>166</v>
      </c>
      <c r="C1489">
        <v>163</v>
      </c>
      <c r="D1489" t="s">
        <v>161</v>
      </c>
      <c r="E1489" s="1">
        <v>43021</v>
      </c>
      <c r="F1489" t="s">
        <v>383</v>
      </c>
      <c r="G1489" t="s">
        <v>1293</v>
      </c>
      <c r="H1489">
        <v>-5</v>
      </c>
      <c r="I1489" t="s">
        <v>37</v>
      </c>
      <c r="J1489">
        <v>0</v>
      </c>
      <c r="M1489" t="s">
        <v>1910</v>
      </c>
      <c r="N1489" t="s">
        <v>1296</v>
      </c>
      <c r="O1489">
        <v>2.9337549594617922</v>
      </c>
      <c r="P1489">
        <v>-14.668774797308961</v>
      </c>
      <c r="Q1489" t="s">
        <v>381</v>
      </c>
    </row>
    <row r="1490" spans="1:17" x14ac:dyDescent="0.15">
      <c r="A1490" t="s">
        <v>68</v>
      </c>
      <c r="B1490" t="s">
        <v>166</v>
      </c>
      <c r="C1490">
        <v>163</v>
      </c>
      <c r="D1490" t="s">
        <v>161</v>
      </c>
      <c r="E1490" s="1">
        <v>43027</v>
      </c>
      <c r="F1490" t="s">
        <v>383</v>
      </c>
      <c r="G1490" t="s">
        <v>1310</v>
      </c>
      <c r="H1490">
        <v>-5</v>
      </c>
      <c r="I1490" t="s">
        <v>37</v>
      </c>
      <c r="J1490">
        <v>0</v>
      </c>
      <c r="M1490" t="s">
        <v>241</v>
      </c>
      <c r="N1490" t="s">
        <v>1311</v>
      </c>
    </row>
    <row r="1491" spans="1:17" x14ac:dyDescent="0.15">
      <c r="A1491" t="s">
        <v>68</v>
      </c>
      <c r="B1491" t="s">
        <v>166</v>
      </c>
      <c r="C1491">
        <v>163</v>
      </c>
      <c r="D1491" t="s">
        <v>161</v>
      </c>
      <c r="E1491" s="1">
        <v>43027</v>
      </c>
      <c r="F1491" t="s">
        <v>383</v>
      </c>
      <c r="G1491" t="s">
        <v>1310</v>
      </c>
      <c r="H1491">
        <v>-5</v>
      </c>
      <c r="I1491" t="s">
        <v>37</v>
      </c>
      <c r="J1491">
        <v>0</v>
      </c>
      <c r="M1491" t="s">
        <v>1910</v>
      </c>
      <c r="N1491" t="s">
        <v>1311</v>
      </c>
      <c r="O1491">
        <v>2.9337549594617918</v>
      </c>
      <c r="P1491">
        <v>-14.668774797308959</v>
      </c>
      <c r="Q1491" t="s">
        <v>381</v>
      </c>
    </row>
    <row r="1492" spans="1:17" x14ac:dyDescent="0.15">
      <c r="A1492" t="s">
        <v>68</v>
      </c>
      <c r="B1492" t="s">
        <v>166</v>
      </c>
      <c r="C1492">
        <v>163</v>
      </c>
      <c r="D1492" t="s">
        <v>161</v>
      </c>
      <c r="E1492" s="1">
        <v>43047</v>
      </c>
      <c r="F1492" t="s">
        <v>383</v>
      </c>
      <c r="G1492" t="s">
        <v>1349</v>
      </c>
      <c r="H1492">
        <v>-2</v>
      </c>
      <c r="I1492" t="s">
        <v>37</v>
      </c>
      <c r="J1492">
        <v>0</v>
      </c>
      <c r="M1492" t="s">
        <v>241</v>
      </c>
      <c r="N1492" t="s">
        <v>1350</v>
      </c>
    </row>
    <row r="1493" spans="1:17" x14ac:dyDescent="0.15">
      <c r="A1493" t="s">
        <v>68</v>
      </c>
      <c r="B1493" t="s">
        <v>166</v>
      </c>
      <c r="C1493">
        <v>163</v>
      </c>
      <c r="D1493" t="s">
        <v>161</v>
      </c>
      <c r="E1493" s="1">
        <v>43047</v>
      </c>
      <c r="F1493" t="s">
        <v>383</v>
      </c>
      <c r="G1493" t="s">
        <v>1349</v>
      </c>
      <c r="H1493">
        <v>-2</v>
      </c>
      <c r="I1493" t="s">
        <v>37</v>
      </c>
      <c r="J1493">
        <v>0</v>
      </c>
      <c r="M1493" t="s">
        <v>1910</v>
      </c>
      <c r="N1493" t="s">
        <v>1350</v>
      </c>
      <c r="O1493">
        <v>2.9337549594617918</v>
      </c>
      <c r="P1493">
        <v>-5.8675099189235835</v>
      </c>
      <c r="Q1493" t="s">
        <v>381</v>
      </c>
    </row>
    <row r="1494" spans="1:17" x14ac:dyDescent="0.15">
      <c r="A1494" t="s">
        <v>68</v>
      </c>
      <c r="B1494" t="s">
        <v>166</v>
      </c>
      <c r="C1494">
        <v>163</v>
      </c>
      <c r="D1494" t="s">
        <v>161</v>
      </c>
      <c r="E1494" s="1">
        <v>43056</v>
      </c>
      <c r="F1494" t="s">
        <v>383</v>
      </c>
      <c r="G1494" t="s">
        <v>1371</v>
      </c>
      <c r="H1494">
        <v>-2</v>
      </c>
      <c r="I1494" t="s">
        <v>37</v>
      </c>
      <c r="J1494">
        <v>0</v>
      </c>
      <c r="M1494" t="s">
        <v>241</v>
      </c>
      <c r="N1494" t="s">
        <v>1373</v>
      </c>
    </row>
    <row r="1495" spans="1:17" x14ac:dyDescent="0.15">
      <c r="A1495" t="s">
        <v>68</v>
      </c>
      <c r="B1495" t="s">
        <v>166</v>
      </c>
      <c r="C1495">
        <v>163</v>
      </c>
      <c r="D1495" t="s">
        <v>161</v>
      </c>
      <c r="E1495" s="1">
        <v>43056</v>
      </c>
      <c r="F1495" t="s">
        <v>383</v>
      </c>
      <c r="G1495" t="s">
        <v>1371</v>
      </c>
      <c r="H1495">
        <v>-2</v>
      </c>
      <c r="I1495" t="s">
        <v>37</v>
      </c>
      <c r="J1495">
        <v>0</v>
      </c>
      <c r="M1495" t="s">
        <v>1910</v>
      </c>
      <c r="N1495" t="s">
        <v>1373</v>
      </c>
      <c r="O1495">
        <v>2.9337549594617918</v>
      </c>
      <c r="P1495">
        <v>-5.8675099189235835</v>
      </c>
      <c r="Q1495" t="s">
        <v>381</v>
      </c>
    </row>
    <row r="1496" spans="1:17" x14ac:dyDescent="0.15">
      <c r="A1496" t="s">
        <v>68</v>
      </c>
      <c r="B1496" t="s">
        <v>166</v>
      </c>
      <c r="C1496">
        <v>163</v>
      </c>
      <c r="D1496" t="s">
        <v>161</v>
      </c>
      <c r="E1496" s="1">
        <v>43063</v>
      </c>
      <c r="F1496" t="s">
        <v>383</v>
      </c>
      <c r="G1496" t="s">
        <v>1358</v>
      </c>
      <c r="H1496">
        <v>-12</v>
      </c>
      <c r="I1496" t="s">
        <v>37</v>
      </c>
      <c r="J1496">
        <v>0</v>
      </c>
      <c r="M1496" t="s">
        <v>241</v>
      </c>
      <c r="N1496" t="s">
        <v>1362</v>
      </c>
    </row>
    <row r="1497" spans="1:17" x14ac:dyDescent="0.15">
      <c r="A1497" t="s">
        <v>68</v>
      </c>
      <c r="B1497" t="s">
        <v>166</v>
      </c>
      <c r="C1497">
        <v>163</v>
      </c>
      <c r="D1497" t="s">
        <v>161</v>
      </c>
      <c r="E1497" s="1">
        <v>43063</v>
      </c>
      <c r="F1497" t="s">
        <v>383</v>
      </c>
      <c r="G1497" t="s">
        <v>1358</v>
      </c>
      <c r="H1497">
        <v>-12</v>
      </c>
      <c r="I1497" t="s">
        <v>37</v>
      </c>
      <c r="J1497">
        <v>0</v>
      </c>
      <c r="M1497" t="s">
        <v>1910</v>
      </c>
      <c r="N1497" t="s">
        <v>1362</v>
      </c>
      <c r="O1497">
        <v>2.9337549594617918</v>
      </c>
      <c r="P1497">
        <v>-35.205059513541499</v>
      </c>
      <c r="Q1497" t="s">
        <v>381</v>
      </c>
    </row>
    <row r="1498" spans="1:17" x14ac:dyDescent="0.15">
      <c r="A1498" t="s">
        <v>68</v>
      </c>
      <c r="B1498" t="s">
        <v>166</v>
      </c>
      <c r="C1498">
        <v>163</v>
      </c>
      <c r="D1498" t="s">
        <v>161</v>
      </c>
      <c r="E1498" s="1">
        <v>43063</v>
      </c>
      <c r="F1498" t="s">
        <v>383</v>
      </c>
      <c r="G1498" t="s">
        <v>1399</v>
      </c>
      <c r="H1498">
        <v>-10</v>
      </c>
      <c r="I1498" t="s">
        <v>37</v>
      </c>
      <c r="J1498">
        <v>0</v>
      </c>
      <c r="M1498" t="s">
        <v>241</v>
      </c>
      <c r="N1498" t="s">
        <v>1402</v>
      </c>
    </row>
    <row r="1499" spans="1:17" x14ac:dyDescent="0.15">
      <c r="A1499" t="s">
        <v>68</v>
      </c>
      <c r="B1499" t="s">
        <v>166</v>
      </c>
      <c r="C1499">
        <v>163</v>
      </c>
      <c r="D1499" t="s">
        <v>161</v>
      </c>
      <c r="E1499" s="1">
        <v>43063</v>
      </c>
      <c r="F1499" t="s">
        <v>383</v>
      </c>
      <c r="G1499" t="s">
        <v>1399</v>
      </c>
      <c r="H1499">
        <v>-10</v>
      </c>
      <c r="I1499" t="s">
        <v>37</v>
      </c>
      <c r="J1499">
        <v>0</v>
      </c>
      <c r="M1499" t="s">
        <v>1910</v>
      </c>
      <c r="N1499" t="s">
        <v>1402</v>
      </c>
      <c r="O1499">
        <v>2.9337549594617918</v>
      </c>
      <c r="P1499">
        <v>-29.337549594617919</v>
      </c>
      <c r="Q1499" t="s">
        <v>381</v>
      </c>
    </row>
    <row r="1500" spans="1:17" x14ac:dyDescent="0.15">
      <c r="A1500" t="s">
        <v>68</v>
      </c>
      <c r="B1500" t="s">
        <v>166</v>
      </c>
      <c r="C1500">
        <v>163</v>
      </c>
      <c r="D1500" t="s">
        <v>161</v>
      </c>
      <c r="E1500" s="1">
        <v>43067</v>
      </c>
      <c r="F1500" t="s">
        <v>383</v>
      </c>
      <c r="G1500" t="s">
        <v>1403</v>
      </c>
      <c r="H1500">
        <v>-5</v>
      </c>
      <c r="I1500" t="s">
        <v>37</v>
      </c>
      <c r="J1500">
        <v>0</v>
      </c>
      <c r="M1500" t="s">
        <v>241</v>
      </c>
      <c r="N1500" t="s">
        <v>1408</v>
      </c>
    </row>
    <row r="1501" spans="1:17" x14ac:dyDescent="0.15">
      <c r="A1501" t="s">
        <v>68</v>
      </c>
      <c r="B1501" t="s">
        <v>166</v>
      </c>
      <c r="C1501">
        <v>163</v>
      </c>
      <c r="D1501" t="s">
        <v>161</v>
      </c>
      <c r="E1501" s="1">
        <v>43067</v>
      </c>
      <c r="F1501" t="s">
        <v>383</v>
      </c>
      <c r="G1501" t="s">
        <v>1403</v>
      </c>
      <c r="H1501">
        <v>-5</v>
      </c>
      <c r="I1501" t="s">
        <v>37</v>
      </c>
      <c r="J1501">
        <v>0</v>
      </c>
      <c r="M1501" t="s">
        <v>1910</v>
      </c>
      <c r="N1501" t="s">
        <v>1408</v>
      </c>
      <c r="O1501">
        <v>2.9337549594617918</v>
      </c>
      <c r="P1501">
        <v>-14.668774797308959</v>
      </c>
      <c r="Q1501" t="s">
        <v>381</v>
      </c>
    </row>
    <row r="1502" spans="1:17" x14ac:dyDescent="0.15">
      <c r="A1502" t="s">
        <v>68</v>
      </c>
      <c r="B1502" t="s">
        <v>166</v>
      </c>
      <c r="C1502">
        <v>163</v>
      </c>
      <c r="D1502" t="s">
        <v>161</v>
      </c>
      <c r="E1502" s="1">
        <v>43067</v>
      </c>
      <c r="F1502" t="s">
        <v>383</v>
      </c>
      <c r="G1502" t="s">
        <v>1403</v>
      </c>
      <c r="H1502">
        <v>3</v>
      </c>
      <c r="I1502" t="s">
        <v>37</v>
      </c>
      <c r="J1502">
        <v>0</v>
      </c>
      <c r="M1502" t="s">
        <v>241</v>
      </c>
      <c r="N1502" t="s">
        <v>1408</v>
      </c>
    </row>
    <row r="1503" spans="1:17" x14ac:dyDescent="0.15">
      <c r="A1503" t="s">
        <v>68</v>
      </c>
      <c r="B1503" t="s">
        <v>166</v>
      </c>
      <c r="C1503">
        <v>163</v>
      </c>
      <c r="D1503" t="s">
        <v>161</v>
      </c>
      <c r="E1503" s="1">
        <v>43067</v>
      </c>
      <c r="F1503" t="s">
        <v>383</v>
      </c>
      <c r="G1503" t="s">
        <v>1403</v>
      </c>
      <c r="H1503">
        <v>3</v>
      </c>
      <c r="I1503" t="s">
        <v>37</v>
      </c>
      <c r="J1503">
        <v>0</v>
      </c>
      <c r="M1503" t="s">
        <v>1910</v>
      </c>
      <c r="N1503" t="s">
        <v>1408</v>
      </c>
      <c r="O1503">
        <v>2.7577296618940839</v>
      </c>
      <c r="P1503">
        <v>137.8864830947042</v>
      </c>
      <c r="Q1503" t="s">
        <v>381</v>
      </c>
    </row>
    <row r="1504" spans="1:17" x14ac:dyDescent="0.15">
      <c r="A1504" t="s">
        <v>68</v>
      </c>
      <c r="B1504" t="s">
        <v>166</v>
      </c>
      <c r="C1504">
        <v>163</v>
      </c>
      <c r="D1504" t="s">
        <v>161</v>
      </c>
      <c r="E1504" s="1">
        <v>43088</v>
      </c>
      <c r="F1504" t="s">
        <v>383</v>
      </c>
      <c r="G1504" t="s">
        <v>1470</v>
      </c>
      <c r="H1504">
        <v>-10</v>
      </c>
      <c r="I1504" t="s">
        <v>37</v>
      </c>
      <c r="J1504">
        <v>0</v>
      </c>
      <c r="M1504" t="s">
        <v>241</v>
      </c>
      <c r="N1504" t="s">
        <v>1474</v>
      </c>
    </row>
    <row r="1505" spans="1:17" x14ac:dyDescent="0.15">
      <c r="A1505" t="s">
        <v>68</v>
      </c>
      <c r="B1505" t="s">
        <v>166</v>
      </c>
      <c r="C1505">
        <v>163</v>
      </c>
      <c r="D1505" t="s">
        <v>161</v>
      </c>
      <c r="E1505" s="1">
        <v>43088</v>
      </c>
      <c r="F1505" t="s">
        <v>383</v>
      </c>
      <c r="G1505" t="s">
        <v>1470</v>
      </c>
      <c r="H1505">
        <v>-10</v>
      </c>
      <c r="I1505" t="s">
        <v>37</v>
      </c>
      <c r="J1505">
        <v>0</v>
      </c>
      <c r="M1505" t="s">
        <v>1910</v>
      </c>
      <c r="N1505" t="s">
        <v>1474</v>
      </c>
      <c r="O1505">
        <v>2.7577296618940839</v>
      </c>
      <c r="P1505">
        <v>-27.577296618940839</v>
      </c>
      <c r="Q1505" t="s">
        <v>381</v>
      </c>
    </row>
    <row r="1506" spans="1:17" x14ac:dyDescent="0.15">
      <c r="A1506" t="s">
        <v>68</v>
      </c>
      <c r="B1506" t="s">
        <v>166</v>
      </c>
      <c r="C1506">
        <v>163</v>
      </c>
      <c r="D1506" t="s">
        <v>161</v>
      </c>
      <c r="E1506" s="1">
        <v>43089</v>
      </c>
      <c r="F1506" t="s">
        <v>21</v>
      </c>
      <c r="G1506" t="s">
        <v>1894</v>
      </c>
      <c r="H1506">
        <v>1</v>
      </c>
      <c r="I1506" t="s">
        <v>37</v>
      </c>
      <c r="J1506">
        <v>0</v>
      </c>
      <c r="M1506" t="s">
        <v>241</v>
      </c>
      <c r="N1506" t="s">
        <v>1900</v>
      </c>
    </row>
    <row r="1507" spans="1:17" x14ac:dyDescent="0.15">
      <c r="A1507" t="s">
        <v>68</v>
      </c>
      <c r="B1507" t="s">
        <v>166</v>
      </c>
      <c r="C1507">
        <v>163</v>
      </c>
      <c r="D1507" t="s">
        <v>161</v>
      </c>
      <c r="E1507" s="1">
        <v>43089</v>
      </c>
      <c r="F1507" t="s">
        <v>21</v>
      </c>
      <c r="G1507" t="s">
        <v>1894</v>
      </c>
      <c r="H1507">
        <v>1</v>
      </c>
      <c r="I1507" t="s">
        <v>37</v>
      </c>
      <c r="J1507">
        <v>0</v>
      </c>
      <c r="M1507" t="s">
        <v>1910</v>
      </c>
      <c r="N1507" t="s">
        <v>1900</v>
      </c>
      <c r="O1507">
        <v>2.6904679628234969</v>
      </c>
      <c r="P1507">
        <v>110.30918647576337</v>
      </c>
      <c r="Q1507" t="s">
        <v>381</v>
      </c>
    </row>
    <row r="1508" spans="1:17" ht="40.5" x14ac:dyDescent="0.15">
      <c r="A1508" t="s">
        <v>370</v>
      </c>
      <c r="B1508" s="15" t="s">
        <v>371</v>
      </c>
      <c r="C1508">
        <v>163</v>
      </c>
      <c r="D1508" t="s">
        <v>161</v>
      </c>
      <c r="E1508" s="1">
        <v>43069</v>
      </c>
      <c r="F1508" t="s">
        <v>17</v>
      </c>
      <c r="G1508" t="s">
        <v>1673</v>
      </c>
      <c r="H1508">
        <v>42</v>
      </c>
      <c r="I1508" t="s">
        <v>37</v>
      </c>
      <c r="J1508">
        <v>0</v>
      </c>
      <c r="K1508">
        <v>0</v>
      </c>
      <c r="M1508" t="s">
        <v>241</v>
      </c>
      <c r="N1508" t="s">
        <v>1674</v>
      </c>
    </row>
    <row r="1509" spans="1:17" ht="40.5" x14ac:dyDescent="0.15">
      <c r="A1509" t="s">
        <v>370</v>
      </c>
      <c r="B1509" s="15" t="s">
        <v>371</v>
      </c>
      <c r="C1509">
        <v>163</v>
      </c>
      <c r="D1509" t="s">
        <v>161</v>
      </c>
      <c r="E1509" s="1">
        <v>43069</v>
      </c>
      <c r="F1509" t="s">
        <v>17</v>
      </c>
      <c r="G1509" t="s">
        <v>1673</v>
      </c>
      <c r="H1509">
        <v>42</v>
      </c>
      <c r="I1509" t="s">
        <v>37</v>
      </c>
      <c r="J1509">
        <v>0</v>
      </c>
      <c r="K1509">
        <v>0</v>
      </c>
      <c r="M1509" t="s">
        <v>1910</v>
      </c>
      <c r="N1509" t="s">
        <v>1674</v>
      </c>
      <c r="O1509">
        <v>0</v>
      </c>
      <c r="P1509">
        <v>0</v>
      </c>
      <c r="Q1509" t="s">
        <v>381</v>
      </c>
    </row>
    <row r="1510" spans="1:17" x14ac:dyDescent="0.15">
      <c r="A1510" t="s">
        <v>117</v>
      </c>
      <c r="B1510" t="s">
        <v>118</v>
      </c>
      <c r="C1510">
        <v>163</v>
      </c>
      <c r="D1510" t="s">
        <v>161</v>
      </c>
      <c r="E1510" s="1">
        <v>42849</v>
      </c>
      <c r="F1510" t="s">
        <v>383</v>
      </c>
      <c r="G1510" t="s">
        <v>481</v>
      </c>
      <c r="H1510">
        <v>-4</v>
      </c>
      <c r="I1510" t="s">
        <v>37</v>
      </c>
      <c r="J1510">
        <v>0</v>
      </c>
      <c r="M1510" t="s">
        <v>241</v>
      </c>
      <c r="N1510" t="s">
        <v>484</v>
      </c>
    </row>
    <row r="1511" spans="1:17" x14ac:dyDescent="0.15">
      <c r="A1511" t="s">
        <v>117</v>
      </c>
      <c r="B1511" t="s">
        <v>118</v>
      </c>
      <c r="C1511">
        <v>163</v>
      </c>
      <c r="D1511" t="s">
        <v>161</v>
      </c>
      <c r="E1511" s="1">
        <v>42849</v>
      </c>
      <c r="F1511" t="s">
        <v>383</v>
      </c>
      <c r="G1511" t="s">
        <v>481</v>
      </c>
      <c r="H1511">
        <v>-4</v>
      </c>
      <c r="I1511" t="s">
        <v>37</v>
      </c>
      <c r="J1511">
        <v>0</v>
      </c>
      <c r="M1511" t="s">
        <v>1910</v>
      </c>
      <c r="N1511" t="s">
        <v>484</v>
      </c>
      <c r="O1511">
        <v>0</v>
      </c>
      <c r="P1511">
        <v>0</v>
      </c>
      <c r="Q1511" t="s">
        <v>381</v>
      </c>
    </row>
    <row r="1512" spans="1:17" x14ac:dyDescent="0.15">
      <c r="A1512" t="s">
        <v>117</v>
      </c>
      <c r="B1512" t="s">
        <v>118</v>
      </c>
      <c r="C1512">
        <v>163</v>
      </c>
      <c r="D1512" t="s">
        <v>161</v>
      </c>
      <c r="E1512" s="1">
        <v>42900</v>
      </c>
      <c r="F1512" t="s">
        <v>383</v>
      </c>
      <c r="G1512" t="s">
        <v>629</v>
      </c>
      <c r="H1512">
        <v>-5</v>
      </c>
      <c r="I1512" t="s">
        <v>37</v>
      </c>
      <c r="J1512">
        <v>0</v>
      </c>
      <c r="M1512" t="s">
        <v>241</v>
      </c>
      <c r="N1512" t="s">
        <v>635</v>
      </c>
    </row>
    <row r="1513" spans="1:17" x14ac:dyDescent="0.15">
      <c r="A1513" t="s">
        <v>117</v>
      </c>
      <c r="B1513" t="s">
        <v>118</v>
      </c>
      <c r="C1513">
        <v>163</v>
      </c>
      <c r="D1513" t="s">
        <v>161</v>
      </c>
      <c r="E1513" s="1">
        <v>42900</v>
      </c>
      <c r="F1513" t="s">
        <v>383</v>
      </c>
      <c r="G1513" t="s">
        <v>629</v>
      </c>
      <c r="H1513">
        <v>-5</v>
      </c>
      <c r="I1513" t="s">
        <v>37</v>
      </c>
      <c r="J1513">
        <v>0</v>
      </c>
      <c r="M1513" t="s">
        <v>1910</v>
      </c>
      <c r="N1513" t="s">
        <v>635</v>
      </c>
      <c r="O1513">
        <v>0</v>
      </c>
      <c r="P1513">
        <v>0</v>
      </c>
      <c r="Q1513" t="s">
        <v>381</v>
      </c>
    </row>
    <row r="1514" spans="1:17" x14ac:dyDescent="0.15">
      <c r="A1514" t="s">
        <v>117</v>
      </c>
      <c r="B1514" t="s">
        <v>118</v>
      </c>
      <c r="C1514">
        <v>163</v>
      </c>
      <c r="D1514" t="s">
        <v>161</v>
      </c>
      <c r="E1514" s="1">
        <v>42914</v>
      </c>
      <c r="F1514" t="s">
        <v>21</v>
      </c>
      <c r="G1514" t="s">
        <v>187</v>
      </c>
      <c r="H1514">
        <v>-1</v>
      </c>
      <c r="I1514" t="s">
        <v>37</v>
      </c>
      <c r="J1514">
        <v>0</v>
      </c>
      <c r="M1514" t="s">
        <v>241</v>
      </c>
      <c r="N1514" t="s">
        <v>934</v>
      </c>
    </row>
    <row r="1515" spans="1:17" x14ac:dyDescent="0.15">
      <c r="A1515" t="s">
        <v>117</v>
      </c>
      <c r="B1515" t="s">
        <v>118</v>
      </c>
      <c r="C1515">
        <v>163</v>
      </c>
      <c r="D1515" t="s">
        <v>161</v>
      </c>
      <c r="E1515" s="1">
        <v>42914</v>
      </c>
      <c r="F1515" t="s">
        <v>21</v>
      </c>
      <c r="G1515" t="s">
        <v>187</v>
      </c>
      <c r="H1515">
        <v>-1</v>
      </c>
      <c r="I1515" t="s">
        <v>37</v>
      </c>
      <c r="J1515">
        <v>0</v>
      </c>
      <c r="M1515" t="s">
        <v>1910</v>
      </c>
      <c r="N1515" t="s">
        <v>934</v>
      </c>
      <c r="O1515">
        <v>0</v>
      </c>
      <c r="P1515">
        <v>0</v>
      </c>
      <c r="Q1515" t="s">
        <v>381</v>
      </c>
    </row>
    <row r="1516" spans="1:17" x14ac:dyDescent="0.15">
      <c r="A1516" t="s">
        <v>117</v>
      </c>
      <c r="B1516" t="s">
        <v>118</v>
      </c>
      <c r="C1516">
        <v>163</v>
      </c>
      <c r="D1516" t="s">
        <v>161</v>
      </c>
      <c r="E1516" s="1">
        <v>42922</v>
      </c>
      <c r="F1516" t="s">
        <v>383</v>
      </c>
      <c r="G1516" t="s">
        <v>1043</v>
      </c>
      <c r="H1516">
        <v>-3</v>
      </c>
      <c r="I1516" t="s">
        <v>37</v>
      </c>
      <c r="J1516">
        <v>0</v>
      </c>
      <c r="M1516" t="s">
        <v>241</v>
      </c>
      <c r="N1516" t="s">
        <v>1045</v>
      </c>
    </row>
    <row r="1517" spans="1:17" x14ac:dyDescent="0.15">
      <c r="A1517" t="s">
        <v>117</v>
      </c>
      <c r="B1517" t="s">
        <v>118</v>
      </c>
      <c r="C1517">
        <v>163</v>
      </c>
      <c r="D1517" t="s">
        <v>161</v>
      </c>
      <c r="E1517" s="1">
        <v>42922</v>
      </c>
      <c r="F1517" t="s">
        <v>383</v>
      </c>
      <c r="G1517" t="s">
        <v>1043</v>
      </c>
      <c r="H1517">
        <v>-3</v>
      </c>
      <c r="I1517" t="s">
        <v>37</v>
      </c>
      <c r="J1517">
        <v>0</v>
      </c>
      <c r="M1517" t="s">
        <v>1910</v>
      </c>
      <c r="N1517" t="s">
        <v>1045</v>
      </c>
      <c r="O1517">
        <v>0</v>
      </c>
      <c r="P1517">
        <v>0</v>
      </c>
      <c r="Q1517" t="s">
        <v>381</v>
      </c>
    </row>
    <row r="1518" spans="1:17" x14ac:dyDescent="0.15">
      <c r="A1518" t="s">
        <v>117</v>
      </c>
      <c r="B1518" t="s">
        <v>118</v>
      </c>
      <c r="C1518">
        <v>163</v>
      </c>
      <c r="D1518" t="s">
        <v>161</v>
      </c>
      <c r="E1518" s="1">
        <v>42971</v>
      </c>
      <c r="F1518" t="s">
        <v>383</v>
      </c>
      <c r="G1518" t="s">
        <v>1176</v>
      </c>
      <c r="H1518">
        <v>-4</v>
      </c>
      <c r="I1518" t="s">
        <v>37</v>
      </c>
      <c r="J1518">
        <v>0</v>
      </c>
      <c r="M1518" t="s">
        <v>241</v>
      </c>
      <c r="N1518" t="s">
        <v>1177</v>
      </c>
    </row>
    <row r="1519" spans="1:17" x14ac:dyDescent="0.15">
      <c r="A1519" t="s">
        <v>117</v>
      </c>
      <c r="B1519" t="s">
        <v>118</v>
      </c>
      <c r="C1519">
        <v>163</v>
      </c>
      <c r="D1519" t="s">
        <v>161</v>
      </c>
      <c r="E1519" s="1">
        <v>42971</v>
      </c>
      <c r="F1519" t="s">
        <v>383</v>
      </c>
      <c r="G1519" t="s">
        <v>1176</v>
      </c>
      <c r="H1519">
        <v>-4</v>
      </c>
      <c r="I1519" t="s">
        <v>37</v>
      </c>
      <c r="J1519">
        <v>0</v>
      </c>
      <c r="M1519" t="s">
        <v>1910</v>
      </c>
      <c r="N1519" t="s">
        <v>1177</v>
      </c>
      <c r="O1519">
        <v>0</v>
      </c>
      <c r="P1519">
        <v>0</v>
      </c>
      <c r="Q1519" t="s">
        <v>381</v>
      </c>
    </row>
    <row r="1520" spans="1:17" x14ac:dyDescent="0.15">
      <c r="A1520" t="s">
        <v>117</v>
      </c>
      <c r="B1520" t="s">
        <v>118</v>
      </c>
      <c r="C1520">
        <v>163</v>
      </c>
      <c r="D1520" t="s">
        <v>161</v>
      </c>
      <c r="E1520" s="1">
        <v>42971</v>
      </c>
      <c r="F1520" t="s">
        <v>383</v>
      </c>
      <c r="G1520" t="s">
        <v>1176</v>
      </c>
      <c r="H1520">
        <v>-2</v>
      </c>
      <c r="I1520" t="s">
        <v>37</v>
      </c>
      <c r="J1520">
        <v>0</v>
      </c>
      <c r="M1520" t="s">
        <v>241</v>
      </c>
      <c r="N1520" t="s">
        <v>1178</v>
      </c>
    </row>
    <row r="1521" spans="1:17" x14ac:dyDescent="0.15">
      <c r="A1521" t="s">
        <v>117</v>
      </c>
      <c r="B1521" t="s">
        <v>118</v>
      </c>
      <c r="C1521">
        <v>163</v>
      </c>
      <c r="D1521" t="s">
        <v>161</v>
      </c>
      <c r="E1521" s="1">
        <v>42971</v>
      </c>
      <c r="F1521" t="s">
        <v>383</v>
      </c>
      <c r="G1521" t="s">
        <v>1176</v>
      </c>
      <c r="H1521">
        <v>-2</v>
      </c>
      <c r="I1521" t="s">
        <v>37</v>
      </c>
      <c r="J1521">
        <v>0</v>
      </c>
      <c r="M1521" t="s">
        <v>1910</v>
      </c>
      <c r="N1521" t="s">
        <v>1178</v>
      </c>
      <c r="O1521">
        <v>0</v>
      </c>
      <c r="P1521">
        <v>0</v>
      </c>
      <c r="Q1521" t="s">
        <v>381</v>
      </c>
    </row>
    <row r="1522" spans="1:17" x14ac:dyDescent="0.15">
      <c r="A1522" t="s">
        <v>117</v>
      </c>
      <c r="B1522" t="s">
        <v>118</v>
      </c>
      <c r="C1522">
        <v>163</v>
      </c>
      <c r="D1522" t="s">
        <v>161</v>
      </c>
      <c r="E1522" s="1">
        <v>43082</v>
      </c>
      <c r="F1522" t="s">
        <v>383</v>
      </c>
      <c r="G1522" t="s">
        <v>1439</v>
      </c>
      <c r="H1522">
        <v>-15</v>
      </c>
      <c r="I1522" t="s">
        <v>37</v>
      </c>
      <c r="J1522">
        <v>0</v>
      </c>
      <c r="M1522" t="s">
        <v>241</v>
      </c>
      <c r="N1522" t="s">
        <v>1444</v>
      </c>
    </row>
    <row r="1523" spans="1:17" x14ac:dyDescent="0.15">
      <c r="A1523" t="s">
        <v>117</v>
      </c>
      <c r="B1523" t="s">
        <v>118</v>
      </c>
      <c r="C1523">
        <v>163</v>
      </c>
      <c r="D1523" t="s">
        <v>161</v>
      </c>
      <c r="E1523" s="1">
        <v>43082</v>
      </c>
      <c r="F1523" t="s">
        <v>383</v>
      </c>
      <c r="G1523" t="s">
        <v>1439</v>
      </c>
      <c r="H1523">
        <v>-15</v>
      </c>
      <c r="I1523" t="s">
        <v>37</v>
      </c>
      <c r="J1523">
        <v>0</v>
      </c>
      <c r="M1523" t="s">
        <v>1910</v>
      </c>
      <c r="N1523" t="s">
        <v>1444</v>
      </c>
      <c r="O1523">
        <v>0</v>
      </c>
      <c r="P1523">
        <v>0</v>
      </c>
      <c r="Q1523" t="s">
        <v>381</v>
      </c>
    </row>
    <row r="1524" spans="1:17" x14ac:dyDescent="0.15">
      <c r="A1524" t="s">
        <v>117</v>
      </c>
      <c r="B1524" t="s">
        <v>118</v>
      </c>
      <c r="C1524">
        <v>163</v>
      </c>
      <c r="D1524" t="s">
        <v>161</v>
      </c>
      <c r="E1524" s="1">
        <v>43088</v>
      </c>
      <c r="F1524" t="s">
        <v>383</v>
      </c>
      <c r="G1524" t="s">
        <v>1481</v>
      </c>
      <c r="H1524">
        <v>-24</v>
      </c>
      <c r="I1524" t="s">
        <v>37</v>
      </c>
      <c r="J1524">
        <v>0</v>
      </c>
      <c r="M1524" t="s">
        <v>241</v>
      </c>
      <c r="N1524" t="s">
        <v>1483</v>
      </c>
    </row>
    <row r="1525" spans="1:17" x14ac:dyDescent="0.15">
      <c r="A1525" t="s">
        <v>117</v>
      </c>
      <c r="B1525" t="s">
        <v>118</v>
      </c>
      <c r="C1525">
        <v>163</v>
      </c>
      <c r="D1525" t="s">
        <v>161</v>
      </c>
      <c r="E1525" s="1">
        <v>43088</v>
      </c>
      <c r="F1525" t="s">
        <v>383</v>
      </c>
      <c r="G1525" t="s">
        <v>1481</v>
      </c>
      <c r="H1525">
        <v>-24</v>
      </c>
      <c r="I1525" t="s">
        <v>37</v>
      </c>
      <c r="J1525">
        <v>0</v>
      </c>
      <c r="M1525" t="s">
        <v>1910</v>
      </c>
      <c r="N1525" t="s">
        <v>1483</v>
      </c>
      <c r="O1525">
        <v>0</v>
      </c>
      <c r="P1525">
        <v>0</v>
      </c>
      <c r="Q1525" t="s">
        <v>381</v>
      </c>
    </row>
    <row r="1526" spans="1:17" x14ac:dyDescent="0.15">
      <c r="A1526" t="s">
        <v>200</v>
      </c>
      <c r="B1526" t="s">
        <v>320</v>
      </c>
      <c r="C1526">
        <v>163</v>
      </c>
      <c r="D1526" t="s">
        <v>161</v>
      </c>
      <c r="E1526" s="1">
        <v>43082</v>
      </c>
      <c r="F1526" t="s">
        <v>383</v>
      </c>
      <c r="G1526" t="s">
        <v>1439</v>
      </c>
      <c r="H1526">
        <v>-1</v>
      </c>
      <c r="I1526" t="s">
        <v>37</v>
      </c>
      <c r="J1526">
        <v>0</v>
      </c>
      <c r="M1526" t="s">
        <v>241</v>
      </c>
      <c r="N1526" t="s">
        <v>1445</v>
      </c>
    </row>
    <row r="1527" spans="1:17" x14ac:dyDescent="0.15">
      <c r="A1527" t="s">
        <v>200</v>
      </c>
      <c r="B1527" t="s">
        <v>320</v>
      </c>
      <c r="C1527">
        <v>163</v>
      </c>
      <c r="D1527" t="s">
        <v>161</v>
      </c>
      <c r="E1527" s="1">
        <v>43082</v>
      </c>
      <c r="F1527" t="s">
        <v>383</v>
      </c>
      <c r="G1527" t="s">
        <v>1439</v>
      </c>
      <c r="H1527">
        <v>-1</v>
      </c>
      <c r="I1527" t="s">
        <v>37</v>
      </c>
      <c r="J1527">
        <v>0</v>
      </c>
      <c r="M1527" t="s">
        <v>1910</v>
      </c>
      <c r="N1527" t="s">
        <v>1445</v>
      </c>
      <c r="O1527">
        <v>0</v>
      </c>
      <c r="P1527">
        <v>0</v>
      </c>
      <c r="Q1527" t="s">
        <v>381</v>
      </c>
    </row>
    <row r="1528" spans="1:17" x14ac:dyDescent="0.15">
      <c r="A1528" t="s">
        <v>200</v>
      </c>
      <c r="B1528" t="s">
        <v>320</v>
      </c>
      <c r="C1528">
        <v>163</v>
      </c>
      <c r="D1528" t="s">
        <v>161</v>
      </c>
      <c r="E1528" s="1">
        <v>43082</v>
      </c>
      <c r="F1528" t="s">
        <v>383</v>
      </c>
      <c r="G1528" t="s">
        <v>1439</v>
      </c>
      <c r="H1528">
        <v>-1</v>
      </c>
      <c r="I1528" t="s">
        <v>37</v>
      </c>
      <c r="J1528">
        <v>0</v>
      </c>
      <c r="M1528" t="s">
        <v>241</v>
      </c>
      <c r="N1528" t="s">
        <v>1446</v>
      </c>
    </row>
    <row r="1529" spans="1:17" x14ac:dyDescent="0.15">
      <c r="A1529" t="s">
        <v>200</v>
      </c>
      <c r="B1529" t="s">
        <v>320</v>
      </c>
      <c r="C1529">
        <v>163</v>
      </c>
      <c r="D1529" t="s">
        <v>161</v>
      </c>
      <c r="E1529" s="1">
        <v>43082</v>
      </c>
      <c r="F1529" t="s">
        <v>383</v>
      </c>
      <c r="G1529" t="s">
        <v>1439</v>
      </c>
      <c r="H1529">
        <v>-1</v>
      </c>
      <c r="I1529" t="s">
        <v>37</v>
      </c>
      <c r="J1529">
        <v>0</v>
      </c>
      <c r="M1529" t="s">
        <v>1910</v>
      </c>
      <c r="N1529" t="s">
        <v>1446</v>
      </c>
      <c r="O1529">
        <v>0</v>
      </c>
      <c r="P1529">
        <v>0</v>
      </c>
      <c r="Q1529" t="s">
        <v>381</v>
      </c>
    </row>
    <row r="1530" spans="1:17" x14ac:dyDescent="0.15">
      <c r="A1530" t="s">
        <v>105</v>
      </c>
      <c r="B1530" t="s">
        <v>321</v>
      </c>
      <c r="C1530">
        <v>163</v>
      </c>
      <c r="D1530" t="s">
        <v>161</v>
      </c>
      <c r="E1530" s="1">
        <v>43067</v>
      </c>
      <c r="F1530" t="s">
        <v>383</v>
      </c>
      <c r="G1530" t="s">
        <v>1403</v>
      </c>
      <c r="H1530">
        <v>-1</v>
      </c>
      <c r="I1530" t="s">
        <v>37</v>
      </c>
      <c r="J1530">
        <v>0</v>
      </c>
      <c r="M1530" t="s">
        <v>241</v>
      </c>
      <c r="N1530" t="s">
        <v>1409</v>
      </c>
    </row>
    <row r="1531" spans="1:17" x14ac:dyDescent="0.15">
      <c r="A1531" t="s">
        <v>105</v>
      </c>
      <c r="B1531" t="s">
        <v>321</v>
      </c>
      <c r="C1531">
        <v>163</v>
      </c>
      <c r="D1531" t="s">
        <v>161</v>
      </c>
      <c r="E1531" s="1">
        <v>43067</v>
      </c>
      <c r="F1531" t="s">
        <v>383</v>
      </c>
      <c r="G1531" t="s">
        <v>1403</v>
      </c>
      <c r="H1531">
        <v>-1</v>
      </c>
      <c r="I1531" t="s">
        <v>37</v>
      </c>
      <c r="J1531">
        <v>0</v>
      </c>
      <c r="M1531" t="s">
        <v>1910</v>
      </c>
      <c r="N1531" t="s">
        <v>1409</v>
      </c>
      <c r="O1531">
        <v>0</v>
      </c>
      <c r="P1531">
        <v>0</v>
      </c>
      <c r="Q1531" t="s">
        <v>381</v>
      </c>
    </row>
    <row r="1532" spans="1:17" x14ac:dyDescent="0.15">
      <c r="A1532" t="s">
        <v>105</v>
      </c>
      <c r="B1532" t="s">
        <v>321</v>
      </c>
      <c r="C1532">
        <v>163</v>
      </c>
      <c r="D1532" t="s">
        <v>161</v>
      </c>
      <c r="E1532" s="1">
        <v>43089</v>
      </c>
      <c r="F1532" t="s">
        <v>21</v>
      </c>
      <c r="G1532" t="s">
        <v>1894</v>
      </c>
      <c r="H1532">
        <v>-1</v>
      </c>
      <c r="I1532" t="s">
        <v>37</v>
      </c>
      <c r="J1532">
        <v>0</v>
      </c>
      <c r="M1532" t="s">
        <v>241</v>
      </c>
      <c r="N1532" t="s">
        <v>1901</v>
      </c>
    </row>
    <row r="1533" spans="1:17" x14ac:dyDescent="0.15">
      <c r="A1533" t="s">
        <v>105</v>
      </c>
      <c r="B1533" t="s">
        <v>321</v>
      </c>
      <c r="C1533">
        <v>163</v>
      </c>
      <c r="D1533" t="s">
        <v>161</v>
      </c>
      <c r="E1533" s="1">
        <v>43089</v>
      </c>
      <c r="F1533" t="s">
        <v>21</v>
      </c>
      <c r="G1533" t="s">
        <v>1894</v>
      </c>
      <c r="H1533">
        <v>-1</v>
      </c>
      <c r="I1533" t="s">
        <v>37</v>
      </c>
      <c r="J1533">
        <v>0</v>
      </c>
      <c r="M1533" t="s">
        <v>1910</v>
      </c>
      <c r="N1533" t="s">
        <v>1901</v>
      </c>
      <c r="O1533">
        <v>0</v>
      </c>
      <c r="P1533">
        <v>0</v>
      </c>
      <c r="Q1533" t="s">
        <v>381</v>
      </c>
    </row>
    <row r="1534" spans="1:17" x14ac:dyDescent="0.15">
      <c r="A1534" t="s">
        <v>201</v>
      </c>
      <c r="B1534" t="s">
        <v>322</v>
      </c>
      <c r="C1534">
        <v>163</v>
      </c>
      <c r="D1534" t="s">
        <v>161</v>
      </c>
      <c r="E1534" s="1">
        <v>42942</v>
      </c>
      <c r="F1534" t="s">
        <v>383</v>
      </c>
      <c r="G1534" t="s">
        <v>1106</v>
      </c>
      <c r="H1534">
        <v>-2</v>
      </c>
      <c r="I1534" t="s">
        <v>37</v>
      </c>
      <c r="J1534">
        <v>0</v>
      </c>
      <c r="M1534" t="s">
        <v>241</v>
      </c>
      <c r="N1534" t="s">
        <v>1114</v>
      </c>
    </row>
    <row r="1535" spans="1:17" x14ac:dyDescent="0.15">
      <c r="A1535" t="s">
        <v>201</v>
      </c>
      <c r="B1535" t="s">
        <v>322</v>
      </c>
      <c r="C1535">
        <v>163</v>
      </c>
      <c r="D1535" t="s">
        <v>161</v>
      </c>
      <c r="E1535" s="1">
        <v>42942</v>
      </c>
      <c r="F1535" t="s">
        <v>383</v>
      </c>
      <c r="G1535" t="s">
        <v>1106</v>
      </c>
      <c r="H1535">
        <v>-2</v>
      </c>
      <c r="I1535" t="s">
        <v>37</v>
      </c>
      <c r="J1535">
        <v>0</v>
      </c>
      <c r="M1535" t="s">
        <v>1910</v>
      </c>
      <c r="N1535" t="s">
        <v>1114</v>
      </c>
      <c r="O1535">
        <v>0</v>
      </c>
      <c r="P1535">
        <v>0</v>
      </c>
      <c r="Q1535" t="s">
        <v>381</v>
      </c>
    </row>
    <row r="1536" spans="1:17" x14ac:dyDescent="0.15">
      <c r="A1536" t="s">
        <v>19</v>
      </c>
      <c r="B1536" t="s">
        <v>35</v>
      </c>
      <c r="C1536">
        <v>163</v>
      </c>
      <c r="D1536" t="s">
        <v>161</v>
      </c>
      <c r="E1536" s="1">
        <v>42826</v>
      </c>
      <c r="F1536" t="s">
        <v>17</v>
      </c>
      <c r="G1536" t="s">
        <v>702</v>
      </c>
      <c r="H1536">
        <v>1</v>
      </c>
      <c r="I1536" t="s">
        <v>37</v>
      </c>
      <c r="J1536">
        <v>0</v>
      </c>
      <c r="K1536">
        <v>0</v>
      </c>
      <c r="L1536" t="s">
        <v>375</v>
      </c>
      <c r="M1536" t="s">
        <v>241</v>
      </c>
      <c r="N1536" t="s">
        <v>703</v>
      </c>
    </row>
    <row r="1537" spans="1:17" x14ac:dyDescent="0.15">
      <c r="A1537" t="s">
        <v>19</v>
      </c>
      <c r="B1537" t="s">
        <v>35</v>
      </c>
      <c r="C1537">
        <v>163</v>
      </c>
      <c r="D1537" t="s">
        <v>161</v>
      </c>
      <c r="E1537" s="1">
        <v>42826</v>
      </c>
      <c r="F1537" t="s">
        <v>17</v>
      </c>
      <c r="G1537" t="s">
        <v>702</v>
      </c>
      <c r="H1537">
        <v>1</v>
      </c>
      <c r="I1537" t="s">
        <v>37</v>
      </c>
      <c r="J1537">
        <v>0</v>
      </c>
      <c r="K1537">
        <v>0</v>
      </c>
      <c r="L1537" t="s">
        <v>375</v>
      </c>
      <c r="M1537" t="s">
        <v>1910</v>
      </c>
      <c r="N1537" t="s">
        <v>703</v>
      </c>
      <c r="O1537">
        <v>0</v>
      </c>
      <c r="P1537">
        <v>0</v>
      </c>
      <c r="Q1537" t="s">
        <v>381</v>
      </c>
    </row>
    <row r="1538" spans="1:17" x14ac:dyDescent="0.15">
      <c r="A1538" t="s">
        <v>19</v>
      </c>
      <c r="B1538" t="s">
        <v>35</v>
      </c>
      <c r="C1538">
        <v>163</v>
      </c>
      <c r="D1538" t="s">
        <v>161</v>
      </c>
      <c r="E1538" s="1">
        <v>42830</v>
      </c>
      <c r="F1538" t="s">
        <v>383</v>
      </c>
      <c r="G1538" t="s">
        <v>437</v>
      </c>
      <c r="H1538">
        <v>-1</v>
      </c>
      <c r="I1538" t="s">
        <v>37</v>
      </c>
      <c r="J1538">
        <v>0</v>
      </c>
      <c r="M1538" t="s">
        <v>241</v>
      </c>
      <c r="N1538" t="s">
        <v>438</v>
      </c>
    </row>
    <row r="1539" spans="1:17" x14ac:dyDescent="0.15">
      <c r="A1539" t="s">
        <v>19</v>
      </c>
      <c r="B1539" t="s">
        <v>35</v>
      </c>
      <c r="C1539">
        <v>163</v>
      </c>
      <c r="D1539" t="s">
        <v>161</v>
      </c>
      <c r="E1539" s="1">
        <v>42830</v>
      </c>
      <c r="F1539" t="s">
        <v>383</v>
      </c>
      <c r="G1539" t="s">
        <v>437</v>
      </c>
      <c r="H1539">
        <v>-1</v>
      </c>
      <c r="I1539" t="s">
        <v>37</v>
      </c>
      <c r="J1539">
        <v>0</v>
      </c>
      <c r="M1539" t="s">
        <v>1910</v>
      </c>
      <c r="N1539" t="s">
        <v>438</v>
      </c>
      <c r="O1539">
        <v>0</v>
      </c>
      <c r="P1539">
        <v>0</v>
      </c>
      <c r="Q1539" t="s">
        <v>381</v>
      </c>
    </row>
    <row r="1540" spans="1:17" x14ac:dyDescent="0.15">
      <c r="A1540" t="s">
        <v>19</v>
      </c>
      <c r="B1540" t="s">
        <v>35</v>
      </c>
      <c r="C1540">
        <v>163</v>
      </c>
      <c r="D1540" t="s">
        <v>161</v>
      </c>
      <c r="E1540" s="1">
        <v>42832</v>
      </c>
      <c r="F1540" t="s">
        <v>383</v>
      </c>
      <c r="G1540" t="s">
        <v>392</v>
      </c>
      <c r="H1540">
        <v>-1</v>
      </c>
      <c r="I1540" t="s">
        <v>37</v>
      </c>
      <c r="J1540">
        <v>0</v>
      </c>
      <c r="M1540" t="s">
        <v>241</v>
      </c>
      <c r="N1540" t="s">
        <v>393</v>
      </c>
    </row>
    <row r="1541" spans="1:17" x14ac:dyDescent="0.15">
      <c r="A1541" t="s">
        <v>19</v>
      </c>
      <c r="B1541" t="s">
        <v>35</v>
      </c>
      <c r="C1541">
        <v>163</v>
      </c>
      <c r="D1541" t="s">
        <v>161</v>
      </c>
      <c r="E1541" s="1">
        <v>42832</v>
      </c>
      <c r="F1541" t="s">
        <v>383</v>
      </c>
      <c r="G1541" t="s">
        <v>392</v>
      </c>
      <c r="H1541">
        <v>-1</v>
      </c>
      <c r="I1541" t="s">
        <v>37</v>
      </c>
      <c r="J1541">
        <v>0</v>
      </c>
      <c r="M1541" t="s">
        <v>1910</v>
      </c>
      <c r="N1541" t="s">
        <v>393</v>
      </c>
      <c r="O1541">
        <v>0</v>
      </c>
      <c r="P1541">
        <v>0</v>
      </c>
      <c r="Q1541" t="s">
        <v>381</v>
      </c>
    </row>
    <row r="1542" spans="1:17" x14ac:dyDescent="0.15">
      <c r="A1542" t="s">
        <v>19</v>
      </c>
      <c r="B1542" t="s">
        <v>35</v>
      </c>
      <c r="C1542">
        <v>163</v>
      </c>
      <c r="D1542" t="s">
        <v>161</v>
      </c>
      <c r="E1542" s="1">
        <v>42839</v>
      </c>
      <c r="F1542" t="s">
        <v>383</v>
      </c>
      <c r="G1542" t="s">
        <v>465</v>
      </c>
      <c r="H1542">
        <v>-1</v>
      </c>
      <c r="I1542" t="s">
        <v>37</v>
      </c>
      <c r="J1542">
        <v>0</v>
      </c>
      <c r="M1542" t="s">
        <v>241</v>
      </c>
      <c r="N1542" t="s">
        <v>468</v>
      </c>
    </row>
    <row r="1543" spans="1:17" x14ac:dyDescent="0.15">
      <c r="A1543" t="s">
        <v>19</v>
      </c>
      <c r="B1543" t="s">
        <v>35</v>
      </c>
      <c r="C1543">
        <v>163</v>
      </c>
      <c r="D1543" t="s">
        <v>161</v>
      </c>
      <c r="E1543" s="1">
        <v>42839</v>
      </c>
      <c r="F1543" t="s">
        <v>383</v>
      </c>
      <c r="G1543" t="s">
        <v>465</v>
      </c>
      <c r="H1543">
        <v>-1</v>
      </c>
      <c r="I1543" t="s">
        <v>37</v>
      </c>
      <c r="J1543">
        <v>0</v>
      </c>
      <c r="M1543" t="s">
        <v>1910</v>
      </c>
      <c r="N1543" t="s">
        <v>468</v>
      </c>
      <c r="O1543">
        <v>0</v>
      </c>
      <c r="P1543">
        <v>0</v>
      </c>
      <c r="Q1543" t="s">
        <v>381</v>
      </c>
    </row>
    <row r="1544" spans="1:17" x14ac:dyDescent="0.15">
      <c r="A1544" t="s">
        <v>19</v>
      </c>
      <c r="B1544" t="s">
        <v>35</v>
      </c>
      <c r="C1544">
        <v>163</v>
      </c>
      <c r="D1544" t="s">
        <v>161</v>
      </c>
      <c r="E1544" s="1">
        <v>42843</v>
      </c>
      <c r="F1544" t="s">
        <v>383</v>
      </c>
      <c r="G1544" t="s">
        <v>427</v>
      </c>
      <c r="H1544">
        <v>-1</v>
      </c>
      <c r="I1544" t="s">
        <v>37</v>
      </c>
      <c r="J1544">
        <v>0</v>
      </c>
      <c r="M1544" t="s">
        <v>241</v>
      </c>
      <c r="N1544" t="s">
        <v>428</v>
      </c>
    </row>
    <row r="1545" spans="1:17" x14ac:dyDescent="0.15">
      <c r="A1545" t="s">
        <v>19</v>
      </c>
      <c r="B1545" t="s">
        <v>35</v>
      </c>
      <c r="C1545">
        <v>163</v>
      </c>
      <c r="D1545" t="s">
        <v>161</v>
      </c>
      <c r="E1545" s="1">
        <v>42843</v>
      </c>
      <c r="F1545" t="s">
        <v>383</v>
      </c>
      <c r="G1545" t="s">
        <v>427</v>
      </c>
      <c r="H1545">
        <v>-1</v>
      </c>
      <c r="I1545" t="s">
        <v>37</v>
      </c>
      <c r="J1545">
        <v>0</v>
      </c>
      <c r="M1545" t="s">
        <v>1910</v>
      </c>
      <c r="N1545" t="s">
        <v>428</v>
      </c>
      <c r="O1545">
        <v>0</v>
      </c>
      <c r="P1545">
        <v>0</v>
      </c>
      <c r="Q1545" t="s">
        <v>381</v>
      </c>
    </row>
    <row r="1546" spans="1:17" x14ac:dyDescent="0.15">
      <c r="A1546" t="s">
        <v>19</v>
      </c>
      <c r="B1546" t="s">
        <v>35</v>
      </c>
      <c r="C1546">
        <v>163</v>
      </c>
      <c r="D1546" t="s">
        <v>161</v>
      </c>
      <c r="E1546" s="1">
        <v>42843</v>
      </c>
      <c r="F1546" t="s">
        <v>383</v>
      </c>
      <c r="G1546" t="s">
        <v>475</v>
      </c>
      <c r="H1546">
        <v>-1</v>
      </c>
      <c r="I1546" t="s">
        <v>37</v>
      </c>
      <c r="J1546">
        <v>0</v>
      </c>
      <c r="M1546" t="s">
        <v>241</v>
      </c>
      <c r="N1546" t="s">
        <v>478</v>
      </c>
    </row>
    <row r="1547" spans="1:17" x14ac:dyDescent="0.15">
      <c r="A1547" t="s">
        <v>19</v>
      </c>
      <c r="B1547" t="s">
        <v>35</v>
      </c>
      <c r="C1547">
        <v>163</v>
      </c>
      <c r="D1547" t="s">
        <v>161</v>
      </c>
      <c r="E1547" s="1">
        <v>42843</v>
      </c>
      <c r="F1547" t="s">
        <v>383</v>
      </c>
      <c r="G1547" t="s">
        <v>475</v>
      </c>
      <c r="H1547">
        <v>-1</v>
      </c>
      <c r="I1547" t="s">
        <v>37</v>
      </c>
      <c r="J1547">
        <v>0</v>
      </c>
      <c r="M1547" t="s">
        <v>1910</v>
      </c>
      <c r="N1547" t="s">
        <v>478</v>
      </c>
      <c r="O1547">
        <v>0</v>
      </c>
      <c r="P1547">
        <v>0</v>
      </c>
      <c r="Q1547" t="s">
        <v>381</v>
      </c>
    </row>
    <row r="1548" spans="1:17" x14ac:dyDescent="0.15">
      <c r="A1548" t="s">
        <v>19</v>
      </c>
      <c r="B1548" t="s">
        <v>35</v>
      </c>
      <c r="C1548">
        <v>163</v>
      </c>
      <c r="D1548" t="s">
        <v>161</v>
      </c>
      <c r="E1548" s="1">
        <v>42843</v>
      </c>
      <c r="F1548" t="s">
        <v>17</v>
      </c>
      <c r="G1548" t="s">
        <v>723</v>
      </c>
      <c r="H1548">
        <v>1</v>
      </c>
      <c r="I1548" t="s">
        <v>37</v>
      </c>
      <c r="J1548">
        <v>0</v>
      </c>
      <c r="K1548">
        <v>0</v>
      </c>
      <c r="L1548" t="s">
        <v>375</v>
      </c>
      <c r="M1548" t="s">
        <v>241</v>
      </c>
      <c r="N1548" t="s">
        <v>724</v>
      </c>
    </row>
    <row r="1549" spans="1:17" x14ac:dyDescent="0.15">
      <c r="A1549" t="s">
        <v>19</v>
      </c>
      <c r="B1549" t="s">
        <v>35</v>
      </c>
      <c r="C1549">
        <v>163</v>
      </c>
      <c r="D1549" t="s">
        <v>161</v>
      </c>
      <c r="E1549" s="1">
        <v>42843</v>
      </c>
      <c r="F1549" t="s">
        <v>17</v>
      </c>
      <c r="G1549" t="s">
        <v>723</v>
      </c>
      <c r="H1549">
        <v>1</v>
      </c>
      <c r="I1549" t="s">
        <v>37</v>
      </c>
      <c r="J1549">
        <v>0</v>
      </c>
      <c r="K1549">
        <v>0</v>
      </c>
      <c r="L1549" t="s">
        <v>375</v>
      </c>
      <c r="M1549" t="s">
        <v>1910</v>
      </c>
      <c r="N1549" t="s">
        <v>724</v>
      </c>
      <c r="O1549">
        <v>0</v>
      </c>
      <c r="P1549">
        <v>0</v>
      </c>
      <c r="Q1549" t="s">
        <v>381</v>
      </c>
    </row>
    <row r="1550" spans="1:17" x14ac:dyDescent="0.15">
      <c r="A1550" t="s">
        <v>19</v>
      </c>
      <c r="B1550" t="s">
        <v>35</v>
      </c>
      <c r="C1550">
        <v>163</v>
      </c>
      <c r="D1550" t="s">
        <v>161</v>
      </c>
      <c r="E1550" s="1">
        <v>42843</v>
      </c>
      <c r="F1550" t="s">
        <v>17</v>
      </c>
      <c r="G1550" t="s">
        <v>739</v>
      </c>
      <c r="H1550">
        <v>1</v>
      </c>
      <c r="I1550" t="s">
        <v>37</v>
      </c>
      <c r="J1550">
        <v>0</v>
      </c>
      <c r="K1550">
        <v>0</v>
      </c>
      <c r="L1550" t="s">
        <v>375</v>
      </c>
      <c r="M1550" t="s">
        <v>241</v>
      </c>
      <c r="N1550" t="s">
        <v>740</v>
      </c>
    </row>
    <row r="1551" spans="1:17" x14ac:dyDescent="0.15">
      <c r="A1551" t="s">
        <v>19</v>
      </c>
      <c r="B1551" t="s">
        <v>35</v>
      </c>
      <c r="C1551">
        <v>163</v>
      </c>
      <c r="D1551" t="s">
        <v>161</v>
      </c>
      <c r="E1551" s="1">
        <v>42843</v>
      </c>
      <c r="F1551" t="s">
        <v>17</v>
      </c>
      <c r="G1551" t="s">
        <v>739</v>
      </c>
      <c r="H1551">
        <v>1</v>
      </c>
      <c r="I1551" t="s">
        <v>37</v>
      </c>
      <c r="J1551">
        <v>0</v>
      </c>
      <c r="K1551">
        <v>0</v>
      </c>
      <c r="L1551" t="s">
        <v>375</v>
      </c>
      <c r="M1551" t="s">
        <v>1910</v>
      </c>
      <c r="N1551" t="s">
        <v>740</v>
      </c>
      <c r="O1551">
        <v>0</v>
      </c>
      <c r="P1551">
        <v>0</v>
      </c>
      <c r="Q1551" t="s">
        <v>381</v>
      </c>
    </row>
    <row r="1552" spans="1:17" x14ac:dyDescent="0.15">
      <c r="A1552" t="s">
        <v>19</v>
      </c>
      <c r="B1552" t="s">
        <v>35</v>
      </c>
      <c r="C1552">
        <v>163</v>
      </c>
      <c r="D1552" t="s">
        <v>161</v>
      </c>
      <c r="E1552" s="1">
        <v>42846</v>
      </c>
      <c r="F1552" t="s">
        <v>383</v>
      </c>
      <c r="G1552" t="s">
        <v>414</v>
      </c>
      <c r="H1552">
        <v>-1</v>
      </c>
      <c r="I1552" t="s">
        <v>37</v>
      </c>
      <c r="J1552">
        <v>0</v>
      </c>
      <c r="M1552" t="s">
        <v>241</v>
      </c>
      <c r="N1552" t="s">
        <v>415</v>
      </c>
    </row>
    <row r="1553" spans="1:17" x14ac:dyDescent="0.15">
      <c r="A1553" t="s">
        <v>19</v>
      </c>
      <c r="B1553" t="s">
        <v>35</v>
      </c>
      <c r="C1553">
        <v>163</v>
      </c>
      <c r="D1553" t="s">
        <v>161</v>
      </c>
      <c r="E1553" s="1">
        <v>42846</v>
      </c>
      <c r="F1553" t="s">
        <v>383</v>
      </c>
      <c r="G1553" t="s">
        <v>414</v>
      </c>
      <c r="H1553">
        <v>-1</v>
      </c>
      <c r="I1553" t="s">
        <v>37</v>
      </c>
      <c r="J1553">
        <v>0</v>
      </c>
      <c r="M1553" t="s">
        <v>1910</v>
      </c>
      <c r="N1553" t="s">
        <v>415</v>
      </c>
      <c r="O1553">
        <v>0</v>
      </c>
      <c r="P1553">
        <v>0</v>
      </c>
      <c r="Q1553" t="s">
        <v>381</v>
      </c>
    </row>
    <row r="1554" spans="1:17" x14ac:dyDescent="0.15">
      <c r="A1554" t="s">
        <v>19</v>
      </c>
      <c r="B1554" t="s">
        <v>35</v>
      </c>
      <c r="C1554">
        <v>163</v>
      </c>
      <c r="D1554" t="s">
        <v>161</v>
      </c>
      <c r="E1554" s="1">
        <v>42846</v>
      </c>
      <c r="F1554" t="s">
        <v>17</v>
      </c>
      <c r="G1554" t="s">
        <v>743</v>
      </c>
      <c r="H1554">
        <v>1</v>
      </c>
      <c r="I1554" t="s">
        <v>37</v>
      </c>
      <c r="J1554">
        <v>0</v>
      </c>
      <c r="K1554">
        <v>0</v>
      </c>
      <c r="L1554" t="s">
        <v>375</v>
      </c>
      <c r="M1554" t="s">
        <v>241</v>
      </c>
      <c r="N1554" t="s">
        <v>744</v>
      </c>
    </row>
    <row r="1555" spans="1:17" x14ac:dyDescent="0.15">
      <c r="A1555" t="s">
        <v>19</v>
      </c>
      <c r="B1555" t="s">
        <v>35</v>
      </c>
      <c r="C1555">
        <v>163</v>
      </c>
      <c r="D1555" t="s">
        <v>161</v>
      </c>
      <c r="E1555" s="1">
        <v>42846</v>
      </c>
      <c r="F1555" t="s">
        <v>17</v>
      </c>
      <c r="G1555" t="s">
        <v>743</v>
      </c>
      <c r="H1555">
        <v>1</v>
      </c>
      <c r="I1555" t="s">
        <v>37</v>
      </c>
      <c r="J1555">
        <v>0</v>
      </c>
      <c r="K1555">
        <v>0</v>
      </c>
      <c r="L1555" t="s">
        <v>375</v>
      </c>
      <c r="M1555" t="s">
        <v>1910</v>
      </c>
      <c r="N1555" t="s">
        <v>744</v>
      </c>
      <c r="O1555">
        <v>0</v>
      </c>
      <c r="P1555">
        <v>0</v>
      </c>
      <c r="Q1555" t="s">
        <v>381</v>
      </c>
    </row>
    <row r="1556" spans="1:17" x14ac:dyDescent="0.15">
      <c r="A1556" t="s">
        <v>19</v>
      </c>
      <c r="B1556" t="s">
        <v>35</v>
      </c>
      <c r="C1556">
        <v>163</v>
      </c>
      <c r="D1556" t="s">
        <v>161</v>
      </c>
      <c r="E1556" s="1">
        <v>42849</v>
      </c>
      <c r="F1556" t="s">
        <v>383</v>
      </c>
      <c r="G1556" t="s">
        <v>485</v>
      </c>
      <c r="H1556">
        <v>-1</v>
      </c>
      <c r="I1556" t="s">
        <v>37</v>
      </c>
      <c r="J1556">
        <v>0</v>
      </c>
      <c r="M1556" t="s">
        <v>241</v>
      </c>
      <c r="N1556" t="s">
        <v>487</v>
      </c>
    </row>
    <row r="1557" spans="1:17" x14ac:dyDescent="0.15">
      <c r="A1557" t="s">
        <v>19</v>
      </c>
      <c r="B1557" t="s">
        <v>35</v>
      </c>
      <c r="C1557">
        <v>163</v>
      </c>
      <c r="D1557" t="s">
        <v>161</v>
      </c>
      <c r="E1557" s="1">
        <v>42849</v>
      </c>
      <c r="F1557" t="s">
        <v>383</v>
      </c>
      <c r="G1557" t="s">
        <v>485</v>
      </c>
      <c r="H1557">
        <v>-1</v>
      </c>
      <c r="I1557" t="s">
        <v>37</v>
      </c>
      <c r="J1557">
        <v>0</v>
      </c>
      <c r="M1557" t="s">
        <v>1910</v>
      </c>
      <c r="N1557" t="s">
        <v>487</v>
      </c>
      <c r="O1557">
        <v>0</v>
      </c>
      <c r="P1557">
        <v>0</v>
      </c>
      <c r="Q1557" t="s">
        <v>381</v>
      </c>
    </row>
    <row r="1558" spans="1:17" x14ac:dyDescent="0.15">
      <c r="A1558" t="s">
        <v>19</v>
      </c>
      <c r="B1558" t="s">
        <v>35</v>
      </c>
      <c r="C1558">
        <v>163</v>
      </c>
      <c r="D1558" t="s">
        <v>161</v>
      </c>
      <c r="E1558" s="1">
        <v>42851</v>
      </c>
      <c r="F1558" t="s">
        <v>383</v>
      </c>
      <c r="G1558" t="s">
        <v>494</v>
      </c>
      <c r="H1558">
        <v>-1</v>
      </c>
      <c r="I1558" t="s">
        <v>37</v>
      </c>
      <c r="J1558">
        <v>0</v>
      </c>
      <c r="M1558" t="s">
        <v>241</v>
      </c>
      <c r="N1558" t="s">
        <v>497</v>
      </c>
    </row>
    <row r="1559" spans="1:17" x14ac:dyDescent="0.15">
      <c r="A1559" t="s">
        <v>19</v>
      </c>
      <c r="B1559" t="s">
        <v>35</v>
      </c>
      <c r="C1559">
        <v>163</v>
      </c>
      <c r="D1559" t="s">
        <v>161</v>
      </c>
      <c r="E1559" s="1">
        <v>42851</v>
      </c>
      <c r="F1559" t="s">
        <v>383</v>
      </c>
      <c r="G1559" t="s">
        <v>494</v>
      </c>
      <c r="H1559">
        <v>-1</v>
      </c>
      <c r="I1559" t="s">
        <v>37</v>
      </c>
      <c r="J1559">
        <v>0</v>
      </c>
      <c r="M1559" t="s">
        <v>1910</v>
      </c>
      <c r="N1559" t="s">
        <v>497</v>
      </c>
      <c r="O1559">
        <v>0</v>
      </c>
      <c r="P1559">
        <v>0</v>
      </c>
      <c r="Q1559" t="s">
        <v>381</v>
      </c>
    </row>
    <row r="1560" spans="1:17" x14ac:dyDescent="0.15">
      <c r="A1560" t="s">
        <v>19</v>
      </c>
      <c r="B1560" t="s">
        <v>35</v>
      </c>
      <c r="C1560">
        <v>163</v>
      </c>
      <c r="D1560" t="s">
        <v>161</v>
      </c>
      <c r="E1560" s="1">
        <v>42853</v>
      </c>
      <c r="F1560" t="s">
        <v>17</v>
      </c>
      <c r="G1560" t="s">
        <v>752</v>
      </c>
      <c r="H1560">
        <v>-1</v>
      </c>
      <c r="I1560" t="s">
        <v>37</v>
      </c>
      <c r="J1560">
        <v>0</v>
      </c>
      <c r="K1560">
        <v>0</v>
      </c>
      <c r="L1560" t="s">
        <v>375</v>
      </c>
      <c r="M1560" t="s">
        <v>241</v>
      </c>
      <c r="N1560" t="s">
        <v>753</v>
      </c>
    </row>
    <row r="1561" spans="1:17" x14ac:dyDescent="0.15">
      <c r="A1561" t="s">
        <v>19</v>
      </c>
      <c r="B1561" t="s">
        <v>35</v>
      </c>
      <c r="C1561">
        <v>163</v>
      </c>
      <c r="D1561" t="s">
        <v>161</v>
      </c>
      <c r="E1561" s="1">
        <v>42853</v>
      </c>
      <c r="F1561" t="s">
        <v>17</v>
      </c>
      <c r="G1561" t="s">
        <v>752</v>
      </c>
      <c r="H1561">
        <v>-1</v>
      </c>
      <c r="I1561" t="s">
        <v>37</v>
      </c>
      <c r="J1561">
        <v>0</v>
      </c>
      <c r="K1561">
        <v>0</v>
      </c>
      <c r="L1561" t="s">
        <v>375</v>
      </c>
      <c r="M1561" t="s">
        <v>1910</v>
      </c>
      <c r="N1561" t="s">
        <v>753</v>
      </c>
      <c r="O1561">
        <v>0</v>
      </c>
      <c r="P1561">
        <v>0</v>
      </c>
      <c r="Q1561" t="s">
        <v>381</v>
      </c>
    </row>
    <row r="1562" spans="1:17" x14ac:dyDescent="0.15">
      <c r="A1562" t="s">
        <v>19</v>
      </c>
      <c r="B1562" t="s">
        <v>35</v>
      </c>
      <c r="C1562">
        <v>163</v>
      </c>
      <c r="D1562" t="s">
        <v>161</v>
      </c>
      <c r="E1562" s="1">
        <v>42853</v>
      </c>
      <c r="F1562" t="s">
        <v>17</v>
      </c>
      <c r="G1562" t="s">
        <v>754</v>
      </c>
      <c r="H1562">
        <v>1</v>
      </c>
      <c r="I1562" t="s">
        <v>37</v>
      </c>
      <c r="J1562">
        <v>0</v>
      </c>
      <c r="K1562">
        <v>0</v>
      </c>
      <c r="L1562" t="s">
        <v>375</v>
      </c>
      <c r="M1562" t="s">
        <v>241</v>
      </c>
      <c r="N1562" t="s">
        <v>755</v>
      </c>
    </row>
    <row r="1563" spans="1:17" x14ac:dyDescent="0.15">
      <c r="A1563" t="s">
        <v>19</v>
      </c>
      <c r="B1563" t="s">
        <v>35</v>
      </c>
      <c r="C1563">
        <v>163</v>
      </c>
      <c r="D1563" t="s">
        <v>161</v>
      </c>
      <c r="E1563" s="1">
        <v>42853</v>
      </c>
      <c r="F1563" t="s">
        <v>17</v>
      </c>
      <c r="G1563" t="s">
        <v>754</v>
      </c>
      <c r="H1563">
        <v>1</v>
      </c>
      <c r="I1563" t="s">
        <v>37</v>
      </c>
      <c r="J1563">
        <v>0</v>
      </c>
      <c r="K1563">
        <v>0</v>
      </c>
      <c r="L1563" t="s">
        <v>375</v>
      </c>
      <c r="M1563" t="s">
        <v>1910</v>
      </c>
      <c r="N1563" t="s">
        <v>755</v>
      </c>
      <c r="O1563">
        <v>0</v>
      </c>
      <c r="P1563">
        <v>0</v>
      </c>
      <c r="Q1563" t="s">
        <v>381</v>
      </c>
    </row>
    <row r="1564" spans="1:17" x14ac:dyDescent="0.15">
      <c r="A1564" t="s">
        <v>19</v>
      </c>
      <c r="B1564" t="s">
        <v>35</v>
      </c>
      <c r="C1564">
        <v>163</v>
      </c>
      <c r="D1564" t="s">
        <v>161</v>
      </c>
      <c r="E1564" s="1">
        <v>42860</v>
      </c>
      <c r="F1564" t="s">
        <v>383</v>
      </c>
      <c r="G1564" t="s">
        <v>405</v>
      </c>
      <c r="H1564">
        <v>-1</v>
      </c>
      <c r="I1564" t="s">
        <v>37</v>
      </c>
      <c r="J1564">
        <v>0</v>
      </c>
      <c r="M1564" t="s">
        <v>241</v>
      </c>
      <c r="N1564" t="s">
        <v>406</v>
      </c>
    </row>
    <row r="1565" spans="1:17" x14ac:dyDescent="0.15">
      <c r="A1565" t="s">
        <v>19</v>
      </c>
      <c r="B1565" t="s">
        <v>35</v>
      </c>
      <c r="C1565">
        <v>163</v>
      </c>
      <c r="D1565" t="s">
        <v>161</v>
      </c>
      <c r="E1565" s="1">
        <v>42860</v>
      </c>
      <c r="F1565" t="s">
        <v>383</v>
      </c>
      <c r="G1565" t="s">
        <v>405</v>
      </c>
      <c r="H1565">
        <v>-1</v>
      </c>
      <c r="I1565" t="s">
        <v>37</v>
      </c>
      <c r="J1565">
        <v>0</v>
      </c>
      <c r="M1565" t="s">
        <v>1910</v>
      </c>
      <c r="N1565" t="s">
        <v>406</v>
      </c>
      <c r="O1565">
        <v>0</v>
      </c>
      <c r="P1565">
        <v>0</v>
      </c>
      <c r="Q1565" t="s">
        <v>381</v>
      </c>
    </row>
    <row r="1566" spans="1:17" x14ac:dyDescent="0.15">
      <c r="A1566" t="s">
        <v>19</v>
      </c>
      <c r="B1566" t="s">
        <v>35</v>
      </c>
      <c r="C1566">
        <v>163</v>
      </c>
      <c r="D1566" t="s">
        <v>161</v>
      </c>
      <c r="E1566" s="1">
        <v>42860</v>
      </c>
      <c r="F1566" t="s">
        <v>383</v>
      </c>
      <c r="G1566" t="s">
        <v>418</v>
      </c>
      <c r="H1566">
        <v>-1</v>
      </c>
      <c r="I1566" t="s">
        <v>37</v>
      </c>
      <c r="J1566">
        <v>0</v>
      </c>
      <c r="M1566" t="s">
        <v>241</v>
      </c>
      <c r="N1566" t="s">
        <v>419</v>
      </c>
    </row>
    <row r="1567" spans="1:17" x14ac:dyDescent="0.15">
      <c r="A1567" t="s">
        <v>19</v>
      </c>
      <c r="B1567" t="s">
        <v>35</v>
      </c>
      <c r="C1567">
        <v>163</v>
      </c>
      <c r="D1567" t="s">
        <v>161</v>
      </c>
      <c r="E1567" s="1">
        <v>42860</v>
      </c>
      <c r="F1567" t="s">
        <v>383</v>
      </c>
      <c r="G1567" t="s">
        <v>418</v>
      </c>
      <c r="H1567">
        <v>-1</v>
      </c>
      <c r="I1567" t="s">
        <v>37</v>
      </c>
      <c r="J1567">
        <v>0</v>
      </c>
      <c r="M1567" t="s">
        <v>1910</v>
      </c>
      <c r="N1567" t="s">
        <v>419</v>
      </c>
      <c r="O1567">
        <v>0</v>
      </c>
      <c r="P1567">
        <v>0</v>
      </c>
      <c r="Q1567" t="s">
        <v>381</v>
      </c>
    </row>
    <row r="1568" spans="1:17" x14ac:dyDescent="0.15">
      <c r="A1568" t="s">
        <v>19</v>
      </c>
      <c r="B1568" t="s">
        <v>35</v>
      </c>
      <c r="C1568">
        <v>163</v>
      </c>
      <c r="D1568" t="s">
        <v>161</v>
      </c>
      <c r="E1568" s="1">
        <v>42863</v>
      </c>
      <c r="F1568" t="s">
        <v>383</v>
      </c>
      <c r="G1568" t="s">
        <v>397</v>
      </c>
      <c r="H1568">
        <v>-1</v>
      </c>
      <c r="I1568" t="s">
        <v>37</v>
      </c>
      <c r="J1568">
        <v>0</v>
      </c>
      <c r="M1568" t="s">
        <v>241</v>
      </c>
      <c r="N1568" t="s">
        <v>398</v>
      </c>
    </row>
    <row r="1569" spans="1:17" x14ac:dyDescent="0.15">
      <c r="A1569" t="s">
        <v>19</v>
      </c>
      <c r="B1569" t="s">
        <v>35</v>
      </c>
      <c r="C1569">
        <v>163</v>
      </c>
      <c r="D1569" t="s">
        <v>161</v>
      </c>
      <c r="E1569" s="1">
        <v>42863</v>
      </c>
      <c r="F1569" t="s">
        <v>383</v>
      </c>
      <c r="G1569" t="s">
        <v>397</v>
      </c>
      <c r="H1569">
        <v>-1</v>
      </c>
      <c r="I1569" t="s">
        <v>37</v>
      </c>
      <c r="J1569">
        <v>0</v>
      </c>
      <c r="M1569" t="s">
        <v>1910</v>
      </c>
      <c r="N1569" t="s">
        <v>398</v>
      </c>
      <c r="O1569">
        <v>0</v>
      </c>
      <c r="P1569">
        <v>0</v>
      </c>
      <c r="Q1569" t="s">
        <v>381</v>
      </c>
    </row>
    <row r="1570" spans="1:17" x14ac:dyDescent="0.15">
      <c r="A1570" t="s">
        <v>19</v>
      </c>
      <c r="B1570" t="s">
        <v>35</v>
      </c>
      <c r="C1570">
        <v>163</v>
      </c>
      <c r="D1570" t="s">
        <v>161</v>
      </c>
      <c r="E1570" s="1">
        <v>42865</v>
      </c>
      <c r="F1570" t="s">
        <v>17</v>
      </c>
      <c r="G1570" t="s">
        <v>771</v>
      </c>
      <c r="H1570">
        <v>1</v>
      </c>
      <c r="I1570" t="s">
        <v>37</v>
      </c>
      <c r="J1570">
        <v>0</v>
      </c>
      <c r="K1570">
        <v>0</v>
      </c>
      <c r="L1570" t="s">
        <v>375</v>
      </c>
      <c r="M1570" t="s">
        <v>241</v>
      </c>
      <c r="N1570" t="s">
        <v>772</v>
      </c>
    </row>
    <row r="1571" spans="1:17" x14ac:dyDescent="0.15">
      <c r="A1571" t="s">
        <v>19</v>
      </c>
      <c r="B1571" t="s">
        <v>35</v>
      </c>
      <c r="C1571">
        <v>163</v>
      </c>
      <c r="D1571" t="s">
        <v>161</v>
      </c>
      <c r="E1571" s="1">
        <v>42865</v>
      </c>
      <c r="F1571" t="s">
        <v>17</v>
      </c>
      <c r="G1571" t="s">
        <v>771</v>
      </c>
      <c r="H1571">
        <v>1</v>
      </c>
      <c r="I1571" t="s">
        <v>37</v>
      </c>
      <c r="J1571">
        <v>0</v>
      </c>
      <c r="K1571">
        <v>0</v>
      </c>
      <c r="L1571" t="s">
        <v>375</v>
      </c>
      <c r="M1571" t="s">
        <v>1910</v>
      </c>
      <c r="N1571" t="s">
        <v>772</v>
      </c>
      <c r="O1571">
        <v>0</v>
      </c>
      <c r="P1571">
        <v>0</v>
      </c>
      <c r="Q1571" t="s">
        <v>381</v>
      </c>
    </row>
    <row r="1572" spans="1:17" x14ac:dyDescent="0.15">
      <c r="A1572" t="s">
        <v>19</v>
      </c>
      <c r="B1572" t="s">
        <v>35</v>
      </c>
      <c r="C1572">
        <v>163</v>
      </c>
      <c r="D1572" t="s">
        <v>161</v>
      </c>
      <c r="E1572" s="1">
        <v>42871</v>
      </c>
      <c r="F1572" t="s">
        <v>383</v>
      </c>
      <c r="G1572" t="s">
        <v>538</v>
      </c>
      <c r="H1572">
        <v>-1</v>
      </c>
      <c r="I1572" t="s">
        <v>37</v>
      </c>
      <c r="J1572">
        <v>0</v>
      </c>
      <c r="M1572" t="s">
        <v>241</v>
      </c>
      <c r="N1572" t="s">
        <v>540</v>
      </c>
    </row>
    <row r="1573" spans="1:17" x14ac:dyDescent="0.15">
      <c r="A1573" t="s">
        <v>19</v>
      </c>
      <c r="B1573" t="s">
        <v>35</v>
      </c>
      <c r="C1573">
        <v>163</v>
      </c>
      <c r="D1573" t="s">
        <v>161</v>
      </c>
      <c r="E1573" s="1">
        <v>42871</v>
      </c>
      <c r="F1573" t="s">
        <v>383</v>
      </c>
      <c r="G1573" t="s">
        <v>538</v>
      </c>
      <c r="H1573">
        <v>-1</v>
      </c>
      <c r="I1573" t="s">
        <v>37</v>
      </c>
      <c r="J1573">
        <v>0</v>
      </c>
      <c r="M1573" t="s">
        <v>1910</v>
      </c>
      <c r="N1573" t="s">
        <v>540</v>
      </c>
      <c r="O1573">
        <v>0</v>
      </c>
      <c r="P1573">
        <v>0</v>
      </c>
      <c r="Q1573" t="s">
        <v>381</v>
      </c>
    </row>
    <row r="1574" spans="1:17" x14ac:dyDescent="0.15">
      <c r="A1574" t="s">
        <v>19</v>
      </c>
      <c r="B1574" t="s">
        <v>35</v>
      </c>
      <c r="C1574">
        <v>163</v>
      </c>
      <c r="D1574" t="s">
        <v>161</v>
      </c>
      <c r="E1574" s="1">
        <v>42871</v>
      </c>
      <c r="F1574" t="s">
        <v>383</v>
      </c>
      <c r="G1574" t="s">
        <v>541</v>
      </c>
      <c r="H1574">
        <v>-1</v>
      </c>
      <c r="I1574" t="s">
        <v>37</v>
      </c>
      <c r="J1574">
        <v>0</v>
      </c>
      <c r="M1574" t="s">
        <v>241</v>
      </c>
      <c r="N1574" t="s">
        <v>543</v>
      </c>
    </row>
    <row r="1575" spans="1:17" x14ac:dyDescent="0.15">
      <c r="A1575" t="s">
        <v>19</v>
      </c>
      <c r="B1575" t="s">
        <v>35</v>
      </c>
      <c r="C1575">
        <v>163</v>
      </c>
      <c r="D1575" t="s">
        <v>161</v>
      </c>
      <c r="E1575" s="1">
        <v>42871</v>
      </c>
      <c r="F1575" t="s">
        <v>383</v>
      </c>
      <c r="G1575" t="s">
        <v>541</v>
      </c>
      <c r="H1575">
        <v>-1</v>
      </c>
      <c r="I1575" t="s">
        <v>37</v>
      </c>
      <c r="J1575">
        <v>0</v>
      </c>
      <c r="M1575" t="s">
        <v>1910</v>
      </c>
      <c r="N1575" t="s">
        <v>543</v>
      </c>
      <c r="O1575">
        <v>0</v>
      </c>
      <c r="P1575">
        <v>0</v>
      </c>
      <c r="Q1575" t="s">
        <v>381</v>
      </c>
    </row>
    <row r="1576" spans="1:17" x14ac:dyDescent="0.15">
      <c r="A1576" t="s">
        <v>19</v>
      </c>
      <c r="B1576" t="s">
        <v>35</v>
      </c>
      <c r="C1576">
        <v>163</v>
      </c>
      <c r="D1576" t="s">
        <v>161</v>
      </c>
      <c r="E1576" s="1">
        <v>42871</v>
      </c>
      <c r="F1576" t="s">
        <v>383</v>
      </c>
      <c r="G1576" t="s">
        <v>550</v>
      </c>
      <c r="H1576">
        <v>-1</v>
      </c>
      <c r="I1576" t="s">
        <v>37</v>
      </c>
      <c r="J1576">
        <v>0</v>
      </c>
      <c r="M1576" t="s">
        <v>241</v>
      </c>
      <c r="N1576" t="s">
        <v>551</v>
      </c>
    </row>
    <row r="1577" spans="1:17" x14ac:dyDescent="0.15">
      <c r="A1577" t="s">
        <v>19</v>
      </c>
      <c r="B1577" t="s">
        <v>35</v>
      </c>
      <c r="C1577">
        <v>163</v>
      </c>
      <c r="D1577" t="s">
        <v>161</v>
      </c>
      <c r="E1577" s="1">
        <v>42871</v>
      </c>
      <c r="F1577" t="s">
        <v>383</v>
      </c>
      <c r="G1577" t="s">
        <v>550</v>
      </c>
      <c r="H1577">
        <v>-1</v>
      </c>
      <c r="I1577" t="s">
        <v>37</v>
      </c>
      <c r="J1577">
        <v>0</v>
      </c>
      <c r="M1577" t="s">
        <v>1910</v>
      </c>
      <c r="N1577" t="s">
        <v>551</v>
      </c>
      <c r="O1577">
        <v>0</v>
      </c>
      <c r="P1577">
        <v>0</v>
      </c>
      <c r="Q1577" t="s">
        <v>381</v>
      </c>
    </row>
    <row r="1578" spans="1:17" x14ac:dyDescent="0.15">
      <c r="A1578" t="s">
        <v>19</v>
      </c>
      <c r="B1578" t="s">
        <v>35</v>
      </c>
      <c r="C1578">
        <v>163</v>
      </c>
      <c r="D1578" t="s">
        <v>161</v>
      </c>
      <c r="E1578" s="1">
        <v>42871</v>
      </c>
      <c r="F1578" t="s">
        <v>383</v>
      </c>
      <c r="G1578" t="s">
        <v>552</v>
      </c>
      <c r="H1578">
        <v>-1</v>
      </c>
      <c r="I1578" t="s">
        <v>37</v>
      </c>
      <c r="J1578">
        <v>0</v>
      </c>
      <c r="M1578" t="s">
        <v>241</v>
      </c>
      <c r="N1578" t="s">
        <v>554</v>
      </c>
    </row>
    <row r="1579" spans="1:17" x14ac:dyDescent="0.15">
      <c r="A1579" t="s">
        <v>19</v>
      </c>
      <c r="B1579" t="s">
        <v>35</v>
      </c>
      <c r="C1579">
        <v>163</v>
      </c>
      <c r="D1579" t="s">
        <v>161</v>
      </c>
      <c r="E1579" s="1">
        <v>42871</v>
      </c>
      <c r="F1579" t="s">
        <v>383</v>
      </c>
      <c r="G1579" t="s">
        <v>552</v>
      </c>
      <c r="H1579">
        <v>-1</v>
      </c>
      <c r="I1579" t="s">
        <v>37</v>
      </c>
      <c r="J1579">
        <v>0</v>
      </c>
      <c r="M1579" t="s">
        <v>1910</v>
      </c>
      <c r="N1579" t="s">
        <v>554</v>
      </c>
      <c r="O1579">
        <v>0</v>
      </c>
      <c r="P1579">
        <v>0</v>
      </c>
      <c r="Q1579" t="s">
        <v>381</v>
      </c>
    </row>
    <row r="1580" spans="1:17" x14ac:dyDescent="0.15">
      <c r="A1580" t="s">
        <v>19</v>
      </c>
      <c r="B1580" t="s">
        <v>35</v>
      </c>
      <c r="C1580">
        <v>163</v>
      </c>
      <c r="D1580" t="s">
        <v>161</v>
      </c>
      <c r="E1580" s="1">
        <v>42871</v>
      </c>
      <c r="F1580" t="s">
        <v>383</v>
      </c>
      <c r="G1580" t="s">
        <v>558</v>
      </c>
      <c r="H1580">
        <v>-1</v>
      </c>
      <c r="I1580" t="s">
        <v>37</v>
      </c>
      <c r="J1580">
        <v>0</v>
      </c>
      <c r="M1580" t="s">
        <v>241</v>
      </c>
      <c r="N1580" t="s">
        <v>560</v>
      </c>
    </row>
    <row r="1581" spans="1:17" x14ac:dyDescent="0.15">
      <c r="A1581" t="s">
        <v>19</v>
      </c>
      <c r="B1581" t="s">
        <v>35</v>
      </c>
      <c r="C1581">
        <v>163</v>
      </c>
      <c r="D1581" t="s">
        <v>161</v>
      </c>
      <c r="E1581" s="1">
        <v>42871</v>
      </c>
      <c r="F1581" t="s">
        <v>383</v>
      </c>
      <c r="G1581" t="s">
        <v>558</v>
      </c>
      <c r="H1581">
        <v>-1</v>
      </c>
      <c r="I1581" t="s">
        <v>37</v>
      </c>
      <c r="J1581">
        <v>0</v>
      </c>
      <c r="M1581" t="s">
        <v>1910</v>
      </c>
      <c r="N1581" t="s">
        <v>560</v>
      </c>
      <c r="O1581">
        <v>0</v>
      </c>
      <c r="P1581">
        <v>0</v>
      </c>
      <c r="Q1581" t="s">
        <v>381</v>
      </c>
    </row>
    <row r="1582" spans="1:17" x14ac:dyDescent="0.15">
      <c r="A1582" t="s">
        <v>19</v>
      </c>
      <c r="B1582" t="s">
        <v>35</v>
      </c>
      <c r="C1582">
        <v>163</v>
      </c>
      <c r="D1582" t="s">
        <v>161</v>
      </c>
      <c r="E1582" s="1">
        <v>42873</v>
      </c>
      <c r="F1582" t="s">
        <v>17</v>
      </c>
      <c r="G1582" t="s">
        <v>784</v>
      </c>
      <c r="H1582">
        <v>1</v>
      </c>
      <c r="I1582" t="s">
        <v>37</v>
      </c>
      <c r="J1582">
        <v>0</v>
      </c>
      <c r="K1582">
        <v>0</v>
      </c>
      <c r="L1582" t="s">
        <v>375</v>
      </c>
      <c r="M1582" t="s">
        <v>241</v>
      </c>
      <c r="N1582" t="s">
        <v>785</v>
      </c>
    </row>
    <row r="1583" spans="1:17" x14ac:dyDescent="0.15">
      <c r="A1583" t="s">
        <v>19</v>
      </c>
      <c r="B1583" t="s">
        <v>35</v>
      </c>
      <c r="C1583">
        <v>163</v>
      </c>
      <c r="D1583" t="s">
        <v>161</v>
      </c>
      <c r="E1583" s="1">
        <v>42873</v>
      </c>
      <c r="F1583" t="s">
        <v>17</v>
      </c>
      <c r="G1583" t="s">
        <v>784</v>
      </c>
      <c r="H1583">
        <v>1</v>
      </c>
      <c r="I1583" t="s">
        <v>37</v>
      </c>
      <c r="J1583">
        <v>0</v>
      </c>
      <c r="K1583">
        <v>0</v>
      </c>
      <c r="L1583" t="s">
        <v>375</v>
      </c>
      <c r="M1583" t="s">
        <v>1910</v>
      </c>
      <c r="N1583" t="s">
        <v>785</v>
      </c>
      <c r="O1583">
        <v>0</v>
      </c>
      <c r="P1583">
        <v>0</v>
      </c>
      <c r="Q1583" t="s">
        <v>381</v>
      </c>
    </row>
    <row r="1584" spans="1:17" x14ac:dyDescent="0.15">
      <c r="A1584" t="s">
        <v>19</v>
      </c>
      <c r="B1584" t="s">
        <v>35</v>
      </c>
      <c r="C1584">
        <v>163</v>
      </c>
      <c r="D1584" t="s">
        <v>161</v>
      </c>
      <c r="E1584" s="1">
        <v>42877</v>
      </c>
      <c r="F1584" t="s">
        <v>383</v>
      </c>
      <c r="G1584" t="s">
        <v>386</v>
      </c>
      <c r="H1584">
        <v>-1</v>
      </c>
      <c r="I1584" t="s">
        <v>37</v>
      </c>
      <c r="J1584">
        <v>0</v>
      </c>
      <c r="M1584" t="s">
        <v>241</v>
      </c>
      <c r="N1584" t="s">
        <v>387</v>
      </c>
    </row>
    <row r="1585" spans="1:17" x14ac:dyDescent="0.15">
      <c r="A1585" t="s">
        <v>19</v>
      </c>
      <c r="B1585" t="s">
        <v>35</v>
      </c>
      <c r="C1585">
        <v>163</v>
      </c>
      <c r="D1585" t="s">
        <v>161</v>
      </c>
      <c r="E1585" s="1">
        <v>42877</v>
      </c>
      <c r="F1585" t="s">
        <v>383</v>
      </c>
      <c r="G1585" t="s">
        <v>386</v>
      </c>
      <c r="H1585">
        <v>-1</v>
      </c>
      <c r="I1585" t="s">
        <v>37</v>
      </c>
      <c r="J1585">
        <v>0</v>
      </c>
      <c r="M1585" t="s">
        <v>1910</v>
      </c>
      <c r="N1585" t="s">
        <v>387</v>
      </c>
      <c r="O1585">
        <v>0</v>
      </c>
      <c r="P1585">
        <v>0</v>
      </c>
      <c r="Q1585" t="s">
        <v>381</v>
      </c>
    </row>
    <row r="1586" spans="1:17" x14ac:dyDescent="0.15">
      <c r="A1586" t="s">
        <v>19</v>
      </c>
      <c r="B1586" t="s">
        <v>35</v>
      </c>
      <c r="C1586">
        <v>163</v>
      </c>
      <c r="D1586" t="s">
        <v>161</v>
      </c>
      <c r="E1586" s="1">
        <v>42878</v>
      </c>
      <c r="F1586" t="s">
        <v>383</v>
      </c>
      <c r="G1586" t="s">
        <v>584</v>
      </c>
      <c r="H1586">
        <v>-1</v>
      </c>
      <c r="I1586" t="s">
        <v>37</v>
      </c>
      <c r="J1586">
        <v>0</v>
      </c>
      <c r="M1586" t="s">
        <v>241</v>
      </c>
      <c r="N1586" t="s">
        <v>588</v>
      </c>
    </row>
    <row r="1587" spans="1:17" x14ac:dyDescent="0.15">
      <c r="A1587" t="s">
        <v>19</v>
      </c>
      <c r="B1587" t="s">
        <v>35</v>
      </c>
      <c r="C1587">
        <v>163</v>
      </c>
      <c r="D1587" t="s">
        <v>161</v>
      </c>
      <c r="E1587" s="1">
        <v>42878</v>
      </c>
      <c r="F1587" t="s">
        <v>383</v>
      </c>
      <c r="G1587" t="s">
        <v>584</v>
      </c>
      <c r="H1587">
        <v>-1</v>
      </c>
      <c r="I1587" t="s">
        <v>37</v>
      </c>
      <c r="J1587">
        <v>0</v>
      </c>
      <c r="M1587" t="s">
        <v>1910</v>
      </c>
      <c r="N1587" t="s">
        <v>588</v>
      </c>
      <c r="O1587">
        <v>0</v>
      </c>
      <c r="P1587">
        <v>0</v>
      </c>
      <c r="Q1587" t="s">
        <v>381</v>
      </c>
    </row>
    <row r="1588" spans="1:17" x14ac:dyDescent="0.15">
      <c r="A1588" t="s">
        <v>19</v>
      </c>
      <c r="B1588" t="s">
        <v>35</v>
      </c>
      <c r="C1588">
        <v>163</v>
      </c>
      <c r="D1588" t="s">
        <v>161</v>
      </c>
      <c r="E1588" s="1">
        <v>42879</v>
      </c>
      <c r="F1588" t="s">
        <v>383</v>
      </c>
      <c r="G1588" t="s">
        <v>589</v>
      </c>
      <c r="H1588">
        <v>-1</v>
      </c>
      <c r="I1588" t="s">
        <v>37</v>
      </c>
      <c r="J1588">
        <v>0</v>
      </c>
      <c r="M1588" t="s">
        <v>241</v>
      </c>
      <c r="N1588" t="s">
        <v>591</v>
      </c>
    </row>
    <row r="1589" spans="1:17" x14ac:dyDescent="0.15">
      <c r="A1589" t="s">
        <v>19</v>
      </c>
      <c r="B1589" t="s">
        <v>35</v>
      </c>
      <c r="C1589">
        <v>163</v>
      </c>
      <c r="D1589" t="s">
        <v>161</v>
      </c>
      <c r="E1589" s="1">
        <v>42879</v>
      </c>
      <c r="F1589" t="s">
        <v>383</v>
      </c>
      <c r="G1589" t="s">
        <v>589</v>
      </c>
      <c r="H1589">
        <v>-1</v>
      </c>
      <c r="I1589" t="s">
        <v>37</v>
      </c>
      <c r="J1589">
        <v>0</v>
      </c>
      <c r="M1589" t="s">
        <v>1910</v>
      </c>
      <c r="N1589" t="s">
        <v>591</v>
      </c>
      <c r="O1589">
        <v>0</v>
      </c>
      <c r="P1589">
        <v>0</v>
      </c>
      <c r="Q1589" t="s">
        <v>381</v>
      </c>
    </row>
    <row r="1590" spans="1:17" x14ac:dyDescent="0.15">
      <c r="A1590" t="s">
        <v>19</v>
      </c>
      <c r="B1590" t="s">
        <v>35</v>
      </c>
      <c r="C1590">
        <v>163</v>
      </c>
      <c r="D1590" t="s">
        <v>161</v>
      </c>
      <c r="E1590" s="1">
        <v>42884</v>
      </c>
      <c r="F1590" t="s">
        <v>17</v>
      </c>
      <c r="G1590" t="s">
        <v>790</v>
      </c>
      <c r="H1590">
        <v>1</v>
      </c>
      <c r="I1590" t="s">
        <v>37</v>
      </c>
      <c r="J1590">
        <v>0</v>
      </c>
      <c r="K1590">
        <v>0</v>
      </c>
      <c r="L1590" t="s">
        <v>375</v>
      </c>
      <c r="M1590" t="s">
        <v>241</v>
      </c>
      <c r="N1590" t="s">
        <v>791</v>
      </c>
    </row>
    <row r="1591" spans="1:17" x14ac:dyDescent="0.15">
      <c r="A1591" t="s">
        <v>19</v>
      </c>
      <c r="B1591" t="s">
        <v>35</v>
      </c>
      <c r="C1591">
        <v>163</v>
      </c>
      <c r="D1591" t="s">
        <v>161</v>
      </c>
      <c r="E1591" s="1">
        <v>42884</v>
      </c>
      <c r="F1591" t="s">
        <v>17</v>
      </c>
      <c r="G1591" t="s">
        <v>790</v>
      </c>
      <c r="H1591">
        <v>1</v>
      </c>
      <c r="I1591" t="s">
        <v>37</v>
      </c>
      <c r="J1591">
        <v>0</v>
      </c>
      <c r="K1591">
        <v>0</v>
      </c>
      <c r="L1591" t="s">
        <v>375</v>
      </c>
      <c r="M1591" t="s">
        <v>1910</v>
      </c>
      <c r="N1591" t="s">
        <v>791</v>
      </c>
      <c r="O1591">
        <v>0</v>
      </c>
      <c r="P1591">
        <v>0</v>
      </c>
      <c r="Q1591" t="s">
        <v>381</v>
      </c>
    </row>
    <row r="1592" spans="1:17" x14ac:dyDescent="0.15">
      <c r="A1592" t="s">
        <v>19</v>
      </c>
      <c r="B1592" t="s">
        <v>35</v>
      </c>
      <c r="C1592">
        <v>163</v>
      </c>
      <c r="D1592" t="s">
        <v>161</v>
      </c>
      <c r="E1592" s="1">
        <v>42885</v>
      </c>
      <c r="F1592" t="s">
        <v>383</v>
      </c>
      <c r="G1592" t="s">
        <v>409</v>
      </c>
      <c r="H1592">
        <v>-1</v>
      </c>
      <c r="I1592" t="s">
        <v>37</v>
      </c>
      <c r="J1592">
        <v>0</v>
      </c>
      <c r="M1592" t="s">
        <v>241</v>
      </c>
      <c r="N1592" t="s">
        <v>410</v>
      </c>
    </row>
    <row r="1593" spans="1:17" x14ac:dyDescent="0.15">
      <c r="A1593" t="s">
        <v>19</v>
      </c>
      <c r="B1593" t="s">
        <v>35</v>
      </c>
      <c r="C1593">
        <v>163</v>
      </c>
      <c r="D1593" t="s">
        <v>161</v>
      </c>
      <c r="E1593" s="1">
        <v>42885</v>
      </c>
      <c r="F1593" t="s">
        <v>383</v>
      </c>
      <c r="G1593" t="s">
        <v>409</v>
      </c>
      <c r="H1593">
        <v>-1</v>
      </c>
      <c r="I1593" t="s">
        <v>37</v>
      </c>
      <c r="J1593">
        <v>0</v>
      </c>
      <c r="M1593" t="s">
        <v>1910</v>
      </c>
      <c r="N1593" t="s">
        <v>410</v>
      </c>
      <c r="O1593">
        <v>0</v>
      </c>
      <c r="P1593">
        <v>0</v>
      </c>
      <c r="Q1593" t="s">
        <v>381</v>
      </c>
    </row>
    <row r="1594" spans="1:17" x14ac:dyDescent="0.15">
      <c r="A1594" t="s">
        <v>19</v>
      </c>
      <c r="B1594" t="s">
        <v>35</v>
      </c>
      <c r="C1594">
        <v>163</v>
      </c>
      <c r="D1594" t="s">
        <v>161</v>
      </c>
      <c r="E1594" s="1">
        <v>42885</v>
      </c>
      <c r="F1594" t="s">
        <v>383</v>
      </c>
      <c r="G1594" t="s">
        <v>595</v>
      </c>
      <c r="H1594">
        <v>-1</v>
      </c>
      <c r="I1594" t="s">
        <v>37</v>
      </c>
      <c r="J1594">
        <v>0</v>
      </c>
      <c r="M1594" t="s">
        <v>241</v>
      </c>
      <c r="N1594" t="s">
        <v>597</v>
      </c>
    </row>
    <row r="1595" spans="1:17" x14ac:dyDescent="0.15">
      <c r="A1595" t="s">
        <v>19</v>
      </c>
      <c r="B1595" t="s">
        <v>35</v>
      </c>
      <c r="C1595">
        <v>163</v>
      </c>
      <c r="D1595" t="s">
        <v>161</v>
      </c>
      <c r="E1595" s="1">
        <v>42885</v>
      </c>
      <c r="F1595" t="s">
        <v>383</v>
      </c>
      <c r="G1595" t="s">
        <v>595</v>
      </c>
      <c r="H1595">
        <v>-1</v>
      </c>
      <c r="I1595" t="s">
        <v>37</v>
      </c>
      <c r="J1595">
        <v>0</v>
      </c>
      <c r="M1595" t="s">
        <v>1910</v>
      </c>
      <c r="N1595" t="s">
        <v>597</v>
      </c>
      <c r="O1595">
        <v>0</v>
      </c>
      <c r="P1595">
        <v>0</v>
      </c>
      <c r="Q1595" t="s">
        <v>381</v>
      </c>
    </row>
    <row r="1596" spans="1:17" x14ac:dyDescent="0.15">
      <c r="A1596" t="s">
        <v>19</v>
      </c>
      <c r="B1596" t="s">
        <v>35</v>
      </c>
      <c r="C1596">
        <v>163</v>
      </c>
      <c r="D1596" t="s">
        <v>161</v>
      </c>
      <c r="E1596" s="1">
        <v>42886</v>
      </c>
      <c r="F1596" t="s">
        <v>383</v>
      </c>
      <c r="G1596" t="s">
        <v>600</v>
      </c>
      <c r="H1596">
        <v>-1</v>
      </c>
      <c r="I1596" t="s">
        <v>37</v>
      </c>
      <c r="J1596">
        <v>0</v>
      </c>
      <c r="M1596" t="s">
        <v>241</v>
      </c>
      <c r="N1596" t="s">
        <v>602</v>
      </c>
    </row>
    <row r="1597" spans="1:17" x14ac:dyDescent="0.15">
      <c r="A1597" t="s">
        <v>19</v>
      </c>
      <c r="B1597" t="s">
        <v>35</v>
      </c>
      <c r="C1597">
        <v>163</v>
      </c>
      <c r="D1597" t="s">
        <v>161</v>
      </c>
      <c r="E1597" s="1">
        <v>42886</v>
      </c>
      <c r="F1597" t="s">
        <v>383</v>
      </c>
      <c r="G1597" t="s">
        <v>600</v>
      </c>
      <c r="H1597">
        <v>-1</v>
      </c>
      <c r="I1597" t="s">
        <v>37</v>
      </c>
      <c r="J1597">
        <v>0</v>
      </c>
      <c r="M1597" t="s">
        <v>1910</v>
      </c>
      <c r="N1597" t="s">
        <v>602</v>
      </c>
      <c r="O1597">
        <v>0</v>
      </c>
      <c r="P1597">
        <v>0</v>
      </c>
      <c r="Q1597" t="s">
        <v>381</v>
      </c>
    </row>
    <row r="1598" spans="1:17" x14ac:dyDescent="0.15">
      <c r="A1598" t="s">
        <v>19</v>
      </c>
      <c r="B1598" t="s">
        <v>35</v>
      </c>
      <c r="C1598">
        <v>163</v>
      </c>
      <c r="D1598" t="s">
        <v>161</v>
      </c>
      <c r="E1598" s="1">
        <v>42900</v>
      </c>
      <c r="F1598" t="s">
        <v>383</v>
      </c>
      <c r="G1598" t="s">
        <v>431</v>
      </c>
      <c r="H1598">
        <v>-1</v>
      </c>
      <c r="I1598" t="s">
        <v>37</v>
      </c>
      <c r="J1598">
        <v>0</v>
      </c>
      <c r="M1598" t="s">
        <v>241</v>
      </c>
      <c r="N1598" t="s">
        <v>432</v>
      </c>
    </row>
    <row r="1599" spans="1:17" x14ac:dyDescent="0.15">
      <c r="A1599" t="s">
        <v>19</v>
      </c>
      <c r="B1599" t="s">
        <v>35</v>
      </c>
      <c r="C1599">
        <v>163</v>
      </c>
      <c r="D1599" t="s">
        <v>161</v>
      </c>
      <c r="E1599" s="1">
        <v>42900</v>
      </c>
      <c r="F1599" t="s">
        <v>383</v>
      </c>
      <c r="G1599" t="s">
        <v>431</v>
      </c>
      <c r="H1599">
        <v>-1</v>
      </c>
      <c r="I1599" t="s">
        <v>37</v>
      </c>
      <c r="J1599">
        <v>0</v>
      </c>
      <c r="M1599" t="s">
        <v>1910</v>
      </c>
      <c r="N1599" t="s">
        <v>432</v>
      </c>
      <c r="O1599">
        <v>0</v>
      </c>
      <c r="P1599">
        <v>0</v>
      </c>
      <c r="Q1599" t="s">
        <v>381</v>
      </c>
    </row>
    <row r="1600" spans="1:17" x14ac:dyDescent="0.15">
      <c r="A1600" t="s">
        <v>19</v>
      </c>
      <c r="B1600" t="s">
        <v>35</v>
      </c>
      <c r="C1600">
        <v>163</v>
      </c>
      <c r="D1600" t="s">
        <v>161</v>
      </c>
      <c r="E1600" s="1">
        <v>42900</v>
      </c>
      <c r="F1600" t="s">
        <v>383</v>
      </c>
      <c r="G1600" t="s">
        <v>636</v>
      </c>
      <c r="H1600">
        <v>-1</v>
      </c>
      <c r="I1600" t="s">
        <v>37</v>
      </c>
      <c r="J1600">
        <v>0</v>
      </c>
      <c r="M1600" t="s">
        <v>241</v>
      </c>
      <c r="N1600" t="s">
        <v>638</v>
      </c>
    </row>
    <row r="1601" spans="1:17" x14ac:dyDescent="0.15">
      <c r="A1601" t="s">
        <v>19</v>
      </c>
      <c r="B1601" t="s">
        <v>35</v>
      </c>
      <c r="C1601">
        <v>163</v>
      </c>
      <c r="D1601" t="s">
        <v>161</v>
      </c>
      <c r="E1601" s="1">
        <v>42900</v>
      </c>
      <c r="F1601" t="s">
        <v>383</v>
      </c>
      <c r="G1601" t="s">
        <v>636</v>
      </c>
      <c r="H1601">
        <v>-1</v>
      </c>
      <c r="I1601" t="s">
        <v>37</v>
      </c>
      <c r="J1601">
        <v>0</v>
      </c>
      <c r="M1601" t="s">
        <v>1910</v>
      </c>
      <c r="N1601" t="s">
        <v>638</v>
      </c>
      <c r="O1601">
        <v>0</v>
      </c>
      <c r="P1601">
        <v>0</v>
      </c>
      <c r="Q1601" t="s">
        <v>381</v>
      </c>
    </row>
    <row r="1602" spans="1:17" x14ac:dyDescent="0.15">
      <c r="A1602" t="s">
        <v>19</v>
      </c>
      <c r="B1602" t="s">
        <v>35</v>
      </c>
      <c r="C1602">
        <v>163</v>
      </c>
      <c r="D1602" t="s">
        <v>161</v>
      </c>
      <c r="E1602" s="1">
        <v>42907</v>
      </c>
      <c r="F1602" t="s">
        <v>17</v>
      </c>
      <c r="G1602" t="s">
        <v>814</v>
      </c>
      <c r="H1602">
        <v>1</v>
      </c>
      <c r="I1602" t="s">
        <v>37</v>
      </c>
      <c r="J1602">
        <v>0</v>
      </c>
      <c r="K1602">
        <v>0</v>
      </c>
      <c r="L1602" t="s">
        <v>375</v>
      </c>
      <c r="M1602" t="s">
        <v>241</v>
      </c>
      <c r="N1602" t="s">
        <v>815</v>
      </c>
    </row>
    <row r="1603" spans="1:17" x14ac:dyDescent="0.15">
      <c r="A1603" t="s">
        <v>19</v>
      </c>
      <c r="B1603" t="s">
        <v>35</v>
      </c>
      <c r="C1603">
        <v>163</v>
      </c>
      <c r="D1603" t="s">
        <v>161</v>
      </c>
      <c r="E1603" s="1">
        <v>42907</v>
      </c>
      <c r="F1603" t="s">
        <v>17</v>
      </c>
      <c r="G1603" t="s">
        <v>814</v>
      </c>
      <c r="H1603">
        <v>1</v>
      </c>
      <c r="I1603" t="s">
        <v>37</v>
      </c>
      <c r="J1603">
        <v>0</v>
      </c>
      <c r="K1603">
        <v>0</v>
      </c>
      <c r="L1603" t="s">
        <v>375</v>
      </c>
      <c r="M1603" t="s">
        <v>1910</v>
      </c>
      <c r="N1603" t="s">
        <v>815</v>
      </c>
      <c r="O1603">
        <v>0</v>
      </c>
      <c r="P1603">
        <v>0</v>
      </c>
      <c r="Q1603" t="s">
        <v>381</v>
      </c>
    </row>
    <row r="1604" spans="1:17" x14ac:dyDescent="0.15">
      <c r="A1604" t="s">
        <v>19</v>
      </c>
      <c r="B1604" t="s">
        <v>35</v>
      </c>
      <c r="C1604">
        <v>163</v>
      </c>
      <c r="D1604" t="s">
        <v>161</v>
      </c>
      <c r="E1604" s="1">
        <v>42907</v>
      </c>
      <c r="F1604" t="s">
        <v>17</v>
      </c>
      <c r="G1604" t="s">
        <v>821</v>
      </c>
      <c r="H1604">
        <v>1</v>
      </c>
      <c r="I1604" t="s">
        <v>37</v>
      </c>
      <c r="J1604">
        <v>0</v>
      </c>
      <c r="K1604">
        <v>0</v>
      </c>
      <c r="L1604" t="s">
        <v>375</v>
      </c>
      <c r="M1604" t="s">
        <v>241</v>
      </c>
      <c r="N1604" t="s">
        <v>822</v>
      </c>
    </row>
    <row r="1605" spans="1:17" x14ac:dyDescent="0.15">
      <c r="A1605" t="s">
        <v>19</v>
      </c>
      <c r="B1605" t="s">
        <v>35</v>
      </c>
      <c r="C1605">
        <v>163</v>
      </c>
      <c r="D1605" t="s">
        <v>161</v>
      </c>
      <c r="E1605" s="1">
        <v>42907</v>
      </c>
      <c r="F1605" t="s">
        <v>17</v>
      </c>
      <c r="G1605" t="s">
        <v>821</v>
      </c>
      <c r="H1605">
        <v>1</v>
      </c>
      <c r="I1605" t="s">
        <v>37</v>
      </c>
      <c r="J1605">
        <v>0</v>
      </c>
      <c r="K1605">
        <v>0</v>
      </c>
      <c r="L1605" t="s">
        <v>375</v>
      </c>
      <c r="M1605" t="s">
        <v>1910</v>
      </c>
      <c r="N1605" t="s">
        <v>822</v>
      </c>
      <c r="O1605">
        <v>0</v>
      </c>
      <c r="P1605">
        <v>0</v>
      </c>
      <c r="Q1605" t="s">
        <v>381</v>
      </c>
    </row>
    <row r="1606" spans="1:17" x14ac:dyDescent="0.15">
      <c r="A1606" t="s">
        <v>19</v>
      </c>
      <c r="B1606" t="s">
        <v>35</v>
      </c>
      <c r="C1606">
        <v>163</v>
      </c>
      <c r="D1606" t="s">
        <v>161</v>
      </c>
      <c r="E1606" s="1">
        <v>42908</v>
      </c>
      <c r="F1606" t="s">
        <v>383</v>
      </c>
      <c r="G1606" t="s">
        <v>658</v>
      </c>
      <c r="H1606">
        <v>-1</v>
      </c>
      <c r="I1606" t="s">
        <v>37</v>
      </c>
      <c r="J1606">
        <v>0</v>
      </c>
      <c r="M1606" t="s">
        <v>241</v>
      </c>
      <c r="N1606" t="s">
        <v>661</v>
      </c>
    </row>
    <row r="1607" spans="1:17" x14ac:dyDescent="0.15">
      <c r="A1607" t="s">
        <v>19</v>
      </c>
      <c r="B1607" t="s">
        <v>35</v>
      </c>
      <c r="C1607">
        <v>163</v>
      </c>
      <c r="D1607" t="s">
        <v>161</v>
      </c>
      <c r="E1607" s="1">
        <v>42908</v>
      </c>
      <c r="F1607" t="s">
        <v>383</v>
      </c>
      <c r="G1607" t="s">
        <v>658</v>
      </c>
      <c r="H1607">
        <v>-1</v>
      </c>
      <c r="I1607" t="s">
        <v>37</v>
      </c>
      <c r="J1607">
        <v>0</v>
      </c>
      <c r="M1607" t="s">
        <v>1910</v>
      </c>
      <c r="N1607" t="s">
        <v>661</v>
      </c>
      <c r="O1607">
        <v>0</v>
      </c>
      <c r="P1607">
        <v>0</v>
      </c>
      <c r="Q1607" t="s">
        <v>381</v>
      </c>
    </row>
    <row r="1608" spans="1:17" x14ac:dyDescent="0.15">
      <c r="A1608" t="s">
        <v>19</v>
      </c>
      <c r="B1608" t="s">
        <v>35</v>
      </c>
      <c r="C1608">
        <v>163</v>
      </c>
      <c r="D1608" t="s">
        <v>161</v>
      </c>
      <c r="E1608" s="1">
        <v>42913</v>
      </c>
      <c r="F1608" t="s">
        <v>383</v>
      </c>
      <c r="G1608" t="s">
        <v>401</v>
      </c>
      <c r="H1608">
        <v>-1</v>
      </c>
      <c r="I1608" t="s">
        <v>37</v>
      </c>
      <c r="J1608">
        <v>0</v>
      </c>
      <c r="M1608" t="s">
        <v>241</v>
      </c>
      <c r="N1608" t="s">
        <v>402</v>
      </c>
    </row>
    <row r="1609" spans="1:17" x14ac:dyDescent="0.15">
      <c r="A1609" t="s">
        <v>19</v>
      </c>
      <c r="B1609" t="s">
        <v>35</v>
      </c>
      <c r="C1609">
        <v>163</v>
      </c>
      <c r="D1609" t="s">
        <v>161</v>
      </c>
      <c r="E1609" s="1">
        <v>42913</v>
      </c>
      <c r="F1609" t="s">
        <v>383</v>
      </c>
      <c r="G1609" t="s">
        <v>401</v>
      </c>
      <c r="H1609">
        <v>-1</v>
      </c>
      <c r="I1609" t="s">
        <v>37</v>
      </c>
      <c r="J1609">
        <v>0</v>
      </c>
      <c r="M1609" t="s">
        <v>1910</v>
      </c>
      <c r="N1609" t="s">
        <v>402</v>
      </c>
      <c r="O1609">
        <v>0</v>
      </c>
      <c r="P1609">
        <v>0</v>
      </c>
      <c r="Q1609" t="s">
        <v>381</v>
      </c>
    </row>
    <row r="1610" spans="1:17" x14ac:dyDescent="0.15">
      <c r="A1610" t="s">
        <v>19</v>
      </c>
      <c r="B1610" t="s">
        <v>35</v>
      </c>
      <c r="C1610">
        <v>163</v>
      </c>
      <c r="D1610" t="s">
        <v>161</v>
      </c>
      <c r="E1610" s="1">
        <v>42915</v>
      </c>
      <c r="F1610" t="s">
        <v>383</v>
      </c>
      <c r="G1610" t="s">
        <v>420</v>
      </c>
      <c r="H1610">
        <v>-1</v>
      </c>
      <c r="I1610" t="s">
        <v>37</v>
      </c>
      <c r="J1610">
        <v>0</v>
      </c>
      <c r="M1610" t="s">
        <v>241</v>
      </c>
      <c r="N1610" t="s">
        <v>421</v>
      </c>
    </row>
    <row r="1611" spans="1:17" x14ac:dyDescent="0.15">
      <c r="A1611" t="s">
        <v>19</v>
      </c>
      <c r="B1611" t="s">
        <v>35</v>
      </c>
      <c r="C1611">
        <v>163</v>
      </c>
      <c r="D1611" t="s">
        <v>161</v>
      </c>
      <c r="E1611" s="1">
        <v>42915</v>
      </c>
      <c r="F1611" t="s">
        <v>383</v>
      </c>
      <c r="G1611" t="s">
        <v>420</v>
      </c>
      <c r="H1611">
        <v>-1</v>
      </c>
      <c r="I1611" t="s">
        <v>37</v>
      </c>
      <c r="J1611">
        <v>0</v>
      </c>
      <c r="M1611" t="s">
        <v>1910</v>
      </c>
      <c r="N1611" t="s">
        <v>421</v>
      </c>
      <c r="O1611">
        <v>0</v>
      </c>
      <c r="P1611">
        <v>0</v>
      </c>
      <c r="Q1611" t="s">
        <v>381</v>
      </c>
    </row>
    <row r="1612" spans="1:17" x14ac:dyDescent="0.15">
      <c r="A1612" t="s">
        <v>19</v>
      </c>
      <c r="B1612" t="s">
        <v>35</v>
      </c>
      <c r="C1612">
        <v>163</v>
      </c>
      <c r="D1612" t="s">
        <v>161</v>
      </c>
      <c r="E1612" s="1">
        <v>42915</v>
      </c>
      <c r="F1612" t="s">
        <v>17</v>
      </c>
      <c r="G1612" t="s">
        <v>829</v>
      </c>
      <c r="H1612">
        <v>1</v>
      </c>
      <c r="I1612" t="s">
        <v>37</v>
      </c>
      <c r="J1612">
        <v>0</v>
      </c>
      <c r="K1612">
        <v>0</v>
      </c>
      <c r="L1612" t="s">
        <v>375</v>
      </c>
      <c r="M1612" t="s">
        <v>241</v>
      </c>
      <c r="N1612" t="s">
        <v>830</v>
      </c>
    </row>
    <row r="1613" spans="1:17" x14ac:dyDescent="0.15">
      <c r="A1613" t="s">
        <v>19</v>
      </c>
      <c r="B1613" t="s">
        <v>35</v>
      </c>
      <c r="C1613">
        <v>163</v>
      </c>
      <c r="D1613" t="s">
        <v>161</v>
      </c>
      <c r="E1613" s="1">
        <v>42915</v>
      </c>
      <c r="F1613" t="s">
        <v>17</v>
      </c>
      <c r="G1613" t="s">
        <v>829</v>
      </c>
      <c r="H1613">
        <v>1</v>
      </c>
      <c r="I1613" t="s">
        <v>37</v>
      </c>
      <c r="J1613">
        <v>0</v>
      </c>
      <c r="K1613">
        <v>0</v>
      </c>
      <c r="L1613" t="s">
        <v>375</v>
      </c>
      <c r="M1613" t="s">
        <v>1910</v>
      </c>
      <c r="N1613" t="s">
        <v>830</v>
      </c>
      <c r="O1613">
        <v>0</v>
      </c>
      <c r="P1613">
        <v>0</v>
      </c>
      <c r="Q1613" t="s">
        <v>381</v>
      </c>
    </row>
    <row r="1614" spans="1:17" x14ac:dyDescent="0.15">
      <c r="A1614" t="s">
        <v>19</v>
      </c>
      <c r="B1614" t="s">
        <v>35</v>
      </c>
      <c r="C1614">
        <v>163</v>
      </c>
      <c r="D1614" t="s">
        <v>161</v>
      </c>
      <c r="E1614" s="1">
        <v>42922</v>
      </c>
      <c r="F1614" t="s">
        <v>383</v>
      </c>
      <c r="G1614" t="s">
        <v>1036</v>
      </c>
      <c r="H1614">
        <v>-1</v>
      </c>
      <c r="I1614" t="s">
        <v>37</v>
      </c>
      <c r="J1614">
        <v>0</v>
      </c>
      <c r="M1614" t="s">
        <v>241</v>
      </c>
      <c r="N1614" t="s">
        <v>1039</v>
      </c>
    </row>
    <row r="1615" spans="1:17" x14ac:dyDescent="0.15">
      <c r="A1615" t="s">
        <v>19</v>
      </c>
      <c r="B1615" t="s">
        <v>35</v>
      </c>
      <c r="C1615">
        <v>163</v>
      </c>
      <c r="D1615" t="s">
        <v>161</v>
      </c>
      <c r="E1615" s="1">
        <v>42922</v>
      </c>
      <c r="F1615" t="s">
        <v>383</v>
      </c>
      <c r="G1615" t="s">
        <v>1036</v>
      </c>
      <c r="H1615">
        <v>-1</v>
      </c>
      <c r="I1615" t="s">
        <v>37</v>
      </c>
      <c r="J1615">
        <v>0</v>
      </c>
      <c r="M1615" t="s">
        <v>1910</v>
      </c>
      <c r="N1615" t="s">
        <v>1039</v>
      </c>
      <c r="O1615">
        <v>0</v>
      </c>
      <c r="P1615">
        <v>0</v>
      </c>
      <c r="Q1615" t="s">
        <v>381</v>
      </c>
    </row>
    <row r="1616" spans="1:17" x14ac:dyDescent="0.15">
      <c r="A1616" t="s">
        <v>19</v>
      </c>
      <c r="B1616" t="s">
        <v>35</v>
      </c>
      <c r="C1616">
        <v>163</v>
      </c>
      <c r="D1616" t="s">
        <v>161</v>
      </c>
      <c r="E1616" s="1">
        <v>42922</v>
      </c>
      <c r="F1616" t="s">
        <v>383</v>
      </c>
      <c r="G1616" t="s">
        <v>1040</v>
      </c>
      <c r="H1616">
        <v>-1</v>
      </c>
      <c r="I1616" t="s">
        <v>37</v>
      </c>
      <c r="J1616">
        <v>0</v>
      </c>
      <c r="M1616" t="s">
        <v>241</v>
      </c>
      <c r="N1616" t="s">
        <v>1042</v>
      </c>
    </row>
    <row r="1617" spans="1:17" x14ac:dyDescent="0.15">
      <c r="A1617" t="s">
        <v>19</v>
      </c>
      <c r="B1617" t="s">
        <v>35</v>
      </c>
      <c r="C1617">
        <v>163</v>
      </c>
      <c r="D1617" t="s">
        <v>161</v>
      </c>
      <c r="E1617" s="1">
        <v>42922</v>
      </c>
      <c r="F1617" t="s">
        <v>383</v>
      </c>
      <c r="G1617" t="s">
        <v>1040</v>
      </c>
      <c r="H1617">
        <v>-1</v>
      </c>
      <c r="I1617" t="s">
        <v>37</v>
      </c>
      <c r="J1617">
        <v>0</v>
      </c>
      <c r="M1617" t="s">
        <v>1910</v>
      </c>
      <c r="N1617" t="s">
        <v>1042</v>
      </c>
      <c r="O1617">
        <v>0</v>
      </c>
      <c r="P1617">
        <v>0</v>
      </c>
      <c r="Q1617" t="s">
        <v>381</v>
      </c>
    </row>
    <row r="1618" spans="1:17" x14ac:dyDescent="0.15">
      <c r="A1618" t="s">
        <v>19</v>
      </c>
      <c r="B1618" t="s">
        <v>35</v>
      </c>
      <c r="C1618">
        <v>163</v>
      </c>
      <c r="D1618" t="s">
        <v>161</v>
      </c>
      <c r="E1618" s="1">
        <v>42933</v>
      </c>
      <c r="F1618" t="s">
        <v>17</v>
      </c>
      <c r="G1618" t="s">
        <v>1495</v>
      </c>
      <c r="H1618">
        <v>1</v>
      </c>
      <c r="I1618" t="s">
        <v>37</v>
      </c>
      <c r="J1618">
        <v>0</v>
      </c>
      <c r="K1618">
        <v>0</v>
      </c>
      <c r="L1618" t="s">
        <v>375</v>
      </c>
      <c r="M1618" t="s">
        <v>241</v>
      </c>
      <c r="N1618" t="s">
        <v>1496</v>
      </c>
    </row>
    <row r="1619" spans="1:17" x14ac:dyDescent="0.15">
      <c r="A1619" t="s">
        <v>19</v>
      </c>
      <c r="B1619" t="s">
        <v>35</v>
      </c>
      <c r="C1619">
        <v>163</v>
      </c>
      <c r="D1619" t="s">
        <v>161</v>
      </c>
      <c r="E1619" s="1">
        <v>42933</v>
      </c>
      <c r="F1619" t="s">
        <v>17</v>
      </c>
      <c r="G1619" t="s">
        <v>1495</v>
      </c>
      <c r="H1619">
        <v>1</v>
      </c>
      <c r="I1619" t="s">
        <v>37</v>
      </c>
      <c r="J1619">
        <v>0</v>
      </c>
      <c r="K1619">
        <v>0</v>
      </c>
      <c r="L1619" t="s">
        <v>375</v>
      </c>
      <c r="M1619" t="s">
        <v>1910</v>
      </c>
      <c r="N1619" t="s">
        <v>1496</v>
      </c>
      <c r="O1619">
        <v>0</v>
      </c>
      <c r="P1619">
        <v>0</v>
      </c>
      <c r="Q1619" t="s">
        <v>381</v>
      </c>
    </row>
    <row r="1620" spans="1:17" x14ac:dyDescent="0.15">
      <c r="A1620" t="s">
        <v>19</v>
      </c>
      <c r="B1620" t="s">
        <v>35</v>
      </c>
      <c r="C1620">
        <v>163</v>
      </c>
      <c r="D1620" t="s">
        <v>161</v>
      </c>
      <c r="E1620" s="1">
        <v>42934</v>
      </c>
      <c r="F1620" t="s">
        <v>383</v>
      </c>
      <c r="G1620" t="s">
        <v>976</v>
      </c>
      <c r="H1620">
        <v>-1</v>
      </c>
      <c r="I1620" t="s">
        <v>37</v>
      </c>
      <c r="J1620">
        <v>0</v>
      </c>
      <c r="M1620" t="s">
        <v>241</v>
      </c>
      <c r="N1620" t="s">
        <v>977</v>
      </c>
    </row>
    <row r="1621" spans="1:17" x14ac:dyDescent="0.15">
      <c r="A1621" t="s">
        <v>19</v>
      </c>
      <c r="B1621" t="s">
        <v>35</v>
      </c>
      <c r="C1621">
        <v>163</v>
      </c>
      <c r="D1621" t="s">
        <v>161</v>
      </c>
      <c r="E1621" s="1">
        <v>42934</v>
      </c>
      <c r="F1621" t="s">
        <v>383</v>
      </c>
      <c r="G1621" t="s">
        <v>976</v>
      </c>
      <c r="H1621">
        <v>-1</v>
      </c>
      <c r="I1621" t="s">
        <v>37</v>
      </c>
      <c r="J1621">
        <v>0</v>
      </c>
      <c r="M1621" t="s">
        <v>1910</v>
      </c>
      <c r="N1621" t="s">
        <v>977</v>
      </c>
      <c r="O1621">
        <v>0</v>
      </c>
      <c r="P1621">
        <v>0</v>
      </c>
      <c r="Q1621" t="s">
        <v>381</v>
      </c>
    </row>
    <row r="1622" spans="1:17" x14ac:dyDescent="0.15">
      <c r="A1622" t="s">
        <v>19</v>
      </c>
      <c r="B1622" t="s">
        <v>35</v>
      </c>
      <c r="C1622">
        <v>163</v>
      </c>
      <c r="D1622" t="s">
        <v>161</v>
      </c>
      <c r="E1622" s="1">
        <v>42936</v>
      </c>
      <c r="F1622" t="s">
        <v>383</v>
      </c>
      <c r="G1622" t="s">
        <v>987</v>
      </c>
      <c r="H1622">
        <v>-1</v>
      </c>
      <c r="I1622" t="s">
        <v>37</v>
      </c>
      <c r="J1622">
        <v>0</v>
      </c>
      <c r="M1622" t="s">
        <v>241</v>
      </c>
      <c r="N1622" t="s">
        <v>988</v>
      </c>
    </row>
    <row r="1623" spans="1:17" x14ac:dyDescent="0.15">
      <c r="A1623" t="s">
        <v>19</v>
      </c>
      <c r="B1623" t="s">
        <v>35</v>
      </c>
      <c r="C1623">
        <v>163</v>
      </c>
      <c r="D1623" t="s">
        <v>161</v>
      </c>
      <c r="E1623" s="1">
        <v>42936</v>
      </c>
      <c r="F1623" t="s">
        <v>383</v>
      </c>
      <c r="G1623" t="s">
        <v>987</v>
      </c>
      <c r="H1623">
        <v>-1</v>
      </c>
      <c r="I1623" t="s">
        <v>37</v>
      </c>
      <c r="J1623">
        <v>0</v>
      </c>
      <c r="M1623" t="s">
        <v>1910</v>
      </c>
      <c r="N1623" t="s">
        <v>988</v>
      </c>
      <c r="O1623">
        <v>0</v>
      </c>
      <c r="P1623">
        <v>0</v>
      </c>
      <c r="Q1623" t="s">
        <v>381</v>
      </c>
    </row>
    <row r="1624" spans="1:17" x14ac:dyDescent="0.15">
      <c r="A1624" t="s">
        <v>19</v>
      </c>
      <c r="B1624" t="s">
        <v>35</v>
      </c>
      <c r="C1624">
        <v>163</v>
      </c>
      <c r="D1624" t="s">
        <v>161</v>
      </c>
      <c r="E1624" s="1">
        <v>42936</v>
      </c>
      <c r="F1624" t="s">
        <v>383</v>
      </c>
      <c r="G1624" t="s">
        <v>1094</v>
      </c>
      <c r="H1624">
        <v>-1</v>
      </c>
      <c r="I1624" t="s">
        <v>37</v>
      </c>
      <c r="J1624">
        <v>0</v>
      </c>
      <c r="M1624" t="s">
        <v>241</v>
      </c>
      <c r="N1624" t="s">
        <v>1097</v>
      </c>
    </row>
    <row r="1625" spans="1:17" x14ac:dyDescent="0.15">
      <c r="A1625" t="s">
        <v>19</v>
      </c>
      <c r="B1625" t="s">
        <v>35</v>
      </c>
      <c r="C1625">
        <v>163</v>
      </c>
      <c r="D1625" t="s">
        <v>161</v>
      </c>
      <c r="E1625" s="1">
        <v>42936</v>
      </c>
      <c r="F1625" t="s">
        <v>383</v>
      </c>
      <c r="G1625" t="s">
        <v>1094</v>
      </c>
      <c r="H1625">
        <v>-1</v>
      </c>
      <c r="I1625" t="s">
        <v>37</v>
      </c>
      <c r="J1625">
        <v>0</v>
      </c>
      <c r="M1625" t="s">
        <v>1910</v>
      </c>
      <c r="N1625" t="s">
        <v>1097</v>
      </c>
      <c r="O1625">
        <v>0</v>
      </c>
      <c r="P1625">
        <v>0</v>
      </c>
      <c r="Q1625" t="s">
        <v>381</v>
      </c>
    </row>
    <row r="1626" spans="1:17" x14ac:dyDescent="0.15">
      <c r="A1626" t="s">
        <v>19</v>
      </c>
      <c r="B1626" t="s">
        <v>35</v>
      </c>
      <c r="C1626">
        <v>163</v>
      </c>
      <c r="D1626" t="s">
        <v>161</v>
      </c>
      <c r="E1626" s="1">
        <v>42940</v>
      </c>
      <c r="F1626" t="s">
        <v>383</v>
      </c>
      <c r="G1626" t="s">
        <v>1103</v>
      </c>
      <c r="H1626">
        <v>-1</v>
      </c>
      <c r="I1626" t="s">
        <v>37</v>
      </c>
      <c r="J1626">
        <v>0</v>
      </c>
      <c r="M1626" t="s">
        <v>241</v>
      </c>
      <c r="N1626" t="s">
        <v>1105</v>
      </c>
    </row>
    <row r="1627" spans="1:17" x14ac:dyDescent="0.15">
      <c r="A1627" t="s">
        <v>19</v>
      </c>
      <c r="B1627" t="s">
        <v>35</v>
      </c>
      <c r="C1627">
        <v>163</v>
      </c>
      <c r="D1627" t="s">
        <v>161</v>
      </c>
      <c r="E1627" s="1">
        <v>42940</v>
      </c>
      <c r="F1627" t="s">
        <v>383</v>
      </c>
      <c r="G1627" t="s">
        <v>1103</v>
      </c>
      <c r="H1627">
        <v>-1</v>
      </c>
      <c r="I1627" t="s">
        <v>37</v>
      </c>
      <c r="J1627">
        <v>0</v>
      </c>
      <c r="M1627" t="s">
        <v>1910</v>
      </c>
      <c r="N1627" t="s">
        <v>1105</v>
      </c>
      <c r="O1627">
        <v>0</v>
      </c>
      <c r="P1627">
        <v>0</v>
      </c>
      <c r="Q1627" t="s">
        <v>381</v>
      </c>
    </row>
    <row r="1628" spans="1:17" x14ac:dyDescent="0.15">
      <c r="A1628" t="s">
        <v>19</v>
      </c>
      <c r="B1628" t="s">
        <v>35</v>
      </c>
      <c r="C1628">
        <v>163</v>
      </c>
      <c r="D1628" t="s">
        <v>161</v>
      </c>
      <c r="E1628" s="1">
        <v>42965</v>
      </c>
      <c r="F1628" t="s">
        <v>383</v>
      </c>
      <c r="G1628" t="s">
        <v>982</v>
      </c>
      <c r="H1628">
        <v>-1</v>
      </c>
      <c r="I1628" t="s">
        <v>37</v>
      </c>
      <c r="J1628">
        <v>0</v>
      </c>
      <c r="M1628" t="s">
        <v>241</v>
      </c>
      <c r="N1628" t="s">
        <v>983</v>
      </c>
    </row>
    <row r="1629" spans="1:17" x14ac:dyDescent="0.15">
      <c r="A1629" t="s">
        <v>19</v>
      </c>
      <c r="B1629" t="s">
        <v>35</v>
      </c>
      <c r="C1629">
        <v>163</v>
      </c>
      <c r="D1629" t="s">
        <v>161</v>
      </c>
      <c r="E1629" s="1">
        <v>42965</v>
      </c>
      <c r="F1629" t="s">
        <v>383</v>
      </c>
      <c r="G1629" t="s">
        <v>982</v>
      </c>
      <c r="H1629">
        <v>-1</v>
      </c>
      <c r="I1629" t="s">
        <v>37</v>
      </c>
      <c r="J1629">
        <v>0</v>
      </c>
      <c r="M1629" t="s">
        <v>1910</v>
      </c>
      <c r="N1629" t="s">
        <v>983</v>
      </c>
      <c r="O1629">
        <v>0</v>
      </c>
      <c r="P1629">
        <v>0</v>
      </c>
      <c r="Q1629" t="s">
        <v>381</v>
      </c>
    </row>
    <row r="1630" spans="1:17" x14ac:dyDescent="0.15">
      <c r="A1630" t="s">
        <v>19</v>
      </c>
      <c r="B1630" t="s">
        <v>35</v>
      </c>
      <c r="C1630">
        <v>163</v>
      </c>
      <c r="D1630" t="s">
        <v>161</v>
      </c>
      <c r="E1630" s="1">
        <v>42965</v>
      </c>
      <c r="F1630" t="s">
        <v>383</v>
      </c>
      <c r="G1630" t="s">
        <v>1161</v>
      </c>
      <c r="H1630">
        <v>-1</v>
      </c>
      <c r="I1630" t="s">
        <v>37</v>
      </c>
      <c r="J1630">
        <v>0</v>
      </c>
      <c r="M1630" t="s">
        <v>241</v>
      </c>
      <c r="N1630" t="s">
        <v>1163</v>
      </c>
    </row>
    <row r="1631" spans="1:17" x14ac:dyDescent="0.15">
      <c r="A1631" t="s">
        <v>19</v>
      </c>
      <c r="B1631" t="s">
        <v>35</v>
      </c>
      <c r="C1631">
        <v>163</v>
      </c>
      <c r="D1631" t="s">
        <v>161</v>
      </c>
      <c r="E1631" s="1">
        <v>42965</v>
      </c>
      <c r="F1631" t="s">
        <v>383</v>
      </c>
      <c r="G1631" t="s">
        <v>1161</v>
      </c>
      <c r="H1631">
        <v>-1</v>
      </c>
      <c r="I1631" t="s">
        <v>37</v>
      </c>
      <c r="J1631">
        <v>0</v>
      </c>
      <c r="M1631" t="s">
        <v>1910</v>
      </c>
      <c r="N1631" t="s">
        <v>1163</v>
      </c>
      <c r="O1631">
        <v>0</v>
      </c>
      <c r="P1631">
        <v>0</v>
      </c>
      <c r="Q1631" t="s">
        <v>381</v>
      </c>
    </row>
    <row r="1632" spans="1:17" x14ac:dyDescent="0.15">
      <c r="A1632" t="s">
        <v>19</v>
      </c>
      <c r="B1632" t="s">
        <v>35</v>
      </c>
      <c r="C1632">
        <v>163</v>
      </c>
      <c r="D1632" t="s">
        <v>161</v>
      </c>
      <c r="E1632" s="1">
        <v>42970</v>
      </c>
      <c r="F1632" t="s">
        <v>383</v>
      </c>
      <c r="G1632" t="s">
        <v>991</v>
      </c>
      <c r="H1632">
        <v>-1</v>
      </c>
      <c r="I1632" t="s">
        <v>37</v>
      </c>
      <c r="J1632">
        <v>0</v>
      </c>
      <c r="M1632" t="s">
        <v>241</v>
      </c>
      <c r="N1632" t="s">
        <v>992</v>
      </c>
    </row>
    <row r="1633" spans="1:17" x14ac:dyDescent="0.15">
      <c r="A1633" t="s">
        <v>19</v>
      </c>
      <c r="B1633" t="s">
        <v>35</v>
      </c>
      <c r="C1633">
        <v>163</v>
      </c>
      <c r="D1633" t="s">
        <v>161</v>
      </c>
      <c r="E1633" s="1">
        <v>42970</v>
      </c>
      <c r="F1633" t="s">
        <v>383</v>
      </c>
      <c r="G1633" t="s">
        <v>991</v>
      </c>
      <c r="H1633">
        <v>-1</v>
      </c>
      <c r="I1633" t="s">
        <v>37</v>
      </c>
      <c r="J1633">
        <v>0</v>
      </c>
      <c r="M1633" t="s">
        <v>1910</v>
      </c>
      <c r="N1633" t="s">
        <v>992</v>
      </c>
      <c r="O1633">
        <v>0</v>
      </c>
      <c r="P1633">
        <v>0</v>
      </c>
      <c r="Q1633" t="s">
        <v>381</v>
      </c>
    </row>
    <row r="1634" spans="1:17" x14ac:dyDescent="0.15">
      <c r="A1634" t="s">
        <v>19</v>
      </c>
      <c r="B1634" t="s">
        <v>35</v>
      </c>
      <c r="C1634">
        <v>163</v>
      </c>
      <c r="D1634" t="s">
        <v>161</v>
      </c>
      <c r="E1634" s="1">
        <v>42976</v>
      </c>
      <c r="F1634" t="s">
        <v>383</v>
      </c>
      <c r="G1634" t="s">
        <v>1191</v>
      </c>
      <c r="H1634">
        <v>-1</v>
      </c>
      <c r="I1634" t="s">
        <v>37</v>
      </c>
      <c r="J1634">
        <v>0</v>
      </c>
      <c r="M1634" t="s">
        <v>241</v>
      </c>
      <c r="N1634" t="s">
        <v>1194</v>
      </c>
    </row>
    <row r="1635" spans="1:17" x14ac:dyDescent="0.15">
      <c r="A1635" t="s">
        <v>19</v>
      </c>
      <c r="B1635" t="s">
        <v>35</v>
      </c>
      <c r="C1635">
        <v>163</v>
      </c>
      <c r="D1635" t="s">
        <v>161</v>
      </c>
      <c r="E1635" s="1">
        <v>42976</v>
      </c>
      <c r="F1635" t="s">
        <v>383</v>
      </c>
      <c r="G1635" t="s">
        <v>1191</v>
      </c>
      <c r="H1635">
        <v>-1</v>
      </c>
      <c r="I1635" t="s">
        <v>37</v>
      </c>
      <c r="J1635">
        <v>0</v>
      </c>
      <c r="M1635" t="s">
        <v>1910</v>
      </c>
      <c r="N1635" t="s">
        <v>1194</v>
      </c>
      <c r="O1635">
        <v>0</v>
      </c>
      <c r="P1635">
        <v>0</v>
      </c>
      <c r="Q1635" t="s">
        <v>381</v>
      </c>
    </row>
    <row r="1636" spans="1:17" x14ac:dyDescent="0.15">
      <c r="A1636" t="s">
        <v>19</v>
      </c>
      <c r="B1636" t="s">
        <v>35</v>
      </c>
      <c r="C1636">
        <v>163</v>
      </c>
      <c r="D1636" t="s">
        <v>161</v>
      </c>
      <c r="E1636" s="1">
        <v>42978</v>
      </c>
      <c r="F1636" t="s">
        <v>17</v>
      </c>
      <c r="G1636" t="s">
        <v>1569</v>
      </c>
      <c r="H1636">
        <v>1</v>
      </c>
      <c r="I1636" t="s">
        <v>37</v>
      </c>
      <c r="J1636">
        <v>0</v>
      </c>
      <c r="K1636">
        <v>0</v>
      </c>
      <c r="L1636" t="s">
        <v>375</v>
      </c>
      <c r="M1636" t="s">
        <v>241</v>
      </c>
      <c r="N1636" t="s">
        <v>1570</v>
      </c>
    </row>
    <row r="1637" spans="1:17" x14ac:dyDescent="0.15">
      <c r="A1637" t="s">
        <v>19</v>
      </c>
      <c r="B1637" t="s">
        <v>35</v>
      </c>
      <c r="C1637">
        <v>163</v>
      </c>
      <c r="D1637" t="s">
        <v>161</v>
      </c>
      <c r="E1637" s="1">
        <v>42978</v>
      </c>
      <c r="F1637" t="s">
        <v>17</v>
      </c>
      <c r="G1637" t="s">
        <v>1569</v>
      </c>
      <c r="H1637">
        <v>1</v>
      </c>
      <c r="I1637" t="s">
        <v>37</v>
      </c>
      <c r="J1637">
        <v>0</v>
      </c>
      <c r="K1637">
        <v>0</v>
      </c>
      <c r="L1637" t="s">
        <v>375</v>
      </c>
      <c r="M1637" t="s">
        <v>1910</v>
      </c>
      <c r="N1637" t="s">
        <v>1570</v>
      </c>
      <c r="O1637">
        <v>0</v>
      </c>
      <c r="P1637">
        <v>0</v>
      </c>
      <c r="Q1637" t="s">
        <v>381</v>
      </c>
    </row>
    <row r="1638" spans="1:17" x14ac:dyDescent="0.15">
      <c r="A1638" t="s">
        <v>19</v>
      </c>
      <c r="B1638" t="s">
        <v>35</v>
      </c>
      <c r="C1638">
        <v>163</v>
      </c>
      <c r="D1638" t="s">
        <v>161</v>
      </c>
      <c r="E1638" s="1">
        <v>42978</v>
      </c>
      <c r="F1638" t="s">
        <v>17</v>
      </c>
      <c r="G1638" t="s">
        <v>1579</v>
      </c>
      <c r="H1638">
        <v>1</v>
      </c>
      <c r="I1638" t="s">
        <v>37</v>
      </c>
      <c r="J1638">
        <v>0</v>
      </c>
      <c r="K1638">
        <v>0</v>
      </c>
      <c r="L1638" t="s">
        <v>375</v>
      </c>
      <c r="M1638" t="s">
        <v>241</v>
      </c>
      <c r="N1638" t="s">
        <v>1580</v>
      </c>
    </row>
    <row r="1639" spans="1:17" x14ac:dyDescent="0.15">
      <c r="A1639" t="s">
        <v>19</v>
      </c>
      <c r="B1639" t="s">
        <v>35</v>
      </c>
      <c r="C1639">
        <v>163</v>
      </c>
      <c r="D1639" t="s">
        <v>161</v>
      </c>
      <c r="E1639" s="1">
        <v>42978</v>
      </c>
      <c r="F1639" t="s">
        <v>17</v>
      </c>
      <c r="G1639" t="s">
        <v>1579</v>
      </c>
      <c r="H1639">
        <v>1</v>
      </c>
      <c r="I1639" t="s">
        <v>37</v>
      </c>
      <c r="J1639">
        <v>0</v>
      </c>
      <c r="K1639">
        <v>0</v>
      </c>
      <c r="L1639" t="s">
        <v>375</v>
      </c>
      <c r="M1639" t="s">
        <v>1910</v>
      </c>
      <c r="N1639" t="s">
        <v>1580</v>
      </c>
      <c r="O1639">
        <v>0</v>
      </c>
      <c r="P1639">
        <v>0</v>
      </c>
      <c r="Q1639" t="s">
        <v>381</v>
      </c>
    </row>
    <row r="1640" spans="1:17" x14ac:dyDescent="0.15">
      <c r="A1640" t="s">
        <v>19</v>
      </c>
      <c r="B1640" t="s">
        <v>35</v>
      </c>
      <c r="C1640">
        <v>163</v>
      </c>
      <c r="D1640" t="s">
        <v>161</v>
      </c>
      <c r="E1640" s="1">
        <v>42985</v>
      </c>
      <c r="F1640" t="s">
        <v>383</v>
      </c>
      <c r="G1640" t="s">
        <v>960</v>
      </c>
      <c r="H1640">
        <v>-1</v>
      </c>
      <c r="I1640" t="s">
        <v>37</v>
      </c>
      <c r="J1640">
        <v>0</v>
      </c>
      <c r="M1640" t="s">
        <v>241</v>
      </c>
      <c r="N1640" t="s">
        <v>961</v>
      </c>
    </row>
    <row r="1641" spans="1:17" x14ac:dyDescent="0.15">
      <c r="A1641" t="s">
        <v>19</v>
      </c>
      <c r="B1641" t="s">
        <v>35</v>
      </c>
      <c r="C1641">
        <v>163</v>
      </c>
      <c r="D1641" t="s">
        <v>161</v>
      </c>
      <c r="E1641" s="1">
        <v>42985</v>
      </c>
      <c r="F1641" t="s">
        <v>383</v>
      </c>
      <c r="G1641" t="s">
        <v>960</v>
      </c>
      <c r="H1641">
        <v>-1</v>
      </c>
      <c r="I1641" t="s">
        <v>37</v>
      </c>
      <c r="J1641">
        <v>0</v>
      </c>
      <c r="M1641" t="s">
        <v>1910</v>
      </c>
      <c r="N1641" t="s">
        <v>961</v>
      </c>
      <c r="O1641">
        <v>0</v>
      </c>
      <c r="P1641">
        <v>0</v>
      </c>
      <c r="Q1641" t="s">
        <v>381</v>
      </c>
    </row>
    <row r="1642" spans="1:17" x14ac:dyDescent="0.15">
      <c r="A1642" t="s">
        <v>19</v>
      </c>
      <c r="B1642" t="s">
        <v>35</v>
      </c>
      <c r="C1642">
        <v>163</v>
      </c>
      <c r="D1642" t="s">
        <v>161</v>
      </c>
      <c r="E1642" s="1">
        <v>42985</v>
      </c>
      <c r="F1642" t="s">
        <v>383</v>
      </c>
      <c r="G1642" t="s">
        <v>1219</v>
      </c>
      <c r="H1642">
        <v>-1</v>
      </c>
      <c r="I1642" t="s">
        <v>37</v>
      </c>
      <c r="J1642">
        <v>0</v>
      </c>
      <c r="M1642" t="s">
        <v>241</v>
      </c>
      <c r="N1642" t="s">
        <v>1221</v>
      </c>
    </row>
    <row r="1643" spans="1:17" x14ac:dyDescent="0.15">
      <c r="A1643" t="s">
        <v>19</v>
      </c>
      <c r="B1643" t="s">
        <v>35</v>
      </c>
      <c r="C1643">
        <v>163</v>
      </c>
      <c r="D1643" t="s">
        <v>161</v>
      </c>
      <c r="E1643" s="1">
        <v>42985</v>
      </c>
      <c r="F1643" t="s">
        <v>383</v>
      </c>
      <c r="G1643" t="s">
        <v>1219</v>
      </c>
      <c r="H1643">
        <v>-1</v>
      </c>
      <c r="I1643" t="s">
        <v>37</v>
      </c>
      <c r="J1643">
        <v>0</v>
      </c>
      <c r="M1643" t="s">
        <v>1910</v>
      </c>
      <c r="N1643" t="s">
        <v>1221</v>
      </c>
      <c r="O1643">
        <v>0</v>
      </c>
      <c r="P1643">
        <v>0</v>
      </c>
      <c r="Q1643" t="s">
        <v>381</v>
      </c>
    </row>
    <row r="1644" spans="1:17" x14ac:dyDescent="0.15">
      <c r="A1644" t="s">
        <v>19</v>
      </c>
      <c r="B1644" t="s">
        <v>35</v>
      </c>
      <c r="C1644">
        <v>163</v>
      </c>
      <c r="D1644" t="s">
        <v>161</v>
      </c>
      <c r="E1644" s="1">
        <v>42992</v>
      </c>
      <c r="F1644" t="s">
        <v>383</v>
      </c>
      <c r="G1644" t="s">
        <v>995</v>
      </c>
      <c r="H1644">
        <v>-1</v>
      </c>
      <c r="I1644" t="s">
        <v>37</v>
      </c>
      <c r="J1644">
        <v>0</v>
      </c>
      <c r="M1644" t="s">
        <v>241</v>
      </c>
      <c r="N1644" t="s">
        <v>996</v>
      </c>
    </row>
    <row r="1645" spans="1:17" x14ac:dyDescent="0.15">
      <c r="A1645" t="s">
        <v>19</v>
      </c>
      <c r="B1645" t="s">
        <v>35</v>
      </c>
      <c r="C1645">
        <v>163</v>
      </c>
      <c r="D1645" t="s">
        <v>161</v>
      </c>
      <c r="E1645" s="1">
        <v>42992</v>
      </c>
      <c r="F1645" t="s">
        <v>383</v>
      </c>
      <c r="G1645" t="s">
        <v>995</v>
      </c>
      <c r="H1645">
        <v>-1</v>
      </c>
      <c r="I1645" t="s">
        <v>37</v>
      </c>
      <c r="J1645">
        <v>0</v>
      </c>
      <c r="M1645" t="s">
        <v>1910</v>
      </c>
      <c r="N1645" t="s">
        <v>996</v>
      </c>
      <c r="O1645">
        <v>0</v>
      </c>
      <c r="P1645">
        <v>0</v>
      </c>
      <c r="Q1645" t="s">
        <v>381</v>
      </c>
    </row>
    <row r="1646" spans="1:17" x14ac:dyDescent="0.15">
      <c r="A1646" t="s">
        <v>19</v>
      </c>
      <c r="B1646" t="s">
        <v>35</v>
      </c>
      <c r="C1646">
        <v>163</v>
      </c>
      <c r="D1646" t="s">
        <v>161</v>
      </c>
      <c r="E1646" s="1">
        <v>42992</v>
      </c>
      <c r="F1646" t="s">
        <v>383</v>
      </c>
      <c r="G1646" t="s">
        <v>1243</v>
      </c>
      <c r="H1646">
        <v>-1</v>
      </c>
      <c r="I1646" t="s">
        <v>37</v>
      </c>
      <c r="J1646">
        <v>0</v>
      </c>
      <c r="M1646" t="s">
        <v>241</v>
      </c>
      <c r="N1646" t="s">
        <v>1244</v>
      </c>
    </row>
    <row r="1647" spans="1:17" x14ac:dyDescent="0.15">
      <c r="A1647" t="s">
        <v>19</v>
      </c>
      <c r="B1647" t="s">
        <v>35</v>
      </c>
      <c r="C1647">
        <v>163</v>
      </c>
      <c r="D1647" t="s">
        <v>161</v>
      </c>
      <c r="E1647" s="1">
        <v>42992</v>
      </c>
      <c r="F1647" t="s">
        <v>383</v>
      </c>
      <c r="G1647" t="s">
        <v>1243</v>
      </c>
      <c r="H1647">
        <v>-1</v>
      </c>
      <c r="I1647" t="s">
        <v>37</v>
      </c>
      <c r="J1647">
        <v>0</v>
      </c>
      <c r="M1647" t="s">
        <v>1910</v>
      </c>
      <c r="N1647" t="s">
        <v>1244</v>
      </c>
      <c r="O1647">
        <v>0</v>
      </c>
      <c r="P1647">
        <v>0</v>
      </c>
      <c r="Q1647" t="s">
        <v>381</v>
      </c>
    </row>
    <row r="1648" spans="1:17" x14ac:dyDescent="0.15">
      <c r="A1648" t="s">
        <v>19</v>
      </c>
      <c r="B1648" t="s">
        <v>35</v>
      </c>
      <c r="C1648">
        <v>163</v>
      </c>
      <c r="D1648" t="s">
        <v>161</v>
      </c>
      <c r="E1648" s="1">
        <v>42996</v>
      </c>
      <c r="F1648" t="s">
        <v>383</v>
      </c>
      <c r="G1648" t="s">
        <v>1001</v>
      </c>
      <c r="H1648">
        <v>-1</v>
      </c>
      <c r="I1648" t="s">
        <v>37</v>
      </c>
      <c r="J1648">
        <v>0</v>
      </c>
      <c r="M1648" t="s">
        <v>241</v>
      </c>
      <c r="N1648" t="s">
        <v>1002</v>
      </c>
    </row>
    <row r="1649" spans="1:17" x14ac:dyDescent="0.15">
      <c r="A1649" t="s">
        <v>19</v>
      </c>
      <c r="B1649" t="s">
        <v>35</v>
      </c>
      <c r="C1649">
        <v>163</v>
      </c>
      <c r="D1649" t="s">
        <v>161</v>
      </c>
      <c r="E1649" s="1">
        <v>42996</v>
      </c>
      <c r="F1649" t="s">
        <v>383</v>
      </c>
      <c r="G1649" t="s">
        <v>1001</v>
      </c>
      <c r="H1649">
        <v>-1</v>
      </c>
      <c r="I1649" t="s">
        <v>37</v>
      </c>
      <c r="J1649">
        <v>0</v>
      </c>
      <c r="M1649" t="s">
        <v>1910</v>
      </c>
      <c r="N1649" t="s">
        <v>1002</v>
      </c>
      <c r="O1649">
        <v>0</v>
      </c>
      <c r="P1649">
        <v>0</v>
      </c>
      <c r="Q1649" t="s">
        <v>381</v>
      </c>
    </row>
    <row r="1650" spans="1:17" x14ac:dyDescent="0.15">
      <c r="A1650" t="s">
        <v>19</v>
      </c>
      <c r="B1650" t="s">
        <v>35</v>
      </c>
      <c r="C1650">
        <v>163</v>
      </c>
      <c r="D1650" t="s">
        <v>161</v>
      </c>
      <c r="E1650" s="1">
        <v>42997</v>
      </c>
      <c r="F1650" t="s">
        <v>383</v>
      </c>
      <c r="G1650" t="s">
        <v>1224</v>
      </c>
      <c r="H1650">
        <v>-1</v>
      </c>
      <c r="I1650" t="s">
        <v>37</v>
      </c>
      <c r="J1650">
        <v>0</v>
      </c>
      <c r="M1650" t="s">
        <v>241</v>
      </c>
      <c r="N1650" t="s">
        <v>1226</v>
      </c>
    </row>
    <row r="1651" spans="1:17" x14ac:dyDescent="0.15">
      <c r="A1651" t="s">
        <v>19</v>
      </c>
      <c r="B1651" t="s">
        <v>35</v>
      </c>
      <c r="C1651">
        <v>163</v>
      </c>
      <c r="D1651" t="s">
        <v>161</v>
      </c>
      <c r="E1651" s="1">
        <v>42997</v>
      </c>
      <c r="F1651" t="s">
        <v>383</v>
      </c>
      <c r="G1651" t="s">
        <v>1224</v>
      </c>
      <c r="H1651">
        <v>-1</v>
      </c>
      <c r="I1651" t="s">
        <v>37</v>
      </c>
      <c r="J1651">
        <v>0</v>
      </c>
      <c r="M1651" t="s">
        <v>1910</v>
      </c>
      <c r="N1651" t="s">
        <v>1226</v>
      </c>
      <c r="O1651">
        <v>0</v>
      </c>
      <c r="P1651">
        <v>0</v>
      </c>
      <c r="Q1651" t="s">
        <v>381</v>
      </c>
    </row>
    <row r="1652" spans="1:17" x14ac:dyDescent="0.15">
      <c r="A1652" t="s">
        <v>19</v>
      </c>
      <c r="B1652" t="s">
        <v>35</v>
      </c>
      <c r="C1652">
        <v>163</v>
      </c>
      <c r="D1652" t="s">
        <v>161</v>
      </c>
      <c r="E1652" s="1">
        <v>42997</v>
      </c>
      <c r="F1652" t="s">
        <v>383</v>
      </c>
      <c r="G1652" t="s">
        <v>1239</v>
      </c>
      <c r="H1652">
        <v>-1</v>
      </c>
      <c r="I1652" t="s">
        <v>37</v>
      </c>
      <c r="J1652">
        <v>0</v>
      </c>
      <c r="M1652" t="s">
        <v>241</v>
      </c>
      <c r="N1652" t="s">
        <v>1242</v>
      </c>
    </row>
    <row r="1653" spans="1:17" x14ac:dyDescent="0.15">
      <c r="A1653" t="s">
        <v>19</v>
      </c>
      <c r="B1653" t="s">
        <v>35</v>
      </c>
      <c r="C1653">
        <v>163</v>
      </c>
      <c r="D1653" t="s">
        <v>161</v>
      </c>
      <c r="E1653" s="1">
        <v>42997</v>
      </c>
      <c r="F1653" t="s">
        <v>383</v>
      </c>
      <c r="G1653" t="s">
        <v>1239</v>
      </c>
      <c r="H1653">
        <v>-1</v>
      </c>
      <c r="I1653" t="s">
        <v>37</v>
      </c>
      <c r="J1653">
        <v>0</v>
      </c>
      <c r="M1653" t="s">
        <v>1910</v>
      </c>
      <c r="N1653" t="s">
        <v>1242</v>
      </c>
      <c r="O1653">
        <v>0</v>
      </c>
      <c r="P1653">
        <v>0</v>
      </c>
      <c r="Q1653" t="s">
        <v>381</v>
      </c>
    </row>
    <row r="1654" spans="1:17" x14ac:dyDescent="0.15">
      <c r="A1654" t="s">
        <v>19</v>
      </c>
      <c r="B1654" t="s">
        <v>35</v>
      </c>
      <c r="C1654">
        <v>163</v>
      </c>
      <c r="D1654" t="s">
        <v>161</v>
      </c>
      <c r="E1654" s="1">
        <v>42997</v>
      </c>
      <c r="F1654" t="s">
        <v>17</v>
      </c>
      <c r="G1654" t="s">
        <v>1593</v>
      </c>
      <c r="H1654">
        <v>1</v>
      </c>
      <c r="I1654" t="s">
        <v>37</v>
      </c>
      <c r="J1654">
        <v>0</v>
      </c>
      <c r="K1654">
        <v>0</v>
      </c>
      <c r="L1654" t="s">
        <v>375</v>
      </c>
      <c r="M1654" t="s">
        <v>241</v>
      </c>
      <c r="N1654" t="s">
        <v>1594</v>
      </c>
    </row>
    <row r="1655" spans="1:17" x14ac:dyDescent="0.15">
      <c r="A1655" t="s">
        <v>19</v>
      </c>
      <c r="B1655" t="s">
        <v>35</v>
      </c>
      <c r="C1655">
        <v>163</v>
      </c>
      <c r="D1655" t="s">
        <v>161</v>
      </c>
      <c r="E1655" s="1">
        <v>42997</v>
      </c>
      <c r="F1655" t="s">
        <v>17</v>
      </c>
      <c r="G1655" t="s">
        <v>1593</v>
      </c>
      <c r="H1655">
        <v>1</v>
      </c>
      <c r="I1655" t="s">
        <v>37</v>
      </c>
      <c r="J1655">
        <v>0</v>
      </c>
      <c r="K1655">
        <v>0</v>
      </c>
      <c r="L1655" t="s">
        <v>375</v>
      </c>
      <c r="M1655" t="s">
        <v>1910</v>
      </c>
      <c r="N1655" t="s">
        <v>1594</v>
      </c>
      <c r="O1655">
        <v>0</v>
      </c>
      <c r="P1655">
        <v>0</v>
      </c>
      <c r="Q1655" t="s">
        <v>381</v>
      </c>
    </row>
    <row r="1656" spans="1:17" x14ac:dyDescent="0.15">
      <c r="A1656" t="s">
        <v>19</v>
      </c>
      <c r="B1656" t="s">
        <v>35</v>
      </c>
      <c r="C1656">
        <v>163</v>
      </c>
      <c r="D1656" t="s">
        <v>161</v>
      </c>
      <c r="E1656" s="1">
        <v>43003</v>
      </c>
      <c r="F1656" t="s">
        <v>17</v>
      </c>
      <c r="G1656" t="s">
        <v>1600</v>
      </c>
      <c r="H1656">
        <v>1</v>
      </c>
      <c r="I1656" t="s">
        <v>37</v>
      </c>
      <c r="J1656">
        <v>0</v>
      </c>
      <c r="K1656">
        <v>0</v>
      </c>
      <c r="L1656" t="s">
        <v>375</v>
      </c>
      <c r="M1656" t="s">
        <v>241</v>
      </c>
      <c r="N1656" t="s">
        <v>1601</v>
      </c>
    </row>
    <row r="1657" spans="1:17" x14ac:dyDescent="0.15">
      <c r="A1657" t="s">
        <v>19</v>
      </c>
      <c r="B1657" t="s">
        <v>35</v>
      </c>
      <c r="C1657">
        <v>163</v>
      </c>
      <c r="D1657" t="s">
        <v>161</v>
      </c>
      <c r="E1657" s="1">
        <v>43003</v>
      </c>
      <c r="F1657" t="s">
        <v>17</v>
      </c>
      <c r="G1657" t="s">
        <v>1600</v>
      </c>
      <c r="H1657">
        <v>1</v>
      </c>
      <c r="I1657" t="s">
        <v>37</v>
      </c>
      <c r="J1657">
        <v>0</v>
      </c>
      <c r="K1657">
        <v>0</v>
      </c>
      <c r="L1657" t="s">
        <v>375</v>
      </c>
      <c r="M1657" t="s">
        <v>1910</v>
      </c>
      <c r="N1657" t="s">
        <v>1601</v>
      </c>
      <c r="O1657">
        <v>0</v>
      </c>
      <c r="P1657">
        <v>0</v>
      </c>
      <c r="Q1657" t="s">
        <v>381</v>
      </c>
    </row>
    <row r="1658" spans="1:17" x14ac:dyDescent="0.15">
      <c r="A1658" t="s">
        <v>19</v>
      </c>
      <c r="B1658" t="s">
        <v>35</v>
      </c>
      <c r="C1658">
        <v>163</v>
      </c>
      <c r="D1658" t="s">
        <v>161</v>
      </c>
      <c r="E1658" s="1">
        <v>43008</v>
      </c>
      <c r="F1658" t="s">
        <v>383</v>
      </c>
      <c r="G1658" t="s">
        <v>1265</v>
      </c>
      <c r="H1658">
        <v>-1</v>
      </c>
      <c r="I1658" t="s">
        <v>37</v>
      </c>
      <c r="J1658">
        <v>0</v>
      </c>
      <c r="M1658" t="s">
        <v>241</v>
      </c>
      <c r="N1658" t="s">
        <v>1267</v>
      </c>
    </row>
    <row r="1659" spans="1:17" x14ac:dyDescent="0.15">
      <c r="A1659" t="s">
        <v>19</v>
      </c>
      <c r="B1659" t="s">
        <v>35</v>
      </c>
      <c r="C1659">
        <v>163</v>
      </c>
      <c r="D1659" t="s">
        <v>161</v>
      </c>
      <c r="E1659" s="1">
        <v>43008</v>
      </c>
      <c r="F1659" t="s">
        <v>383</v>
      </c>
      <c r="G1659" t="s">
        <v>1265</v>
      </c>
      <c r="H1659">
        <v>-1</v>
      </c>
      <c r="I1659" t="s">
        <v>37</v>
      </c>
      <c r="J1659">
        <v>0</v>
      </c>
      <c r="M1659" t="s">
        <v>1910</v>
      </c>
      <c r="N1659" t="s">
        <v>1267</v>
      </c>
      <c r="O1659">
        <v>0</v>
      </c>
      <c r="P1659">
        <v>0</v>
      </c>
      <c r="Q1659" t="s">
        <v>381</v>
      </c>
    </row>
    <row r="1660" spans="1:17" x14ac:dyDescent="0.15">
      <c r="A1660" t="s">
        <v>19</v>
      </c>
      <c r="B1660" t="s">
        <v>35</v>
      </c>
      <c r="C1660">
        <v>163</v>
      </c>
      <c r="D1660" t="s">
        <v>161</v>
      </c>
      <c r="E1660" s="1">
        <v>43012</v>
      </c>
      <c r="F1660" t="s">
        <v>17</v>
      </c>
      <c r="G1660" t="s">
        <v>1606</v>
      </c>
      <c r="H1660">
        <v>1</v>
      </c>
      <c r="I1660" t="s">
        <v>37</v>
      </c>
      <c r="J1660">
        <v>0</v>
      </c>
      <c r="K1660">
        <v>0</v>
      </c>
      <c r="L1660" t="s">
        <v>375</v>
      </c>
      <c r="M1660" t="s">
        <v>241</v>
      </c>
      <c r="N1660" t="s">
        <v>1607</v>
      </c>
    </row>
    <row r="1661" spans="1:17" x14ac:dyDescent="0.15">
      <c r="A1661" t="s">
        <v>19</v>
      </c>
      <c r="B1661" t="s">
        <v>35</v>
      </c>
      <c r="C1661">
        <v>163</v>
      </c>
      <c r="D1661" t="s">
        <v>161</v>
      </c>
      <c r="E1661" s="1">
        <v>43012</v>
      </c>
      <c r="F1661" t="s">
        <v>17</v>
      </c>
      <c r="G1661" t="s">
        <v>1606</v>
      </c>
      <c r="H1661">
        <v>1</v>
      </c>
      <c r="I1661" t="s">
        <v>37</v>
      </c>
      <c r="J1661">
        <v>0</v>
      </c>
      <c r="K1661">
        <v>0</v>
      </c>
      <c r="L1661" t="s">
        <v>375</v>
      </c>
      <c r="M1661" t="s">
        <v>1910</v>
      </c>
      <c r="N1661" t="s">
        <v>1607</v>
      </c>
      <c r="O1661">
        <v>0</v>
      </c>
      <c r="P1661">
        <v>0</v>
      </c>
      <c r="Q1661" t="s">
        <v>381</v>
      </c>
    </row>
    <row r="1662" spans="1:17" x14ac:dyDescent="0.15">
      <c r="A1662" t="s">
        <v>19</v>
      </c>
      <c r="B1662" t="s">
        <v>35</v>
      </c>
      <c r="C1662">
        <v>163</v>
      </c>
      <c r="D1662" t="s">
        <v>161</v>
      </c>
      <c r="E1662" s="1">
        <v>43014</v>
      </c>
      <c r="F1662" t="s">
        <v>383</v>
      </c>
      <c r="G1662" t="s">
        <v>1280</v>
      </c>
      <c r="H1662">
        <v>-1</v>
      </c>
      <c r="I1662" t="s">
        <v>37</v>
      </c>
      <c r="J1662">
        <v>0</v>
      </c>
      <c r="M1662" t="s">
        <v>241</v>
      </c>
      <c r="N1662" t="s">
        <v>1282</v>
      </c>
    </row>
    <row r="1663" spans="1:17" x14ac:dyDescent="0.15">
      <c r="A1663" t="s">
        <v>19</v>
      </c>
      <c r="B1663" t="s">
        <v>35</v>
      </c>
      <c r="C1663">
        <v>163</v>
      </c>
      <c r="D1663" t="s">
        <v>161</v>
      </c>
      <c r="E1663" s="1">
        <v>43014</v>
      </c>
      <c r="F1663" t="s">
        <v>383</v>
      </c>
      <c r="G1663" t="s">
        <v>1280</v>
      </c>
      <c r="H1663">
        <v>-1</v>
      </c>
      <c r="I1663" t="s">
        <v>37</v>
      </c>
      <c r="J1663">
        <v>0</v>
      </c>
      <c r="M1663" t="s">
        <v>1910</v>
      </c>
      <c r="N1663" t="s">
        <v>1282</v>
      </c>
      <c r="O1663">
        <v>0</v>
      </c>
      <c r="P1663">
        <v>0</v>
      </c>
      <c r="Q1663" t="s">
        <v>381</v>
      </c>
    </row>
    <row r="1664" spans="1:17" x14ac:dyDescent="0.15">
      <c r="A1664" t="s">
        <v>19</v>
      </c>
      <c r="B1664" t="s">
        <v>35</v>
      </c>
      <c r="C1664">
        <v>163</v>
      </c>
      <c r="D1664" t="s">
        <v>161</v>
      </c>
      <c r="E1664" s="1">
        <v>43017</v>
      </c>
      <c r="F1664" t="s">
        <v>383</v>
      </c>
      <c r="G1664" t="s">
        <v>1006</v>
      </c>
      <c r="H1664">
        <v>-1</v>
      </c>
      <c r="I1664" t="s">
        <v>37</v>
      </c>
      <c r="J1664">
        <v>0</v>
      </c>
      <c r="M1664" t="s">
        <v>241</v>
      </c>
      <c r="N1664" t="s">
        <v>1007</v>
      </c>
    </row>
    <row r="1665" spans="1:17" x14ac:dyDescent="0.15">
      <c r="A1665" t="s">
        <v>19</v>
      </c>
      <c r="B1665" t="s">
        <v>35</v>
      </c>
      <c r="C1665">
        <v>163</v>
      </c>
      <c r="D1665" t="s">
        <v>161</v>
      </c>
      <c r="E1665" s="1">
        <v>43017</v>
      </c>
      <c r="F1665" t="s">
        <v>383</v>
      </c>
      <c r="G1665" t="s">
        <v>1006</v>
      </c>
      <c r="H1665">
        <v>-1</v>
      </c>
      <c r="I1665" t="s">
        <v>37</v>
      </c>
      <c r="J1665">
        <v>0</v>
      </c>
      <c r="M1665" t="s">
        <v>1910</v>
      </c>
      <c r="N1665" t="s">
        <v>1007</v>
      </c>
      <c r="O1665">
        <v>0</v>
      </c>
      <c r="P1665">
        <v>0</v>
      </c>
      <c r="Q1665" t="s">
        <v>381</v>
      </c>
    </row>
    <row r="1666" spans="1:17" x14ac:dyDescent="0.15">
      <c r="A1666" t="s">
        <v>19</v>
      </c>
      <c r="B1666" t="s">
        <v>35</v>
      </c>
      <c r="C1666">
        <v>163</v>
      </c>
      <c r="D1666" t="s">
        <v>161</v>
      </c>
      <c r="E1666" s="1">
        <v>43024</v>
      </c>
      <c r="F1666" t="s">
        <v>383</v>
      </c>
      <c r="G1666" t="s">
        <v>1010</v>
      </c>
      <c r="H1666">
        <v>-1</v>
      </c>
      <c r="I1666" t="s">
        <v>37</v>
      </c>
      <c r="J1666">
        <v>0</v>
      </c>
      <c r="M1666" t="s">
        <v>241</v>
      </c>
      <c r="N1666" t="s">
        <v>1011</v>
      </c>
    </row>
    <row r="1667" spans="1:17" x14ac:dyDescent="0.15">
      <c r="A1667" t="s">
        <v>19</v>
      </c>
      <c r="B1667" t="s">
        <v>35</v>
      </c>
      <c r="C1667">
        <v>163</v>
      </c>
      <c r="D1667" t="s">
        <v>161</v>
      </c>
      <c r="E1667" s="1">
        <v>43024</v>
      </c>
      <c r="F1667" t="s">
        <v>383</v>
      </c>
      <c r="G1667" t="s">
        <v>1010</v>
      </c>
      <c r="H1667">
        <v>-1</v>
      </c>
      <c r="I1667" t="s">
        <v>37</v>
      </c>
      <c r="J1667">
        <v>0</v>
      </c>
      <c r="M1667" t="s">
        <v>1910</v>
      </c>
      <c r="N1667" t="s">
        <v>1011</v>
      </c>
      <c r="O1667">
        <v>0</v>
      </c>
      <c r="P1667">
        <v>0</v>
      </c>
      <c r="Q1667" t="s">
        <v>381</v>
      </c>
    </row>
    <row r="1668" spans="1:17" x14ac:dyDescent="0.15">
      <c r="A1668" t="s">
        <v>19</v>
      </c>
      <c r="B1668" t="s">
        <v>35</v>
      </c>
      <c r="C1668">
        <v>163</v>
      </c>
      <c r="D1668" t="s">
        <v>161</v>
      </c>
      <c r="E1668" s="1">
        <v>43024</v>
      </c>
      <c r="F1668" t="s">
        <v>17</v>
      </c>
      <c r="G1668" t="s">
        <v>1620</v>
      </c>
      <c r="H1668">
        <v>1</v>
      </c>
      <c r="I1668" t="s">
        <v>37</v>
      </c>
      <c r="J1668">
        <v>0</v>
      </c>
      <c r="K1668">
        <v>0</v>
      </c>
      <c r="L1668" t="s">
        <v>375</v>
      </c>
      <c r="M1668" t="s">
        <v>241</v>
      </c>
      <c r="N1668" t="s">
        <v>1621</v>
      </c>
    </row>
    <row r="1669" spans="1:17" x14ac:dyDescent="0.15">
      <c r="A1669" t="s">
        <v>19</v>
      </c>
      <c r="B1669" t="s">
        <v>35</v>
      </c>
      <c r="C1669">
        <v>163</v>
      </c>
      <c r="D1669" t="s">
        <v>161</v>
      </c>
      <c r="E1669" s="1">
        <v>43024</v>
      </c>
      <c r="F1669" t="s">
        <v>17</v>
      </c>
      <c r="G1669" t="s">
        <v>1620</v>
      </c>
      <c r="H1669">
        <v>1</v>
      </c>
      <c r="I1669" t="s">
        <v>37</v>
      </c>
      <c r="J1669">
        <v>0</v>
      </c>
      <c r="K1669">
        <v>0</v>
      </c>
      <c r="L1669" t="s">
        <v>375</v>
      </c>
      <c r="M1669" t="s">
        <v>1910</v>
      </c>
      <c r="N1669" t="s">
        <v>1621</v>
      </c>
      <c r="O1669">
        <v>0</v>
      </c>
      <c r="P1669">
        <v>0</v>
      </c>
      <c r="Q1669" t="s">
        <v>381</v>
      </c>
    </row>
    <row r="1670" spans="1:17" x14ac:dyDescent="0.15">
      <c r="A1670" t="s">
        <v>19</v>
      </c>
      <c r="B1670" t="s">
        <v>35</v>
      </c>
      <c r="C1670">
        <v>163</v>
      </c>
      <c r="D1670" t="s">
        <v>161</v>
      </c>
      <c r="E1670" s="1">
        <v>43031</v>
      </c>
      <c r="F1670" t="s">
        <v>383</v>
      </c>
      <c r="G1670" t="s">
        <v>1314</v>
      </c>
      <c r="H1670">
        <v>-1</v>
      </c>
      <c r="I1670" t="s">
        <v>37</v>
      </c>
      <c r="J1670">
        <v>0</v>
      </c>
      <c r="M1670" t="s">
        <v>241</v>
      </c>
      <c r="N1670" t="s">
        <v>1317</v>
      </c>
    </row>
    <row r="1671" spans="1:17" x14ac:dyDescent="0.15">
      <c r="A1671" t="s">
        <v>19</v>
      </c>
      <c r="B1671" t="s">
        <v>35</v>
      </c>
      <c r="C1671">
        <v>163</v>
      </c>
      <c r="D1671" t="s">
        <v>161</v>
      </c>
      <c r="E1671" s="1">
        <v>43031</v>
      </c>
      <c r="F1671" t="s">
        <v>383</v>
      </c>
      <c r="G1671" t="s">
        <v>1314</v>
      </c>
      <c r="H1671">
        <v>-1</v>
      </c>
      <c r="I1671" t="s">
        <v>37</v>
      </c>
      <c r="J1671">
        <v>0</v>
      </c>
      <c r="M1671" t="s">
        <v>1910</v>
      </c>
      <c r="N1671" t="s">
        <v>1317</v>
      </c>
      <c r="O1671">
        <v>0</v>
      </c>
      <c r="P1671">
        <v>0</v>
      </c>
      <c r="Q1671" t="s">
        <v>381</v>
      </c>
    </row>
    <row r="1672" spans="1:17" x14ac:dyDescent="0.15">
      <c r="A1672" t="s">
        <v>19</v>
      </c>
      <c r="B1672" t="s">
        <v>35</v>
      </c>
      <c r="C1672">
        <v>163</v>
      </c>
      <c r="D1672" t="s">
        <v>161</v>
      </c>
      <c r="E1672" s="1">
        <v>43031</v>
      </c>
      <c r="F1672" t="s">
        <v>17</v>
      </c>
      <c r="G1672" t="s">
        <v>1627</v>
      </c>
      <c r="H1672">
        <v>1</v>
      </c>
      <c r="I1672" t="s">
        <v>37</v>
      </c>
      <c r="J1672">
        <v>0</v>
      </c>
      <c r="K1672">
        <v>0</v>
      </c>
      <c r="L1672" t="s">
        <v>375</v>
      </c>
      <c r="M1672" t="s">
        <v>241</v>
      </c>
      <c r="N1672" t="s">
        <v>1628</v>
      </c>
    </row>
    <row r="1673" spans="1:17" x14ac:dyDescent="0.15">
      <c r="A1673" t="s">
        <v>19</v>
      </c>
      <c r="B1673" t="s">
        <v>35</v>
      </c>
      <c r="C1673">
        <v>163</v>
      </c>
      <c r="D1673" t="s">
        <v>161</v>
      </c>
      <c r="E1673" s="1">
        <v>43031</v>
      </c>
      <c r="F1673" t="s">
        <v>17</v>
      </c>
      <c r="G1673" t="s">
        <v>1627</v>
      </c>
      <c r="H1673">
        <v>1</v>
      </c>
      <c r="I1673" t="s">
        <v>37</v>
      </c>
      <c r="J1673">
        <v>0</v>
      </c>
      <c r="K1673">
        <v>0</v>
      </c>
      <c r="L1673" t="s">
        <v>375</v>
      </c>
      <c r="M1673" t="s">
        <v>1910</v>
      </c>
      <c r="N1673" t="s">
        <v>1628</v>
      </c>
      <c r="O1673">
        <v>0</v>
      </c>
      <c r="P1673">
        <v>0</v>
      </c>
      <c r="Q1673" t="s">
        <v>381</v>
      </c>
    </row>
    <row r="1674" spans="1:17" x14ac:dyDescent="0.15">
      <c r="A1674" t="s">
        <v>19</v>
      </c>
      <c r="B1674" t="s">
        <v>35</v>
      </c>
      <c r="C1674">
        <v>163</v>
      </c>
      <c r="D1674" t="s">
        <v>161</v>
      </c>
      <c r="E1674" s="1">
        <v>43032</v>
      </c>
      <c r="F1674" t="s">
        <v>383</v>
      </c>
      <c r="G1674" t="s">
        <v>1015</v>
      </c>
      <c r="H1674">
        <v>-1</v>
      </c>
      <c r="I1674" t="s">
        <v>37</v>
      </c>
      <c r="J1674">
        <v>0</v>
      </c>
      <c r="M1674" t="s">
        <v>241</v>
      </c>
      <c r="N1674" t="s">
        <v>1016</v>
      </c>
    </row>
    <row r="1675" spans="1:17" x14ac:dyDescent="0.15">
      <c r="A1675" t="s">
        <v>19</v>
      </c>
      <c r="B1675" t="s">
        <v>35</v>
      </c>
      <c r="C1675">
        <v>163</v>
      </c>
      <c r="D1675" t="s">
        <v>161</v>
      </c>
      <c r="E1675" s="1">
        <v>43032</v>
      </c>
      <c r="F1675" t="s">
        <v>383</v>
      </c>
      <c r="G1675" t="s">
        <v>1015</v>
      </c>
      <c r="H1675">
        <v>-1</v>
      </c>
      <c r="I1675" t="s">
        <v>37</v>
      </c>
      <c r="J1675">
        <v>0</v>
      </c>
      <c r="M1675" t="s">
        <v>1910</v>
      </c>
      <c r="N1675" t="s">
        <v>1016</v>
      </c>
      <c r="O1675">
        <v>0</v>
      </c>
      <c r="P1675">
        <v>0</v>
      </c>
      <c r="Q1675" t="s">
        <v>381</v>
      </c>
    </row>
    <row r="1676" spans="1:17" x14ac:dyDescent="0.15">
      <c r="A1676" t="s">
        <v>19</v>
      </c>
      <c r="B1676" t="s">
        <v>35</v>
      </c>
      <c r="C1676">
        <v>163</v>
      </c>
      <c r="D1676" t="s">
        <v>161</v>
      </c>
      <c r="E1676" s="1">
        <v>43042</v>
      </c>
      <c r="F1676" t="s">
        <v>383</v>
      </c>
      <c r="G1676" t="s">
        <v>965</v>
      </c>
      <c r="H1676">
        <v>-1</v>
      </c>
      <c r="I1676" t="s">
        <v>37</v>
      </c>
      <c r="J1676">
        <v>0</v>
      </c>
      <c r="M1676" t="s">
        <v>241</v>
      </c>
      <c r="N1676" t="s">
        <v>966</v>
      </c>
    </row>
    <row r="1677" spans="1:17" x14ac:dyDescent="0.15">
      <c r="A1677" t="s">
        <v>19</v>
      </c>
      <c r="B1677" t="s">
        <v>35</v>
      </c>
      <c r="C1677">
        <v>163</v>
      </c>
      <c r="D1677" t="s">
        <v>161</v>
      </c>
      <c r="E1677" s="1">
        <v>43042</v>
      </c>
      <c r="F1677" t="s">
        <v>383</v>
      </c>
      <c r="G1677" t="s">
        <v>965</v>
      </c>
      <c r="H1677">
        <v>-1</v>
      </c>
      <c r="I1677" t="s">
        <v>37</v>
      </c>
      <c r="J1677">
        <v>0</v>
      </c>
      <c r="M1677" t="s">
        <v>1910</v>
      </c>
      <c r="N1677" t="s">
        <v>966</v>
      </c>
      <c r="O1677">
        <v>0</v>
      </c>
      <c r="P1677">
        <v>0</v>
      </c>
      <c r="Q1677" t="s">
        <v>381</v>
      </c>
    </row>
    <row r="1678" spans="1:17" x14ac:dyDescent="0.15">
      <c r="A1678" t="s">
        <v>19</v>
      </c>
      <c r="B1678" t="s">
        <v>35</v>
      </c>
      <c r="C1678">
        <v>163</v>
      </c>
      <c r="D1678" t="s">
        <v>161</v>
      </c>
      <c r="E1678" s="1">
        <v>43042</v>
      </c>
      <c r="F1678" t="s">
        <v>383</v>
      </c>
      <c r="G1678" t="s">
        <v>1338</v>
      </c>
      <c r="H1678">
        <v>-1</v>
      </c>
      <c r="I1678" t="s">
        <v>37</v>
      </c>
      <c r="J1678">
        <v>0</v>
      </c>
      <c r="M1678" t="s">
        <v>241</v>
      </c>
      <c r="N1678" t="s">
        <v>1340</v>
      </c>
    </row>
    <row r="1679" spans="1:17" x14ac:dyDescent="0.15">
      <c r="A1679" t="s">
        <v>19</v>
      </c>
      <c r="B1679" t="s">
        <v>35</v>
      </c>
      <c r="C1679">
        <v>163</v>
      </c>
      <c r="D1679" t="s">
        <v>161</v>
      </c>
      <c r="E1679" s="1">
        <v>43042</v>
      </c>
      <c r="F1679" t="s">
        <v>383</v>
      </c>
      <c r="G1679" t="s">
        <v>1338</v>
      </c>
      <c r="H1679">
        <v>-1</v>
      </c>
      <c r="I1679" t="s">
        <v>37</v>
      </c>
      <c r="J1679">
        <v>0</v>
      </c>
      <c r="M1679" t="s">
        <v>1910</v>
      </c>
      <c r="N1679" t="s">
        <v>1340</v>
      </c>
      <c r="O1679">
        <v>0</v>
      </c>
      <c r="P1679">
        <v>0</v>
      </c>
      <c r="Q1679" t="s">
        <v>381</v>
      </c>
    </row>
    <row r="1680" spans="1:17" x14ac:dyDescent="0.15">
      <c r="A1680" t="s">
        <v>19</v>
      </c>
      <c r="B1680" t="s">
        <v>35</v>
      </c>
      <c r="C1680">
        <v>163</v>
      </c>
      <c r="D1680" t="s">
        <v>161</v>
      </c>
      <c r="E1680" s="1">
        <v>43047</v>
      </c>
      <c r="F1680" t="s">
        <v>383</v>
      </c>
      <c r="G1680" t="s">
        <v>1349</v>
      </c>
      <c r="H1680">
        <v>-1</v>
      </c>
      <c r="I1680" t="s">
        <v>37</v>
      </c>
      <c r="J1680">
        <v>0</v>
      </c>
      <c r="M1680" t="s">
        <v>241</v>
      </c>
      <c r="N1680" t="s">
        <v>1351</v>
      </c>
    </row>
    <row r="1681" spans="1:17" x14ac:dyDescent="0.15">
      <c r="A1681" t="s">
        <v>19</v>
      </c>
      <c r="B1681" t="s">
        <v>35</v>
      </c>
      <c r="C1681">
        <v>163</v>
      </c>
      <c r="D1681" t="s">
        <v>161</v>
      </c>
      <c r="E1681" s="1">
        <v>43047</v>
      </c>
      <c r="F1681" t="s">
        <v>383</v>
      </c>
      <c r="G1681" t="s">
        <v>1349</v>
      </c>
      <c r="H1681">
        <v>-1</v>
      </c>
      <c r="I1681" t="s">
        <v>37</v>
      </c>
      <c r="J1681">
        <v>0</v>
      </c>
      <c r="M1681" t="s">
        <v>1910</v>
      </c>
      <c r="N1681" t="s">
        <v>1351</v>
      </c>
      <c r="O1681">
        <v>0</v>
      </c>
      <c r="P1681">
        <v>0</v>
      </c>
      <c r="Q1681" t="s">
        <v>381</v>
      </c>
    </row>
    <row r="1682" spans="1:17" x14ac:dyDescent="0.15">
      <c r="A1682" t="s">
        <v>19</v>
      </c>
      <c r="B1682" t="s">
        <v>35</v>
      </c>
      <c r="C1682">
        <v>163</v>
      </c>
      <c r="D1682" t="s">
        <v>161</v>
      </c>
      <c r="E1682" s="1">
        <v>43049</v>
      </c>
      <c r="F1682" t="s">
        <v>17</v>
      </c>
      <c r="G1682" t="s">
        <v>1645</v>
      </c>
      <c r="H1682">
        <v>1</v>
      </c>
      <c r="I1682" t="s">
        <v>37</v>
      </c>
      <c r="J1682">
        <v>0</v>
      </c>
      <c r="K1682">
        <v>0</v>
      </c>
      <c r="L1682" t="s">
        <v>375</v>
      </c>
      <c r="M1682" t="s">
        <v>241</v>
      </c>
      <c r="N1682" t="s">
        <v>1646</v>
      </c>
    </row>
    <row r="1683" spans="1:17" x14ac:dyDescent="0.15">
      <c r="A1683" t="s">
        <v>19</v>
      </c>
      <c r="B1683" t="s">
        <v>35</v>
      </c>
      <c r="C1683">
        <v>163</v>
      </c>
      <c r="D1683" t="s">
        <v>161</v>
      </c>
      <c r="E1683" s="1">
        <v>43049</v>
      </c>
      <c r="F1683" t="s">
        <v>17</v>
      </c>
      <c r="G1683" t="s">
        <v>1645</v>
      </c>
      <c r="H1683">
        <v>1</v>
      </c>
      <c r="I1683" t="s">
        <v>37</v>
      </c>
      <c r="J1683">
        <v>0</v>
      </c>
      <c r="K1683">
        <v>0</v>
      </c>
      <c r="L1683" t="s">
        <v>375</v>
      </c>
      <c r="M1683" t="s">
        <v>1910</v>
      </c>
      <c r="N1683" t="s">
        <v>1646</v>
      </c>
      <c r="O1683">
        <v>0</v>
      </c>
      <c r="P1683">
        <v>0</v>
      </c>
      <c r="Q1683" t="s">
        <v>381</v>
      </c>
    </row>
    <row r="1684" spans="1:17" x14ac:dyDescent="0.15">
      <c r="A1684" t="s">
        <v>19</v>
      </c>
      <c r="B1684" t="s">
        <v>35</v>
      </c>
      <c r="C1684">
        <v>163</v>
      </c>
      <c r="D1684" t="s">
        <v>161</v>
      </c>
      <c r="E1684" s="1">
        <v>43053</v>
      </c>
      <c r="F1684" t="s">
        <v>383</v>
      </c>
      <c r="G1684" t="s">
        <v>1021</v>
      </c>
      <c r="H1684">
        <v>-1</v>
      </c>
      <c r="I1684" t="s">
        <v>37</v>
      </c>
      <c r="J1684">
        <v>0</v>
      </c>
      <c r="M1684" t="s">
        <v>241</v>
      </c>
      <c r="N1684" t="s">
        <v>1022</v>
      </c>
    </row>
    <row r="1685" spans="1:17" x14ac:dyDescent="0.15">
      <c r="A1685" t="s">
        <v>19</v>
      </c>
      <c r="B1685" t="s">
        <v>35</v>
      </c>
      <c r="C1685">
        <v>163</v>
      </c>
      <c r="D1685" t="s">
        <v>161</v>
      </c>
      <c r="E1685" s="1">
        <v>43053</v>
      </c>
      <c r="F1685" t="s">
        <v>383</v>
      </c>
      <c r="G1685" t="s">
        <v>1021</v>
      </c>
      <c r="H1685">
        <v>-1</v>
      </c>
      <c r="I1685" t="s">
        <v>37</v>
      </c>
      <c r="J1685">
        <v>0</v>
      </c>
      <c r="M1685" t="s">
        <v>1910</v>
      </c>
      <c r="N1685" t="s">
        <v>1022</v>
      </c>
      <c r="O1685">
        <v>0</v>
      </c>
      <c r="P1685">
        <v>0</v>
      </c>
      <c r="Q1685" t="s">
        <v>381</v>
      </c>
    </row>
    <row r="1686" spans="1:17" x14ac:dyDescent="0.15">
      <c r="A1686" t="s">
        <v>19</v>
      </c>
      <c r="B1686" t="s">
        <v>35</v>
      </c>
      <c r="C1686">
        <v>163</v>
      </c>
      <c r="D1686" t="s">
        <v>161</v>
      </c>
      <c r="E1686" s="1">
        <v>43061</v>
      </c>
      <c r="F1686" t="s">
        <v>17</v>
      </c>
      <c r="G1686" t="s">
        <v>1659</v>
      </c>
      <c r="H1686">
        <v>1</v>
      </c>
      <c r="I1686" t="s">
        <v>37</v>
      </c>
      <c r="J1686">
        <v>0</v>
      </c>
      <c r="K1686">
        <v>0</v>
      </c>
      <c r="L1686" t="s">
        <v>375</v>
      </c>
      <c r="M1686" t="s">
        <v>241</v>
      </c>
      <c r="N1686" t="s">
        <v>1660</v>
      </c>
    </row>
    <row r="1687" spans="1:17" x14ac:dyDescent="0.15">
      <c r="A1687" t="s">
        <v>19</v>
      </c>
      <c r="B1687" t="s">
        <v>35</v>
      </c>
      <c r="C1687">
        <v>163</v>
      </c>
      <c r="D1687" t="s">
        <v>161</v>
      </c>
      <c r="E1687" s="1">
        <v>43061</v>
      </c>
      <c r="F1687" t="s">
        <v>17</v>
      </c>
      <c r="G1687" t="s">
        <v>1659</v>
      </c>
      <c r="H1687">
        <v>1</v>
      </c>
      <c r="I1687" t="s">
        <v>37</v>
      </c>
      <c r="J1687">
        <v>0</v>
      </c>
      <c r="K1687">
        <v>0</v>
      </c>
      <c r="L1687" t="s">
        <v>375</v>
      </c>
      <c r="M1687" t="s">
        <v>1910</v>
      </c>
      <c r="N1687" t="s">
        <v>1660</v>
      </c>
      <c r="O1687">
        <v>0</v>
      </c>
      <c r="P1687">
        <v>0</v>
      </c>
      <c r="Q1687" t="s">
        <v>381</v>
      </c>
    </row>
    <row r="1688" spans="1:17" x14ac:dyDescent="0.15">
      <c r="A1688" t="s">
        <v>19</v>
      </c>
      <c r="B1688" t="s">
        <v>35</v>
      </c>
      <c r="C1688">
        <v>163</v>
      </c>
      <c r="D1688" t="s">
        <v>161</v>
      </c>
      <c r="E1688" s="1">
        <v>43062</v>
      </c>
      <c r="F1688" t="s">
        <v>383</v>
      </c>
      <c r="G1688" t="s">
        <v>1026</v>
      </c>
      <c r="H1688">
        <v>-1</v>
      </c>
      <c r="I1688" t="s">
        <v>37</v>
      </c>
      <c r="J1688">
        <v>0</v>
      </c>
      <c r="M1688" t="s">
        <v>241</v>
      </c>
      <c r="N1688" t="s">
        <v>1027</v>
      </c>
    </row>
    <row r="1689" spans="1:17" x14ac:dyDescent="0.15">
      <c r="A1689" t="s">
        <v>19</v>
      </c>
      <c r="B1689" t="s">
        <v>35</v>
      </c>
      <c r="C1689">
        <v>163</v>
      </c>
      <c r="D1689" t="s">
        <v>161</v>
      </c>
      <c r="E1689" s="1">
        <v>43062</v>
      </c>
      <c r="F1689" t="s">
        <v>383</v>
      </c>
      <c r="G1689" t="s">
        <v>1026</v>
      </c>
      <c r="H1689">
        <v>-1</v>
      </c>
      <c r="I1689" t="s">
        <v>37</v>
      </c>
      <c r="J1689">
        <v>0</v>
      </c>
      <c r="M1689" t="s">
        <v>1910</v>
      </c>
      <c r="N1689" t="s">
        <v>1027</v>
      </c>
      <c r="O1689">
        <v>0</v>
      </c>
      <c r="P1689">
        <v>0</v>
      </c>
      <c r="Q1689" t="s">
        <v>381</v>
      </c>
    </row>
    <row r="1690" spans="1:17" x14ac:dyDescent="0.15">
      <c r="A1690" t="s">
        <v>19</v>
      </c>
      <c r="B1690" t="s">
        <v>35</v>
      </c>
      <c r="C1690">
        <v>163</v>
      </c>
      <c r="D1690" t="s">
        <v>161</v>
      </c>
      <c r="E1690" s="1">
        <v>43063</v>
      </c>
      <c r="F1690" t="s">
        <v>17</v>
      </c>
      <c r="G1690" t="s">
        <v>1669</v>
      </c>
      <c r="H1690">
        <v>1</v>
      </c>
      <c r="I1690" t="s">
        <v>37</v>
      </c>
      <c r="J1690">
        <v>0</v>
      </c>
      <c r="K1690">
        <v>0</v>
      </c>
      <c r="L1690" t="s">
        <v>375</v>
      </c>
      <c r="M1690" t="s">
        <v>241</v>
      </c>
      <c r="N1690" t="s">
        <v>1670</v>
      </c>
    </row>
    <row r="1691" spans="1:17" x14ac:dyDescent="0.15">
      <c r="A1691" t="s">
        <v>19</v>
      </c>
      <c r="B1691" t="s">
        <v>35</v>
      </c>
      <c r="C1691">
        <v>163</v>
      </c>
      <c r="D1691" t="s">
        <v>161</v>
      </c>
      <c r="E1691" s="1">
        <v>43063</v>
      </c>
      <c r="F1691" t="s">
        <v>17</v>
      </c>
      <c r="G1691" t="s">
        <v>1669</v>
      </c>
      <c r="H1691">
        <v>1</v>
      </c>
      <c r="I1691" t="s">
        <v>37</v>
      </c>
      <c r="J1691">
        <v>0</v>
      </c>
      <c r="K1691">
        <v>0</v>
      </c>
      <c r="L1691" t="s">
        <v>375</v>
      </c>
      <c r="M1691" t="s">
        <v>1910</v>
      </c>
      <c r="N1691" t="s">
        <v>1670</v>
      </c>
      <c r="O1691">
        <v>0</v>
      </c>
      <c r="P1691">
        <v>0</v>
      </c>
      <c r="Q1691" t="s">
        <v>381</v>
      </c>
    </row>
    <row r="1692" spans="1:17" x14ac:dyDescent="0.15">
      <c r="A1692" t="s">
        <v>19</v>
      </c>
      <c r="B1692" t="s">
        <v>35</v>
      </c>
      <c r="C1692">
        <v>163</v>
      </c>
      <c r="D1692" t="s">
        <v>161</v>
      </c>
      <c r="E1692" s="1">
        <v>43069</v>
      </c>
      <c r="F1692" t="s">
        <v>383</v>
      </c>
      <c r="G1692" t="s">
        <v>1426</v>
      </c>
      <c r="H1692">
        <v>-1</v>
      </c>
      <c r="I1692" t="s">
        <v>37</v>
      </c>
      <c r="J1692">
        <v>0</v>
      </c>
      <c r="M1692" t="s">
        <v>241</v>
      </c>
      <c r="N1692" t="s">
        <v>1427</v>
      </c>
    </row>
    <row r="1693" spans="1:17" x14ac:dyDescent="0.15">
      <c r="A1693" t="s">
        <v>19</v>
      </c>
      <c r="B1693" t="s">
        <v>35</v>
      </c>
      <c r="C1693">
        <v>163</v>
      </c>
      <c r="D1693" t="s">
        <v>161</v>
      </c>
      <c r="E1693" s="1">
        <v>43069</v>
      </c>
      <c r="F1693" t="s">
        <v>383</v>
      </c>
      <c r="G1693" t="s">
        <v>1426</v>
      </c>
      <c r="H1693">
        <v>-1</v>
      </c>
      <c r="I1693" t="s">
        <v>37</v>
      </c>
      <c r="J1693">
        <v>0</v>
      </c>
      <c r="M1693" t="s">
        <v>1910</v>
      </c>
      <c r="N1693" t="s">
        <v>1427</v>
      </c>
      <c r="O1693">
        <v>0</v>
      </c>
      <c r="P1693">
        <v>0</v>
      </c>
      <c r="Q1693" t="s">
        <v>381</v>
      </c>
    </row>
    <row r="1694" spans="1:17" x14ac:dyDescent="0.15">
      <c r="A1694" t="s">
        <v>19</v>
      </c>
      <c r="B1694" t="s">
        <v>35</v>
      </c>
      <c r="C1694">
        <v>163</v>
      </c>
      <c r="D1694" t="s">
        <v>161</v>
      </c>
      <c r="E1694" s="1">
        <v>43069</v>
      </c>
      <c r="F1694" t="s">
        <v>17</v>
      </c>
      <c r="G1694" t="s">
        <v>1684</v>
      </c>
      <c r="H1694">
        <v>1</v>
      </c>
      <c r="I1694" t="s">
        <v>37</v>
      </c>
      <c r="J1694">
        <v>0</v>
      </c>
      <c r="K1694">
        <v>0</v>
      </c>
      <c r="L1694" t="s">
        <v>375</v>
      </c>
      <c r="M1694" t="s">
        <v>241</v>
      </c>
      <c r="N1694" t="s">
        <v>1685</v>
      </c>
    </row>
    <row r="1695" spans="1:17" x14ac:dyDescent="0.15">
      <c r="A1695" t="s">
        <v>19</v>
      </c>
      <c r="B1695" t="s">
        <v>35</v>
      </c>
      <c r="C1695">
        <v>163</v>
      </c>
      <c r="D1695" t="s">
        <v>161</v>
      </c>
      <c r="E1695" s="1">
        <v>43069</v>
      </c>
      <c r="F1695" t="s">
        <v>17</v>
      </c>
      <c r="G1695" t="s">
        <v>1684</v>
      </c>
      <c r="H1695">
        <v>1</v>
      </c>
      <c r="I1695" t="s">
        <v>37</v>
      </c>
      <c r="J1695">
        <v>0</v>
      </c>
      <c r="K1695">
        <v>0</v>
      </c>
      <c r="L1695" t="s">
        <v>375</v>
      </c>
      <c r="M1695" t="s">
        <v>1910</v>
      </c>
      <c r="N1695" t="s">
        <v>1685</v>
      </c>
      <c r="O1695">
        <v>0</v>
      </c>
      <c r="P1695">
        <v>0</v>
      </c>
      <c r="Q1695" t="s">
        <v>381</v>
      </c>
    </row>
    <row r="1696" spans="1:17" x14ac:dyDescent="0.15">
      <c r="A1696" t="s">
        <v>19</v>
      </c>
      <c r="B1696" t="s">
        <v>35</v>
      </c>
      <c r="C1696">
        <v>163</v>
      </c>
      <c r="D1696" t="s">
        <v>161</v>
      </c>
      <c r="E1696" s="1">
        <v>43082</v>
      </c>
      <c r="F1696" t="s">
        <v>383</v>
      </c>
      <c r="G1696" t="s">
        <v>967</v>
      </c>
      <c r="H1696">
        <v>-1</v>
      </c>
      <c r="I1696" t="s">
        <v>37</v>
      </c>
      <c r="J1696">
        <v>0</v>
      </c>
      <c r="M1696" t="s">
        <v>241</v>
      </c>
      <c r="N1696" t="s">
        <v>968</v>
      </c>
    </row>
    <row r="1697" spans="1:17" x14ac:dyDescent="0.15">
      <c r="A1697" t="s">
        <v>19</v>
      </c>
      <c r="B1697" t="s">
        <v>35</v>
      </c>
      <c r="C1697">
        <v>163</v>
      </c>
      <c r="D1697" t="s">
        <v>161</v>
      </c>
      <c r="E1697" s="1">
        <v>43082</v>
      </c>
      <c r="F1697" t="s">
        <v>383</v>
      </c>
      <c r="G1697" t="s">
        <v>967</v>
      </c>
      <c r="H1697">
        <v>-1</v>
      </c>
      <c r="I1697" t="s">
        <v>37</v>
      </c>
      <c r="J1697">
        <v>0</v>
      </c>
      <c r="M1697" t="s">
        <v>1910</v>
      </c>
      <c r="N1697" t="s">
        <v>968</v>
      </c>
      <c r="O1697">
        <v>0</v>
      </c>
      <c r="P1697">
        <v>0</v>
      </c>
      <c r="Q1697" t="s">
        <v>381</v>
      </c>
    </row>
    <row r="1698" spans="1:17" x14ac:dyDescent="0.15">
      <c r="A1698" t="s">
        <v>19</v>
      </c>
      <c r="B1698" t="s">
        <v>35</v>
      </c>
      <c r="C1698">
        <v>163</v>
      </c>
      <c r="D1698" t="s">
        <v>161</v>
      </c>
      <c r="E1698" s="1">
        <v>43083</v>
      </c>
      <c r="F1698" t="s">
        <v>383</v>
      </c>
      <c r="G1698" t="s">
        <v>971</v>
      </c>
      <c r="H1698">
        <v>-1</v>
      </c>
      <c r="I1698" t="s">
        <v>37</v>
      </c>
      <c r="J1698">
        <v>0</v>
      </c>
      <c r="M1698" t="s">
        <v>241</v>
      </c>
      <c r="N1698" t="s">
        <v>972</v>
      </c>
    </row>
    <row r="1699" spans="1:17" x14ac:dyDescent="0.15">
      <c r="A1699" t="s">
        <v>19</v>
      </c>
      <c r="B1699" t="s">
        <v>35</v>
      </c>
      <c r="C1699">
        <v>163</v>
      </c>
      <c r="D1699" t="s">
        <v>161</v>
      </c>
      <c r="E1699" s="1">
        <v>43083</v>
      </c>
      <c r="F1699" t="s">
        <v>383</v>
      </c>
      <c r="G1699" t="s">
        <v>971</v>
      </c>
      <c r="H1699">
        <v>-1</v>
      </c>
      <c r="I1699" t="s">
        <v>37</v>
      </c>
      <c r="J1699">
        <v>0</v>
      </c>
      <c r="M1699" t="s">
        <v>1910</v>
      </c>
      <c r="N1699" t="s">
        <v>972</v>
      </c>
      <c r="O1699">
        <v>0</v>
      </c>
      <c r="P1699">
        <v>0</v>
      </c>
      <c r="Q1699" t="s">
        <v>381</v>
      </c>
    </row>
    <row r="1700" spans="1:17" x14ac:dyDescent="0.15">
      <c r="A1700" t="s">
        <v>19</v>
      </c>
      <c r="B1700" t="s">
        <v>35</v>
      </c>
      <c r="C1700">
        <v>163</v>
      </c>
      <c r="D1700" t="s">
        <v>161</v>
      </c>
      <c r="E1700" s="1">
        <v>43083</v>
      </c>
      <c r="F1700" t="s">
        <v>383</v>
      </c>
      <c r="G1700" t="s">
        <v>1475</v>
      </c>
      <c r="H1700">
        <v>1</v>
      </c>
      <c r="I1700" t="s">
        <v>37</v>
      </c>
      <c r="J1700">
        <v>0</v>
      </c>
      <c r="M1700" t="s">
        <v>241</v>
      </c>
      <c r="N1700" t="s">
        <v>1476</v>
      </c>
    </row>
    <row r="1701" spans="1:17" x14ac:dyDescent="0.15">
      <c r="A1701" t="s">
        <v>19</v>
      </c>
      <c r="B1701" t="s">
        <v>35</v>
      </c>
      <c r="C1701">
        <v>163</v>
      </c>
      <c r="D1701" t="s">
        <v>161</v>
      </c>
      <c r="E1701" s="1">
        <v>43083</v>
      </c>
      <c r="F1701" t="s">
        <v>383</v>
      </c>
      <c r="G1701" t="s">
        <v>1475</v>
      </c>
      <c r="H1701">
        <v>1</v>
      </c>
      <c r="I1701" t="s">
        <v>37</v>
      </c>
      <c r="J1701">
        <v>0</v>
      </c>
      <c r="M1701" t="s">
        <v>1910</v>
      </c>
      <c r="N1701" t="s">
        <v>1476</v>
      </c>
      <c r="O1701">
        <v>0</v>
      </c>
      <c r="P1701">
        <v>0</v>
      </c>
      <c r="Q1701" t="s">
        <v>381</v>
      </c>
    </row>
    <row r="1702" spans="1:17" x14ac:dyDescent="0.15">
      <c r="A1702" t="s">
        <v>19</v>
      </c>
      <c r="B1702" t="s">
        <v>35</v>
      </c>
      <c r="C1702">
        <v>163</v>
      </c>
      <c r="D1702" t="s">
        <v>161</v>
      </c>
      <c r="E1702" s="1">
        <v>43087</v>
      </c>
      <c r="F1702" t="s">
        <v>383</v>
      </c>
      <c r="G1702" t="s">
        <v>1028</v>
      </c>
      <c r="H1702">
        <v>-1</v>
      </c>
      <c r="I1702" t="s">
        <v>37</v>
      </c>
      <c r="J1702">
        <v>0</v>
      </c>
      <c r="M1702" t="s">
        <v>241</v>
      </c>
      <c r="N1702" t="s">
        <v>1029</v>
      </c>
    </row>
    <row r="1703" spans="1:17" x14ac:dyDescent="0.15">
      <c r="A1703" t="s">
        <v>19</v>
      </c>
      <c r="B1703" t="s">
        <v>35</v>
      </c>
      <c r="C1703">
        <v>163</v>
      </c>
      <c r="D1703" t="s">
        <v>161</v>
      </c>
      <c r="E1703" s="1">
        <v>43087</v>
      </c>
      <c r="F1703" t="s">
        <v>383</v>
      </c>
      <c r="G1703" t="s">
        <v>1028</v>
      </c>
      <c r="H1703">
        <v>-1</v>
      </c>
      <c r="I1703" t="s">
        <v>37</v>
      </c>
      <c r="J1703">
        <v>0</v>
      </c>
      <c r="M1703" t="s">
        <v>1910</v>
      </c>
      <c r="N1703" t="s">
        <v>1029</v>
      </c>
      <c r="O1703">
        <v>0</v>
      </c>
      <c r="P1703">
        <v>0</v>
      </c>
      <c r="Q1703" t="s">
        <v>381</v>
      </c>
    </row>
    <row r="1704" spans="1:17" x14ac:dyDescent="0.15">
      <c r="A1704" t="s">
        <v>19</v>
      </c>
      <c r="B1704" t="s">
        <v>35</v>
      </c>
      <c r="C1704">
        <v>163</v>
      </c>
      <c r="D1704" t="s">
        <v>161</v>
      </c>
      <c r="E1704" s="1">
        <v>43087</v>
      </c>
      <c r="F1704" t="s">
        <v>383</v>
      </c>
      <c r="G1704" t="s">
        <v>1477</v>
      </c>
      <c r="H1704">
        <v>1</v>
      </c>
      <c r="I1704" t="s">
        <v>37</v>
      </c>
      <c r="J1704">
        <v>0</v>
      </c>
      <c r="M1704" t="s">
        <v>241</v>
      </c>
      <c r="N1704" t="s">
        <v>1478</v>
      </c>
    </row>
    <row r="1705" spans="1:17" x14ac:dyDescent="0.15">
      <c r="A1705" t="s">
        <v>19</v>
      </c>
      <c r="B1705" t="s">
        <v>35</v>
      </c>
      <c r="C1705">
        <v>163</v>
      </c>
      <c r="D1705" t="s">
        <v>161</v>
      </c>
      <c r="E1705" s="1">
        <v>43087</v>
      </c>
      <c r="F1705" t="s">
        <v>383</v>
      </c>
      <c r="G1705" t="s">
        <v>1477</v>
      </c>
      <c r="H1705">
        <v>1</v>
      </c>
      <c r="I1705" t="s">
        <v>37</v>
      </c>
      <c r="J1705">
        <v>0</v>
      </c>
      <c r="M1705" t="s">
        <v>1910</v>
      </c>
      <c r="N1705" t="s">
        <v>1478</v>
      </c>
      <c r="O1705">
        <v>0</v>
      </c>
      <c r="P1705">
        <v>0</v>
      </c>
      <c r="Q1705" t="s">
        <v>381</v>
      </c>
    </row>
    <row r="1706" spans="1:17" x14ac:dyDescent="0.15">
      <c r="A1706" t="s">
        <v>209</v>
      </c>
      <c r="B1706" t="s">
        <v>209</v>
      </c>
      <c r="C1706">
        <v>163</v>
      </c>
      <c r="D1706" t="s">
        <v>161</v>
      </c>
      <c r="E1706" s="1">
        <v>42832</v>
      </c>
      <c r="F1706" t="s">
        <v>383</v>
      </c>
      <c r="G1706" t="s">
        <v>452</v>
      </c>
      <c r="H1706">
        <v>-58</v>
      </c>
      <c r="I1706" t="s">
        <v>37</v>
      </c>
      <c r="J1706">
        <v>0</v>
      </c>
      <c r="M1706" t="s">
        <v>241</v>
      </c>
      <c r="N1706" t="s">
        <v>454</v>
      </c>
    </row>
    <row r="1707" spans="1:17" x14ac:dyDescent="0.15">
      <c r="A1707" t="s">
        <v>209</v>
      </c>
      <c r="B1707" t="s">
        <v>209</v>
      </c>
      <c r="C1707">
        <v>163</v>
      </c>
      <c r="D1707" t="s">
        <v>161</v>
      </c>
      <c r="E1707" s="1">
        <v>42832</v>
      </c>
      <c r="F1707" t="s">
        <v>383</v>
      </c>
      <c r="G1707" t="s">
        <v>452</v>
      </c>
      <c r="H1707">
        <v>-58</v>
      </c>
      <c r="I1707" t="s">
        <v>37</v>
      </c>
      <c r="J1707">
        <v>0</v>
      </c>
      <c r="M1707" t="s">
        <v>1910</v>
      </c>
      <c r="N1707" t="s">
        <v>454</v>
      </c>
      <c r="O1707">
        <v>0</v>
      </c>
      <c r="P1707">
        <v>0</v>
      </c>
      <c r="Q1707" t="s">
        <v>381</v>
      </c>
    </row>
    <row r="1708" spans="1:17" x14ac:dyDescent="0.15">
      <c r="A1708" t="s">
        <v>209</v>
      </c>
      <c r="B1708" t="s">
        <v>209</v>
      </c>
      <c r="C1708">
        <v>163</v>
      </c>
      <c r="D1708" t="s">
        <v>161</v>
      </c>
      <c r="E1708" s="1">
        <v>42832</v>
      </c>
      <c r="F1708" t="s">
        <v>383</v>
      </c>
      <c r="G1708" t="s">
        <v>452</v>
      </c>
      <c r="H1708">
        <v>-1</v>
      </c>
      <c r="I1708" t="s">
        <v>37</v>
      </c>
      <c r="J1708">
        <v>0</v>
      </c>
      <c r="M1708" t="s">
        <v>241</v>
      </c>
      <c r="N1708" t="s">
        <v>455</v>
      </c>
    </row>
    <row r="1709" spans="1:17" x14ac:dyDescent="0.15">
      <c r="A1709" t="s">
        <v>209</v>
      </c>
      <c r="B1709" t="s">
        <v>209</v>
      </c>
      <c r="C1709">
        <v>163</v>
      </c>
      <c r="D1709" t="s">
        <v>161</v>
      </c>
      <c r="E1709" s="1">
        <v>42832</v>
      </c>
      <c r="F1709" t="s">
        <v>383</v>
      </c>
      <c r="G1709" t="s">
        <v>452</v>
      </c>
      <c r="H1709">
        <v>-1</v>
      </c>
      <c r="I1709" t="s">
        <v>37</v>
      </c>
      <c r="J1709">
        <v>0</v>
      </c>
      <c r="M1709" t="s">
        <v>1910</v>
      </c>
      <c r="N1709" t="s">
        <v>455</v>
      </c>
      <c r="O1709">
        <v>0</v>
      </c>
      <c r="P1709">
        <v>0</v>
      </c>
      <c r="Q1709" t="s">
        <v>381</v>
      </c>
    </row>
    <row r="1710" spans="1:17" x14ac:dyDescent="0.15">
      <c r="A1710" t="s">
        <v>219</v>
      </c>
      <c r="B1710" t="s">
        <v>219</v>
      </c>
      <c r="C1710">
        <v>163</v>
      </c>
      <c r="D1710" t="s">
        <v>161</v>
      </c>
      <c r="E1710" s="1">
        <v>42846</v>
      </c>
      <c r="F1710" t="s">
        <v>17</v>
      </c>
      <c r="G1710" t="s">
        <v>747</v>
      </c>
      <c r="H1710">
        <v>18</v>
      </c>
      <c r="I1710" t="s">
        <v>37</v>
      </c>
      <c r="J1710">
        <v>0</v>
      </c>
      <c r="M1710" t="s">
        <v>241</v>
      </c>
      <c r="N1710" t="s">
        <v>749</v>
      </c>
    </row>
    <row r="1711" spans="1:17" x14ac:dyDescent="0.15">
      <c r="A1711" t="s">
        <v>219</v>
      </c>
      <c r="B1711" t="s">
        <v>219</v>
      </c>
      <c r="C1711">
        <v>163</v>
      </c>
      <c r="D1711" t="s">
        <v>161</v>
      </c>
      <c r="E1711" s="1">
        <v>42846</v>
      </c>
      <c r="F1711" t="s">
        <v>17</v>
      </c>
      <c r="G1711" t="s">
        <v>747</v>
      </c>
      <c r="H1711">
        <v>18</v>
      </c>
      <c r="I1711" t="s">
        <v>37</v>
      </c>
      <c r="J1711">
        <v>0</v>
      </c>
      <c r="M1711" t="s">
        <v>1910</v>
      </c>
      <c r="N1711" t="s">
        <v>749</v>
      </c>
      <c r="O1711">
        <v>0</v>
      </c>
      <c r="P1711">
        <v>0</v>
      </c>
      <c r="Q1711" t="s">
        <v>381</v>
      </c>
    </row>
    <row r="1712" spans="1:17" x14ac:dyDescent="0.15">
      <c r="A1712" t="s">
        <v>219</v>
      </c>
      <c r="B1712" t="s">
        <v>219</v>
      </c>
      <c r="C1712">
        <v>163</v>
      </c>
      <c r="D1712" t="s">
        <v>161</v>
      </c>
      <c r="E1712" s="1">
        <v>42928</v>
      </c>
      <c r="F1712" t="s">
        <v>383</v>
      </c>
      <c r="G1712" t="s">
        <v>1066</v>
      </c>
      <c r="H1712">
        <v>11</v>
      </c>
      <c r="I1712" t="s">
        <v>37</v>
      </c>
      <c r="J1712">
        <v>0</v>
      </c>
      <c r="K1712">
        <v>0</v>
      </c>
      <c r="M1712" t="s">
        <v>241</v>
      </c>
      <c r="N1712" t="s">
        <v>1067</v>
      </c>
    </row>
    <row r="1713" spans="1:17" x14ac:dyDescent="0.15">
      <c r="A1713" t="s">
        <v>219</v>
      </c>
      <c r="B1713" t="s">
        <v>219</v>
      </c>
      <c r="C1713">
        <v>163</v>
      </c>
      <c r="D1713" t="s">
        <v>161</v>
      </c>
      <c r="E1713" s="1">
        <v>42928</v>
      </c>
      <c r="F1713" t="s">
        <v>383</v>
      </c>
      <c r="G1713" t="s">
        <v>1066</v>
      </c>
      <c r="H1713">
        <v>11</v>
      </c>
      <c r="I1713" t="s">
        <v>37</v>
      </c>
      <c r="J1713">
        <v>0</v>
      </c>
      <c r="K1713">
        <v>0</v>
      </c>
      <c r="M1713" t="s">
        <v>1910</v>
      </c>
      <c r="N1713" t="s">
        <v>1067</v>
      </c>
      <c r="O1713">
        <v>0</v>
      </c>
      <c r="P1713">
        <v>0</v>
      </c>
      <c r="Q1713" t="s">
        <v>381</v>
      </c>
    </row>
    <row r="1714" spans="1:17" x14ac:dyDescent="0.15">
      <c r="A1714" t="s">
        <v>205</v>
      </c>
      <c r="B1714" t="s">
        <v>205</v>
      </c>
      <c r="C1714">
        <v>163</v>
      </c>
      <c r="D1714" t="s">
        <v>161</v>
      </c>
      <c r="E1714" s="1">
        <v>42919</v>
      </c>
      <c r="F1714" t="s">
        <v>17</v>
      </c>
      <c r="G1714" t="s">
        <v>1552</v>
      </c>
      <c r="H1714">
        <v>1</v>
      </c>
      <c r="I1714" t="s">
        <v>37</v>
      </c>
      <c r="J1714">
        <v>0</v>
      </c>
      <c r="M1714" t="s">
        <v>241</v>
      </c>
      <c r="N1714" t="s">
        <v>1553</v>
      </c>
    </row>
    <row r="1715" spans="1:17" x14ac:dyDescent="0.15">
      <c r="A1715" t="s">
        <v>205</v>
      </c>
      <c r="B1715" t="s">
        <v>205</v>
      </c>
      <c r="C1715">
        <v>163</v>
      </c>
      <c r="D1715" t="s">
        <v>161</v>
      </c>
      <c r="E1715" s="1">
        <v>42919</v>
      </c>
      <c r="F1715" t="s">
        <v>17</v>
      </c>
      <c r="G1715" t="s">
        <v>1552</v>
      </c>
      <c r="H1715">
        <v>1</v>
      </c>
      <c r="I1715" t="s">
        <v>37</v>
      </c>
      <c r="J1715">
        <v>0</v>
      </c>
      <c r="M1715" t="s">
        <v>1910</v>
      </c>
      <c r="N1715" t="s">
        <v>1553</v>
      </c>
      <c r="O1715">
        <v>0</v>
      </c>
      <c r="P1715">
        <v>0</v>
      </c>
      <c r="Q1715" t="s">
        <v>381</v>
      </c>
    </row>
    <row r="1716" spans="1:17" x14ac:dyDescent="0.15">
      <c r="A1716" t="s">
        <v>205</v>
      </c>
      <c r="B1716" t="s">
        <v>205</v>
      </c>
      <c r="C1716">
        <v>163</v>
      </c>
      <c r="D1716" t="s">
        <v>161</v>
      </c>
      <c r="E1716" s="1">
        <v>42951</v>
      </c>
      <c r="F1716" t="s">
        <v>17</v>
      </c>
      <c r="G1716" t="s">
        <v>378</v>
      </c>
      <c r="H1716">
        <v>1</v>
      </c>
      <c r="I1716" t="s">
        <v>37</v>
      </c>
      <c r="J1716">
        <v>0</v>
      </c>
      <c r="M1716" t="s">
        <v>241</v>
      </c>
      <c r="N1716" t="s">
        <v>1555</v>
      </c>
    </row>
    <row r="1717" spans="1:17" x14ac:dyDescent="0.15">
      <c r="A1717" t="s">
        <v>205</v>
      </c>
      <c r="B1717" t="s">
        <v>205</v>
      </c>
      <c r="C1717">
        <v>163</v>
      </c>
      <c r="D1717" t="s">
        <v>161</v>
      </c>
      <c r="E1717" s="1">
        <v>42951</v>
      </c>
      <c r="F1717" t="s">
        <v>17</v>
      </c>
      <c r="G1717" t="s">
        <v>378</v>
      </c>
      <c r="H1717">
        <v>1</v>
      </c>
      <c r="I1717" t="s">
        <v>37</v>
      </c>
      <c r="J1717">
        <v>0</v>
      </c>
      <c r="M1717" t="s">
        <v>1910</v>
      </c>
      <c r="N1717" t="s">
        <v>1555</v>
      </c>
      <c r="O1717">
        <v>0</v>
      </c>
      <c r="P1717">
        <v>0</v>
      </c>
      <c r="Q1717" t="s">
        <v>381</v>
      </c>
    </row>
    <row r="1718" spans="1:17" x14ac:dyDescent="0.15">
      <c r="A1718" t="s">
        <v>205</v>
      </c>
      <c r="B1718" t="s">
        <v>205</v>
      </c>
      <c r="C1718">
        <v>163</v>
      </c>
      <c r="D1718" t="s">
        <v>161</v>
      </c>
      <c r="E1718" s="1">
        <v>42972</v>
      </c>
      <c r="F1718" t="s">
        <v>383</v>
      </c>
      <c r="G1718" t="s">
        <v>1157</v>
      </c>
      <c r="H1718">
        <v>-1</v>
      </c>
      <c r="I1718" t="s">
        <v>37</v>
      </c>
      <c r="J1718">
        <v>0</v>
      </c>
      <c r="M1718" t="s">
        <v>241</v>
      </c>
      <c r="N1718" t="s">
        <v>1158</v>
      </c>
    </row>
    <row r="1719" spans="1:17" x14ac:dyDescent="0.15">
      <c r="A1719" t="s">
        <v>205</v>
      </c>
      <c r="B1719" t="s">
        <v>205</v>
      </c>
      <c r="C1719">
        <v>163</v>
      </c>
      <c r="D1719" t="s">
        <v>161</v>
      </c>
      <c r="E1719" s="1">
        <v>42972</v>
      </c>
      <c r="F1719" t="s">
        <v>383</v>
      </c>
      <c r="G1719" t="s">
        <v>1157</v>
      </c>
      <c r="H1719">
        <v>-1</v>
      </c>
      <c r="I1719" t="s">
        <v>37</v>
      </c>
      <c r="J1719">
        <v>0</v>
      </c>
      <c r="M1719" t="s">
        <v>1910</v>
      </c>
      <c r="N1719" t="s">
        <v>1158</v>
      </c>
      <c r="O1719">
        <v>0</v>
      </c>
      <c r="P1719">
        <v>0</v>
      </c>
      <c r="Q1719" t="s">
        <v>381</v>
      </c>
    </row>
    <row r="1720" spans="1:17" x14ac:dyDescent="0.15">
      <c r="A1720" t="s">
        <v>205</v>
      </c>
      <c r="B1720" t="s">
        <v>205</v>
      </c>
      <c r="C1720">
        <v>163</v>
      </c>
      <c r="D1720" t="s">
        <v>161</v>
      </c>
      <c r="E1720" s="1">
        <v>42975</v>
      </c>
      <c r="F1720" t="s">
        <v>383</v>
      </c>
      <c r="G1720" t="s">
        <v>1201</v>
      </c>
      <c r="H1720">
        <v>-1</v>
      </c>
      <c r="I1720" t="s">
        <v>37</v>
      </c>
      <c r="J1720">
        <v>0</v>
      </c>
      <c r="M1720" t="s">
        <v>241</v>
      </c>
      <c r="N1720" t="s">
        <v>1202</v>
      </c>
    </row>
    <row r="1721" spans="1:17" x14ac:dyDescent="0.15">
      <c r="A1721" t="s">
        <v>205</v>
      </c>
      <c r="B1721" t="s">
        <v>205</v>
      </c>
      <c r="C1721">
        <v>163</v>
      </c>
      <c r="D1721" t="s">
        <v>161</v>
      </c>
      <c r="E1721" s="1">
        <v>42975</v>
      </c>
      <c r="F1721" t="s">
        <v>383</v>
      </c>
      <c r="G1721" t="s">
        <v>1201</v>
      </c>
      <c r="H1721">
        <v>-1</v>
      </c>
      <c r="I1721" t="s">
        <v>37</v>
      </c>
      <c r="J1721">
        <v>0</v>
      </c>
      <c r="M1721" t="s">
        <v>1910</v>
      </c>
      <c r="N1721" t="s">
        <v>1202</v>
      </c>
      <c r="O1721">
        <v>0</v>
      </c>
      <c r="P1721">
        <v>0</v>
      </c>
      <c r="Q1721" t="s">
        <v>381</v>
      </c>
    </row>
    <row r="1722" spans="1:17" x14ac:dyDescent="0.15">
      <c r="A1722" t="s">
        <v>205</v>
      </c>
      <c r="B1722" t="s">
        <v>205</v>
      </c>
      <c r="C1722">
        <v>163</v>
      </c>
      <c r="D1722" t="s">
        <v>161</v>
      </c>
      <c r="E1722" s="1">
        <v>42977</v>
      </c>
      <c r="F1722" t="s">
        <v>383</v>
      </c>
      <c r="G1722" t="s">
        <v>1203</v>
      </c>
      <c r="H1722">
        <v>1</v>
      </c>
      <c r="I1722" t="s">
        <v>37</v>
      </c>
      <c r="J1722">
        <v>0</v>
      </c>
      <c r="M1722" t="s">
        <v>241</v>
      </c>
      <c r="N1722" t="s">
        <v>1204</v>
      </c>
    </row>
    <row r="1723" spans="1:17" x14ac:dyDescent="0.15">
      <c r="A1723" t="s">
        <v>205</v>
      </c>
      <c r="B1723" t="s">
        <v>205</v>
      </c>
      <c r="C1723">
        <v>163</v>
      </c>
      <c r="D1723" t="s">
        <v>161</v>
      </c>
      <c r="E1723" s="1">
        <v>42977</v>
      </c>
      <c r="F1723" t="s">
        <v>383</v>
      </c>
      <c r="G1723" t="s">
        <v>1203</v>
      </c>
      <c r="H1723">
        <v>1</v>
      </c>
      <c r="I1723" t="s">
        <v>37</v>
      </c>
      <c r="J1723">
        <v>0</v>
      </c>
      <c r="M1723" t="s">
        <v>1910</v>
      </c>
      <c r="N1723" t="s">
        <v>1204</v>
      </c>
      <c r="O1723">
        <v>0</v>
      </c>
      <c r="P1723">
        <v>0</v>
      </c>
      <c r="Q1723" t="s">
        <v>381</v>
      </c>
    </row>
    <row r="1724" spans="1:17" x14ac:dyDescent="0.15">
      <c r="A1724" t="s">
        <v>205</v>
      </c>
      <c r="B1724" t="s">
        <v>205</v>
      </c>
      <c r="C1724">
        <v>163</v>
      </c>
      <c r="D1724" t="s">
        <v>161</v>
      </c>
      <c r="E1724" s="1">
        <v>42977</v>
      </c>
      <c r="F1724" t="s">
        <v>383</v>
      </c>
      <c r="G1724" t="s">
        <v>1205</v>
      </c>
      <c r="H1724">
        <v>-1</v>
      </c>
      <c r="I1724" t="s">
        <v>37</v>
      </c>
      <c r="J1724">
        <v>0</v>
      </c>
      <c r="M1724" t="s">
        <v>241</v>
      </c>
      <c r="N1724" t="s">
        <v>1206</v>
      </c>
    </row>
    <row r="1725" spans="1:17" x14ac:dyDescent="0.15">
      <c r="A1725" t="s">
        <v>205</v>
      </c>
      <c r="B1725" t="s">
        <v>205</v>
      </c>
      <c r="C1725">
        <v>163</v>
      </c>
      <c r="D1725" t="s">
        <v>161</v>
      </c>
      <c r="E1725" s="1">
        <v>42977</v>
      </c>
      <c r="F1725" t="s">
        <v>383</v>
      </c>
      <c r="G1725" t="s">
        <v>1205</v>
      </c>
      <c r="H1725">
        <v>-1</v>
      </c>
      <c r="I1725" t="s">
        <v>37</v>
      </c>
      <c r="J1725">
        <v>0</v>
      </c>
      <c r="M1725" t="s">
        <v>1910</v>
      </c>
      <c r="N1725" t="s">
        <v>1206</v>
      </c>
      <c r="O1725">
        <v>0</v>
      </c>
      <c r="P1725">
        <v>0</v>
      </c>
      <c r="Q1725" t="s">
        <v>381</v>
      </c>
    </row>
    <row r="1726" spans="1:17" x14ac:dyDescent="0.15">
      <c r="A1726" t="s">
        <v>205</v>
      </c>
      <c r="B1726" t="s">
        <v>205</v>
      </c>
      <c r="C1726">
        <v>163</v>
      </c>
      <c r="D1726" t="s">
        <v>161</v>
      </c>
      <c r="E1726" s="1">
        <v>43014</v>
      </c>
      <c r="F1726" t="s">
        <v>383</v>
      </c>
      <c r="G1726" t="s">
        <v>1277</v>
      </c>
      <c r="H1726">
        <v>-1</v>
      </c>
      <c r="I1726" t="s">
        <v>37</v>
      </c>
      <c r="J1726">
        <v>0</v>
      </c>
      <c r="M1726" t="s">
        <v>241</v>
      </c>
      <c r="N1726" t="s">
        <v>1279</v>
      </c>
    </row>
    <row r="1727" spans="1:17" x14ac:dyDescent="0.15">
      <c r="A1727" t="s">
        <v>205</v>
      </c>
      <c r="B1727" t="s">
        <v>205</v>
      </c>
      <c r="C1727">
        <v>163</v>
      </c>
      <c r="D1727" t="s">
        <v>161</v>
      </c>
      <c r="E1727" s="1">
        <v>43014</v>
      </c>
      <c r="F1727" t="s">
        <v>383</v>
      </c>
      <c r="G1727" t="s">
        <v>1277</v>
      </c>
      <c r="H1727">
        <v>-1</v>
      </c>
      <c r="I1727" t="s">
        <v>37</v>
      </c>
      <c r="J1727">
        <v>0</v>
      </c>
      <c r="M1727" t="s">
        <v>1910</v>
      </c>
      <c r="N1727" t="s">
        <v>1279</v>
      </c>
      <c r="O1727">
        <v>0</v>
      </c>
      <c r="P1727">
        <v>0</v>
      </c>
      <c r="Q1727" t="s">
        <v>381</v>
      </c>
    </row>
    <row r="1728" spans="1:17" x14ac:dyDescent="0.15">
      <c r="A1728" t="s">
        <v>205</v>
      </c>
      <c r="B1728" t="s">
        <v>205</v>
      </c>
      <c r="C1728">
        <v>163</v>
      </c>
      <c r="D1728" t="s">
        <v>161</v>
      </c>
      <c r="E1728" s="1">
        <v>43067</v>
      </c>
      <c r="F1728" t="s">
        <v>383</v>
      </c>
      <c r="G1728" t="s">
        <v>1396</v>
      </c>
      <c r="H1728">
        <v>-1</v>
      </c>
      <c r="I1728" t="s">
        <v>37</v>
      </c>
      <c r="J1728">
        <v>0</v>
      </c>
      <c r="K1728">
        <v>0</v>
      </c>
      <c r="M1728" t="s">
        <v>241</v>
      </c>
      <c r="N1728" t="s">
        <v>1398</v>
      </c>
    </row>
    <row r="1729" spans="1:17" x14ac:dyDescent="0.15">
      <c r="A1729" t="s">
        <v>205</v>
      </c>
      <c r="B1729" t="s">
        <v>205</v>
      </c>
      <c r="C1729">
        <v>163</v>
      </c>
      <c r="D1729" t="s">
        <v>161</v>
      </c>
      <c r="E1729" s="1">
        <v>43067</v>
      </c>
      <c r="F1729" t="s">
        <v>383</v>
      </c>
      <c r="G1729" t="s">
        <v>1396</v>
      </c>
      <c r="H1729">
        <v>-1</v>
      </c>
      <c r="I1729" t="s">
        <v>37</v>
      </c>
      <c r="J1729">
        <v>0</v>
      </c>
      <c r="K1729">
        <v>0</v>
      </c>
      <c r="M1729" t="s">
        <v>1910</v>
      </c>
      <c r="N1729" t="s">
        <v>1398</v>
      </c>
      <c r="O1729">
        <v>0</v>
      </c>
      <c r="P1729">
        <v>0</v>
      </c>
      <c r="Q1729" t="s">
        <v>381</v>
      </c>
    </row>
    <row r="1730" spans="1:17" x14ac:dyDescent="0.15">
      <c r="A1730" t="s">
        <v>205</v>
      </c>
      <c r="B1730" t="s">
        <v>205</v>
      </c>
      <c r="C1730">
        <v>163</v>
      </c>
      <c r="D1730" t="s">
        <v>161</v>
      </c>
      <c r="E1730" s="1">
        <v>43082</v>
      </c>
      <c r="F1730" t="s">
        <v>383</v>
      </c>
      <c r="G1730" t="s">
        <v>1439</v>
      </c>
      <c r="H1730">
        <v>-1</v>
      </c>
      <c r="I1730" t="s">
        <v>37</v>
      </c>
      <c r="J1730">
        <v>0</v>
      </c>
      <c r="K1730">
        <v>0</v>
      </c>
      <c r="M1730" t="s">
        <v>241</v>
      </c>
      <c r="N1730" t="s">
        <v>1443</v>
      </c>
    </row>
    <row r="1731" spans="1:17" x14ac:dyDescent="0.15">
      <c r="A1731" t="s">
        <v>205</v>
      </c>
      <c r="B1731" t="s">
        <v>205</v>
      </c>
      <c r="C1731">
        <v>163</v>
      </c>
      <c r="D1731" t="s">
        <v>161</v>
      </c>
      <c r="E1731" s="1">
        <v>43082</v>
      </c>
      <c r="F1731" t="s">
        <v>383</v>
      </c>
      <c r="G1731" t="s">
        <v>1439</v>
      </c>
      <c r="H1731">
        <v>-1</v>
      </c>
      <c r="I1731" t="s">
        <v>37</v>
      </c>
      <c r="J1731">
        <v>0</v>
      </c>
      <c r="K1731">
        <v>0</v>
      </c>
      <c r="M1731" t="s">
        <v>1910</v>
      </c>
      <c r="N1731" t="s">
        <v>1443</v>
      </c>
      <c r="O1731">
        <v>0</v>
      </c>
      <c r="P1731">
        <v>0</v>
      </c>
      <c r="Q1731" t="s">
        <v>381</v>
      </c>
    </row>
    <row r="1732" spans="1:17" x14ac:dyDescent="0.15">
      <c r="A1732" t="s">
        <v>300</v>
      </c>
      <c r="B1732" t="s">
        <v>300</v>
      </c>
      <c r="C1732">
        <v>163</v>
      </c>
      <c r="D1732" t="s">
        <v>161</v>
      </c>
      <c r="E1732" s="1">
        <v>42965</v>
      </c>
      <c r="F1732" t="s">
        <v>383</v>
      </c>
      <c r="G1732" t="s">
        <v>1161</v>
      </c>
      <c r="H1732">
        <v>-1</v>
      </c>
      <c r="I1732" t="s">
        <v>37</v>
      </c>
      <c r="J1732">
        <v>0</v>
      </c>
      <c r="M1732" t="s">
        <v>241</v>
      </c>
      <c r="N1732" t="s">
        <v>1162</v>
      </c>
    </row>
    <row r="1733" spans="1:17" x14ac:dyDescent="0.15">
      <c r="A1733" t="s">
        <v>300</v>
      </c>
      <c r="B1733" t="s">
        <v>300</v>
      </c>
      <c r="C1733">
        <v>163</v>
      </c>
      <c r="D1733" t="s">
        <v>161</v>
      </c>
      <c r="E1733" s="1">
        <v>42965</v>
      </c>
      <c r="F1733" t="s">
        <v>383</v>
      </c>
      <c r="G1733" t="s">
        <v>1161</v>
      </c>
      <c r="H1733">
        <v>-1</v>
      </c>
      <c r="I1733" t="s">
        <v>37</v>
      </c>
      <c r="J1733">
        <v>0</v>
      </c>
      <c r="M1733" t="s">
        <v>1910</v>
      </c>
      <c r="N1733" t="s">
        <v>1162</v>
      </c>
      <c r="O1733">
        <v>0</v>
      </c>
      <c r="P1733">
        <v>0</v>
      </c>
      <c r="Q1733" t="s">
        <v>381</v>
      </c>
    </row>
    <row r="1734" spans="1:17" x14ac:dyDescent="0.15">
      <c r="A1734" t="s">
        <v>218</v>
      </c>
      <c r="B1734" t="s">
        <v>218</v>
      </c>
      <c r="C1734">
        <v>163</v>
      </c>
      <c r="D1734" t="s">
        <v>161</v>
      </c>
      <c r="E1734" s="1">
        <v>42853</v>
      </c>
      <c r="F1734" t="s">
        <v>17</v>
      </c>
      <c r="G1734" t="s">
        <v>725</v>
      </c>
      <c r="H1734">
        <v>1</v>
      </c>
      <c r="I1734" t="s">
        <v>37</v>
      </c>
      <c r="J1734">
        <v>0</v>
      </c>
      <c r="K1734">
        <v>0</v>
      </c>
      <c r="M1734" t="s">
        <v>241</v>
      </c>
      <c r="N1734" t="s">
        <v>727</v>
      </c>
    </row>
    <row r="1735" spans="1:17" x14ac:dyDescent="0.15">
      <c r="A1735" t="s">
        <v>218</v>
      </c>
      <c r="B1735" t="s">
        <v>218</v>
      </c>
      <c r="C1735">
        <v>163</v>
      </c>
      <c r="D1735" t="s">
        <v>161</v>
      </c>
      <c r="E1735" s="1">
        <v>42853</v>
      </c>
      <c r="F1735" t="s">
        <v>17</v>
      </c>
      <c r="G1735" t="s">
        <v>725</v>
      </c>
      <c r="H1735">
        <v>1</v>
      </c>
      <c r="I1735" t="s">
        <v>37</v>
      </c>
      <c r="J1735">
        <v>0</v>
      </c>
      <c r="K1735">
        <v>0</v>
      </c>
      <c r="M1735" t="s">
        <v>1910</v>
      </c>
      <c r="N1735" t="s">
        <v>727</v>
      </c>
      <c r="O1735">
        <v>0</v>
      </c>
      <c r="P1735">
        <v>0</v>
      </c>
      <c r="Q1735" t="s">
        <v>381</v>
      </c>
    </row>
    <row r="1736" spans="1:17" x14ac:dyDescent="0.15">
      <c r="A1736" t="s">
        <v>214</v>
      </c>
      <c r="B1736" t="s">
        <v>215</v>
      </c>
      <c r="C1736">
        <v>163</v>
      </c>
      <c r="D1736" t="s">
        <v>161</v>
      </c>
      <c r="E1736" s="1">
        <v>42859</v>
      </c>
      <c r="F1736" t="s">
        <v>17</v>
      </c>
      <c r="G1736" t="s">
        <v>798</v>
      </c>
      <c r="H1736">
        <v>1</v>
      </c>
      <c r="I1736" t="s">
        <v>37</v>
      </c>
      <c r="J1736">
        <v>0</v>
      </c>
      <c r="K1736">
        <v>0</v>
      </c>
      <c r="M1736" t="s">
        <v>241</v>
      </c>
      <c r="N1736" t="s">
        <v>799</v>
      </c>
    </row>
    <row r="1737" spans="1:17" x14ac:dyDescent="0.15">
      <c r="A1737" t="s">
        <v>214</v>
      </c>
      <c r="B1737" t="s">
        <v>215</v>
      </c>
      <c r="C1737">
        <v>163</v>
      </c>
      <c r="D1737" t="s">
        <v>161</v>
      </c>
      <c r="E1737" s="1">
        <v>42859</v>
      </c>
      <c r="F1737" t="s">
        <v>17</v>
      </c>
      <c r="G1737" t="s">
        <v>798</v>
      </c>
      <c r="H1737">
        <v>1</v>
      </c>
      <c r="I1737" t="s">
        <v>37</v>
      </c>
      <c r="J1737">
        <v>0</v>
      </c>
      <c r="K1737">
        <v>0</v>
      </c>
      <c r="M1737" t="s">
        <v>1910</v>
      </c>
      <c r="N1737" t="s">
        <v>799</v>
      </c>
      <c r="O1737">
        <v>0</v>
      </c>
      <c r="P1737">
        <v>0</v>
      </c>
      <c r="Q1737" t="s">
        <v>381</v>
      </c>
    </row>
    <row r="1738" spans="1:17" x14ac:dyDescent="0.15">
      <c r="A1738" t="s">
        <v>214</v>
      </c>
      <c r="B1738" t="s">
        <v>215</v>
      </c>
      <c r="C1738">
        <v>163</v>
      </c>
      <c r="D1738" t="s">
        <v>161</v>
      </c>
      <c r="E1738" s="1">
        <v>42859</v>
      </c>
      <c r="F1738" t="s">
        <v>936</v>
      </c>
      <c r="G1738" t="s">
        <v>937</v>
      </c>
      <c r="H1738">
        <v>-1</v>
      </c>
      <c r="I1738" t="s">
        <v>37</v>
      </c>
      <c r="J1738">
        <v>0</v>
      </c>
      <c r="M1738" t="s">
        <v>241</v>
      </c>
      <c r="N1738" t="s">
        <v>938</v>
      </c>
    </row>
    <row r="1739" spans="1:17" x14ac:dyDescent="0.15">
      <c r="A1739" t="s">
        <v>214</v>
      </c>
      <c r="B1739" t="s">
        <v>215</v>
      </c>
      <c r="C1739">
        <v>163</v>
      </c>
      <c r="D1739" t="s">
        <v>161</v>
      </c>
      <c r="E1739" s="1">
        <v>42859</v>
      </c>
      <c r="F1739" t="s">
        <v>936</v>
      </c>
      <c r="G1739" t="s">
        <v>937</v>
      </c>
      <c r="H1739">
        <v>-1</v>
      </c>
      <c r="I1739" t="s">
        <v>37</v>
      </c>
      <c r="J1739">
        <v>0</v>
      </c>
      <c r="M1739" t="s">
        <v>1910</v>
      </c>
      <c r="N1739" t="s">
        <v>938</v>
      </c>
      <c r="O1739">
        <v>0</v>
      </c>
      <c r="P1739">
        <v>0</v>
      </c>
      <c r="Q1739" t="s">
        <v>381</v>
      </c>
    </row>
    <row r="1740" spans="1:17" x14ac:dyDescent="0.15">
      <c r="A1740" t="s">
        <v>214</v>
      </c>
      <c r="B1740" t="s">
        <v>215</v>
      </c>
      <c r="C1740">
        <v>163</v>
      </c>
      <c r="D1740" t="s">
        <v>161</v>
      </c>
      <c r="E1740" s="1">
        <v>42872</v>
      </c>
      <c r="F1740" t="s">
        <v>17</v>
      </c>
      <c r="G1740" t="s">
        <v>792</v>
      </c>
      <c r="H1740">
        <v>1</v>
      </c>
      <c r="I1740" t="s">
        <v>37</v>
      </c>
      <c r="J1740">
        <v>0</v>
      </c>
      <c r="K1740">
        <v>0</v>
      </c>
      <c r="L1740" t="s">
        <v>375</v>
      </c>
      <c r="M1740" t="s">
        <v>241</v>
      </c>
      <c r="N1740" t="s">
        <v>793</v>
      </c>
    </row>
    <row r="1741" spans="1:17" x14ac:dyDescent="0.15">
      <c r="A1741" t="s">
        <v>214</v>
      </c>
      <c r="B1741" t="s">
        <v>215</v>
      </c>
      <c r="C1741">
        <v>163</v>
      </c>
      <c r="D1741" t="s">
        <v>161</v>
      </c>
      <c r="E1741" s="1">
        <v>42872</v>
      </c>
      <c r="F1741" t="s">
        <v>17</v>
      </c>
      <c r="G1741" t="s">
        <v>792</v>
      </c>
      <c r="H1741">
        <v>1</v>
      </c>
      <c r="I1741" t="s">
        <v>37</v>
      </c>
      <c r="J1741">
        <v>0</v>
      </c>
      <c r="K1741">
        <v>0</v>
      </c>
      <c r="L1741" t="s">
        <v>375</v>
      </c>
      <c r="M1741" t="s">
        <v>1910</v>
      </c>
      <c r="N1741" t="s">
        <v>793</v>
      </c>
      <c r="O1741">
        <v>0</v>
      </c>
      <c r="P1741">
        <v>0</v>
      </c>
      <c r="Q1741" t="s">
        <v>381</v>
      </c>
    </row>
    <row r="1742" spans="1:17" x14ac:dyDescent="0.15">
      <c r="A1742" t="s">
        <v>214</v>
      </c>
      <c r="B1742" t="s">
        <v>215</v>
      </c>
      <c r="C1742">
        <v>163</v>
      </c>
      <c r="D1742" t="s">
        <v>161</v>
      </c>
      <c r="E1742" s="1">
        <v>42872</v>
      </c>
      <c r="F1742" t="s">
        <v>17</v>
      </c>
      <c r="G1742" t="s">
        <v>794</v>
      </c>
      <c r="H1742">
        <v>1</v>
      </c>
      <c r="I1742" t="s">
        <v>37</v>
      </c>
      <c r="J1742">
        <v>0</v>
      </c>
      <c r="K1742">
        <v>0</v>
      </c>
      <c r="L1742" t="s">
        <v>375</v>
      </c>
      <c r="M1742" t="s">
        <v>241</v>
      </c>
      <c r="N1742" t="s">
        <v>795</v>
      </c>
    </row>
    <row r="1743" spans="1:17" x14ac:dyDescent="0.15">
      <c r="A1743" t="s">
        <v>214</v>
      </c>
      <c r="B1743" t="s">
        <v>215</v>
      </c>
      <c r="C1743">
        <v>163</v>
      </c>
      <c r="D1743" t="s">
        <v>161</v>
      </c>
      <c r="E1743" s="1">
        <v>42872</v>
      </c>
      <c r="F1743" t="s">
        <v>17</v>
      </c>
      <c r="G1743" t="s">
        <v>794</v>
      </c>
      <c r="H1743">
        <v>1</v>
      </c>
      <c r="I1743" t="s">
        <v>37</v>
      </c>
      <c r="J1743">
        <v>0</v>
      </c>
      <c r="K1743">
        <v>0</v>
      </c>
      <c r="L1743" t="s">
        <v>375</v>
      </c>
      <c r="M1743" t="s">
        <v>1910</v>
      </c>
      <c r="N1743" t="s">
        <v>795</v>
      </c>
      <c r="O1743">
        <v>0</v>
      </c>
      <c r="P1743">
        <v>0</v>
      </c>
      <c r="Q1743" t="s">
        <v>381</v>
      </c>
    </row>
    <row r="1744" spans="1:17" x14ac:dyDescent="0.15">
      <c r="A1744" t="s">
        <v>214</v>
      </c>
      <c r="B1744" t="s">
        <v>215</v>
      </c>
      <c r="C1744">
        <v>163</v>
      </c>
      <c r="D1744" t="s">
        <v>161</v>
      </c>
      <c r="E1744" s="1">
        <v>42872</v>
      </c>
      <c r="F1744" t="s">
        <v>936</v>
      </c>
      <c r="G1744" t="s">
        <v>939</v>
      </c>
      <c r="H1744">
        <v>-1</v>
      </c>
      <c r="I1744" t="s">
        <v>37</v>
      </c>
      <c r="J1744">
        <v>0</v>
      </c>
      <c r="M1744" t="s">
        <v>241</v>
      </c>
      <c r="N1744" t="s">
        <v>940</v>
      </c>
    </row>
    <row r="1745" spans="1:17" x14ac:dyDescent="0.15">
      <c r="A1745" t="s">
        <v>214</v>
      </c>
      <c r="B1745" t="s">
        <v>215</v>
      </c>
      <c r="C1745">
        <v>163</v>
      </c>
      <c r="D1745" t="s">
        <v>161</v>
      </c>
      <c r="E1745" s="1">
        <v>42872</v>
      </c>
      <c r="F1745" t="s">
        <v>936</v>
      </c>
      <c r="G1745" t="s">
        <v>939</v>
      </c>
      <c r="H1745">
        <v>-1</v>
      </c>
      <c r="I1745" t="s">
        <v>37</v>
      </c>
      <c r="J1745">
        <v>0</v>
      </c>
      <c r="M1745" t="s">
        <v>1910</v>
      </c>
      <c r="N1745" t="s">
        <v>940</v>
      </c>
      <c r="O1745">
        <v>0</v>
      </c>
      <c r="P1745">
        <v>0</v>
      </c>
      <c r="Q1745" t="s">
        <v>381</v>
      </c>
    </row>
    <row r="1746" spans="1:17" x14ac:dyDescent="0.15">
      <c r="A1746" t="s">
        <v>214</v>
      </c>
      <c r="B1746" t="s">
        <v>215</v>
      </c>
      <c r="C1746">
        <v>163</v>
      </c>
      <c r="D1746" t="s">
        <v>161</v>
      </c>
      <c r="E1746" s="1">
        <v>42872</v>
      </c>
      <c r="F1746" t="s">
        <v>936</v>
      </c>
      <c r="G1746" t="s">
        <v>939</v>
      </c>
      <c r="H1746">
        <v>-1</v>
      </c>
      <c r="I1746" t="s">
        <v>37</v>
      </c>
      <c r="J1746">
        <v>0</v>
      </c>
      <c r="M1746" t="s">
        <v>241</v>
      </c>
      <c r="N1746" t="s">
        <v>941</v>
      </c>
    </row>
    <row r="1747" spans="1:17" x14ac:dyDescent="0.15">
      <c r="A1747" t="s">
        <v>214</v>
      </c>
      <c r="B1747" t="s">
        <v>215</v>
      </c>
      <c r="C1747">
        <v>163</v>
      </c>
      <c r="D1747" t="s">
        <v>161</v>
      </c>
      <c r="E1747" s="1">
        <v>42872</v>
      </c>
      <c r="F1747" t="s">
        <v>936</v>
      </c>
      <c r="G1747" t="s">
        <v>939</v>
      </c>
      <c r="H1747">
        <v>-1</v>
      </c>
      <c r="I1747" t="s">
        <v>37</v>
      </c>
      <c r="J1747">
        <v>0</v>
      </c>
      <c r="M1747" t="s">
        <v>1910</v>
      </c>
      <c r="N1747" t="s">
        <v>941</v>
      </c>
      <c r="O1747">
        <v>0</v>
      </c>
      <c r="P1747">
        <v>0</v>
      </c>
      <c r="Q1747" t="s">
        <v>381</v>
      </c>
    </row>
    <row r="1748" spans="1:17" x14ac:dyDescent="0.15">
      <c r="A1748" t="s">
        <v>214</v>
      </c>
      <c r="B1748" t="s">
        <v>215</v>
      </c>
      <c r="C1748">
        <v>163</v>
      </c>
      <c r="D1748" t="s">
        <v>161</v>
      </c>
      <c r="E1748" s="1">
        <v>42880</v>
      </c>
      <c r="F1748" t="s">
        <v>17</v>
      </c>
      <c r="G1748" t="s">
        <v>802</v>
      </c>
      <c r="H1748">
        <v>1</v>
      </c>
      <c r="I1748" t="s">
        <v>37</v>
      </c>
      <c r="J1748">
        <v>0</v>
      </c>
      <c r="K1748">
        <v>0</v>
      </c>
      <c r="M1748" t="s">
        <v>241</v>
      </c>
      <c r="N1748" t="s">
        <v>803</v>
      </c>
    </row>
    <row r="1749" spans="1:17" x14ac:dyDescent="0.15">
      <c r="A1749" t="s">
        <v>214</v>
      </c>
      <c r="B1749" t="s">
        <v>215</v>
      </c>
      <c r="C1749">
        <v>163</v>
      </c>
      <c r="D1749" t="s">
        <v>161</v>
      </c>
      <c r="E1749" s="1">
        <v>42880</v>
      </c>
      <c r="F1749" t="s">
        <v>17</v>
      </c>
      <c r="G1749" t="s">
        <v>802</v>
      </c>
      <c r="H1749">
        <v>1</v>
      </c>
      <c r="I1749" t="s">
        <v>37</v>
      </c>
      <c r="J1749">
        <v>0</v>
      </c>
      <c r="K1749">
        <v>0</v>
      </c>
      <c r="M1749" t="s">
        <v>1910</v>
      </c>
      <c r="N1749" t="s">
        <v>803</v>
      </c>
      <c r="O1749">
        <v>0</v>
      </c>
      <c r="P1749">
        <v>0</v>
      </c>
      <c r="Q1749" t="s">
        <v>381</v>
      </c>
    </row>
    <row r="1750" spans="1:17" x14ac:dyDescent="0.15">
      <c r="A1750" t="s">
        <v>214</v>
      </c>
      <c r="B1750" t="s">
        <v>215</v>
      </c>
      <c r="C1750">
        <v>163</v>
      </c>
      <c r="D1750" t="s">
        <v>161</v>
      </c>
      <c r="E1750" s="1">
        <v>42880</v>
      </c>
      <c r="F1750" t="s">
        <v>936</v>
      </c>
      <c r="G1750" t="s">
        <v>942</v>
      </c>
      <c r="H1750">
        <v>-1</v>
      </c>
      <c r="I1750" t="s">
        <v>37</v>
      </c>
      <c r="J1750">
        <v>0</v>
      </c>
      <c r="M1750" t="s">
        <v>241</v>
      </c>
      <c r="N1750" t="s">
        <v>943</v>
      </c>
    </row>
    <row r="1751" spans="1:17" x14ac:dyDescent="0.15">
      <c r="A1751" t="s">
        <v>214</v>
      </c>
      <c r="B1751" t="s">
        <v>215</v>
      </c>
      <c r="C1751">
        <v>163</v>
      </c>
      <c r="D1751" t="s">
        <v>161</v>
      </c>
      <c r="E1751" s="1">
        <v>42880</v>
      </c>
      <c r="F1751" t="s">
        <v>936</v>
      </c>
      <c r="G1751" t="s">
        <v>942</v>
      </c>
      <c r="H1751">
        <v>-1</v>
      </c>
      <c r="I1751" t="s">
        <v>37</v>
      </c>
      <c r="J1751">
        <v>0</v>
      </c>
      <c r="M1751" t="s">
        <v>1910</v>
      </c>
      <c r="N1751" t="s">
        <v>943</v>
      </c>
      <c r="O1751">
        <v>0</v>
      </c>
      <c r="P1751">
        <v>0</v>
      </c>
      <c r="Q1751" t="s">
        <v>381</v>
      </c>
    </row>
    <row r="1752" spans="1:17" x14ac:dyDescent="0.15">
      <c r="A1752" t="s">
        <v>214</v>
      </c>
      <c r="B1752" t="s">
        <v>215</v>
      </c>
      <c r="C1752">
        <v>163</v>
      </c>
      <c r="D1752" t="s">
        <v>161</v>
      </c>
      <c r="E1752" s="1">
        <v>42894</v>
      </c>
      <c r="F1752" t="s">
        <v>17</v>
      </c>
      <c r="G1752" t="s">
        <v>841</v>
      </c>
      <c r="H1752">
        <v>1</v>
      </c>
      <c r="I1752" t="s">
        <v>37</v>
      </c>
      <c r="J1752">
        <v>0</v>
      </c>
      <c r="K1752">
        <v>0</v>
      </c>
      <c r="L1752" t="s">
        <v>375</v>
      </c>
      <c r="M1752" t="s">
        <v>241</v>
      </c>
      <c r="N1752" t="s">
        <v>842</v>
      </c>
    </row>
    <row r="1753" spans="1:17" x14ac:dyDescent="0.15">
      <c r="A1753" t="s">
        <v>214</v>
      </c>
      <c r="B1753" t="s">
        <v>215</v>
      </c>
      <c r="C1753">
        <v>163</v>
      </c>
      <c r="D1753" t="s">
        <v>161</v>
      </c>
      <c r="E1753" s="1">
        <v>42894</v>
      </c>
      <c r="F1753" t="s">
        <v>17</v>
      </c>
      <c r="G1753" t="s">
        <v>841</v>
      </c>
      <c r="H1753">
        <v>1</v>
      </c>
      <c r="I1753" t="s">
        <v>37</v>
      </c>
      <c r="J1753">
        <v>0</v>
      </c>
      <c r="K1753">
        <v>0</v>
      </c>
      <c r="L1753" t="s">
        <v>375</v>
      </c>
      <c r="M1753" t="s">
        <v>1910</v>
      </c>
      <c r="N1753" t="s">
        <v>842</v>
      </c>
      <c r="O1753">
        <v>0</v>
      </c>
      <c r="P1753">
        <v>0</v>
      </c>
      <c r="Q1753" t="s">
        <v>381</v>
      </c>
    </row>
    <row r="1754" spans="1:17" x14ac:dyDescent="0.15">
      <c r="A1754" t="s">
        <v>214</v>
      </c>
      <c r="B1754" t="s">
        <v>215</v>
      </c>
      <c r="C1754">
        <v>163</v>
      </c>
      <c r="D1754" t="s">
        <v>161</v>
      </c>
      <c r="E1754" s="1">
        <v>42894</v>
      </c>
      <c r="F1754" t="s">
        <v>936</v>
      </c>
      <c r="G1754" t="s">
        <v>944</v>
      </c>
      <c r="H1754">
        <v>-1</v>
      </c>
      <c r="I1754" t="s">
        <v>37</v>
      </c>
      <c r="J1754">
        <v>0</v>
      </c>
      <c r="M1754" t="s">
        <v>241</v>
      </c>
      <c r="N1754" t="s">
        <v>945</v>
      </c>
    </row>
    <row r="1755" spans="1:17" x14ac:dyDescent="0.15">
      <c r="A1755" t="s">
        <v>214</v>
      </c>
      <c r="B1755" t="s">
        <v>215</v>
      </c>
      <c r="C1755">
        <v>163</v>
      </c>
      <c r="D1755" t="s">
        <v>161</v>
      </c>
      <c r="E1755" s="1">
        <v>42894</v>
      </c>
      <c r="F1755" t="s">
        <v>936</v>
      </c>
      <c r="G1755" t="s">
        <v>944</v>
      </c>
      <c r="H1755">
        <v>-1</v>
      </c>
      <c r="I1755" t="s">
        <v>37</v>
      </c>
      <c r="J1755">
        <v>0</v>
      </c>
      <c r="M1755" t="s">
        <v>1910</v>
      </c>
      <c r="N1755" t="s">
        <v>945</v>
      </c>
      <c r="O1755">
        <v>0</v>
      </c>
      <c r="P1755">
        <v>0</v>
      </c>
      <c r="Q1755" t="s">
        <v>381</v>
      </c>
    </row>
    <row r="1756" spans="1:17" x14ac:dyDescent="0.15">
      <c r="A1756" t="s">
        <v>214</v>
      </c>
      <c r="B1756" t="s">
        <v>215</v>
      </c>
      <c r="C1756">
        <v>163</v>
      </c>
      <c r="D1756" t="s">
        <v>161</v>
      </c>
      <c r="E1756" s="1">
        <v>42916</v>
      </c>
      <c r="F1756" t="s">
        <v>936</v>
      </c>
      <c r="G1756" t="s">
        <v>944</v>
      </c>
      <c r="H1756">
        <v>-1</v>
      </c>
      <c r="I1756" t="s">
        <v>37</v>
      </c>
      <c r="J1756">
        <v>0</v>
      </c>
      <c r="M1756" t="s">
        <v>241</v>
      </c>
      <c r="N1756" t="s">
        <v>946</v>
      </c>
    </row>
    <row r="1757" spans="1:17" x14ac:dyDescent="0.15">
      <c r="A1757" t="s">
        <v>214</v>
      </c>
      <c r="B1757" t="s">
        <v>215</v>
      </c>
      <c r="C1757">
        <v>163</v>
      </c>
      <c r="D1757" t="s">
        <v>161</v>
      </c>
      <c r="E1757" s="1">
        <v>42916</v>
      </c>
      <c r="F1757" t="s">
        <v>936</v>
      </c>
      <c r="G1757" t="s">
        <v>944</v>
      </c>
      <c r="H1757">
        <v>-1</v>
      </c>
      <c r="I1757" t="s">
        <v>37</v>
      </c>
      <c r="J1757">
        <v>0</v>
      </c>
      <c r="M1757" t="s">
        <v>1910</v>
      </c>
      <c r="N1757" t="s">
        <v>946</v>
      </c>
      <c r="O1757">
        <v>0</v>
      </c>
      <c r="P1757">
        <v>0</v>
      </c>
      <c r="Q1757" t="s">
        <v>381</v>
      </c>
    </row>
    <row r="1758" spans="1:17" x14ac:dyDescent="0.15">
      <c r="A1758" t="s">
        <v>214</v>
      </c>
      <c r="B1758" t="s">
        <v>215</v>
      </c>
      <c r="C1758">
        <v>163</v>
      </c>
      <c r="D1758" t="s">
        <v>161</v>
      </c>
      <c r="E1758" s="1">
        <v>42930</v>
      </c>
      <c r="F1758" t="s">
        <v>17</v>
      </c>
      <c r="G1758" t="s">
        <v>1526</v>
      </c>
      <c r="H1758">
        <v>1</v>
      </c>
      <c r="I1758" t="s">
        <v>37</v>
      </c>
      <c r="J1758">
        <v>0</v>
      </c>
      <c r="K1758">
        <v>0</v>
      </c>
      <c r="M1758" t="s">
        <v>241</v>
      </c>
      <c r="N1758" t="s">
        <v>1527</v>
      </c>
    </row>
    <row r="1759" spans="1:17" x14ac:dyDescent="0.15">
      <c r="A1759" t="s">
        <v>214</v>
      </c>
      <c r="B1759" t="s">
        <v>215</v>
      </c>
      <c r="C1759">
        <v>163</v>
      </c>
      <c r="D1759" t="s">
        <v>161</v>
      </c>
      <c r="E1759" s="1">
        <v>42930</v>
      </c>
      <c r="F1759" t="s">
        <v>17</v>
      </c>
      <c r="G1759" t="s">
        <v>1526</v>
      </c>
      <c r="H1759">
        <v>1</v>
      </c>
      <c r="I1759" t="s">
        <v>37</v>
      </c>
      <c r="J1759">
        <v>0</v>
      </c>
      <c r="K1759">
        <v>0</v>
      </c>
      <c r="M1759" t="s">
        <v>1910</v>
      </c>
      <c r="N1759" t="s">
        <v>1527</v>
      </c>
      <c r="O1759">
        <v>0</v>
      </c>
      <c r="P1759">
        <v>0</v>
      </c>
      <c r="Q1759" t="s">
        <v>381</v>
      </c>
    </row>
    <row r="1760" spans="1:17" x14ac:dyDescent="0.15">
      <c r="A1760" t="s">
        <v>214</v>
      </c>
      <c r="B1760" t="s">
        <v>215</v>
      </c>
      <c r="C1760">
        <v>163</v>
      </c>
      <c r="D1760" t="s">
        <v>161</v>
      </c>
      <c r="E1760" s="1">
        <v>42930</v>
      </c>
      <c r="F1760" t="s">
        <v>936</v>
      </c>
      <c r="G1760" t="s">
        <v>1902</v>
      </c>
      <c r="H1760">
        <v>-1</v>
      </c>
      <c r="I1760" t="s">
        <v>37</v>
      </c>
      <c r="J1760">
        <v>0</v>
      </c>
      <c r="M1760" t="s">
        <v>241</v>
      </c>
      <c r="N1760" t="s">
        <v>1903</v>
      </c>
    </row>
    <row r="1761" spans="1:17" x14ac:dyDescent="0.15">
      <c r="A1761" t="s">
        <v>214</v>
      </c>
      <c r="B1761" t="s">
        <v>215</v>
      </c>
      <c r="C1761">
        <v>163</v>
      </c>
      <c r="D1761" t="s">
        <v>161</v>
      </c>
      <c r="E1761" s="1">
        <v>42930</v>
      </c>
      <c r="F1761" t="s">
        <v>936</v>
      </c>
      <c r="G1761" t="s">
        <v>1902</v>
      </c>
      <c r="H1761">
        <v>-1</v>
      </c>
      <c r="I1761" t="s">
        <v>37</v>
      </c>
      <c r="J1761">
        <v>0</v>
      </c>
      <c r="M1761" t="s">
        <v>1910</v>
      </c>
      <c r="N1761" t="s">
        <v>1903</v>
      </c>
      <c r="O1761">
        <v>0</v>
      </c>
      <c r="P1761">
        <v>0</v>
      </c>
      <c r="Q1761" t="s">
        <v>381</v>
      </c>
    </row>
    <row r="1762" spans="1:17" x14ac:dyDescent="0.15">
      <c r="A1762" t="s">
        <v>214</v>
      </c>
      <c r="B1762" t="s">
        <v>215</v>
      </c>
      <c r="C1762">
        <v>163</v>
      </c>
      <c r="D1762" t="s">
        <v>161</v>
      </c>
      <c r="E1762" s="1">
        <v>42976</v>
      </c>
      <c r="F1762" t="s">
        <v>17</v>
      </c>
      <c r="G1762" t="s">
        <v>1571</v>
      </c>
      <c r="H1762">
        <v>-1</v>
      </c>
      <c r="I1762" t="s">
        <v>37</v>
      </c>
      <c r="J1762">
        <v>0</v>
      </c>
      <c r="K1762">
        <v>0</v>
      </c>
      <c r="M1762" t="s">
        <v>241</v>
      </c>
      <c r="N1762" t="s">
        <v>1572</v>
      </c>
    </row>
    <row r="1763" spans="1:17" x14ac:dyDescent="0.15">
      <c r="A1763" t="s">
        <v>214</v>
      </c>
      <c r="B1763" t="s">
        <v>215</v>
      </c>
      <c r="C1763">
        <v>163</v>
      </c>
      <c r="D1763" t="s">
        <v>161</v>
      </c>
      <c r="E1763" s="1">
        <v>42976</v>
      </c>
      <c r="F1763" t="s">
        <v>17</v>
      </c>
      <c r="G1763" t="s">
        <v>1571</v>
      </c>
      <c r="H1763">
        <v>-1</v>
      </c>
      <c r="I1763" t="s">
        <v>37</v>
      </c>
      <c r="J1763">
        <v>0</v>
      </c>
      <c r="K1763">
        <v>0</v>
      </c>
      <c r="M1763" t="s">
        <v>1910</v>
      </c>
      <c r="N1763" t="s">
        <v>1572</v>
      </c>
      <c r="O1763">
        <v>0</v>
      </c>
      <c r="P1763">
        <v>0</v>
      </c>
      <c r="Q1763" t="s">
        <v>381</v>
      </c>
    </row>
    <row r="1764" spans="1:17" x14ac:dyDescent="0.15">
      <c r="A1764" t="s">
        <v>214</v>
      </c>
      <c r="B1764" t="s">
        <v>215</v>
      </c>
      <c r="C1764">
        <v>163</v>
      </c>
      <c r="D1764" t="s">
        <v>161</v>
      </c>
      <c r="E1764" s="1">
        <v>42976</v>
      </c>
      <c r="F1764" t="s">
        <v>17</v>
      </c>
      <c r="G1764" t="s">
        <v>1573</v>
      </c>
      <c r="H1764">
        <v>1</v>
      </c>
      <c r="I1764" t="s">
        <v>37</v>
      </c>
      <c r="J1764">
        <v>0</v>
      </c>
      <c r="K1764">
        <v>0</v>
      </c>
      <c r="M1764" t="s">
        <v>241</v>
      </c>
      <c r="N1764" t="s">
        <v>1574</v>
      </c>
    </row>
    <row r="1765" spans="1:17" x14ac:dyDescent="0.15">
      <c r="A1765" t="s">
        <v>214</v>
      </c>
      <c r="B1765" t="s">
        <v>215</v>
      </c>
      <c r="C1765">
        <v>163</v>
      </c>
      <c r="D1765" t="s">
        <v>161</v>
      </c>
      <c r="E1765" s="1">
        <v>42976</v>
      </c>
      <c r="F1765" t="s">
        <v>17</v>
      </c>
      <c r="G1765" t="s">
        <v>1573</v>
      </c>
      <c r="H1765">
        <v>1</v>
      </c>
      <c r="I1765" t="s">
        <v>37</v>
      </c>
      <c r="J1765">
        <v>0</v>
      </c>
      <c r="K1765">
        <v>0</v>
      </c>
      <c r="M1765" t="s">
        <v>1910</v>
      </c>
      <c r="N1765" t="s">
        <v>1574</v>
      </c>
      <c r="O1765">
        <v>0</v>
      </c>
      <c r="P1765">
        <v>0</v>
      </c>
      <c r="Q1765" t="s">
        <v>381</v>
      </c>
    </row>
    <row r="1766" spans="1:17" x14ac:dyDescent="0.15">
      <c r="A1766" t="s">
        <v>214</v>
      </c>
      <c r="B1766" t="s">
        <v>215</v>
      </c>
      <c r="C1766">
        <v>163</v>
      </c>
      <c r="D1766" t="s">
        <v>161</v>
      </c>
      <c r="E1766" s="1">
        <v>42976</v>
      </c>
      <c r="F1766" t="s">
        <v>936</v>
      </c>
      <c r="G1766" t="s">
        <v>1902</v>
      </c>
      <c r="H1766">
        <v>1</v>
      </c>
      <c r="I1766" t="s">
        <v>37</v>
      </c>
      <c r="J1766">
        <v>0</v>
      </c>
      <c r="M1766" t="s">
        <v>241</v>
      </c>
      <c r="N1766" t="s">
        <v>1904</v>
      </c>
    </row>
    <row r="1767" spans="1:17" x14ac:dyDescent="0.15">
      <c r="A1767" t="s">
        <v>214</v>
      </c>
      <c r="B1767" t="s">
        <v>215</v>
      </c>
      <c r="C1767">
        <v>163</v>
      </c>
      <c r="D1767" t="s">
        <v>161</v>
      </c>
      <c r="E1767" s="1">
        <v>42976</v>
      </c>
      <c r="F1767" t="s">
        <v>936</v>
      </c>
      <c r="G1767" t="s">
        <v>1902</v>
      </c>
      <c r="H1767">
        <v>1</v>
      </c>
      <c r="I1767" t="s">
        <v>37</v>
      </c>
      <c r="J1767">
        <v>0</v>
      </c>
      <c r="M1767" t="s">
        <v>1910</v>
      </c>
      <c r="N1767" t="s">
        <v>1904</v>
      </c>
      <c r="O1767">
        <v>0</v>
      </c>
      <c r="P1767">
        <v>0</v>
      </c>
      <c r="Q1767" t="s">
        <v>381</v>
      </c>
    </row>
    <row r="1768" spans="1:17" x14ac:dyDescent="0.15">
      <c r="A1768" t="s">
        <v>214</v>
      </c>
      <c r="B1768" t="s">
        <v>215</v>
      </c>
      <c r="C1768">
        <v>163</v>
      </c>
      <c r="D1768" t="s">
        <v>161</v>
      </c>
      <c r="E1768" s="1">
        <v>42976</v>
      </c>
      <c r="F1768" t="s">
        <v>936</v>
      </c>
      <c r="G1768" t="s">
        <v>1902</v>
      </c>
      <c r="H1768">
        <v>-1</v>
      </c>
      <c r="I1768" t="s">
        <v>37</v>
      </c>
      <c r="J1768">
        <v>0</v>
      </c>
      <c r="M1768" t="s">
        <v>241</v>
      </c>
      <c r="N1768" t="s">
        <v>1905</v>
      </c>
    </row>
    <row r="1769" spans="1:17" x14ac:dyDescent="0.15">
      <c r="A1769" t="s">
        <v>214</v>
      </c>
      <c r="B1769" t="s">
        <v>215</v>
      </c>
      <c r="C1769">
        <v>163</v>
      </c>
      <c r="D1769" t="s">
        <v>161</v>
      </c>
      <c r="E1769" s="1">
        <v>42976</v>
      </c>
      <c r="F1769" t="s">
        <v>936</v>
      </c>
      <c r="G1769" t="s">
        <v>1902</v>
      </c>
      <c r="H1769">
        <v>-1</v>
      </c>
      <c r="I1769" t="s">
        <v>37</v>
      </c>
      <c r="J1769">
        <v>0</v>
      </c>
      <c r="M1769" t="s">
        <v>1910</v>
      </c>
      <c r="N1769" t="s">
        <v>1905</v>
      </c>
      <c r="O1769">
        <v>0</v>
      </c>
      <c r="P1769">
        <v>0</v>
      </c>
      <c r="Q1769" t="s">
        <v>381</v>
      </c>
    </row>
    <row r="1770" spans="1:17" x14ac:dyDescent="0.15">
      <c r="A1770" t="s">
        <v>214</v>
      </c>
      <c r="B1770" t="s">
        <v>215</v>
      </c>
      <c r="C1770">
        <v>163</v>
      </c>
      <c r="D1770" t="s">
        <v>161</v>
      </c>
      <c r="E1770" s="1">
        <v>43069</v>
      </c>
      <c r="F1770" t="s">
        <v>17</v>
      </c>
      <c r="G1770" t="s">
        <v>1694</v>
      </c>
      <c r="H1770">
        <v>1</v>
      </c>
      <c r="I1770" t="s">
        <v>37</v>
      </c>
      <c r="J1770">
        <v>0</v>
      </c>
      <c r="K1770">
        <v>0</v>
      </c>
      <c r="M1770" t="s">
        <v>241</v>
      </c>
      <c r="N1770" t="s">
        <v>1695</v>
      </c>
    </row>
    <row r="1771" spans="1:17" x14ac:dyDescent="0.15">
      <c r="A1771" t="s">
        <v>214</v>
      </c>
      <c r="B1771" t="s">
        <v>215</v>
      </c>
      <c r="C1771">
        <v>163</v>
      </c>
      <c r="D1771" t="s">
        <v>161</v>
      </c>
      <c r="E1771" s="1">
        <v>43069</v>
      </c>
      <c r="F1771" t="s">
        <v>17</v>
      </c>
      <c r="G1771" t="s">
        <v>1694</v>
      </c>
      <c r="H1771">
        <v>1</v>
      </c>
      <c r="I1771" t="s">
        <v>37</v>
      </c>
      <c r="J1771">
        <v>0</v>
      </c>
      <c r="K1771">
        <v>0</v>
      </c>
      <c r="M1771" t="s">
        <v>1910</v>
      </c>
      <c r="N1771" t="s">
        <v>1695</v>
      </c>
      <c r="O1771">
        <v>0</v>
      </c>
      <c r="P1771">
        <v>0</v>
      </c>
      <c r="Q1771" t="s">
        <v>381</v>
      </c>
    </row>
    <row r="1772" spans="1:17" x14ac:dyDescent="0.15">
      <c r="A1772" t="s">
        <v>214</v>
      </c>
      <c r="B1772" t="s">
        <v>215</v>
      </c>
      <c r="C1772">
        <v>163</v>
      </c>
      <c r="D1772" t="s">
        <v>161</v>
      </c>
      <c r="E1772" s="1">
        <v>43069</v>
      </c>
      <c r="F1772" t="s">
        <v>936</v>
      </c>
      <c r="G1772" t="s">
        <v>1906</v>
      </c>
      <c r="H1772">
        <v>-1</v>
      </c>
      <c r="I1772" t="s">
        <v>37</v>
      </c>
      <c r="J1772">
        <v>0</v>
      </c>
      <c r="M1772" t="s">
        <v>241</v>
      </c>
      <c r="N1772" t="s">
        <v>1907</v>
      </c>
    </row>
    <row r="1773" spans="1:17" x14ac:dyDescent="0.15">
      <c r="A1773" t="s">
        <v>214</v>
      </c>
      <c r="B1773" t="s">
        <v>215</v>
      </c>
      <c r="C1773">
        <v>163</v>
      </c>
      <c r="D1773" t="s">
        <v>161</v>
      </c>
      <c r="E1773" s="1">
        <v>43069</v>
      </c>
      <c r="F1773" t="s">
        <v>936</v>
      </c>
      <c r="G1773" t="s">
        <v>1906</v>
      </c>
      <c r="H1773">
        <v>-1</v>
      </c>
      <c r="I1773" t="s">
        <v>37</v>
      </c>
      <c r="J1773">
        <v>0</v>
      </c>
      <c r="M1773" t="s">
        <v>1910</v>
      </c>
      <c r="N1773" t="s">
        <v>1907</v>
      </c>
      <c r="O1773">
        <v>0</v>
      </c>
      <c r="P1773">
        <v>0</v>
      </c>
      <c r="Q1773" t="s">
        <v>381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1092"/>
  <sheetViews>
    <sheetView workbookViewId="0">
      <selection activeCell="A8" sqref="A8:N8"/>
    </sheetView>
  </sheetViews>
  <sheetFormatPr defaultRowHeight="13.5" x14ac:dyDescent="0.15"/>
  <cols>
    <col min="1" max="1" width="14.375" customWidth="1"/>
    <col min="2" max="2" width="11.625" customWidth="1"/>
    <col min="3" max="3" width="14.375" customWidth="1"/>
    <col min="4" max="4" width="34.875" customWidth="1"/>
    <col min="5" max="5" width="6.75" customWidth="1"/>
    <col min="6" max="6" width="13.625" customWidth="1"/>
    <col min="7" max="7" width="14.875" customWidth="1"/>
    <col min="8" max="8" width="15.75" customWidth="1"/>
    <col min="9" max="9" width="11" customWidth="1"/>
    <col min="10" max="10" width="7.125" customWidth="1"/>
    <col min="11" max="11" width="10.125" customWidth="1"/>
    <col min="12" max="12" width="21.125" customWidth="1"/>
    <col min="13" max="13" width="11.125" customWidth="1"/>
    <col min="14" max="14" width="28.75" customWidth="1"/>
    <col min="15" max="15" width="13.625" bestFit="1" customWidth="1"/>
  </cols>
  <sheetData>
    <row r="1" spans="1:14" ht="22.5" x14ac:dyDescent="0.25">
      <c r="A1" s="2" t="s">
        <v>14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 x14ac:dyDescent="0.15">
      <c r="A2" s="3" t="s">
        <v>8</v>
      </c>
      <c r="B2" s="3" t="s">
        <v>9</v>
      </c>
      <c r="C2" s="3" t="s">
        <v>6</v>
      </c>
      <c r="D2" s="3" t="s">
        <v>30</v>
      </c>
      <c r="E2" s="3" t="s">
        <v>49</v>
      </c>
      <c r="F2" s="3" t="s">
        <v>50</v>
      </c>
      <c r="G2" s="5" t="s">
        <v>10</v>
      </c>
      <c r="H2" s="5" t="s">
        <v>11</v>
      </c>
      <c r="I2" s="3" t="s">
        <v>12</v>
      </c>
      <c r="J2" s="3" t="s">
        <v>36</v>
      </c>
      <c r="K2" s="3" t="s">
        <v>7</v>
      </c>
      <c r="L2" s="3" t="s">
        <v>152</v>
      </c>
      <c r="M2" s="3" t="s">
        <v>45</v>
      </c>
      <c r="N2" s="3" t="s">
        <v>92</v>
      </c>
    </row>
    <row r="3" spans="1:14" x14ac:dyDescent="0.15">
      <c r="A3" s="8" t="s">
        <v>383</v>
      </c>
      <c r="B3" s="8" t="s">
        <v>384</v>
      </c>
      <c r="C3" s="8" t="s">
        <v>67</v>
      </c>
      <c r="D3" s="8" t="s">
        <v>162</v>
      </c>
      <c r="E3" s="8" t="s">
        <v>160</v>
      </c>
      <c r="F3" s="8" t="s">
        <v>161</v>
      </c>
      <c r="G3" s="6">
        <v>42871</v>
      </c>
      <c r="H3" s="6">
        <v>42877</v>
      </c>
      <c r="I3" s="4">
        <v>-280</v>
      </c>
      <c r="J3" s="8" t="s">
        <v>37</v>
      </c>
      <c r="K3" s="8" t="s">
        <v>385</v>
      </c>
      <c r="L3" s="4"/>
      <c r="M3" s="4"/>
      <c r="N3" s="4"/>
    </row>
    <row r="4" spans="1:14" x14ac:dyDescent="0.15">
      <c r="A4" s="8" t="s">
        <v>383</v>
      </c>
      <c r="B4" s="8" t="s">
        <v>386</v>
      </c>
      <c r="C4" s="8" t="s">
        <v>19</v>
      </c>
      <c r="D4" s="8" t="s">
        <v>35</v>
      </c>
      <c r="E4" s="8" t="s">
        <v>160</v>
      </c>
      <c r="F4" s="8" t="s">
        <v>161</v>
      </c>
      <c r="G4" s="6">
        <v>42871</v>
      </c>
      <c r="H4" s="6">
        <v>42877</v>
      </c>
      <c r="I4" s="4">
        <v>-1</v>
      </c>
      <c r="J4" s="8" t="s">
        <v>37</v>
      </c>
      <c r="K4" s="8" t="s">
        <v>387</v>
      </c>
      <c r="L4" s="4"/>
      <c r="M4" s="4"/>
      <c r="N4" s="4"/>
    </row>
    <row r="5" spans="1:14" x14ac:dyDescent="0.15">
      <c r="A5" s="8" t="s">
        <v>383</v>
      </c>
      <c r="B5" s="8" t="s">
        <v>388</v>
      </c>
      <c r="C5" s="8" t="s">
        <v>23</v>
      </c>
      <c r="D5" s="8" t="s">
        <v>159</v>
      </c>
      <c r="E5" s="8" t="s">
        <v>160</v>
      </c>
      <c r="F5" s="8" t="s">
        <v>161</v>
      </c>
      <c r="G5" s="6">
        <v>42828</v>
      </c>
      <c r="H5" s="6">
        <v>42832</v>
      </c>
      <c r="I5" s="4">
        <v>-336</v>
      </c>
      <c r="J5" s="8" t="s">
        <v>37</v>
      </c>
      <c r="K5" s="8" t="s">
        <v>389</v>
      </c>
      <c r="L5" s="4"/>
      <c r="M5" s="4"/>
      <c r="N5" s="4"/>
    </row>
    <row r="6" spans="1:14" x14ac:dyDescent="0.15">
      <c r="A6" s="8" t="s">
        <v>383</v>
      </c>
      <c r="B6" s="8" t="s">
        <v>388</v>
      </c>
      <c r="C6" s="8" t="s">
        <v>67</v>
      </c>
      <c r="D6" s="8" t="s">
        <v>162</v>
      </c>
      <c r="E6" s="8" t="s">
        <v>160</v>
      </c>
      <c r="F6" s="8" t="s">
        <v>161</v>
      </c>
      <c r="G6" s="6">
        <v>42828</v>
      </c>
      <c r="H6" s="6">
        <v>42832</v>
      </c>
      <c r="I6" s="4">
        <v>-112</v>
      </c>
      <c r="J6" s="8" t="s">
        <v>37</v>
      </c>
      <c r="K6" s="8" t="s">
        <v>390</v>
      </c>
      <c r="L6" s="4"/>
      <c r="M6" s="4"/>
      <c r="N6" s="4"/>
    </row>
    <row r="7" spans="1:14" x14ac:dyDescent="0.15">
      <c r="A7" s="8" t="s">
        <v>383</v>
      </c>
      <c r="B7" s="8" t="s">
        <v>388</v>
      </c>
      <c r="C7" s="8" t="s">
        <v>28</v>
      </c>
      <c r="D7" s="8" t="s">
        <v>202</v>
      </c>
      <c r="E7" s="8" t="s">
        <v>160</v>
      </c>
      <c r="F7" s="8" t="s">
        <v>161</v>
      </c>
      <c r="G7" s="6">
        <v>42828</v>
      </c>
      <c r="H7" s="6">
        <v>42832</v>
      </c>
      <c r="I7" s="4">
        <v>-23</v>
      </c>
      <c r="J7" s="8" t="s">
        <v>37</v>
      </c>
      <c r="K7" s="8" t="s">
        <v>391</v>
      </c>
      <c r="L7" s="4"/>
      <c r="M7" s="4"/>
      <c r="N7" s="4"/>
    </row>
    <row r="8" spans="1:14" x14ac:dyDescent="0.15">
      <c r="A8" s="8" t="s">
        <v>383</v>
      </c>
      <c r="B8" s="8" t="s">
        <v>392</v>
      </c>
      <c r="C8" s="8" t="s">
        <v>19</v>
      </c>
      <c r="D8" s="8" t="s">
        <v>35</v>
      </c>
      <c r="E8" s="8" t="s">
        <v>160</v>
      </c>
      <c r="F8" s="8" t="s">
        <v>161</v>
      </c>
      <c r="G8" s="6">
        <v>42832</v>
      </c>
      <c r="H8" s="6">
        <v>42832</v>
      </c>
      <c r="I8" s="4">
        <v>-1</v>
      </c>
      <c r="J8" s="8" t="s">
        <v>37</v>
      </c>
      <c r="K8" s="8" t="s">
        <v>393</v>
      </c>
      <c r="L8" s="4"/>
      <c r="M8" s="4"/>
      <c r="N8" s="4"/>
    </row>
    <row r="9" spans="1:14" x14ac:dyDescent="0.15">
      <c r="A9" s="8" t="s">
        <v>383</v>
      </c>
      <c r="B9" s="8" t="s">
        <v>394</v>
      </c>
      <c r="C9" s="8" t="s">
        <v>23</v>
      </c>
      <c r="D9" s="8" t="s">
        <v>159</v>
      </c>
      <c r="E9" s="8" t="s">
        <v>160</v>
      </c>
      <c r="F9" s="8" t="s">
        <v>161</v>
      </c>
      <c r="G9" s="6">
        <v>42863</v>
      </c>
      <c r="H9" s="6">
        <v>42863</v>
      </c>
      <c r="I9" s="4">
        <v>-126</v>
      </c>
      <c r="J9" s="8" t="s">
        <v>37</v>
      </c>
      <c r="K9" s="8" t="s">
        <v>395</v>
      </c>
      <c r="L9" s="4"/>
      <c r="M9" s="4"/>
      <c r="N9" s="4"/>
    </row>
    <row r="10" spans="1:14" x14ac:dyDescent="0.15">
      <c r="A10" s="8" t="s">
        <v>383</v>
      </c>
      <c r="B10" s="8" t="s">
        <v>394</v>
      </c>
      <c r="C10" s="8" t="s">
        <v>67</v>
      </c>
      <c r="D10" s="8" t="s">
        <v>162</v>
      </c>
      <c r="E10" s="8" t="s">
        <v>160</v>
      </c>
      <c r="F10" s="8" t="s">
        <v>161</v>
      </c>
      <c r="G10" s="6">
        <v>42863</v>
      </c>
      <c r="H10" s="6">
        <v>42863</v>
      </c>
      <c r="I10" s="4">
        <v>-280</v>
      </c>
      <c r="J10" s="8" t="s">
        <v>37</v>
      </c>
      <c r="K10" s="8" t="s">
        <v>396</v>
      </c>
      <c r="L10" s="4"/>
      <c r="M10" s="4"/>
      <c r="N10" s="4"/>
    </row>
    <row r="11" spans="1:14" x14ac:dyDescent="0.15">
      <c r="A11" s="8" t="s">
        <v>383</v>
      </c>
      <c r="B11" s="8" t="s">
        <v>397</v>
      </c>
      <c r="C11" s="8" t="s">
        <v>19</v>
      </c>
      <c r="D11" s="8" t="s">
        <v>35</v>
      </c>
      <c r="E11" s="8" t="s">
        <v>160</v>
      </c>
      <c r="F11" s="8" t="s">
        <v>161</v>
      </c>
      <c r="G11" s="6">
        <v>42863</v>
      </c>
      <c r="H11" s="6">
        <v>42863</v>
      </c>
      <c r="I11" s="4">
        <v>-1</v>
      </c>
      <c r="J11" s="8" t="s">
        <v>37</v>
      </c>
      <c r="K11" s="8" t="s">
        <v>398</v>
      </c>
      <c r="L11" s="4"/>
      <c r="M11" s="4"/>
      <c r="N11" s="4"/>
    </row>
    <row r="12" spans="1:14" x14ac:dyDescent="0.15">
      <c r="A12" s="8" t="s">
        <v>383</v>
      </c>
      <c r="B12" s="8" t="s">
        <v>399</v>
      </c>
      <c r="C12" s="8" t="s">
        <v>23</v>
      </c>
      <c r="D12" s="8" t="s">
        <v>159</v>
      </c>
      <c r="E12" s="8" t="s">
        <v>160</v>
      </c>
      <c r="F12" s="8" t="s">
        <v>161</v>
      </c>
      <c r="G12" s="6">
        <v>42908</v>
      </c>
      <c r="H12" s="6">
        <v>42913</v>
      </c>
      <c r="I12" s="4">
        <v>-420</v>
      </c>
      <c r="J12" s="8" t="s">
        <v>37</v>
      </c>
      <c r="K12" s="8" t="s">
        <v>400</v>
      </c>
      <c r="L12" s="4"/>
      <c r="M12" s="4"/>
      <c r="N12" s="4"/>
    </row>
    <row r="13" spans="1:14" x14ac:dyDescent="0.15">
      <c r="A13" s="8" t="s">
        <v>383</v>
      </c>
      <c r="B13" s="8" t="s">
        <v>401</v>
      </c>
      <c r="C13" s="8" t="s">
        <v>19</v>
      </c>
      <c r="D13" s="8" t="s">
        <v>35</v>
      </c>
      <c r="E13" s="8" t="s">
        <v>160</v>
      </c>
      <c r="F13" s="8" t="s">
        <v>161</v>
      </c>
      <c r="G13" s="6">
        <v>42913</v>
      </c>
      <c r="H13" s="6">
        <v>42913</v>
      </c>
      <c r="I13" s="4">
        <v>-1</v>
      </c>
      <c r="J13" s="8" t="s">
        <v>37</v>
      </c>
      <c r="K13" s="8" t="s">
        <v>402</v>
      </c>
      <c r="L13" s="4"/>
      <c r="M13" s="4"/>
      <c r="N13" s="4"/>
    </row>
    <row r="14" spans="1:14" x14ac:dyDescent="0.15">
      <c r="A14" s="8" t="s">
        <v>383</v>
      </c>
      <c r="B14" s="8" t="s">
        <v>957</v>
      </c>
      <c r="C14" s="8" t="s">
        <v>23</v>
      </c>
      <c r="D14" s="8" t="s">
        <v>159</v>
      </c>
      <c r="E14" s="8" t="s">
        <v>160</v>
      </c>
      <c r="F14" s="8" t="s">
        <v>161</v>
      </c>
      <c r="G14" s="6">
        <v>42984</v>
      </c>
      <c r="H14" s="6">
        <v>42985</v>
      </c>
      <c r="I14" s="4">
        <v>-420</v>
      </c>
      <c r="J14" s="8" t="s">
        <v>37</v>
      </c>
      <c r="K14" s="8" t="s">
        <v>958</v>
      </c>
      <c r="L14" s="4"/>
      <c r="M14" s="4"/>
      <c r="N14" s="4"/>
    </row>
    <row r="15" spans="1:14" x14ac:dyDescent="0.15">
      <c r="A15" s="8" t="s">
        <v>383</v>
      </c>
      <c r="B15" s="8" t="s">
        <v>957</v>
      </c>
      <c r="C15" s="8" t="s">
        <v>67</v>
      </c>
      <c r="D15" s="8" t="s">
        <v>162</v>
      </c>
      <c r="E15" s="8" t="s">
        <v>160</v>
      </c>
      <c r="F15" s="8" t="s">
        <v>161</v>
      </c>
      <c r="G15" s="6">
        <v>42984</v>
      </c>
      <c r="H15" s="6">
        <v>42985</v>
      </c>
      <c r="I15" s="4">
        <v>-224</v>
      </c>
      <c r="J15" s="8" t="s">
        <v>37</v>
      </c>
      <c r="K15" s="8" t="s">
        <v>959</v>
      </c>
      <c r="L15" s="4"/>
      <c r="M15" s="4"/>
      <c r="N15" s="4"/>
    </row>
    <row r="16" spans="1:14" x14ac:dyDescent="0.15">
      <c r="A16" s="8" t="s">
        <v>383</v>
      </c>
      <c r="B16" s="8" t="s">
        <v>960</v>
      </c>
      <c r="C16" s="8" t="s">
        <v>19</v>
      </c>
      <c r="D16" s="8" t="s">
        <v>35</v>
      </c>
      <c r="E16" s="8" t="s">
        <v>160</v>
      </c>
      <c r="F16" s="8" t="s">
        <v>161</v>
      </c>
      <c r="G16" s="6">
        <v>42985</v>
      </c>
      <c r="H16" s="6">
        <v>42985</v>
      </c>
      <c r="I16" s="4">
        <v>-1</v>
      </c>
      <c r="J16" s="8" t="s">
        <v>37</v>
      </c>
      <c r="K16" s="8" t="s">
        <v>961</v>
      </c>
      <c r="L16" s="4"/>
      <c r="M16" s="4"/>
      <c r="N16" s="4"/>
    </row>
    <row r="17" spans="1:14" x14ac:dyDescent="0.15">
      <c r="A17" s="8" t="s">
        <v>383</v>
      </c>
      <c r="B17" s="8" t="s">
        <v>962</v>
      </c>
      <c r="C17" s="8" t="s">
        <v>23</v>
      </c>
      <c r="D17" s="8" t="s">
        <v>159</v>
      </c>
      <c r="E17" s="8" t="s">
        <v>160</v>
      </c>
      <c r="F17" s="8" t="s">
        <v>161</v>
      </c>
      <c r="G17" s="6">
        <v>43042</v>
      </c>
      <c r="H17" s="6">
        <v>43042</v>
      </c>
      <c r="I17" s="4">
        <v>-336</v>
      </c>
      <c r="J17" s="8" t="s">
        <v>37</v>
      </c>
      <c r="K17" s="8" t="s">
        <v>963</v>
      </c>
      <c r="L17" s="4"/>
      <c r="M17" s="4"/>
      <c r="N17" s="4"/>
    </row>
    <row r="18" spans="1:14" x14ac:dyDescent="0.15">
      <c r="A18" s="8" t="s">
        <v>383</v>
      </c>
      <c r="B18" s="8" t="s">
        <v>962</v>
      </c>
      <c r="C18" s="8" t="s">
        <v>67</v>
      </c>
      <c r="D18" s="8" t="s">
        <v>162</v>
      </c>
      <c r="E18" s="8" t="s">
        <v>160</v>
      </c>
      <c r="F18" s="8" t="s">
        <v>161</v>
      </c>
      <c r="G18" s="6">
        <v>43042</v>
      </c>
      <c r="H18" s="6">
        <v>43042</v>
      </c>
      <c r="I18" s="4">
        <v>-224</v>
      </c>
      <c r="J18" s="8" t="s">
        <v>37</v>
      </c>
      <c r="K18" s="8" t="s">
        <v>964</v>
      </c>
      <c r="L18" s="4"/>
      <c r="M18" s="4"/>
      <c r="N18" s="4"/>
    </row>
    <row r="19" spans="1:14" x14ac:dyDescent="0.15">
      <c r="A19" s="8" t="s">
        <v>383</v>
      </c>
      <c r="B19" s="8" t="s">
        <v>965</v>
      </c>
      <c r="C19" s="8" t="s">
        <v>19</v>
      </c>
      <c r="D19" s="8" t="s">
        <v>35</v>
      </c>
      <c r="E19" s="8" t="s">
        <v>160</v>
      </c>
      <c r="F19" s="8" t="s">
        <v>161</v>
      </c>
      <c r="G19" s="6">
        <v>43042</v>
      </c>
      <c r="H19" s="6">
        <v>43042</v>
      </c>
      <c r="I19" s="4">
        <v>-1</v>
      </c>
      <c r="J19" s="8" t="s">
        <v>37</v>
      </c>
      <c r="K19" s="8" t="s">
        <v>966</v>
      </c>
      <c r="L19" s="4"/>
      <c r="M19" s="4"/>
      <c r="N19" s="4"/>
    </row>
    <row r="20" spans="1:14" x14ac:dyDescent="0.15">
      <c r="A20" s="8" t="s">
        <v>383</v>
      </c>
      <c r="B20" s="8" t="s">
        <v>403</v>
      </c>
      <c r="C20" s="8" t="s">
        <v>67</v>
      </c>
      <c r="D20" s="8" t="s">
        <v>162</v>
      </c>
      <c r="E20" s="8" t="s">
        <v>160</v>
      </c>
      <c r="F20" s="8" t="s">
        <v>161</v>
      </c>
      <c r="G20" s="6">
        <v>42858</v>
      </c>
      <c r="H20" s="6">
        <v>42860</v>
      </c>
      <c r="I20" s="4">
        <v>-112</v>
      </c>
      <c r="J20" s="8" t="s">
        <v>37</v>
      </c>
      <c r="K20" s="8" t="s">
        <v>404</v>
      </c>
      <c r="L20" s="4"/>
      <c r="M20" s="4"/>
      <c r="N20" s="4"/>
    </row>
    <row r="21" spans="1:14" x14ac:dyDescent="0.15">
      <c r="A21" s="8" t="s">
        <v>383</v>
      </c>
      <c r="B21" s="8" t="s">
        <v>405</v>
      </c>
      <c r="C21" s="8" t="s">
        <v>19</v>
      </c>
      <c r="D21" s="8" t="s">
        <v>35</v>
      </c>
      <c r="E21" s="8" t="s">
        <v>160</v>
      </c>
      <c r="F21" s="8" t="s">
        <v>161</v>
      </c>
      <c r="G21" s="6">
        <v>42860</v>
      </c>
      <c r="H21" s="6">
        <v>42860</v>
      </c>
      <c r="I21" s="4">
        <v>-1</v>
      </c>
      <c r="J21" s="8" t="s">
        <v>37</v>
      </c>
      <c r="K21" s="8" t="s">
        <v>406</v>
      </c>
      <c r="L21" s="4"/>
      <c r="M21" s="4"/>
      <c r="N21" s="4"/>
    </row>
    <row r="22" spans="1:14" x14ac:dyDescent="0.15">
      <c r="A22" s="8" t="s">
        <v>383</v>
      </c>
      <c r="B22" s="8" t="s">
        <v>407</v>
      </c>
      <c r="C22" s="8" t="s">
        <v>67</v>
      </c>
      <c r="D22" s="8" t="s">
        <v>162</v>
      </c>
      <c r="E22" s="8" t="s">
        <v>160</v>
      </c>
      <c r="F22" s="8" t="s">
        <v>161</v>
      </c>
      <c r="G22" s="6">
        <v>42885</v>
      </c>
      <c r="H22" s="6">
        <v>42885</v>
      </c>
      <c r="I22" s="4">
        <v>-252</v>
      </c>
      <c r="J22" s="8" t="s">
        <v>37</v>
      </c>
      <c r="K22" s="8" t="s">
        <v>408</v>
      </c>
      <c r="L22" s="4"/>
      <c r="M22" s="4"/>
      <c r="N22" s="4"/>
    </row>
    <row r="23" spans="1:14" x14ac:dyDescent="0.15">
      <c r="A23" s="8" t="s">
        <v>383</v>
      </c>
      <c r="B23" s="8" t="s">
        <v>409</v>
      </c>
      <c r="C23" s="8" t="s">
        <v>19</v>
      </c>
      <c r="D23" s="8" t="s">
        <v>35</v>
      </c>
      <c r="E23" s="8" t="s">
        <v>160</v>
      </c>
      <c r="F23" s="8" t="s">
        <v>161</v>
      </c>
      <c r="G23" s="6">
        <v>42885</v>
      </c>
      <c r="H23" s="6">
        <v>42885</v>
      </c>
      <c r="I23" s="4">
        <v>-1</v>
      </c>
      <c r="J23" s="8" t="s">
        <v>37</v>
      </c>
      <c r="K23" s="8" t="s">
        <v>410</v>
      </c>
      <c r="L23" s="4"/>
      <c r="M23" s="4"/>
      <c r="N23" s="4"/>
    </row>
    <row r="24" spans="1:14" x14ac:dyDescent="0.15">
      <c r="A24" s="8" t="s">
        <v>383</v>
      </c>
      <c r="B24" s="8" t="s">
        <v>967</v>
      </c>
      <c r="C24" s="8" t="s">
        <v>19</v>
      </c>
      <c r="D24" s="8" t="s">
        <v>35</v>
      </c>
      <c r="E24" s="8" t="s">
        <v>160</v>
      </c>
      <c r="F24" s="8" t="s">
        <v>161</v>
      </c>
      <c r="G24" s="6">
        <v>43082</v>
      </c>
      <c r="H24" s="6">
        <v>43082</v>
      </c>
      <c r="I24" s="4">
        <v>-1</v>
      </c>
      <c r="J24" s="8" t="s">
        <v>37</v>
      </c>
      <c r="K24" s="8" t="s">
        <v>968</v>
      </c>
      <c r="L24" s="4"/>
      <c r="M24" s="4"/>
      <c r="N24" s="4"/>
    </row>
    <row r="25" spans="1:14" x14ac:dyDescent="0.15">
      <c r="A25" s="8" t="s">
        <v>383</v>
      </c>
      <c r="B25" s="8" t="s">
        <v>969</v>
      </c>
      <c r="C25" s="8" t="s">
        <v>67</v>
      </c>
      <c r="D25" s="8" t="s">
        <v>162</v>
      </c>
      <c r="E25" s="8" t="s">
        <v>160</v>
      </c>
      <c r="F25" s="8" t="s">
        <v>161</v>
      </c>
      <c r="G25" s="6">
        <v>43081</v>
      </c>
      <c r="H25" s="6">
        <v>43082</v>
      </c>
      <c r="I25" s="4">
        <v>-56</v>
      </c>
      <c r="J25" s="8" t="s">
        <v>37</v>
      </c>
      <c r="K25" s="8" t="s">
        <v>970</v>
      </c>
      <c r="L25" s="4"/>
      <c r="M25" s="4"/>
      <c r="N25" s="4"/>
    </row>
    <row r="26" spans="1:14" x14ac:dyDescent="0.15">
      <c r="A26" s="8" t="s">
        <v>383</v>
      </c>
      <c r="B26" s="8" t="s">
        <v>971</v>
      </c>
      <c r="C26" s="8" t="s">
        <v>19</v>
      </c>
      <c r="D26" s="8" t="s">
        <v>35</v>
      </c>
      <c r="E26" s="8" t="s">
        <v>160</v>
      </c>
      <c r="F26" s="8" t="s">
        <v>161</v>
      </c>
      <c r="G26" s="6">
        <v>43083</v>
      </c>
      <c r="H26" s="6">
        <v>43083</v>
      </c>
      <c r="I26" s="4">
        <v>-1</v>
      </c>
      <c r="J26" s="8" t="s">
        <v>37</v>
      </c>
      <c r="K26" s="8" t="s">
        <v>972</v>
      </c>
      <c r="L26" s="4"/>
      <c r="M26" s="4"/>
      <c r="N26" s="4"/>
    </row>
    <row r="27" spans="1:14" x14ac:dyDescent="0.15">
      <c r="A27" s="8" t="s">
        <v>383</v>
      </c>
      <c r="B27" s="8" t="s">
        <v>411</v>
      </c>
      <c r="C27" s="8" t="s">
        <v>23</v>
      </c>
      <c r="D27" s="8" t="s">
        <v>159</v>
      </c>
      <c r="E27" s="8" t="s">
        <v>160</v>
      </c>
      <c r="F27" s="8" t="s">
        <v>161</v>
      </c>
      <c r="G27" s="6">
        <v>42839</v>
      </c>
      <c r="H27" s="6">
        <v>42846</v>
      </c>
      <c r="I27" s="4">
        <v>-252</v>
      </c>
      <c r="J27" s="8" t="s">
        <v>37</v>
      </c>
      <c r="K27" s="8" t="s">
        <v>412</v>
      </c>
      <c r="L27" s="4"/>
      <c r="M27" s="4"/>
      <c r="N27" s="4"/>
    </row>
    <row r="28" spans="1:14" x14ac:dyDescent="0.15">
      <c r="A28" s="8" t="s">
        <v>383</v>
      </c>
      <c r="B28" s="8" t="s">
        <v>411</v>
      </c>
      <c r="C28" s="8" t="s">
        <v>67</v>
      </c>
      <c r="D28" s="8" t="s">
        <v>162</v>
      </c>
      <c r="E28" s="8" t="s">
        <v>160</v>
      </c>
      <c r="F28" s="8" t="s">
        <v>161</v>
      </c>
      <c r="G28" s="6">
        <v>42839</v>
      </c>
      <c r="H28" s="6">
        <v>42846</v>
      </c>
      <c r="I28" s="4">
        <v>-56</v>
      </c>
      <c r="J28" s="8" t="s">
        <v>37</v>
      </c>
      <c r="K28" s="8" t="s">
        <v>413</v>
      </c>
      <c r="L28" s="4"/>
      <c r="M28" s="4"/>
      <c r="N28" s="4"/>
    </row>
    <row r="29" spans="1:14" x14ac:dyDescent="0.15">
      <c r="A29" s="8" t="s">
        <v>383</v>
      </c>
      <c r="B29" s="8" t="s">
        <v>414</v>
      </c>
      <c r="C29" s="8" t="s">
        <v>19</v>
      </c>
      <c r="D29" s="8" t="s">
        <v>35</v>
      </c>
      <c r="E29" s="8" t="s">
        <v>160</v>
      </c>
      <c r="F29" s="8" t="s">
        <v>161</v>
      </c>
      <c r="G29" s="6">
        <v>42839</v>
      </c>
      <c r="H29" s="6">
        <v>42846</v>
      </c>
      <c r="I29" s="4">
        <v>-1</v>
      </c>
      <c r="J29" s="8" t="s">
        <v>37</v>
      </c>
      <c r="K29" s="8" t="s">
        <v>415</v>
      </c>
      <c r="L29" s="4"/>
      <c r="M29" s="4"/>
      <c r="N29" s="4"/>
    </row>
    <row r="30" spans="1:14" x14ac:dyDescent="0.15">
      <c r="A30" s="8" t="s">
        <v>383</v>
      </c>
      <c r="B30" s="8" t="s">
        <v>973</v>
      </c>
      <c r="C30" s="8" t="s">
        <v>23</v>
      </c>
      <c r="D30" s="8" t="s">
        <v>159</v>
      </c>
      <c r="E30" s="8" t="s">
        <v>160</v>
      </c>
      <c r="F30" s="8" t="s">
        <v>161</v>
      </c>
      <c r="G30" s="6">
        <v>42933</v>
      </c>
      <c r="H30" s="6">
        <v>42934</v>
      </c>
      <c r="I30" s="4">
        <v>-210</v>
      </c>
      <c r="J30" s="8" t="s">
        <v>37</v>
      </c>
      <c r="K30" s="8" t="s">
        <v>974</v>
      </c>
      <c r="L30" s="4"/>
      <c r="M30" s="4"/>
      <c r="N30" s="4"/>
    </row>
    <row r="31" spans="1:14" x14ac:dyDescent="0.15">
      <c r="A31" s="8" t="s">
        <v>383</v>
      </c>
      <c r="B31" s="8" t="s">
        <v>973</v>
      </c>
      <c r="C31" s="8" t="s">
        <v>67</v>
      </c>
      <c r="D31" s="8" t="s">
        <v>162</v>
      </c>
      <c r="E31" s="8" t="s">
        <v>160</v>
      </c>
      <c r="F31" s="8" t="s">
        <v>161</v>
      </c>
      <c r="G31" s="6">
        <v>42933</v>
      </c>
      <c r="H31" s="6">
        <v>42934</v>
      </c>
      <c r="I31" s="4">
        <v>-56</v>
      </c>
      <c r="J31" s="8" t="s">
        <v>37</v>
      </c>
      <c r="K31" s="8" t="s">
        <v>975</v>
      </c>
      <c r="L31" s="4"/>
      <c r="M31" s="4"/>
      <c r="N31" s="4"/>
    </row>
    <row r="32" spans="1:14" x14ac:dyDescent="0.15">
      <c r="A32" s="8" t="s">
        <v>383</v>
      </c>
      <c r="B32" s="8" t="s">
        <v>976</v>
      </c>
      <c r="C32" s="8" t="s">
        <v>19</v>
      </c>
      <c r="D32" s="8" t="s">
        <v>35</v>
      </c>
      <c r="E32" s="8" t="s">
        <v>160</v>
      </c>
      <c r="F32" s="8" t="s">
        <v>161</v>
      </c>
      <c r="G32" s="6">
        <v>42934</v>
      </c>
      <c r="H32" s="6">
        <v>42934</v>
      </c>
      <c r="I32" s="4">
        <v>-1</v>
      </c>
      <c r="J32" s="8" t="s">
        <v>37</v>
      </c>
      <c r="K32" s="8" t="s">
        <v>977</v>
      </c>
      <c r="L32" s="4"/>
      <c r="M32" s="4"/>
      <c r="N32" s="4"/>
    </row>
    <row r="33" spans="1:14" x14ac:dyDescent="0.15">
      <c r="A33" s="8" t="s">
        <v>383</v>
      </c>
      <c r="B33" s="8" t="s">
        <v>416</v>
      </c>
      <c r="C33" s="8" t="s">
        <v>23</v>
      </c>
      <c r="D33" s="8" t="s">
        <v>159</v>
      </c>
      <c r="E33" s="8" t="s">
        <v>160</v>
      </c>
      <c r="F33" s="8" t="s">
        <v>161</v>
      </c>
      <c r="G33" s="6">
        <v>42859</v>
      </c>
      <c r="H33" s="6">
        <v>42860</v>
      </c>
      <c r="I33" s="4">
        <v>-294</v>
      </c>
      <c r="J33" s="8" t="s">
        <v>37</v>
      </c>
      <c r="K33" s="8" t="s">
        <v>417</v>
      </c>
      <c r="L33" s="4"/>
      <c r="M33" s="4"/>
      <c r="N33" s="4"/>
    </row>
    <row r="34" spans="1:14" x14ac:dyDescent="0.15">
      <c r="A34" s="8" t="s">
        <v>383</v>
      </c>
      <c r="B34" s="8" t="s">
        <v>418</v>
      </c>
      <c r="C34" s="8" t="s">
        <v>19</v>
      </c>
      <c r="D34" s="8" t="s">
        <v>35</v>
      </c>
      <c r="E34" s="8" t="s">
        <v>160</v>
      </c>
      <c r="F34" s="8" t="s">
        <v>161</v>
      </c>
      <c r="G34" s="6">
        <v>42860</v>
      </c>
      <c r="H34" s="6">
        <v>42860</v>
      </c>
      <c r="I34" s="4">
        <v>-1</v>
      </c>
      <c r="J34" s="8" t="s">
        <v>37</v>
      </c>
      <c r="K34" s="8" t="s">
        <v>419</v>
      </c>
      <c r="L34" s="4"/>
      <c r="M34" s="4"/>
      <c r="N34" s="4"/>
    </row>
    <row r="35" spans="1:14" x14ac:dyDescent="0.15">
      <c r="A35" s="8" t="s">
        <v>383</v>
      </c>
      <c r="B35" s="8" t="s">
        <v>420</v>
      </c>
      <c r="C35" s="8" t="s">
        <v>19</v>
      </c>
      <c r="D35" s="8" t="s">
        <v>35</v>
      </c>
      <c r="E35" s="8" t="s">
        <v>160</v>
      </c>
      <c r="F35" s="8" t="s">
        <v>161</v>
      </c>
      <c r="G35" s="6">
        <v>42915</v>
      </c>
      <c r="H35" s="6">
        <v>42915</v>
      </c>
      <c r="I35" s="4">
        <v>-1</v>
      </c>
      <c r="J35" s="8" t="s">
        <v>37</v>
      </c>
      <c r="K35" s="8" t="s">
        <v>421</v>
      </c>
      <c r="L35" s="4"/>
      <c r="M35" s="4"/>
      <c r="N35" s="4"/>
    </row>
    <row r="36" spans="1:14" x14ac:dyDescent="0.15">
      <c r="A36" s="8" t="s">
        <v>383</v>
      </c>
      <c r="B36" s="8" t="s">
        <v>422</v>
      </c>
      <c r="C36" s="8" t="s">
        <v>23</v>
      </c>
      <c r="D36" s="8" t="s">
        <v>159</v>
      </c>
      <c r="E36" s="8" t="s">
        <v>160</v>
      </c>
      <c r="F36" s="8" t="s">
        <v>161</v>
      </c>
      <c r="G36" s="6">
        <v>42915</v>
      </c>
      <c r="H36" s="6">
        <v>42915</v>
      </c>
      <c r="I36" s="4">
        <v>-210</v>
      </c>
      <c r="J36" s="8" t="s">
        <v>37</v>
      </c>
      <c r="K36" s="8" t="s">
        <v>423</v>
      </c>
      <c r="L36" s="4"/>
      <c r="M36" s="4"/>
      <c r="N36" s="4"/>
    </row>
    <row r="37" spans="1:14" x14ac:dyDescent="0.15">
      <c r="A37" s="8" t="s">
        <v>383</v>
      </c>
      <c r="B37" s="8" t="s">
        <v>978</v>
      </c>
      <c r="C37" s="8" t="s">
        <v>23</v>
      </c>
      <c r="D37" s="8" t="s">
        <v>159</v>
      </c>
      <c r="E37" s="8" t="s">
        <v>160</v>
      </c>
      <c r="F37" s="8" t="s">
        <v>161</v>
      </c>
      <c r="G37" s="6">
        <v>42964</v>
      </c>
      <c r="H37" s="6">
        <v>42965</v>
      </c>
      <c r="I37" s="4">
        <v>-84</v>
      </c>
      <c r="J37" s="8" t="s">
        <v>37</v>
      </c>
      <c r="K37" s="8" t="s">
        <v>979</v>
      </c>
      <c r="L37" s="4"/>
      <c r="M37" s="4"/>
      <c r="N37" s="4"/>
    </row>
    <row r="38" spans="1:14" x14ac:dyDescent="0.15">
      <c r="A38" s="8" t="s">
        <v>383</v>
      </c>
      <c r="B38" s="8" t="s">
        <v>978</v>
      </c>
      <c r="C38" s="8" t="s">
        <v>67</v>
      </c>
      <c r="D38" s="8" t="s">
        <v>162</v>
      </c>
      <c r="E38" s="8" t="s">
        <v>160</v>
      </c>
      <c r="F38" s="8" t="s">
        <v>161</v>
      </c>
      <c r="G38" s="6">
        <v>42964</v>
      </c>
      <c r="H38" s="6">
        <v>42965</v>
      </c>
      <c r="I38" s="4">
        <v>-56</v>
      </c>
      <c r="J38" s="8" t="s">
        <v>37</v>
      </c>
      <c r="K38" s="8" t="s">
        <v>980</v>
      </c>
      <c r="L38" s="4"/>
      <c r="M38" s="4"/>
      <c r="N38" s="4"/>
    </row>
    <row r="39" spans="1:14" x14ac:dyDescent="0.15">
      <c r="A39" s="8" t="s">
        <v>383</v>
      </c>
      <c r="B39" s="8" t="s">
        <v>978</v>
      </c>
      <c r="C39" s="8" t="s">
        <v>28</v>
      </c>
      <c r="D39" s="8" t="s">
        <v>202</v>
      </c>
      <c r="E39" s="8" t="s">
        <v>160</v>
      </c>
      <c r="F39" s="8" t="s">
        <v>161</v>
      </c>
      <c r="G39" s="6">
        <v>42964</v>
      </c>
      <c r="H39" s="6">
        <v>42965</v>
      </c>
      <c r="I39" s="4">
        <v>-56</v>
      </c>
      <c r="J39" s="8" t="s">
        <v>37</v>
      </c>
      <c r="K39" s="8" t="s">
        <v>981</v>
      </c>
      <c r="L39" s="4"/>
      <c r="M39" s="4"/>
      <c r="N39" s="4"/>
    </row>
    <row r="40" spans="1:14" x14ac:dyDescent="0.15">
      <c r="A40" s="8" t="s">
        <v>383</v>
      </c>
      <c r="B40" s="8" t="s">
        <v>982</v>
      </c>
      <c r="C40" s="8" t="s">
        <v>19</v>
      </c>
      <c r="D40" s="8" t="s">
        <v>35</v>
      </c>
      <c r="E40" s="8" t="s">
        <v>160</v>
      </c>
      <c r="F40" s="8" t="s">
        <v>161</v>
      </c>
      <c r="G40" s="6">
        <v>42964</v>
      </c>
      <c r="H40" s="6">
        <v>42965</v>
      </c>
      <c r="I40" s="4">
        <v>-1</v>
      </c>
      <c r="J40" s="8" t="s">
        <v>37</v>
      </c>
      <c r="K40" s="8" t="s">
        <v>983</v>
      </c>
      <c r="L40" s="4"/>
      <c r="M40" s="4"/>
      <c r="N40" s="4"/>
    </row>
    <row r="41" spans="1:14" x14ac:dyDescent="0.15">
      <c r="A41" s="8" t="s">
        <v>383</v>
      </c>
      <c r="B41" s="8" t="s">
        <v>424</v>
      </c>
      <c r="C41" s="8" t="s">
        <v>23</v>
      </c>
      <c r="D41" s="8" t="s">
        <v>159</v>
      </c>
      <c r="E41" s="8" t="s">
        <v>160</v>
      </c>
      <c r="F41" s="8" t="s">
        <v>161</v>
      </c>
      <c r="G41" s="6">
        <v>42843</v>
      </c>
      <c r="H41" s="6">
        <v>42843</v>
      </c>
      <c r="I41" s="4">
        <v>-165</v>
      </c>
      <c r="J41" s="8" t="s">
        <v>37</v>
      </c>
      <c r="K41" s="8" t="s">
        <v>425</v>
      </c>
      <c r="L41" s="4"/>
      <c r="M41" s="4"/>
      <c r="N41" s="4"/>
    </row>
    <row r="42" spans="1:14" x14ac:dyDescent="0.15">
      <c r="A42" s="8" t="s">
        <v>383</v>
      </c>
      <c r="B42" s="8" t="s">
        <v>424</v>
      </c>
      <c r="C42" s="8" t="s">
        <v>67</v>
      </c>
      <c r="D42" s="8" t="s">
        <v>162</v>
      </c>
      <c r="E42" s="8" t="s">
        <v>160</v>
      </c>
      <c r="F42" s="8" t="s">
        <v>161</v>
      </c>
      <c r="G42" s="6">
        <v>42843</v>
      </c>
      <c r="H42" s="6">
        <v>42843</v>
      </c>
      <c r="I42" s="4">
        <v>-420</v>
      </c>
      <c r="J42" s="8" t="s">
        <v>37</v>
      </c>
      <c r="K42" s="8" t="s">
        <v>426</v>
      </c>
      <c r="L42" s="4"/>
      <c r="M42" s="4"/>
      <c r="N42" s="4"/>
    </row>
    <row r="43" spans="1:14" x14ac:dyDescent="0.15">
      <c r="A43" s="8" t="s">
        <v>383</v>
      </c>
      <c r="B43" s="8" t="s">
        <v>427</v>
      </c>
      <c r="C43" s="8" t="s">
        <v>19</v>
      </c>
      <c r="D43" s="8" t="s">
        <v>35</v>
      </c>
      <c r="E43" s="8" t="s">
        <v>160</v>
      </c>
      <c r="F43" s="8" t="s">
        <v>161</v>
      </c>
      <c r="G43" s="6">
        <v>42843</v>
      </c>
      <c r="H43" s="6">
        <v>42843</v>
      </c>
      <c r="I43" s="4">
        <v>-1</v>
      </c>
      <c r="J43" s="8" t="s">
        <v>37</v>
      </c>
      <c r="K43" s="8" t="s">
        <v>428</v>
      </c>
      <c r="L43" s="4"/>
      <c r="M43" s="4"/>
      <c r="N43" s="4"/>
    </row>
    <row r="44" spans="1:14" x14ac:dyDescent="0.15">
      <c r="A44" s="8" t="s">
        <v>383</v>
      </c>
      <c r="B44" s="8" t="s">
        <v>429</v>
      </c>
      <c r="C44" s="8" t="s">
        <v>23</v>
      </c>
      <c r="D44" s="8" t="s">
        <v>159</v>
      </c>
      <c r="E44" s="8" t="s">
        <v>160</v>
      </c>
      <c r="F44" s="8" t="s">
        <v>161</v>
      </c>
      <c r="G44" s="6">
        <v>42900</v>
      </c>
      <c r="H44" s="6">
        <v>42900</v>
      </c>
      <c r="I44" s="4">
        <v>-168</v>
      </c>
      <c r="J44" s="8" t="s">
        <v>37</v>
      </c>
      <c r="K44" s="8" t="s">
        <v>430</v>
      </c>
      <c r="L44" s="4"/>
      <c r="M44" s="4"/>
      <c r="N44" s="4"/>
    </row>
    <row r="45" spans="1:14" x14ac:dyDescent="0.15">
      <c r="A45" s="8" t="s">
        <v>383</v>
      </c>
      <c r="B45" s="8" t="s">
        <v>431</v>
      </c>
      <c r="C45" s="8" t="s">
        <v>19</v>
      </c>
      <c r="D45" s="8" t="s">
        <v>35</v>
      </c>
      <c r="E45" s="8" t="s">
        <v>160</v>
      </c>
      <c r="F45" s="8" t="s">
        <v>161</v>
      </c>
      <c r="G45" s="6">
        <v>42900</v>
      </c>
      <c r="H45" s="6">
        <v>42900</v>
      </c>
      <c r="I45" s="4">
        <v>-1</v>
      </c>
      <c r="J45" s="8" t="s">
        <v>37</v>
      </c>
      <c r="K45" s="8" t="s">
        <v>432</v>
      </c>
      <c r="L45" s="4"/>
      <c r="M45" s="4"/>
      <c r="N45" s="4"/>
    </row>
    <row r="46" spans="1:14" x14ac:dyDescent="0.15">
      <c r="A46" s="8" t="s">
        <v>383</v>
      </c>
      <c r="B46" s="8" t="s">
        <v>984</v>
      </c>
      <c r="C46" s="8" t="s">
        <v>23</v>
      </c>
      <c r="D46" s="8" t="s">
        <v>159</v>
      </c>
      <c r="E46" s="8" t="s">
        <v>160</v>
      </c>
      <c r="F46" s="8" t="s">
        <v>161</v>
      </c>
      <c r="G46" s="6">
        <v>42936</v>
      </c>
      <c r="H46" s="6">
        <v>42936</v>
      </c>
      <c r="I46" s="4">
        <v>-84</v>
      </c>
      <c r="J46" s="8" t="s">
        <v>37</v>
      </c>
      <c r="K46" s="8" t="s">
        <v>985</v>
      </c>
      <c r="L46" s="4"/>
      <c r="M46" s="4"/>
      <c r="N46" s="4"/>
    </row>
    <row r="47" spans="1:14" x14ac:dyDescent="0.15">
      <c r="A47" s="8" t="s">
        <v>383</v>
      </c>
      <c r="B47" s="8" t="s">
        <v>984</v>
      </c>
      <c r="C47" s="8" t="s">
        <v>67</v>
      </c>
      <c r="D47" s="8" t="s">
        <v>162</v>
      </c>
      <c r="E47" s="8" t="s">
        <v>160</v>
      </c>
      <c r="F47" s="8" t="s">
        <v>161</v>
      </c>
      <c r="G47" s="6">
        <v>42936</v>
      </c>
      <c r="H47" s="6">
        <v>42936</v>
      </c>
      <c r="I47" s="4">
        <v>-280</v>
      </c>
      <c r="J47" s="8" t="s">
        <v>37</v>
      </c>
      <c r="K47" s="8" t="s">
        <v>986</v>
      </c>
      <c r="L47" s="4"/>
      <c r="M47" s="4"/>
      <c r="N47" s="4"/>
    </row>
    <row r="48" spans="1:14" x14ac:dyDescent="0.15">
      <c r="A48" s="8" t="s">
        <v>383</v>
      </c>
      <c r="B48" s="8" t="s">
        <v>987</v>
      </c>
      <c r="C48" s="8" t="s">
        <v>19</v>
      </c>
      <c r="D48" s="8" t="s">
        <v>35</v>
      </c>
      <c r="E48" s="8" t="s">
        <v>160</v>
      </c>
      <c r="F48" s="8" t="s">
        <v>161</v>
      </c>
      <c r="G48" s="6">
        <v>42936</v>
      </c>
      <c r="H48" s="6">
        <v>42936</v>
      </c>
      <c r="I48" s="4">
        <v>-1</v>
      </c>
      <c r="J48" s="8" t="s">
        <v>37</v>
      </c>
      <c r="K48" s="8" t="s">
        <v>988</v>
      </c>
      <c r="L48" s="4"/>
      <c r="M48" s="4"/>
      <c r="N48" s="4"/>
    </row>
    <row r="49" spans="1:14" x14ac:dyDescent="0.15">
      <c r="A49" s="8" t="s">
        <v>383</v>
      </c>
      <c r="B49" s="8" t="s">
        <v>989</v>
      </c>
      <c r="C49" s="8" t="s">
        <v>67</v>
      </c>
      <c r="D49" s="8" t="s">
        <v>162</v>
      </c>
      <c r="E49" s="8" t="s">
        <v>160</v>
      </c>
      <c r="F49" s="8" t="s">
        <v>161</v>
      </c>
      <c r="G49" s="6">
        <v>42970</v>
      </c>
      <c r="H49" s="6">
        <v>42970</v>
      </c>
      <c r="I49" s="4">
        <v>-140</v>
      </c>
      <c r="J49" s="8" t="s">
        <v>37</v>
      </c>
      <c r="K49" s="8" t="s">
        <v>990</v>
      </c>
      <c r="L49" s="4"/>
      <c r="M49" s="4"/>
      <c r="N49" s="4"/>
    </row>
    <row r="50" spans="1:14" x14ac:dyDescent="0.15">
      <c r="A50" s="8" t="s">
        <v>383</v>
      </c>
      <c r="B50" s="8" t="s">
        <v>991</v>
      </c>
      <c r="C50" s="8" t="s">
        <v>19</v>
      </c>
      <c r="D50" s="8" t="s">
        <v>35</v>
      </c>
      <c r="E50" s="8" t="s">
        <v>160</v>
      </c>
      <c r="F50" s="8" t="s">
        <v>161</v>
      </c>
      <c r="G50" s="6">
        <v>42970</v>
      </c>
      <c r="H50" s="6">
        <v>42970</v>
      </c>
      <c r="I50" s="4">
        <v>-1</v>
      </c>
      <c r="J50" s="8" t="s">
        <v>37</v>
      </c>
      <c r="K50" s="8" t="s">
        <v>992</v>
      </c>
      <c r="L50" s="4"/>
      <c r="M50" s="4"/>
      <c r="N50" s="4"/>
    </row>
    <row r="51" spans="1:14" x14ac:dyDescent="0.15">
      <c r="A51" s="8" t="s">
        <v>383</v>
      </c>
      <c r="B51" s="8" t="s">
        <v>993</v>
      </c>
      <c r="C51" s="8" t="s">
        <v>23</v>
      </c>
      <c r="D51" s="8" t="s">
        <v>159</v>
      </c>
      <c r="E51" s="8" t="s">
        <v>160</v>
      </c>
      <c r="F51" s="8" t="s">
        <v>161</v>
      </c>
      <c r="G51" s="6">
        <v>42991</v>
      </c>
      <c r="H51" s="6">
        <v>42991</v>
      </c>
      <c r="I51" s="4">
        <v>-126</v>
      </c>
      <c r="J51" s="8" t="s">
        <v>37</v>
      </c>
      <c r="K51" s="8" t="s">
        <v>994</v>
      </c>
      <c r="L51" s="4"/>
      <c r="M51" s="4"/>
      <c r="N51" s="4"/>
    </row>
    <row r="52" spans="1:14" x14ac:dyDescent="0.15">
      <c r="A52" s="8" t="s">
        <v>383</v>
      </c>
      <c r="B52" s="8" t="s">
        <v>995</v>
      </c>
      <c r="C52" s="8" t="s">
        <v>19</v>
      </c>
      <c r="D52" s="8" t="s">
        <v>35</v>
      </c>
      <c r="E52" s="8" t="s">
        <v>160</v>
      </c>
      <c r="F52" s="8" t="s">
        <v>161</v>
      </c>
      <c r="G52" s="6">
        <v>42992</v>
      </c>
      <c r="H52" s="6">
        <v>42992</v>
      </c>
      <c r="I52" s="4">
        <v>-1</v>
      </c>
      <c r="J52" s="8" t="s">
        <v>37</v>
      </c>
      <c r="K52" s="8" t="s">
        <v>996</v>
      </c>
      <c r="L52" s="4"/>
      <c r="M52" s="4"/>
      <c r="N52" s="4"/>
    </row>
    <row r="53" spans="1:14" x14ac:dyDescent="0.15">
      <c r="A53" s="8" t="s">
        <v>383</v>
      </c>
      <c r="B53" s="8" t="s">
        <v>997</v>
      </c>
      <c r="C53" s="8" t="s">
        <v>67</v>
      </c>
      <c r="D53" s="8" t="s">
        <v>162</v>
      </c>
      <c r="E53" s="8" t="s">
        <v>160</v>
      </c>
      <c r="F53" s="8" t="s">
        <v>161</v>
      </c>
      <c r="G53" s="6">
        <v>42992</v>
      </c>
      <c r="H53" s="6">
        <v>42992</v>
      </c>
      <c r="I53" s="4">
        <v>-56</v>
      </c>
      <c r="J53" s="8" t="s">
        <v>37</v>
      </c>
      <c r="K53" s="8" t="s">
        <v>998</v>
      </c>
      <c r="L53" s="4"/>
      <c r="M53" s="4"/>
      <c r="N53" s="4"/>
    </row>
    <row r="54" spans="1:14" x14ac:dyDescent="0.15">
      <c r="A54" s="8" t="s">
        <v>383</v>
      </c>
      <c r="B54" s="8" t="s">
        <v>999</v>
      </c>
      <c r="C54" s="8" t="s">
        <v>67</v>
      </c>
      <c r="D54" s="8" t="s">
        <v>162</v>
      </c>
      <c r="E54" s="8" t="s">
        <v>160</v>
      </c>
      <c r="F54" s="8" t="s">
        <v>161</v>
      </c>
      <c r="G54" s="6">
        <v>42996</v>
      </c>
      <c r="H54" s="6">
        <v>42996</v>
      </c>
      <c r="I54" s="4">
        <v>-252</v>
      </c>
      <c r="J54" s="8" t="s">
        <v>37</v>
      </c>
      <c r="K54" s="8" t="s">
        <v>1000</v>
      </c>
      <c r="L54" s="4"/>
      <c r="M54" s="4"/>
      <c r="N54" s="4"/>
    </row>
    <row r="55" spans="1:14" x14ac:dyDescent="0.15">
      <c r="A55" s="8" t="s">
        <v>383</v>
      </c>
      <c r="B55" s="8" t="s">
        <v>1001</v>
      </c>
      <c r="C55" s="8" t="s">
        <v>19</v>
      </c>
      <c r="D55" s="8" t="s">
        <v>35</v>
      </c>
      <c r="E55" s="8" t="s">
        <v>160</v>
      </c>
      <c r="F55" s="8" t="s">
        <v>161</v>
      </c>
      <c r="G55" s="6">
        <v>42996</v>
      </c>
      <c r="H55" s="6">
        <v>42996</v>
      </c>
      <c r="I55" s="4">
        <v>-1</v>
      </c>
      <c r="J55" s="8" t="s">
        <v>37</v>
      </c>
      <c r="K55" s="8" t="s">
        <v>1002</v>
      </c>
      <c r="L55" s="4"/>
      <c r="M55" s="4"/>
      <c r="N55" s="4"/>
    </row>
    <row r="56" spans="1:14" x14ac:dyDescent="0.15">
      <c r="A56" s="8" t="s">
        <v>383</v>
      </c>
      <c r="B56" s="8" t="s">
        <v>1003</v>
      </c>
      <c r="C56" s="8" t="s">
        <v>23</v>
      </c>
      <c r="D56" s="8" t="s">
        <v>159</v>
      </c>
      <c r="E56" s="8" t="s">
        <v>160</v>
      </c>
      <c r="F56" s="8" t="s">
        <v>161</v>
      </c>
      <c r="G56" s="6">
        <v>43017</v>
      </c>
      <c r="H56" s="6">
        <v>43017</v>
      </c>
      <c r="I56" s="4">
        <v>-84</v>
      </c>
      <c r="J56" s="8" t="s">
        <v>37</v>
      </c>
      <c r="K56" s="8" t="s">
        <v>1004</v>
      </c>
      <c r="L56" s="4"/>
      <c r="M56" s="4"/>
      <c r="N56" s="4"/>
    </row>
    <row r="57" spans="1:14" x14ac:dyDescent="0.15">
      <c r="A57" s="8" t="s">
        <v>383</v>
      </c>
      <c r="B57" s="8" t="s">
        <v>1003</v>
      </c>
      <c r="C57" s="8" t="s">
        <v>67</v>
      </c>
      <c r="D57" s="8" t="s">
        <v>162</v>
      </c>
      <c r="E57" s="8" t="s">
        <v>160</v>
      </c>
      <c r="F57" s="8" t="s">
        <v>161</v>
      </c>
      <c r="G57" s="6">
        <v>43017</v>
      </c>
      <c r="H57" s="6">
        <v>43017</v>
      </c>
      <c r="I57" s="4">
        <v>-168</v>
      </c>
      <c r="J57" s="8" t="s">
        <v>37</v>
      </c>
      <c r="K57" s="8" t="s">
        <v>1005</v>
      </c>
      <c r="L57" s="4"/>
      <c r="M57" s="4"/>
      <c r="N57" s="4"/>
    </row>
    <row r="58" spans="1:14" x14ac:dyDescent="0.15">
      <c r="A58" s="8" t="s">
        <v>383</v>
      </c>
      <c r="B58" s="8" t="s">
        <v>1006</v>
      </c>
      <c r="C58" s="8" t="s">
        <v>19</v>
      </c>
      <c r="D58" s="8" t="s">
        <v>35</v>
      </c>
      <c r="E58" s="8" t="s">
        <v>160</v>
      </c>
      <c r="F58" s="8" t="s">
        <v>161</v>
      </c>
      <c r="G58" s="6">
        <v>43017</v>
      </c>
      <c r="H58" s="6">
        <v>43017</v>
      </c>
      <c r="I58" s="4">
        <v>-1</v>
      </c>
      <c r="J58" s="8" t="s">
        <v>37</v>
      </c>
      <c r="K58" s="8" t="s">
        <v>1007</v>
      </c>
      <c r="L58" s="4"/>
      <c r="M58" s="4"/>
      <c r="N58" s="4"/>
    </row>
    <row r="59" spans="1:14" x14ac:dyDescent="0.15">
      <c r="A59" s="8" t="s">
        <v>383</v>
      </c>
      <c r="B59" s="8" t="s">
        <v>1008</v>
      </c>
      <c r="C59" s="8" t="s">
        <v>67</v>
      </c>
      <c r="D59" s="8" t="s">
        <v>162</v>
      </c>
      <c r="E59" s="8" t="s">
        <v>160</v>
      </c>
      <c r="F59" s="8" t="s">
        <v>161</v>
      </c>
      <c r="G59" s="6">
        <v>43021</v>
      </c>
      <c r="H59" s="6">
        <v>43021</v>
      </c>
      <c r="I59" s="4">
        <v>-252</v>
      </c>
      <c r="J59" s="8" t="s">
        <v>37</v>
      </c>
      <c r="K59" s="8" t="s">
        <v>1009</v>
      </c>
      <c r="L59" s="4"/>
      <c r="M59" s="4"/>
      <c r="N59" s="4"/>
    </row>
    <row r="60" spans="1:14" x14ac:dyDescent="0.15">
      <c r="A60" s="8" t="s">
        <v>383</v>
      </c>
      <c r="B60" s="8" t="s">
        <v>1010</v>
      </c>
      <c r="C60" s="8" t="s">
        <v>19</v>
      </c>
      <c r="D60" s="8" t="s">
        <v>35</v>
      </c>
      <c r="E60" s="8" t="s">
        <v>160</v>
      </c>
      <c r="F60" s="8" t="s">
        <v>161</v>
      </c>
      <c r="G60" s="6">
        <v>43024</v>
      </c>
      <c r="H60" s="6">
        <v>43024</v>
      </c>
      <c r="I60" s="4">
        <v>-1</v>
      </c>
      <c r="J60" s="8" t="s">
        <v>37</v>
      </c>
      <c r="K60" s="8" t="s">
        <v>1011</v>
      </c>
      <c r="L60" s="4"/>
      <c r="M60" s="4"/>
      <c r="N60" s="4"/>
    </row>
    <row r="61" spans="1:14" x14ac:dyDescent="0.15">
      <c r="A61" s="8" t="s">
        <v>383</v>
      </c>
      <c r="B61" s="8" t="s">
        <v>1012</v>
      </c>
      <c r="C61" s="8" t="s">
        <v>23</v>
      </c>
      <c r="D61" s="8" t="s">
        <v>159</v>
      </c>
      <c r="E61" s="8" t="s">
        <v>160</v>
      </c>
      <c r="F61" s="8" t="s">
        <v>161</v>
      </c>
      <c r="G61" s="6">
        <v>43031</v>
      </c>
      <c r="H61" s="6">
        <v>43031</v>
      </c>
      <c r="I61" s="4">
        <v>-126</v>
      </c>
      <c r="J61" s="8" t="s">
        <v>37</v>
      </c>
      <c r="K61" s="8" t="s">
        <v>1013</v>
      </c>
      <c r="L61" s="4"/>
      <c r="M61" s="4"/>
      <c r="N61" s="4"/>
    </row>
    <row r="62" spans="1:14" x14ac:dyDescent="0.15">
      <c r="A62" s="8" t="s">
        <v>383</v>
      </c>
      <c r="B62" s="8" t="s">
        <v>1012</v>
      </c>
      <c r="C62" s="8" t="s">
        <v>67</v>
      </c>
      <c r="D62" s="8" t="s">
        <v>162</v>
      </c>
      <c r="E62" s="8" t="s">
        <v>160</v>
      </c>
      <c r="F62" s="8" t="s">
        <v>161</v>
      </c>
      <c r="G62" s="6">
        <v>43031</v>
      </c>
      <c r="H62" s="6">
        <v>43031</v>
      </c>
      <c r="I62" s="4">
        <v>-196</v>
      </c>
      <c r="J62" s="8" t="s">
        <v>37</v>
      </c>
      <c r="K62" s="8" t="s">
        <v>1014</v>
      </c>
      <c r="L62" s="4"/>
      <c r="M62" s="4"/>
      <c r="N62" s="4"/>
    </row>
    <row r="63" spans="1:14" x14ac:dyDescent="0.15">
      <c r="A63" s="8" t="s">
        <v>383</v>
      </c>
      <c r="B63" s="8" t="s">
        <v>1015</v>
      </c>
      <c r="C63" s="8" t="s">
        <v>19</v>
      </c>
      <c r="D63" s="8" t="s">
        <v>35</v>
      </c>
      <c r="E63" s="8" t="s">
        <v>160</v>
      </c>
      <c r="F63" s="8" t="s">
        <v>161</v>
      </c>
      <c r="G63" s="6">
        <v>43032</v>
      </c>
      <c r="H63" s="6">
        <v>43032</v>
      </c>
      <c r="I63" s="4">
        <v>-1</v>
      </c>
      <c r="J63" s="8" t="s">
        <v>37</v>
      </c>
      <c r="K63" s="8" t="s">
        <v>1016</v>
      </c>
      <c r="L63" s="4"/>
      <c r="M63" s="4"/>
      <c r="N63" s="4"/>
    </row>
    <row r="64" spans="1:14" x14ac:dyDescent="0.15">
      <c r="A64" s="8" t="s">
        <v>383</v>
      </c>
      <c r="B64" s="8" t="s">
        <v>1017</v>
      </c>
      <c r="C64" s="8" t="s">
        <v>23</v>
      </c>
      <c r="D64" s="8" t="s">
        <v>159</v>
      </c>
      <c r="E64" s="8" t="s">
        <v>160</v>
      </c>
      <c r="F64" s="8" t="s">
        <v>161</v>
      </c>
      <c r="G64" s="6">
        <v>43052</v>
      </c>
      <c r="H64" s="6">
        <v>43052</v>
      </c>
      <c r="I64" s="4">
        <v>-546</v>
      </c>
      <c r="J64" s="8" t="s">
        <v>37</v>
      </c>
      <c r="K64" s="8" t="s">
        <v>1018</v>
      </c>
      <c r="L64" s="4"/>
      <c r="M64" s="4"/>
      <c r="N64" s="4"/>
    </row>
    <row r="65" spans="1:14" x14ac:dyDescent="0.15">
      <c r="A65" s="8" t="s">
        <v>383</v>
      </c>
      <c r="B65" s="8" t="s">
        <v>1017</v>
      </c>
      <c r="C65" s="8" t="s">
        <v>67</v>
      </c>
      <c r="D65" s="8" t="s">
        <v>162</v>
      </c>
      <c r="E65" s="8" t="s">
        <v>160</v>
      </c>
      <c r="F65" s="8" t="s">
        <v>161</v>
      </c>
      <c r="G65" s="6">
        <v>43052</v>
      </c>
      <c r="H65" s="6">
        <v>43052</v>
      </c>
      <c r="I65" s="4">
        <v>-84</v>
      </c>
      <c r="J65" s="8" t="s">
        <v>37</v>
      </c>
      <c r="K65" s="8" t="s">
        <v>1019</v>
      </c>
      <c r="L65" s="4"/>
      <c r="M65" s="4"/>
      <c r="N65" s="4"/>
    </row>
    <row r="66" spans="1:14" x14ac:dyDescent="0.15">
      <c r="A66" s="8" t="s">
        <v>383</v>
      </c>
      <c r="B66" s="8" t="s">
        <v>1017</v>
      </c>
      <c r="C66" s="8" t="s">
        <v>28</v>
      </c>
      <c r="D66" s="8" t="s">
        <v>202</v>
      </c>
      <c r="E66" s="8" t="s">
        <v>160</v>
      </c>
      <c r="F66" s="8" t="s">
        <v>161</v>
      </c>
      <c r="G66" s="6">
        <v>43052</v>
      </c>
      <c r="H66" s="6">
        <v>43052</v>
      </c>
      <c r="I66" s="4">
        <v>-54</v>
      </c>
      <c r="J66" s="8" t="s">
        <v>37</v>
      </c>
      <c r="K66" s="8" t="s">
        <v>1020</v>
      </c>
      <c r="L66" s="4"/>
      <c r="M66" s="4"/>
      <c r="N66" s="4"/>
    </row>
    <row r="67" spans="1:14" x14ac:dyDescent="0.15">
      <c r="A67" s="8" t="s">
        <v>383</v>
      </c>
      <c r="B67" s="8" t="s">
        <v>1021</v>
      </c>
      <c r="C67" s="8" t="s">
        <v>19</v>
      </c>
      <c r="D67" s="8" t="s">
        <v>35</v>
      </c>
      <c r="E67" s="8" t="s">
        <v>160</v>
      </c>
      <c r="F67" s="8" t="s">
        <v>161</v>
      </c>
      <c r="G67" s="6">
        <v>43053</v>
      </c>
      <c r="H67" s="6">
        <v>43053</v>
      </c>
      <c r="I67" s="4">
        <v>-1</v>
      </c>
      <c r="J67" s="8" t="s">
        <v>37</v>
      </c>
      <c r="K67" s="8" t="s">
        <v>1022</v>
      </c>
      <c r="L67" s="4"/>
      <c r="M67" s="4"/>
      <c r="N67" s="4"/>
    </row>
    <row r="68" spans="1:14" x14ac:dyDescent="0.15">
      <c r="A68" s="8" t="s">
        <v>383</v>
      </c>
      <c r="B68" s="8" t="s">
        <v>1023</v>
      </c>
      <c r="C68" s="8" t="s">
        <v>23</v>
      </c>
      <c r="D68" s="8" t="s">
        <v>159</v>
      </c>
      <c r="E68" s="8" t="s">
        <v>160</v>
      </c>
      <c r="F68" s="8" t="s">
        <v>161</v>
      </c>
      <c r="G68" s="6">
        <v>43062</v>
      </c>
      <c r="H68" s="6">
        <v>43062</v>
      </c>
      <c r="I68" s="4">
        <v>-504</v>
      </c>
      <c r="J68" s="8" t="s">
        <v>37</v>
      </c>
      <c r="K68" s="8" t="s">
        <v>1024</v>
      </c>
      <c r="L68" s="4"/>
      <c r="M68" s="4"/>
      <c r="N68" s="4"/>
    </row>
    <row r="69" spans="1:14" x14ac:dyDescent="0.15">
      <c r="A69" s="8" t="s">
        <v>383</v>
      </c>
      <c r="B69" s="8" t="s">
        <v>1023</v>
      </c>
      <c r="C69" s="8" t="s">
        <v>67</v>
      </c>
      <c r="D69" s="8" t="s">
        <v>162</v>
      </c>
      <c r="E69" s="8" t="s">
        <v>160</v>
      </c>
      <c r="F69" s="8" t="s">
        <v>161</v>
      </c>
      <c r="G69" s="6">
        <v>43062</v>
      </c>
      <c r="H69" s="6">
        <v>43062</v>
      </c>
      <c r="I69" s="4">
        <v>-560</v>
      </c>
      <c r="J69" s="8" t="s">
        <v>37</v>
      </c>
      <c r="K69" s="8" t="s">
        <v>1025</v>
      </c>
      <c r="L69" s="4"/>
      <c r="M69" s="4"/>
      <c r="N69" s="4"/>
    </row>
    <row r="70" spans="1:14" x14ac:dyDescent="0.15">
      <c r="A70" s="8" t="s">
        <v>383</v>
      </c>
      <c r="B70" s="8" t="s">
        <v>1026</v>
      </c>
      <c r="C70" s="8" t="s">
        <v>19</v>
      </c>
      <c r="D70" s="8" t="s">
        <v>35</v>
      </c>
      <c r="E70" s="8" t="s">
        <v>160</v>
      </c>
      <c r="F70" s="8" t="s">
        <v>161</v>
      </c>
      <c r="G70" s="6">
        <v>43062</v>
      </c>
      <c r="H70" s="6">
        <v>43062</v>
      </c>
      <c r="I70" s="4">
        <v>-1</v>
      </c>
      <c r="J70" s="8" t="s">
        <v>37</v>
      </c>
      <c r="K70" s="8" t="s">
        <v>1027</v>
      </c>
      <c r="L70" s="4"/>
      <c r="M70" s="4"/>
      <c r="N70" s="4"/>
    </row>
    <row r="71" spans="1:14" x14ac:dyDescent="0.15">
      <c r="A71" s="8" t="s">
        <v>383</v>
      </c>
      <c r="B71" s="8" t="s">
        <v>1028</v>
      </c>
      <c r="C71" s="8" t="s">
        <v>19</v>
      </c>
      <c r="D71" s="8" t="s">
        <v>35</v>
      </c>
      <c r="E71" s="8" t="s">
        <v>160</v>
      </c>
      <c r="F71" s="8" t="s">
        <v>161</v>
      </c>
      <c r="G71" s="6">
        <v>43087</v>
      </c>
      <c r="H71" s="6">
        <v>43087</v>
      </c>
      <c r="I71" s="4">
        <v>-1</v>
      </c>
      <c r="J71" s="8" t="s">
        <v>37</v>
      </c>
      <c r="K71" s="8" t="s">
        <v>1029</v>
      </c>
      <c r="L71" s="4"/>
      <c r="M71" s="4"/>
      <c r="N71" s="4"/>
    </row>
    <row r="72" spans="1:14" x14ac:dyDescent="0.15">
      <c r="A72" s="8" t="s">
        <v>383</v>
      </c>
      <c r="B72" s="8" t="s">
        <v>433</v>
      </c>
      <c r="C72" s="8" t="s">
        <v>103</v>
      </c>
      <c r="D72" s="8" t="s">
        <v>104</v>
      </c>
      <c r="E72" s="8" t="s">
        <v>160</v>
      </c>
      <c r="F72" s="8" t="s">
        <v>161</v>
      </c>
      <c r="G72" s="6">
        <v>42830</v>
      </c>
      <c r="H72" s="6">
        <v>42830</v>
      </c>
      <c r="I72" s="4">
        <v>-16</v>
      </c>
      <c r="J72" s="8" t="s">
        <v>37</v>
      </c>
      <c r="K72" s="8" t="s">
        <v>434</v>
      </c>
      <c r="L72" s="4"/>
      <c r="M72" s="4"/>
      <c r="N72" s="4"/>
    </row>
    <row r="73" spans="1:14" x14ac:dyDescent="0.15">
      <c r="A73" s="8" t="s">
        <v>383</v>
      </c>
      <c r="B73" s="8" t="s">
        <v>435</v>
      </c>
      <c r="C73" s="8" t="s">
        <v>67</v>
      </c>
      <c r="D73" s="8" t="s">
        <v>162</v>
      </c>
      <c r="E73" s="8" t="s">
        <v>160</v>
      </c>
      <c r="F73" s="8" t="s">
        <v>161</v>
      </c>
      <c r="G73" s="6">
        <v>42830</v>
      </c>
      <c r="H73" s="6">
        <v>42830</v>
      </c>
      <c r="I73" s="4">
        <v>-6</v>
      </c>
      <c r="J73" s="8" t="s">
        <v>37</v>
      </c>
      <c r="K73" s="8" t="s">
        <v>436</v>
      </c>
      <c r="L73" s="4"/>
      <c r="M73" s="4"/>
      <c r="N73" s="4"/>
    </row>
    <row r="74" spans="1:14" x14ac:dyDescent="0.15">
      <c r="A74" s="8" t="s">
        <v>383</v>
      </c>
      <c r="B74" s="8" t="s">
        <v>437</v>
      </c>
      <c r="C74" s="8" t="s">
        <v>19</v>
      </c>
      <c r="D74" s="8" t="s">
        <v>35</v>
      </c>
      <c r="E74" s="8" t="s">
        <v>160</v>
      </c>
      <c r="F74" s="8" t="s">
        <v>161</v>
      </c>
      <c r="G74" s="6">
        <v>42830</v>
      </c>
      <c r="H74" s="6">
        <v>42830</v>
      </c>
      <c r="I74" s="4">
        <v>-1</v>
      </c>
      <c r="J74" s="8" t="s">
        <v>37</v>
      </c>
      <c r="K74" s="8" t="s">
        <v>438</v>
      </c>
      <c r="L74" s="4"/>
      <c r="M74" s="4"/>
      <c r="N74" s="4"/>
    </row>
    <row r="75" spans="1:14" x14ac:dyDescent="0.15">
      <c r="A75" s="8" t="s">
        <v>383</v>
      </c>
      <c r="B75" s="8" t="s">
        <v>439</v>
      </c>
      <c r="C75" s="8" t="s">
        <v>67</v>
      </c>
      <c r="D75" s="8" t="s">
        <v>162</v>
      </c>
      <c r="E75" s="8" t="s">
        <v>160</v>
      </c>
      <c r="F75" s="8" t="s">
        <v>161</v>
      </c>
      <c r="G75" s="6">
        <v>42830</v>
      </c>
      <c r="H75" s="6">
        <v>42836</v>
      </c>
      <c r="I75" s="4">
        <v>-20</v>
      </c>
      <c r="J75" s="8" t="s">
        <v>37</v>
      </c>
      <c r="K75" s="8" t="s">
        <v>440</v>
      </c>
      <c r="L75" s="4"/>
      <c r="M75" s="4"/>
      <c r="N75" s="4"/>
    </row>
    <row r="76" spans="1:14" x14ac:dyDescent="0.15">
      <c r="A76" s="8" t="s">
        <v>383</v>
      </c>
      <c r="B76" s="8" t="s">
        <v>441</v>
      </c>
      <c r="C76" s="8" t="s">
        <v>101</v>
      </c>
      <c r="D76" s="8" t="s">
        <v>102</v>
      </c>
      <c r="E76" s="8" t="s">
        <v>160</v>
      </c>
      <c r="F76" s="8" t="s">
        <v>161</v>
      </c>
      <c r="G76" s="6">
        <v>42831</v>
      </c>
      <c r="H76" s="6">
        <v>42832</v>
      </c>
      <c r="I76" s="4">
        <v>-200</v>
      </c>
      <c r="J76" s="8" t="s">
        <v>39</v>
      </c>
      <c r="K76" s="8" t="s">
        <v>442</v>
      </c>
      <c r="L76" s="4"/>
      <c r="M76" s="4"/>
      <c r="N76" s="4"/>
    </row>
    <row r="77" spans="1:14" x14ac:dyDescent="0.15">
      <c r="A77" s="8" t="s">
        <v>383</v>
      </c>
      <c r="B77" s="8" t="s">
        <v>441</v>
      </c>
      <c r="C77" s="8" t="s">
        <v>67</v>
      </c>
      <c r="D77" s="8" t="s">
        <v>162</v>
      </c>
      <c r="E77" s="8" t="s">
        <v>160</v>
      </c>
      <c r="F77" s="8" t="s">
        <v>161</v>
      </c>
      <c r="G77" s="6">
        <v>42831</v>
      </c>
      <c r="H77" s="6">
        <v>42832</v>
      </c>
      <c r="I77" s="4">
        <v>-2</v>
      </c>
      <c r="J77" s="8" t="s">
        <v>37</v>
      </c>
      <c r="K77" s="8" t="s">
        <v>443</v>
      </c>
      <c r="L77" s="4"/>
      <c r="M77" s="4"/>
      <c r="N77" s="4"/>
    </row>
    <row r="78" spans="1:14" x14ac:dyDescent="0.15">
      <c r="A78" s="8" t="s">
        <v>383</v>
      </c>
      <c r="B78" s="8" t="s">
        <v>444</v>
      </c>
      <c r="C78" s="8" t="s">
        <v>111</v>
      </c>
      <c r="D78" s="8" t="s">
        <v>112</v>
      </c>
      <c r="E78" s="8" t="s">
        <v>160</v>
      </c>
      <c r="F78" s="8" t="s">
        <v>161</v>
      </c>
      <c r="G78" s="6">
        <v>42832</v>
      </c>
      <c r="H78" s="6">
        <v>42836</v>
      </c>
      <c r="I78" s="4">
        <v>-414</v>
      </c>
      <c r="J78" s="8" t="s">
        <v>39</v>
      </c>
      <c r="K78" s="8" t="s">
        <v>445</v>
      </c>
      <c r="L78" s="4"/>
      <c r="M78" s="4"/>
      <c r="N78" s="4"/>
    </row>
    <row r="79" spans="1:14" ht="27" x14ac:dyDescent="0.15">
      <c r="A79" s="8" t="s">
        <v>383</v>
      </c>
      <c r="B79" s="8" t="s">
        <v>444</v>
      </c>
      <c r="C79" s="8" t="s">
        <v>164</v>
      </c>
      <c r="D79" s="11" t="s">
        <v>165</v>
      </c>
      <c r="E79" s="8" t="s">
        <v>160</v>
      </c>
      <c r="F79" s="8" t="s">
        <v>161</v>
      </c>
      <c r="G79" s="6">
        <v>42832</v>
      </c>
      <c r="H79" s="6">
        <v>42836</v>
      </c>
      <c r="I79" s="4">
        <v>-3</v>
      </c>
      <c r="J79" s="8" t="s">
        <v>37</v>
      </c>
      <c r="K79" s="8" t="s">
        <v>446</v>
      </c>
      <c r="L79" s="4"/>
      <c r="M79" s="4"/>
      <c r="N79" s="4"/>
    </row>
    <row r="80" spans="1:14" x14ac:dyDescent="0.15">
      <c r="A80" s="8" t="s">
        <v>383</v>
      </c>
      <c r="B80" s="8" t="s">
        <v>444</v>
      </c>
      <c r="C80" s="8" t="s">
        <v>67</v>
      </c>
      <c r="D80" s="8" t="s">
        <v>162</v>
      </c>
      <c r="E80" s="8" t="s">
        <v>160</v>
      </c>
      <c r="F80" s="8" t="s">
        <v>161</v>
      </c>
      <c r="G80" s="6">
        <v>42832</v>
      </c>
      <c r="H80" s="6">
        <v>42836</v>
      </c>
      <c r="I80" s="4">
        <v>-14</v>
      </c>
      <c r="J80" s="8" t="s">
        <v>37</v>
      </c>
      <c r="K80" s="8" t="s">
        <v>447</v>
      </c>
      <c r="L80" s="4"/>
      <c r="M80" s="4"/>
      <c r="N80" s="4"/>
    </row>
    <row r="81" spans="1:14" x14ac:dyDescent="0.15">
      <c r="A81" s="8" t="s">
        <v>383</v>
      </c>
      <c r="B81" s="8" t="s">
        <v>448</v>
      </c>
      <c r="C81" s="8" t="s">
        <v>103</v>
      </c>
      <c r="D81" s="8" t="s">
        <v>104</v>
      </c>
      <c r="E81" s="8" t="s">
        <v>160</v>
      </c>
      <c r="F81" s="8" t="s">
        <v>161</v>
      </c>
      <c r="G81" s="6">
        <v>42836</v>
      </c>
      <c r="H81" s="6">
        <v>42836</v>
      </c>
      <c r="I81" s="4">
        <v>-343</v>
      </c>
      <c r="J81" s="8" t="s">
        <v>37</v>
      </c>
      <c r="K81" s="8" t="s">
        <v>449</v>
      </c>
      <c r="L81" s="4"/>
      <c r="M81" s="4"/>
      <c r="N81" s="4"/>
    </row>
    <row r="82" spans="1:14" x14ac:dyDescent="0.15">
      <c r="A82" s="8" t="s">
        <v>383</v>
      </c>
      <c r="B82" s="8" t="s">
        <v>448</v>
      </c>
      <c r="C82" s="8" t="s">
        <v>108</v>
      </c>
      <c r="D82" s="8" t="s">
        <v>109</v>
      </c>
      <c r="E82" s="8" t="s">
        <v>160</v>
      </c>
      <c r="F82" s="8" t="s">
        <v>161</v>
      </c>
      <c r="G82" s="6">
        <v>42832</v>
      </c>
      <c r="H82" s="6">
        <v>42836</v>
      </c>
      <c r="I82" s="4">
        <v>-2</v>
      </c>
      <c r="J82" s="8" t="s">
        <v>37</v>
      </c>
      <c r="K82" s="8" t="s">
        <v>450</v>
      </c>
      <c r="L82" s="4"/>
      <c r="M82" s="4"/>
      <c r="N82" s="4"/>
    </row>
    <row r="83" spans="1:14" x14ac:dyDescent="0.15">
      <c r="A83" s="8" t="s">
        <v>383</v>
      </c>
      <c r="B83" s="8" t="s">
        <v>448</v>
      </c>
      <c r="C83" s="8" t="s">
        <v>67</v>
      </c>
      <c r="D83" s="8" t="s">
        <v>162</v>
      </c>
      <c r="E83" s="8" t="s">
        <v>160</v>
      </c>
      <c r="F83" s="8" t="s">
        <v>161</v>
      </c>
      <c r="G83" s="6">
        <v>42832</v>
      </c>
      <c r="H83" s="6">
        <v>42836</v>
      </c>
      <c r="I83" s="4">
        <v>-28</v>
      </c>
      <c r="J83" s="8" t="s">
        <v>37</v>
      </c>
      <c r="K83" s="8" t="s">
        <v>451</v>
      </c>
      <c r="L83" s="4"/>
      <c r="M83" s="4"/>
      <c r="N83" s="4"/>
    </row>
    <row r="84" spans="1:14" x14ac:dyDescent="0.15">
      <c r="A84" s="8" t="s">
        <v>383</v>
      </c>
      <c r="B84" s="8" t="s">
        <v>452</v>
      </c>
      <c r="C84" s="8" t="s">
        <v>69</v>
      </c>
      <c r="D84" s="8" t="s">
        <v>69</v>
      </c>
      <c r="E84" s="8" t="s">
        <v>160</v>
      </c>
      <c r="F84" s="8" t="s">
        <v>161</v>
      </c>
      <c r="G84" s="6">
        <v>42832</v>
      </c>
      <c r="H84" s="6">
        <v>42832</v>
      </c>
      <c r="I84" s="4">
        <v>-1</v>
      </c>
      <c r="J84" s="8" t="s">
        <v>37</v>
      </c>
      <c r="K84" s="8" t="s">
        <v>453</v>
      </c>
      <c r="L84" s="4"/>
      <c r="M84" s="4"/>
      <c r="N84" s="4"/>
    </row>
    <row r="85" spans="1:14" x14ac:dyDescent="0.15">
      <c r="A85" s="8" t="s">
        <v>383</v>
      </c>
      <c r="B85" s="8" t="s">
        <v>452</v>
      </c>
      <c r="C85" s="8" t="s">
        <v>209</v>
      </c>
      <c r="D85" s="8" t="s">
        <v>209</v>
      </c>
      <c r="E85" s="8" t="s">
        <v>160</v>
      </c>
      <c r="F85" s="8" t="s">
        <v>161</v>
      </c>
      <c r="G85" s="6">
        <v>42832</v>
      </c>
      <c r="H85" s="6">
        <v>42832</v>
      </c>
      <c r="I85" s="4">
        <v>-58</v>
      </c>
      <c r="J85" s="8" t="s">
        <v>37</v>
      </c>
      <c r="K85" s="8" t="s">
        <v>454</v>
      </c>
      <c r="L85" s="4"/>
      <c r="M85" s="4"/>
      <c r="N85" s="4"/>
    </row>
    <row r="86" spans="1:14" x14ac:dyDescent="0.15">
      <c r="A86" s="8" t="s">
        <v>383</v>
      </c>
      <c r="B86" s="8" t="s">
        <v>452</v>
      </c>
      <c r="C86" s="8" t="s">
        <v>209</v>
      </c>
      <c r="D86" s="8" t="s">
        <v>209</v>
      </c>
      <c r="E86" s="8" t="s">
        <v>160</v>
      </c>
      <c r="F86" s="8" t="s">
        <v>161</v>
      </c>
      <c r="G86" s="6">
        <v>42832</v>
      </c>
      <c r="H86" s="6">
        <v>42832</v>
      </c>
      <c r="I86" s="4">
        <v>-1</v>
      </c>
      <c r="J86" s="8" t="s">
        <v>37</v>
      </c>
      <c r="K86" s="8" t="s">
        <v>455</v>
      </c>
      <c r="L86" s="4"/>
      <c r="M86" s="4"/>
      <c r="N86" s="4"/>
    </row>
    <row r="87" spans="1:14" x14ac:dyDescent="0.15">
      <c r="A87" s="8" t="s">
        <v>383</v>
      </c>
      <c r="B87" s="8" t="s">
        <v>456</v>
      </c>
      <c r="C87" s="8" t="s">
        <v>67</v>
      </c>
      <c r="D87" s="8" t="s">
        <v>162</v>
      </c>
      <c r="E87" s="8" t="s">
        <v>160</v>
      </c>
      <c r="F87" s="8" t="s">
        <v>161</v>
      </c>
      <c r="G87" s="6">
        <v>42835</v>
      </c>
      <c r="H87" s="6">
        <v>42839</v>
      </c>
      <c r="I87" s="4">
        <v>-2</v>
      </c>
      <c r="J87" s="8" t="s">
        <v>37</v>
      </c>
      <c r="K87" s="8" t="s">
        <v>457</v>
      </c>
      <c r="L87" s="4"/>
      <c r="M87" s="4"/>
      <c r="N87" s="4"/>
    </row>
    <row r="88" spans="1:14" x14ac:dyDescent="0.15">
      <c r="A88" s="8" t="s">
        <v>383</v>
      </c>
      <c r="B88" s="8" t="s">
        <v>458</v>
      </c>
      <c r="C88" s="8" t="s">
        <v>62</v>
      </c>
      <c r="D88" s="8" t="s">
        <v>94</v>
      </c>
      <c r="E88" s="8" t="s">
        <v>160</v>
      </c>
      <c r="F88" s="8" t="s">
        <v>161</v>
      </c>
      <c r="G88" s="6">
        <v>42836</v>
      </c>
      <c r="H88" s="6">
        <v>42851</v>
      </c>
      <c r="I88" s="4">
        <v>-300</v>
      </c>
      <c r="J88" s="8" t="s">
        <v>39</v>
      </c>
      <c r="K88" s="8" t="s">
        <v>459</v>
      </c>
      <c r="L88" s="4"/>
      <c r="M88" s="4"/>
      <c r="N88" s="4"/>
    </row>
    <row r="89" spans="1:14" x14ac:dyDescent="0.15">
      <c r="A89" s="8" t="s">
        <v>383</v>
      </c>
      <c r="B89" s="8" t="s">
        <v>458</v>
      </c>
      <c r="C89" s="8" t="s">
        <v>63</v>
      </c>
      <c r="D89" s="8" t="s">
        <v>95</v>
      </c>
      <c r="E89" s="8" t="s">
        <v>160</v>
      </c>
      <c r="F89" s="8" t="s">
        <v>161</v>
      </c>
      <c r="G89" s="6">
        <v>42836</v>
      </c>
      <c r="H89" s="6">
        <v>42851</v>
      </c>
      <c r="I89" s="4">
        <v>-200</v>
      </c>
      <c r="J89" s="8" t="s">
        <v>39</v>
      </c>
      <c r="K89" s="8" t="s">
        <v>460</v>
      </c>
      <c r="L89" s="4"/>
      <c r="M89" s="4"/>
      <c r="N89" s="4"/>
    </row>
    <row r="90" spans="1:14" x14ac:dyDescent="0.15">
      <c r="A90" s="8" t="s">
        <v>383</v>
      </c>
      <c r="B90" s="8" t="s">
        <v>458</v>
      </c>
      <c r="C90" s="8" t="s">
        <v>108</v>
      </c>
      <c r="D90" s="8" t="s">
        <v>109</v>
      </c>
      <c r="E90" s="8" t="s">
        <v>160</v>
      </c>
      <c r="F90" s="8" t="s">
        <v>161</v>
      </c>
      <c r="G90" s="6">
        <v>42836</v>
      </c>
      <c r="H90" s="6">
        <v>42851</v>
      </c>
      <c r="I90" s="4">
        <v>-2</v>
      </c>
      <c r="J90" s="8" t="s">
        <v>37</v>
      </c>
      <c r="K90" s="8" t="s">
        <v>461</v>
      </c>
      <c r="L90" s="4"/>
      <c r="M90" s="4"/>
      <c r="N90" s="4"/>
    </row>
    <row r="91" spans="1:14" x14ac:dyDescent="0.15">
      <c r="A91" s="8" t="s">
        <v>383</v>
      </c>
      <c r="B91" s="8" t="s">
        <v>458</v>
      </c>
      <c r="C91" s="8" t="s">
        <v>80</v>
      </c>
      <c r="D91" s="8" t="s">
        <v>163</v>
      </c>
      <c r="E91" s="8" t="s">
        <v>160</v>
      </c>
      <c r="F91" s="8" t="s">
        <v>161</v>
      </c>
      <c r="G91" s="6">
        <v>42836</v>
      </c>
      <c r="H91" s="6">
        <v>42851</v>
      </c>
      <c r="I91" s="4">
        <v>-4</v>
      </c>
      <c r="J91" s="8" t="s">
        <v>37</v>
      </c>
      <c r="K91" s="8" t="s">
        <v>462</v>
      </c>
      <c r="L91" s="4"/>
      <c r="M91" s="4"/>
      <c r="N91" s="4"/>
    </row>
    <row r="92" spans="1:14" x14ac:dyDescent="0.15">
      <c r="A92" s="8" t="s">
        <v>383</v>
      </c>
      <c r="B92" s="8" t="s">
        <v>458</v>
      </c>
      <c r="C92" s="8" t="s">
        <v>148</v>
      </c>
      <c r="D92" s="8" t="s">
        <v>170</v>
      </c>
      <c r="E92" s="8" t="s">
        <v>160</v>
      </c>
      <c r="F92" s="8" t="s">
        <v>161</v>
      </c>
      <c r="G92" s="6">
        <v>42836</v>
      </c>
      <c r="H92" s="6">
        <v>42851</v>
      </c>
      <c r="I92" s="4">
        <v>-12</v>
      </c>
      <c r="J92" s="8" t="s">
        <v>37</v>
      </c>
      <c r="K92" s="8" t="s">
        <v>463</v>
      </c>
      <c r="L92" s="4"/>
      <c r="M92" s="4"/>
      <c r="N92" s="4"/>
    </row>
    <row r="93" spans="1:14" x14ac:dyDescent="0.15">
      <c r="A93" s="8" t="s">
        <v>383</v>
      </c>
      <c r="B93" s="8" t="s">
        <v>458</v>
      </c>
      <c r="C93" s="8" t="s">
        <v>67</v>
      </c>
      <c r="D93" s="8" t="s">
        <v>162</v>
      </c>
      <c r="E93" s="8" t="s">
        <v>160</v>
      </c>
      <c r="F93" s="8" t="s">
        <v>161</v>
      </c>
      <c r="G93" s="6">
        <v>42836</v>
      </c>
      <c r="H93" s="6">
        <v>42851</v>
      </c>
      <c r="I93" s="4">
        <v>-10</v>
      </c>
      <c r="J93" s="8" t="s">
        <v>37</v>
      </c>
      <c r="K93" s="8" t="s">
        <v>464</v>
      </c>
      <c r="L93" s="4"/>
      <c r="M93" s="4"/>
      <c r="N93" s="4"/>
    </row>
    <row r="94" spans="1:14" x14ac:dyDescent="0.15">
      <c r="A94" s="8" t="s">
        <v>383</v>
      </c>
      <c r="B94" s="8" t="s">
        <v>465</v>
      </c>
      <c r="C94" s="8" t="s">
        <v>72</v>
      </c>
      <c r="D94" s="8" t="s">
        <v>31</v>
      </c>
      <c r="E94" s="8" t="s">
        <v>160</v>
      </c>
      <c r="F94" s="8" t="s">
        <v>161</v>
      </c>
      <c r="G94" s="6">
        <v>42837</v>
      </c>
      <c r="H94" s="6">
        <v>42839</v>
      </c>
      <c r="I94" s="4">
        <v>-5</v>
      </c>
      <c r="J94" s="8" t="s">
        <v>38</v>
      </c>
      <c r="K94" s="8" t="s">
        <v>466</v>
      </c>
      <c r="L94" s="4"/>
      <c r="M94" s="4"/>
      <c r="N94" s="4"/>
    </row>
    <row r="95" spans="1:14" x14ac:dyDescent="0.15">
      <c r="A95" s="8" t="s">
        <v>383</v>
      </c>
      <c r="B95" s="8" t="s">
        <v>465</v>
      </c>
      <c r="C95" s="8" t="s">
        <v>68</v>
      </c>
      <c r="D95" s="8" t="s">
        <v>166</v>
      </c>
      <c r="E95" s="8" t="s">
        <v>160</v>
      </c>
      <c r="F95" s="8" t="s">
        <v>161</v>
      </c>
      <c r="G95" s="6">
        <v>42837</v>
      </c>
      <c r="H95" s="6">
        <v>42839</v>
      </c>
      <c r="I95" s="4">
        <v>-2</v>
      </c>
      <c r="J95" s="8" t="s">
        <v>37</v>
      </c>
      <c r="K95" s="8" t="s">
        <v>467</v>
      </c>
      <c r="L95" s="4"/>
      <c r="M95" s="4"/>
      <c r="N95" s="4"/>
    </row>
    <row r="96" spans="1:14" x14ac:dyDescent="0.15">
      <c r="A96" s="8" t="s">
        <v>383</v>
      </c>
      <c r="B96" s="8" t="s">
        <v>465</v>
      </c>
      <c r="C96" s="8" t="s">
        <v>19</v>
      </c>
      <c r="D96" s="8" t="s">
        <v>35</v>
      </c>
      <c r="E96" s="8" t="s">
        <v>160</v>
      </c>
      <c r="F96" s="8" t="s">
        <v>161</v>
      </c>
      <c r="G96" s="6">
        <v>42839</v>
      </c>
      <c r="H96" s="6">
        <v>42839</v>
      </c>
      <c r="I96" s="4">
        <v>-1</v>
      </c>
      <c r="J96" s="8" t="s">
        <v>37</v>
      </c>
      <c r="K96" s="8" t="s">
        <v>468</v>
      </c>
      <c r="L96" s="4"/>
      <c r="M96" s="4"/>
      <c r="N96" s="4"/>
    </row>
    <row r="97" spans="1:14" x14ac:dyDescent="0.15">
      <c r="A97" s="8" t="s">
        <v>383</v>
      </c>
      <c r="B97" s="8" t="s">
        <v>469</v>
      </c>
      <c r="C97" s="8" t="s">
        <v>57</v>
      </c>
      <c r="D97" s="8" t="s">
        <v>113</v>
      </c>
      <c r="E97" s="8" t="s">
        <v>160</v>
      </c>
      <c r="F97" s="8" t="s">
        <v>161</v>
      </c>
      <c r="G97" s="6">
        <v>42837</v>
      </c>
      <c r="H97" s="6">
        <v>42839</v>
      </c>
      <c r="I97" s="4">
        <v>-100</v>
      </c>
      <c r="J97" s="8" t="s">
        <v>39</v>
      </c>
      <c r="K97" s="8" t="s">
        <v>470</v>
      </c>
      <c r="L97" s="4"/>
      <c r="M97" s="4"/>
      <c r="N97" s="4"/>
    </row>
    <row r="98" spans="1:14" x14ac:dyDescent="0.15">
      <c r="A98" s="8" t="s">
        <v>383</v>
      </c>
      <c r="B98" s="8" t="s">
        <v>471</v>
      </c>
      <c r="C98" s="8" t="s">
        <v>29</v>
      </c>
      <c r="D98" s="8" t="s">
        <v>33</v>
      </c>
      <c r="E98" s="8" t="s">
        <v>160</v>
      </c>
      <c r="F98" s="8" t="s">
        <v>161</v>
      </c>
      <c r="G98" s="6">
        <v>42837</v>
      </c>
      <c r="H98" s="6">
        <v>42839</v>
      </c>
      <c r="I98" s="4">
        <v>-600</v>
      </c>
      <c r="J98" s="8" t="s">
        <v>39</v>
      </c>
      <c r="K98" s="8" t="s">
        <v>472</v>
      </c>
      <c r="L98" s="4"/>
      <c r="M98" s="4"/>
      <c r="N98" s="4"/>
    </row>
    <row r="99" spans="1:14" x14ac:dyDescent="0.15">
      <c r="A99" s="8" t="s">
        <v>383</v>
      </c>
      <c r="B99" s="8" t="s">
        <v>471</v>
      </c>
      <c r="C99" s="8" t="s">
        <v>67</v>
      </c>
      <c r="D99" s="8" t="s">
        <v>162</v>
      </c>
      <c r="E99" s="8" t="s">
        <v>160</v>
      </c>
      <c r="F99" s="8" t="s">
        <v>161</v>
      </c>
      <c r="G99" s="6">
        <v>42837</v>
      </c>
      <c r="H99" s="6">
        <v>42839</v>
      </c>
      <c r="I99" s="4">
        <v>-10</v>
      </c>
      <c r="J99" s="8" t="s">
        <v>37</v>
      </c>
      <c r="K99" s="8" t="s">
        <v>473</v>
      </c>
      <c r="L99" s="4"/>
      <c r="M99" s="4"/>
      <c r="N99" s="4"/>
    </row>
    <row r="100" spans="1:14" x14ac:dyDescent="0.15">
      <c r="A100" s="8" t="s">
        <v>383</v>
      </c>
      <c r="B100" s="8" t="s">
        <v>471</v>
      </c>
      <c r="C100" s="8" t="s">
        <v>67</v>
      </c>
      <c r="D100" s="8" t="s">
        <v>162</v>
      </c>
      <c r="E100" s="8" t="s">
        <v>160</v>
      </c>
      <c r="F100" s="8" t="s">
        <v>161</v>
      </c>
      <c r="G100" s="6">
        <v>42838</v>
      </c>
      <c r="H100" s="6">
        <v>42839</v>
      </c>
      <c r="I100" s="4">
        <v>-16</v>
      </c>
      <c r="J100" s="8" t="s">
        <v>37</v>
      </c>
      <c r="K100" s="8" t="s">
        <v>474</v>
      </c>
      <c r="L100" s="4"/>
      <c r="M100" s="4"/>
      <c r="N100" s="4"/>
    </row>
    <row r="101" spans="1:14" x14ac:dyDescent="0.15">
      <c r="A101" s="8" t="s">
        <v>383</v>
      </c>
      <c r="B101" s="8" t="s">
        <v>475</v>
      </c>
      <c r="C101" s="8" t="s">
        <v>73</v>
      </c>
      <c r="D101" s="8" t="s">
        <v>125</v>
      </c>
      <c r="E101" s="8" t="s">
        <v>160</v>
      </c>
      <c r="F101" s="8" t="s">
        <v>161</v>
      </c>
      <c r="G101" s="6">
        <v>42838</v>
      </c>
      <c r="H101" s="6">
        <v>42843</v>
      </c>
      <c r="I101" s="4">
        <v>-1.3</v>
      </c>
      <c r="J101" s="8" t="s">
        <v>38</v>
      </c>
      <c r="K101" s="8" t="s">
        <v>476</v>
      </c>
      <c r="L101" s="4"/>
      <c r="M101" s="4"/>
      <c r="N101" s="4"/>
    </row>
    <row r="102" spans="1:14" x14ac:dyDescent="0.15">
      <c r="A102" s="8" t="s">
        <v>383</v>
      </c>
      <c r="B102" s="8" t="s">
        <v>475</v>
      </c>
      <c r="C102" s="8" t="s">
        <v>68</v>
      </c>
      <c r="D102" s="8" t="s">
        <v>166</v>
      </c>
      <c r="E102" s="8" t="s">
        <v>160</v>
      </c>
      <c r="F102" s="8" t="s">
        <v>161</v>
      </c>
      <c r="G102" s="6">
        <v>42838</v>
      </c>
      <c r="H102" s="6">
        <v>42843</v>
      </c>
      <c r="I102" s="4">
        <v>-1</v>
      </c>
      <c r="J102" s="8" t="s">
        <v>37</v>
      </c>
      <c r="K102" s="8" t="s">
        <v>477</v>
      </c>
      <c r="L102" s="4"/>
      <c r="M102" s="4"/>
      <c r="N102" s="4"/>
    </row>
    <row r="103" spans="1:14" x14ac:dyDescent="0.15">
      <c r="A103" s="8" t="s">
        <v>383</v>
      </c>
      <c r="B103" s="8" t="s">
        <v>475</v>
      </c>
      <c r="C103" s="8" t="s">
        <v>19</v>
      </c>
      <c r="D103" s="8" t="s">
        <v>35</v>
      </c>
      <c r="E103" s="8" t="s">
        <v>160</v>
      </c>
      <c r="F103" s="8" t="s">
        <v>161</v>
      </c>
      <c r="G103" s="6">
        <v>42838</v>
      </c>
      <c r="H103" s="6">
        <v>42843</v>
      </c>
      <c r="I103" s="4">
        <v>-1</v>
      </c>
      <c r="J103" s="8" t="s">
        <v>37</v>
      </c>
      <c r="K103" s="8" t="s">
        <v>478</v>
      </c>
      <c r="L103" s="4"/>
      <c r="M103" s="4"/>
      <c r="N103" s="4"/>
    </row>
    <row r="104" spans="1:14" x14ac:dyDescent="0.15">
      <c r="A104" s="8" t="s">
        <v>383</v>
      </c>
      <c r="B104" s="8" t="s">
        <v>479</v>
      </c>
      <c r="C104" s="8" t="s">
        <v>103</v>
      </c>
      <c r="D104" s="8" t="s">
        <v>104</v>
      </c>
      <c r="E104" s="8" t="s">
        <v>160</v>
      </c>
      <c r="F104" s="8" t="s">
        <v>161</v>
      </c>
      <c r="G104" s="6">
        <v>42838</v>
      </c>
      <c r="H104" s="6">
        <v>42839</v>
      </c>
      <c r="I104" s="4">
        <v>-514</v>
      </c>
      <c r="J104" s="8" t="s">
        <v>37</v>
      </c>
      <c r="K104" s="8" t="s">
        <v>480</v>
      </c>
      <c r="L104" s="4"/>
      <c r="M104" s="4"/>
      <c r="N104" s="4"/>
    </row>
    <row r="105" spans="1:14" x14ac:dyDescent="0.15">
      <c r="A105" s="8" t="s">
        <v>383</v>
      </c>
      <c r="B105" s="8" t="s">
        <v>481</v>
      </c>
      <c r="C105" s="8" t="s">
        <v>25</v>
      </c>
      <c r="D105" s="8" t="s">
        <v>31</v>
      </c>
      <c r="E105" s="8" t="s">
        <v>160</v>
      </c>
      <c r="F105" s="8" t="s">
        <v>161</v>
      </c>
      <c r="G105" s="6">
        <v>42843</v>
      </c>
      <c r="H105" s="6">
        <v>42849</v>
      </c>
      <c r="I105" s="4">
        <v>-30</v>
      </c>
      <c r="J105" s="8" t="s">
        <v>38</v>
      </c>
      <c r="K105" s="8" t="s">
        <v>482</v>
      </c>
      <c r="L105" s="4"/>
      <c r="M105" s="4"/>
      <c r="N105" s="4"/>
    </row>
    <row r="106" spans="1:14" x14ac:dyDescent="0.15">
      <c r="A106" s="8" t="s">
        <v>383</v>
      </c>
      <c r="B106" s="8" t="s">
        <v>481</v>
      </c>
      <c r="C106" s="8" t="s">
        <v>23</v>
      </c>
      <c r="D106" s="8" t="s">
        <v>159</v>
      </c>
      <c r="E106" s="8" t="s">
        <v>160</v>
      </c>
      <c r="F106" s="8" t="s">
        <v>161</v>
      </c>
      <c r="G106" s="6">
        <v>42843</v>
      </c>
      <c r="H106" s="6">
        <v>42849</v>
      </c>
      <c r="I106" s="4">
        <v>-3</v>
      </c>
      <c r="J106" s="8" t="s">
        <v>37</v>
      </c>
      <c r="K106" s="8" t="s">
        <v>483</v>
      </c>
      <c r="L106" s="4"/>
      <c r="M106" s="4"/>
      <c r="N106" s="4"/>
    </row>
    <row r="107" spans="1:14" x14ac:dyDescent="0.15">
      <c r="A107" s="8" t="s">
        <v>383</v>
      </c>
      <c r="B107" s="8" t="s">
        <v>481</v>
      </c>
      <c r="C107" s="8" t="s">
        <v>117</v>
      </c>
      <c r="D107" s="8" t="s">
        <v>118</v>
      </c>
      <c r="E107" s="8" t="s">
        <v>160</v>
      </c>
      <c r="F107" s="8" t="s">
        <v>161</v>
      </c>
      <c r="G107" s="6">
        <v>42843</v>
      </c>
      <c r="H107" s="6">
        <v>42849</v>
      </c>
      <c r="I107" s="4">
        <v>-4</v>
      </c>
      <c r="J107" s="8" t="s">
        <v>37</v>
      </c>
      <c r="K107" s="8" t="s">
        <v>484</v>
      </c>
      <c r="L107" s="4"/>
      <c r="M107" s="4"/>
      <c r="N107" s="4"/>
    </row>
    <row r="108" spans="1:14" x14ac:dyDescent="0.15">
      <c r="A108" s="8" t="s">
        <v>383</v>
      </c>
      <c r="B108" s="8" t="s">
        <v>485</v>
      </c>
      <c r="C108" s="8" t="s">
        <v>67</v>
      </c>
      <c r="D108" s="8" t="s">
        <v>162</v>
      </c>
      <c r="E108" s="8" t="s">
        <v>160</v>
      </c>
      <c r="F108" s="8" t="s">
        <v>161</v>
      </c>
      <c r="G108" s="6">
        <v>42843</v>
      </c>
      <c r="H108" s="6">
        <v>42849</v>
      </c>
      <c r="I108" s="4">
        <v>-2</v>
      </c>
      <c r="J108" s="8" t="s">
        <v>37</v>
      </c>
      <c r="K108" s="8" t="s">
        <v>486</v>
      </c>
      <c r="L108" s="4"/>
      <c r="M108" s="4"/>
      <c r="N108" s="4"/>
    </row>
    <row r="109" spans="1:14" x14ac:dyDescent="0.15">
      <c r="A109" s="8" t="s">
        <v>383</v>
      </c>
      <c r="B109" s="8" t="s">
        <v>485</v>
      </c>
      <c r="C109" s="8" t="s">
        <v>19</v>
      </c>
      <c r="D109" s="8" t="s">
        <v>35</v>
      </c>
      <c r="E109" s="8" t="s">
        <v>160</v>
      </c>
      <c r="F109" s="8" t="s">
        <v>161</v>
      </c>
      <c r="G109" s="6">
        <v>42849</v>
      </c>
      <c r="H109" s="6">
        <v>42849</v>
      </c>
      <c r="I109" s="4">
        <v>-1</v>
      </c>
      <c r="J109" s="8" t="s">
        <v>37</v>
      </c>
      <c r="K109" s="8" t="s">
        <v>487</v>
      </c>
      <c r="L109" s="4"/>
      <c r="M109" s="4"/>
      <c r="N109" s="4"/>
    </row>
    <row r="110" spans="1:14" x14ac:dyDescent="0.15">
      <c r="A110" s="8" t="s">
        <v>383</v>
      </c>
      <c r="B110" s="8" t="s">
        <v>488</v>
      </c>
      <c r="C110" s="8" t="s">
        <v>106</v>
      </c>
      <c r="D110" s="8" t="s">
        <v>107</v>
      </c>
      <c r="E110" s="8" t="s">
        <v>160</v>
      </c>
      <c r="F110" s="8" t="s">
        <v>161</v>
      </c>
      <c r="G110" s="6">
        <v>42844</v>
      </c>
      <c r="H110" s="6">
        <v>42850</v>
      </c>
      <c r="I110" s="4">
        <v>-87.6</v>
      </c>
      <c r="J110" s="8" t="s">
        <v>39</v>
      </c>
      <c r="K110" s="8" t="s">
        <v>489</v>
      </c>
      <c r="L110" s="4"/>
      <c r="M110" s="4"/>
      <c r="N110" s="4"/>
    </row>
    <row r="111" spans="1:14" x14ac:dyDescent="0.15">
      <c r="A111" s="8" t="s">
        <v>383</v>
      </c>
      <c r="B111" s="8" t="s">
        <v>488</v>
      </c>
      <c r="C111" s="8" t="s">
        <v>106</v>
      </c>
      <c r="D111" s="8" t="s">
        <v>107</v>
      </c>
      <c r="E111" s="8" t="s">
        <v>160</v>
      </c>
      <c r="F111" s="8" t="s">
        <v>161</v>
      </c>
      <c r="G111" s="6">
        <v>42844</v>
      </c>
      <c r="H111" s="6">
        <v>42850</v>
      </c>
      <c r="I111" s="4">
        <v>-1.4</v>
      </c>
      <c r="J111" s="8" t="s">
        <v>39</v>
      </c>
      <c r="K111" s="8" t="s">
        <v>490</v>
      </c>
      <c r="L111" s="4"/>
      <c r="M111" s="4"/>
      <c r="N111" s="4"/>
    </row>
    <row r="112" spans="1:14" x14ac:dyDescent="0.15">
      <c r="A112" s="8" t="s">
        <v>383</v>
      </c>
      <c r="B112" s="8" t="s">
        <v>488</v>
      </c>
      <c r="C112" s="8" t="s">
        <v>59</v>
      </c>
      <c r="D112" s="8" t="s">
        <v>93</v>
      </c>
      <c r="E112" s="8" t="s">
        <v>160</v>
      </c>
      <c r="F112" s="8" t="s">
        <v>161</v>
      </c>
      <c r="G112" s="6">
        <v>42844</v>
      </c>
      <c r="H112" s="6">
        <v>42850</v>
      </c>
      <c r="I112" s="4">
        <v>-400</v>
      </c>
      <c r="J112" s="8" t="s">
        <v>39</v>
      </c>
      <c r="K112" s="8" t="s">
        <v>491</v>
      </c>
      <c r="L112" s="4"/>
      <c r="M112" s="4"/>
      <c r="N112" s="4"/>
    </row>
    <row r="113" spans="1:14" x14ac:dyDescent="0.15">
      <c r="A113" s="8" t="s">
        <v>383</v>
      </c>
      <c r="B113" s="8" t="s">
        <v>488</v>
      </c>
      <c r="C113" s="8" t="s">
        <v>108</v>
      </c>
      <c r="D113" s="8" t="s">
        <v>109</v>
      </c>
      <c r="E113" s="8" t="s">
        <v>160</v>
      </c>
      <c r="F113" s="8" t="s">
        <v>161</v>
      </c>
      <c r="G113" s="6">
        <v>42844</v>
      </c>
      <c r="H113" s="6">
        <v>42850</v>
      </c>
      <c r="I113" s="4">
        <v>-1</v>
      </c>
      <c r="J113" s="8" t="s">
        <v>37</v>
      </c>
      <c r="K113" s="8" t="s">
        <v>492</v>
      </c>
      <c r="L113" s="4"/>
      <c r="M113" s="4"/>
      <c r="N113" s="4"/>
    </row>
    <row r="114" spans="1:14" x14ac:dyDescent="0.15">
      <c r="A114" s="8" t="s">
        <v>383</v>
      </c>
      <c r="B114" s="8" t="s">
        <v>488</v>
      </c>
      <c r="C114" s="8" t="s">
        <v>67</v>
      </c>
      <c r="D114" s="8" t="s">
        <v>162</v>
      </c>
      <c r="E114" s="8" t="s">
        <v>160</v>
      </c>
      <c r="F114" s="8" t="s">
        <v>161</v>
      </c>
      <c r="G114" s="6">
        <v>42844</v>
      </c>
      <c r="H114" s="6">
        <v>42850</v>
      </c>
      <c r="I114" s="4">
        <v>-20</v>
      </c>
      <c r="J114" s="8" t="s">
        <v>37</v>
      </c>
      <c r="K114" s="8" t="s">
        <v>493</v>
      </c>
      <c r="L114" s="4"/>
      <c r="M114" s="4"/>
      <c r="N114" s="4"/>
    </row>
    <row r="115" spans="1:14" x14ac:dyDescent="0.15">
      <c r="A115" s="8" t="s">
        <v>383</v>
      </c>
      <c r="B115" s="8" t="s">
        <v>494</v>
      </c>
      <c r="C115" s="8" t="s">
        <v>142</v>
      </c>
      <c r="D115" s="8" t="s">
        <v>206</v>
      </c>
      <c r="E115" s="8" t="s">
        <v>160</v>
      </c>
      <c r="F115" s="8" t="s">
        <v>161</v>
      </c>
      <c r="G115" s="6">
        <v>42846</v>
      </c>
      <c r="H115" s="6">
        <v>42851</v>
      </c>
      <c r="I115" s="4">
        <v>-80.099999999999994</v>
      </c>
      <c r="J115" s="8" t="s">
        <v>38</v>
      </c>
      <c r="K115" s="8" t="s">
        <v>495</v>
      </c>
      <c r="L115" s="4"/>
      <c r="M115" s="4"/>
      <c r="N115" s="4"/>
    </row>
    <row r="116" spans="1:14" x14ac:dyDescent="0.15">
      <c r="A116" s="8" t="s">
        <v>383</v>
      </c>
      <c r="B116" s="8" t="s">
        <v>494</v>
      </c>
      <c r="C116" s="8" t="s">
        <v>68</v>
      </c>
      <c r="D116" s="8" t="s">
        <v>166</v>
      </c>
      <c r="E116" s="8" t="s">
        <v>160</v>
      </c>
      <c r="F116" s="8" t="s">
        <v>161</v>
      </c>
      <c r="G116" s="6">
        <v>42846</v>
      </c>
      <c r="H116" s="6">
        <v>42851</v>
      </c>
      <c r="I116" s="4">
        <v>-10</v>
      </c>
      <c r="J116" s="8" t="s">
        <v>37</v>
      </c>
      <c r="K116" s="8" t="s">
        <v>496</v>
      </c>
      <c r="L116" s="4"/>
      <c r="M116" s="4"/>
      <c r="N116" s="4"/>
    </row>
    <row r="117" spans="1:14" x14ac:dyDescent="0.15">
      <c r="A117" s="8" t="s">
        <v>383</v>
      </c>
      <c r="B117" s="8" t="s">
        <v>494</v>
      </c>
      <c r="C117" s="8" t="s">
        <v>19</v>
      </c>
      <c r="D117" s="8" t="s">
        <v>35</v>
      </c>
      <c r="E117" s="8" t="s">
        <v>160</v>
      </c>
      <c r="F117" s="8" t="s">
        <v>161</v>
      </c>
      <c r="G117" s="6">
        <v>42846</v>
      </c>
      <c r="H117" s="6">
        <v>42851</v>
      </c>
      <c r="I117" s="4">
        <v>-1</v>
      </c>
      <c r="J117" s="8" t="s">
        <v>37</v>
      </c>
      <c r="K117" s="8" t="s">
        <v>497</v>
      </c>
      <c r="L117" s="4"/>
      <c r="M117" s="4"/>
      <c r="N117" s="4"/>
    </row>
    <row r="118" spans="1:14" x14ac:dyDescent="0.15">
      <c r="A118" s="8" t="s">
        <v>383</v>
      </c>
      <c r="B118" s="8" t="s">
        <v>498</v>
      </c>
      <c r="C118" s="8" t="s">
        <v>167</v>
      </c>
      <c r="D118" s="8" t="s">
        <v>168</v>
      </c>
      <c r="E118" s="8" t="s">
        <v>160</v>
      </c>
      <c r="F118" s="8" t="s">
        <v>161</v>
      </c>
      <c r="G118" s="6">
        <v>42846</v>
      </c>
      <c r="H118" s="6">
        <v>42851</v>
      </c>
      <c r="I118" s="4">
        <v>-1500</v>
      </c>
      <c r="J118" s="8" t="s">
        <v>133</v>
      </c>
      <c r="K118" s="8" t="s">
        <v>499</v>
      </c>
      <c r="L118" s="4"/>
      <c r="M118" s="4"/>
      <c r="N118" s="4"/>
    </row>
    <row r="119" spans="1:14" x14ac:dyDescent="0.15">
      <c r="A119" s="8" t="s">
        <v>383</v>
      </c>
      <c r="B119" s="8" t="s">
        <v>500</v>
      </c>
      <c r="C119" s="8" t="s">
        <v>67</v>
      </c>
      <c r="D119" s="8" t="s">
        <v>162</v>
      </c>
      <c r="E119" s="8" t="s">
        <v>160</v>
      </c>
      <c r="F119" s="8" t="s">
        <v>161</v>
      </c>
      <c r="G119" s="6">
        <v>42849</v>
      </c>
      <c r="H119" s="6">
        <v>42851</v>
      </c>
      <c r="I119" s="4">
        <v>-20</v>
      </c>
      <c r="J119" s="8" t="s">
        <v>37</v>
      </c>
      <c r="K119" s="8" t="s">
        <v>501</v>
      </c>
      <c r="L119" s="4"/>
      <c r="M119" s="4"/>
      <c r="N119" s="4"/>
    </row>
    <row r="120" spans="1:14" x14ac:dyDescent="0.15">
      <c r="A120" s="8" t="s">
        <v>383</v>
      </c>
      <c r="B120" s="8" t="s">
        <v>502</v>
      </c>
      <c r="C120" s="8" t="s">
        <v>29</v>
      </c>
      <c r="D120" s="8" t="s">
        <v>33</v>
      </c>
      <c r="E120" s="8" t="s">
        <v>160</v>
      </c>
      <c r="F120" s="8" t="s">
        <v>161</v>
      </c>
      <c r="G120" s="6">
        <v>42849</v>
      </c>
      <c r="H120" s="6">
        <v>42849</v>
      </c>
      <c r="I120" s="4">
        <v>0</v>
      </c>
      <c r="J120" s="8" t="s">
        <v>39</v>
      </c>
      <c r="K120" s="8" t="s">
        <v>503</v>
      </c>
      <c r="L120" s="4"/>
      <c r="M120" s="4"/>
      <c r="N120" s="4"/>
    </row>
    <row r="121" spans="1:14" x14ac:dyDescent="0.15">
      <c r="A121" s="8" t="s">
        <v>383</v>
      </c>
      <c r="B121" s="8" t="s">
        <v>502</v>
      </c>
      <c r="C121" s="8" t="s">
        <v>29</v>
      </c>
      <c r="D121" s="8" t="s">
        <v>33</v>
      </c>
      <c r="E121" s="8" t="s">
        <v>160</v>
      </c>
      <c r="F121" s="8" t="s">
        <v>161</v>
      </c>
      <c r="G121" s="6">
        <v>42849</v>
      </c>
      <c r="H121" s="6">
        <v>42849</v>
      </c>
      <c r="I121" s="4">
        <v>0</v>
      </c>
      <c r="J121" s="8" t="s">
        <v>39</v>
      </c>
      <c r="K121" s="8" t="s">
        <v>504</v>
      </c>
      <c r="L121" s="4"/>
      <c r="M121" s="4"/>
      <c r="N121" s="4"/>
    </row>
    <row r="122" spans="1:14" x14ac:dyDescent="0.15">
      <c r="A122" s="8" t="s">
        <v>383</v>
      </c>
      <c r="B122" s="8" t="s">
        <v>502</v>
      </c>
      <c r="C122" s="8" t="s">
        <v>29</v>
      </c>
      <c r="D122" s="8" t="s">
        <v>33</v>
      </c>
      <c r="E122" s="8" t="s">
        <v>160</v>
      </c>
      <c r="F122" s="8" t="s">
        <v>161</v>
      </c>
      <c r="G122" s="6">
        <v>42850</v>
      </c>
      <c r="H122" s="6">
        <v>42850</v>
      </c>
      <c r="I122" s="4">
        <v>93.5</v>
      </c>
      <c r="J122" s="8" t="s">
        <v>39</v>
      </c>
      <c r="K122" s="8" t="s">
        <v>505</v>
      </c>
      <c r="L122" s="4"/>
      <c r="M122" s="4"/>
      <c r="N122" s="4"/>
    </row>
    <row r="123" spans="1:14" x14ac:dyDescent="0.15">
      <c r="A123" s="8" t="s">
        <v>383</v>
      </c>
      <c r="B123" s="8" t="s">
        <v>506</v>
      </c>
      <c r="C123" s="8" t="s">
        <v>29</v>
      </c>
      <c r="D123" s="8" t="s">
        <v>33</v>
      </c>
      <c r="E123" s="8" t="s">
        <v>160</v>
      </c>
      <c r="F123" s="8" t="s">
        <v>161</v>
      </c>
      <c r="G123" s="6">
        <v>42850</v>
      </c>
      <c r="H123" s="6">
        <v>42851</v>
      </c>
      <c r="I123" s="4">
        <v>-20</v>
      </c>
      <c r="J123" s="8" t="s">
        <v>39</v>
      </c>
      <c r="K123" s="8" t="s">
        <v>507</v>
      </c>
      <c r="L123" s="4"/>
      <c r="M123" s="4"/>
      <c r="N123" s="4"/>
    </row>
    <row r="124" spans="1:14" x14ac:dyDescent="0.15">
      <c r="A124" s="8" t="s">
        <v>383</v>
      </c>
      <c r="B124" s="8" t="s">
        <v>506</v>
      </c>
      <c r="C124" s="8" t="s">
        <v>67</v>
      </c>
      <c r="D124" s="8" t="s">
        <v>162</v>
      </c>
      <c r="E124" s="8" t="s">
        <v>160</v>
      </c>
      <c r="F124" s="8" t="s">
        <v>161</v>
      </c>
      <c r="G124" s="6">
        <v>42850</v>
      </c>
      <c r="H124" s="6">
        <v>42851</v>
      </c>
      <c r="I124" s="4">
        <v>-2</v>
      </c>
      <c r="J124" s="8" t="s">
        <v>37</v>
      </c>
      <c r="K124" s="8" t="s">
        <v>508</v>
      </c>
      <c r="L124" s="4"/>
      <c r="M124" s="4"/>
      <c r="N124" s="4"/>
    </row>
    <row r="125" spans="1:14" x14ac:dyDescent="0.15">
      <c r="A125" s="8" t="s">
        <v>383</v>
      </c>
      <c r="B125" s="8" t="s">
        <v>509</v>
      </c>
      <c r="C125" s="8" t="s">
        <v>167</v>
      </c>
      <c r="D125" s="8" t="s">
        <v>168</v>
      </c>
      <c r="E125" s="8" t="s">
        <v>160</v>
      </c>
      <c r="F125" s="8" t="s">
        <v>161</v>
      </c>
      <c r="G125" s="6">
        <v>42849</v>
      </c>
      <c r="H125" s="6">
        <v>42850</v>
      </c>
      <c r="I125" s="4">
        <v>-3150</v>
      </c>
      <c r="J125" s="8" t="s">
        <v>133</v>
      </c>
      <c r="K125" s="8" t="s">
        <v>510</v>
      </c>
      <c r="L125" s="4"/>
      <c r="M125" s="4"/>
      <c r="N125" s="4"/>
    </row>
    <row r="126" spans="1:14" x14ac:dyDescent="0.15">
      <c r="A126" s="8" t="s">
        <v>383</v>
      </c>
      <c r="B126" s="8" t="s">
        <v>509</v>
      </c>
      <c r="C126" s="8" t="s">
        <v>198</v>
      </c>
      <c r="D126" s="8" t="s">
        <v>210</v>
      </c>
      <c r="E126" s="8" t="s">
        <v>160</v>
      </c>
      <c r="F126" s="8" t="s">
        <v>161</v>
      </c>
      <c r="G126" s="6">
        <v>42849</v>
      </c>
      <c r="H126" s="6">
        <v>42850</v>
      </c>
      <c r="I126" s="4">
        <v>-125</v>
      </c>
      <c r="J126" s="8" t="s">
        <v>133</v>
      </c>
      <c r="K126" s="8" t="s">
        <v>511</v>
      </c>
      <c r="L126" s="4"/>
      <c r="M126" s="4"/>
      <c r="N126" s="4"/>
    </row>
    <row r="127" spans="1:14" x14ac:dyDescent="0.15">
      <c r="A127" s="8" t="s">
        <v>383</v>
      </c>
      <c r="B127" s="8" t="s">
        <v>509</v>
      </c>
      <c r="C127" s="8" t="s">
        <v>68</v>
      </c>
      <c r="D127" s="8" t="s">
        <v>166</v>
      </c>
      <c r="E127" s="8" t="s">
        <v>160</v>
      </c>
      <c r="F127" s="8" t="s">
        <v>161</v>
      </c>
      <c r="G127" s="6">
        <v>42849</v>
      </c>
      <c r="H127" s="6">
        <v>42850</v>
      </c>
      <c r="I127" s="4">
        <v>-1</v>
      </c>
      <c r="J127" s="8" t="s">
        <v>37</v>
      </c>
      <c r="K127" s="8" t="s">
        <v>512</v>
      </c>
      <c r="L127" s="4"/>
      <c r="M127" s="4"/>
      <c r="N127" s="4"/>
    </row>
    <row r="128" spans="1:14" x14ac:dyDescent="0.15">
      <c r="A128" s="8" t="s">
        <v>383</v>
      </c>
      <c r="B128" s="8" t="s">
        <v>513</v>
      </c>
      <c r="C128" s="8" t="s">
        <v>22</v>
      </c>
      <c r="D128" s="8" t="s">
        <v>188</v>
      </c>
      <c r="E128" s="8" t="s">
        <v>160</v>
      </c>
      <c r="F128" s="8" t="s">
        <v>161</v>
      </c>
      <c r="G128" s="6">
        <v>42849</v>
      </c>
      <c r="H128" s="6">
        <v>42851</v>
      </c>
      <c r="I128" s="4">
        <v>-1</v>
      </c>
      <c r="J128" s="8" t="s">
        <v>37</v>
      </c>
      <c r="K128" s="8" t="s">
        <v>514</v>
      </c>
      <c r="L128" s="4"/>
      <c r="M128" s="4"/>
      <c r="N128" s="4"/>
    </row>
    <row r="129" spans="1:14" x14ac:dyDescent="0.15">
      <c r="A129" s="8" t="s">
        <v>383</v>
      </c>
      <c r="B129" s="8" t="s">
        <v>513</v>
      </c>
      <c r="C129" s="8" t="s">
        <v>15</v>
      </c>
      <c r="D129" s="8" t="s">
        <v>32</v>
      </c>
      <c r="E129" s="8" t="s">
        <v>160</v>
      </c>
      <c r="F129" s="8" t="s">
        <v>161</v>
      </c>
      <c r="G129" s="6">
        <v>42849</v>
      </c>
      <c r="H129" s="6">
        <v>42851</v>
      </c>
      <c r="I129" s="4">
        <v>-1018.5</v>
      </c>
      <c r="J129" s="8" t="s">
        <v>38</v>
      </c>
      <c r="K129" s="8" t="s">
        <v>515</v>
      </c>
      <c r="L129" s="4"/>
      <c r="M129" s="4"/>
      <c r="N129" s="4"/>
    </row>
    <row r="130" spans="1:14" x14ac:dyDescent="0.15">
      <c r="A130" s="8" t="s">
        <v>383</v>
      </c>
      <c r="B130" s="8" t="s">
        <v>513</v>
      </c>
      <c r="C130" s="8" t="s">
        <v>16</v>
      </c>
      <c r="D130" s="8" t="s">
        <v>32</v>
      </c>
      <c r="E130" s="8" t="s">
        <v>160</v>
      </c>
      <c r="F130" s="8" t="s">
        <v>161</v>
      </c>
      <c r="G130" s="6">
        <v>42849</v>
      </c>
      <c r="H130" s="6">
        <v>42851</v>
      </c>
      <c r="I130" s="4">
        <v>-6142.5</v>
      </c>
      <c r="J130" s="8" t="s">
        <v>38</v>
      </c>
      <c r="K130" s="8" t="s">
        <v>516</v>
      </c>
      <c r="L130" s="4"/>
      <c r="M130" s="4"/>
      <c r="N130" s="4"/>
    </row>
    <row r="131" spans="1:14" x14ac:dyDescent="0.15">
      <c r="A131" s="8" t="s">
        <v>383</v>
      </c>
      <c r="B131" s="8" t="s">
        <v>517</v>
      </c>
      <c r="C131" s="8" t="s">
        <v>15</v>
      </c>
      <c r="D131" s="8" t="s">
        <v>32</v>
      </c>
      <c r="E131" s="8" t="s">
        <v>160</v>
      </c>
      <c r="F131" s="8" t="s">
        <v>161</v>
      </c>
      <c r="G131" s="6">
        <v>42849</v>
      </c>
      <c r="H131" s="6">
        <v>42851</v>
      </c>
      <c r="I131" s="4">
        <v>-48.5</v>
      </c>
      <c r="J131" s="8" t="s">
        <v>38</v>
      </c>
      <c r="K131" s="8" t="s">
        <v>518</v>
      </c>
      <c r="L131" s="4"/>
      <c r="M131" s="4"/>
      <c r="N131" s="4"/>
    </row>
    <row r="132" spans="1:14" x14ac:dyDescent="0.15">
      <c r="A132" s="8" t="s">
        <v>383</v>
      </c>
      <c r="B132" s="8" t="s">
        <v>517</v>
      </c>
      <c r="C132" s="8" t="s">
        <v>16</v>
      </c>
      <c r="D132" s="8" t="s">
        <v>32</v>
      </c>
      <c r="E132" s="8" t="s">
        <v>160</v>
      </c>
      <c r="F132" s="8" t="s">
        <v>161</v>
      </c>
      <c r="G132" s="6">
        <v>42849</v>
      </c>
      <c r="H132" s="6">
        <v>42851</v>
      </c>
      <c r="I132" s="4">
        <v>-195</v>
      </c>
      <c r="J132" s="8" t="s">
        <v>38</v>
      </c>
      <c r="K132" s="8" t="s">
        <v>519</v>
      </c>
      <c r="L132" s="4"/>
      <c r="M132" s="4"/>
      <c r="N132" s="4"/>
    </row>
    <row r="133" spans="1:14" x14ac:dyDescent="0.15">
      <c r="A133" s="8" t="s">
        <v>383</v>
      </c>
      <c r="B133" s="8" t="s">
        <v>520</v>
      </c>
      <c r="C133" s="8" t="s">
        <v>58</v>
      </c>
      <c r="D133" s="8" t="s">
        <v>127</v>
      </c>
      <c r="E133" s="8" t="s">
        <v>160</v>
      </c>
      <c r="F133" s="8" t="s">
        <v>161</v>
      </c>
      <c r="G133" s="6">
        <v>42850</v>
      </c>
      <c r="H133" s="6">
        <v>42851</v>
      </c>
      <c r="I133" s="4">
        <v>-43</v>
      </c>
      <c r="J133" s="8" t="s">
        <v>39</v>
      </c>
      <c r="K133" s="8" t="s">
        <v>521</v>
      </c>
      <c r="L133" s="4"/>
      <c r="M133" s="4"/>
      <c r="N133" s="4"/>
    </row>
    <row r="134" spans="1:14" x14ac:dyDescent="0.15">
      <c r="A134" s="8" t="s">
        <v>383</v>
      </c>
      <c r="B134" s="8" t="s">
        <v>520</v>
      </c>
      <c r="C134" s="8" t="s">
        <v>67</v>
      </c>
      <c r="D134" s="8" t="s">
        <v>162</v>
      </c>
      <c r="E134" s="8" t="s">
        <v>160</v>
      </c>
      <c r="F134" s="8" t="s">
        <v>161</v>
      </c>
      <c r="G134" s="6">
        <v>42850</v>
      </c>
      <c r="H134" s="6">
        <v>42851</v>
      </c>
      <c r="I134" s="4">
        <v>-3</v>
      </c>
      <c r="J134" s="8" t="s">
        <v>37</v>
      </c>
      <c r="K134" s="8" t="s">
        <v>522</v>
      </c>
      <c r="L134" s="4"/>
      <c r="M134" s="4"/>
      <c r="N134" s="4"/>
    </row>
    <row r="135" spans="1:14" x14ac:dyDescent="0.15">
      <c r="A135" s="8" t="s">
        <v>383</v>
      </c>
      <c r="B135" s="8" t="s">
        <v>523</v>
      </c>
      <c r="C135" s="8" t="s">
        <v>103</v>
      </c>
      <c r="D135" s="8" t="s">
        <v>104</v>
      </c>
      <c r="E135" s="8" t="s">
        <v>160</v>
      </c>
      <c r="F135" s="8" t="s">
        <v>161</v>
      </c>
      <c r="G135" s="6">
        <v>42851</v>
      </c>
      <c r="H135" s="6">
        <v>42851</v>
      </c>
      <c r="I135" s="4">
        <v>-185</v>
      </c>
      <c r="J135" s="8" t="s">
        <v>37</v>
      </c>
      <c r="K135" s="8" t="s">
        <v>524</v>
      </c>
      <c r="L135" s="4"/>
      <c r="M135" s="4"/>
      <c r="N135" s="4"/>
    </row>
    <row r="136" spans="1:14" x14ac:dyDescent="0.15">
      <c r="A136" s="8" t="s">
        <v>383</v>
      </c>
      <c r="B136" s="8" t="s">
        <v>525</v>
      </c>
      <c r="C136" s="8" t="s">
        <v>59</v>
      </c>
      <c r="D136" s="8" t="s">
        <v>93</v>
      </c>
      <c r="E136" s="8" t="s">
        <v>160</v>
      </c>
      <c r="F136" s="8" t="s">
        <v>161</v>
      </c>
      <c r="G136" s="6">
        <v>42858</v>
      </c>
      <c r="H136" s="6">
        <v>42865</v>
      </c>
      <c r="I136" s="4">
        <v>-100</v>
      </c>
      <c r="J136" s="8" t="s">
        <v>39</v>
      </c>
      <c r="K136" s="8" t="s">
        <v>526</v>
      </c>
      <c r="L136" s="4"/>
      <c r="M136" s="4"/>
      <c r="N136" s="4"/>
    </row>
    <row r="137" spans="1:14" x14ac:dyDescent="0.15">
      <c r="A137" s="8" t="s">
        <v>383</v>
      </c>
      <c r="B137" s="8" t="s">
        <v>525</v>
      </c>
      <c r="C137" s="8" t="s">
        <v>67</v>
      </c>
      <c r="D137" s="8" t="s">
        <v>162</v>
      </c>
      <c r="E137" s="8" t="s">
        <v>160</v>
      </c>
      <c r="F137" s="8" t="s">
        <v>161</v>
      </c>
      <c r="G137" s="6">
        <v>42858</v>
      </c>
      <c r="H137" s="6">
        <v>42865</v>
      </c>
      <c r="I137" s="4">
        <v>-15</v>
      </c>
      <c r="J137" s="8" t="s">
        <v>37</v>
      </c>
      <c r="K137" s="8" t="s">
        <v>527</v>
      </c>
      <c r="L137" s="4"/>
      <c r="M137" s="4"/>
      <c r="N137" s="4"/>
    </row>
    <row r="138" spans="1:14" x14ac:dyDescent="0.15">
      <c r="A138" s="8" t="s">
        <v>383</v>
      </c>
      <c r="B138" s="8" t="s">
        <v>528</v>
      </c>
      <c r="C138" s="8" t="s">
        <v>58</v>
      </c>
      <c r="D138" s="8" t="s">
        <v>127</v>
      </c>
      <c r="E138" s="8" t="s">
        <v>160</v>
      </c>
      <c r="F138" s="8" t="s">
        <v>161</v>
      </c>
      <c r="G138" s="6">
        <v>42860</v>
      </c>
      <c r="H138" s="6">
        <v>42865</v>
      </c>
      <c r="I138" s="4">
        <v>-9</v>
      </c>
      <c r="J138" s="8" t="s">
        <v>39</v>
      </c>
      <c r="K138" s="8" t="s">
        <v>529</v>
      </c>
      <c r="L138" s="4"/>
      <c r="M138" s="4"/>
      <c r="N138" s="4"/>
    </row>
    <row r="139" spans="1:14" x14ac:dyDescent="0.15">
      <c r="A139" s="8" t="s">
        <v>383</v>
      </c>
      <c r="B139" s="8" t="s">
        <v>528</v>
      </c>
      <c r="C139" s="8" t="s">
        <v>59</v>
      </c>
      <c r="D139" s="8" t="s">
        <v>93</v>
      </c>
      <c r="E139" s="8" t="s">
        <v>160</v>
      </c>
      <c r="F139" s="8" t="s">
        <v>161</v>
      </c>
      <c r="G139" s="6">
        <v>42860</v>
      </c>
      <c r="H139" s="6">
        <v>42865</v>
      </c>
      <c r="I139" s="4">
        <v>-22</v>
      </c>
      <c r="J139" s="8" t="s">
        <v>39</v>
      </c>
      <c r="K139" s="8" t="s">
        <v>530</v>
      </c>
      <c r="L139" s="4"/>
      <c r="M139" s="4"/>
      <c r="N139" s="4"/>
    </row>
    <row r="140" spans="1:14" x14ac:dyDescent="0.15">
      <c r="A140" s="8" t="s">
        <v>383</v>
      </c>
      <c r="B140" s="8" t="s">
        <v>531</v>
      </c>
      <c r="C140" s="8" t="s">
        <v>121</v>
      </c>
      <c r="D140" s="8" t="s">
        <v>122</v>
      </c>
      <c r="E140" s="8" t="s">
        <v>160</v>
      </c>
      <c r="F140" s="8" t="s">
        <v>161</v>
      </c>
      <c r="G140" s="6">
        <v>42860</v>
      </c>
      <c r="H140" s="6">
        <v>42871</v>
      </c>
      <c r="I140" s="4">
        <v>-515</v>
      </c>
      <c r="J140" s="8" t="s">
        <v>39</v>
      </c>
      <c r="K140" s="8" t="s">
        <v>532</v>
      </c>
      <c r="L140" s="4"/>
      <c r="M140" s="4"/>
      <c r="N140" s="4"/>
    </row>
    <row r="141" spans="1:14" x14ac:dyDescent="0.15">
      <c r="A141" s="8" t="s">
        <v>383</v>
      </c>
      <c r="B141" s="8" t="s">
        <v>531</v>
      </c>
      <c r="C141" s="8" t="s">
        <v>108</v>
      </c>
      <c r="D141" s="8" t="s">
        <v>109</v>
      </c>
      <c r="E141" s="8" t="s">
        <v>160</v>
      </c>
      <c r="F141" s="8" t="s">
        <v>161</v>
      </c>
      <c r="G141" s="6">
        <v>42860</v>
      </c>
      <c r="H141" s="6">
        <v>42871</v>
      </c>
      <c r="I141" s="4">
        <v>-2</v>
      </c>
      <c r="J141" s="8" t="s">
        <v>37</v>
      </c>
      <c r="K141" s="8" t="s">
        <v>533</v>
      </c>
      <c r="L141" s="4"/>
      <c r="M141" s="4"/>
      <c r="N141" s="4"/>
    </row>
    <row r="142" spans="1:14" x14ac:dyDescent="0.15">
      <c r="A142" s="8" t="s">
        <v>383</v>
      </c>
      <c r="B142" s="8" t="s">
        <v>531</v>
      </c>
      <c r="C142" s="8" t="s">
        <v>66</v>
      </c>
      <c r="D142" s="8" t="s">
        <v>116</v>
      </c>
      <c r="E142" s="8" t="s">
        <v>160</v>
      </c>
      <c r="F142" s="8" t="s">
        <v>161</v>
      </c>
      <c r="G142" s="6">
        <v>42860</v>
      </c>
      <c r="H142" s="6">
        <v>42871</v>
      </c>
      <c r="I142" s="4">
        <v>-1</v>
      </c>
      <c r="J142" s="8" t="s">
        <v>37</v>
      </c>
      <c r="K142" s="8" t="s">
        <v>534</v>
      </c>
      <c r="L142" s="4"/>
      <c r="M142" s="4"/>
      <c r="N142" s="4"/>
    </row>
    <row r="143" spans="1:14" x14ac:dyDescent="0.15">
      <c r="A143" s="8" t="s">
        <v>383</v>
      </c>
      <c r="B143" s="8" t="s">
        <v>531</v>
      </c>
      <c r="C143" s="8" t="s">
        <v>67</v>
      </c>
      <c r="D143" s="8" t="s">
        <v>162</v>
      </c>
      <c r="E143" s="8" t="s">
        <v>160</v>
      </c>
      <c r="F143" s="8" t="s">
        <v>161</v>
      </c>
      <c r="G143" s="6">
        <v>42860</v>
      </c>
      <c r="H143" s="6">
        <v>42871</v>
      </c>
      <c r="I143" s="4">
        <v>-28</v>
      </c>
      <c r="J143" s="8" t="s">
        <v>37</v>
      </c>
      <c r="K143" s="8" t="s">
        <v>535</v>
      </c>
      <c r="L143" s="4"/>
      <c r="M143" s="4"/>
      <c r="N143" s="4"/>
    </row>
    <row r="144" spans="1:14" x14ac:dyDescent="0.15">
      <c r="A144" s="8" t="s">
        <v>383</v>
      </c>
      <c r="B144" s="8" t="s">
        <v>536</v>
      </c>
      <c r="C144" s="8" t="s">
        <v>99</v>
      </c>
      <c r="D144" s="8" t="s">
        <v>100</v>
      </c>
      <c r="E144" s="8" t="s">
        <v>160</v>
      </c>
      <c r="F144" s="8" t="s">
        <v>161</v>
      </c>
      <c r="G144" s="6">
        <v>42860</v>
      </c>
      <c r="H144" s="6">
        <v>42865</v>
      </c>
      <c r="I144" s="4">
        <v>-30</v>
      </c>
      <c r="J144" s="8" t="s">
        <v>39</v>
      </c>
      <c r="K144" s="8" t="s">
        <v>537</v>
      </c>
      <c r="L144" s="4"/>
      <c r="M144" s="4"/>
      <c r="N144" s="4"/>
    </row>
    <row r="145" spans="1:14" x14ac:dyDescent="0.15">
      <c r="A145" s="8" t="s">
        <v>383</v>
      </c>
      <c r="B145" s="8" t="s">
        <v>538</v>
      </c>
      <c r="C145" s="8" t="s">
        <v>56</v>
      </c>
      <c r="D145" s="8" t="s">
        <v>126</v>
      </c>
      <c r="E145" s="8" t="s">
        <v>160</v>
      </c>
      <c r="F145" s="8" t="s">
        <v>161</v>
      </c>
      <c r="G145" s="6">
        <v>42860</v>
      </c>
      <c r="H145" s="6">
        <v>42871</v>
      </c>
      <c r="I145" s="4">
        <v>-15.2</v>
      </c>
      <c r="J145" s="8" t="s">
        <v>39</v>
      </c>
      <c r="K145" s="8" t="s">
        <v>539</v>
      </c>
      <c r="L145" s="4"/>
      <c r="M145" s="4"/>
      <c r="N145" s="4"/>
    </row>
    <row r="146" spans="1:14" x14ac:dyDescent="0.15">
      <c r="A146" s="8" t="s">
        <v>383</v>
      </c>
      <c r="B146" s="8" t="s">
        <v>538</v>
      </c>
      <c r="C146" s="8" t="s">
        <v>19</v>
      </c>
      <c r="D146" s="8" t="s">
        <v>35</v>
      </c>
      <c r="E146" s="8" t="s">
        <v>160</v>
      </c>
      <c r="F146" s="8" t="s">
        <v>161</v>
      </c>
      <c r="G146" s="6">
        <v>42871</v>
      </c>
      <c r="H146" s="6">
        <v>42871</v>
      </c>
      <c r="I146" s="4">
        <v>-1</v>
      </c>
      <c r="J146" s="8" t="s">
        <v>37</v>
      </c>
      <c r="K146" s="8" t="s">
        <v>540</v>
      </c>
      <c r="L146" s="4"/>
      <c r="M146" s="4"/>
      <c r="N146" s="4"/>
    </row>
    <row r="147" spans="1:14" x14ac:dyDescent="0.15">
      <c r="A147" s="8" t="s">
        <v>383</v>
      </c>
      <c r="B147" s="8" t="s">
        <v>541</v>
      </c>
      <c r="C147" s="8" t="s">
        <v>144</v>
      </c>
      <c r="D147" s="8" t="s">
        <v>211</v>
      </c>
      <c r="E147" s="8" t="s">
        <v>160</v>
      </c>
      <c r="F147" s="8" t="s">
        <v>161</v>
      </c>
      <c r="G147" s="6">
        <v>42863</v>
      </c>
      <c r="H147" s="6">
        <v>42871</v>
      </c>
      <c r="I147" s="4">
        <v>-33.5</v>
      </c>
      <c r="J147" s="8" t="s">
        <v>38</v>
      </c>
      <c r="K147" s="8" t="s">
        <v>542</v>
      </c>
      <c r="L147" s="4"/>
      <c r="M147" s="4"/>
      <c r="N147" s="4"/>
    </row>
    <row r="148" spans="1:14" x14ac:dyDescent="0.15">
      <c r="A148" s="8" t="s">
        <v>383</v>
      </c>
      <c r="B148" s="8" t="s">
        <v>541</v>
      </c>
      <c r="C148" s="8" t="s">
        <v>19</v>
      </c>
      <c r="D148" s="8" t="s">
        <v>35</v>
      </c>
      <c r="E148" s="8" t="s">
        <v>160</v>
      </c>
      <c r="F148" s="8" t="s">
        <v>161</v>
      </c>
      <c r="G148" s="6">
        <v>42863</v>
      </c>
      <c r="H148" s="6">
        <v>42871</v>
      </c>
      <c r="I148" s="4">
        <v>-1</v>
      </c>
      <c r="J148" s="8" t="s">
        <v>37</v>
      </c>
      <c r="K148" s="8" t="s">
        <v>543</v>
      </c>
      <c r="L148" s="4"/>
      <c r="M148" s="4"/>
      <c r="N148" s="4"/>
    </row>
    <row r="149" spans="1:14" x14ac:dyDescent="0.15">
      <c r="A149" s="8" t="s">
        <v>383</v>
      </c>
      <c r="B149" s="8" t="s">
        <v>544</v>
      </c>
      <c r="C149" s="8" t="s">
        <v>22</v>
      </c>
      <c r="D149" s="8" t="s">
        <v>188</v>
      </c>
      <c r="E149" s="8" t="s">
        <v>160</v>
      </c>
      <c r="F149" s="8" t="s">
        <v>161</v>
      </c>
      <c r="G149" s="6">
        <v>42863</v>
      </c>
      <c r="H149" s="6">
        <v>42865</v>
      </c>
      <c r="I149" s="4">
        <v>1</v>
      </c>
      <c r="J149" s="8" t="s">
        <v>37</v>
      </c>
      <c r="K149" s="8" t="s">
        <v>545</v>
      </c>
      <c r="L149" s="4"/>
      <c r="M149" s="4"/>
      <c r="N149" s="4"/>
    </row>
    <row r="150" spans="1:14" x14ac:dyDescent="0.15">
      <c r="A150" s="8" t="s">
        <v>383</v>
      </c>
      <c r="B150" s="8" t="s">
        <v>544</v>
      </c>
      <c r="C150" s="8" t="s">
        <v>15</v>
      </c>
      <c r="D150" s="8" t="s">
        <v>32</v>
      </c>
      <c r="E150" s="8" t="s">
        <v>160</v>
      </c>
      <c r="F150" s="8" t="s">
        <v>161</v>
      </c>
      <c r="G150" s="6">
        <v>42863</v>
      </c>
      <c r="H150" s="6">
        <v>42865</v>
      </c>
      <c r="I150" s="4">
        <v>-48.5</v>
      </c>
      <c r="J150" s="8" t="s">
        <v>38</v>
      </c>
      <c r="K150" s="8" t="s">
        <v>546</v>
      </c>
      <c r="L150" s="4"/>
      <c r="M150" s="4"/>
      <c r="N150" s="4"/>
    </row>
    <row r="151" spans="1:14" x14ac:dyDescent="0.15">
      <c r="A151" s="8" t="s">
        <v>383</v>
      </c>
      <c r="B151" s="8" t="s">
        <v>544</v>
      </c>
      <c r="C151" s="8" t="s">
        <v>16</v>
      </c>
      <c r="D151" s="8" t="s">
        <v>32</v>
      </c>
      <c r="E151" s="8" t="s">
        <v>160</v>
      </c>
      <c r="F151" s="8" t="s">
        <v>161</v>
      </c>
      <c r="G151" s="6">
        <v>42863</v>
      </c>
      <c r="H151" s="6">
        <v>42865</v>
      </c>
      <c r="I151" s="4">
        <v>-195</v>
      </c>
      <c r="J151" s="8" t="s">
        <v>38</v>
      </c>
      <c r="K151" s="8" t="s">
        <v>547</v>
      </c>
      <c r="L151" s="4"/>
      <c r="M151" s="4"/>
      <c r="N151" s="4"/>
    </row>
    <row r="152" spans="1:14" x14ac:dyDescent="0.15">
      <c r="A152" s="8" t="s">
        <v>383</v>
      </c>
      <c r="B152" s="8" t="s">
        <v>548</v>
      </c>
      <c r="C152" s="8" t="s">
        <v>167</v>
      </c>
      <c r="D152" s="8" t="s">
        <v>168</v>
      </c>
      <c r="E152" s="8" t="s">
        <v>160</v>
      </c>
      <c r="F152" s="8" t="s">
        <v>161</v>
      </c>
      <c r="G152" s="6">
        <v>42865</v>
      </c>
      <c r="H152" s="6">
        <v>42865</v>
      </c>
      <c r="I152" s="4">
        <v>-27000</v>
      </c>
      <c r="J152" s="8" t="s">
        <v>133</v>
      </c>
      <c r="K152" s="8" t="s">
        <v>549</v>
      </c>
      <c r="L152" s="4"/>
      <c r="M152" s="4"/>
      <c r="N152" s="4"/>
    </row>
    <row r="153" spans="1:14" x14ac:dyDescent="0.15">
      <c r="A153" s="8" t="s">
        <v>383</v>
      </c>
      <c r="B153" s="8" t="s">
        <v>550</v>
      </c>
      <c r="C153" s="8" t="s">
        <v>19</v>
      </c>
      <c r="D153" s="8" t="s">
        <v>35</v>
      </c>
      <c r="E153" s="8" t="s">
        <v>160</v>
      </c>
      <c r="F153" s="8" t="s">
        <v>161</v>
      </c>
      <c r="G153" s="6">
        <v>42865</v>
      </c>
      <c r="H153" s="6">
        <v>42871</v>
      </c>
      <c r="I153" s="4">
        <v>-1</v>
      </c>
      <c r="J153" s="8" t="s">
        <v>37</v>
      </c>
      <c r="K153" s="8" t="s">
        <v>551</v>
      </c>
      <c r="L153" s="4"/>
      <c r="M153" s="4"/>
      <c r="N153" s="4"/>
    </row>
    <row r="154" spans="1:14" x14ac:dyDescent="0.15">
      <c r="A154" s="8" t="s">
        <v>383</v>
      </c>
      <c r="B154" s="8" t="s">
        <v>552</v>
      </c>
      <c r="C154" s="8" t="s">
        <v>128</v>
      </c>
      <c r="D154" s="8" t="s">
        <v>212</v>
      </c>
      <c r="E154" s="8" t="s">
        <v>160</v>
      </c>
      <c r="F154" s="8" t="s">
        <v>161</v>
      </c>
      <c r="G154" s="6">
        <v>42870</v>
      </c>
      <c r="H154" s="6">
        <v>42871</v>
      </c>
      <c r="I154" s="4">
        <v>-4</v>
      </c>
      <c r="J154" s="8" t="s">
        <v>37</v>
      </c>
      <c r="K154" s="8" t="s">
        <v>553</v>
      </c>
      <c r="L154" s="4"/>
      <c r="M154" s="4"/>
      <c r="N154" s="4"/>
    </row>
    <row r="155" spans="1:14" x14ac:dyDescent="0.15">
      <c r="A155" s="8" t="s">
        <v>383</v>
      </c>
      <c r="B155" s="8" t="s">
        <v>552</v>
      </c>
      <c r="C155" s="8" t="s">
        <v>19</v>
      </c>
      <c r="D155" s="8" t="s">
        <v>35</v>
      </c>
      <c r="E155" s="8" t="s">
        <v>160</v>
      </c>
      <c r="F155" s="8" t="s">
        <v>161</v>
      </c>
      <c r="G155" s="6">
        <v>42871</v>
      </c>
      <c r="H155" s="6">
        <v>42871</v>
      </c>
      <c r="I155" s="4">
        <v>-1</v>
      </c>
      <c r="J155" s="8" t="s">
        <v>37</v>
      </c>
      <c r="K155" s="8" t="s">
        <v>554</v>
      </c>
      <c r="L155" s="4"/>
      <c r="M155" s="4"/>
      <c r="N155" s="4"/>
    </row>
    <row r="156" spans="1:14" x14ac:dyDescent="0.15">
      <c r="A156" s="8" t="s">
        <v>383</v>
      </c>
      <c r="B156" s="8" t="s">
        <v>555</v>
      </c>
      <c r="C156" s="8" t="s">
        <v>57</v>
      </c>
      <c r="D156" s="8" t="s">
        <v>113</v>
      </c>
      <c r="E156" s="8" t="s">
        <v>160</v>
      </c>
      <c r="F156" s="8" t="s">
        <v>161</v>
      </c>
      <c r="G156" s="6">
        <v>42871</v>
      </c>
      <c r="H156" s="6">
        <v>42877</v>
      </c>
      <c r="I156" s="4">
        <v>-70</v>
      </c>
      <c r="J156" s="8" t="s">
        <v>39</v>
      </c>
      <c r="K156" s="8" t="s">
        <v>556</v>
      </c>
      <c r="L156" s="4"/>
      <c r="M156" s="4"/>
      <c r="N156" s="4"/>
    </row>
    <row r="157" spans="1:14" x14ac:dyDescent="0.15">
      <c r="A157" s="8" t="s">
        <v>383</v>
      </c>
      <c r="B157" s="8" t="s">
        <v>555</v>
      </c>
      <c r="C157" s="8" t="s">
        <v>67</v>
      </c>
      <c r="D157" s="8" t="s">
        <v>162</v>
      </c>
      <c r="E157" s="8" t="s">
        <v>160</v>
      </c>
      <c r="F157" s="8" t="s">
        <v>161</v>
      </c>
      <c r="G157" s="6">
        <v>42871</v>
      </c>
      <c r="H157" s="6">
        <v>42877</v>
      </c>
      <c r="I157" s="4">
        <v>-3</v>
      </c>
      <c r="J157" s="8" t="s">
        <v>37</v>
      </c>
      <c r="K157" s="8" t="s">
        <v>557</v>
      </c>
      <c r="L157" s="4"/>
      <c r="M157" s="4"/>
      <c r="N157" s="4"/>
    </row>
    <row r="158" spans="1:14" x14ac:dyDescent="0.15">
      <c r="A158" s="8" t="s">
        <v>383</v>
      </c>
      <c r="B158" s="8" t="s">
        <v>558</v>
      </c>
      <c r="C158" s="8" t="s">
        <v>67</v>
      </c>
      <c r="D158" s="8" t="s">
        <v>162</v>
      </c>
      <c r="E158" s="8" t="s">
        <v>160</v>
      </c>
      <c r="F158" s="8" t="s">
        <v>161</v>
      </c>
      <c r="G158" s="6">
        <v>42870</v>
      </c>
      <c r="H158" s="6">
        <v>42871</v>
      </c>
      <c r="I158" s="4">
        <v>-2</v>
      </c>
      <c r="J158" s="8" t="s">
        <v>37</v>
      </c>
      <c r="K158" s="8" t="s">
        <v>559</v>
      </c>
      <c r="L158" s="4"/>
      <c r="M158" s="4"/>
      <c r="N158" s="4"/>
    </row>
    <row r="159" spans="1:14" x14ac:dyDescent="0.15">
      <c r="A159" s="8" t="s">
        <v>383</v>
      </c>
      <c r="B159" s="8" t="s">
        <v>558</v>
      </c>
      <c r="C159" s="8" t="s">
        <v>19</v>
      </c>
      <c r="D159" s="8" t="s">
        <v>35</v>
      </c>
      <c r="E159" s="8" t="s">
        <v>160</v>
      </c>
      <c r="F159" s="8" t="s">
        <v>161</v>
      </c>
      <c r="G159" s="6">
        <v>42871</v>
      </c>
      <c r="H159" s="6">
        <v>42871</v>
      </c>
      <c r="I159" s="4">
        <v>-1</v>
      </c>
      <c r="J159" s="8" t="s">
        <v>37</v>
      </c>
      <c r="K159" s="8" t="s">
        <v>560</v>
      </c>
      <c r="L159" s="4"/>
      <c r="M159" s="4"/>
      <c r="N159" s="4"/>
    </row>
    <row r="160" spans="1:14" x14ac:dyDescent="0.15">
      <c r="A160" s="8" t="s">
        <v>383</v>
      </c>
      <c r="B160" s="8" t="s">
        <v>561</v>
      </c>
      <c r="C160" s="8" t="s">
        <v>56</v>
      </c>
      <c r="D160" s="8" t="s">
        <v>126</v>
      </c>
      <c r="E160" s="8" t="s">
        <v>160</v>
      </c>
      <c r="F160" s="8" t="s">
        <v>161</v>
      </c>
      <c r="G160" s="6">
        <v>42870</v>
      </c>
      <c r="H160" s="6">
        <v>42873</v>
      </c>
      <c r="I160" s="4">
        <v>-150</v>
      </c>
      <c r="J160" s="8" t="s">
        <v>39</v>
      </c>
      <c r="K160" s="8" t="s">
        <v>562</v>
      </c>
      <c r="L160" s="4"/>
      <c r="M160" s="4"/>
      <c r="N160" s="4"/>
    </row>
    <row r="161" spans="1:14" x14ac:dyDescent="0.15">
      <c r="A161" s="8" t="s">
        <v>383</v>
      </c>
      <c r="B161" s="8" t="s">
        <v>561</v>
      </c>
      <c r="C161" s="8" t="s">
        <v>29</v>
      </c>
      <c r="D161" s="8" t="s">
        <v>33</v>
      </c>
      <c r="E161" s="8" t="s">
        <v>160</v>
      </c>
      <c r="F161" s="8" t="s">
        <v>161</v>
      </c>
      <c r="G161" s="6">
        <v>42870</v>
      </c>
      <c r="H161" s="6">
        <v>42873</v>
      </c>
      <c r="I161" s="4">
        <v>-150</v>
      </c>
      <c r="J161" s="8" t="s">
        <v>39</v>
      </c>
      <c r="K161" s="8" t="s">
        <v>563</v>
      </c>
      <c r="L161" s="4"/>
      <c r="M161" s="4"/>
      <c r="N161" s="4"/>
    </row>
    <row r="162" spans="1:14" x14ac:dyDescent="0.15">
      <c r="A162" s="8" t="s">
        <v>383</v>
      </c>
      <c r="B162" s="8" t="s">
        <v>561</v>
      </c>
      <c r="C162" s="8" t="s">
        <v>63</v>
      </c>
      <c r="D162" s="8" t="s">
        <v>95</v>
      </c>
      <c r="E162" s="8" t="s">
        <v>160</v>
      </c>
      <c r="F162" s="8" t="s">
        <v>161</v>
      </c>
      <c r="G162" s="6">
        <v>42870</v>
      </c>
      <c r="H162" s="6">
        <v>42873</v>
      </c>
      <c r="I162" s="4">
        <v>-100</v>
      </c>
      <c r="J162" s="8" t="s">
        <v>39</v>
      </c>
      <c r="K162" s="8" t="s">
        <v>564</v>
      </c>
      <c r="L162" s="4"/>
      <c r="M162" s="4"/>
      <c r="N162" s="4"/>
    </row>
    <row r="163" spans="1:14" ht="27" x14ac:dyDescent="0.15">
      <c r="A163" s="8" t="s">
        <v>383</v>
      </c>
      <c r="B163" s="8" t="s">
        <v>561</v>
      </c>
      <c r="C163" s="8" t="s">
        <v>164</v>
      </c>
      <c r="D163" s="11" t="s">
        <v>165</v>
      </c>
      <c r="E163" s="8" t="s">
        <v>160</v>
      </c>
      <c r="F163" s="8" t="s">
        <v>161</v>
      </c>
      <c r="G163" s="6">
        <v>42870</v>
      </c>
      <c r="H163" s="6">
        <v>42873</v>
      </c>
      <c r="I163" s="4">
        <v>-2</v>
      </c>
      <c r="J163" s="8" t="s">
        <v>37</v>
      </c>
      <c r="K163" s="8" t="s">
        <v>565</v>
      </c>
      <c r="L163" s="4"/>
      <c r="M163" s="4"/>
      <c r="N163" s="4"/>
    </row>
    <row r="164" spans="1:14" x14ac:dyDescent="0.15">
      <c r="A164" s="8" t="s">
        <v>383</v>
      </c>
      <c r="B164" s="8" t="s">
        <v>561</v>
      </c>
      <c r="C164" s="8" t="s">
        <v>114</v>
      </c>
      <c r="D164" s="8" t="s">
        <v>115</v>
      </c>
      <c r="E164" s="8" t="s">
        <v>160</v>
      </c>
      <c r="F164" s="8" t="s">
        <v>161</v>
      </c>
      <c r="G164" s="6">
        <v>42870</v>
      </c>
      <c r="H164" s="6">
        <v>42873</v>
      </c>
      <c r="I164" s="4">
        <v>-3</v>
      </c>
      <c r="J164" s="8" t="s">
        <v>37</v>
      </c>
      <c r="K164" s="8" t="s">
        <v>566</v>
      </c>
      <c r="L164" s="4"/>
      <c r="M164" s="4"/>
      <c r="N164" s="4"/>
    </row>
    <row r="165" spans="1:14" x14ac:dyDescent="0.15">
      <c r="A165" s="8" t="s">
        <v>383</v>
      </c>
      <c r="B165" s="8" t="s">
        <v>561</v>
      </c>
      <c r="C165" s="8" t="s">
        <v>23</v>
      </c>
      <c r="D165" s="8" t="s">
        <v>159</v>
      </c>
      <c r="E165" s="8" t="s">
        <v>160</v>
      </c>
      <c r="F165" s="8" t="s">
        <v>161</v>
      </c>
      <c r="G165" s="6">
        <v>42870</v>
      </c>
      <c r="H165" s="6">
        <v>42873</v>
      </c>
      <c r="I165" s="4">
        <v>-5</v>
      </c>
      <c r="J165" s="8" t="s">
        <v>37</v>
      </c>
      <c r="K165" s="8" t="s">
        <v>567</v>
      </c>
      <c r="L165" s="4"/>
      <c r="M165" s="4"/>
      <c r="N165" s="4"/>
    </row>
    <row r="166" spans="1:14" x14ac:dyDescent="0.15">
      <c r="A166" s="8" t="s">
        <v>383</v>
      </c>
      <c r="B166" s="8" t="s">
        <v>561</v>
      </c>
      <c r="C166" s="8" t="s">
        <v>67</v>
      </c>
      <c r="D166" s="8" t="s">
        <v>162</v>
      </c>
      <c r="E166" s="8" t="s">
        <v>160</v>
      </c>
      <c r="F166" s="8" t="s">
        <v>161</v>
      </c>
      <c r="G166" s="6">
        <v>42870</v>
      </c>
      <c r="H166" s="6">
        <v>42873</v>
      </c>
      <c r="I166" s="4">
        <v>-8</v>
      </c>
      <c r="J166" s="8" t="s">
        <v>37</v>
      </c>
      <c r="K166" s="8" t="s">
        <v>568</v>
      </c>
      <c r="L166" s="4"/>
      <c r="M166" s="4"/>
      <c r="N166" s="4"/>
    </row>
    <row r="167" spans="1:14" x14ac:dyDescent="0.15">
      <c r="A167" s="8" t="s">
        <v>383</v>
      </c>
      <c r="B167" s="8" t="s">
        <v>561</v>
      </c>
      <c r="C167" s="8" t="s">
        <v>28</v>
      </c>
      <c r="D167" s="8" t="s">
        <v>202</v>
      </c>
      <c r="E167" s="8" t="s">
        <v>160</v>
      </c>
      <c r="F167" s="8" t="s">
        <v>161</v>
      </c>
      <c r="G167" s="6">
        <v>42870</v>
      </c>
      <c r="H167" s="6">
        <v>42873</v>
      </c>
      <c r="I167" s="4">
        <v>-3</v>
      </c>
      <c r="J167" s="8" t="s">
        <v>37</v>
      </c>
      <c r="K167" s="8" t="s">
        <v>569</v>
      </c>
      <c r="L167" s="4"/>
      <c r="M167" s="4"/>
      <c r="N167" s="4"/>
    </row>
    <row r="168" spans="1:14" x14ac:dyDescent="0.15">
      <c r="A168" s="8" t="s">
        <v>383</v>
      </c>
      <c r="B168" s="8" t="s">
        <v>570</v>
      </c>
      <c r="C168" s="8" t="s">
        <v>56</v>
      </c>
      <c r="D168" s="8" t="s">
        <v>126</v>
      </c>
      <c r="E168" s="8" t="s">
        <v>160</v>
      </c>
      <c r="F168" s="8" t="s">
        <v>161</v>
      </c>
      <c r="G168" s="6">
        <v>42874</v>
      </c>
      <c r="H168" s="6">
        <v>42878</v>
      </c>
      <c r="I168" s="4">
        <v>-600</v>
      </c>
      <c r="J168" s="8" t="s">
        <v>39</v>
      </c>
      <c r="K168" s="8" t="s">
        <v>571</v>
      </c>
      <c r="L168" s="4"/>
      <c r="M168" s="4"/>
      <c r="N168" s="4"/>
    </row>
    <row r="169" spans="1:14" x14ac:dyDescent="0.15">
      <c r="A169" s="8" t="s">
        <v>383</v>
      </c>
      <c r="B169" s="8" t="s">
        <v>570</v>
      </c>
      <c r="C169" s="8" t="s">
        <v>108</v>
      </c>
      <c r="D169" s="8" t="s">
        <v>109</v>
      </c>
      <c r="E169" s="8" t="s">
        <v>160</v>
      </c>
      <c r="F169" s="8" t="s">
        <v>161</v>
      </c>
      <c r="G169" s="6">
        <v>42874</v>
      </c>
      <c r="H169" s="6">
        <v>42878</v>
      </c>
      <c r="I169" s="4">
        <v>-1</v>
      </c>
      <c r="J169" s="8" t="s">
        <v>37</v>
      </c>
      <c r="K169" s="8" t="s">
        <v>572</v>
      </c>
      <c r="L169" s="4"/>
      <c r="M169" s="4"/>
      <c r="N169" s="4"/>
    </row>
    <row r="170" spans="1:14" x14ac:dyDescent="0.15">
      <c r="A170" s="8" t="s">
        <v>383</v>
      </c>
      <c r="B170" s="8" t="s">
        <v>570</v>
      </c>
      <c r="C170" s="8" t="s">
        <v>67</v>
      </c>
      <c r="D170" s="8" t="s">
        <v>162</v>
      </c>
      <c r="E170" s="8" t="s">
        <v>160</v>
      </c>
      <c r="F170" s="8" t="s">
        <v>161</v>
      </c>
      <c r="G170" s="6">
        <v>42874</v>
      </c>
      <c r="H170" s="6">
        <v>42874</v>
      </c>
      <c r="I170" s="4">
        <v>0</v>
      </c>
      <c r="J170" s="8" t="s">
        <v>37</v>
      </c>
      <c r="K170" s="8" t="s">
        <v>573</v>
      </c>
      <c r="L170" s="4"/>
      <c r="M170" s="4"/>
      <c r="N170" s="4"/>
    </row>
    <row r="171" spans="1:14" x14ac:dyDescent="0.15">
      <c r="A171" s="8" t="s">
        <v>383</v>
      </c>
      <c r="B171" s="8" t="s">
        <v>570</v>
      </c>
      <c r="C171" s="8" t="s">
        <v>67</v>
      </c>
      <c r="D171" s="8" t="s">
        <v>162</v>
      </c>
      <c r="E171" s="8" t="s">
        <v>160</v>
      </c>
      <c r="F171" s="8" t="s">
        <v>161</v>
      </c>
      <c r="G171" s="6">
        <v>42874</v>
      </c>
      <c r="H171" s="6">
        <v>42878</v>
      </c>
      <c r="I171" s="4">
        <v>-15</v>
      </c>
      <c r="J171" s="8" t="s">
        <v>37</v>
      </c>
      <c r="K171" s="8" t="s">
        <v>573</v>
      </c>
      <c r="L171" s="4"/>
      <c r="M171" s="4"/>
      <c r="N171" s="4"/>
    </row>
    <row r="172" spans="1:14" x14ac:dyDescent="0.15">
      <c r="A172" s="8" t="s">
        <v>383</v>
      </c>
      <c r="B172" s="8" t="s">
        <v>574</v>
      </c>
      <c r="C172" s="8" t="s">
        <v>22</v>
      </c>
      <c r="D172" s="8" t="s">
        <v>188</v>
      </c>
      <c r="E172" s="8" t="s">
        <v>160</v>
      </c>
      <c r="F172" s="8" t="s">
        <v>161</v>
      </c>
      <c r="G172" s="6">
        <v>42873</v>
      </c>
      <c r="H172" s="6">
        <v>42873</v>
      </c>
      <c r="I172" s="4">
        <v>-1</v>
      </c>
      <c r="J172" s="8" t="s">
        <v>37</v>
      </c>
      <c r="K172" s="8" t="s">
        <v>575</v>
      </c>
      <c r="L172" s="4"/>
      <c r="M172" s="4"/>
      <c r="N172" s="4"/>
    </row>
    <row r="173" spans="1:14" x14ac:dyDescent="0.15">
      <c r="A173" s="8" t="s">
        <v>383</v>
      </c>
      <c r="B173" s="8" t="s">
        <v>574</v>
      </c>
      <c r="C173" s="8" t="s">
        <v>15</v>
      </c>
      <c r="D173" s="8" t="s">
        <v>32</v>
      </c>
      <c r="E173" s="8" t="s">
        <v>160</v>
      </c>
      <c r="F173" s="8" t="s">
        <v>161</v>
      </c>
      <c r="G173" s="6">
        <v>42873</v>
      </c>
      <c r="H173" s="6">
        <v>42873</v>
      </c>
      <c r="I173" s="4">
        <v>-97</v>
      </c>
      <c r="J173" s="8" t="s">
        <v>38</v>
      </c>
      <c r="K173" s="8" t="s">
        <v>576</v>
      </c>
      <c r="L173" s="4"/>
      <c r="M173" s="4"/>
      <c r="N173" s="4"/>
    </row>
    <row r="174" spans="1:14" x14ac:dyDescent="0.15">
      <c r="A174" s="8" t="s">
        <v>383</v>
      </c>
      <c r="B174" s="8" t="s">
        <v>574</v>
      </c>
      <c r="C174" s="8" t="s">
        <v>27</v>
      </c>
      <c r="D174" s="8" t="s">
        <v>32</v>
      </c>
      <c r="E174" s="8" t="s">
        <v>160</v>
      </c>
      <c r="F174" s="8" t="s">
        <v>161</v>
      </c>
      <c r="G174" s="6">
        <v>42873</v>
      </c>
      <c r="H174" s="6">
        <v>42873</v>
      </c>
      <c r="I174" s="4">
        <v>-600</v>
      </c>
      <c r="J174" s="8" t="s">
        <v>38</v>
      </c>
      <c r="K174" s="8" t="s">
        <v>577</v>
      </c>
      <c r="L174" s="4"/>
      <c r="M174" s="4"/>
      <c r="N174" s="4"/>
    </row>
    <row r="175" spans="1:14" x14ac:dyDescent="0.15">
      <c r="A175" s="8" t="s">
        <v>383</v>
      </c>
      <c r="B175" s="8" t="s">
        <v>578</v>
      </c>
      <c r="C175" s="8" t="s">
        <v>73</v>
      </c>
      <c r="D175" s="8" t="s">
        <v>125</v>
      </c>
      <c r="E175" s="8" t="s">
        <v>160</v>
      </c>
      <c r="F175" s="8" t="s">
        <v>161</v>
      </c>
      <c r="G175" s="6">
        <v>42877</v>
      </c>
      <c r="H175" s="6">
        <v>42885</v>
      </c>
      <c r="I175" s="4">
        <v>-30</v>
      </c>
      <c r="J175" s="8" t="s">
        <v>38</v>
      </c>
      <c r="K175" s="8" t="s">
        <v>579</v>
      </c>
      <c r="L175" s="4"/>
      <c r="M175" s="4"/>
      <c r="N175" s="4"/>
    </row>
    <row r="176" spans="1:14" x14ac:dyDescent="0.15">
      <c r="A176" s="8" t="s">
        <v>383</v>
      </c>
      <c r="B176" s="8" t="s">
        <v>578</v>
      </c>
      <c r="C176" s="8" t="s">
        <v>78</v>
      </c>
      <c r="D176" s="8" t="s">
        <v>203</v>
      </c>
      <c r="E176" s="8" t="s">
        <v>160</v>
      </c>
      <c r="F176" s="8" t="s">
        <v>161</v>
      </c>
      <c r="G176" s="6">
        <v>42877</v>
      </c>
      <c r="H176" s="6">
        <v>42885</v>
      </c>
      <c r="I176" s="4">
        <v>-150</v>
      </c>
      <c r="J176" s="8" t="s">
        <v>39</v>
      </c>
      <c r="K176" s="8" t="s">
        <v>580</v>
      </c>
      <c r="L176" s="4"/>
      <c r="M176" s="4"/>
      <c r="N176" s="4"/>
    </row>
    <row r="177" spans="1:14" x14ac:dyDescent="0.15">
      <c r="A177" s="8" t="s">
        <v>383</v>
      </c>
      <c r="B177" s="8" t="s">
        <v>578</v>
      </c>
      <c r="C177" s="8" t="s">
        <v>108</v>
      </c>
      <c r="D177" s="8" t="s">
        <v>109</v>
      </c>
      <c r="E177" s="8" t="s">
        <v>160</v>
      </c>
      <c r="F177" s="8" t="s">
        <v>161</v>
      </c>
      <c r="G177" s="6">
        <v>42877</v>
      </c>
      <c r="H177" s="6">
        <v>42885</v>
      </c>
      <c r="I177" s="4">
        <v>-1</v>
      </c>
      <c r="J177" s="8" t="s">
        <v>37</v>
      </c>
      <c r="K177" s="8" t="s">
        <v>581</v>
      </c>
      <c r="L177" s="4"/>
      <c r="M177" s="4"/>
      <c r="N177" s="4"/>
    </row>
    <row r="178" spans="1:14" x14ac:dyDescent="0.15">
      <c r="A178" s="8" t="s">
        <v>383</v>
      </c>
      <c r="B178" s="8" t="s">
        <v>578</v>
      </c>
      <c r="C178" s="8" t="s">
        <v>67</v>
      </c>
      <c r="D178" s="8" t="s">
        <v>162</v>
      </c>
      <c r="E178" s="8" t="s">
        <v>160</v>
      </c>
      <c r="F178" s="8" t="s">
        <v>161</v>
      </c>
      <c r="G178" s="6">
        <v>42877</v>
      </c>
      <c r="H178" s="6">
        <v>42885</v>
      </c>
      <c r="I178" s="4">
        <v>-10</v>
      </c>
      <c r="J178" s="8" t="s">
        <v>37</v>
      </c>
      <c r="K178" s="8" t="s">
        <v>582</v>
      </c>
      <c r="L178" s="4"/>
      <c r="M178" s="4"/>
      <c r="N178" s="4"/>
    </row>
    <row r="179" spans="1:14" x14ac:dyDescent="0.15">
      <c r="A179" s="8" t="s">
        <v>383</v>
      </c>
      <c r="B179" s="8" t="s">
        <v>578</v>
      </c>
      <c r="C179" s="8" t="s">
        <v>68</v>
      </c>
      <c r="D179" s="8" t="s">
        <v>166</v>
      </c>
      <c r="E179" s="8" t="s">
        <v>160</v>
      </c>
      <c r="F179" s="8" t="s">
        <v>161</v>
      </c>
      <c r="G179" s="6">
        <v>42877</v>
      </c>
      <c r="H179" s="6">
        <v>42885</v>
      </c>
      <c r="I179" s="4">
        <v>-6</v>
      </c>
      <c r="J179" s="8" t="s">
        <v>37</v>
      </c>
      <c r="K179" s="8" t="s">
        <v>583</v>
      </c>
      <c r="L179" s="4"/>
      <c r="M179" s="4"/>
      <c r="N179" s="4"/>
    </row>
    <row r="180" spans="1:14" x14ac:dyDescent="0.15">
      <c r="A180" s="8" t="s">
        <v>383</v>
      </c>
      <c r="B180" s="8" t="s">
        <v>584</v>
      </c>
      <c r="C180" s="8" t="s">
        <v>54</v>
      </c>
      <c r="D180" s="8" t="s">
        <v>169</v>
      </c>
      <c r="E180" s="8" t="s">
        <v>160</v>
      </c>
      <c r="F180" s="8" t="s">
        <v>161</v>
      </c>
      <c r="G180" s="6">
        <v>42874</v>
      </c>
      <c r="H180" s="6">
        <v>42878</v>
      </c>
      <c r="I180" s="4">
        <v>-15</v>
      </c>
      <c r="J180" s="8" t="s">
        <v>38</v>
      </c>
      <c r="K180" s="8" t="s">
        <v>585</v>
      </c>
      <c r="L180" s="4"/>
      <c r="M180" s="4"/>
      <c r="N180" s="4"/>
    </row>
    <row r="181" spans="1:14" x14ac:dyDescent="0.15">
      <c r="A181" s="8" t="s">
        <v>383</v>
      </c>
      <c r="B181" s="8" t="s">
        <v>584</v>
      </c>
      <c r="C181" s="8" t="s">
        <v>29</v>
      </c>
      <c r="D181" s="8" t="s">
        <v>33</v>
      </c>
      <c r="E181" s="8" t="s">
        <v>160</v>
      </c>
      <c r="F181" s="8" t="s">
        <v>161</v>
      </c>
      <c r="G181" s="6">
        <v>42874</v>
      </c>
      <c r="H181" s="6">
        <v>42878</v>
      </c>
      <c r="I181" s="4">
        <v>-95</v>
      </c>
      <c r="J181" s="8" t="s">
        <v>39</v>
      </c>
      <c r="K181" s="8" t="s">
        <v>586</v>
      </c>
      <c r="L181" s="4"/>
      <c r="M181" s="4"/>
      <c r="N181" s="4"/>
    </row>
    <row r="182" spans="1:14" x14ac:dyDescent="0.15">
      <c r="A182" s="8" t="s">
        <v>383</v>
      </c>
      <c r="B182" s="8" t="s">
        <v>584</v>
      </c>
      <c r="C182" s="8" t="s">
        <v>68</v>
      </c>
      <c r="D182" s="8" t="s">
        <v>166</v>
      </c>
      <c r="E182" s="8" t="s">
        <v>160</v>
      </c>
      <c r="F182" s="8" t="s">
        <v>161</v>
      </c>
      <c r="G182" s="6">
        <v>42874</v>
      </c>
      <c r="H182" s="6">
        <v>42878</v>
      </c>
      <c r="I182" s="4">
        <v>-2</v>
      </c>
      <c r="J182" s="8" t="s">
        <v>37</v>
      </c>
      <c r="K182" s="8" t="s">
        <v>587</v>
      </c>
      <c r="L182" s="4"/>
      <c r="M182" s="4"/>
      <c r="N182" s="4"/>
    </row>
    <row r="183" spans="1:14" x14ac:dyDescent="0.15">
      <c r="A183" s="8" t="s">
        <v>383</v>
      </c>
      <c r="B183" s="8" t="s">
        <v>584</v>
      </c>
      <c r="C183" s="8" t="s">
        <v>19</v>
      </c>
      <c r="D183" s="8" t="s">
        <v>35</v>
      </c>
      <c r="E183" s="8" t="s">
        <v>160</v>
      </c>
      <c r="F183" s="8" t="s">
        <v>161</v>
      </c>
      <c r="G183" s="6">
        <v>42874</v>
      </c>
      <c r="H183" s="6">
        <v>42878</v>
      </c>
      <c r="I183" s="4">
        <v>-1</v>
      </c>
      <c r="J183" s="8" t="s">
        <v>37</v>
      </c>
      <c r="K183" s="8" t="s">
        <v>588</v>
      </c>
      <c r="L183" s="4"/>
      <c r="M183" s="4"/>
      <c r="N183" s="4"/>
    </row>
    <row r="184" spans="1:14" x14ac:dyDescent="0.15">
      <c r="A184" s="8" t="s">
        <v>383</v>
      </c>
      <c r="B184" s="8" t="s">
        <v>589</v>
      </c>
      <c r="C184" s="8" t="s">
        <v>25</v>
      </c>
      <c r="D184" s="8" t="s">
        <v>31</v>
      </c>
      <c r="E184" s="8" t="s">
        <v>160</v>
      </c>
      <c r="F184" s="8" t="s">
        <v>161</v>
      </c>
      <c r="G184" s="6">
        <v>42877</v>
      </c>
      <c r="H184" s="6">
        <v>42879</v>
      </c>
      <c r="I184" s="4">
        <v>-750</v>
      </c>
      <c r="J184" s="8" t="s">
        <v>38</v>
      </c>
      <c r="K184" s="8" t="s">
        <v>590</v>
      </c>
      <c r="L184" s="4"/>
      <c r="M184" s="4"/>
      <c r="N184" s="4"/>
    </row>
    <row r="185" spans="1:14" x14ac:dyDescent="0.15">
      <c r="A185" s="8" t="s">
        <v>383</v>
      </c>
      <c r="B185" s="8" t="s">
        <v>589</v>
      </c>
      <c r="C185" s="8" t="s">
        <v>19</v>
      </c>
      <c r="D185" s="8" t="s">
        <v>35</v>
      </c>
      <c r="E185" s="8" t="s">
        <v>160</v>
      </c>
      <c r="F185" s="8" t="s">
        <v>161</v>
      </c>
      <c r="G185" s="6">
        <v>42877</v>
      </c>
      <c r="H185" s="6">
        <v>42879</v>
      </c>
      <c r="I185" s="4">
        <v>-1</v>
      </c>
      <c r="J185" s="8" t="s">
        <v>37</v>
      </c>
      <c r="K185" s="8" t="s">
        <v>591</v>
      </c>
      <c r="L185" s="4"/>
      <c r="M185" s="4"/>
      <c r="N185" s="4"/>
    </row>
    <row r="186" spans="1:14" x14ac:dyDescent="0.15">
      <c r="A186" s="8" t="s">
        <v>383</v>
      </c>
      <c r="B186" s="8" t="s">
        <v>592</v>
      </c>
      <c r="C186" s="8" t="s">
        <v>101</v>
      </c>
      <c r="D186" s="8" t="s">
        <v>102</v>
      </c>
      <c r="E186" s="8" t="s">
        <v>160</v>
      </c>
      <c r="F186" s="8" t="s">
        <v>161</v>
      </c>
      <c r="G186" s="6">
        <v>42878</v>
      </c>
      <c r="H186" s="6">
        <v>42886</v>
      </c>
      <c r="I186" s="4">
        <v>-600</v>
      </c>
      <c r="J186" s="8" t="s">
        <v>39</v>
      </c>
      <c r="K186" s="8" t="s">
        <v>593</v>
      </c>
      <c r="L186" s="4"/>
      <c r="M186" s="4"/>
      <c r="N186" s="4"/>
    </row>
    <row r="187" spans="1:14" x14ac:dyDescent="0.15">
      <c r="A187" s="8" t="s">
        <v>383</v>
      </c>
      <c r="B187" s="8" t="s">
        <v>592</v>
      </c>
      <c r="C187" s="8" t="s">
        <v>68</v>
      </c>
      <c r="D187" s="8" t="s">
        <v>166</v>
      </c>
      <c r="E187" s="8" t="s">
        <v>160</v>
      </c>
      <c r="F187" s="8" t="s">
        <v>161</v>
      </c>
      <c r="G187" s="6">
        <v>42878</v>
      </c>
      <c r="H187" s="6">
        <v>42886</v>
      </c>
      <c r="I187" s="4">
        <v>-10</v>
      </c>
      <c r="J187" s="8" t="s">
        <v>37</v>
      </c>
      <c r="K187" s="8" t="s">
        <v>594</v>
      </c>
      <c r="L187" s="4"/>
      <c r="M187" s="4"/>
      <c r="N187" s="4"/>
    </row>
    <row r="188" spans="1:14" ht="40.5" x14ac:dyDescent="0.15">
      <c r="A188" s="8" t="s">
        <v>383</v>
      </c>
      <c r="B188" s="8" t="s">
        <v>595</v>
      </c>
      <c r="C188" s="8" t="s">
        <v>197</v>
      </c>
      <c r="D188" s="11" t="s">
        <v>213</v>
      </c>
      <c r="E188" s="8" t="s">
        <v>160</v>
      </c>
      <c r="F188" s="8" t="s">
        <v>161</v>
      </c>
      <c r="G188" s="6">
        <v>42879</v>
      </c>
      <c r="H188" s="6">
        <v>42885</v>
      </c>
      <c r="I188" s="4">
        <v>-10</v>
      </c>
      <c r="J188" s="8" t="s">
        <v>39</v>
      </c>
      <c r="K188" s="8" t="s">
        <v>596</v>
      </c>
      <c r="L188" s="4"/>
      <c r="M188" s="4"/>
      <c r="N188" s="4"/>
    </row>
    <row r="189" spans="1:14" x14ac:dyDescent="0.15">
      <c r="A189" s="8" t="s">
        <v>383</v>
      </c>
      <c r="B189" s="8" t="s">
        <v>595</v>
      </c>
      <c r="C189" s="8" t="s">
        <v>19</v>
      </c>
      <c r="D189" s="8" t="s">
        <v>35</v>
      </c>
      <c r="E189" s="8" t="s">
        <v>160</v>
      </c>
      <c r="F189" s="8" t="s">
        <v>161</v>
      </c>
      <c r="G189" s="6">
        <v>42885</v>
      </c>
      <c r="H189" s="6">
        <v>42885</v>
      </c>
      <c r="I189" s="4">
        <v>-1</v>
      </c>
      <c r="J189" s="8" t="s">
        <v>37</v>
      </c>
      <c r="K189" s="8" t="s">
        <v>597</v>
      </c>
      <c r="L189" s="4"/>
      <c r="M189" s="4"/>
      <c r="N189" s="4"/>
    </row>
    <row r="190" spans="1:14" x14ac:dyDescent="0.15">
      <c r="A190" s="8" t="s">
        <v>383</v>
      </c>
      <c r="B190" s="8" t="s">
        <v>598</v>
      </c>
      <c r="C190" s="8" t="s">
        <v>167</v>
      </c>
      <c r="D190" s="8" t="s">
        <v>168</v>
      </c>
      <c r="E190" s="8" t="s">
        <v>160</v>
      </c>
      <c r="F190" s="8" t="s">
        <v>161</v>
      </c>
      <c r="G190" s="6">
        <v>42885</v>
      </c>
      <c r="H190" s="6">
        <v>42885</v>
      </c>
      <c r="I190" s="4">
        <v>8000</v>
      </c>
      <c r="J190" s="8" t="s">
        <v>133</v>
      </c>
      <c r="K190" s="8" t="s">
        <v>599</v>
      </c>
      <c r="L190" s="4"/>
      <c r="M190" s="4"/>
      <c r="N190" s="4"/>
    </row>
    <row r="191" spans="1:14" x14ac:dyDescent="0.15">
      <c r="A191" s="8" t="s">
        <v>383</v>
      </c>
      <c r="B191" s="8" t="s">
        <v>600</v>
      </c>
      <c r="C191" s="8" t="s">
        <v>76</v>
      </c>
      <c r="D191" s="8" t="s">
        <v>110</v>
      </c>
      <c r="E191" s="8" t="s">
        <v>160</v>
      </c>
      <c r="F191" s="8" t="s">
        <v>161</v>
      </c>
      <c r="G191" s="6">
        <v>42886</v>
      </c>
      <c r="H191" s="6">
        <v>42886</v>
      </c>
      <c r="I191" s="4">
        <v>-13</v>
      </c>
      <c r="J191" s="8" t="s">
        <v>39</v>
      </c>
      <c r="K191" s="8" t="s">
        <v>601</v>
      </c>
      <c r="L191" s="4"/>
      <c r="M191" s="4"/>
      <c r="N191" s="4"/>
    </row>
    <row r="192" spans="1:14" x14ac:dyDescent="0.15">
      <c r="A192" s="8" t="s">
        <v>383</v>
      </c>
      <c r="B192" s="8" t="s">
        <v>600</v>
      </c>
      <c r="C192" s="8" t="s">
        <v>19</v>
      </c>
      <c r="D192" s="8" t="s">
        <v>35</v>
      </c>
      <c r="E192" s="8" t="s">
        <v>160</v>
      </c>
      <c r="F192" s="8" t="s">
        <v>161</v>
      </c>
      <c r="G192" s="6">
        <v>42886</v>
      </c>
      <c r="H192" s="6">
        <v>42886</v>
      </c>
      <c r="I192" s="4">
        <v>-1</v>
      </c>
      <c r="J192" s="8" t="s">
        <v>37</v>
      </c>
      <c r="K192" s="8" t="s">
        <v>602</v>
      </c>
      <c r="L192" s="4"/>
      <c r="M192" s="4"/>
      <c r="N192" s="4"/>
    </row>
    <row r="193" spans="1:14" x14ac:dyDescent="0.15">
      <c r="A193" s="8" t="s">
        <v>383</v>
      </c>
      <c r="B193" s="8" t="s">
        <v>603</v>
      </c>
      <c r="C193" s="8" t="s">
        <v>57</v>
      </c>
      <c r="D193" s="8" t="s">
        <v>113</v>
      </c>
      <c r="E193" s="8" t="s">
        <v>160</v>
      </c>
      <c r="F193" s="8" t="s">
        <v>161</v>
      </c>
      <c r="G193" s="6">
        <v>42887</v>
      </c>
      <c r="H193" s="6">
        <v>42892</v>
      </c>
      <c r="I193" s="4">
        <v>-75</v>
      </c>
      <c r="J193" s="8" t="s">
        <v>39</v>
      </c>
      <c r="K193" s="8" t="s">
        <v>604</v>
      </c>
      <c r="L193" s="4"/>
      <c r="M193" s="4"/>
      <c r="N193" s="4"/>
    </row>
    <row r="194" spans="1:14" x14ac:dyDescent="0.15">
      <c r="A194" s="8" t="s">
        <v>383</v>
      </c>
      <c r="B194" s="8" t="s">
        <v>603</v>
      </c>
      <c r="C194" s="8" t="s">
        <v>59</v>
      </c>
      <c r="D194" s="8" t="s">
        <v>93</v>
      </c>
      <c r="E194" s="8" t="s">
        <v>160</v>
      </c>
      <c r="F194" s="8" t="s">
        <v>161</v>
      </c>
      <c r="G194" s="6">
        <v>42887</v>
      </c>
      <c r="H194" s="6">
        <v>42892</v>
      </c>
      <c r="I194" s="4">
        <v>-164</v>
      </c>
      <c r="J194" s="8" t="s">
        <v>39</v>
      </c>
      <c r="K194" s="8" t="s">
        <v>605</v>
      </c>
      <c r="L194" s="4"/>
      <c r="M194" s="4"/>
      <c r="N194" s="4"/>
    </row>
    <row r="195" spans="1:14" x14ac:dyDescent="0.15">
      <c r="A195" s="8" t="s">
        <v>383</v>
      </c>
      <c r="B195" s="8" t="s">
        <v>603</v>
      </c>
      <c r="C195" s="8" t="s">
        <v>67</v>
      </c>
      <c r="D195" s="8" t="s">
        <v>162</v>
      </c>
      <c r="E195" s="8" t="s">
        <v>160</v>
      </c>
      <c r="F195" s="8" t="s">
        <v>161</v>
      </c>
      <c r="G195" s="6">
        <v>42887</v>
      </c>
      <c r="H195" s="6">
        <v>42892</v>
      </c>
      <c r="I195" s="4">
        <v>-6</v>
      </c>
      <c r="J195" s="8" t="s">
        <v>37</v>
      </c>
      <c r="K195" s="8" t="s">
        <v>606</v>
      </c>
      <c r="L195" s="4"/>
      <c r="M195" s="4"/>
      <c r="N195" s="4"/>
    </row>
    <row r="196" spans="1:14" x14ac:dyDescent="0.15">
      <c r="A196" s="8" t="s">
        <v>383</v>
      </c>
      <c r="B196" s="8" t="s">
        <v>607</v>
      </c>
      <c r="C196" s="8" t="s">
        <v>101</v>
      </c>
      <c r="D196" s="8" t="s">
        <v>102</v>
      </c>
      <c r="E196" s="8" t="s">
        <v>160</v>
      </c>
      <c r="F196" s="8" t="s">
        <v>161</v>
      </c>
      <c r="G196" s="6">
        <v>42886</v>
      </c>
      <c r="H196" s="6">
        <v>42886</v>
      </c>
      <c r="I196" s="4">
        <v>600</v>
      </c>
      <c r="J196" s="8" t="s">
        <v>39</v>
      </c>
      <c r="K196" s="8" t="s">
        <v>608</v>
      </c>
      <c r="L196" s="4"/>
      <c r="M196" s="4"/>
      <c r="N196" s="4"/>
    </row>
    <row r="197" spans="1:14" x14ac:dyDescent="0.15">
      <c r="A197" s="8" t="s">
        <v>383</v>
      </c>
      <c r="B197" s="8" t="s">
        <v>607</v>
      </c>
      <c r="C197" s="8" t="s">
        <v>68</v>
      </c>
      <c r="D197" s="8" t="s">
        <v>166</v>
      </c>
      <c r="E197" s="8" t="s">
        <v>160</v>
      </c>
      <c r="F197" s="8" t="s">
        <v>161</v>
      </c>
      <c r="G197" s="6">
        <v>42886</v>
      </c>
      <c r="H197" s="6">
        <v>42886</v>
      </c>
      <c r="I197" s="4">
        <v>10</v>
      </c>
      <c r="J197" s="8" t="s">
        <v>37</v>
      </c>
      <c r="K197" s="8" t="s">
        <v>609</v>
      </c>
      <c r="L197" s="4"/>
      <c r="M197" s="4"/>
      <c r="N197" s="4"/>
    </row>
    <row r="198" spans="1:14" x14ac:dyDescent="0.15">
      <c r="A198" s="8" t="s">
        <v>383</v>
      </c>
      <c r="B198" s="8" t="s">
        <v>610</v>
      </c>
      <c r="C198" s="8" t="s">
        <v>101</v>
      </c>
      <c r="D198" s="8" t="s">
        <v>102</v>
      </c>
      <c r="E198" s="8" t="s">
        <v>160</v>
      </c>
      <c r="F198" s="8" t="s">
        <v>161</v>
      </c>
      <c r="G198" s="6">
        <v>42878</v>
      </c>
      <c r="H198" s="6">
        <v>42886</v>
      </c>
      <c r="I198" s="4">
        <v>-600</v>
      </c>
      <c r="J198" s="8" t="s">
        <v>39</v>
      </c>
      <c r="K198" s="8" t="s">
        <v>611</v>
      </c>
      <c r="L198" s="4"/>
      <c r="M198" s="4"/>
      <c r="N198" s="4"/>
    </row>
    <row r="199" spans="1:14" x14ac:dyDescent="0.15">
      <c r="A199" s="8" t="s">
        <v>383</v>
      </c>
      <c r="B199" s="8" t="s">
        <v>610</v>
      </c>
      <c r="C199" s="8" t="s">
        <v>68</v>
      </c>
      <c r="D199" s="8" t="s">
        <v>166</v>
      </c>
      <c r="E199" s="8" t="s">
        <v>160</v>
      </c>
      <c r="F199" s="8" t="s">
        <v>161</v>
      </c>
      <c r="G199" s="6">
        <v>42878</v>
      </c>
      <c r="H199" s="6">
        <v>42886</v>
      </c>
      <c r="I199" s="4">
        <v>-10</v>
      </c>
      <c r="J199" s="8" t="s">
        <v>37</v>
      </c>
      <c r="K199" s="8" t="s">
        <v>612</v>
      </c>
      <c r="L199" s="4"/>
      <c r="M199" s="4"/>
      <c r="N199" s="4"/>
    </row>
    <row r="200" spans="1:14" x14ac:dyDescent="0.15">
      <c r="A200" s="8" t="s">
        <v>383</v>
      </c>
      <c r="B200" s="8" t="s">
        <v>613</v>
      </c>
      <c r="C200" s="8" t="s">
        <v>101</v>
      </c>
      <c r="D200" s="8" t="s">
        <v>102</v>
      </c>
      <c r="E200" s="8" t="s">
        <v>160</v>
      </c>
      <c r="F200" s="8" t="s">
        <v>161</v>
      </c>
      <c r="G200" s="6">
        <v>42887</v>
      </c>
      <c r="H200" s="6">
        <v>42892</v>
      </c>
      <c r="I200" s="4">
        <v>-70</v>
      </c>
      <c r="J200" s="8" t="s">
        <v>39</v>
      </c>
      <c r="K200" s="8" t="s">
        <v>614</v>
      </c>
      <c r="L200" s="4"/>
      <c r="M200" s="4"/>
      <c r="N200" s="4"/>
    </row>
    <row r="201" spans="1:14" x14ac:dyDescent="0.15">
      <c r="A201" s="8" t="s">
        <v>383</v>
      </c>
      <c r="B201" s="8" t="s">
        <v>615</v>
      </c>
      <c r="C201" s="8" t="s">
        <v>29</v>
      </c>
      <c r="D201" s="8" t="s">
        <v>33</v>
      </c>
      <c r="E201" s="8" t="s">
        <v>160</v>
      </c>
      <c r="F201" s="8" t="s">
        <v>161</v>
      </c>
      <c r="G201" s="6">
        <v>42892</v>
      </c>
      <c r="H201" s="6">
        <v>42900</v>
      </c>
      <c r="I201" s="4">
        <v>-223.5</v>
      </c>
      <c r="J201" s="8" t="s">
        <v>39</v>
      </c>
      <c r="K201" s="8" t="s">
        <v>616</v>
      </c>
      <c r="L201" s="4"/>
      <c r="M201" s="4"/>
      <c r="N201" s="4"/>
    </row>
    <row r="202" spans="1:14" x14ac:dyDescent="0.15">
      <c r="A202" s="8" t="s">
        <v>383</v>
      </c>
      <c r="B202" s="8" t="s">
        <v>615</v>
      </c>
      <c r="C202" s="8" t="s">
        <v>59</v>
      </c>
      <c r="D202" s="8" t="s">
        <v>93</v>
      </c>
      <c r="E202" s="8" t="s">
        <v>160</v>
      </c>
      <c r="F202" s="8" t="s">
        <v>161</v>
      </c>
      <c r="G202" s="6">
        <v>42892</v>
      </c>
      <c r="H202" s="6">
        <v>42900</v>
      </c>
      <c r="I202" s="4">
        <v>-100</v>
      </c>
      <c r="J202" s="8" t="s">
        <v>39</v>
      </c>
      <c r="K202" s="8" t="s">
        <v>617</v>
      </c>
      <c r="L202" s="4"/>
      <c r="M202" s="4"/>
      <c r="N202" s="4"/>
    </row>
    <row r="203" spans="1:14" x14ac:dyDescent="0.15">
      <c r="A203" s="8" t="s">
        <v>383</v>
      </c>
      <c r="B203" s="8" t="s">
        <v>615</v>
      </c>
      <c r="C203" s="8" t="s">
        <v>63</v>
      </c>
      <c r="D203" s="8" t="s">
        <v>95</v>
      </c>
      <c r="E203" s="8" t="s">
        <v>160</v>
      </c>
      <c r="F203" s="8" t="s">
        <v>161</v>
      </c>
      <c r="G203" s="6">
        <v>42892</v>
      </c>
      <c r="H203" s="6">
        <v>42900</v>
      </c>
      <c r="I203" s="4">
        <v>-100</v>
      </c>
      <c r="J203" s="8" t="s">
        <v>39</v>
      </c>
      <c r="K203" s="8" t="s">
        <v>618</v>
      </c>
      <c r="L203" s="4"/>
      <c r="M203" s="4"/>
      <c r="N203" s="4"/>
    </row>
    <row r="204" spans="1:14" x14ac:dyDescent="0.15">
      <c r="A204" s="8" t="s">
        <v>383</v>
      </c>
      <c r="B204" s="8" t="s">
        <v>615</v>
      </c>
      <c r="C204" s="8" t="s">
        <v>67</v>
      </c>
      <c r="D204" s="8" t="s">
        <v>162</v>
      </c>
      <c r="E204" s="8" t="s">
        <v>160</v>
      </c>
      <c r="F204" s="8" t="s">
        <v>161</v>
      </c>
      <c r="G204" s="6">
        <v>42892</v>
      </c>
      <c r="H204" s="6">
        <v>42900</v>
      </c>
      <c r="I204" s="4">
        <v>-56</v>
      </c>
      <c r="J204" s="8" t="s">
        <v>37</v>
      </c>
      <c r="K204" s="8" t="s">
        <v>619</v>
      </c>
      <c r="L204" s="4"/>
      <c r="M204" s="4"/>
      <c r="N204" s="4"/>
    </row>
    <row r="205" spans="1:14" x14ac:dyDescent="0.15">
      <c r="A205" s="8" t="s">
        <v>383</v>
      </c>
      <c r="B205" s="8" t="s">
        <v>620</v>
      </c>
      <c r="C205" s="8" t="s">
        <v>111</v>
      </c>
      <c r="D205" s="8" t="s">
        <v>112</v>
      </c>
      <c r="E205" s="8" t="s">
        <v>160</v>
      </c>
      <c r="F205" s="8" t="s">
        <v>161</v>
      </c>
      <c r="G205" s="6">
        <v>42892</v>
      </c>
      <c r="H205" s="6">
        <v>42892</v>
      </c>
      <c r="I205" s="4">
        <v>-30</v>
      </c>
      <c r="J205" s="8" t="s">
        <v>39</v>
      </c>
      <c r="K205" s="8" t="s">
        <v>621</v>
      </c>
      <c r="L205" s="4"/>
      <c r="M205" s="4"/>
      <c r="N205" s="4"/>
    </row>
    <row r="206" spans="1:14" x14ac:dyDescent="0.15">
      <c r="A206" s="8" t="s">
        <v>383</v>
      </c>
      <c r="B206" s="8" t="s">
        <v>622</v>
      </c>
      <c r="C206" s="8" t="s">
        <v>62</v>
      </c>
      <c r="D206" s="8" t="s">
        <v>94</v>
      </c>
      <c r="E206" s="8" t="s">
        <v>160</v>
      </c>
      <c r="F206" s="8" t="s">
        <v>161</v>
      </c>
      <c r="G206" s="6">
        <v>42893</v>
      </c>
      <c r="H206" s="6">
        <v>42895</v>
      </c>
      <c r="I206" s="4">
        <v>-600</v>
      </c>
      <c r="J206" s="8" t="s">
        <v>39</v>
      </c>
      <c r="K206" s="8" t="s">
        <v>623</v>
      </c>
      <c r="L206" s="4"/>
      <c r="M206" s="4"/>
      <c r="N206" s="4"/>
    </row>
    <row r="207" spans="1:14" x14ac:dyDescent="0.15">
      <c r="A207" s="8" t="s">
        <v>383</v>
      </c>
      <c r="B207" s="8" t="s">
        <v>624</v>
      </c>
      <c r="C207" s="8" t="s">
        <v>67</v>
      </c>
      <c r="D207" s="8" t="s">
        <v>162</v>
      </c>
      <c r="E207" s="8" t="s">
        <v>160</v>
      </c>
      <c r="F207" s="8" t="s">
        <v>161</v>
      </c>
      <c r="G207" s="6">
        <v>42894</v>
      </c>
      <c r="H207" s="6">
        <v>42900</v>
      </c>
      <c r="I207" s="4">
        <v>-56</v>
      </c>
      <c r="J207" s="8" t="s">
        <v>37</v>
      </c>
      <c r="K207" s="8" t="s">
        <v>625</v>
      </c>
      <c r="L207" s="4"/>
      <c r="M207" s="4"/>
      <c r="N207" s="4"/>
    </row>
    <row r="208" spans="1:14" x14ac:dyDescent="0.15">
      <c r="A208" s="8" t="s">
        <v>383</v>
      </c>
      <c r="B208" s="8" t="s">
        <v>626</v>
      </c>
      <c r="C208" s="8" t="s">
        <v>62</v>
      </c>
      <c r="D208" s="8" t="s">
        <v>94</v>
      </c>
      <c r="E208" s="8" t="s">
        <v>160</v>
      </c>
      <c r="F208" s="8" t="s">
        <v>161</v>
      </c>
      <c r="G208" s="6">
        <v>42894</v>
      </c>
      <c r="H208" s="6">
        <v>42895</v>
      </c>
      <c r="I208" s="4">
        <v>-450</v>
      </c>
      <c r="J208" s="8" t="s">
        <v>39</v>
      </c>
      <c r="K208" s="8" t="s">
        <v>627</v>
      </c>
      <c r="L208" s="4"/>
      <c r="M208" s="4"/>
      <c r="N208" s="4"/>
    </row>
    <row r="209" spans="1:14" x14ac:dyDescent="0.15">
      <c r="A209" s="8" t="s">
        <v>383</v>
      </c>
      <c r="B209" s="8" t="s">
        <v>626</v>
      </c>
      <c r="C209" s="8" t="s">
        <v>80</v>
      </c>
      <c r="D209" s="8" t="s">
        <v>163</v>
      </c>
      <c r="E209" s="8" t="s">
        <v>160</v>
      </c>
      <c r="F209" s="8" t="s">
        <v>161</v>
      </c>
      <c r="G209" s="6">
        <v>42894</v>
      </c>
      <c r="H209" s="6">
        <v>42895</v>
      </c>
      <c r="I209" s="4">
        <v>-16</v>
      </c>
      <c r="J209" s="8" t="s">
        <v>37</v>
      </c>
      <c r="K209" s="8" t="s">
        <v>628</v>
      </c>
      <c r="L209" s="4"/>
      <c r="M209" s="4"/>
      <c r="N209" s="4"/>
    </row>
    <row r="210" spans="1:14" x14ac:dyDescent="0.15">
      <c r="A210" s="8" t="s">
        <v>383</v>
      </c>
      <c r="B210" s="8" t="s">
        <v>629</v>
      </c>
      <c r="C210" s="8" t="s">
        <v>73</v>
      </c>
      <c r="D210" s="8" t="s">
        <v>125</v>
      </c>
      <c r="E210" s="8" t="s">
        <v>160</v>
      </c>
      <c r="F210" s="8" t="s">
        <v>161</v>
      </c>
      <c r="G210" s="6">
        <v>42895</v>
      </c>
      <c r="H210" s="6">
        <v>42900</v>
      </c>
      <c r="I210" s="4">
        <v>-180</v>
      </c>
      <c r="J210" s="8" t="s">
        <v>38</v>
      </c>
      <c r="K210" s="8" t="s">
        <v>630</v>
      </c>
      <c r="L210" s="4"/>
      <c r="M210" s="4"/>
      <c r="N210" s="4"/>
    </row>
    <row r="211" spans="1:14" x14ac:dyDescent="0.15">
      <c r="A211" s="8" t="s">
        <v>383</v>
      </c>
      <c r="B211" s="8" t="s">
        <v>629</v>
      </c>
      <c r="C211" s="8" t="s">
        <v>111</v>
      </c>
      <c r="D211" s="8" t="s">
        <v>112</v>
      </c>
      <c r="E211" s="8" t="s">
        <v>160</v>
      </c>
      <c r="F211" s="8" t="s">
        <v>161</v>
      </c>
      <c r="G211" s="6">
        <v>42895</v>
      </c>
      <c r="H211" s="6">
        <v>42900</v>
      </c>
      <c r="I211" s="4">
        <v>-100</v>
      </c>
      <c r="J211" s="8" t="s">
        <v>39</v>
      </c>
      <c r="K211" s="8" t="s">
        <v>631</v>
      </c>
      <c r="L211" s="4"/>
      <c r="M211" s="4"/>
      <c r="N211" s="4"/>
    </row>
    <row r="212" spans="1:14" ht="27" x14ac:dyDescent="0.15">
      <c r="A212" s="8" t="s">
        <v>383</v>
      </c>
      <c r="B212" s="8" t="s">
        <v>629</v>
      </c>
      <c r="C212" s="8" t="s">
        <v>164</v>
      </c>
      <c r="D212" s="11" t="s">
        <v>165</v>
      </c>
      <c r="E212" s="8" t="s">
        <v>160</v>
      </c>
      <c r="F212" s="8" t="s">
        <v>161</v>
      </c>
      <c r="G212" s="6">
        <v>42895</v>
      </c>
      <c r="H212" s="6">
        <v>42900</v>
      </c>
      <c r="I212" s="4">
        <v>-1</v>
      </c>
      <c r="J212" s="8" t="s">
        <v>37</v>
      </c>
      <c r="K212" s="8" t="s">
        <v>632</v>
      </c>
      <c r="L212" s="4"/>
      <c r="M212" s="4"/>
      <c r="N212" s="4"/>
    </row>
    <row r="213" spans="1:14" x14ac:dyDescent="0.15">
      <c r="A213" s="8" t="s">
        <v>383</v>
      </c>
      <c r="B213" s="8" t="s">
        <v>629</v>
      </c>
      <c r="C213" s="8" t="s">
        <v>67</v>
      </c>
      <c r="D213" s="8" t="s">
        <v>162</v>
      </c>
      <c r="E213" s="8" t="s">
        <v>160</v>
      </c>
      <c r="F213" s="8" t="s">
        <v>161</v>
      </c>
      <c r="G213" s="6">
        <v>42895</v>
      </c>
      <c r="H213" s="6">
        <v>42900</v>
      </c>
      <c r="I213" s="4">
        <v>-5</v>
      </c>
      <c r="J213" s="8" t="s">
        <v>37</v>
      </c>
      <c r="K213" s="8" t="s">
        <v>633</v>
      </c>
      <c r="L213" s="4"/>
      <c r="M213" s="4"/>
      <c r="N213" s="4"/>
    </row>
    <row r="214" spans="1:14" x14ac:dyDescent="0.15">
      <c r="A214" s="8" t="s">
        <v>383</v>
      </c>
      <c r="B214" s="8" t="s">
        <v>629</v>
      </c>
      <c r="C214" s="8" t="s">
        <v>68</v>
      </c>
      <c r="D214" s="8" t="s">
        <v>166</v>
      </c>
      <c r="E214" s="8" t="s">
        <v>160</v>
      </c>
      <c r="F214" s="8" t="s">
        <v>161</v>
      </c>
      <c r="G214" s="6">
        <v>42895</v>
      </c>
      <c r="H214" s="6">
        <v>42900</v>
      </c>
      <c r="I214" s="4">
        <v>-10</v>
      </c>
      <c r="J214" s="8" t="s">
        <v>37</v>
      </c>
      <c r="K214" s="8" t="s">
        <v>634</v>
      </c>
      <c r="L214" s="4"/>
      <c r="M214" s="4"/>
      <c r="N214" s="4"/>
    </row>
    <row r="215" spans="1:14" x14ac:dyDescent="0.15">
      <c r="A215" s="8" t="s">
        <v>383</v>
      </c>
      <c r="B215" s="8" t="s">
        <v>629</v>
      </c>
      <c r="C215" s="8" t="s">
        <v>117</v>
      </c>
      <c r="D215" s="8" t="s">
        <v>118</v>
      </c>
      <c r="E215" s="8" t="s">
        <v>160</v>
      </c>
      <c r="F215" s="8" t="s">
        <v>161</v>
      </c>
      <c r="G215" s="6">
        <v>42895</v>
      </c>
      <c r="H215" s="6">
        <v>42900</v>
      </c>
      <c r="I215" s="4">
        <v>-5</v>
      </c>
      <c r="J215" s="8" t="s">
        <v>37</v>
      </c>
      <c r="K215" s="8" t="s">
        <v>635</v>
      </c>
      <c r="L215" s="4"/>
      <c r="M215" s="4"/>
      <c r="N215" s="4"/>
    </row>
    <row r="216" spans="1:14" x14ac:dyDescent="0.15">
      <c r="A216" s="8" t="s">
        <v>383</v>
      </c>
      <c r="B216" s="8" t="s">
        <v>636</v>
      </c>
      <c r="C216" s="8" t="s">
        <v>73</v>
      </c>
      <c r="D216" s="8" t="s">
        <v>125</v>
      </c>
      <c r="E216" s="8" t="s">
        <v>160</v>
      </c>
      <c r="F216" s="8" t="s">
        <v>161</v>
      </c>
      <c r="G216" s="6">
        <v>42895</v>
      </c>
      <c r="H216" s="6">
        <v>42900</v>
      </c>
      <c r="I216" s="4">
        <v>-2</v>
      </c>
      <c r="J216" s="8" t="s">
        <v>38</v>
      </c>
      <c r="K216" s="8" t="s">
        <v>637</v>
      </c>
      <c r="L216" s="4"/>
      <c r="M216" s="4"/>
      <c r="N216" s="4"/>
    </row>
    <row r="217" spans="1:14" x14ac:dyDescent="0.15">
      <c r="A217" s="8" t="s">
        <v>383</v>
      </c>
      <c r="B217" s="8" t="s">
        <v>636</v>
      </c>
      <c r="C217" s="8" t="s">
        <v>19</v>
      </c>
      <c r="D217" s="8" t="s">
        <v>35</v>
      </c>
      <c r="E217" s="8" t="s">
        <v>160</v>
      </c>
      <c r="F217" s="8" t="s">
        <v>161</v>
      </c>
      <c r="G217" s="6">
        <v>42895</v>
      </c>
      <c r="H217" s="6">
        <v>42900</v>
      </c>
      <c r="I217" s="4">
        <v>-1</v>
      </c>
      <c r="J217" s="8" t="s">
        <v>37</v>
      </c>
      <c r="K217" s="8" t="s">
        <v>638</v>
      </c>
      <c r="L217" s="4"/>
      <c r="M217" s="4"/>
      <c r="N217" s="4"/>
    </row>
    <row r="218" spans="1:14" x14ac:dyDescent="0.15">
      <c r="A218" s="8" t="s">
        <v>383</v>
      </c>
      <c r="B218" s="8" t="s">
        <v>639</v>
      </c>
      <c r="C218" s="8" t="s">
        <v>67</v>
      </c>
      <c r="D218" s="8" t="s">
        <v>162</v>
      </c>
      <c r="E218" s="8" t="s">
        <v>160</v>
      </c>
      <c r="F218" s="8" t="s">
        <v>161</v>
      </c>
      <c r="G218" s="6">
        <v>42898</v>
      </c>
      <c r="H218" s="6">
        <v>42900</v>
      </c>
      <c r="I218" s="4">
        <v>-56</v>
      </c>
      <c r="J218" s="8" t="s">
        <v>37</v>
      </c>
      <c r="K218" s="8" t="s">
        <v>640</v>
      </c>
      <c r="L218" s="4"/>
      <c r="M218" s="4"/>
      <c r="N218" s="4"/>
    </row>
    <row r="219" spans="1:14" x14ac:dyDescent="0.15">
      <c r="A219" s="8" t="s">
        <v>383</v>
      </c>
      <c r="B219" s="8" t="s">
        <v>641</v>
      </c>
      <c r="C219" s="8" t="s">
        <v>167</v>
      </c>
      <c r="D219" s="8" t="s">
        <v>168</v>
      </c>
      <c r="E219" s="8" t="s">
        <v>160</v>
      </c>
      <c r="F219" s="8" t="s">
        <v>161</v>
      </c>
      <c r="G219" s="6">
        <v>42898</v>
      </c>
      <c r="H219" s="6">
        <v>42900</v>
      </c>
      <c r="I219" s="4">
        <v>-1000</v>
      </c>
      <c r="J219" s="8" t="s">
        <v>133</v>
      </c>
      <c r="K219" s="8" t="s">
        <v>642</v>
      </c>
      <c r="L219" s="4"/>
      <c r="M219" s="4"/>
      <c r="N219" s="4"/>
    </row>
    <row r="220" spans="1:14" x14ac:dyDescent="0.15">
      <c r="A220" s="8" t="s">
        <v>383</v>
      </c>
      <c r="B220" s="8" t="s">
        <v>643</v>
      </c>
      <c r="C220" s="8" t="s">
        <v>62</v>
      </c>
      <c r="D220" s="8" t="s">
        <v>94</v>
      </c>
      <c r="E220" s="8" t="s">
        <v>160</v>
      </c>
      <c r="F220" s="8" t="s">
        <v>161</v>
      </c>
      <c r="G220" s="6">
        <v>42899</v>
      </c>
      <c r="H220" s="6">
        <v>42900</v>
      </c>
      <c r="I220" s="4">
        <v>-600</v>
      </c>
      <c r="J220" s="8" t="s">
        <v>39</v>
      </c>
      <c r="K220" s="8" t="s">
        <v>644</v>
      </c>
      <c r="L220" s="4"/>
      <c r="M220" s="4"/>
      <c r="N220" s="4"/>
    </row>
    <row r="221" spans="1:14" x14ac:dyDescent="0.15">
      <c r="A221" s="8" t="s">
        <v>383</v>
      </c>
      <c r="B221" s="8" t="s">
        <v>643</v>
      </c>
      <c r="C221" s="8" t="s">
        <v>63</v>
      </c>
      <c r="D221" s="8" t="s">
        <v>95</v>
      </c>
      <c r="E221" s="8" t="s">
        <v>160</v>
      </c>
      <c r="F221" s="8" t="s">
        <v>161</v>
      </c>
      <c r="G221" s="6">
        <v>42899</v>
      </c>
      <c r="H221" s="6">
        <v>42900</v>
      </c>
      <c r="I221" s="4">
        <v>-500</v>
      </c>
      <c r="J221" s="8" t="s">
        <v>39</v>
      </c>
      <c r="K221" s="8" t="s">
        <v>645</v>
      </c>
      <c r="L221" s="4"/>
      <c r="M221" s="4"/>
      <c r="N221" s="4"/>
    </row>
    <row r="222" spans="1:14" x14ac:dyDescent="0.15">
      <c r="A222" s="8" t="s">
        <v>383</v>
      </c>
      <c r="B222" s="8" t="s">
        <v>643</v>
      </c>
      <c r="C222" s="8" t="s">
        <v>66</v>
      </c>
      <c r="D222" s="8" t="s">
        <v>116</v>
      </c>
      <c r="E222" s="8" t="s">
        <v>160</v>
      </c>
      <c r="F222" s="8" t="s">
        <v>161</v>
      </c>
      <c r="G222" s="6">
        <v>42899</v>
      </c>
      <c r="H222" s="6">
        <v>42900</v>
      </c>
      <c r="I222" s="4">
        <v>-1</v>
      </c>
      <c r="J222" s="8" t="s">
        <v>37</v>
      </c>
      <c r="K222" s="8" t="s">
        <v>646</v>
      </c>
      <c r="L222" s="4"/>
      <c r="M222" s="4"/>
      <c r="N222" s="4"/>
    </row>
    <row r="223" spans="1:14" x14ac:dyDescent="0.15">
      <c r="A223" s="8" t="s">
        <v>383</v>
      </c>
      <c r="B223" s="8" t="s">
        <v>647</v>
      </c>
      <c r="C223" s="8" t="s">
        <v>57</v>
      </c>
      <c r="D223" s="8" t="s">
        <v>113</v>
      </c>
      <c r="E223" s="8" t="s">
        <v>160</v>
      </c>
      <c r="F223" s="8" t="s">
        <v>161</v>
      </c>
      <c r="G223" s="6">
        <v>42899</v>
      </c>
      <c r="H223" s="6">
        <v>42908</v>
      </c>
      <c r="I223" s="4">
        <v>-58</v>
      </c>
      <c r="J223" s="8" t="s">
        <v>39</v>
      </c>
      <c r="K223" s="8" t="s">
        <v>648</v>
      </c>
      <c r="L223" s="4"/>
      <c r="M223" s="4"/>
      <c r="N223" s="4"/>
    </row>
    <row r="224" spans="1:14" x14ac:dyDescent="0.15">
      <c r="A224" s="8" t="s">
        <v>383</v>
      </c>
      <c r="B224" s="8" t="s">
        <v>647</v>
      </c>
      <c r="C224" s="8" t="s">
        <v>97</v>
      </c>
      <c r="D224" s="8" t="s">
        <v>98</v>
      </c>
      <c r="E224" s="8" t="s">
        <v>160</v>
      </c>
      <c r="F224" s="8" t="s">
        <v>161</v>
      </c>
      <c r="G224" s="6">
        <v>42899</v>
      </c>
      <c r="H224" s="6">
        <v>42908</v>
      </c>
      <c r="I224" s="4">
        <v>-150</v>
      </c>
      <c r="J224" s="8" t="s">
        <v>39</v>
      </c>
      <c r="K224" s="8" t="s">
        <v>649</v>
      </c>
      <c r="L224" s="4"/>
      <c r="M224" s="4"/>
      <c r="N224" s="4"/>
    </row>
    <row r="225" spans="1:14" x14ac:dyDescent="0.15">
      <c r="A225" s="8" t="s">
        <v>383</v>
      </c>
      <c r="B225" s="8" t="s">
        <v>647</v>
      </c>
      <c r="C225" s="8" t="s">
        <v>67</v>
      </c>
      <c r="D225" s="8" t="s">
        <v>162</v>
      </c>
      <c r="E225" s="8" t="s">
        <v>160</v>
      </c>
      <c r="F225" s="8" t="s">
        <v>161</v>
      </c>
      <c r="G225" s="6">
        <v>42899</v>
      </c>
      <c r="H225" s="6">
        <v>42908</v>
      </c>
      <c r="I225" s="4">
        <v>-8</v>
      </c>
      <c r="J225" s="8" t="s">
        <v>37</v>
      </c>
      <c r="K225" s="8" t="s">
        <v>650</v>
      </c>
      <c r="L225" s="4"/>
      <c r="M225" s="4"/>
      <c r="N225" s="4"/>
    </row>
    <row r="226" spans="1:14" x14ac:dyDescent="0.15">
      <c r="A226" s="8" t="s">
        <v>383</v>
      </c>
      <c r="B226" s="8" t="s">
        <v>651</v>
      </c>
      <c r="C226" s="8" t="s">
        <v>67</v>
      </c>
      <c r="D226" s="8" t="s">
        <v>162</v>
      </c>
      <c r="E226" s="8" t="s">
        <v>160</v>
      </c>
      <c r="F226" s="8" t="s">
        <v>161</v>
      </c>
      <c r="G226" s="6">
        <v>42900</v>
      </c>
      <c r="H226" s="6">
        <v>42908</v>
      </c>
      <c r="I226" s="4">
        <v>-56</v>
      </c>
      <c r="J226" s="8" t="s">
        <v>37</v>
      </c>
      <c r="K226" s="8" t="s">
        <v>652</v>
      </c>
      <c r="L226" s="4"/>
      <c r="M226" s="4"/>
      <c r="N226" s="4"/>
    </row>
    <row r="227" spans="1:14" x14ac:dyDescent="0.15">
      <c r="A227" s="8" t="s">
        <v>383</v>
      </c>
      <c r="B227" s="8" t="s">
        <v>653</v>
      </c>
      <c r="C227" s="8" t="s">
        <v>56</v>
      </c>
      <c r="D227" s="8" t="s">
        <v>126</v>
      </c>
      <c r="E227" s="8" t="s">
        <v>160</v>
      </c>
      <c r="F227" s="8" t="s">
        <v>161</v>
      </c>
      <c r="G227" s="6">
        <v>42900</v>
      </c>
      <c r="H227" s="6">
        <v>42908</v>
      </c>
      <c r="I227" s="4">
        <v>-300</v>
      </c>
      <c r="J227" s="8" t="s">
        <v>39</v>
      </c>
      <c r="K227" s="8" t="s">
        <v>654</v>
      </c>
      <c r="L227" s="4"/>
      <c r="M227" s="4"/>
      <c r="N227" s="4"/>
    </row>
    <row r="228" spans="1:14" x14ac:dyDescent="0.15">
      <c r="A228" s="8" t="s">
        <v>383</v>
      </c>
      <c r="B228" s="8" t="s">
        <v>653</v>
      </c>
      <c r="C228" s="8" t="s">
        <v>67</v>
      </c>
      <c r="D228" s="8" t="s">
        <v>162</v>
      </c>
      <c r="E228" s="8" t="s">
        <v>160</v>
      </c>
      <c r="F228" s="8" t="s">
        <v>161</v>
      </c>
      <c r="G228" s="6">
        <v>42900</v>
      </c>
      <c r="H228" s="6">
        <v>42908</v>
      </c>
      <c r="I228" s="4">
        <v>-2</v>
      </c>
      <c r="J228" s="8" t="s">
        <v>37</v>
      </c>
      <c r="K228" s="8" t="s">
        <v>655</v>
      </c>
      <c r="L228" s="4"/>
      <c r="M228" s="4"/>
      <c r="N228" s="4"/>
    </row>
    <row r="229" spans="1:14" x14ac:dyDescent="0.15">
      <c r="A229" s="8" t="s">
        <v>383</v>
      </c>
      <c r="B229" s="8" t="s">
        <v>656</v>
      </c>
      <c r="C229" s="8" t="s">
        <v>63</v>
      </c>
      <c r="D229" s="8" t="s">
        <v>95</v>
      </c>
      <c r="E229" s="8" t="s">
        <v>160</v>
      </c>
      <c r="F229" s="8" t="s">
        <v>161</v>
      </c>
      <c r="G229" s="6">
        <v>42905</v>
      </c>
      <c r="H229" s="6">
        <v>42908</v>
      </c>
      <c r="I229" s="4">
        <v>-55</v>
      </c>
      <c r="J229" s="8" t="s">
        <v>39</v>
      </c>
      <c r="K229" s="8" t="s">
        <v>657</v>
      </c>
      <c r="L229" s="4"/>
      <c r="M229" s="4"/>
      <c r="N229" s="4"/>
    </row>
    <row r="230" spans="1:14" x14ac:dyDescent="0.15">
      <c r="A230" s="8" t="s">
        <v>383</v>
      </c>
      <c r="B230" s="8" t="s">
        <v>658</v>
      </c>
      <c r="C230" s="8" t="s">
        <v>54</v>
      </c>
      <c r="D230" s="8" t="s">
        <v>169</v>
      </c>
      <c r="E230" s="8" t="s">
        <v>160</v>
      </c>
      <c r="F230" s="8" t="s">
        <v>161</v>
      </c>
      <c r="G230" s="6">
        <v>42905</v>
      </c>
      <c r="H230" s="6">
        <v>42908</v>
      </c>
      <c r="I230" s="4">
        <v>-2.4</v>
      </c>
      <c r="J230" s="8" t="s">
        <v>38</v>
      </c>
      <c r="K230" s="8" t="s">
        <v>659</v>
      </c>
      <c r="L230" s="4"/>
      <c r="M230" s="4"/>
      <c r="N230" s="4"/>
    </row>
    <row r="231" spans="1:14" x14ac:dyDescent="0.15">
      <c r="A231" s="8" t="s">
        <v>383</v>
      </c>
      <c r="B231" s="8" t="s">
        <v>658</v>
      </c>
      <c r="C231" s="8" t="s">
        <v>68</v>
      </c>
      <c r="D231" s="8" t="s">
        <v>166</v>
      </c>
      <c r="E231" s="8" t="s">
        <v>160</v>
      </c>
      <c r="F231" s="8" t="s">
        <v>161</v>
      </c>
      <c r="G231" s="6">
        <v>42905</v>
      </c>
      <c r="H231" s="6">
        <v>42908</v>
      </c>
      <c r="I231" s="4">
        <v>-1</v>
      </c>
      <c r="J231" s="8" t="s">
        <v>37</v>
      </c>
      <c r="K231" s="8" t="s">
        <v>660</v>
      </c>
      <c r="L231" s="4"/>
      <c r="M231" s="4"/>
      <c r="N231" s="4"/>
    </row>
    <row r="232" spans="1:14" x14ac:dyDescent="0.15">
      <c r="A232" s="8" t="s">
        <v>383</v>
      </c>
      <c r="B232" s="8" t="s">
        <v>658</v>
      </c>
      <c r="C232" s="8" t="s">
        <v>19</v>
      </c>
      <c r="D232" s="8" t="s">
        <v>35</v>
      </c>
      <c r="E232" s="8" t="s">
        <v>160</v>
      </c>
      <c r="F232" s="8" t="s">
        <v>161</v>
      </c>
      <c r="G232" s="6">
        <v>42905</v>
      </c>
      <c r="H232" s="6">
        <v>42908</v>
      </c>
      <c r="I232" s="4">
        <v>-1</v>
      </c>
      <c r="J232" s="8" t="s">
        <v>37</v>
      </c>
      <c r="K232" s="8" t="s">
        <v>661</v>
      </c>
      <c r="L232" s="4"/>
      <c r="M232" s="4"/>
      <c r="N232" s="4"/>
    </row>
    <row r="233" spans="1:14" x14ac:dyDescent="0.15">
      <c r="A233" s="8" t="s">
        <v>383</v>
      </c>
      <c r="B233" s="8" t="s">
        <v>662</v>
      </c>
      <c r="C233" s="8" t="s">
        <v>29</v>
      </c>
      <c r="D233" s="8" t="s">
        <v>33</v>
      </c>
      <c r="E233" s="8" t="s">
        <v>160</v>
      </c>
      <c r="F233" s="8" t="s">
        <v>161</v>
      </c>
      <c r="G233" s="6">
        <v>42905</v>
      </c>
      <c r="H233" s="6">
        <v>42908</v>
      </c>
      <c r="I233" s="4">
        <v>-150</v>
      </c>
      <c r="J233" s="8" t="s">
        <v>39</v>
      </c>
      <c r="K233" s="8" t="s">
        <v>663</v>
      </c>
      <c r="L233" s="4"/>
      <c r="M233" s="4"/>
      <c r="N233" s="4"/>
    </row>
    <row r="234" spans="1:14" x14ac:dyDescent="0.15">
      <c r="A234" s="8" t="s">
        <v>383</v>
      </c>
      <c r="B234" s="8" t="s">
        <v>664</v>
      </c>
      <c r="C234" s="8" t="s">
        <v>54</v>
      </c>
      <c r="D234" s="8" t="s">
        <v>169</v>
      </c>
      <c r="E234" s="8" t="s">
        <v>160</v>
      </c>
      <c r="F234" s="8" t="s">
        <v>161</v>
      </c>
      <c r="G234" s="6">
        <v>42906</v>
      </c>
      <c r="H234" s="6">
        <v>42908</v>
      </c>
      <c r="I234" s="4">
        <v>-15</v>
      </c>
      <c r="J234" s="8" t="s">
        <v>38</v>
      </c>
      <c r="K234" s="8" t="s">
        <v>665</v>
      </c>
      <c r="L234" s="4"/>
      <c r="M234" s="4"/>
      <c r="N234" s="4"/>
    </row>
    <row r="235" spans="1:14" x14ac:dyDescent="0.15">
      <c r="A235" s="8" t="s">
        <v>383</v>
      </c>
      <c r="B235" s="8" t="s">
        <v>664</v>
      </c>
      <c r="C235" s="8" t="s">
        <v>73</v>
      </c>
      <c r="D235" s="8" t="s">
        <v>125</v>
      </c>
      <c r="E235" s="8" t="s">
        <v>160</v>
      </c>
      <c r="F235" s="8" t="s">
        <v>161</v>
      </c>
      <c r="G235" s="6">
        <v>42906</v>
      </c>
      <c r="H235" s="6">
        <v>42908</v>
      </c>
      <c r="I235" s="4">
        <v>-0.9</v>
      </c>
      <c r="J235" s="8" t="s">
        <v>38</v>
      </c>
      <c r="K235" s="8" t="s">
        <v>666</v>
      </c>
      <c r="L235" s="4"/>
      <c r="M235" s="4"/>
      <c r="N235" s="4"/>
    </row>
    <row r="236" spans="1:14" x14ac:dyDescent="0.15">
      <c r="A236" s="8" t="s">
        <v>383</v>
      </c>
      <c r="B236" s="8" t="s">
        <v>664</v>
      </c>
      <c r="C236" s="8" t="s">
        <v>148</v>
      </c>
      <c r="D236" s="8" t="s">
        <v>170</v>
      </c>
      <c r="E236" s="8" t="s">
        <v>160</v>
      </c>
      <c r="F236" s="8" t="s">
        <v>161</v>
      </c>
      <c r="G236" s="6">
        <v>42906</v>
      </c>
      <c r="H236" s="6">
        <v>42908</v>
      </c>
      <c r="I236" s="4">
        <v>-32</v>
      </c>
      <c r="J236" s="8" t="s">
        <v>37</v>
      </c>
      <c r="K236" s="8" t="s">
        <v>667</v>
      </c>
      <c r="L236" s="4"/>
      <c r="M236" s="4"/>
      <c r="N236" s="4"/>
    </row>
    <row r="237" spans="1:14" x14ac:dyDescent="0.15">
      <c r="A237" s="8" t="s">
        <v>383</v>
      </c>
      <c r="B237" s="8" t="s">
        <v>664</v>
      </c>
      <c r="C237" s="8" t="s">
        <v>68</v>
      </c>
      <c r="D237" s="8" t="s">
        <v>166</v>
      </c>
      <c r="E237" s="8" t="s">
        <v>160</v>
      </c>
      <c r="F237" s="8" t="s">
        <v>161</v>
      </c>
      <c r="G237" s="6">
        <v>42906</v>
      </c>
      <c r="H237" s="6">
        <v>42908</v>
      </c>
      <c r="I237" s="4">
        <v>-2</v>
      </c>
      <c r="J237" s="8" t="s">
        <v>37</v>
      </c>
      <c r="K237" s="8" t="s">
        <v>668</v>
      </c>
      <c r="L237" s="4"/>
      <c r="M237" s="4"/>
      <c r="N237" s="4"/>
    </row>
    <row r="238" spans="1:14" x14ac:dyDescent="0.15">
      <c r="A238" s="8" t="s">
        <v>383</v>
      </c>
      <c r="B238" s="8" t="s">
        <v>669</v>
      </c>
      <c r="C238" s="8" t="s">
        <v>62</v>
      </c>
      <c r="D238" s="8" t="s">
        <v>94</v>
      </c>
      <c r="E238" s="8" t="s">
        <v>160</v>
      </c>
      <c r="F238" s="8" t="s">
        <v>161</v>
      </c>
      <c r="G238" s="6">
        <v>42906</v>
      </c>
      <c r="H238" s="6">
        <v>42908</v>
      </c>
      <c r="I238" s="4">
        <v>-69.400000000000006</v>
      </c>
      <c r="J238" s="8" t="s">
        <v>39</v>
      </c>
      <c r="K238" s="8" t="s">
        <v>670</v>
      </c>
      <c r="L238" s="4"/>
      <c r="M238" s="4"/>
      <c r="N238" s="4"/>
    </row>
    <row r="239" spans="1:14" x14ac:dyDescent="0.15">
      <c r="A239" s="8" t="s">
        <v>383</v>
      </c>
      <c r="B239" s="8" t="s">
        <v>669</v>
      </c>
      <c r="C239" s="8" t="s">
        <v>80</v>
      </c>
      <c r="D239" s="8" t="s">
        <v>163</v>
      </c>
      <c r="E239" s="8" t="s">
        <v>160</v>
      </c>
      <c r="F239" s="8" t="s">
        <v>161</v>
      </c>
      <c r="G239" s="6">
        <v>42906</v>
      </c>
      <c r="H239" s="6">
        <v>42908</v>
      </c>
      <c r="I239" s="4">
        <v>-18</v>
      </c>
      <c r="J239" s="8" t="s">
        <v>37</v>
      </c>
      <c r="K239" s="8" t="s">
        <v>671</v>
      </c>
      <c r="L239" s="4"/>
      <c r="M239" s="4"/>
      <c r="N239" s="4"/>
    </row>
    <row r="240" spans="1:14" x14ac:dyDescent="0.15">
      <c r="A240" s="8" t="s">
        <v>383</v>
      </c>
      <c r="B240" s="8" t="s">
        <v>669</v>
      </c>
      <c r="C240" s="8" t="s">
        <v>67</v>
      </c>
      <c r="D240" s="8" t="s">
        <v>162</v>
      </c>
      <c r="E240" s="8" t="s">
        <v>160</v>
      </c>
      <c r="F240" s="8" t="s">
        <v>161</v>
      </c>
      <c r="G240" s="6">
        <v>42906</v>
      </c>
      <c r="H240" s="6">
        <v>42908</v>
      </c>
      <c r="I240" s="4">
        <v>-3</v>
      </c>
      <c r="J240" s="8" t="s">
        <v>37</v>
      </c>
      <c r="K240" s="8" t="s">
        <v>672</v>
      </c>
      <c r="L240" s="4"/>
      <c r="M240" s="4"/>
      <c r="N240" s="4"/>
    </row>
    <row r="241" spans="1:14" x14ac:dyDescent="0.15">
      <c r="A241" s="8" t="s">
        <v>383</v>
      </c>
      <c r="B241" s="8" t="s">
        <v>673</v>
      </c>
      <c r="C241" s="8" t="s">
        <v>62</v>
      </c>
      <c r="D241" s="8" t="s">
        <v>94</v>
      </c>
      <c r="E241" s="8" t="s">
        <v>160</v>
      </c>
      <c r="F241" s="8" t="s">
        <v>161</v>
      </c>
      <c r="G241" s="6">
        <v>42906</v>
      </c>
      <c r="H241" s="6">
        <v>42913</v>
      </c>
      <c r="I241" s="4">
        <v>-231</v>
      </c>
      <c r="J241" s="8" t="s">
        <v>39</v>
      </c>
      <c r="K241" s="8" t="s">
        <v>674</v>
      </c>
      <c r="L241" s="4"/>
      <c r="M241" s="4"/>
      <c r="N241" s="4"/>
    </row>
    <row r="242" spans="1:14" x14ac:dyDescent="0.15">
      <c r="A242" s="8" t="s">
        <v>383</v>
      </c>
      <c r="B242" s="8" t="s">
        <v>675</v>
      </c>
      <c r="C242" s="8" t="s">
        <v>80</v>
      </c>
      <c r="D242" s="8" t="s">
        <v>163</v>
      </c>
      <c r="E242" s="8" t="s">
        <v>160</v>
      </c>
      <c r="F242" s="8" t="s">
        <v>161</v>
      </c>
      <c r="G242" s="6">
        <v>42907</v>
      </c>
      <c r="H242" s="6">
        <v>42907</v>
      </c>
      <c r="I242" s="4">
        <v>0</v>
      </c>
      <c r="J242" s="8" t="s">
        <v>37</v>
      </c>
      <c r="K242" s="8" t="s">
        <v>676</v>
      </c>
      <c r="L242" s="4"/>
      <c r="M242" s="4"/>
      <c r="N242" s="4"/>
    </row>
    <row r="243" spans="1:14" x14ac:dyDescent="0.15">
      <c r="A243" s="8" t="s">
        <v>383</v>
      </c>
      <c r="B243" s="8" t="s">
        <v>675</v>
      </c>
      <c r="C243" s="8" t="s">
        <v>67</v>
      </c>
      <c r="D243" s="8" t="s">
        <v>162</v>
      </c>
      <c r="E243" s="8" t="s">
        <v>160</v>
      </c>
      <c r="F243" s="8" t="s">
        <v>161</v>
      </c>
      <c r="G243" s="6">
        <v>42907</v>
      </c>
      <c r="H243" s="6">
        <v>42912</v>
      </c>
      <c r="I243" s="4">
        <v>-28</v>
      </c>
      <c r="J243" s="8" t="s">
        <v>37</v>
      </c>
      <c r="K243" s="8" t="s">
        <v>677</v>
      </c>
      <c r="L243" s="4"/>
      <c r="M243" s="4"/>
      <c r="N243" s="4"/>
    </row>
    <row r="244" spans="1:14" x14ac:dyDescent="0.15">
      <c r="A244" s="8" t="s">
        <v>383</v>
      </c>
      <c r="B244" s="8" t="s">
        <v>678</v>
      </c>
      <c r="C244" s="8" t="s">
        <v>73</v>
      </c>
      <c r="D244" s="8" t="s">
        <v>125</v>
      </c>
      <c r="E244" s="8" t="s">
        <v>160</v>
      </c>
      <c r="F244" s="8" t="s">
        <v>161</v>
      </c>
      <c r="G244" s="6">
        <v>42912</v>
      </c>
      <c r="H244" s="6">
        <v>42913</v>
      </c>
      <c r="I244" s="4">
        <v>-5.4</v>
      </c>
      <c r="J244" s="8" t="s">
        <v>38</v>
      </c>
      <c r="K244" s="8" t="s">
        <v>679</v>
      </c>
      <c r="L244" s="4"/>
      <c r="M244" s="4"/>
      <c r="N244" s="4"/>
    </row>
    <row r="245" spans="1:14" x14ac:dyDescent="0.15">
      <c r="A245" s="8" t="s">
        <v>383</v>
      </c>
      <c r="B245" s="8" t="s">
        <v>678</v>
      </c>
      <c r="C245" s="8" t="s">
        <v>67</v>
      </c>
      <c r="D245" s="8" t="s">
        <v>162</v>
      </c>
      <c r="E245" s="8" t="s">
        <v>160</v>
      </c>
      <c r="F245" s="8" t="s">
        <v>161</v>
      </c>
      <c r="G245" s="6">
        <v>42909</v>
      </c>
      <c r="H245" s="6">
        <v>42913</v>
      </c>
      <c r="I245" s="4">
        <v>-56</v>
      </c>
      <c r="J245" s="8" t="s">
        <v>37</v>
      </c>
      <c r="K245" s="8" t="s">
        <v>680</v>
      </c>
      <c r="L245" s="4"/>
      <c r="M245" s="4"/>
      <c r="N245" s="4"/>
    </row>
    <row r="246" spans="1:14" x14ac:dyDescent="0.15">
      <c r="A246" s="8" t="s">
        <v>383</v>
      </c>
      <c r="B246" s="8" t="s">
        <v>681</v>
      </c>
      <c r="C246" s="8" t="s">
        <v>53</v>
      </c>
      <c r="D246" s="8" t="s">
        <v>171</v>
      </c>
      <c r="E246" s="8" t="s">
        <v>160</v>
      </c>
      <c r="F246" s="8" t="s">
        <v>161</v>
      </c>
      <c r="G246" s="6">
        <v>42912</v>
      </c>
      <c r="H246" s="6">
        <v>42915</v>
      </c>
      <c r="I246" s="4">
        <v>-1</v>
      </c>
      <c r="J246" s="8" t="s">
        <v>37</v>
      </c>
      <c r="K246" s="8" t="s">
        <v>682</v>
      </c>
      <c r="L246" s="4"/>
      <c r="M246" s="4"/>
      <c r="N246" s="4"/>
    </row>
    <row r="247" spans="1:14" x14ac:dyDescent="0.15">
      <c r="A247" s="8" t="s">
        <v>383</v>
      </c>
      <c r="B247" s="8" t="s">
        <v>681</v>
      </c>
      <c r="C247" s="8" t="s">
        <v>15</v>
      </c>
      <c r="D247" s="8" t="s">
        <v>32</v>
      </c>
      <c r="E247" s="8" t="s">
        <v>160</v>
      </c>
      <c r="F247" s="8" t="s">
        <v>161</v>
      </c>
      <c r="G247" s="6">
        <v>42912</v>
      </c>
      <c r="H247" s="6">
        <v>42915</v>
      </c>
      <c r="I247" s="4">
        <v>-1067</v>
      </c>
      <c r="J247" s="8" t="s">
        <v>38</v>
      </c>
      <c r="K247" s="8" t="s">
        <v>683</v>
      </c>
      <c r="L247" s="4"/>
      <c r="M247" s="4"/>
      <c r="N247" s="4"/>
    </row>
    <row r="248" spans="1:14" x14ac:dyDescent="0.15">
      <c r="A248" s="8" t="s">
        <v>383</v>
      </c>
      <c r="B248" s="8" t="s">
        <v>684</v>
      </c>
      <c r="C248" s="8" t="s">
        <v>63</v>
      </c>
      <c r="D248" s="8" t="s">
        <v>95</v>
      </c>
      <c r="E248" s="8" t="s">
        <v>160</v>
      </c>
      <c r="F248" s="8" t="s">
        <v>161</v>
      </c>
      <c r="G248" s="6">
        <v>42913</v>
      </c>
      <c r="H248" s="6">
        <v>42915</v>
      </c>
      <c r="I248" s="4">
        <v>-240</v>
      </c>
      <c r="J248" s="8" t="s">
        <v>39</v>
      </c>
      <c r="K248" s="8" t="s">
        <v>685</v>
      </c>
      <c r="L248" s="4"/>
      <c r="M248" s="4"/>
      <c r="N248" s="4"/>
    </row>
    <row r="249" spans="1:14" ht="27" x14ac:dyDescent="0.15">
      <c r="A249" s="8" t="s">
        <v>383</v>
      </c>
      <c r="B249" s="8" t="s">
        <v>684</v>
      </c>
      <c r="C249" s="8" t="s">
        <v>164</v>
      </c>
      <c r="D249" s="11" t="s">
        <v>165</v>
      </c>
      <c r="E249" s="8" t="s">
        <v>160</v>
      </c>
      <c r="F249" s="8" t="s">
        <v>161</v>
      </c>
      <c r="G249" s="6">
        <v>42913</v>
      </c>
      <c r="H249" s="6">
        <v>42915</v>
      </c>
      <c r="I249" s="4">
        <v>-1</v>
      </c>
      <c r="J249" s="8" t="s">
        <v>37</v>
      </c>
      <c r="K249" s="8" t="s">
        <v>686</v>
      </c>
      <c r="L249" s="4"/>
      <c r="M249" s="4"/>
      <c r="N249" s="4"/>
    </row>
    <row r="250" spans="1:14" x14ac:dyDescent="0.15">
      <c r="A250" s="8" t="s">
        <v>383</v>
      </c>
      <c r="B250" s="8" t="s">
        <v>684</v>
      </c>
      <c r="C250" s="8" t="s">
        <v>67</v>
      </c>
      <c r="D250" s="8" t="s">
        <v>162</v>
      </c>
      <c r="E250" s="8" t="s">
        <v>160</v>
      </c>
      <c r="F250" s="8" t="s">
        <v>161</v>
      </c>
      <c r="G250" s="6">
        <v>42913</v>
      </c>
      <c r="H250" s="6">
        <v>42915</v>
      </c>
      <c r="I250" s="4">
        <v>-16</v>
      </c>
      <c r="J250" s="8" t="s">
        <v>37</v>
      </c>
      <c r="K250" s="8" t="s">
        <v>687</v>
      </c>
      <c r="L250" s="4"/>
      <c r="M250" s="4"/>
      <c r="N250" s="4"/>
    </row>
    <row r="251" spans="1:14" x14ac:dyDescent="0.15">
      <c r="A251" s="8" t="s">
        <v>383</v>
      </c>
      <c r="B251" s="8" t="s">
        <v>688</v>
      </c>
      <c r="C251" s="8" t="s">
        <v>56</v>
      </c>
      <c r="D251" s="8" t="s">
        <v>126</v>
      </c>
      <c r="E251" s="8" t="s">
        <v>160</v>
      </c>
      <c r="F251" s="8" t="s">
        <v>161</v>
      </c>
      <c r="G251" s="6">
        <v>42913</v>
      </c>
      <c r="H251" s="6">
        <v>42915</v>
      </c>
      <c r="I251" s="4">
        <v>-300</v>
      </c>
      <c r="J251" s="8" t="s">
        <v>39</v>
      </c>
      <c r="K251" s="8" t="s">
        <v>689</v>
      </c>
      <c r="L251" s="4"/>
      <c r="M251" s="4"/>
      <c r="N251" s="4"/>
    </row>
    <row r="252" spans="1:14" x14ac:dyDescent="0.15">
      <c r="A252" s="8" t="s">
        <v>383</v>
      </c>
      <c r="B252" s="8" t="s">
        <v>688</v>
      </c>
      <c r="C252" s="8" t="s">
        <v>67</v>
      </c>
      <c r="D252" s="8" t="s">
        <v>162</v>
      </c>
      <c r="E252" s="8" t="s">
        <v>160</v>
      </c>
      <c r="F252" s="8" t="s">
        <v>161</v>
      </c>
      <c r="G252" s="6">
        <v>42913</v>
      </c>
      <c r="H252" s="6">
        <v>42915</v>
      </c>
      <c r="I252" s="4">
        <v>-8</v>
      </c>
      <c r="J252" s="8" t="s">
        <v>37</v>
      </c>
      <c r="K252" s="8" t="s">
        <v>690</v>
      </c>
      <c r="L252" s="4"/>
      <c r="M252" s="4"/>
      <c r="N252" s="4"/>
    </row>
    <row r="253" spans="1:14" x14ac:dyDescent="0.15">
      <c r="A253" s="8" t="s">
        <v>383</v>
      </c>
      <c r="B253" s="8" t="s">
        <v>691</v>
      </c>
      <c r="C253" s="8" t="s">
        <v>99</v>
      </c>
      <c r="D253" s="8" t="s">
        <v>100</v>
      </c>
      <c r="E253" s="8" t="s">
        <v>160</v>
      </c>
      <c r="F253" s="8" t="s">
        <v>161</v>
      </c>
      <c r="G253" s="6">
        <v>42915</v>
      </c>
      <c r="H253" s="6">
        <v>42916</v>
      </c>
      <c r="I253" s="4">
        <v>-256</v>
      </c>
      <c r="J253" s="8" t="s">
        <v>39</v>
      </c>
      <c r="K253" s="8" t="s">
        <v>692</v>
      </c>
      <c r="L253" s="4"/>
      <c r="M253" s="4"/>
      <c r="N253" s="4"/>
    </row>
    <row r="254" spans="1:14" x14ac:dyDescent="0.15">
      <c r="A254" s="8" t="s">
        <v>383</v>
      </c>
      <c r="B254" s="8" t="s">
        <v>691</v>
      </c>
      <c r="C254" s="8" t="s">
        <v>67</v>
      </c>
      <c r="D254" s="8" t="s">
        <v>162</v>
      </c>
      <c r="E254" s="8" t="s">
        <v>160</v>
      </c>
      <c r="F254" s="8" t="s">
        <v>161</v>
      </c>
      <c r="G254" s="6">
        <v>42915</v>
      </c>
      <c r="H254" s="6">
        <v>42916</v>
      </c>
      <c r="I254" s="4">
        <v>-28</v>
      </c>
      <c r="J254" s="8" t="s">
        <v>37</v>
      </c>
      <c r="K254" s="8" t="s">
        <v>693</v>
      </c>
      <c r="L254" s="4"/>
      <c r="M254" s="4"/>
      <c r="N254" s="4"/>
    </row>
    <row r="255" spans="1:14" x14ac:dyDescent="0.15">
      <c r="A255" s="8" t="s">
        <v>383</v>
      </c>
      <c r="B255" s="8" t="s">
        <v>694</v>
      </c>
      <c r="C255" s="8" t="s">
        <v>53</v>
      </c>
      <c r="D255" s="8" t="s">
        <v>171</v>
      </c>
      <c r="E255" s="8" t="s">
        <v>160</v>
      </c>
      <c r="F255" s="8" t="s">
        <v>161</v>
      </c>
      <c r="G255" s="6">
        <v>42915</v>
      </c>
      <c r="H255" s="6">
        <v>42916</v>
      </c>
      <c r="I255" s="4">
        <v>-1</v>
      </c>
      <c r="J255" s="8" t="s">
        <v>37</v>
      </c>
      <c r="K255" s="8" t="s">
        <v>695</v>
      </c>
      <c r="L255" s="4"/>
      <c r="M255" s="4"/>
      <c r="N255" s="4"/>
    </row>
    <row r="256" spans="1:14" x14ac:dyDescent="0.15">
      <c r="A256" s="8" t="s">
        <v>383</v>
      </c>
      <c r="B256" s="8" t="s">
        <v>694</v>
      </c>
      <c r="C256" s="8" t="s">
        <v>15</v>
      </c>
      <c r="D256" s="8" t="s">
        <v>32</v>
      </c>
      <c r="E256" s="8" t="s">
        <v>160</v>
      </c>
      <c r="F256" s="8" t="s">
        <v>161</v>
      </c>
      <c r="G256" s="6">
        <v>42915</v>
      </c>
      <c r="H256" s="6">
        <v>42916</v>
      </c>
      <c r="I256" s="4">
        <v>-3492</v>
      </c>
      <c r="J256" s="8" t="s">
        <v>38</v>
      </c>
      <c r="K256" s="8" t="s">
        <v>696</v>
      </c>
      <c r="L256" s="4"/>
      <c r="M256" s="4"/>
      <c r="N256" s="4"/>
    </row>
    <row r="257" spans="1:14" x14ac:dyDescent="0.15">
      <c r="A257" s="8" t="s">
        <v>383</v>
      </c>
      <c r="B257" s="8" t="s">
        <v>697</v>
      </c>
      <c r="C257" s="8" t="s">
        <v>58</v>
      </c>
      <c r="D257" s="8" t="s">
        <v>127</v>
      </c>
      <c r="E257" s="8" t="s">
        <v>160</v>
      </c>
      <c r="F257" s="8" t="s">
        <v>161</v>
      </c>
      <c r="G257" s="6">
        <v>42916</v>
      </c>
      <c r="H257" s="6">
        <v>42916</v>
      </c>
      <c r="I257" s="4">
        <v>-70</v>
      </c>
      <c r="J257" s="8" t="s">
        <v>39</v>
      </c>
      <c r="K257" s="8" t="s">
        <v>698</v>
      </c>
      <c r="L257" s="4"/>
      <c r="M257" s="4"/>
      <c r="N257" s="4"/>
    </row>
    <row r="258" spans="1:14" x14ac:dyDescent="0.15">
      <c r="A258" s="8" t="s">
        <v>383</v>
      </c>
      <c r="B258" s="8" t="s">
        <v>697</v>
      </c>
      <c r="C258" s="8" t="s">
        <v>67</v>
      </c>
      <c r="D258" s="8" t="s">
        <v>162</v>
      </c>
      <c r="E258" s="8" t="s">
        <v>160</v>
      </c>
      <c r="F258" s="8" t="s">
        <v>161</v>
      </c>
      <c r="G258" s="6">
        <v>42916</v>
      </c>
      <c r="H258" s="6">
        <v>42916</v>
      </c>
      <c r="I258" s="4">
        <v>-4</v>
      </c>
      <c r="J258" s="8" t="s">
        <v>37</v>
      </c>
      <c r="K258" s="8" t="s">
        <v>699</v>
      </c>
      <c r="L258" s="4"/>
      <c r="M258" s="4"/>
      <c r="N258" s="4"/>
    </row>
    <row r="259" spans="1:14" x14ac:dyDescent="0.15">
      <c r="A259" s="8" t="s">
        <v>383</v>
      </c>
      <c r="B259" s="8" t="s">
        <v>1030</v>
      </c>
      <c r="C259" s="8" t="s">
        <v>58</v>
      </c>
      <c r="D259" s="8" t="s">
        <v>127</v>
      </c>
      <c r="E259" s="8" t="s">
        <v>160</v>
      </c>
      <c r="F259" s="8" t="s">
        <v>161</v>
      </c>
      <c r="G259" s="6">
        <v>42919</v>
      </c>
      <c r="H259" s="6">
        <v>42926</v>
      </c>
      <c r="I259" s="4">
        <v>-80</v>
      </c>
      <c r="J259" s="8" t="s">
        <v>39</v>
      </c>
      <c r="K259" s="8" t="s">
        <v>1031</v>
      </c>
      <c r="L259" s="4"/>
      <c r="M259" s="4"/>
      <c r="N259" s="4"/>
    </row>
    <row r="260" spans="1:14" x14ac:dyDescent="0.15">
      <c r="A260" s="8" t="s">
        <v>383</v>
      </c>
      <c r="B260" s="8" t="s">
        <v>1030</v>
      </c>
      <c r="C260" s="8" t="s">
        <v>79</v>
      </c>
      <c r="D260" s="8" t="s">
        <v>289</v>
      </c>
      <c r="E260" s="8" t="s">
        <v>160</v>
      </c>
      <c r="F260" s="8" t="s">
        <v>161</v>
      </c>
      <c r="G260" s="6">
        <v>42919</v>
      </c>
      <c r="H260" s="6">
        <v>42926</v>
      </c>
      <c r="I260" s="4">
        <v>-1</v>
      </c>
      <c r="J260" s="8" t="s">
        <v>37</v>
      </c>
      <c r="K260" s="8" t="s">
        <v>1032</v>
      </c>
      <c r="L260" s="4"/>
      <c r="M260" s="4"/>
      <c r="N260" s="4"/>
    </row>
    <row r="261" spans="1:14" x14ac:dyDescent="0.15">
      <c r="A261" s="8" t="s">
        <v>383</v>
      </c>
      <c r="B261" s="8" t="s">
        <v>1030</v>
      </c>
      <c r="C261" s="8" t="s">
        <v>67</v>
      </c>
      <c r="D261" s="8" t="s">
        <v>162</v>
      </c>
      <c r="E261" s="8" t="s">
        <v>160</v>
      </c>
      <c r="F261" s="8" t="s">
        <v>161</v>
      </c>
      <c r="G261" s="6">
        <v>42919</v>
      </c>
      <c r="H261" s="6">
        <v>42926</v>
      </c>
      <c r="I261" s="4">
        <v>-6</v>
      </c>
      <c r="J261" s="8" t="s">
        <v>37</v>
      </c>
      <c r="K261" s="8" t="s">
        <v>1033</v>
      </c>
      <c r="L261" s="4"/>
      <c r="M261" s="4"/>
      <c r="N261" s="4"/>
    </row>
    <row r="262" spans="1:14" x14ac:dyDescent="0.15">
      <c r="A262" s="8" t="s">
        <v>383</v>
      </c>
      <c r="B262" s="8" t="s">
        <v>1034</v>
      </c>
      <c r="C262" s="8" t="s">
        <v>67</v>
      </c>
      <c r="D262" s="8" t="s">
        <v>162</v>
      </c>
      <c r="E262" s="8" t="s">
        <v>160</v>
      </c>
      <c r="F262" s="8" t="s">
        <v>161</v>
      </c>
      <c r="G262" s="6">
        <v>42920</v>
      </c>
      <c r="H262" s="6">
        <v>42922</v>
      </c>
      <c r="I262" s="4">
        <v>-28</v>
      </c>
      <c r="J262" s="8" t="s">
        <v>37</v>
      </c>
      <c r="K262" s="8" t="s">
        <v>1035</v>
      </c>
      <c r="L262" s="4"/>
      <c r="M262" s="4"/>
      <c r="N262" s="4"/>
    </row>
    <row r="263" spans="1:14" x14ac:dyDescent="0.15">
      <c r="A263" s="8" t="s">
        <v>383</v>
      </c>
      <c r="B263" s="8" t="s">
        <v>1036</v>
      </c>
      <c r="C263" s="8" t="s">
        <v>78</v>
      </c>
      <c r="D263" s="8" t="s">
        <v>203</v>
      </c>
      <c r="E263" s="8" t="s">
        <v>160</v>
      </c>
      <c r="F263" s="8" t="s">
        <v>161</v>
      </c>
      <c r="G263" s="6">
        <v>42920</v>
      </c>
      <c r="H263" s="6">
        <v>42922</v>
      </c>
      <c r="I263" s="4">
        <v>-7.5</v>
      </c>
      <c r="J263" s="8" t="s">
        <v>39</v>
      </c>
      <c r="K263" s="8" t="s">
        <v>1037</v>
      </c>
      <c r="L263" s="4"/>
      <c r="M263" s="4"/>
      <c r="N263" s="4"/>
    </row>
    <row r="264" spans="1:14" x14ac:dyDescent="0.15">
      <c r="A264" s="8" t="s">
        <v>383</v>
      </c>
      <c r="B264" s="8" t="s">
        <v>1036</v>
      </c>
      <c r="C264" s="8" t="s">
        <v>78</v>
      </c>
      <c r="D264" s="8" t="s">
        <v>203</v>
      </c>
      <c r="E264" s="8" t="s">
        <v>160</v>
      </c>
      <c r="F264" s="8" t="s">
        <v>161</v>
      </c>
      <c r="G264" s="6">
        <v>42921</v>
      </c>
      <c r="H264" s="6">
        <v>42922</v>
      </c>
      <c r="I264" s="4">
        <v>-7.5</v>
      </c>
      <c r="J264" s="8" t="s">
        <v>39</v>
      </c>
      <c r="K264" s="8" t="s">
        <v>1038</v>
      </c>
      <c r="L264" s="4"/>
      <c r="M264" s="4"/>
      <c r="N264" s="4"/>
    </row>
    <row r="265" spans="1:14" x14ac:dyDescent="0.15">
      <c r="A265" s="8" t="s">
        <v>383</v>
      </c>
      <c r="B265" s="8" t="s">
        <v>1036</v>
      </c>
      <c r="C265" s="8" t="s">
        <v>19</v>
      </c>
      <c r="D265" s="8" t="s">
        <v>35</v>
      </c>
      <c r="E265" s="8" t="s">
        <v>160</v>
      </c>
      <c r="F265" s="8" t="s">
        <v>161</v>
      </c>
      <c r="G265" s="6">
        <v>42920</v>
      </c>
      <c r="H265" s="6">
        <v>42922</v>
      </c>
      <c r="I265" s="4">
        <v>-1</v>
      </c>
      <c r="J265" s="8" t="s">
        <v>37</v>
      </c>
      <c r="K265" s="8" t="s">
        <v>1039</v>
      </c>
      <c r="L265" s="4"/>
      <c r="M265" s="4"/>
      <c r="N265" s="4"/>
    </row>
    <row r="266" spans="1:14" x14ac:dyDescent="0.15">
      <c r="A266" s="8" t="s">
        <v>383</v>
      </c>
      <c r="B266" s="8" t="s">
        <v>1040</v>
      </c>
      <c r="C266" s="8" t="s">
        <v>101</v>
      </c>
      <c r="D266" s="8" t="s">
        <v>102</v>
      </c>
      <c r="E266" s="8" t="s">
        <v>160</v>
      </c>
      <c r="F266" s="8" t="s">
        <v>161</v>
      </c>
      <c r="G266" s="6">
        <v>42920</v>
      </c>
      <c r="H266" s="6">
        <v>42922</v>
      </c>
      <c r="I266" s="4">
        <v>-20</v>
      </c>
      <c r="J266" s="8" t="s">
        <v>39</v>
      </c>
      <c r="K266" s="8" t="s">
        <v>1041</v>
      </c>
      <c r="L266" s="4"/>
      <c r="M266" s="4"/>
      <c r="N266" s="4"/>
    </row>
    <row r="267" spans="1:14" x14ac:dyDescent="0.15">
      <c r="A267" s="8" t="s">
        <v>383</v>
      </c>
      <c r="B267" s="8" t="s">
        <v>1040</v>
      </c>
      <c r="C267" s="8" t="s">
        <v>19</v>
      </c>
      <c r="D267" s="8" t="s">
        <v>35</v>
      </c>
      <c r="E267" s="8" t="s">
        <v>160</v>
      </c>
      <c r="F267" s="8" t="s">
        <v>161</v>
      </c>
      <c r="G267" s="6">
        <v>42920</v>
      </c>
      <c r="H267" s="6">
        <v>42922</v>
      </c>
      <c r="I267" s="4">
        <v>-1</v>
      </c>
      <c r="J267" s="8" t="s">
        <v>37</v>
      </c>
      <c r="K267" s="8" t="s">
        <v>1042</v>
      </c>
      <c r="L267" s="4"/>
      <c r="M267" s="4"/>
      <c r="N267" s="4"/>
    </row>
    <row r="268" spans="1:14" x14ac:dyDescent="0.15">
      <c r="A268" s="8" t="s">
        <v>383</v>
      </c>
      <c r="B268" s="8" t="s">
        <v>1043</v>
      </c>
      <c r="C268" s="8" t="s">
        <v>67</v>
      </c>
      <c r="D268" s="8" t="s">
        <v>162</v>
      </c>
      <c r="E268" s="8" t="s">
        <v>160</v>
      </c>
      <c r="F268" s="8" t="s">
        <v>161</v>
      </c>
      <c r="G268" s="6">
        <v>42921</v>
      </c>
      <c r="H268" s="6">
        <v>42922</v>
      </c>
      <c r="I268" s="4">
        <v>-5</v>
      </c>
      <c r="J268" s="8" t="s">
        <v>37</v>
      </c>
      <c r="K268" s="8" t="s">
        <v>1044</v>
      </c>
      <c r="L268" s="4"/>
      <c r="M268" s="4"/>
      <c r="N268" s="4"/>
    </row>
    <row r="269" spans="1:14" x14ac:dyDescent="0.15">
      <c r="A269" s="8" t="s">
        <v>383</v>
      </c>
      <c r="B269" s="8" t="s">
        <v>1043</v>
      </c>
      <c r="C269" s="8" t="s">
        <v>117</v>
      </c>
      <c r="D269" s="8" t="s">
        <v>118</v>
      </c>
      <c r="E269" s="8" t="s">
        <v>160</v>
      </c>
      <c r="F269" s="8" t="s">
        <v>161</v>
      </c>
      <c r="G269" s="6">
        <v>42921</v>
      </c>
      <c r="H269" s="6">
        <v>42922</v>
      </c>
      <c r="I269" s="4">
        <v>-3</v>
      </c>
      <c r="J269" s="8" t="s">
        <v>37</v>
      </c>
      <c r="K269" s="8" t="s">
        <v>1045</v>
      </c>
      <c r="L269" s="4"/>
      <c r="M269" s="4"/>
      <c r="N269" s="4"/>
    </row>
    <row r="270" spans="1:14" x14ac:dyDescent="0.15">
      <c r="A270" s="8" t="s">
        <v>383</v>
      </c>
      <c r="B270" s="8" t="s">
        <v>1046</v>
      </c>
      <c r="C270" s="8" t="s">
        <v>58</v>
      </c>
      <c r="D270" s="8" t="s">
        <v>127</v>
      </c>
      <c r="E270" s="8" t="s">
        <v>160</v>
      </c>
      <c r="F270" s="8" t="s">
        <v>161</v>
      </c>
      <c r="G270" s="6">
        <v>42922</v>
      </c>
      <c r="H270" s="6">
        <v>42934</v>
      </c>
      <c r="I270" s="4">
        <v>-139</v>
      </c>
      <c r="J270" s="8" t="s">
        <v>39</v>
      </c>
      <c r="K270" s="8" t="s">
        <v>1047</v>
      </c>
      <c r="L270" s="4"/>
      <c r="M270" s="4"/>
      <c r="N270" s="4"/>
    </row>
    <row r="271" spans="1:14" x14ac:dyDescent="0.15">
      <c r="A271" s="8" t="s">
        <v>383</v>
      </c>
      <c r="B271" s="8" t="s">
        <v>1046</v>
      </c>
      <c r="C271" s="8" t="s">
        <v>77</v>
      </c>
      <c r="D271" s="8" t="s">
        <v>287</v>
      </c>
      <c r="E271" s="8" t="s">
        <v>160</v>
      </c>
      <c r="F271" s="8" t="s">
        <v>161</v>
      </c>
      <c r="G271" s="6">
        <v>42922</v>
      </c>
      <c r="H271" s="6">
        <v>42934</v>
      </c>
      <c r="I271" s="4">
        <v>-417</v>
      </c>
      <c r="J271" s="8" t="s">
        <v>39</v>
      </c>
      <c r="K271" s="8" t="s">
        <v>1048</v>
      </c>
      <c r="L271" s="4"/>
      <c r="M271" s="4"/>
      <c r="N271" s="4"/>
    </row>
    <row r="272" spans="1:14" ht="27" x14ac:dyDescent="0.15">
      <c r="A272" s="8" t="s">
        <v>383</v>
      </c>
      <c r="B272" s="8" t="s">
        <v>1046</v>
      </c>
      <c r="C272" s="8" t="s">
        <v>164</v>
      </c>
      <c r="D272" s="11" t="s">
        <v>165</v>
      </c>
      <c r="E272" s="8" t="s">
        <v>160</v>
      </c>
      <c r="F272" s="8" t="s">
        <v>161</v>
      </c>
      <c r="G272" s="6">
        <v>42922</v>
      </c>
      <c r="H272" s="6">
        <v>42934</v>
      </c>
      <c r="I272" s="4">
        <v>-1</v>
      </c>
      <c r="J272" s="8" t="s">
        <v>37</v>
      </c>
      <c r="K272" s="8" t="s">
        <v>1049</v>
      </c>
      <c r="L272" s="4"/>
      <c r="M272" s="4"/>
      <c r="N272" s="4"/>
    </row>
    <row r="273" spans="1:14" x14ac:dyDescent="0.15">
      <c r="A273" s="8" t="s">
        <v>383</v>
      </c>
      <c r="B273" s="8" t="s">
        <v>1046</v>
      </c>
      <c r="C273" s="8" t="s">
        <v>67</v>
      </c>
      <c r="D273" s="8" t="s">
        <v>162</v>
      </c>
      <c r="E273" s="8" t="s">
        <v>160</v>
      </c>
      <c r="F273" s="8" t="s">
        <v>161</v>
      </c>
      <c r="G273" s="6">
        <v>42922</v>
      </c>
      <c r="H273" s="6">
        <v>42934</v>
      </c>
      <c r="I273" s="4">
        <v>-34</v>
      </c>
      <c r="J273" s="8" t="s">
        <v>37</v>
      </c>
      <c r="K273" s="8" t="s">
        <v>1050</v>
      </c>
      <c r="L273" s="4"/>
      <c r="M273" s="4"/>
      <c r="N273" s="4"/>
    </row>
    <row r="274" spans="1:14" x14ac:dyDescent="0.15">
      <c r="A274" s="8" t="s">
        <v>383</v>
      </c>
      <c r="B274" s="8" t="s">
        <v>1051</v>
      </c>
      <c r="C274" s="8" t="s">
        <v>101</v>
      </c>
      <c r="D274" s="8" t="s">
        <v>102</v>
      </c>
      <c r="E274" s="8" t="s">
        <v>160</v>
      </c>
      <c r="F274" s="8" t="s">
        <v>161</v>
      </c>
      <c r="G274" s="6">
        <v>42922</v>
      </c>
      <c r="H274" s="6">
        <v>42923</v>
      </c>
      <c r="I274" s="4">
        <v>-100</v>
      </c>
      <c r="J274" s="8" t="s">
        <v>39</v>
      </c>
      <c r="K274" s="8" t="s">
        <v>1052</v>
      </c>
      <c r="L274" s="4"/>
      <c r="M274" s="4"/>
      <c r="N274" s="4"/>
    </row>
    <row r="275" spans="1:14" x14ac:dyDescent="0.15">
      <c r="A275" s="8" t="s">
        <v>383</v>
      </c>
      <c r="B275" s="8" t="s">
        <v>1051</v>
      </c>
      <c r="C275" s="8" t="s">
        <v>67</v>
      </c>
      <c r="D275" s="8" t="s">
        <v>162</v>
      </c>
      <c r="E275" s="8" t="s">
        <v>160</v>
      </c>
      <c r="F275" s="8" t="s">
        <v>161</v>
      </c>
      <c r="G275" s="6">
        <v>42922</v>
      </c>
      <c r="H275" s="6">
        <v>42923</v>
      </c>
      <c r="I275" s="4">
        <v>-4</v>
      </c>
      <c r="J275" s="8" t="s">
        <v>37</v>
      </c>
      <c r="K275" s="8" t="s">
        <v>1053</v>
      </c>
      <c r="L275" s="4"/>
      <c r="M275" s="4"/>
      <c r="N275" s="4"/>
    </row>
    <row r="276" spans="1:14" x14ac:dyDescent="0.15">
      <c r="A276" s="8" t="s">
        <v>383</v>
      </c>
      <c r="B276" s="8" t="s">
        <v>1054</v>
      </c>
      <c r="C276" s="8" t="s">
        <v>73</v>
      </c>
      <c r="D276" s="8" t="s">
        <v>125</v>
      </c>
      <c r="E276" s="8" t="s">
        <v>160</v>
      </c>
      <c r="F276" s="8" t="s">
        <v>161</v>
      </c>
      <c r="G276" s="6">
        <v>42923</v>
      </c>
      <c r="H276" s="6">
        <v>42932</v>
      </c>
      <c r="I276" s="4">
        <v>-30</v>
      </c>
      <c r="J276" s="8" t="s">
        <v>38</v>
      </c>
      <c r="K276" s="8" t="s">
        <v>1055</v>
      </c>
      <c r="L276" s="4"/>
      <c r="M276" s="4"/>
      <c r="N276" s="4"/>
    </row>
    <row r="277" spans="1:14" x14ac:dyDescent="0.15">
      <c r="A277" s="8" t="s">
        <v>383</v>
      </c>
      <c r="B277" s="8" t="s">
        <v>1054</v>
      </c>
      <c r="C277" s="8" t="s">
        <v>59</v>
      </c>
      <c r="D277" s="8" t="s">
        <v>93</v>
      </c>
      <c r="E277" s="8" t="s">
        <v>160</v>
      </c>
      <c r="F277" s="8" t="s">
        <v>161</v>
      </c>
      <c r="G277" s="6">
        <v>42923</v>
      </c>
      <c r="H277" s="6">
        <v>42932</v>
      </c>
      <c r="I277" s="4">
        <v>-100</v>
      </c>
      <c r="J277" s="8" t="s">
        <v>39</v>
      </c>
      <c r="K277" s="8" t="s">
        <v>1056</v>
      </c>
      <c r="L277" s="4"/>
      <c r="M277" s="4"/>
      <c r="N277" s="4"/>
    </row>
    <row r="278" spans="1:14" x14ac:dyDescent="0.15">
      <c r="A278" s="8" t="s">
        <v>383</v>
      </c>
      <c r="B278" s="8" t="s">
        <v>1054</v>
      </c>
      <c r="C278" s="8" t="s">
        <v>63</v>
      </c>
      <c r="D278" s="8" t="s">
        <v>95</v>
      </c>
      <c r="E278" s="8" t="s">
        <v>160</v>
      </c>
      <c r="F278" s="8" t="s">
        <v>161</v>
      </c>
      <c r="G278" s="6">
        <v>42923</v>
      </c>
      <c r="H278" s="6">
        <v>42932</v>
      </c>
      <c r="I278" s="4">
        <v>-200</v>
      </c>
      <c r="J278" s="8" t="s">
        <v>39</v>
      </c>
      <c r="K278" s="8" t="s">
        <v>1057</v>
      </c>
      <c r="L278" s="4"/>
      <c r="M278" s="4"/>
      <c r="N278" s="4"/>
    </row>
    <row r="279" spans="1:14" x14ac:dyDescent="0.15">
      <c r="A279" s="8" t="s">
        <v>383</v>
      </c>
      <c r="B279" s="8" t="s">
        <v>1054</v>
      </c>
      <c r="C279" s="8" t="s">
        <v>67</v>
      </c>
      <c r="D279" s="8" t="s">
        <v>162</v>
      </c>
      <c r="E279" s="8" t="s">
        <v>160</v>
      </c>
      <c r="F279" s="8" t="s">
        <v>161</v>
      </c>
      <c r="G279" s="6">
        <v>42923</v>
      </c>
      <c r="H279" s="6">
        <v>42932</v>
      </c>
      <c r="I279" s="4">
        <v>-10</v>
      </c>
      <c r="J279" s="8" t="s">
        <v>37</v>
      </c>
      <c r="K279" s="8" t="s">
        <v>1058</v>
      </c>
      <c r="L279" s="4"/>
      <c r="M279" s="4"/>
      <c r="N279" s="4"/>
    </row>
    <row r="280" spans="1:14" x14ac:dyDescent="0.15">
      <c r="A280" s="8" t="s">
        <v>383</v>
      </c>
      <c r="B280" s="8" t="s">
        <v>1054</v>
      </c>
      <c r="C280" s="8" t="s">
        <v>68</v>
      </c>
      <c r="D280" s="8" t="s">
        <v>166</v>
      </c>
      <c r="E280" s="8" t="s">
        <v>160</v>
      </c>
      <c r="F280" s="8" t="s">
        <v>161</v>
      </c>
      <c r="G280" s="6">
        <v>42923</v>
      </c>
      <c r="H280" s="6">
        <v>42932</v>
      </c>
      <c r="I280" s="4">
        <v>-6</v>
      </c>
      <c r="J280" s="8" t="s">
        <v>37</v>
      </c>
      <c r="K280" s="8" t="s">
        <v>1059</v>
      </c>
      <c r="L280" s="4"/>
      <c r="M280" s="4"/>
      <c r="N280" s="4"/>
    </row>
    <row r="281" spans="1:14" x14ac:dyDescent="0.15">
      <c r="A281" s="8" t="s">
        <v>383</v>
      </c>
      <c r="B281" s="8" t="s">
        <v>1060</v>
      </c>
      <c r="C281" s="8" t="s">
        <v>67</v>
      </c>
      <c r="D281" s="8" t="s">
        <v>162</v>
      </c>
      <c r="E281" s="8" t="s">
        <v>160</v>
      </c>
      <c r="F281" s="8" t="s">
        <v>161</v>
      </c>
      <c r="G281" s="6">
        <v>42927</v>
      </c>
      <c r="H281" s="6">
        <v>42932</v>
      </c>
      <c r="I281" s="4">
        <v>-10</v>
      </c>
      <c r="J281" s="8" t="s">
        <v>37</v>
      </c>
      <c r="K281" s="8" t="s">
        <v>1061</v>
      </c>
      <c r="L281" s="4"/>
      <c r="M281" s="4"/>
      <c r="N281" s="4"/>
    </row>
    <row r="282" spans="1:14" x14ac:dyDescent="0.15">
      <c r="A282" s="8" t="s">
        <v>383</v>
      </c>
      <c r="B282" s="8" t="s">
        <v>1062</v>
      </c>
      <c r="C282" s="8" t="s">
        <v>198</v>
      </c>
      <c r="D282" s="8" t="s">
        <v>210</v>
      </c>
      <c r="E282" s="8" t="s">
        <v>160</v>
      </c>
      <c r="F282" s="8" t="s">
        <v>161</v>
      </c>
      <c r="G282" s="6">
        <v>42927</v>
      </c>
      <c r="H282" s="6">
        <v>42933</v>
      </c>
      <c r="I282" s="4">
        <v>-20</v>
      </c>
      <c r="J282" s="8" t="s">
        <v>133</v>
      </c>
      <c r="K282" s="8" t="s">
        <v>1063</v>
      </c>
      <c r="L282" s="4"/>
      <c r="M282" s="4"/>
      <c r="N282" s="4"/>
    </row>
    <row r="283" spans="1:14" x14ac:dyDescent="0.15">
      <c r="A283" s="8" t="s">
        <v>383</v>
      </c>
      <c r="B283" s="8" t="s">
        <v>1064</v>
      </c>
      <c r="C283" s="8" t="s">
        <v>15</v>
      </c>
      <c r="D283" s="8" t="s">
        <v>32</v>
      </c>
      <c r="E283" s="8" t="s">
        <v>160</v>
      </c>
      <c r="F283" s="8" t="s">
        <v>161</v>
      </c>
      <c r="G283" s="6">
        <v>42928</v>
      </c>
      <c r="H283" s="6">
        <v>42928</v>
      </c>
      <c r="I283" s="4">
        <v>436.5</v>
      </c>
      <c r="J283" s="8" t="s">
        <v>38</v>
      </c>
      <c r="K283" s="8" t="s">
        <v>1065</v>
      </c>
      <c r="L283" s="4"/>
      <c r="M283" s="4"/>
      <c r="N283" s="4"/>
    </row>
    <row r="284" spans="1:14" x14ac:dyDescent="0.15">
      <c r="A284" s="8" t="s">
        <v>383</v>
      </c>
      <c r="B284" s="8" t="s">
        <v>1066</v>
      </c>
      <c r="C284" s="8" t="s">
        <v>219</v>
      </c>
      <c r="D284" s="8" t="s">
        <v>219</v>
      </c>
      <c r="E284" s="8" t="s">
        <v>160</v>
      </c>
      <c r="F284" s="8" t="s">
        <v>161</v>
      </c>
      <c r="G284" s="6">
        <v>42928</v>
      </c>
      <c r="H284" s="6">
        <v>42928</v>
      </c>
      <c r="I284" s="4">
        <v>11</v>
      </c>
      <c r="J284" s="8" t="s">
        <v>37</v>
      </c>
      <c r="K284" s="8" t="s">
        <v>1067</v>
      </c>
      <c r="L284" s="4"/>
      <c r="M284" s="4"/>
      <c r="N284" s="4"/>
    </row>
    <row r="285" spans="1:14" x14ac:dyDescent="0.15">
      <c r="A285" s="8" t="s">
        <v>383</v>
      </c>
      <c r="B285" s="8" t="s">
        <v>1068</v>
      </c>
      <c r="C285" s="8" t="s">
        <v>57</v>
      </c>
      <c r="D285" s="8" t="s">
        <v>113</v>
      </c>
      <c r="E285" s="8" t="s">
        <v>160</v>
      </c>
      <c r="F285" s="8" t="s">
        <v>161</v>
      </c>
      <c r="G285" s="6">
        <v>42929</v>
      </c>
      <c r="H285" s="6">
        <v>42930</v>
      </c>
      <c r="I285" s="4">
        <v>-70</v>
      </c>
      <c r="J285" s="8" t="s">
        <v>39</v>
      </c>
      <c r="K285" s="8" t="s">
        <v>1069</v>
      </c>
      <c r="L285" s="4"/>
      <c r="M285" s="4"/>
      <c r="N285" s="4"/>
    </row>
    <row r="286" spans="1:14" x14ac:dyDescent="0.15">
      <c r="A286" s="8" t="s">
        <v>383</v>
      </c>
      <c r="B286" s="8" t="s">
        <v>1068</v>
      </c>
      <c r="C286" s="8" t="s">
        <v>29</v>
      </c>
      <c r="D286" s="8" t="s">
        <v>33</v>
      </c>
      <c r="E286" s="8" t="s">
        <v>160</v>
      </c>
      <c r="F286" s="8" t="s">
        <v>161</v>
      </c>
      <c r="G286" s="6">
        <v>42929</v>
      </c>
      <c r="H286" s="6">
        <v>42930</v>
      </c>
      <c r="I286" s="4">
        <v>-13.3</v>
      </c>
      <c r="J286" s="8" t="s">
        <v>39</v>
      </c>
      <c r="K286" s="8" t="s">
        <v>1070</v>
      </c>
      <c r="L286" s="4"/>
      <c r="M286" s="4"/>
      <c r="N286" s="4"/>
    </row>
    <row r="287" spans="1:14" x14ac:dyDescent="0.15">
      <c r="A287" s="8" t="s">
        <v>383</v>
      </c>
      <c r="B287" s="8" t="s">
        <v>1068</v>
      </c>
      <c r="C287" s="8" t="s">
        <v>29</v>
      </c>
      <c r="D287" s="8" t="s">
        <v>33</v>
      </c>
      <c r="E287" s="8" t="s">
        <v>160</v>
      </c>
      <c r="F287" s="8" t="s">
        <v>161</v>
      </c>
      <c r="G287" s="6">
        <v>42929</v>
      </c>
      <c r="H287" s="6">
        <v>42930</v>
      </c>
      <c r="I287" s="4">
        <v>-1.7</v>
      </c>
      <c r="J287" s="8" t="s">
        <v>39</v>
      </c>
      <c r="K287" s="8" t="s">
        <v>1071</v>
      </c>
      <c r="L287" s="4"/>
      <c r="M287" s="4"/>
      <c r="N287" s="4"/>
    </row>
    <row r="288" spans="1:14" x14ac:dyDescent="0.15">
      <c r="A288" s="8" t="s">
        <v>383</v>
      </c>
      <c r="B288" s="8" t="s">
        <v>1068</v>
      </c>
      <c r="C288" s="8" t="s">
        <v>67</v>
      </c>
      <c r="D288" s="8" t="s">
        <v>162</v>
      </c>
      <c r="E288" s="8" t="s">
        <v>160</v>
      </c>
      <c r="F288" s="8" t="s">
        <v>161</v>
      </c>
      <c r="G288" s="6">
        <v>42929</v>
      </c>
      <c r="H288" s="6">
        <v>42930</v>
      </c>
      <c r="I288" s="4">
        <v>-15</v>
      </c>
      <c r="J288" s="8" t="s">
        <v>37</v>
      </c>
      <c r="K288" s="8" t="s">
        <v>1072</v>
      </c>
      <c r="L288" s="4"/>
      <c r="M288" s="4"/>
      <c r="N288" s="4"/>
    </row>
    <row r="289" spans="1:14" x14ac:dyDescent="0.15">
      <c r="A289" s="8" t="s">
        <v>383</v>
      </c>
      <c r="B289" s="8" t="s">
        <v>1073</v>
      </c>
      <c r="C289" s="8" t="s">
        <v>59</v>
      </c>
      <c r="D289" s="8" t="s">
        <v>93</v>
      </c>
      <c r="E289" s="8" t="s">
        <v>160</v>
      </c>
      <c r="F289" s="8" t="s">
        <v>161</v>
      </c>
      <c r="G289" s="6">
        <v>42930</v>
      </c>
      <c r="H289" s="6">
        <v>42934</v>
      </c>
      <c r="I289" s="4">
        <v>-24</v>
      </c>
      <c r="J289" s="8" t="s">
        <v>39</v>
      </c>
      <c r="K289" s="8" t="s">
        <v>1074</v>
      </c>
      <c r="L289" s="4"/>
      <c r="M289" s="4"/>
      <c r="N289" s="4"/>
    </row>
    <row r="290" spans="1:14" x14ac:dyDescent="0.15">
      <c r="A290" s="8" t="s">
        <v>383</v>
      </c>
      <c r="B290" s="8" t="s">
        <v>1073</v>
      </c>
      <c r="C290" s="8" t="s">
        <v>76</v>
      </c>
      <c r="D290" s="8" t="s">
        <v>110</v>
      </c>
      <c r="E290" s="8" t="s">
        <v>160</v>
      </c>
      <c r="F290" s="8" t="s">
        <v>161</v>
      </c>
      <c r="G290" s="6">
        <v>42930</v>
      </c>
      <c r="H290" s="6">
        <v>42934</v>
      </c>
      <c r="I290" s="4">
        <v>-56</v>
      </c>
      <c r="J290" s="8" t="s">
        <v>39</v>
      </c>
      <c r="K290" s="8" t="s">
        <v>1075</v>
      </c>
      <c r="L290" s="4"/>
      <c r="M290" s="4"/>
      <c r="N290" s="4"/>
    </row>
    <row r="291" spans="1:14" x14ac:dyDescent="0.15">
      <c r="A291" s="8" t="s">
        <v>383</v>
      </c>
      <c r="B291" s="8" t="s">
        <v>1076</v>
      </c>
      <c r="C291" s="8" t="s">
        <v>103</v>
      </c>
      <c r="D291" s="8" t="s">
        <v>104</v>
      </c>
      <c r="E291" s="8" t="s">
        <v>160</v>
      </c>
      <c r="F291" s="8" t="s">
        <v>161</v>
      </c>
      <c r="G291" s="6">
        <v>42933</v>
      </c>
      <c r="H291" s="6">
        <v>42933</v>
      </c>
      <c r="I291" s="4">
        <v>-16</v>
      </c>
      <c r="J291" s="8" t="s">
        <v>37</v>
      </c>
      <c r="K291" s="8" t="s">
        <v>1077</v>
      </c>
      <c r="L291" s="4"/>
      <c r="M291" s="4"/>
      <c r="N291" s="4"/>
    </row>
    <row r="292" spans="1:14" x14ac:dyDescent="0.15">
      <c r="A292" s="8" t="s">
        <v>383</v>
      </c>
      <c r="B292" s="8" t="s">
        <v>1076</v>
      </c>
      <c r="C292" s="8" t="s">
        <v>103</v>
      </c>
      <c r="D292" s="8" t="s">
        <v>104</v>
      </c>
      <c r="E292" s="8" t="s">
        <v>160</v>
      </c>
      <c r="F292" s="8" t="s">
        <v>161</v>
      </c>
      <c r="G292" s="6">
        <v>42933</v>
      </c>
      <c r="H292" s="6">
        <v>42933</v>
      </c>
      <c r="I292" s="4">
        <v>-84</v>
      </c>
      <c r="J292" s="8" t="s">
        <v>37</v>
      </c>
      <c r="K292" s="8" t="s">
        <v>1078</v>
      </c>
      <c r="L292" s="4"/>
      <c r="M292" s="4"/>
      <c r="N292" s="4"/>
    </row>
    <row r="293" spans="1:14" x14ac:dyDescent="0.15">
      <c r="A293" s="8" t="s">
        <v>383</v>
      </c>
      <c r="B293" s="8" t="s">
        <v>1079</v>
      </c>
      <c r="C293" s="8" t="s">
        <v>29</v>
      </c>
      <c r="D293" s="8" t="s">
        <v>33</v>
      </c>
      <c r="E293" s="8" t="s">
        <v>160</v>
      </c>
      <c r="F293" s="8" t="s">
        <v>161</v>
      </c>
      <c r="G293" s="6">
        <v>42933</v>
      </c>
      <c r="H293" s="6">
        <v>42935</v>
      </c>
      <c r="I293" s="4">
        <v>-80</v>
      </c>
      <c r="J293" s="8" t="s">
        <v>39</v>
      </c>
      <c r="K293" s="8" t="s">
        <v>1080</v>
      </c>
      <c r="L293" s="4"/>
      <c r="M293" s="4"/>
      <c r="N293" s="4"/>
    </row>
    <row r="294" spans="1:14" x14ac:dyDescent="0.15">
      <c r="A294" s="8" t="s">
        <v>383</v>
      </c>
      <c r="B294" s="8" t="s">
        <v>1079</v>
      </c>
      <c r="C294" s="8" t="s">
        <v>67</v>
      </c>
      <c r="D294" s="8" t="s">
        <v>162</v>
      </c>
      <c r="E294" s="8" t="s">
        <v>160</v>
      </c>
      <c r="F294" s="8" t="s">
        <v>161</v>
      </c>
      <c r="G294" s="6">
        <v>42933</v>
      </c>
      <c r="H294" s="6">
        <v>42935</v>
      </c>
      <c r="I294" s="4">
        <v>-4</v>
      </c>
      <c r="J294" s="8" t="s">
        <v>37</v>
      </c>
      <c r="K294" s="8" t="s">
        <v>1081</v>
      </c>
      <c r="L294" s="4"/>
      <c r="M294" s="4"/>
      <c r="N294" s="4"/>
    </row>
    <row r="295" spans="1:14" x14ac:dyDescent="0.15">
      <c r="A295" s="8" t="s">
        <v>383</v>
      </c>
      <c r="B295" s="8" t="s">
        <v>1082</v>
      </c>
      <c r="C295" s="8" t="s">
        <v>77</v>
      </c>
      <c r="D295" s="8" t="s">
        <v>287</v>
      </c>
      <c r="E295" s="8" t="s">
        <v>160</v>
      </c>
      <c r="F295" s="8" t="s">
        <v>161</v>
      </c>
      <c r="G295" s="6">
        <v>42933</v>
      </c>
      <c r="H295" s="6">
        <v>42935</v>
      </c>
      <c r="I295" s="4">
        <v>-17</v>
      </c>
      <c r="J295" s="8" t="s">
        <v>39</v>
      </c>
      <c r="K295" s="8" t="s">
        <v>1083</v>
      </c>
      <c r="L295" s="4"/>
      <c r="M295" s="4"/>
      <c r="N295" s="4"/>
    </row>
    <row r="296" spans="1:14" ht="27" x14ac:dyDescent="0.15">
      <c r="A296" s="8" t="s">
        <v>383</v>
      </c>
      <c r="B296" s="8" t="s">
        <v>1082</v>
      </c>
      <c r="C296" s="8" t="s">
        <v>164</v>
      </c>
      <c r="D296" s="11" t="s">
        <v>165</v>
      </c>
      <c r="E296" s="8" t="s">
        <v>160</v>
      </c>
      <c r="F296" s="8" t="s">
        <v>161</v>
      </c>
      <c r="G296" s="6">
        <v>42934</v>
      </c>
      <c r="H296" s="6">
        <v>42935</v>
      </c>
      <c r="I296" s="4">
        <v>-1</v>
      </c>
      <c r="J296" s="8" t="s">
        <v>37</v>
      </c>
      <c r="K296" s="8" t="s">
        <v>1084</v>
      </c>
      <c r="L296" s="4"/>
      <c r="M296" s="4"/>
      <c r="N296" s="4"/>
    </row>
    <row r="297" spans="1:14" x14ac:dyDescent="0.15">
      <c r="A297" s="8" t="s">
        <v>383</v>
      </c>
      <c r="B297" s="8" t="s">
        <v>1085</v>
      </c>
      <c r="C297" s="8" t="s">
        <v>57</v>
      </c>
      <c r="D297" s="8" t="s">
        <v>113</v>
      </c>
      <c r="E297" s="8" t="s">
        <v>160</v>
      </c>
      <c r="F297" s="8" t="s">
        <v>161</v>
      </c>
      <c r="G297" s="6">
        <v>42934</v>
      </c>
      <c r="H297" s="6">
        <v>42936</v>
      </c>
      <c r="I297" s="4">
        <v>-20</v>
      </c>
      <c r="J297" s="8" t="s">
        <v>39</v>
      </c>
      <c r="K297" s="8" t="s">
        <v>1086</v>
      </c>
      <c r="L297" s="4"/>
      <c r="M297" s="4"/>
      <c r="N297" s="4"/>
    </row>
    <row r="298" spans="1:14" x14ac:dyDescent="0.15">
      <c r="A298" s="8" t="s">
        <v>383</v>
      </c>
      <c r="B298" s="8" t="s">
        <v>1085</v>
      </c>
      <c r="C298" s="8" t="s">
        <v>59</v>
      </c>
      <c r="D298" s="8" t="s">
        <v>93</v>
      </c>
      <c r="E298" s="8" t="s">
        <v>160</v>
      </c>
      <c r="F298" s="8" t="s">
        <v>161</v>
      </c>
      <c r="G298" s="6">
        <v>42934</v>
      </c>
      <c r="H298" s="6">
        <v>42936</v>
      </c>
      <c r="I298" s="4">
        <v>-61</v>
      </c>
      <c r="J298" s="8" t="s">
        <v>39</v>
      </c>
      <c r="K298" s="8" t="s">
        <v>1087</v>
      </c>
      <c r="L298" s="4"/>
      <c r="M298" s="4"/>
      <c r="N298" s="4"/>
    </row>
    <row r="299" spans="1:14" x14ac:dyDescent="0.15">
      <c r="A299" s="8" t="s">
        <v>383</v>
      </c>
      <c r="B299" s="8" t="s">
        <v>1085</v>
      </c>
      <c r="C299" s="8" t="s">
        <v>103</v>
      </c>
      <c r="D299" s="8" t="s">
        <v>104</v>
      </c>
      <c r="E299" s="8" t="s">
        <v>160</v>
      </c>
      <c r="F299" s="8" t="s">
        <v>161</v>
      </c>
      <c r="G299" s="6">
        <v>42936</v>
      </c>
      <c r="H299" s="6">
        <v>42936</v>
      </c>
      <c r="I299" s="4">
        <v>-16</v>
      </c>
      <c r="J299" s="8" t="s">
        <v>37</v>
      </c>
      <c r="K299" s="8" t="s">
        <v>1088</v>
      </c>
      <c r="L299" s="4"/>
      <c r="M299" s="4"/>
      <c r="N299" s="4"/>
    </row>
    <row r="300" spans="1:14" x14ac:dyDescent="0.15">
      <c r="A300" s="8" t="s">
        <v>383</v>
      </c>
      <c r="B300" s="8" t="s">
        <v>1085</v>
      </c>
      <c r="C300" s="8" t="s">
        <v>103</v>
      </c>
      <c r="D300" s="8" t="s">
        <v>104</v>
      </c>
      <c r="E300" s="8" t="s">
        <v>160</v>
      </c>
      <c r="F300" s="8" t="s">
        <v>161</v>
      </c>
      <c r="G300" s="6">
        <v>42936</v>
      </c>
      <c r="H300" s="6">
        <v>42936</v>
      </c>
      <c r="I300" s="4">
        <v>-16</v>
      </c>
      <c r="J300" s="8" t="s">
        <v>37</v>
      </c>
      <c r="K300" s="8" t="s">
        <v>1089</v>
      </c>
      <c r="L300" s="4"/>
      <c r="M300" s="4"/>
      <c r="N300" s="4"/>
    </row>
    <row r="301" spans="1:14" x14ac:dyDescent="0.15">
      <c r="A301" s="8" t="s">
        <v>383</v>
      </c>
      <c r="B301" s="8" t="s">
        <v>1090</v>
      </c>
      <c r="C301" s="8" t="s">
        <v>22</v>
      </c>
      <c r="D301" s="8" t="s">
        <v>188</v>
      </c>
      <c r="E301" s="8" t="s">
        <v>160</v>
      </c>
      <c r="F301" s="8" t="s">
        <v>161</v>
      </c>
      <c r="G301" s="6">
        <v>42934</v>
      </c>
      <c r="H301" s="6">
        <v>42947</v>
      </c>
      <c r="I301" s="4">
        <v>-1</v>
      </c>
      <c r="J301" s="8" t="s">
        <v>37</v>
      </c>
      <c r="K301" s="8" t="s">
        <v>1091</v>
      </c>
      <c r="L301" s="4"/>
      <c r="M301" s="4"/>
      <c r="N301" s="4"/>
    </row>
    <row r="302" spans="1:14" x14ac:dyDescent="0.15">
      <c r="A302" s="8" t="s">
        <v>383</v>
      </c>
      <c r="B302" s="8" t="s">
        <v>1090</v>
      </c>
      <c r="C302" s="8" t="s">
        <v>15</v>
      </c>
      <c r="D302" s="8" t="s">
        <v>32</v>
      </c>
      <c r="E302" s="8" t="s">
        <v>160</v>
      </c>
      <c r="F302" s="8" t="s">
        <v>161</v>
      </c>
      <c r="G302" s="6">
        <v>42934</v>
      </c>
      <c r="H302" s="6">
        <v>42947</v>
      </c>
      <c r="I302" s="4">
        <v>-630.5</v>
      </c>
      <c r="J302" s="8" t="s">
        <v>38</v>
      </c>
      <c r="K302" s="8" t="s">
        <v>1092</v>
      </c>
      <c r="L302" s="4"/>
      <c r="M302" s="4"/>
      <c r="N302" s="4"/>
    </row>
    <row r="303" spans="1:14" x14ac:dyDescent="0.15">
      <c r="A303" s="8" t="s">
        <v>383</v>
      </c>
      <c r="B303" s="8" t="s">
        <v>1090</v>
      </c>
      <c r="C303" s="8" t="s">
        <v>27</v>
      </c>
      <c r="D303" s="8" t="s">
        <v>32</v>
      </c>
      <c r="E303" s="8" t="s">
        <v>160</v>
      </c>
      <c r="F303" s="8" t="s">
        <v>161</v>
      </c>
      <c r="G303" s="6">
        <v>42934</v>
      </c>
      <c r="H303" s="6">
        <v>42947</v>
      </c>
      <c r="I303" s="4">
        <v>-4275</v>
      </c>
      <c r="J303" s="8" t="s">
        <v>38</v>
      </c>
      <c r="K303" s="8" t="s">
        <v>1093</v>
      </c>
      <c r="L303" s="4"/>
      <c r="M303" s="4"/>
      <c r="N303" s="4"/>
    </row>
    <row r="304" spans="1:14" x14ac:dyDescent="0.15">
      <c r="A304" s="8" t="s">
        <v>383</v>
      </c>
      <c r="B304" s="8" t="s">
        <v>1094</v>
      </c>
      <c r="C304" s="8" t="s">
        <v>99</v>
      </c>
      <c r="D304" s="8" t="s">
        <v>100</v>
      </c>
      <c r="E304" s="8" t="s">
        <v>160</v>
      </c>
      <c r="F304" s="8" t="s">
        <v>161</v>
      </c>
      <c r="G304" s="6">
        <v>42935</v>
      </c>
      <c r="H304" s="6">
        <v>42936</v>
      </c>
      <c r="I304" s="4">
        <v>-11.2</v>
      </c>
      <c r="J304" s="8" t="s">
        <v>39</v>
      </c>
      <c r="K304" s="8" t="s">
        <v>1095</v>
      </c>
      <c r="L304" s="4"/>
      <c r="M304" s="4"/>
      <c r="N304" s="4"/>
    </row>
    <row r="305" spans="1:14" x14ac:dyDescent="0.15">
      <c r="A305" s="8" t="s">
        <v>383</v>
      </c>
      <c r="B305" s="8" t="s">
        <v>1094</v>
      </c>
      <c r="C305" s="8" t="s">
        <v>99</v>
      </c>
      <c r="D305" s="8" t="s">
        <v>100</v>
      </c>
      <c r="E305" s="8" t="s">
        <v>160</v>
      </c>
      <c r="F305" s="8" t="s">
        <v>161</v>
      </c>
      <c r="G305" s="6">
        <v>42935</v>
      </c>
      <c r="H305" s="6">
        <v>42936</v>
      </c>
      <c r="I305" s="4">
        <v>-2.8</v>
      </c>
      <c r="J305" s="8" t="s">
        <v>39</v>
      </c>
      <c r="K305" s="8" t="s">
        <v>1096</v>
      </c>
      <c r="L305" s="4"/>
      <c r="M305" s="4"/>
      <c r="N305" s="4"/>
    </row>
    <row r="306" spans="1:14" x14ac:dyDescent="0.15">
      <c r="A306" s="8" t="s">
        <v>383</v>
      </c>
      <c r="B306" s="8" t="s">
        <v>1094</v>
      </c>
      <c r="C306" s="8" t="s">
        <v>19</v>
      </c>
      <c r="D306" s="8" t="s">
        <v>35</v>
      </c>
      <c r="E306" s="8" t="s">
        <v>160</v>
      </c>
      <c r="F306" s="8" t="s">
        <v>161</v>
      </c>
      <c r="G306" s="6">
        <v>42935</v>
      </c>
      <c r="H306" s="6">
        <v>42936</v>
      </c>
      <c r="I306" s="4">
        <v>-1</v>
      </c>
      <c r="J306" s="8" t="s">
        <v>37</v>
      </c>
      <c r="K306" s="8" t="s">
        <v>1097</v>
      </c>
      <c r="L306" s="4"/>
      <c r="M306" s="4"/>
      <c r="N306" s="4"/>
    </row>
    <row r="307" spans="1:14" x14ac:dyDescent="0.15">
      <c r="A307" s="8" t="s">
        <v>383</v>
      </c>
      <c r="B307" s="8" t="s">
        <v>1098</v>
      </c>
      <c r="C307" s="8" t="s">
        <v>108</v>
      </c>
      <c r="D307" s="8" t="s">
        <v>109</v>
      </c>
      <c r="E307" s="8" t="s">
        <v>160</v>
      </c>
      <c r="F307" s="8" t="s">
        <v>161</v>
      </c>
      <c r="G307" s="6">
        <v>42936</v>
      </c>
      <c r="H307" s="6">
        <v>42940</v>
      </c>
      <c r="I307" s="4">
        <v>-1</v>
      </c>
      <c r="J307" s="8" t="s">
        <v>37</v>
      </c>
      <c r="K307" s="8" t="s">
        <v>1099</v>
      </c>
      <c r="L307" s="4"/>
      <c r="M307" s="4"/>
      <c r="N307" s="4"/>
    </row>
    <row r="308" spans="1:14" x14ac:dyDescent="0.15">
      <c r="A308" s="8" t="s">
        <v>383</v>
      </c>
      <c r="B308" s="8" t="s">
        <v>1098</v>
      </c>
      <c r="C308" s="8" t="s">
        <v>67</v>
      </c>
      <c r="D308" s="8" t="s">
        <v>162</v>
      </c>
      <c r="E308" s="8" t="s">
        <v>160</v>
      </c>
      <c r="F308" s="8" t="s">
        <v>161</v>
      </c>
      <c r="G308" s="6">
        <v>42936</v>
      </c>
      <c r="H308" s="6">
        <v>42940</v>
      </c>
      <c r="I308" s="4">
        <v>-16</v>
      </c>
      <c r="J308" s="8" t="s">
        <v>37</v>
      </c>
      <c r="K308" s="8" t="s">
        <v>1100</v>
      </c>
      <c r="L308" s="4"/>
      <c r="M308" s="4"/>
      <c r="N308" s="4"/>
    </row>
    <row r="309" spans="1:14" x14ac:dyDescent="0.15">
      <c r="A309" s="8" t="s">
        <v>383</v>
      </c>
      <c r="B309" s="8" t="s">
        <v>1101</v>
      </c>
      <c r="C309" s="8" t="s">
        <v>56</v>
      </c>
      <c r="D309" s="8" t="s">
        <v>126</v>
      </c>
      <c r="E309" s="8" t="s">
        <v>160</v>
      </c>
      <c r="F309" s="8" t="s">
        <v>161</v>
      </c>
      <c r="G309" s="6">
        <v>42936</v>
      </c>
      <c r="H309" s="6">
        <v>42940</v>
      </c>
      <c r="I309" s="4">
        <v>-150</v>
      </c>
      <c r="J309" s="8" t="s">
        <v>39</v>
      </c>
      <c r="K309" s="8" t="s">
        <v>1102</v>
      </c>
      <c r="L309" s="4"/>
      <c r="M309" s="4"/>
      <c r="N309" s="4"/>
    </row>
    <row r="310" spans="1:14" x14ac:dyDescent="0.15">
      <c r="A310" s="8" t="s">
        <v>383</v>
      </c>
      <c r="B310" s="8" t="s">
        <v>1103</v>
      </c>
      <c r="C310" s="8" t="s">
        <v>103</v>
      </c>
      <c r="D310" s="8" t="s">
        <v>104</v>
      </c>
      <c r="E310" s="8" t="s">
        <v>160</v>
      </c>
      <c r="F310" s="8" t="s">
        <v>161</v>
      </c>
      <c r="G310" s="6">
        <v>42937</v>
      </c>
      <c r="H310" s="6">
        <v>42940</v>
      </c>
      <c r="I310" s="4">
        <v>-1</v>
      </c>
      <c r="J310" s="8" t="s">
        <v>37</v>
      </c>
      <c r="K310" s="8" t="s">
        <v>1104</v>
      </c>
      <c r="L310" s="4"/>
      <c r="M310" s="4"/>
      <c r="N310" s="4"/>
    </row>
    <row r="311" spans="1:14" x14ac:dyDescent="0.15">
      <c r="A311" s="8" t="s">
        <v>383</v>
      </c>
      <c r="B311" s="8" t="s">
        <v>1103</v>
      </c>
      <c r="C311" s="8" t="s">
        <v>19</v>
      </c>
      <c r="D311" s="8" t="s">
        <v>35</v>
      </c>
      <c r="E311" s="8" t="s">
        <v>160</v>
      </c>
      <c r="F311" s="8" t="s">
        <v>161</v>
      </c>
      <c r="G311" s="6">
        <v>42940</v>
      </c>
      <c r="H311" s="6">
        <v>42940</v>
      </c>
      <c r="I311" s="4">
        <v>-1</v>
      </c>
      <c r="J311" s="8" t="s">
        <v>37</v>
      </c>
      <c r="K311" s="8" t="s">
        <v>1105</v>
      </c>
      <c r="L311" s="4"/>
      <c r="M311" s="4"/>
      <c r="N311" s="4"/>
    </row>
    <row r="312" spans="1:14" x14ac:dyDescent="0.15">
      <c r="A312" s="8" t="s">
        <v>383</v>
      </c>
      <c r="B312" s="8" t="s">
        <v>1106</v>
      </c>
      <c r="C312" s="8" t="s">
        <v>142</v>
      </c>
      <c r="D312" s="8" t="s">
        <v>206</v>
      </c>
      <c r="E312" s="8" t="s">
        <v>160</v>
      </c>
      <c r="F312" s="8" t="s">
        <v>161</v>
      </c>
      <c r="G312" s="6">
        <v>42937</v>
      </c>
      <c r="H312" s="6">
        <v>42942</v>
      </c>
      <c r="I312" s="4">
        <v>-1470</v>
      </c>
      <c r="J312" s="8" t="s">
        <v>38</v>
      </c>
      <c r="K312" s="8" t="s">
        <v>1107</v>
      </c>
      <c r="L312" s="4"/>
      <c r="M312" s="4"/>
      <c r="N312" s="4"/>
    </row>
    <row r="313" spans="1:14" x14ac:dyDescent="0.15">
      <c r="A313" s="8" t="s">
        <v>383</v>
      </c>
      <c r="B313" s="8" t="s">
        <v>1106</v>
      </c>
      <c r="C313" s="8" t="s">
        <v>142</v>
      </c>
      <c r="D313" s="8" t="s">
        <v>206</v>
      </c>
      <c r="E313" s="8" t="s">
        <v>160</v>
      </c>
      <c r="F313" s="8" t="s">
        <v>161</v>
      </c>
      <c r="G313" s="6">
        <v>42937</v>
      </c>
      <c r="H313" s="6">
        <v>42942</v>
      </c>
      <c r="I313" s="4">
        <v>-30</v>
      </c>
      <c r="J313" s="8" t="s">
        <v>38</v>
      </c>
      <c r="K313" s="8" t="s">
        <v>1108</v>
      </c>
      <c r="L313" s="4"/>
      <c r="M313" s="4"/>
      <c r="N313" s="4"/>
    </row>
    <row r="314" spans="1:14" x14ac:dyDescent="0.15">
      <c r="A314" s="8" t="s">
        <v>383</v>
      </c>
      <c r="B314" s="8" t="s">
        <v>1106</v>
      </c>
      <c r="C314" s="8" t="s">
        <v>108</v>
      </c>
      <c r="D314" s="8" t="s">
        <v>109</v>
      </c>
      <c r="E314" s="8" t="s">
        <v>160</v>
      </c>
      <c r="F314" s="8" t="s">
        <v>161</v>
      </c>
      <c r="G314" s="6">
        <v>42937</v>
      </c>
      <c r="H314" s="6">
        <v>42942</v>
      </c>
      <c r="I314" s="4">
        <v>-1</v>
      </c>
      <c r="J314" s="8" t="s">
        <v>37</v>
      </c>
      <c r="K314" s="8" t="s">
        <v>1109</v>
      </c>
      <c r="L314" s="4"/>
      <c r="M314" s="4"/>
      <c r="N314" s="4"/>
    </row>
    <row r="315" spans="1:14" x14ac:dyDescent="0.15">
      <c r="A315" s="8" t="s">
        <v>383</v>
      </c>
      <c r="B315" s="8" t="s">
        <v>1106</v>
      </c>
      <c r="C315" s="8" t="s">
        <v>67</v>
      </c>
      <c r="D315" s="8" t="s">
        <v>162</v>
      </c>
      <c r="E315" s="8" t="s">
        <v>160</v>
      </c>
      <c r="F315" s="8" t="s">
        <v>161</v>
      </c>
      <c r="G315" s="6">
        <v>42937</v>
      </c>
      <c r="H315" s="6">
        <v>42942</v>
      </c>
      <c r="I315" s="4">
        <v>-92</v>
      </c>
      <c r="J315" s="8" t="s">
        <v>37</v>
      </c>
      <c r="K315" s="8" t="s">
        <v>1110</v>
      </c>
      <c r="L315" s="4"/>
      <c r="M315" s="4"/>
      <c r="N315" s="4"/>
    </row>
    <row r="316" spans="1:14" x14ac:dyDescent="0.15">
      <c r="A316" s="8" t="s">
        <v>383</v>
      </c>
      <c r="B316" s="8" t="s">
        <v>1106</v>
      </c>
      <c r="C316" s="8" t="s">
        <v>67</v>
      </c>
      <c r="D316" s="8" t="s">
        <v>162</v>
      </c>
      <c r="E316" s="8" t="s">
        <v>160</v>
      </c>
      <c r="F316" s="8" t="s">
        <v>161</v>
      </c>
      <c r="G316" s="6">
        <v>42937</v>
      </c>
      <c r="H316" s="6">
        <v>42942</v>
      </c>
      <c r="I316" s="4">
        <v>-2</v>
      </c>
      <c r="J316" s="8" t="s">
        <v>37</v>
      </c>
      <c r="K316" s="8" t="s">
        <v>1111</v>
      </c>
      <c r="L316" s="4"/>
      <c r="M316" s="4"/>
      <c r="N316" s="4"/>
    </row>
    <row r="317" spans="1:14" x14ac:dyDescent="0.15">
      <c r="A317" s="8" t="s">
        <v>383</v>
      </c>
      <c r="B317" s="8" t="s">
        <v>1106</v>
      </c>
      <c r="C317" s="8" t="s">
        <v>314</v>
      </c>
      <c r="D317" s="8" t="s">
        <v>314</v>
      </c>
      <c r="E317" s="8" t="s">
        <v>160</v>
      </c>
      <c r="F317" s="8" t="s">
        <v>161</v>
      </c>
      <c r="G317" s="6">
        <v>42937</v>
      </c>
      <c r="H317" s="6">
        <v>42942</v>
      </c>
      <c r="I317" s="4">
        <v>-1</v>
      </c>
      <c r="J317" s="8" t="s">
        <v>37</v>
      </c>
      <c r="K317" s="8" t="s">
        <v>1112</v>
      </c>
      <c r="L317" s="4"/>
      <c r="M317" s="4"/>
      <c r="N317" s="4"/>
    </row>
    <row r="318" spans="1:14" x14ac:dyDescent="0.15">
      <c r="A318" s="8" t="s">
        <v>383</v>
      </c>
      <c r="B318" s="8" t="s">
        <v>1106</v>
      </c>
      <c r="C318" s="8" t="s">
        <v>68</v>
      </c>
      <c r="D318" s="8" t="s">
        <v>166</v>
      </c>
      <c r="E318" s="8" t="s">
        <v>160</v>
      </c>
      <c r="F318" s="8" t="s">
        <v>161</v>
      </c>
      <c r="G318" s="6">
        <v>42937</v>
      </c>
      <c r="H318" s="6">
        <v>42942</v>
      </c>
      <c r="I318" s="4">
        <v>-210</v>
      </c>
      <c r="J318" s="8" t="s">
        <v>37</v>
      </c>
      <c r="K318" s="8" t="s">
        <v>1113</v>
      </c>
      <c r="L318" s="4"/>
      <c r="M318" s="4"/>
      <c r="N318" s="4"/>
    </row>
    <row r="319" spans="1:14" x14ac:dyDescent="0.15">
      <c r="A319" s="8" t="s">
        <v>383</v>
      </c>
      <c r="B319" s="8" t="s">
        <v>1106</v>
      </c>
      <c r="C319" s="8" t="s">
        <v>201</v>
      </c>
      <c r="D319" s="8" t="s">
        <v>322</v>
      </c>
      <c r="E319" s="8" t="s">
        <v>160</v>
      </c>
      <c r="F319" s="8" t="s">
        <v>161</v>
      </c>
      <c r="G319" s="6">
        <v>42937</v>
      </c>
      <c r="H319" s="6">
        <v>42942</v>
      </c>
      <c r="I319" s="4">
        <v>-2</v>
      </c>
      <c r="J319" s="8" t="s">
        <v>37</v>
      </c>
      <c r="K319" s="8" t="s">
        <v>1114</v>
      </c>
      <c r="L319" s="4"/>
      <c r="M319" s="4"/>
      <c r="N319" s="4"/>
    </row>
    <row r="320" spans="1:14" x14ac:dyDescent="0.15">
      <c r="A320" s="8" t="s">
        <v>383</v>
      </c>
      <c r="B320" s="8" t="s">
        <v>1115</v>
      </c>
      <c r="C320" s="8" t="s">
        <v>103</v>
      </c>
      <c r="D320" s="8" t="s">
        <v>104</v>
      </c>
      <c r="E320" s="8" t="s">
        <v>160</v>
      </c>
      <c r="F320" s="8" t="s">
        <v>161</v>
      </c>
      <c r="G320" s="6">
        <v>42941</v>
      </c>
      <c r="H320" s="6">
        <v>42941</v>
      </c>
      <c r="I320" s="4">
        <v>-84</v>
      </c>
      <c r="J320" s="8" t="s">
        <v>37</v>
      </c>
      <c r="K320" s="8" t="s">
        <v>1116</v>
      </c>
      <c r="L320" s="4"/>
      <c r="M320" s="4"/>
      <c r="N320" s="4"/>
    </row>
    <row r="321" spans="1:14" x14ac:dyDescent="0.15">
      <c r="A321" s="8" t="s">
        <v>383</v>
      </c>
      <c r="B321" s="8" t="s">
        <v>1115</v>
      </c>
      <c r="C321" s="8" t="s">
        <v>103</v>
      </c>
      <c r="D321" s="8" t="s">
        <v>104</v>
      </c>
      <c r="E321" s="8" t="s">
        <v>160</v>
      </c>
      <c r="F321" s="8" t="s">
        <v>161</v>
      </c>
      <c r="G321" s="6">
        <v>42941</v>
      </c>
      <c r="H321" s="6">
        <v>42941</v>
      </c>
      <c r="I321" s="4">
        <v>-258</v>
      </c>
      <c r="J321" s="8" t="s">
        <v>37</v>
      </c>
      <c r="K321" s="8" t="s">
        <v>1117</v>
      </c>
      <c r="L321" s="4"/>
      <c r="M321" s="4"/>
      <c r="N321" s="4"/>
    </row>
    <row r="322" spans="1:14" x14ac:dyDescent="0.15">
      <c r="A322" s="8" t="s">
        <v>383</v>
      </c>
      <c r="B322" s="8" t="s">
        <v>1115</v>
      </c>
      <c r="C322" s="8" t="s">
        <v>103</v>
      </c>
      <c r="D322" s="8" t="s">
        <v>104</v>
      </c>
      <c r="E322" s="8" t="s">
        <v>160</v>
      </c>
      <c r="F322" s="8" t="s">
        <v>161</v>
      </c>
      <c r="G322" s="6">
        <v>42941</v>
      </c>
      <c r="H322" s="6">
        <v>42941</v>
      </c>
      <c r="I322" s="4">
        <v>-262</v>
      </c>
      <c r="J322" s="8" t="s">
        <v>37</v>
      </c>
      <c r="K322" s="8" t="s">
        <v>1118</v>
      </c>
      <c r="L322" s="4"/>
      <c r="M322" s="4"/>
      <c r="N322" s="4"/>
    </row>
    <row r="323" spans="1:14" x14ac:dyDescent="0.15">
      <c r="A323" s="8" t="s">
        <v>383</v>
      </c>
      <c r="B323" s="8" t="s">
        <v>1115</v>
      </c>
      <c r="C323" s="8" t="s">
        <v>103</v>
      </c>
      <c r="D323" s="8" t="s">
        <v>104</v>
      </c>
      <c r="E323" s="8" t="s">
        <v>160</v>
      </c>
      <c r="F323" s="8" t="s">
        <v>161</v>
      </c>
      <c r="G323" s="6">
        <v>42941</v>
      </c>
      <c r="H323" s="6">
        <v>42941</v>
      </c>
      <c r="I323" s="4">
        <v>-68</v>
      </c>
      <c r="J323" s="8" t="s">
        <v>37</v>
      </c>
      <c r="K323" s="8" t="s">
        <v>1119</v>
      </c>
      <c r="L323" s="4"/>
      <c r="M323" s="4"/>
      <c r="N323" s="4"/>
    </row>
    <row r="324" spans="1:14" x14ac:dyDescent="0.15">
      <c r="A324" s="8" t="s">
        <v>383</v>
      </c>
      <c r="B324" s="8" t="s">
        <v>1115</v>
      </c>
      <c r="C324" s="8" t="s">
        <v>103</v>
      </c>
      <c r="D324" s="8" t="s">
        <v>104</v>
      </c>
      <c r="E324" s="8" t="s">
        <v>160</v>
      </c>
      <c r="F324" s="8" t="s">
        <v>161</v>
      </c>
      <c r="G324" s="6">
        <v>42941</v>
      </c>
      <c r="H324" s="6">
        <v>42941</v>
      </c>
      <c r="I324" s="4">
        <v>-2</v>
      </c>
      <c r="J324" s="8" t="s">
        <v>37</v>
      </c>
      <c r="K324" s="8" t="s">
        <v>1120</v>
      </c>
      <c r="L324" s="4"/>
      <c r="M324" s="4"/>
      <c r="N324" s="4"/>
    </row>
    <row r="325" spans="1:14" x14ac:dyDescent="0.15">
      <c r="A325" s="8" t="s">
        <v>383</v>
      </c>
      <c r="B325" s="8" t="s">
        <v>1115</v>
      </c>
      <c r="C325" s="8" t="s">
        <v>103</v>
      </c>
      <c r="D325" s="8" t="s">
        <v>104</v>
      </c>
      <c r="E325" s="8" t="s">
        <v>160</v>
      </c>
      <c r="F325" s="8" t="s">
        <v>161</v>
      </c>
      <c r="G325" s="6">
        <v>42941</v>
      </c>
      <c r="H325" s="6">
        <v>42941</v>
      </c>
      <c r="I325" s="4">
        <v>-8</v>
      </c>
      <c r="J325" s="8" t="s">
        <v>37</v>
      </c>
      <c r="K325" s="8" t="s">
        <v>1121</v>
      </c>
      <c r="L325" s="4"/>
      <c r="M325" s="4"/>
      <c r="N325" s="4"/>
    </row>
    <row r="326" spans="1:14" x14ac:dyDescent="0.15">
      <c r="A326" s="8" t="s">
        <v>383</v>
      </c>
      <c r="B326" s="8" t="s">
        <v>1115</v>
      </c>
      <c r="C326" s="8" t="s">
        <v>103</v>
      </c>
      <c r="D326" s="8" t="s">
        <v>104</v>
      </c>
      <c r="E326" s="8" t="s">
        <v>160</v>
      </c>
      <c r="F326" s="8" t="s">
        <v>161</v>
      </c>
      <c r="G326" s="6">
        <v>42941</v>
      </c>
      <c r="H326" s="6">
        <v>42941</v>
      </c>
      <c r="I326" s="4">
        <v>-32</v>
      </c>
      <c r="J326" s="8" t="s">
        <v>37</v>
      </c>
      <c r="K326" s="8" t="s">
        <v>1122</v>
      </c>
      <c r="L326" s="4"/>
      <c r="M326" s="4"/>
      <c r="N326" s="4"/>
    </row>
    <row r="327" spans="1:14" x14ac:dyDescent="0.15">
      <c r="A327" s="8" t="s">
        <v>383</v>
      </c>
      <c r="B327" s="8" t="s">
        <v>1115</v>
      </c>
      <c r="C327" s="8" t="s">
        <v>103</v>
      </c>
      <c r="D327" s="8" t="s">
        <v>104</v>
      </c>
      <c r="E327" s="8" t="s">
        <v>160</v>
      </c>
      <c r="F327" s="8" t="s">
        <v>161</v>
      </c>
      <c r="G327" s="6">
        <v>42941</v>
      </c>
      <c r="H327" s="6">
        <v>42941</v>
      </c>
      <c r="I327" s="4">
        <v>-3</v>
      </c>
      <c r="J327" s="8" t="s">
        <v>37</v>
      </c>
      <c r="K327" s="8" t="s">
        <v>1123</v>
      </c>
      <c r="L327" s="4"/>
      <c r="M327" s="4"/>
      <c r="N327" s="4"/>
    </row>
    <row r="328" spans="1:14" x14ac:dyDescent="0.15">
      <c r="A328" s="8" t="s">
        <v>383</v>
      </c>
      <c r="B328" s="8" t="s">
        <v>1115</v>
      </c>
      <c r="C328" s="8" t="s">
        <v>103</v>
      </c>
      <c r="D328" s="8" t="s">
        <v>104</v>
      </c>
      <c r="E328" s="8" t="s">
        <v>160</v>
      </c>
      <c r="F328" s="8" t="s">
        <v>161</v>
      </c>
      <c r="G328" s="6">
        <v>42941</v>
      </c>
      <c r="H328" s="6">
        <v>42941</v>
      </c>
      <c r="I328" s="4">
        <v>-12</v>
      </c>
      <c r="J328" s="8" t="s">
        <v>37</v>
      </c>
      <c r="K328" s="8" t="s">
        <v>1124</v>
      </c>
      <c r="L328" s="4"/>
      <c r="M328" s="4"/>
      <c r="N328" s="4"/>
    </row>
    <row r="329" spans="1:14" x14ac:dyDescent="0.15">
      <c r="A329" s="8" t="s">
        <v>383</v>
      </c>
      <c r="B329" s="8" t="s">
        <v>1125</v>
      </c>
      <c r="C329" s="8" t="s">
        <v>99</v>
      </c>
      <c r="D329" s="8" t="s">
        <v>100</v>
      </c>
      <c r="E329" s="8" t="s">
        <v>160</v>
      </c>
      <c r="F329" s="8" t="s">
        <v>161</v>
      </c>
      <c r="G329" s="6">
        <v>42941</v>
      </c>
      <c r="H329" s="6">
        <v>42942</v>
      </c>
      <c r="I329" s="4">
        <v>-50</v>
      </c>
      <c r="J329" s="8" t="s">
        <v>39</v>
      </c>
      <c r="K329" s="8" t="s">
        <v>1126</v>
      </c>
      <c r="L329" s="4"/>
      <c r="M329" s="4"/>
      <c r="N329" s="4"/>
    </row>
    <row r="330" spans="1:14" x14ac:dyDescent="0.15">
      <c r="A330" s="8" t="s">
        <v>383</v>
      </c>
      <c r="B330" s="8" t="s">
        <v>1125</v>
      </c>
      <c r="C330" s="8" t="s">
        <v>79</v>
      </c>
      <c r="D330" s="8" t="s">
        <v>289</v>
      </c>
      <c r="E330" s="8" t="s">
        <v>160</v>
      </c>
      <c r="F330" s="8" t="s">
        <v>161</v>
      </c>
      <c r="G330" s="6">
        <v>42941</v>
      </c>
      <c r="H330" s="6">
        <v>42942</v>
      </c>
      <c r="I330" s="4">
        <v>-1</v>
      </c>
      <c r="J330" s="8" t="s">
        <v>37</v>
      </c>
      <c r="K330" s="8" t="s">
        <v>1127</v>
      </c>
      <c r="L330" s="4"/>
      <c r="M330" s="4"/>
      <c r="N330" s="4"/>
    </row>
    <row r="331" spans="1:14" x14ac:dyDescent="0.15">
      <c r="A331" s="8" t="s">
        <v>383</v>
      </c>
      <c r="B331" s="8" t="s">
        <v>1125</v>
      </c>
      <c r="C331" s="8" t="s">
        <v>67</v>
      </c>
      <c r="D331" s="8" t="s">
        <v>162</v>
      </c>
      <c r="E331" s="8" t="s">
        <v>160</v>
      </c>
      <c r="F331" s="8" t="s">
        <v>161</v>
      </c>
      <c r="G331" s="6">
        <v>42941</v>
      </c>
      <c r="H331" s="6">
        <v>42942</v>
      </c>
      <c r="I331" s="4">
        <v>-5</v>
      </c>
      <c r="J331" s="8" t="s">
        <v>37</v>
      </c>
      <c r="K331" s="8" t="s">
        <v>1128</v>
      </c>
      <c r="L331" s="4"/>
      <c r="M331" s="4"/>
      <c r="N331" s="4"/>
    </row>
    <row r="332" spans="1:14" x14ac:dyDescent="0.15">
      <c r="A332" s="8" t="s">
        <v>383</v>
      </c>
      <c r="B332" s="8" t="s">
        <v>1129</v>
      </c>
      <c r="C332" s="8" t="s">
        <v>103</v>
      </c>
      <c r="D332" s="8" t="s">
        <v>104</v>
      </c>
      <c r="E332" s="8" t="s">
        <v>160</v>
      </c>
      <c r="F332" s="8" t="s">
        <v>161</v>
      </c>
      <c r="G332" s="6">
        <v>42947</v>
      </c>
      <c r="H332" s="6">
        <v>42947</v>
      </c>
      <c r="I332" s="4">
        <v>-47</v>
      </c>
      <c r="J332" s="8" t="s">
        <v>37</v>
      </c>
      <c r="K332" s="8" t="s">
        <v>1130</v>
      </c>
      <c r="L332" s="4"/>
      <c r="M332" s="4"/>
      <c r="N332" s="4"/>
    </row>
    <row r="333" spans="1:14" x14ac:dyDescent="0.15">
      <c r="A333" s="8" t="s">
        <v>383</v>
      </c>
      <c r="B333" s="8" t="s">
        <v>1129</v>
      </c>
      <c r="C333" s="8" t="s">
        <v>103</v>
      </c>
      <c r="D333" s="8" t="s">
        <v>104</v>
      </c>
      <c r="E333" s="8" t="s">
        <v>160</v>
      </c>
      <c r="F333" s="8" t="s">
        <v>161</v>
      </c>
      <c r="G333" s="6">
        <v>42947</v>
      </c>
      <c r="H333" s="6">
        <v>42947</v>
      </c>
      <c r="I333" s="4">
        <v>-37</v>
      </c>
      <c r="J333" s="8" t="s">
        <v>37</v>
      </c>
      <c r="K333" s="8" t="s">
        <v>1131</v>
      </c>
      <c r="L333" s="4"/>
      <c r="M333" s="4"/>
      <c r="N333" s="4"/>
    </row>
    <row r="334" spans="1:14" x14ac:dyDescent="0.15">
      <c r="A334" s="8" t="s">
        <v>383</v>
      </c>
      <c r="B334" s="8" t="s">
        <v>1129</v>
      </c>
      <c r="C334" s="8" t="s">
        <v>103</v>
      </c>
      <c r="D334" s="8" t="s">
        <v>104</v>
      </c>
      <c r="E334" s="8" t="s">
        <v>160</v>
      </c>
      <c r="F334" s="8" t="s">
        <v>161</v>
      </c>
      <c r="G334" s="6">
        <v>42947</v>
      </c>
      <c r="H334" s="6">
        <v>42947</v>
      </c>
      <c r="I334" s="4">
        <v>-52</v>
      </c>
      <c r="J334" s="8" t="s">
        <v>37</v>
      </c>
      <c r="K334" s="8" t="s">
        <v>1132</v>
      </c>
      <c r="L334" s="4"/>
      <c r="M334" s="4"/>
      <c r="N334" s="4"/>
    </row>
    <row r="335" spans="1:14" x14ac:dyDescent="0.15">
      <c r="A335" s="8" t="s">
        <v>383</v>
      </c>
      <c r="B335" s="8" t="s">
        <v>1129</v>
      </c>
      <c r="C335" s="8" t="s">
        <v>103</v>
      </c>
      <c r="D335" s="8" t="s">
        <v>104</v>
      </c>
      <c r="E335" s="8" t="s">
        <v>160</v>
      </c>
      <c r="F335" s="8" t="s">
        <v>161</v>
      </c>
      <c r="G335" s="6">
        <v>42947</v>
      </c>
      <c r="H335" s="6">
        <v>42947</v>
      </c>
      <c r="I335" s="4">
        <v>-6</v>
      </c>
      <c r="J335" s="8" t="s">
        <v>37</v>
      </c>
      <c r="K335" s="8" t="s">
        <v>1133</v>
      </c>
      <c r="L335" s="4"/>
      <c r="M335" s="4"/>
      <c r="N335" s="4"/>
    </row>
    <row r="336" spans="1:14" ht="27" x14ac:dyDescent="0.15">
      <c r="A336" s="8" t="s">
        <v>383</v>
      </c>
      <c r="B336" s="8" t="s">
        <v>1134</v>
      </c>
      <c r="C336" s="8" t="s">
        <v>196</v>
      </c>
      <c r="D336" s="11" t="s">
        <v>282</v>
      </c>
      <c r="E336" s="8" t="s">
        <v>160</v>
      </c>
      <c r="F336" s="8" t="s">
        <v>161</v>
      </c>
      <c r="G336" s="6">
        <v>42947</v>
      </c>
      <c r="H336" s="6">
        <v>42947</v>
      </c>
      <c r="I336" s="4">
        <v>-80</v>
      </c>
      <c r="J336" s="8" t="s">
        <v>37</v>
      </c>
      <c r="K336" s="8" t="s">
        <v>1135</v>
      </c>
      <c r="L336" s="4"/>
      <c r="M336" s="4"/>
      <c r="N336" s="4"/>
    </row>
    <row r="337" spans="1:14" x14ac:dyDescent="0.15">
      <c r="A337" s="8" t="s">
        <v>383</v>
      </c>
      <c r="B337" s="8" t="s">
        <v>1136</v>
      </c>
      <c r="C337" s="8" t="s">
        <v>73</v>
      </c>
      <c r="D337" s="8" t="s">
        <v>125</v>
      </c>
      <c r="E337" s="8" t="s">
        <v>160</v>
      </c>
      <c r="F337" s="8" t="s">
        <v>161</v>
      </c>
      <c r="G337" s="6">
        <v>42947</v>
      </c>
      <c r="H337" s="6">
        <v>42947</v>
      </c>
      <c r="I337" s="4">
        <v>-1.2</v>
      </c>
      <c r="J337" s="8" t="s">
        <v>38</v>
      </c>
      <c r="K337" s="8" t="s">
        <v>1137</v>
      </c>
      <c r="L337" s="4"/>
      <c r="M337" s="4"/>
      <c r="N337" s="4"/>
    </row>
    <row r="338" spans="1:14" x14ac:dyDescent="0.15">
      <c r="A338" s="8" t="s">
        <v>383</v>
      </c>
      <c r="B338" s="8" t="s">
        <v>1136</v>
      </c>
      <c r="C338" s="8" t="s">
        <v>68</v>
      </c>
      <c r="D338" s="8" t="s">
        <v>166</v>
      </c>
      <c r="E338" s="8" t="s">
        <v>160</v>
      </c>
      <c r="F338" s="8" t="s">
        <v>161</v>
      </c>
      <c r="G338" s="6">
        <v>42947</v>
      </c>
      <c r="H338" s="6">
        <v>42947</v>
      </c>
      <c r="I338" s="4">
        <v>-1</v>
      </c>
      <c r="J338" s="8" t="s">
        <v>37</v>
      </c>
      <c r="K338" s="8" t="s">
        <v>1138</v>
      </c>
      <c r="L338" s="4"/>
      <c r="M338" s="4"/>
      <c r="N338" s="4"/>
    </row>
    <row r="339" spans="1:14" x14ac:dyDescent="0.15">
      <c r="A339" s="8" t="s">
        <v>383</v>
      </c>
      <c r="B339" s="8" t="s">
        <v>1139</v>
      </c>
      <c r="C339" s="8" t="s">
        <v>67</v>
      </c>
      <c r="D339" s="8" t="s">
        <v>162</v>
      </c>
      <c r="E339" s="8" t="s">
        <v>160</v>
      </c>
      <c r="F339" s="8" t="s">
        <v>161</v>
      </c>
      <c r="G339" s="6">
        <v>42947</v>
      </c>
      <c r="H339" s="6">
        <v>42947</v>
      </c>
      <c r="I339" s="4">
        <v>-2</v>
      </c>
      <c r="J339" s="8" t="s">
        <v>37</v>
      </c>
      <c r="K339" s="8" t="s">
        <v>1140</v>
      </c>
      <c r="L339" s="4"/>
      <c r="M339" s="4"/>
      <c r="N339" s="4"/>
    </row>
    <row r="340" spans="1:14" x14ac:dyDescent="0.15">
      <c r="A340" s="8" t="s">
        <v>383</v>
      </c>
      <c r="B340" s="8" t="s">
        <v>1141</v>
      </c>
      <c r="C340" s="8" t="s">
        <v>22</v>
      </c>
      <c r="D340" s="8" t="s">
        <v>188</v>
      </c>
      <c r="E340" s="8" t="s">
        <v>160</v>
      </c>
      <c r="F340" s="8" t="s">
        <v>161</v>
      </c>
      <c r="G340" s="6">
        <v>42948</v>
      </c>
      <c r="H340" s="6">
        <v>42948</v>
      </c>
      <c r="I340" s="4">
        <v>1</v>
      </c>
      <c r="J340" s="8" t="s">
        <v>37</v>
      </c>
      <c r="K340" s="8" t="s">
        <v>1142</v>
      </c>
      <c r="L340" s="4"/>
      <c r="M340" s="4"/>
      <c r="N340" s="4"/>
    </row>
    <row r="341" spans="1:14" x14ac:dyDescent="0.15">
      <c r="A341" s="8" t="s">
        <v>383</v>
      </c>
      <c r="B341" s="8" t="s">
        <v>1141</v>
      </c>
      <c r="C341" s="8" t="s">
        <v>15</v>
      </c>
      <c r="D341" s="8" t="s">
        <v>32</v>
      </c>
      <c r="E341" s="8" t="s">
        <v>160</v>
      </c>
      <c r="F341" s="8" t="s">
        <v>161</v>
      </c>
      <c r="G341" s="6">
        <v>42948</v>
      </c>
      <c r="H341" s="6">
        <v>42948</v>
      </c>
      <c r="I341" s="4">
        <v>97</v>
      </c>
      <c r="J341" s="8" t="s">
        <v>38</v>
      </c>
      <c r="K341" s="8" t="s">
        <v>1143</v>
      </c>
      <c r="L341" s="4"/>
      <c r="M341" s="4"/>
      <c r="N341" s="4"/>
    </row>
    <row r="342" spans="1:14" x14ac:dyDescent="0.15">
      <c r="A342" s="8" t="s">
        <v>383</v>
      </c>
      <c r="B342" s="8" t="s">
        <v>1141</v>
      </c>
      <c r="C342" s="8" t="s">
        <v>27</v>
      </c>
      <c r="D342" s="8" t="s">
        <v>32</v>
      </c>
      <c r="E342" s="8" t="s">
        <v>160</v>
      </c>
      <c r="F342" s="8" t="s">
        <v>161</v>
      </c>
      <c r="G342" s="6">
        <v>42948</v>
      </c>
      <c r="H342" s="6">
        <v>42948</v>
      </c>
      <c r="I342" s="4">
        <v>225</v>
      </c>
      <c r="J342" s="8" t="s">
        <v>38</v>
      </c>
      <c r="K342" s="8" t="s">
        <v>1144</v>
      </c>
      <c r="L342" s="4"/>
      <c r="M342" s="4"/>
      <c r="N342" s="4"/>
    </row>
    <row r="343" spans="1:14" x14ac:dyDescent="0.15">
      <c r="A343" s="8" t="s">
        <v>383</v>
      </c>
      <c r="B343" s="8" t="s">
        <v>1145</v>
      </c>
      <c r="C343" s="8" t="s">
        <v>366</v>
      </c>
      <c r="D343" s="8" t="s">
        <v>367</v>
      </c>
      <c r="E343" s="8" t="s">
        <v>160</v>
      </c>
      <c r="F343" s="8" t="s">
        <v>161</v>
      </c>
      <c r="G343" s="6">
        <v>42961</v>
      </c>
      <c r="H343" s="6">
        <v>42961</v>
      </c>
      <c r="I343" s="4">
        <v>-200</v>
      </c>
      <c r="J343" s="8" t="s">
        <v>37</v>
      </c>
      <c r="K343" s="8" t="s">
        <v>1146</v>
      </c>
      <c r="L343" s="4"/>
      <c r="M343" s="4"/>
      <c r="N343" s="4"/>
    </row>
    <row r="344" spans="1:14" x14ac:dyDescent="0.15">
      <c r="A344" s="8" t="s">
        <v>383</v>
      </c>
      <c r="B344" s="8" t="s">
        <v>1147</v>
      </c>
      <c r="C344" s="8" t="s">
        <v>29</v>
      </c>
      <c r="D344" s="8" t="s">
        <v>33</v>
      </c>
      <c r="E344" s="8" t="s">
        <v>160</v>
      </c>
      <c r="F344" s="8" t="s">
        <v>161</v>
      </c>
      <c r="G344" s="6">
        <v>42954</v>
      </c>
      <c r="H344" s="6">
        <v>42963</v>
      </c>
      <c r="I344" s="4">
        <v>-87</v>
      </c>
      <c r="J344" s="8" t="s">
        <v>39</v>
      </c>
      <c r="K344" s="8" t="s">
        <v>1148</v>
      </c>
      <c r="L344" s="4"/>
      <c r="M344" s="4"/>
      <c r="N344" s="4"/>
    </row>
    <row r="345" spans="1:14" x14ac:dyDescent="0.15">
      <c r="A345" s="8" t="s">
        <v>383</v>
      </c>
      <c r="B345" s="8" t="s">
        <v>1147</v>
      </c>
      <c r="C345" s="8" t="s">
        <v>123</v>
      </c>
      <c r="D345" s="8" t="s">
        <v>124</v>
      </c>
      <c r="E345" s="8" t="s">
        <v>160</v>
      </c>
      <c r="F345" s="8" t="s">
        <v>161</v>
      </c>
      <c r="G345" s="6">
        <v>42954</v>
      </c>
      <c r="H345" s="6">
        <v>42963</v>
      </c>
      <c r="I345" s="4">
        <v>-77</v>
      </c>
      <c r="J345" s="8" t="s">
        <v>39</v>
      </c>
      <c r="K345" s="8" t="s">
        <v>1149</v>
      </c>
      <c r="L345" s="4"/>
      <c r="M345" s="4"/>
      <c r="N345" s="4"/>
    </row>
    <row r="346" spans="1:14" x14ac:dyDescent="0.15">
      <c r="A346" s="8" t="s">
        <v>383</v>
      </c>
      <c r="B346" s="8" t="s">
        <v>1147</v>
      </c>
      <c r="C346" s="8" t="s">
        <v>67</v>
      </c>
      <c r="D346" s="8" t="s">
        <v>162</v>
      </c>
      <c r="E346" s="8" t="s">
        <v>160</v>
      </c>
      <c r="F346" s="8" t="s">
        <v>161</v>
      </c>
      <c r="G346" s="6">
        <v>42954</v>
      </c>
      <c r="H346" s="6">
        <v>42963</v>
      </c>
      <c r="I346" s="4">
        <v>-9</v>
      </c>
      <c r="J346" s="8" t="s">
        <v>37</v>
      </c>
      <c r="K346" s="8" t="s">
        <v>1150</v>
      </c>
      <c r="L346" s="4"/>
      <c r="M346" s="4"/>
      <c r="N346" s="4"/>
    </row>
    <row r="347" spans="1:14" x14ac:dyDescent="0.15">
      <c r="A347" s="8" t="s">
        <v>383</v>
      </c>
      <c r="B347" s="8" t="s">
        <v>1151</v>
      </c>
      <c r="C347" s="8" t="s">
        <v>29</v>
      </c>
      <c r="D347" s="8" t="s">
        <v>33</v>
      </c>
      <c r="E347" s="8" t="s">
        <v>160</v>
      </c>
      <c r="F347" s="8" t="s">
        <v>161</v>
      </c>
      <c r="G347" s="6">
        <v>42963</v>
      </c>
      <c r="H347" s="6">
        <v>42963</v>
      </c>
      <c r="I347" s="4">
        <v>-17</v>
      </c>
      <c r="J347" s="8" t="s">
        <v>39</v>
      </c>
      <c r="K347" s="8" t="s">
        <v>1152</v>
      </c>
      <c r="L347" s="4"/>
      <c r="M347" s="4"/>
      <c r="N347" s="4"/>
    </row>
    <row r="348" spans="1:14" x14ac:dyDescent="0.15">
      <c r="A348" s="8" t="s">
        <v>383</v>
      </c>
      <c r="B348" s="8" t="s">
        <v>1151</v>
      </c>
      <c r="C348" s="8" t="s">
        <v>76</v>
      </c>
      <c r="D348" s="8" t="s">
        <v>110</v>
      </c>
      <c r="E348" s="8" t="s">
        <v>160</v>
      </c>
      <c r="F348" s="8" t="s">
        <v>161</v>
      </c>
      <c r="G348" s="6">
        <v>42963</v>
      </c>
      <c r="H348" s="6">
        <v>42963</v>
      </c>
      <c r="I348" s="4">
        <v>-17</v>
      </c>
      <c r="J348" s="8" t="s">
        <v>39</v>
      </c>
      <c r="K348" s="8" t="s">
        <v>1153</v>
      </c>
      <c r="L348" s="4"/>
      <c r="M348" s="4"/>
      <c r="N348" s="4"/>
    </row>
    <row r="349" spans="1:14" x14ac:dyDescent="0.15">
      <c r="A349" s="8" t="s">
        <v>383</v>
      </c>
      <c r="B349" s="8" t="s">
        <v>1154</v>
      </c>
      <c r="C349" s="8" t="s">
        <v>73</v>
      </c>
      <c r="D349" s="8" t="s">
        <v>125</v>
      </c>
      <c r="E349" s="8" t="s">
        <v>160</v>
      </c>
      <c r="F349" s="8" t="s">
        <v>161</v>
      </c>
      <c r="G349" s="6">
        <v>42963</v>
      </c>
      <c r="H349" s="6">
        <v>42963</v>
      </c>
      <c r="I349" s="4">
        <v>-30</v>
      </c>
      <c r="J349" s="8" t="s">
        <v>38</v>
      </c>
      <c r="K349" s="8" t="s">
        <v>1155</v>
      </c>
      <c r="L349" s="4"/>
      <c r="M349" s="4"/>
      <c r="N349" s="4"/>
    </row>
    <row r="350" spans="1:14" x14ac:dyDescent="0.15">
      <c r="A350" s="8" t="s">
        <v>383</v>
      </c>
      <c r="B350" s="8" t="s">
        <v>1154</v>
      </c>
      <c r="C350" s="8" t="s">
        <v>68</v>
      </c>
      <c r="D350" s="8" t="s">
        <v>166</v>
      </c>
      <c r="E350" s="8" t="s">
        <v>160</v>
      </c>
      <c r="F350" s="8" t="s">
        <v>161</v>
      </c>
      <c r="G350" s="6">
        <v>42963</v>
      </c>
      <c r="H350" s="6">
        <v>42963</v>
      </c>
      <c r="I350" s="4">
        <v>-5</v>
      </c>
      <c r="J350" s="8" t="s">
        <v>37</v>
      </c>
      <c r="K350" s="8" t="s">
        <v>1156</v>
      </c>
      <c r="L350" s="4"/>
      <c r="M350" s="4"/>
      <c r="N350" s="4"/>
    </row>
    <row r="351" spans="1:14" x14ac:dyDescent="0.15">
      <c r="A351" s="8" t="s">
        <v>383</v>
      </c>
      <c r="B351" s="8" t="s">
        <v>1157</v>
      </c>
      <c r="C351" s="8" t="s">
        <v>205</v>
      </c>
      <c r="D351" s="8" t="s">
        <v>205</v>
      </c>
      <c r="E351" s="8" t="s">
        <v>160</v>
      </c>
      <c r="F351" s="8" t="s">
        <v>161</v>
      </c>
      <c r="G351" s="6">
        <v>42972</v>
      </c>
      <c r="H351" s="6">
        <v>42972</v>
      </c>
      <c r="I351" s="4">
        <v>-1</v>
      </c>
      <c r="J351" s="8" t="s">
        <v>37</v>
      </c>
      <c r="K351" s="8" t="s">
        <v>1158</v>
      </c>
      <c r="L351" s="4"/>
      <c r="M351" s="4"/>
      <c r="N351" s="4"/>
    </row>
    <row r="352" spans="1:14" x14ac:dyDescent="0.15">
      <c r="A352" s="8" t="s">
        <v>383</v>
      </c>
      <c r="B352" s="8" t="s">
        <v>1159</v>
      </c>
      <c r="C352" s="8" t="s">
        <v>103</v>
      </c>
      <c r="D352" s="8" t="s">
        <v>104</v>
      </c>
      <c r="E352" s="8" t="s">
        <v>160</v>
      </c>
      <c r="F352" s="8" t="s">
        <v>161</v>
      </c>
      <c r="G352" s="6">
        <v>42964</v>
      </c>
      <c r="H352" s="6">
        <v>42964</v>
      </c>
      <c r="I352" s="4">
        <v>-1</v>
      </c>
      <c r="J352" s="8" t="s">
        <v>37</v>
      </c>
      <c r="K352" s="8" t="s">
        <v>1160</v>
      </c>
      <c r="L352" s="4"/>
      <c r="M352" s="4"/>
      <c r="N352" s="4"/>
    </row>
    <row r="353" spans="1:14" x14ac:dyDescent="0.15">
      <c r="A353" s="8" t="s">
        <v>383</v>
      </c>
      <c r="B353" s="8" t="s">
        <v>1161</v>
      </c>
      <c r="C353" s="8" t="s">
        <v>300</v>
      </c>
      <c r="D353" s="8" t="s">
        <v>300</v>
      </c>
      <c r="E353" s="8" t="s">
        <v>160</v>
      </c>
      <c r="F353" s="8" t="s">
        <v>161</v>
      </c>
      <c r="G353" s="6">
        <v>42965</v>
      </c>
      <c r="H353" s="6">
        <v>42965</v>
      </c>
      <c r="I353" s="4">
        <v>-1</v>
      </c>
      <c r="J353" s="8" t="s">
        <v>37</v>
      </c>
      <c r="K353" s="8" t="s">
        <v>1162</v>
      </c>
      <c r="L353" s="4"/>
      <c r="M353" s="4"/>
      <c r="N353" s="4"/>
    </row>
    <row r="354" spans="1:14" x14ac:dyDescent="0.15">
      <c r="A354" s="8" t="s">
        <v>383</v>
      </c>
      <c r="B354" s="8" t="s">
        <v>1161</v>
      </c>
      <c r="C354" s="8" t="s">
        <v>19</v>
      </c>
      <c r="D354" s="8" t="s">
        <v>35</v>
      </c>
      <c r="E354" s="8" t="s">
        <v>160</v>
      </c>
      <c r="F354" s="8" t="s">
        <v>161</v>
      </c>
      <c r="G354" s="6">
        <v>42965</v>
      </c>
      <c r="H354" s="6">
        <v>42965</v>
      </c>
      <c r="I354" s="4">
        <v>-1</v>
      </c>
      <c r="J354" s="8" t="s">
        <v>37</v>
      </c>
      <c r="K354" s="8" t="s">
        <v>1163</v>
      </c>
      <c r="L354" s="4"/>
      <c r="M354" s="4"/>
      <c r="N354" s="4"/>
    </row>
    <row r="355" spans="1:14" x14ac:dyDescent="0.15">
      <c r="A355" s="8" t="s">
        <v>383</v>
      </c>
      <c r="B355" s="8" t="s">
        <v>1164</v>
      </c>
      <c r="C355" s="8" t="s">
        <v>142</v>
      </c>
      <c r="D355" s="8" t="s">
        <v>206</v>
      </c>
      <c r="E355" s="8" t="s">
        <v>160</v>
      </c>
      <c r="F355" s="8" t="s">
        <v>161</v>
      </c>
      <c r="G355" s="6">
        <v>42965</v>
      </c>
      <c r="H355" s="6">
        <v>42965</v>
      </c>
      <c r="I355" s="4">
        <v>330</v>
      </c>
      <c r="J355" s="8" t="s">
        <v>38</v>
      </c>
      <c r="K355" s="8" t="s">
        <v>1165</v>
      </c>
      <c r="L355" s="4"/>
      <c r="M355" s="4"/>
      <c r="N355" s="4"/>
    </row>
    <row r="356" spans="1:14" x14ac:dyDescent="0.15">
      <c r="A356" s="8" t="s">
        <v>383</v>
      </c>
      <c r="B356" s="8" t="s">
        <v>1164</v>
      </c>
      <c r="C356" s="8" t="s">
        <v>67</v>
      </c>
      <c r="D356" s="8" t="s">
        <v>162</v>
      </c>
      <c r="E356" s="8" t="s">
        <v>160</v>
      </c>
      <c r="F356" s="8" t="s">
        <v>161</v>
      </c>
      <c r="G356" s="6">
        <v>42965</v>
      </c>
      <c r="H356" s="6">
        <v>42965</v>
      </c>
      <c r="I356" s="4">
        <v>20</v>
      </c>
      <c r="J356" s="8" t="s">
        <v>37</v>
      </c>
      <c r="K356" s="8" t="s">
        <v>1166</v>
      </c>
      <c r="L356" s="4"/>
      <c r="M356" s="4"/>
      <c r="N356" s="4"/>
    </row>
    <row r="357" spans="1:14" x14ac:dyDescent="0.15">
      <c r="A357" s="8" t="s">
        <v>383</v>
      </c>
      <c r="B357" s="8" t="s">
        <v>1164</v>
      </c>
      <c r="C357" s="8" t="s">
        <v>314</v>
      </c>
      <c r="D357" s="8" t="s">
        <v>314</v>
      </c>
      <c r="E357" s="8" t="s">
        <v>160</v>
      </c>
      <c r="F357" s="8" t="s">
        <v>161</v>
      </c>
      <c r="G357" s="6">
        <v>42965</v>
      </c>
      <c r="H357" s="6">
        <v>42965</v>
      </c>
      <c r="I357" s="4">
        <v>1</v>
      </c>
      <c r="J357" s="8" t="s">
        <v>37</v>
      </c>
      <c r="K357" s="8" t="s">
        <v>1167</v>
      </c>
      <c r="L357" s="4"/>
      <c r="M357" s="4"/>
      <c r="N357" s="4"/>
    </row>
    <row r="358" spans="1:14" x14ac:dyDescent="0.15">
      <c r="A358" s="8" t="s">
        <v>383</v>
      </c>
      <c r="B358" s="8" t="s">
        <v>1168</v>
      </c>
      <c r="C358" s="8" t="s">
        <v>101</v>
      </c>
      <c r="D358" s="8" t="s">
        <v>102</v>
      </c>
      <c r="E358" s="8" t="s">
        <v>160</v>
      </c>
      <c r="F358" s="8" t="s">
        <v>161</v>
      </c>
      <c r="G358" s="6">
        <v>42968</v>
      </c>
      <c r="H358" s="6">
        <v>42970</v>
      </c>
      <c r="I358" s="4">
        <v>-100</v>
      </c>
      <c r="J358" s="8" t="s">
        <v>39</v>
      </c>
      <c r="K358" s="8" t="s">
        <v>1169</v>
      </c>
      <c r="L358" s="4"/>
      <c r="M358" s="4"/>
      <c r="N358" s="4"/>
    </row>
    <row r="359" spans="1:14" x14ac:dyDescent="0.15">
      <c r="A359" s="8" t="s">
        <v>383</v>
      </c>
      <c r="B359" s="8" t="s">
        <v>1168</v>
      </c>
      <c r="C359" s="8" t="s">
        <v>67</v>
      </c>
      <c r="D359" s="8" t="s">
        <v>162</v>
      </c>
      <c r="E359" s="8" t="s">
        <v>160</v>
      </c>
      <c r="F359" s="8" t="s">
        <v>161</v>
      </c>
      <c r="G359" s="6">
        <v>42968</v>
      </c>
      <c r="H359" s="6">
        <v>42970</v>
      </c>
      <c r="I359" s="4">
        <v>-2</v>
      </c>
      <c r="J359" s="8" t="s">
        <v>37</v>
      </c>
      <c r="K359" s="8" t="s">
        <v>1170</v>
      </c>
      <c r="L359" s="4"/>
      <c r="M359" s="4"/>
      <c r="N359" s="4"/>
    </row>
    <row r="360" spans="1:14" x14ac:dyDescent="0.15">
      <c r="A360" s="8" t="s">
        <v>383</v>
      </c>
      <c r="B360" s="8" t="s">
        <v>1171</v>
      </c>
      <c r="C360" s="8" t="s">
        <v>54</v>
      </c>
      <c r="D360" s="8" t="s">
        <v>169</v>
      </c>
      <c r="E360" s="8" t="s">
        <v>160</v>
      </c>
      <c r="F360" s="8" t="s">
        <v>161</v>
      </c>
      <c r="G360" s="6">
        <v>42969</v>
      </c>
      <c r="H360" s="6">
        <v>42978</v>
      </c>
      <c r="I360" s="4">
        <v>-4.8</v>
      </c>
      <c r="J360" s="8" t="s">
        <v>38</v>
      </c>
      <c r="K360" s="8" t="s">
        <v>1172</v>
      </c>
      <c r="L360" s="4"/>
      <c r="M360" s="4"/>
      <c r="N360" s="4"/>
    </row>
    <row r="361" spans="1:14" x14ac:dyDescent="0.15">
      <c r="A361" s="8" t="s">
        <v>383</v>
      </c>
      <c r="B361" s="8" t="s">
        <v>1171</v>
      </c>
      <c r="C361" s="8" t="s">
        <v>101</v>
      </c>
      <c r="D361" s="8" t="s">
        <v>102</v>
      </c>
      <c r="E361" s="8" t="s">
        <v>160</v>
      </c>
      <c r="F361" s="8" t="s">
        <v>161</v>
      </c>
      <c r="G361" s="6">
        <v>42969</v>
      </c>
      <c r="H361" s="6">
        <v>42978</v>
      </c>
      <c r="I361" s="4">
        <v>-80</v>
      </c>
      <c r="J361" s="8" t="s">
        <v>39</v>
      </c>
      <c r="K361" s="8" t="s">
        <v>1173</v>
      </c>
      <c r="L361" s="4"/>
      <c r="M361" s="4"/>
      <c r="N361" s="4"/>
    </row>
    <row r="362" spans="1:14" x14ac:dyDescent="0.15">
      <c r="A362" s="8" t="s">
        <v>383</v>
      </c>
      <c r="B362" s="8" t="s">
        <v>1171</v>
      </c>
      <c r="C362" s="8" t="s">
        <v>29</v>
      </c>
      <c r="D362" s="8" t="s">
        <v>33</v>
      </c>
      <c r="E362" s="8" t="s">
        <v>160</v>
      </c>
      <c r="F362" s="8" t="s">
        <v>161</v>
      </c>
      <c r="G362" s="6">
        <v>42969</v>
      </c>
      <c r="H362" s="6">
        <v>42978</v>
      </c>
      <c r="I362" s="4">
        <v>-213</v>
      </c>
      <c r="J362" s="8" t="s">
        <v>39</v>
      </c>
      <c r="K362" s="8" t="s">
        <v>1174</v>
      </c>
      <c r="L362" s="4"/>
      <c r="M362" s="4"/>
      <c r="N362" s="4"/>
    </row>
    <row r="363" spans="1:14" x14ac:dyDescent="0.15">
      <c r="A363" s="8" t="s">
        <v>383</v>
      </c>
      <c r="B363" s="8" t="s">
        <v>1171</v>
      </c>
      <c r="C363" s="8" t="s">
        <v>24</v>
      </c>
      <c r="D363" s="8" t="s">
        <v>34</v>
      </c>
      <c r="E363" s="8" t="s">
        <v>160</v>
      </c>
      <c r="F363" s="8" t="s">
        <v>161</v>
      </c>
      <c r="G363" s="6">
        <v>42969</v>
      </c>
      <c r="H363" s="6">
        <v>42978</v>
      </c>
      <c r="I363" s="4">
        <v>-84.4</v>
      </c>
      <c r="J363" s="8" t="s">
        <v>39</v>
      </c>
      <c r="K363" s="8" t="s">
        <v>1175</v>
      </c>
      <c r="L363" s="4"/>
      <c r="M363" s="4"/>
      <c r="N363" s="4"/>
    </row>
    <row r="364" spans="1:14" x14ac:dyDescent="0.15">
      <c r="A364" s="8" t="s">
        <v>383</v>
      </c>
      <c r="B364" s="8" t="s">
        <v>1176</v>
      </c>
      <c r="C364" s="8" t="s">
        <v>117</v>
      </c>
      <c r="D364" s="8" t="s">
        <v>118</v>
      </c>
      <c r="E364" s="8" t="s">
        <v>160</v>
      </c>
      <c r="F364" s="8" t="s">
        <v>161</v>
      </c>
      <c r="G364" s="6">
        <v>42969</v>
      </c>
      <c r="H364" s="6">
        <v>42971</v>
      </c>
      <c r="I364" s="4">
        <v>-4</v>
      </c>
      <c r="J364" s="8" t="s">
        <v>37</v>
      </c>
      <c r="K364" s="8" t="s">
        <v>1177</v>
      </c>
      <c r="L364" s="4"/>
      <c r="M364" s="4"/>
      <c r="N364" s="4"/>
    </row>
    <row r="365" spans="1:14" x14ac:dyDescent="0.15">
      <c r="A365" s="8" t="s">
        <v>383</v>
      </c>
      <c r="B365" s="8" t="s">
        <v>1176</v>
      </c>
      <c r="C365" s="8" t="s">
        <v>117</v>
      </c>
      <c r="D365" s="8" t="s">
        <v>118</v>
      </c>
      <c r="E365" s="8" t="s">
        <v>160</v>
      </c>
      <c r="F365" s="8" t="s">
        <v>161</v>
      </c>
      <c r="G365" s="6">
        <v>42969</v>
      </c>
      <c r="H365" s="6">
        <v>42971</v>
      </c>
      <c r="I365" s="4">
        <v>-2</v>
      </c>
      <c r="J365" s="8" t="s">
        <v>37</v>
      </c>
      <c r="K365" s="8" t="s">
        <v>1178</v>
      </c>
      <c r="L365" s="4"/>
      <c r="M365" s="4"/>
      <c r="N365" s="4"/>
    </row>
    <row r="366" spans="1:14" x14ac:dyDescent="0.15">
      <c r="A366" s="8" t="s">
        <v>383</v>
      </c>
      <c r="B366" s="8" t="s">
        <v>1179</v>
      </c>
      <c r="C366" s="8" t="s">
        <v>67</v>
      </c>
      <c r="D366" s="8" t="s">
        <v>162</v>
      </c>
      <c r="E366" s="8" t="s">
        <v>160</v>
      </c>
      <c r="F366" s="8" t="s">
        <v>161</v>
      </c>
      <c r="G366" s="6">
        <v>42969</v>
      </c>
      <c r="H366" s="6">
        <v>42971</v>
      </c>
      <c r="I366" s="4">
        <v>-28</v>
      </c>
      <c r="J366" s="8" t="s">
        <v>37</v>
      </c>
      <c r="K366" s="8" t="s">
        <v>1180</v>
      </c>
      <c r="L366" s="4"/>
      <c r="M366" s="4"/>
      <c r="N366" s="4"/>
    </row>
    <row r="367" spans="1:14" x14ac:dyDescent="0.15">
      <c r="A367" s="8" t="s">
        <v>383</v>
      </c>
      <c r="B367" s="8" t="s">
        <v>1179</v>
      </c>
      <c r="C367" s="8" t="s">
        <v>68</v>
      </c>
      <c r="D367" s="8" t="s">
        <v>166</v>
      </c>
      <c r="E367" s="8" t="s">
        <v>160</v>
      </c>
      <c r="F367" s="8" t="s">
        <v>161</v>
      </c>
      <c r="G367" s="6">
        <v>42969</v>
      </c>
      <c r="H367" s="6">
        <v>42971</v>
      </c>
      <c r="I367" s="4">
        <v>-4</v>
      </c>
      <c r="J367" s="8" t="s">
        <v>37</v>
      </c>
      <c r="K367" s="8" t="s">
        <v>1181</v>
      </c>
      <c r="L367" s="4"/>
      <c r="M367" s="4"/>
      <c r="N367" s="4"/>
    </row>
    <row r="368" spans="1:14" x14ac:dyDescent="0.15">
      <c r="A368" s="8" t="s">
        <v>383</v>
      </c>
      <c r="B368" s="8" t="s">
        <v>1182</v>
      </c>
      <c r="C368" s="8" t="s">
        <v>57</v>
      </c>
      <c r="D368" s="8" t="s">
        <v>113</v>
      </c>
      <c r="E368" s="8" t="s">
        <v>160</v>
      </c>
      <c r="F368" s="8" t="s">
        <v>161</v>
      </c>
      <c r="G368" s="6">
        <v>42970</v>
      </c>
      <c r="H368" s="6">
        <v>42971</v>
      </c>
      <c r="I368" s="4">
        <v>-150</v>
      </c>
      <c r="J368" s="8" t="s">
        <v>39</v>
      </c>
      <c r="K368" s="8" t="s">
        <v>1183</v>
      </c>
      <c r="L368" s="4"/>
      <c r="M368" s="4"/>
      <c r="N368" s="4"/>
    </row>
    <row r="369" spans="1:14" x14ac:dyDescent="0.15">
      <c r="A369" s="8" t="s">
        <v>383</v>
      </c>
      <c r="B369" s="8" t="s">
        <v>1182</v>
      </c>
      <c r="C369" s="8" t="s">
        <v>59</v>
      </c>
      <c r="D369" s="8" t="s">
        <v>93</v>
      </c>
      <c r="E369" s="8" t="s">
        <v>160</v>
      </c>
      <c r="F369" s="8" t="s">
        <v>161</v>
      </c>
      <c r="G369" s="6">
        <v>42970</v>
      </c>
      <c r="H369" s="6">
        <v>42971</v>
      </c>
      <c r="I369" s="4">
        <v>-86</v>
      </c>
      <c r="J369" s="8" t="s">
        <v>39</v>
      </c>
      <c r="K369" s="8" t="s">
        <v>1184</v>
      </c>
      <c r="L369" s="4"/>
      <c r="M369" s="4"/>
      <c r="N369" s="4"/>
    </row>
    <row r="370" spans="1:14" x14ac:dyDescent="0.15">
      <c r="A370" s="8" t="s">
        <v>383</v>
      </c>
      <c r="B370" s="8" t="s">
        <v>1182</v>
      </c>
      <c r="C370" s="8" t="s">
        <v>67</v>
      </c>
      <c r="D370" s="8" t="s">
        <v>162</v>
      </c>
      <c r="E370" s="8" t="s">
        <v>160</v>
      </c>
      <c r="F370" s="8" t="s">
        <v>161</v>
      </c>
      <c r="G370" s="6">
        <v>42970</v>
      </c>
      <c r="H370" s="6">
        <v>42971</v>
      </c>
      <c r="I370" s="4">
        <v>-10</v>
      </c>
      <c r="J370" s="8" t="s">
        <v>37</v>
      </c>
      <c r="K370" s="8" t="s">
        <v>1185</v>
      </c>
      <c r="L370" s="4"/>
      <c r="M370" s="4"/>
      <c r="N370" s="4"/>
    </row>
    <row r="371" spans="1:14" x14ac:dyDescent="0.15">
      <c r="A371" s="8" t="s">
        <v>383</v>
      </c>
      <c r="B371" s="8" t="s">
        <v>1186</v>
      </c>
      <c r="C371" s="8" t="s">
        <v>58</v>
      </c>
      <c r="D371" s="8" t="s">
        <v>127</v>
      </c>
      <c r="E371" s="8" t="s">
        <v>160</v>
      </c>
      <c r="F371" s="8" t="s">
        <v>161</v>
      </c>
      <c r="G371" s="6">
        <v>42972</v>
      </c>
      <c r="H371" s="6">
        <v>42976</v>
      </c>
      <c r="I371" s="4">
        <v>-150</v>
      </c>
      <c r="J371" s="8" t="s">
        <v>39</v>
      </c>
      <c r="K371" s="8" t="s">
        <v>1187</v>
      </c>
      <c r="L371" s="4"/>
      <c r="M371" s="4"/>
      <c r="N371" s="4"/>
    </row>
    <row r="372" spans="1:14" x14ac:dyDescent="0.15">
      <c r="A372" s="8" t="s">
        <v>383</v>
      </c>
      <c r="B372" s="8" t="s">
        <v>1188</v>
      </c>
      <c r="C372" s="8" t="s">
        <v>103</v>
      </c>
      <c r="D372" s="8" t="s">
        <v>104</v>
      </c>
      <c r="E372" s="8" t="s">
        <v>160</v>
      </c>
      <c r="F372" s="8" t="s">
        <v>161</v>
      </c>
      <c r="G372" s="6">
        <v>42971</v>
      </c>
      <c r="H372" s="6">
        <v>42978</v>
      </c>
      <c r="I372" s="4">
        <v>-1</v>
      </c>
      <c r="J372" s="8" t="s">
        <v>37</v>
      </c>
      <c r="K372" s="8" t="s">
        <v>1189</v>
      </c>
      <c r="L372" s="4"/>
      <c r="M372" s="4"/>
      <c r="N372" s="4"/>
    </row>
    <row r="373" spans="1:14" x14ac:dyDescent="0.15">
      <c r="A373" s="8" t="s">
        <v>383</v>
      </c>
      <c r="B373" s="8" t="s">
        <v>1188</v>
      </c>
      <c r="C373" s="8" t="s">
        <v>103</v>
      </c>
      <c r="D373" s="8" t="s">
        <v>104</v>
      </c>
      <c r="E373" s="8" t="s">
        <v>160</v>
      </c>
      <c r="F373" s="8" t="s">
        <v>161</v>
      </c>
      <c r="G373" s="6">
        <v>42971</v>
      </c>
      <c r="H373" s="6">
        <v>42978</v>
      </c>
      <c r="I373" s="4">
        <v>-14</v>
      </c>
      <c r="J373" s="8" t="s">
        <v>37</v>
      </c>
      <c r="K373" s="8" t="s">
        <v>1190</v>
      </c>
      <c r="L373" s="4"/>
      <c r="M373" s="4"/>
      <c r="N373" s="4"/>
    </row>
    <row r="374" spans="1:14" x14ac:dyDescent="0.15">
      <c r="A374" s="8" t="s">
        <v>383</v>
      </c>
      <c r="B374" s="8" t="s">
        <v>1191</v>
      </c>
      <c r="C374" s="8" t="s">
        <v>25</v>
      </c>
      <c r="D374" s="8" t="s">
        <v>31</v>
      </c>
      <c r="E374" s="8" t="s">
        <v>160</v>
      </c>
      <c r="F374" s="8" t="s">
        <v>161</v>
      </c>
      <c r="G374" s="6">
        <v>42975</v>
      </c>
      <c r="H374" s="6">
        <v>42976</v>
      </c>
      <c r="I374" s="4">
        <v>-1.8</v>
      </c>
      <c r="J374" s="8" t="s">
        <v>38</v>
      </c>
      <c r="K374" s="8" t="s">
        <v>1192</v>
      </c>
      <c r="L374" s="4"/>
      <c r="M374" s="4"/>
      <c r="N374" s="4"/>
    </row>
    <row r="375" spans="1:14" x14ac:dyDescent="0.15">
      <c r="A375" s="8" t="s">
        <v>383</v>
      </c>
      <c r="B375" s="8" t="s">
        <v>1191</v>
      </c>
      <c r="C375" s="8" t="s">
        <v>68</v>
      </c>
      <c r="D375" s="8" t="s">
        <v>166</v>
      </c>
      <c r="E375" s="8" t="s">
        <v>160</v>
      </c>
      <c r="F375" s="8" t="s">
        <v>161</v>
      </c>
      <c r="G375" s="6">
        <v>42975</v>
      </c>
      <c r="H375" s="6">
        <v>42976</v>
      </c>
      <c r="I375" s="4">
        <v>-1</v>
      </c>
      <c r="J375" s="8" t="s">
        <v>37</v>
      </c>
      <c r="K375" s="8" t="s">
        <v>1193</v>
      </c>
      <c r="L375" s="4"/>
      <c r="M375" s="4"/>
      <c r="N375" s="4"/>
    </row>
    <row r="376" spans="1:14" x14ac:dyDescent="0.15">
      <c r="A376" s="8" t="s">
        <v>383</v>
      </c>
      <c r="B376" s="8" t="s">
        <v>1191</v>
      </c>
      <c r="C376" s="8" t="s">
        <v>19</v>
      </c>
      <c r="D376" s="8" t="s">
        <v>35</v>
      </c>
      <c r="E376" s="8" t="s">
        <v>160</v>
      </c>
      <c r="F376" s="8" t="s">
        <v>161</v>
      </c>
      <c r="G376" s="6">
        <v>42976</v>
      </c>
      <c r="H376" s="6">
        <v>42976</v>
      </c>
      <c r="I376" s="4">
        <v>-1</v>
      </c>
      <c r="J376" s="8" t="s">
        <v>37</v>
      </c>
      <c r="K376" s="8" t="s">
        <v>1194</v>
      </c>
      <c r="L376" s="4"/>
      <c r="M376" s="4"/>
      <c r="N376" s="4"/>
    </row>
    <row r="377" spans="1:14" x14ac:dyDescent="0.15">
      <c r="A377" s="8" t="s">
        <v>383</v>
      </c>
      <c r="B377" s="8" t="s">
        <v>1195</v>
      </c>
      <c r="C377" s="8" t="s">
        <v>123</v>
      </c>
      <c r="D377" s="8" t="s">
        <v>124</v>
      </c>
      <c r="E377" s="8" t="s">
        <v>160</v>
      </c>
      <c r="F377" s="8" t="s">
        <v>161</v>
      </c>
      <c r="G377" s="6">
        <v>42975</v>
      </c>
      <c r="H377" s="6">
        <v>42976</v>
      </c>
      <c r="I377" s="4">
        <v>-60</v>
      </c>
      <c r="J377" s="8" t="s">
        <v>39</v>
      </c>
      <c r="K377" s="8" t="s">
        <v>1196</v>
      </c>
      <c r="L377" s="4"/>
      <c r="M377" s="4"/>
      <c r="N377" s="4"/>
    </row>
    <row r="378" spans="1:14" x14ac:dyDescent="0.15">
      <c r="A378" s="8" t="s">
        <v>383</v>
      </c>
      <c r="B378" s="8" t="s">
        <v>1195</v>
      </c>
      <c r="C378" s="8" t="s">
        <v>67</v>
      </c>
      <c r="D378" s="8" t="s">
        <v>162</v>
      </c>
      <c r="E378" s="8" t="s">
        <v>160</v>
      </c>
      <c r="F378" s="8" t="s">
        <v>161</v>
      </c>
      <c r="G378" s="6">
        <v>42975</v>
      </c>
      <c r="H378" s="6">
        <v>42976</v>
      </c>
      <c r="I378" s="4">
        <v>-1</v>
      </c>
      <c r="J378" s="8" t="s">
        <v>37</v>
      </c>
      <c r="K378" s="8" t="s">
        <v>1197</v>
      </c>
      <c r="L378" s="4"/>
      <c r="M378" s="4"/>
      <c r="N378" s="4"/>
    </row>
    <row r="379" spans="1:14" x14ac:dyDescent="0.15">
      <c r="A379" s="8" t="s">
        <v>383</v>
      </c>
      <c r="B379" s="8" t="s">
        <v>1198</v>
      </c>
      <c r="C379" s="8" t="s">
        <v>99</v>
      </c>
      <c r="D379" s="8" t="s">
        <v>100</v>
      </c>
      <c r="E379" s="8" t="s">
        <v>160</v>
      </c>
      <c r="F379" s="8" t="s">
        <v>161</v>
      </c>
      <c r="G379" s="6">
        <v>42976</v>
      </c>
      <c r="H379" s="6">
        <v>42978</v>
      </c>
      <c r="I379" s="4">
        <v>-109</v>
      </c>
      <c r="J379" s="8" t="s">
        <v>39</v>
      </c>
      <c r="K379" s="8" t="s">
        <v>1199</v>
      </c>
      <c r="L379" s="4"/>
      <c r="M379" s="4"/>
      <c r="N379" s="4"/>
    </row>
    <row r="380" spans="1:14" x14ac:dyDescent="0.15">
      <c r="A380" s="8" t="s">
        <v>383</v>
      </c>
      <c r="B380" s="8" t="s">
        <v>1198</v>
      </c>
      <c r="C380" s="8" t="s">
        <v>67</v>
      </c>
      <c r="D380" s="8" t="s">
        <v>162</v>
      </c>
      <c r="E380" s="8" t="s">
        <v>160</v>
      </c>
      <c r="F380" s="8" t="s">
        <v>161</v>
      </c>
      <c r="G380" s="6">
        <v>42976</v>
      </c>
      <c r="H380" s="6">
        <v>42978</v>
      </c>
      <c r="I380" s="4">
        <v>-10</v>
      </c>
      <c r="J380" s="8" t="s">
        <v>37</v>
      </c>
      <c r="K380" s="8" t="s">
        <v>1200</v>
      </c>
      <c r="L380" s="4"/>
      <c r="M380" s="4"/>
      <c r="N380" s="4"/>
    </row>
    <row r="381" spans="1:14" x14ac:dyDescent="0.15">
      <c r="A381" s="8" t="s">
        <v>383</v>
      </c>
      <c r="B381" s="8" t="s">
        <v>1201</v>
      </c>
      <c r="C381" s="8" t="s">
        <v>205</v>
      </c>
      <c r="D381" s="8" t="s">
        <v>205</v>
      </c>
      <c r="E381" s="8" t="s">
        <v>160</v>
      </c>
      <c r="F381" s="8" t="s">
        <v>161</v>
      </c>
      <c r="G381" s="6">
        <v>42975</v>
      </c>
      <c r="H381" s="6">
        <v>42975</v>
      </c>
      <c r="I381" s="4">
        <v>-1</v>
      </c>
      <c r="J381" s="8" t="s">
        <v>37</v>
      </c>
      <c r="K381" s="8" t="s">
        <v>1202</v>
      </c>
      <c r="L381" s="4"/>
      <c r="M381" s="4"/>
      <c r="N381" s="4"/>
    </row>
    <row r="382" spans="1:14" x14ac:dyDescent="0.15">
      <c r="A382" s="8" t="s">
        <v>383</v>
      </c>
      <c r="B382" s="8" t="s">
        <v>1203</v>
      </c>
      <c r="C382" s="8" t="s">
        <v>205</v>
      </c>
      <c r="D382" s="8" t="s">
        <v>205</v>
      </c>
      <c r="E382" s="8" t="s">
        <v>160</v>
      </c>
      <c r="F382" s="8" t="s">
        <v>161</v>
      </c>
      <c r="G382" s="6">
        <v>42977</v>
      </c>
      <c r="H382" s="6">
        <v>42977</v>
      </c>
      <c r="I382" s="4">
        <v>1</v>
      </c>
      <c r="J382" s="8" t="s">
        <v>37</v>
      </c>
      <c r="K382" s="8" t="s">
        <v>1204</v>
      </c>
      <c r="L382" s="4"/>
      <c r="M382" s="4"/>
      <c r="N382" s="4"/>
    </row>
    <row r="383" spans="1:14" x14ac:dyDescent="0.15">
      <c r="A383" s="8" t="s">
        <v>383</v>
      </c>
      <c r="B383" s="8" t="s">
        <v>1205</v>
      </c>
      <c r="C383" s="8" t="s">
        <v>205</v>
      </c>
      <c r="D383" s="8" t="s">
        <v>205</v>
      </c>
      <c r="E383" s="8" t="s">
        <v>160</v>
      </c>
      <c r="F383" s="8" t="s">
        <v>161</v>
      </c>
      <c r="G383" s="6">
        <v>42977</v>
      </c>
      <c r="H383" s="6">
        <v>42977</v>
      </c>
      <c r="I383" s="4">
        <v>-1</v>
      </c>
      <c r="J383" s="8" t="s">
        <v>37</v>
      </c>
      <c r="K383" s="8" t="s">
        <v>1206</v>
      </c>
      <c r="L383" s="4"/>
      <c r="M383" s="4"/>
      <c r="N383" s="4"/>
    </row>
    <row r="384" spans="1:14" x14ac:dyDescent="0.15">
      <c r="A384" s="8" t="s">
        <v>383</v>
      </c>
      <c r="B384" s="8" t="s">
        <v>1207</v>
      </c>
      <c r="C384" s="8" t="s">
        <v>67</v>
      </c>
      <c r="D384" s="8" t="s">
        <v>162</v>
      </c>
      <c r="E384" s="8" t="s">
        <v>160</v>
      </c>
      <c r="F384" s="8" t="s">
        <v>161</v>
      </c>
      <c r="G384" s="6">
        <v>42977</v>
      </c>
      <c r="H384" s="6">
        <v>42978</v>
      </c>
      <c r="I384" s="4">
        <v>-6</v>
      </c>
      <c r="J384" s="8" t="s">
        <v>37</v>
      </c>
      <c r="K384" s="8" t="s">
        <v>1208</v>
      </c>
      <c r="L384" s="4"/>
      <c r="M384" s="4"/>
      <c r="N384" s="4"/>
    </row>
    <row r="385" spans="1:14" x14ac:dyDescent="0.15">
      <c r="A385" s="8" t="s">
        <v>383</v>
      </c>
      <c r="B385" s="8" t="s">
        <v>1209</v>
      </c>
      <c r="C385" s="8" t="s">
        <v>103</v>
      </c>
      <c r="D385" s="8" t="s">
        <v>104</v>
      </c>
      <c r="E385" s="8" t="s">
        <v>160</v>
      </c>
      <c r="F385" s="8" t="s">
        <v>161</v>
      </c>
      <c r="G385" s="6">
        <v>42981</v>
      </c>
      <c r="H385" s="6">
        <v>42985</v>
      </c>
      <c r="I385" s="4">
        <v>-12</v>
      </c>
      <c r="J385" s="8" t="s">
        <v>37</v>
      </c>
      <c r="K385" s="8" t="s">
        <v>1210</v>
      </c>
      <c r="L385" s="4"/>
      <c r="M385" s="4"/>
      <c r="N385" s="4"/>
    </row>
    <row r="386" spans="1:14" x14ac:dyDescent="0.15">
      <c r="A386" s="8" t="s">
        <v>383</v>
      </c>
      <c r="B386" s="8" t="s">
        <v>1209</v>
      </c>
      <c r="C386" s="8" t="s">
        <v>103</v>
      </c>
      <c r="D386" s="8" t="s">
        <v>104</v>
      </c>
      <c r="E386" s="8" t="s">
        <v>160</v>
      </c>
      <c r="F386" s="8" t="s">
        <v>161</v>
      </c>
      <c r="G386" s="6">
        <v>42981</v>
      </c>
      <c r="H386" s="6">
        <v>42985</v>
      </c>
      <c r="I386" s="4">
        <v>-8</v>
      </c>
      <c r="J386" s="8" t="s">
        <v>37</v>
      </c>
      <c r="K386" s="8" t="s">
        <v>1211</v>
      </c>
      <c r="L386" s="4"/>
      <c r="M386" s="4"/>
      <c r="N386" s="4"/>
    </row>
    <row r="387" spans="1:14" ht="27" x14ac:dyDescent="0.15">
      <c r="A387" s="8" t="s">
        <v>383</v>
      </c>
      <c r="B387" s="8" t="s">
        <v>1212</v>
      </c>
      <c r="C387" s="8" t="s">
        <v>136</v>
      </c>
      <c r="D387" s="11" t="s">
        <v>174</v>
      </c>
      <c r="E387" s="8" t="s">
        <v>160</v>
      </c>
      <c r="F387" s="8" t="s">
        <v>161</v>
      </c>
      <c r="G387" s="6">
        <v>42983</v>
      </c>
      <c r="H387" s="6">
        <v>42985</v>
      </c>
      <c r="I387" s="4">
        <v>-97.5</v>
      </c>
      <c r="J387" s="8" t="s">
        <v>38</v>
      </c>
      <c r="K387" s="8" t="s">
        <v>1213</v>
      </c>
      <c r="L387" s="4"/>
      <c r="M387" s="4"/>
      <c r="N387" s="4"/>
    </row>
    <row r="388" spans="1:14" x14ac:dyDescent="0.15">
      <c r="A388" s="8" t="s">
        <v>383</v>
      </c>
      <c r="B388" s="8" t="s">
        <v>1214</v>
      </c>
      <c r="C388" s="8" t="s">
        <v>57</v>
      </c>
      <c r="D388" s="8" t="s">
        <v>113</v>
      </c>
      <c r="E388" s="8" t="s">
        <v>160</v>
      </c>
      <c r="F388" s="8" t="s">
        <v>161</v>
      </c>
      <c r="G388" s="6">
        <v>42983</v>
      </c>
      <c r="H388" s="6">
        <v>42990</v>
      </c>
      <c r="I388" s="4">
        <v>-450</v>
      </c>
      <c r="J388" s="8" t="s">
        <v>39</v>
      </c>
      <c r="K388" s="8" t="s">
        <v>1215</v>
      </c>
      <c r="L388" s="4"/>
      <c r="M388" s="4"/>
      <c r="N388" s="4"/>
    </row>
    <row r="389" spans="1:14" x14ac:dyDescent="0.15">
      <c r="A389" s="8" t="s">
        <v>383</v>
      </c>
      <c r="B389" s="8" t="s">
        <v>1214</v>
      </c>
      <c r="C389" s="8" t="s">
        <v>59</v>
      </c>
      <c r="D389" s="8" t="s">
        <v>93</v>
      </c>
      <c r="E389" s="8" t="s">
        <v>160</v>
      </c>
      <c r="F389" s="8" t="s">
        <v>161</v>
      </c>
      <c r="G389" s="6">
        <v>42983</v>
      </c>
      <c r="H389" s="6">
        <v>42990</v>
      </c>
      <c r="I389" s="4">
        <v>-12</v>
      </c>
      <c r="J389" s="8" t="s">
        <v>39</v>
      </c>
      <c r="K389" s="8" t="s">
        <v>1216</v>
      </c>
      <c r="L389" s="4"/>
      <c r="M389" s="4"/>
      <c r="N389" s="4"/>
    </row>
    <row r="390" spans="1:14" x14ac:dyDescent="0.15">
      <c r="A390" s="8" t="s">
        <v>383</v>
      </c>
      <c r="B390" s="8" t="s">
        <v>1214</v>
      </c>
      <c r="C390" s="8" t="s">
        <v>59</v>
      </c>
      <c r="D390" s="8" t="s">
        <v>93</v>
      </c>
      <c r="E390" s="8" t="s">
        <v>160</v>
      </c>
      <c r="F390" s="8" t="s">
        <v>161</v>
      </c>
      <c r="G390" s="6">
        <v>42983</v>
      </c>
      <c r="H390" s="6">
        <v>42990</v>
      </c>
      <c r="I390" s="4">
        <v>-2</v>
      </c>
      <c r="J390" s="8" t="s">
        <v>39</v>
      </c>
      <c r="K390" s="8" t="s">
        <v>1217</v>
      </c>
      <c r="L390" s="4"/>
      <c r="M390" s="4"/>
      <c r="N390" s="4"/>
    </row>
    <row r="391" spans="1:14" x14ac:dyDescent="0.15">
      <c r="A391" s="8" t="s">
        <v>383</v>
      </c>
      <c r="B391" s="8" t="s">
        <v>1214</v>
      </c>
      <c r="C391" s="8" t="s">
        <v>67</v>
      </c>
      <c r="D391" s="8" t="s">
        <v>162</v>
      </c>
      <c r="E391" s="8" t="s">
        <v>160</v>
      </c>
      <c r="F391" s="8" t="s">
        <v>161</v>
      </c>
      <c r="G391" s="6">
        <v>42983</v>
      </c>
      <c r="H391" s="6">
        <v>42990</v>
      </c>
      <c r="I391" s="4">
        <v>-15</v>
      </c>
      <c r="J391" s="8" t="s">
        <v>37</v>
      </c>
      <c r="K391" s="8" t="s">
        <v>1218</v>
      </c>
      <c r="L391" s="4"/>
      <c r="M391" s="4"/>
      <c r="N391" s="4"/>
    </row>
    <row r="392" spans="1:14" x14ac:dyDescent="0.15">
      <c r="A392" s="8" t="s">
        <v>383</v>
      </c>
      <c r="B392" s="8" t="s">
        <v>1219</v>
      </c>
      <c r="C392" s="8" t="s">
        <v>29</v>
      </c>
      <c r="D392" s="8" t="s">
        <v>33</v>
      </c>
      <c r="E392" s="8" t="s">
        <v>160</v>
      </c>
      <c r="F392" s="8" t="s">
        <v>161</v>
      </c>
      <c r="G392" s="6">
        <v>42983</v>
      </c>
      <c r="H392" s="6">
        <v>42985</v>
      </c>
      <c r="I392" s="4">
        <v>-10</v>
      </c>
      <c r="J392" s="8" t="s">
        <v>39</v>
      </c>
      <c r="K392" s="8" t="s">
        <v>1220</v>
      </c>
      <c r="L392" s="4"/>
      <c r="M392" s="4"/>
      <c r="N392" s="4"/>
    </row>
    <row r="393" spans="1:14" x14ac:dyDescent="0.15">
      <c r="A393" s="8" t="s">
        <v>383</v>
      </c>
      <c r="B393" s="8" t="s">
        <v>1219</v>
      </c>
      <c r="C393" s="8" t="s">
        <v>19</v>
      </c>
      <c r="D393" s="8" t="s">
        <v>35</v>
      </c>
      <c r="E393" s="8" t="s">
        <v>160</v>
      </c>
      <c r="F393" s="8" t="s">
        <v>161</v>
      </c>
      <c r="G393" s="6">
        <v>42985</v>
      </c>
      <c r="H393" s="6">
        <v>42985</v>
      </c>
      <c r="I393" s="4">
        <v>-1</v>
      </c>
      <c r="J393" s="8" t="s">
        <v>37</v>
      </c>
      <c r="K393" s="8" t="s">
        <v>1221</v>
      </c>
      <c r="L393" s="4"/>
      <c r="M393" s="4"/>
      <c r="N393" s="4"/>
    </row>
    <row r="394" spans="1:14" x14ac:dyDescent="0.15">
      <c r="A394" s="8" t="s">
        <v>383</v>
      </c>
      <c r="B394" s="8" t="s">
        <v>1222</v>
      </c>
      <c r="C394" s="8" t="s">
        <v>67</v>
      </c>
      <c r="D394" s="8" t="s">
        <v>162</v>
      </c>
      <c r="E394" s="8" t="s">
        <v>160</v>
      </c>
      <c r="F394" s="8" t="s">
        <v>161</v>
      </c>
      <c r="G394" s="6">
        <v>42985</v>
      </c>
      <c r="H394" s="6">
        <v>42990</v>
      </c>
      <c r="I394" s="4">
        <v>-3</v>
      </c>
      <c r="J394" s="8" t="s">
        <v>37</v>
      </c>
      <c r="K394" s="8" t="s">
        <v>1223</v>
      </c>
      <c r="L394" s="4"/>
      <c r="M394" s="4"/>
      <c r="N394" s="4"/>
    </row>
    <row r="395" spans="1:14" x14ac:dyDescent="0.15">
      <c r="A395" s="8" t="s">
        <v>383</v>
      </c>
      <c r="B395" s="8" t="s">
        <v>1224</v>
      </c>
      <c r="C395" s="8" t="s">
        <v>63</v>
      </c>
      <c r="D395" s="8" t="s">
        <v>95</v>
      </c>
      <c r="E395" s="8" t="s">
        <v>160</v>
      </c>
      <c r="F395" s="8" t="s">
        <v>161</v>
      </c>
      <c r="G395" s="6">
        <v>42985</v>
      </c>
      <c r="H395" s="6">
        <v>42997</v>
      </c>
      <c r="I395" s="4">
        <v>-14</v>
      </c>
      <c r="J395" s="8" t="s">
        <v>39</v>
      </c>
      <c r="K395" s="8" t="s">
        <v>1225</v>
      </c>
      <c r="L395" s="4"/>
      <c r="M395" s="4"/>
      <c r="N395" s="4"/>
    </row>
    <row r="396" spans="1:14" x14ac:dyDescent="0.15">
      <c r="A396" s="8" t="s">
        <v>383</v>
      </c>
      <c r="B396" s="8" t="s">
        <v>1224</v>
      </c>
      <c r="C396" s="8" t="s">
        <v>19</v>
      </c>
      <c r="D396" s="8" t="s">
        <v>35</v>
      </c>
      <c r="E396" s="8" t="s">
        <v>160</v>
      </c>
      <c r="F396" s="8" t="s">
        <v>161</v>
      </c>
      <c r="G396" s="6">
        <v>42990</v>
      </c>
      <c r="H396" s="6">
        <v>42997</v>
      </c>
      <c r="I396" s="4">
        <v>-1</v>
      </c>
      <c r="J396" s="8" t="s">
        <v>37</v>
      </c>
      <c r="K396" s="8" t="s">
        <v>1226</v>
      </c>
      <c r="L396" s="4"/>
      <c r="M396" s="4"/>
      <c r="N396" s="4"/>
    </row>
    <row r="397" spans="1:14" x14ac:dyDescent="0.15">
      <c r="A397" s="8" t="s">
        <v>383</v>
      </c>
      <c r="B397" s="8" t="s">
        <v>1227</v>
      </c>
      <c r="C397" s="8" t="s">
        <v>54</v>
      </c>
      <c r="D397" s="8" t="s">
        <v>169</v>
      </c>
      <c r="E397" s="8" t="s">
        <v>160</v>
      </c>
      <c r="F397" s="8" t="s">
        <v>161</v>
      </c>
      <c r="G397" s="6">
        <v>42989</v>
      </c>
      <c r="H397" s="6">
        <v>42990</v>
      </c>
      <c r="I397" s="4">
        <v>-12.75</v>
      </c>
      <c r="J397" s="8" t="s">
        <v>38</v>
      </c>
      <c r="K397" s="8" t="s">
        <v>1228</v>
      </c>
      <c r="L397" s="4"/>
      <c r="M397" s="4"/>
      <c r="N397" s="4"/>
    </row>
    <row r="398" spans="1:14" x14ac:dyDescent="0.15">
      <c r="A398" s="8" t="s">
        <v>383</v>
      </c>
      <c r="B398" s="8" t="s">
        <v>1227</v>
      </c>
      <c r="C398" s="8" t="s">
        <v>56</v>
      </c>
      <c r="D398" s="8" t="s">
        <v>126</v>
      </c>
      <c r="E398" s="8" t="s">
        <v>160</v>
      </c>
      <c r="F398" s="8" t="s">
        <v>161</v>
      </c>
      <c r="G398" s="6">
        <v>42989</v>
      </c>
      <c r="H398" s="6">
        <v>42990</v>
      </c>
      <c r="I398" s="4">
        <v>-330</v>
      </c>
      <c r="J398" s="8" t="s">
        <v>39</v>
      </c>
      <c r="K398" s="8" t="s">
        <v>1229</v>
      </c>
      <c r="L398" s="4"/>
      <c r="M398" s="4"/>
      <c r="N398" s="4"/>
    </row>
    <row r="399" spans="1:14" x14ac:dyDescent="0.15">
      <c r="A399" s="8" t="s">
        <v>383</v>
      </c>
      <c r="B399" s="8" t="s">
        <v>1227</v>
      </c>
      <c r="C399" s="8" t="s">
        <v>56</v>
      </c>
      <c r="D399" s="8" t="s">
        <v>126</v>
      </c>
      <c r="E399" s="8" t="s">
        <v>160</v>
      </c>
      <c r="F399" s="8" t="s">
        <v>161</v>
      </c>
      <c r="G399" s="6">
        <v>42989</v>
      </c>
      <c r="H399" s="6">
        <v>42990</v>
      </c>
      <c r="I399" s="4">
        <v>-4.8</v>
      </c>
      <c r="J399" s="8" t="s">
        <v>39</v>
      </c>
      <c r="K399" s="8" t="s">
        <v>1230</v>
      </c>
      <c r="L399" s="4"/>
      <c r="M399" s="4"/>
      <c r="N399" s="4"/>
    </row>
    <row r="400" spans="1:14" x14ac:dyDescent="0.15">
      <c r="A400" s="8" t="s">
        <v>383</v>
      </c>
      <c r="B400" s="8" t="s">
        <v>1231</v>
      </c>
      <c r="C400" s="8" t="s">
        <v>101</v>
      </c>
      <c r="D400" s="8" t="s">
        <v>102</v>
      </c>
      <c r="E400" s="8" t="s">
        <v>160</v>
      </c>
      <c r="F400" s="8" t="s">
        <v>161</v>
      </c>
      <c r="G400" s="6">
        <v>42990</v>
      </c>
      <c r="H400" s="6">
        <v>42991</v>
      </c>
      <c r="I400" s="4">
        <v>-100</v>
      </c>
      <c r="J400" s="8" t="s">
        <v>39</v>
      </c>
      <c r="K400" s="8" t="s">
        <v>1232</v>
      </c>
      <c r="L400" s="4"/>
      <c r="M400" s="4"/>
      <c r="N400" s="4"/>
    </row>
    <row r="401" spans="1:14" x14ac:dyDescent="0.15">
      <c r="A401" s="8" t="s">
        <v>383</v>
      </c>
      <c r="B401" s="8" t="s">
        <v>1231</v>
      </c>
      <c r="C401" s="8" t="s">
        <v>67</v>
      </c>
      <c r="D401" s="8" t="s">
        <v>162</v>
      </c>
      <c r="E401" s="8" t="s">
        <v>160</v>
      </c>
      <c r="F401" s="8" t="s">
        <v>161</v>
      </c>
      <c r="G401" s="6">
        <v>42990</v>
      </c>
      <c r="H401" s="6">
        <v>42991</v>
      </c>
      <c r="I401" s="4">
        <v>-3</v>
      </c>
      <c r="J401" s="8" t="s">
        <v>37</v>
      </c>
      <c r="K401" s="8" t="s">
        <v>1233</v>
      </c>
      <c r="L401" s="4"/>
      <c r="M401" s="4"/>
      <c r="N401" s="4"/>
    </row>
    <row r="402" spans="1:14" x14ac:dyDescent="0.15">
      <c r="A402" s="8" t="s">
        <v>383</v>
      </c>
      <c r="B402" s="8" t="s">
        <v>1234</v>
      </c>
      <c r="C402" s="8" t="s">
        <v>57</v>
      </c>
      <c r="D402" s="8" t="s">
        <v>113</v>
      </c>
      <c r="E402" s="8" t="s">
        <v>160</v>
      </c>
      <c r="F402" s="8" t="s">
        <v>161</v>
      </c>
      <c r="G402" s="6">
        <v>42991</v>
      </c>
      <c r="H402" s="6">
        <v>42997</v>
      </c>
      <c r="I402" s="4">
        <v>-50</v>
      </c>
      <c r="J402" s="8" t="s">
        <v>39</v>
      </c>
      <c r="K402" s="8" t="s">
        <v>1235</v>
      </c>
      <c r="L402" s="4"/>
      <c r="M402" s="4"/>
      <c r="N402" s="4"/>
    </row>
    <row r="403" spans="1:14" x14ac:dyDescent="0.15">
      <c r="A403" s="8" t="s">
        <v>383</v>
      </c>
      <c r="B403" s="8" t="s">
        <v>1234</v>
      </c>
      <c r="C403" s="8" t="s">
        <v>108</v>
      </c>
      <c r="D403" s="8" t="s">
        <v>109</v>
      </c>
      <c r="E403" s="8" t="s">
        <v>160</v>
      </c>
      <c r="F403" s="8" t="s">
        <v>161</v>
      </c>
      <c r="G403" s="6">
        <v>42991</v>
      </c>
      <c r="H403" s="6">
        <v>42997</v>
      </c>
      <c r="I403" s="4">
        <v>-1</v>
      </c>
      <c r="J403" s="8" t="s">
        <v>37</v>
      </c>
      <c r="K403" s="8" t="s">
        <v>1236</v>
      </c>
      <c r="L403" s="4"/>
      <c r="M403" s="4"/>
      <c r="N403" s="4"/>
    </row>
    <row r="404" spans="1:14" x14ac:dyDescent="0.15">
      <c r="A404" s="8" t="s">
        <v>383</v>
      </c>
      <c r="B404" s="8" t="s">
        <v>1234</v>
      </c>
      <c r="C404" s="8" t="s">
        <v>66</v>
      </c>
      <c r="D404" s="8" t="s">
        <v>116</v>
      </c>
      <c r="E404" s="8" t="s">
        <v>160</v>
      </c>
      <c r="F404" s="8" t="s">
        <v>161</v>
      </c>
      <c r="G404" s="6">
        <v>42991</v>
      </c>
      <c r="H404" s="6">
        <v>42997</v>
      </c>
      <c r="I404" s="4">
        <v>-1</v>
      </c>
      <c r="J404" s="8" t="s">
        <v>37</v>
      </c>
      <c r="K404" s="8" t="s">
        <v>1237</v>
      </c>
      <c r="L404" s="4"/>
      <c r="M404" s="4"/>
      <c r="N404" s="4"/>
    </row>
    <row r="405" spans="1:14" x14ac:dyDescent="0.15">
      <c r="A405" s="8" t="s">
        <v>383</v>
      </c>
      <c r="B405" s="8" t="s">
        <v>1234</v>
      </c>
      <c r="C405" s="8" t="s">
        <v>67</v>
      </c>
      <c r="D405" s="8" t="s">
        <v>162</v>
      </c>
      <c r="E405" s="8" t="s">
        <v>160</v>
      </c>
      <c r="F405" s="8" t="s">
        <v>161</v>
      </c>
      <c r="G405" s="6">
        <v>42991</v>
      </c>
      <c r="H405" s="6">
        <v>42997</v>
      </c>
      <c r="I405" s="4">
        <v>-4</v>
      </c>
      <c r="J405" s="8" t="s">
        <v>37</v>
      </c>
      <c r="K405" s="8" t="s">
        <v>1238</v>
      </c>
      <c r="L405" s="4"/>
      <c r="M405" s="4"/>
      <c r="N405" s="4"/>
    </row>
    <row r="406" spans="1:14" ht="27" x14ac:dyDescent="0.15">
      <c r="A406" s="8" t="s">
        <v>383</v>
      </c>
      <c r="B406" s="8" t="s">
        <v>1239</v>
      </c>
      <c r="C406" s="8" t="s">
        <v>164</v>
      </c>
      <c r="D406" s="11" t="s">
        <v>165</v>
      </c>
      <c r="E406" s="8" t="s">
        <v>160</v>
      </c>
      <c r="F406" s="8" t="s">
        <v>161</v>
      </c>
      <c r="G406" s="6">
        <v>42991</v>
      </c>
      <c r="H406" s="6">
        <v>42997</v>
      </c>
      <c r="I406" s="4">
        <v>-1</v>
      </c>
      <c r="J406" s="8" t="s">
        <v>37</v>
      </c>
      <c r="K406" s="8" t="s">
        <v>1240</v>
      </c>
      <c r="L406" s="4"/>
      <c r="M406" s="4"/>
      <c r="N406" s="4"/>
    </row>
    <row r="407" spans="1:14" x14ac:dyDescent="0.15">
      <c r="A407" s="8" t="s">
        <v>383</v>
      </c>
      <c r="B407" s="8" t="s">
        <v>1239</v>
      </c>
      <c r="C407" s="8" t="s">
        <v>68</v>
      </c>
      <c r="D407" s="8" t="s">
        <v>166</v>
      </c>
      <c r="E407" s="8" t="s">
        <v>160</v>
      </c>
      <c r="F407" s="8" t="s">
        <v>161</v>
      </c>
      <c r="G407" s="6">
        <v>42991</v>
      </c>
      <c r="H407" s="6">
        <v>42997</v>
      </c>
      <c r="I407" s="4">
        <v>-1</v>
      </c>
      <c r="J407" s="8" t="s">
        <v>37</v>
      </c>
      <c r="K407" s="8" t="s">
        <v>1241</v>
      </c>
      <c r="L407" s="4"/>
      <c r="M407" s="4"/>
      <c r="N407" s="4"/>
    </row>
    <row r="408" spans="1:14" x14ac:dyDescent="0.15">
      <c r="A408" s="8" t="s">
        <v>383</v>
      </c>
      <c r="B408" s="8" t="s">
        <v>1239</v>
      </c>
      <c r="C408" s="8" t="s">
        <v>19</v>
      </c>
      <c r="D408" s="8" t="s">
        <v>35</v>
      </c>
      <c r="E408" s="8" t="s">
        <v>160</v>
      </c>
      <c r="F408" s="8" t="s">
        <v>161</v>
      </c>
      <c r="G408" s="6">
        <v>42997</v>
      </c>
      <c r="H408" s="6">
        <v>42997</v>
      </c>
      <c r="I408" s="4">
        <v>-1</v>
      </c>
      <c r="J408" s="8" t="s">
        <v>37</v>
      </c>
      <c r="K408" s="8" t="s">
        <v>1242</v>
      </c>
      <c r="L408" s="4"/>
      <c r="M408" s="4"/>
      <c r="N408" s="4"/>
    </row>
    <row r="409" spans="1:14" x14ac:dyDescent="0.15">
      <c r="A409" s="8" t="s">
        <v>383</v>
      </c>
      <c r="B409" s="8" t="s">
        <v>1243</v>
      </c>
      <c r="C409" s="8" t="s">
        <v>19</v>
      </c>
      <c r="D409" s="8" t="s">
        <v>35</v>
      </c>
      <c r="E409" s="8" t="s">
        <v>160</v>
      </c>
      <c r="F409" s="8" t="s">
        <v>161</v>
      </c>
      <c r="G409" s="6">
        <v>42992</v>
      </c>
      <c r="H409" s="6">
        <v>42992</v>
      </c>
      <c r="I409" s="4">
        <v>-1</v>
      </c>
      <c r="J409" s="8" t="s">
        <v>37</v>
      </c>
      <c r="K409" s="8" t="s">
        <v>1244</v>
      </c>
      <c r="L409" s="4"/>
      <c r="M409" s="4"/>
      <c r="N409" s="4"/>
    </row>
    <row r="410" spans="1:14" x14ac:dyDescent="0.15">
      <c r="A410" s="8" t="s">
        <v>383</v>
      </c>
      <c r="B410" s="8" t="s">
        <v>1245</v>
      </c>
      <c r="C410" s="8" t="s">
        <v>145</v>
      </c>
      <c r="D410" s="8" t="s">
        <v>280</v>
      </c>
      <c r="E410" s="8" t="s">
        <v>160</v>
      </c>
      <c r="F410" s="8" t="s">
        <v>161</v>
      </c>
      <c r="G410" s="6">
        <v>42996</v>
      </c>
      <c r="H410" s="6">
        <v>42997</v>
      </c>
      <c r="I410" s="4">
        <v>-2</v>
      </c>
      <c r="J410" s="8" t="s">
        <v>38</v>
      </c>
      <c r="K410" s="8" t="s">
        <v>1246</v>
      </c>
      <c r="L410" s="4"/>
      <c r="M410" s="4"/>
      <c r="N410" s="4"/>
    </row>
    <row r="411" spans="1:14" x14ac:dyDescent="0.15">
      <c r="A411" s="8" t="s">
        <v>383</v>
      </c>
      <c r="B411" s="8" t="s">
        <v>1247</v>
      </c>
      <c r="C411" s="8" t="s">
        <v>25</v>
      </c>
      <c r="D411" s="8" t="s">
        <v>31</v>
      </c>
      <c r="E411" s="8" t="s">
        <v>160</v>
      </c>
      <c r="F411" s="8" t="s">
        <v>161</v>
      </c>
      <c r="G411" s="6">
        <v>42997</v>
      </c>
      <c r="H411" s="6">
        <v>42997</v>
      </c>
      <c r="I411" s="4">
        <v>-30</v>
      </c>
      <c r="J411" s="8" t="s">
        <v>38</v>
      </c>
      <c r="K411" s="8" t="s">
        <v>1248</v>
      </c>
      <c r="L411" s="4"/>
      <c r="M411" s="4"/>
      <c r="N411" s="4"/>
    </row>
    <row r="412" spans="1:14" x14ac:dyDescent="0.15">
      <c r="A412" s="8" t="s">
        <v>383</v>
      </c>
      <c r="B412" s="8" t="s">
        <v>1247</v>
      </c>
      <c r="C412" s="8" t="s">
        <v>72</v>
      </c>
      <c r="D412" s="8" t="s">
        <v>31</v>
      </c>
      <c r="E412" s="8" t="s">
        <v>160</v>
      </c>
      <c r="F412" s="8" t="s">
        <v>161</v>
      </c>
      <c r="G412" s="6">
        <v>42997</v>
      </c>
      <c r="H412" s="6">
        <v>42997</v>
      </c>
      <c r="I412" s="4">
        <v>-115</v>
      </c>
      <c r="J412" s="8" t="s">
        <v>38</v>
      </c>
      <c r="K412" s="8" t="s">
        <v>1249</v>
      </c>
      <c r="L412" s="4"/>
      <c r="M412" s="4"/>
      <c r="N412" s="4"/>
    </row>
    <row r="413" spans="1:14" x14ac:dyDescent="0.15">
      <c r="A413" s="8" t="s">
        <v>383</v>
      </c>
      <c r="B413" s="8" t="s">
        <v>1250</v>
      </c>
      <c r="C413" s="8" t="s">
        <v>77</v>
      </c>
      <c r="D413" s="8" t="s">
        <v>287</v>
      </c>
      <c r="E413" s="8" t="s">
        <v>160</v>
      </c>
      <c r="F413" s="8" t="s">
        <v>161</v>
      </c>
      <c r="G413" s="6">
        <v>42998</v>
      </c>
      <c r="H413" s="6">
        <v>43000</v>
      </c>
      <c r="I413" s="4">
        <v>-70</v>
      </c>
      <c r="J413" s="8" t="s">
        <v>39</v>
      </c>
      <c r="K413" s="8" t="s">
        <v>1251</v>
      </c>
      <c r="L413" s="4"/>
      <c r="M413" s="4"/>
      <c r="N413" s="4"/>
    </row>
    <row r="414" spans="1:14" x14ac:dyDescent="0.15">
      <c r="A414" s="8" t="s">
        <v>383</v>
      </c>
      <c r="B414" s="8" t="s">
        <v>1250</v>
      </c>
      <c r="C414" s="8" t="s">
        <v>63</v>
      </c>
      <c r="D414" s="8" t="s">
        <v>95</v>
      </c>
      <c r="E414" s="8" t="s">
        <v>160</v>
      </c>
      <c r="F414" s="8" t="s">
        <v>161</v>
      </c>
      <c r="G414" s="6">
        <v>42998</v>
      </c>
      <c r="H414" s="6">
        <v>43000</v>
      </c>
      <c r="I414" s="4">
        <v>-115</v>
      </c>
      <c r="J414" s="8" t="s">
        <v>39</v>
      </c>
      <c r="K414" s="8" t="s">
        <v>1252</v>
      </c>
      <c r="L414" s="4"/>
      <c r="M414" s="4"/>
      <c r="N414" s="4"/>
    </row>
    <row r="415" spans="1:14" x14ac:dyDescent="0.15">
      <c r="A415" s="8" t="s">
        <v>383</v>
      </c>
      <c r="B415" s="8" t="s">
        <v>1250</v>
      </c>
      <c r="C415" s="8" t="s">
        <v>103</v>
      </c>
      <c r="D415" s="8" t="s">
        <v>104</v>
      </c>
      <c r="E415" s="8" t="s">
        <v>160</v>
      </c>
      <c r="F415" s="8" t="s">
        <v>161</v>
      </c>
      <c r="G415" s="6">
        <v>42998</v>
      </c>
      <c r="H415" s="6">
        <v>43000</v>
      </c>
      <c r="I415" s="4">
        <v>-7</v>
      </c>
      <c r="J415" s="8" t="s">
        <v>37</v>
      </c>
      <c r="K415" s="8" t="s">
        <v>1253</v>
      </c>
      <c r="L415" s="4"/>
      <c r="M415" s="4"/>
      <c r="N415" s="4"/>
    </row>
    <row r="416" spans="1:14" x14ac:dyDescent="0.15">
      <c r="A416" s="8" t="s">
        <v>383</v>
      </c>
      <c r="B416" s="8" t="s">
        <v>1250</v>
      </c>
      <c r="C416" s="8" t="s">
        <v>103</v>
      </c>
      <c r="D416" s="8" t="s">
        <v>104</v>
      </c>
      <c r="E416" s="8" t="s">
        <v>160</v>
      </c>
      <c r="F416" s="8" t="s">
        <v>161</v>
      </c>
      <c r="G416" s="6">
        <v>42998</v>
      </c>
      <c r="H416" s="6">
        <v>43000</v>
      </c>
      <c r="I416" s="4">
        <v>-2</v>
      </c>
      <c r="J416" s="8" t="s">
        <v>37</v>
      </c>
      <c r="K416" s="8" t="s">
        <v>1254</v>
      </c>
      <c r="L416" s="4"/>
      <c r="M416" s="4"/>
      <c r="N416" s="4"/>
    </row>
    <row r="417" spans="1:14" x14ac:dyDescent="0.15">
      <c r="A417" s="8" t="s">
        <v>383</v>
      </c>
      <c r="B417" s="8" t="s">
        <v>1250</v>
      </c>
      <c r="C417" s="8" t="s">
        <v>103</v>
      </c>
      <c r="D417" s="8" t="s">
        <v>104</v>
      </c>
      <c r="E417" s="8" t="s">
        <v>160</v>
      </c>
      <c r="F417" s="8" t="s">
        <v>161</v>
      </c>
      <c r="G417" s="6">
        <v>42998</v>
      </c>
      <c r="H417" s="6">
        <v>43000</v>
      </c>
      <c r="I417" s="4">
        <v>-8</v>
      </c>
      <c r="J417" s="8" t="s">
        <v>37</v>
      </c>
      <c r="K417" s="8" t="s">
        <v>1255</v>
      </c>
      <c r="L417" s="4"/>
      <c r="M417" s="4"/>
      <c r="N417" s="4"/>
    </row>
    <row r="418" spans="1:14" x14ac:dyDescent="0.15">
      <c r="A418" s="8" t="s">
        <v>383</v>
      </c>
      <c r="B418" s="8" t="s">
        <v>1256</v>
      </c>
      <c r="C418" s="8" t="s">
        <v>72</v>
      </c>
      <c r="D418" s="8" t="s">
        <v>31</v>
      </c>
      <c r="E418" s="8" t="s">
        <v>160</v>
      </c>
      <c r="F418" s="8" t="s">
        <v>161</v>
      </c>
      <c r="G418" s="6">
        <v>42998</v>
      </c>
      <c r="H418" s="6">
        <v>42998</v>
      </c>
      <c r="I418" s="4">
        <v>-120</v>
      </c>
      <c r="J418" s="8" t="s">
        <v>38</v>
      </c>
      <c r="K418" s="8" t="s">
        <v>1257</v>
      </c>
      <c r="L418" s="4"/>
      <c r="M418" s="4"/>
      <c r="N418" s="4"/>
    </row>
    <row r="419" spans="1:14" x14ac:dyDescent="0.15">
      <c r="A419" s="8" t="s">
        <v>383</v>
      </c>
      <c r="B419" s="8" t="s">
        <v>1258</v>
      </c>
      <c r="C419" s="8" t="s">
        <v>73</v>
      </c>
      <c r="D419" s="8" t="s">
        <v>125</v>
      </c>
      <c r="E419" s="8" t="s">
        <v>160</v>
      </c>
      <c r="F419" s="8" t="s">
        <v>161</v>
      </c>
      <c r="G419" s="6">
        <v>42998</v>
      </c>
      <c r="H419" s="6">
        <v>42999</v>
      </c>
      <c r="I419" s="4">
        <v>-7.3</v>
      </c>
      <c r="J419" s="8" t="s">
        <v>38</v>
      </c>
      <c r="K419" s="8" t="s">
        <v>1259</v>
      </c>
      <c r="L419" s="4"/>
      <c r="M419" s="4"/>
      <c r="N419" s="4"/>
    </row>
    <row r="420" spans="1:14" x14ac:dyDescent="0.15">
      <c r="A420" s="8" t="s">
        <v>383</v>
      </c>
      <c r="B420" s="8" t="s">
        <v>1258</v>
      </c>
      <c r="C420" s="8" t="s">
        <v>73</v>
      </c>
      <c r="D420" s="8" t="s">
        <v>125</v>
      </c>
      <c r="E420" s="8" t="s">
        <v>160</v>
      </c>
      <c r="F420" s="8" t="s">
        <v>161</v>
      </c>
      <c r="G420" s="6">
        <v>42999</v>
      </c>
      <c r="H420" s="6">
        <v>42999</v>
      </c>
      <c r="I420" s="4">
        <v>2.2999999999999998</v>
      </c>
      <c r="J420" s="8" t="s">
        <v>38</v>
      </c>
      <c r="K420" s="8" t="s">
        <v>1259</v>
      </c>
      <c r="L420" s="4"/>
      <c r="M420" s="4"/>
      <c r="N420" s="4"/>
    </row>
    <row r="421" spans="1:14" x14ac:dyDescent="0.15">
      <c r="A421" s="8" t="s">
        <v>383</v>
      </c>
      <c r="B421" s="8" t="s">
        <v>1258</v>
      </c>
      <c r="C421" s="8" t="s">
        <v>79</v>
      </c>
      <c r="D421" s="8" t="s">
        <v>289</v>
      </c>
      <c r="E421" s="8" t="s">
        <v>160</v>
      </c>
      <c r="F421" s="8" t="s">
        <v>161</v>
      </c>
      <c r="G421" s="6">
        <v>42998</v>
      </c>
      <c r="H421" s="6">
        <v>42999</v>
      </c>
      <c r="I421" s="4">
        <v>-1</v>
      </c>
      <c r="J421" s="8" t="s">
        <v>37</v>
      </c>
      <c r="K421" s="8" t="s">
        <v>1260</v>
      </c>
      <c r="L421" s="4"/>
      <c r="M421" s="4"/>
      <c r="N421" s="4"/>
    </row>
    <row r="422" spans="1:14" x14ac:dyDescent="0.15">
      <c r="A422" s="8" t="s">
        <v>383</v>
      </c>
      <c r="B422" s="8" t="s">
        <v>1258</v>
      </c>
      <c r="C422" s="8" t="s">
        <v>79</v>
      </c>
      <c r="D422" s="8" t="s">
        <v>289</v>
      </c>
      <c r="E422" s="8" t="s">
        <v>160</v>
      </c>
      <c r="F422" s="8" t="s">
        <v>161</v>
      </c>
      <c r="G422" s="6">
        <v>42999</v>
      </c>
      <c r="H422" s="6">
        <v>42999</v>
      </c>
      <c r="I422" s="4">
        <v>1</v>
      </c>
      <c r="J422" s="8" t="s">
        <v>37</v>
      </c>
      <c r="K422" s="8" t="s">
        <v>1260</v>
      </c>
      <c r="L422" s="4"/>
      <c r="M422" s="4"/>
      <c r="N422" s="4"/>
    </row>
    <row r="423" spans="1:14" x14ac:dyDescent="0.15">
      <c r="A423" s="8" t="s">
        <v>383</v>
      </c>
      <c r="B423" s="8" t="s">
        <v>1258</v>
      </c>
      <c r="C423" s="8" t="s">
        <v>23</v>
      </c>
      <c r="D423" s="8" t="s">
        <v>159</v>
      </c>
      <c r="E423" s="8" t="s">
        <v>160</v>
      </c>
      <c r="F423" s="8" t="s">
        <v>161</v>
      </c>
      <c r="G423" s="6">
        <v>42998</v>
      </c>
      <c r="H423" s="6">
        <v>42999</v>
      </c>
      <c r="I423" s="4">
        <v>-1</v>
      </c>
      <c r="J423" s="8" t="s">
        <v>37</v>
      </c>
      <c r="K423" s="8" t="s">
        <v>1261</v>
      </c>
      <c r="L423" s="4"/>
      <c r="M423" s="4"/>
      <c r="N423" s="4"/>
    </row>
    <row r="424" spans="1:14" x14ac:dyDescent="0.15">
      <c r="A424" s="8" t="s">
        <v>383</v>
      </c>
      <c r="B424" s="8" t="s">
        <v>1258</v>
      </c>
      <c r="C424" s="8" t="s">
        <v>68</v>
      </c>
      <c r="D424" s="8" t="s">
        <v>166</v>
      </c>
      <c r="E424" s="8" t="s">
        <v>160</v>
      </c>
      <c r="F424" s="8" t="s">
        <v>161</v>
      </c>
      <c r="G424" s="6">
        <v>42998</v>
      </c>
      <c r="H424" s="6">
        <v>42999</v>
      </c>
      <c r="I424" s="4">
        <v>-2</v>
      </c>
      <c r="J424" s="8" t="s">
        <v>37</v>
      </c>
      <c r="K424" s="8" t="s">
        <v>1262</v>
      </c>
      <c r="L424" s="4"/>
      <c r="M424" s="4"/>
      <c r="N424" s="4"/>
    </row>
    <row r="425" spans="1:14" x14ac:dyDescent="0.15">
      <c r="A425" s="8" t="s">
        <v>383</v>
      </c>
      <c r="B425" s="8" t="s">
        <v>1258</v>
      </c>
      <c r="C425" s="8" t="s">
        <v>68</v>
      </c>
      <c r="D425" s="8" t="s">
        <v>166</v>
      </c>
      <c r="E425" s="8" t="s">
        <v>160</v>
      </c>
      <c r="F425" s="8" t="s">
        <v>161</v>
      </c>
      <c r="G425" s="6">
        <v>42999</v>
      </c>
      <c r="H425" s="6">
        <v>42999</v>
      </c>
      <c r="I425" s="4">
        <v>1</v>
      </c>
      <c r="J425" s="8" t="s">
        <v>37</v>
      </c>
      <c r="K425" s="8" t="s">
        <v>1262</v>
      </c>
      <c r="L425" s="4"/>
      <c r="M425" s="4"/>
      <c r="N425" s="4"/>
    </row>
    <row r="426" spans="1:14" x14ac:dyDescent="0.15">
      <c r="A426" s="8" t="s">
        <v>383</v>
      </c>
      <c r="B426" s="8" t="s">
        <v>1263</v>
      </c>
      <c r="C426" s="8" t="s">
        <v>111</v>
      </c>
      <c r="D426" s="8" t="s">
        <v>112</v>
      </c>
      <c r="E426" s="8" t="s">
        <v>160</v>
      </c>
      <c r="F426" s="8" t="s">
        <v>161</v>
      </c>
      <c r="G426" s="6">
        <v>43003</v>
      </c>
      <c r="H426" s="6">
        <v>43003</v>
      </c>
      <c r="I426" s="4">
        <v>-33</v>
      </c>
      <c r="J426" s="8" t="s">
        <v>39</v>
      </c>
      <c r="K426" s="8" t="s">
        <v>1264</v>
      </c>
      <c r="L426" s="4"/>
      <c r="M426" s="4"/>
      <c r="N426" s="4"/>
    </row>
    <row r="427" spans="1:14" x14ac:dyDescent="0.15">
      <c r="A427" s="8" t="s">
        <v>383</v>
      </c>
      <c r="B427" s="8" t="s">
        <v>1265</v>
      </c>
      <c r="C427" s="8" t="s">
        <v>29</v>
      </c>
      <c r="D427" s="8" t="s">
        <v>33</v>
      </c>
      <c r="E427" s="8" t="s">
        <v>160</v>
      </c>
      <c r="F427" s="8" t="s">
        <v>161</v>
      </c>
      <c r="G427" s="6">
        <v>43008</v>
      </c>
      <c r="H427" s="6">
        <v>43008</v>
      </c>
      <c r="I427" s="4">
        <v>-80</v>
      </c>
      <c r="J427" s="8" t="s">
        <v>39</v>
      </c>
      <c r="K427" s="8" t="s">
        <v>1266</v>
      </c>
      <c r="L427" s="4"/>
      <c r="M427" s="4"/>
      <c r="N427" s="4"/>
    </row>
    <row r="428" spans="1:14" x14ac:dyDescent="0.15">
      <c r="A428" s="8" t="s">
        <v>383</v>
      </c>
      <c r="B428" s="8" t="s">
        <v>1265</v>
      </c>
      <c r="C428" s="8" t="s">
        <v>19</v>
      </c>
      <c r="D428" s="8" t="s">
        <v>35</v>
      </c>
      <c r="E428" s="8" t="s">
        <v>160</v>
      </c>
      <c r="F428" s="8" t="s">
        <v>161</v>
      </c>
      <c r="G428" s="6">
        <v>43008</v>
      </c>
      <c r="H428" s="6">
        <v>43008</v>
      </c>
      <c r="I428" s="4">
        <v>-1</v>
      </c>
      <c r="J428" s="8" t="s">
        <v>37</v>
      </c>
      <c r="K428" s="8" t="s">
        <v>1267</v>
      </c>
      <c r="L428" s="4"/>
      <c r="M428" s="4"/>
      <c r="N428" s="4"/>
    </row>
    <row r="429" spans="1:14" x14ac:dyDescent="0.15">
      <c r="A429" s="8" t="s">
        <v>383</v>
      </c>
      <c r="B429" s="8" t="s">
        <v>1268</v>
      </c>
      <c r="C429" s="8" t="s">
        <v>128</v>
      </c>
      <c r="D429" s="8" t="s">
        <v>212</v>
      </c>
      <c r="E429" s="8" t="s">
        <v>160</v>
      </c>
      <c r="F429" s="8" t="s">
        <v>161</v>
      </c>
      <c r="G429" s="6">
        <v>43004</v>
      </c>
      <c r="H429" s="6">
        <v>43008</v>
      </c>
      <c r="I429" s="4">
        <v>-2</v>
      </c>
      <c r="J429" s="8" t="s">
        <v>37</v>
      </c>
      <c r="K429" s="8" t="s">
        <v>1269</v>
      </c>
      <c r="L429" s="4"/>
      <c r="M429" s="4"/>
      <c r="N429" s="4"/>
    </row>
    <row r="430" spans="1:14" x14ac:dyDescent="0.15">
      <c r="A430" s="8" t="s">
        <v>383</v>
      </c>
      <c r="B430" s="8" t="s">
        <v>1268</v>
      </c>
      <c r="C430" s="8" t="s">
        <v>128</v>
      </c>
      <c r="D430" s="8" t="s">
        <v>212</v>
      </c>
      <c r="E430" s="8" t="s">
        <v>160</v>
      </c>
      <c r="F430" s="8" t="s">
        <v>161</v>
      </c>
      <c r="G430" s="6">
        <v>43008</v>
      </c>
      <c r="H430" s="6">
        <v>43008</v>
      </c>
      <c r="I430" s="4">
        <v>-2</v>
      </c>
      <c r="J430" s="8" t="s">
        <v>37</v>
      </c>
      <c r="K430" s="8" t="s">
        <v>1270</v>
      </c>
      <c r="L430" s="4"/>
      <c r="M430" s="4"/>
      <c r="N430" s="4"/>
    </row>
    <row r="431" spans="1:14" x14ac:dyDescent="0.15">
      <c r="A431" s="8" t="s">
        <v>383</v>
      </c>
      <c r="B431" s="8" t="s">
        <v>1268</v>
      </c>
      <c r="C431" s="8" t="s">
        <v>67</v>
      </c>
      <c r="D431" s="8" t="s">
        <v>162</v>
      </c>
      <c r="E431" s="8" t="s">
        <v>160</v>
      </c>
      <c r="F431" s="8" t="s">
        <v>161</v>
      </c>
      <c r="G431" s="6">
        <v>43008</v>
      </c>
      <c r="H431" s="6">
        <v>43008</v>
      </c>
      <c r="I431" s="4">
        <v>-6</v>
      </c>
      <c r="J431" s="8" t="s">
        <v>37</v>
      </c>
      <c r="K431" s="8" t="s">
        <v>1271</v>
      </c>
      <c r="L431" s="4"/>
      <c r="M431" s="4"/>
      <c r="N431" s="4"/>
    </row>
    <row r="432" spans="1:14" x14ac:dyDescent="0.15">
      <c r="A432" s="8" t="s">
        <v>383</v>
      </c>
      <c r="B432" s="8" t="s">
        <v>1272</v>
      </c>
      <c r="C432" s="8" t="s">
        <v>22</v>
      </c>
      <c r="D432" s="8" t="s">
        <v>188</v>
      </c>
      <c r="E432" s="8" t="s">
        <v>160</v>
      </c>
      <c r="F432" s="8" t="s">
        <v>161</v>
      </c>
      <c r="G432" s="6">
        <v>43008</v>
      </c>
      <c r="H432" s="6">
        <v>43008</v>
      </c>
      <c r="I432" s="4">
        <v>-1</v>
      </c>
      <c r="J432" s="8" t="s">
        <v>37</v>
      </c>
      <c r="K432" s="8" t="s">
        <v>1273</v>
      </c>
      <c r="L432" s="4"/>
      <c r="M432" s="4"/>
      <c r="N432" s="4"/>
    </row>
    <row r="433" spans="1:14" x14ac:dyDescent="0.15">
      <c r="A433" s="8" t="s">
        <v>383</v>
      </c>
      <c r="B433" s="8" t="s">
        <v>1272</v>
      </c>
      <c r="C433" s="8" t="s">
        <v>15</v>
      </c>
      <c r="D433" s="8" t="s">
        <v>32</v>
      </c>
      <c r="E433" s="8" t="s">
        <v>160</v>
      </c>
      <c r="F433" s="8" t="s">
        <v>161</v>
      </c>
      <c r="G433" s="6">
        <v>43008</v>
      </c>
      <c r="H433" s="6">
        <v>43008</v>
      </c>
      <c r="I433" s="4">
        <v>-582</v>
      </c>
      <c r="J433" s="8" t="s">
        <v>38</v>
      </c>
      <c r="K433" s="8" t="s">
        <v>1274</v>
      </c>
      <c r="L433" s="4"/>
      <c r="M433" s="4"/>
      <c r="N433" s="4"/>
    </row>
    <row r="434" spans="1:14" x14ac:dyDescent="0.15">
      <c r="A434" s="8" t="s">
        <v>383</v>
      </c>
      <c r="B434" s="8" t="s">
        <v>1275</v>
      </c>
      <c r="C434" s="8" t="s">
        <v>72</v>
      </c>
      <c r="D434" s="8" t="s">
        <v>31</v>
      </c>
      <c r="E434" s="8" t="s">
        <v>160</v>
      </c>
      <c r="F434" s="8" t="s">
        <v>161</v>
      </c>
      <c r="G434" s="6">
        <v>43012</v>
      </c>
      <c r="H434" s="6">
        <v>43012</v>
      </c>
      <c r="I434" s="4">
        <v>-240</v>
      </c>
      <c r="J434" s="8" t="s">
        <v>38</v>
      </c>
      <c r="K434" s="8" t="s">
        <v>1276</v>
      </c>
      <c r="L434" s="4"/>
      <c r="M434" s="4"/>
      <c r="N434" s="4"/>
    </row>
    <row r="435" spans="1:14" x14ac:dyDescent="0.15">
      <c r="A435" s="8" t="s">
        <v>383</v>
      </c>
      <c r="B435" s="8" t="s">
        <v>1277</v>
      </c>
      <c r="C435" s="8" t="s">
        <v>167</v>
      </c>
      <c r="D435" s="8" t="s">
        <v>168</v>
      </c>
      <c r="E435" s="8" t="s">
        <v>160</v>
      </c>
      <c r="F435" s="8" t="s">
        <v>161</v>
      </c>
      <c r="G435" s="6">
        <v>43012</v>
      </c>
      <c r="H435" s="6">
        <v>43014</v>
      </c>
      <c r="I435" s="4">
        <v>-500</v>
      </c>
      <c r="J435" s="8" t="s">
        <v>133</v>
      </c>
      <c r="K435" s="8" t="s">
        <v>1278</v>
      </c>
      <c r="L435" s="4"/>
      <c r="M435" s="4"/>
      <c r="N435" s="4"/>
    </row>
    <row r="436" spans="1:14" x14ac:dyDescent="0.15">
      <c r="A436" s="8" t="s">
        <v>383</v>
      </c>
      <c r="B436" s="8" t="s">
        <v>1277</v>
      </c>
      <c r="C436" s="8" t="s">
        <v>205</v>
      </c>
      <c r="D436" s="8" t="s">
        <v>205</v>
      </c>
      <c r="E436" s="8" t="s">
        <v>160</v>
      </c>
      <c r="F436" s="8" t="s">
        <v>161</v>
      </c>
      <c r="G436" s="6">
        <v>43012</v>
      </c>
      <c r="H436" s="6">
        <v>43014</v>
      </c>
      <c r="I436" s="4">
        <v>-1</v>
      </c>
      <c r="J436" s="8" t="s">
        <v>37</v>
      </c>
      <c r="K436" s="8" t="s">
        <v>1279</v>
      </c>
      <c r="L436" s="4"/>
      <c r="M436" s="4"/>
      <c r="N436" s="4"/>
    </row>
    <row r="437" spans="1:14" x14ac:dyDescent="0.15">
      <c r="A437" s="8" t="s">
        <v>383</v>
      </c>
      <c r="B437" s="8" t="s">
        <v>1280</v>
      </c>
      <c r="C437" s="8" t="s">
        <v>58</v>
      </c>
      <c r="D437" s="8" t="s">
        <v>127</v>
      </c>
      <c r="E437" s="8" t="s">
        <v>160</v>
      </c>
      <c r="F437" s="8" t="s">
        <v>161</v>
      </c>
      <c r="G437" s="6">
        <v>43013</v>
      </c>
      <c r="H437" s="6">
        <v>43014</v>
      </c>
      <c r="I437" s="4">
        <v>-23</v>
      </c>
      <c r="J437" s="8" t="s">
        <v>39</v>
      </c>
      <c r="K437" s="8" t="s">
        <v>1281</v>
      </c>
      <c r="L437" s="4"/>
      <c r="M437" s="4"/>
      <c r="N437" s="4"/>
    </row>
    <row r="438" spans="1:14" x14ac:dyDescent="0.15">
      <c r="A438" s="8" t="s">
        <v>383</v>
      </c>
      <c r="B438" s="8" t="s">
        <v>1280</v>
      </c>
      <c r="C438" s="8" t="s">
        <v>19</v>
      </c>
      <c r="D438" s="8" t="s">
        <v>35</v>
      </c>
      <c r="E438" s="8" t="s">
        <v>160</v>
      </c>
      <c r="F438" s="8" t="s">
        <v>161</v>
      </c>
      <c r="G438" s="6">
        <v>43014</v>
      </c>
      <c r="H438" s="6">
        <v>43014</v>
      </c>
      <c r="I438" s="4">
        <v>-1</v>
      </c>
      <c r="J438" s="8" t="s">
        <v>37</v>
      </c>
      <c r="K438" s="8" t="s">
        <v>1282</v>
      </c>
      <c r="L438" s="4"/>
      <c r="M438" s="4"/>
      <c r="N438" s="4"/>
    </row>
    <row r="439" spans="1:14" x14ac:dyDescent="0.15">
      <c r="A439" s="8" t="s">
        <v>383</v>
      </c>
      <c r="B439" s="8" t="s">
        <v>1283</v>
      </c>
      <c r="C439" s="8" t="s">
        <v>63</v>
      </c>
      <c r="D439" s="8" t="s">
        <v>95</v>
      </c>
      <c r="E439" s="8" t="s">
        <v>160</v>
      </c>
      <c r="F439" s="8" t="s">
        <v>161</v>
      </c>
      <c r="G439" s="6">
        <v>43013</v>
      </c>
      <c r="H439" s="6">
        <v>43014</v>
      </c>
      <c r="I439" s="4">
        <v>-50</v>
      </c>
      <c r="J439" s="8" t="s">
        <v>39</v>
      </c>
      <c r="K439" s="8" t="s">
        <v>1284</v>
      </c>
      <c r="L439" s="4"/>
      <c r="M439" s="4"/>
      <c r="N439" s="4"/>
    </row>
    <row r="440" spans="1:14" x14ac:dyDescent="0.15">
      <c r="A440" s="8" t="s">
        <v>383</v>
      </c>
      <c r="B440" s="8" t="s">
        <v>1283</v>
      </c>
      <c r="C440" s="8" t="s">
        <v>66</v>
      </c>
      <c r="D440" s="8" t="s">
        <v>116</v>
      </c>
      <c r="E440" s="8" t="s">
        <v>160</v>
      </c>
      <c r="F440" s="8" t="s">
        <v>161</v>
      </c>
      <c r="G440" s="6">
        <v>43013</v>
      </c>
      <c r="H440" s="6">
        <v>43014</v>
      </c>
      <c r="I440" s="4">
        <v>-1</v>
      </c>
      <c r="J440" s="8" t="s">
        <v>37</v>
      </c>
      <c r="K440" s="8" t="s">
        <v>1285</v>
      </c>
      <c r="L440" s="4"/>
      <c r="M440" s="4"/>
      <c r="N440" s="4"/>
    </row>
    <row r="441" spans="1:14" x14ac:dyDescent="0.15">
      <c r="A441" s="8" t="s">
        <v>383</v>
      </c>
      <c r="B441" s="8" t="s">
        <v>1283</v>
      </c>
      <c r="C441" s="8" t="s">
        <v>67</v>
      </c>
      <c r="D441" s="8" t="s">
        <v>162</v>
      </c>
      <c r="E441" s="8" t="s">
        <v>160</v>
      </c>
      <c r="F441" s="8" t="s">
        <v>161</v>
      </c>
      <c r="G441" s="6">
        <v>43013</v>
      </c>
      <c r="H441" s="6">
        <v>43014</v>
      </c>
      <c r="I441" s="4">
        <v>-28</v>
      </c>
      <c r="J441" s="8" t="s">
        <v>37</v>
      </c>
      <c r="K441" s="8" t="s">
        <v>1286</v>
      </c>
      <c r="L441" s="4"/>
      <c r="M441" s="4"/>
      <c r="N441" s="4"/>
    </row>
    <row r="442" spans="1:14" ht="27" x14ac:dyDescent="0.15">
      <c r="A442" s="8" t="s">
        <v>383</v>
      </c>
      <c r="B442" s="8" t="s">
        <v>1287</v>
      </c>
      <c r="C442" s="8" t="s">
        <v>136</v>
      </c>
      <c r="D442" s="11" t="s">
        <v>174</v>
      </c>
      <c r="E442" s="8" t="s">
        <v>160</v>
      </c>
      <c r="F442" s="8" t="s">
        <v>161</v>
      </c>
      <c r="G442" s="6">
        <v>43014</v>
      </c>
      <c r="H442" s="6">
        <v>43014</v>
      </c>
      <c r="I442" s="4">
        <v>-80</v>
      </c>
      <c r="J442" s="8" t="s">
        <v>38</v>
      </c>
      <c r="K442" s="8" t="s">
        <v>1288</v>
      </c>
      <c r="L442" s="4"/>
      <c r="M442" s="4"/>
      <c r="N442" s="4"/>
    </row>
    <row r="443" spans="1:14" x14ac:dyDescent="0.15">
      <c r="A443" s="8" t="s">
        <v>383</v>
      </c>
      <c r="B443" s="8" t="s">
        <v>1289</v>
      </c>
      <c r="C443" s="8" t="s">
        <v>67</v>
      </c>
      <c r="D443" s="8" t="s">
        <v>162</v>
      </c>
      <c r="E443" s="8" t="s">
        <v>160</v>
      </c>
      <c r="F443" s="8" t="s">
        <v>161</v>
      </c>
      <c r="G443" s="6">
        <v>43014</v>
      </c>
      <c r="H443" s="6">
        <v>43014</v>
      </c>
      <c r="I443" s="4">
        <v>-1</v>
      </c>
      <c r="J443" s="8" t="s">
        <v>37</v>
      </c>
      <c r="K443" s="8" t="s">
        <v>1290</v>
      </c>
      <c r="L443" s="4"/>
      <c r="M443" s="4"/>
      <c r="N443" s="4"/>
    </row>
    <row r="444" spans="1:14" x14ac:dyDescent="0.15">
      <c r="A444" s="8" t="s">
        <v>383</v>
      </c>
      <c r="B444" s="8" t="s">
        <v>1291</v>
      </c>
      <c r="C444" s="8" t="s">
        <v>57</v>
      </c>
      <c r="D444" s="8" t="s">
        <v>113</v>
      </c>
      <c r="E444" s="8" t="s">
        <v>160</v>
      </c>
      <c r="F444" s="8" t="s">
        <v>161</v>
      </c>
      <c r="G444" s="6">
        <v>43019</v>
      </c>
      <c r="H444" s="6">
        <v>43021</v>
      </c>
      <c r="I444" s="4">
        <v>-80</v>
      </c>
      <c r="J444" s="8" t="s">
        <v>39</v>
      </c>
      <c r="K444" s="8" t="s">
        <v>1292</v>
      </c>
      <c r="L444" s="4"/>
      <c r="M444" s="4"/>
      <c r="N444" s="4"/>
    </row>
    <row r="445" spans="1:14" x14ac:dyDescent="0.15">
      <c r="A445" s="8" t="s">
        <v>383</v>
      </c>
      <c r="B445" s="8" t="s">
        <v>1293</v>
      </c>
      <c r="C445" s="8" t="s">
        <v>73</v>
      </c>
      <c r="D445" s="8" t="s">
        <v>125</v>
      </c>
      <c r="E445" s="8" t="s">
        <v>160</v>
      </c>
      <c r="F445" s="8" t="s">
        <v>161</v>
      </c>
      <c r="G445" s="6">
        <v>43019</v>
      </c>
      <c r="H445" s="6">
        <v>43021</v>
      </c>
      <c r="I445" s="4">
        <v>-60</v>
      </c>
      <c r="J445" s="8" t="s">
        <v>38</v>
      </c>
      <c r="K445" s="8" t="s">
        <v>1294</v>
      </c>
      <c r="L445" s="4"/>
      <c r="M445" s="4"/>
      <c r="N445" s="4"/>
    </row>
    <row r="446" spans="1:14" x14ac:dyDescent="0.15">
      <c r="A446" s="8" t="s">
        <v>383</v>
      </c>
      <c r="B446" s="8" t="s">
        <v>1293</v>
      </c>
      <c r="C446" s="8" t="s">
        <v>67</v>
      </c>
      <c r="D446" s="8" t="s">
        <v>162</v>
      </c>
      <c r="E446" s="8" t="s">
        <v>160</v>
      </c>
      <c r="F446" s="8" t="s">
        <v>161</v>
      </c>
      <c r="G446" s="6">
        <v>43019</v>
      </c>
      <c r="H446" s="6">
        <v>43021</v>
      </c>
      <c r="I446" s="4">
        <v>-5</v>
      </c>
      <c r="J446" s="8" t="s">
        <v>37</v>
      </c>
      <c r="K446" s="8" t="s">
        <v>1295</v>
      </c>
      <c r="L446" s="4"/>
      <c r="M446" s="4"/>
      <c r="N446" s="4"/>
    </row>
    <row r="447" spans="1:14" x14ac:dyDescent="0.15">
      <c r="A447" s="8" t="s">
        <v>383</v>
      </c>
      <c r="B447" s="8" t="s">
        <v>1293</v>
      </c>
      <c r="C447" s="8" t="s">
        <v>68</v>
      </c>
      <c r="D447" s="8" t="s">
        <v>166</v>
      </c>
      <c r="E447" s="8" t="s">
        <v>160</v>
      </c>
      <c r="F447" s="8" t="s">
        <v>161</v>
      </c>
      <c r="G447" s="6">
        <v>43019</v>
      </c>
      <c r="H447" s="6">
        <v>43021</v>
      </c>
      <c r="I447" s="4">
        <v>-5</v>
      </c>
      <c r="J447" s="8" t="s">
        <v>37</v>
      </c>
      <c r="K447" s="8" t="s">
        <v>1296</v>
      </c>
      <c r="L447" s="4"/>
      <c r="M447" s="4"/>
      <c r="N447" s="4"/>
    </row>
    <row r="448" spans="1:14" x14ac:dyDescent="0.15">
      <c r="A448" s="8" t="s">
        <v>383</v>
      </c>
      <c r="B448" s="8" t="s">
        <v>1297</v>
      </c>
      <c r="C448" s="8" t="s">
        <v>22</v>
      </c>
      <c r="D448" s="8" t="s">
        <v>188</v>
      </c>
      <c r="E448" s="8" t="s">
        <v>160</v>
      </c>
      <c r="F448" s="8" t="s">
        <v>161</v>
      </c>
      <c r="G448" s="6">
        <v>43019</v>
      </c>
      <c r="H448" s="6">
        <v>43019</v>
      </c>
      <c r="I448" s="4">
        <v>-1</v>
      </c>
      <c r="J448" s="8" t="s">
        <v>37</v>
      </c>
      <c r="K448" s="8" t="s">
        <v>1298</v>
      </c>
      <c r="L448" s="4"/>
      <c r="M448" s="4"/>
      <c r="N448" s="4"/>
    </row>
    <row r="449" spans="1:14" x14ac:dyDescent="0.15">
      <c r="A449" s="8" t="s">
        <v>383</v>
      </c>
      <c r="B449" s="8" t="s">
        <v>1297</v>
      </c>
      <c r="C449" s="8" t="s">
        <v>20</v>
      </c>
      <c r="D449" s="8" t="s">
        <v>269</v>
      </c>
      <c r="E449" s="8" t="s">
        <v>160</v>
      </c>
      <c r="F449" s="8" t="s">
        <v>161</v>
      </c>
      <c r="G449" s="6">
        <v>43019</v>
      </c>
      <c r="H449" s="6">
        <v>43019</v>
      </c>
      <c r="I449" s="4">
        <v>-582</v>
      </c>
      <c r="J449" s="8" t="s">
        <v>38</v>
      </c>
      <c r="K449" s="8" t="s">
        <v>1299</v>
      </c>
      <c r="L449" s="4"/>
      <c r="M449" s="4"/>
      <c r="N449" s="4"/>
    </row>
    <row r="450" spans="1:14" x14ac:dyDescent="0.15">
      <c r="A450" s="8" t="s">
        <v>383</v>
      </c>
      <c r="B450" s="8" t="s">
        <v>1300</v>
      </c>
      <c r="C450" s="8" t="s">
        <v>111</v>
      </c>
      <c r="D450" s="8" t="s">
        <v>112</v>
      </c>
      <c r="E450" s="8" t="s">
        <v>160</v>
      </c>
      <c r="F450" s="8" t="s">
        <v>161</v>
      </c>
      <c r="G450" s="6">
        <v>43020</v>
      </c>
      <c r="H450" s="6">
        <v>43021</v>
      </c>
      <c r="I450" s="4">
        <v>-700</v>
      </c>
      <c r="J450" s="8" t="s">
        <v>39</v>
      </c>
      <c r="K450" s="8" t="s">
        <v>1301</v>
      </c>
      <c r="L450" s="4"/>
      <c r="M450" s="4"/>
      <c r="N450" s="4"/>
    </row>
    <row r="451" spans="1:14" x14ac:dyDescent="0.15">
      <c r="A451" s="8" t="s">
        <v>383</v>
      </c>
      <c r="B451" s="8" t="s">
        <v>1300</v>
      </c>
      <c r="C451" s="8" t="s">
        <v>56</v>
      </c>
      <c r="D451" s="8" t="s">
        <v>126</v>
      </c>
      <c r="E451" s="8" t="s">
        <v>160</v>
      </c>
      <c r="F451" s="8" t="s">
        <v>161</v>
      </c>
      <c r="G451" s="6">
        <v>43020</v>
      </c>
      <c r="H451" s="6">
        <v>43021</v>
      </c>
      <c r="I451" s="4">
        <v>-300</v>
      </c>
      <c r="J451" s="8" t="s">
        <v>39</v>
      </c>
      <c r="K451" s="8" t="s">
        <v>1302</v>
      </c>
      <c r="L451" s="4"/>
      <c r="M451" s="4"/>
      <c r="N451" s="4"/>
    </row>
    <row r="452" spans="1:14" x14ac:dyDescent="0.15">
      <c r="A452" s="8" t="s">
        <v>383</v>
      </c>
      <c r="B452" s="8" t="s">
        <v>1303</v>
      </c>
      <c r="C452" s="8" t="s">
        <v>22</v>
      </c>
      <c r="D452" s="8" t="s">
        <v>188</v>
      </c>
      <c r="E452" s="8" t="s">
        <v>160</v>
      </c>
      <c r="F452" s="8" t="s">
        <v>161</v>
      </c>
      <c r="G452" s="6">
        <v>43024</v>
      </c>
      <c r="H452" s="6">
        <v>43027</v>
      </c>
      <c r="I452" s="4">
        <v>-1</v>
      </c>
      <c r="J452" s="8" t="s">
        <v>37</v>
      </c>
      <c r="K452" s="8" t="s">
        <v>1304</v>
      </c>
      <c r="L452" s="4"/>
      <c r="M452" s="4"/>
      <c r="N452" s="4"/>
    </row>
    <row r="453" spans="1:14" x14ac:dyDescent="0.15">
      <c r="A453" s="8" t="s">
        <v>383</v>
      </c>
      <c r="B453" s="8" t="s">
        <v>1303</v>
      </c>
      <c r="C453" s="8" t="s">
        <v>15</v>
      </c>
      <c r="D453" s="8" t="s">
        <v>32</v>
      </c>
      <c r="E453" s="8" t="s">
        <v>160</v>
      </c>
      <c r="F453" s="8" t="s">
        <v>161</v>
      </c>
      <c r="G453" s="6">
        <v>43024</v>
      </c>
      <c r="H453" s="6">
        <v>43027</v>
      </c>
      <c r="I453" s="4">
        <v>-388</v>
      </c>
      <c r="J453" s="8" t="s">
        <v>38</v>
      </c>
      <c r="K453" s="8" t="s">
        <v>1305</v>
      </c>
      <c r="L453" s="4"/>
      <c r="M453" s="4"/>
      <c r="N453" s="4"/>
    </row>
    <row r="454" spans="1:14" x14ac:dyDescent="0.15">
      <c r="A454" s="8" t="s">
        <v>383</v>
      </c>
      <c r="B454" s="8" t="s">
        <v>1303</v>
      </c>
      <c r="C454" s="8" t="s">
        <v>15</v>
      </c>
      <c r="D454" s="8" t="s">
        <v>32</v>
      </c>
      <c r="E454" s="8" t="s">
        <v>160</v>
      </c>
      <c r="F454" s="8" t="s">
        <v>161</v>
      </c>
      <c r="G454" s="6">
        <v>43027</v>
      </c>
      <c r="H454" s="6">
        <v>43027</v>
      </c>
      <c r="I454" s="4">
        <v>97</v>
      </c>
      <c r="J454" s="8" t="s">
        <v>38</v>
      </c>
      <c r="K454" s="8" t="s">
        <v>1305</v>
      </c>
      <c r="L454" s="4"/>
      <c r="M454" s="4"/>
      <c r="N454" s="4"/>
    </row>
    <row r="455" spans="1:14" x14ac:dyDescent="0.15">
      <c r="A455" s="8" t="s">
        <v>383</v>
      </c>
      <c r="B455" s="8" t="s">
        <v>1303</v>
      </c>
      <c r="C455" s="8" t="s">
        <v>27</v>
      </c>
      <c r="D455" s="8" t="s">
        <v>32</v>
      </c>
      <c r="E455" s="8" t="s">
        <v>160</v>
      </c>
      <c r="F455" s="8" t="s">
        <v>161</v>
      </c>
      <c r="G455" s="6">
        <v>43024</v>
      </c>
      <c r="H455" s="6">
        <v>43027</v>
      </c>
      <c r="I455" s="4">
        <v>-750</v>
      </c>
      <c r="J455" s="8" t="s">
        <v>38</v>
      </c>
      <c r="K455" s="8" t="s">
        <v>1306</v>
      </c>
      <c r="L455" s="4"/>
      <c r="M455" s="4"/>
      <c r="N455" s="4"/>
    </row>
    <row r="456" spans="1:14" x14ac:dyDescent="0.15">
      <c r="A456" s="8" t="s">
        <v>383</v>
      </c>
      <c r="B456" s="8" t="s">
        <v>1303</v>
      </c>
      <c r="C456" s="8" t="s">
        <v>27</v>
      </c>
      <c r="D456" s="8" t="s">
        <v>32</v>
      </c>
      <c r="E456" s="8" t="s">
        <v>160</v>
      </c>
      <c r="F456" s="8" t="s">
        <v>161</v>
      </c>
      <c r="G456" s="6">
        <v>43027</v>
      </c>
      <c r="H456" s="6">
        <v>43027</v>
      </c>
      <c r="I456" s="4">
        <v>75</v>
      </c>
      <c r="J456" s="8" t="s">
        <v>38</v>
      </c>
      <c r="K456" s="8" t="s">
        <v>1306</v>
      </c>
      <c r="L456" s="4"/>
      <c r="M456" s="4"/>
      <c r="N456" s="4"/>
    </row>
    <row r="457" spans="1:14" x14ac:dyDescent="0.15">
      <c r="A457" s="8" t="s">
        <v>383</v>
      </c>
      <c r="B457" s="8" t="s">
        <v>1307</v>
      </c>
      <c r="C457" s="8" t="s">
        <v>56</v>
      </c>
      <c r="D457" s="8" t="s">
        <v>126</v>
      </c>
      <c r="E457" s="8" t="s">
        <v>160</v>
      </c>
      <c r="F457" s="8" t="s">
        <v>161</v>
      </c>
      <c r="G457" s="6">
        <v>43027</v>
      </c>
      <c r="H457" s="6">
        <v>43027</v>
      </c>
      <c r="I457" s="4">
        <v>-60</v>
      </c>
      <c r="J457" s="8" t="s">
        <v>39</v>
      </c>
      <c r="K457" s="8" t="s">
        <v>1308</v>
      </c>
      <c r="L457" s="4"/>
      <c r="M457" s="4"/>
      <c r="N457" s="4"/>
    </row>
    <row r="458" spans="1:14" x14ac:dyDescent="0.15">
      <c r="A458" s="8" t="s">
        <v>383</v>
      </c>
      <c r="B458" s="8" t="s">
        <v>1307</v>
      </c>
      <c r="C458" s="8" t="s">
        <v>67</v>
      </c>
      <c r="D458" s="8" t="s">
        <v>162</v>
      </c>
      <c r="E458" s="8" t="s">
        <v>160</v>
      </c>
      <c r="F458" s="8" t="s">
        <v>161</v>
      </c>
      <c r="G458" s="6">
        <v>43027</v>
      </c>
      <c r="H458" s="6">
        <v>43027</v>
      </c>
      <c r="I458" s="4">
        <v>-2</v>
      </c>
      <c r="J458" s="8" t="s">
        <v>37</v>
      </c>
      <c r="K458" s="8" t="s">
        <v>1309</v>
      </c>
      <c r="L458" s="4"/>
      <c r="M458" s="4"/>
      <c r="N458" s="4"/>
    </row>
    <row r="459" spans="1:14" x14ac:dyDescent="0.15">
      <c r="A459" s="8" t="s">
        <v>383</v>
      </c>
      <c r="B459" s="8" t="s">
        <v>1310</v>
      </c>
      <c r="C459" s="8" t="s">
        <v>68</v>
      </c>
      <c r="D459" s="8" t="s">
        <v>166</v>
      </c>
      <c r="E459" s="8" t="s">
        <v>160</v>
      </c>
      <c r="F459" s="8" t="s">
        <v>161</v>
      </c>
      <c r="G459" s="6">
        <v>43027</v>
      </c>
      <c r="H459" s="6">
        <v>43027</v>
      </c>
      <c r="I459" s="4">
        <v>-5</v>
      </c>
      <c r="J459" s="8" t="s">
        <v>37</v>
      </c>
      <c r="K459" s="8" t="s">
        <v>1311</v>
      </c>
      <c r="L459" s="4"/>
      <c r="M459" s="4"/>
      <c r="N459" s="4"/>
    </row>
    <row r="460" spans="1:14" x14ac:dyDescent="0.15">
      <c r="A460" s="8" t="s">
        <v>383</v>
      </c>
      <c r="B460" s="8" t="s">
        <v>1312</v>
      </c>
      <c r="C460" s="8" t="s">
        <v>77</v>
      </c>
      <c r="D460" s="8" t="s">
        <v>287</v>
      </c>
      <c r="E460" s="8" t="s">
        <v>160</v>
      </c>
      <c r="F460" s="8" t="s">
        <v>161</v>
      </c>
      <c r="G460" s="6">
        <v>43028</v>
      </c>
      <c r="H460" s="6">
        <v>43038</v>
      </c>
      <c r="I460" s="4">
        <v>-14</v>
      </c>
      <c r="J460" s="8" t="s">
        <v>39</v>
      </c>
      <c r="K460" s="8" t="s">
        <v>1313</v>
      </c>
      <c r="L460" s="4"/>
      <c r="M460" s="4"/>
      <c r="N460" s="4"/>
    </row>
    <row r="461" spans="1:14" x14ac:dyDescent="0.15">
      <c r="A461" s="8" t="s">
        <v>383</v>
      </c>
      <c r="B461" s="8" t="s">
        <v>1314</v>
      </c>
      <c r="C461" s="8" t="s">
        <v>29</v>
      </c>
      <c r="D461" s="8" t="s">
        <v>33</v>
      </c>
      <c r="E461" s="8" t="s">
        <v>160</v>
      </c>
      <c r="F461" s="8" t="s">
        <v>161</v>
      </c>
      <c r="G461" s="6">
        <v>43028</v>
      </c>
      <c r="H461" s="6">
        <v>43031</v>
      </c>
      <c r="I461" s="4">
        <v>-81</v>
      </c>
      <c r="J461" s="8" t="s">
        <v>39</v>
      </c>
      <c r="K461" s="8" t="s">
        <v>1315</v>
      </c>
      <c r="L461" s="4"/>
      <c r="M461" s="4"/>
      <c r="N461" s="4"/>
    </row>
    <row r="462" spans="1:14" x14ac:dyDescent="0.15">
      <c r="A462" s="8" t="s">
        <v>383</v>
      </c>
      <c r="B462" s="8" t="s">
        <v>1314</v>
      </c>
      <c r="C462" s="8" t="s">
        <v>79</v>
      </c>
      <c r="D462" s="8" t="s">
        <v>289</v>
      </c>
      <c r="E462" s="8" t="s">
        <v>160</v>
      </c>
      <c r="F462" s="8" t="s">
        <v>161</v>
      </c>
      <c r="G462" s="6">
        <v>43028</v>
      </c>
      <c r="H462" s="6">
        <v>43031</v>
      </c>
      <c r="I462" s="4">
        <v>-1</v>
      </c>
      <c r="J462" s="8" t="s">
        <v>37</v>
      </c>
      <c r="K462" s="8" t="s">
        <v>1316</v>
      </c>
      <c r="L462" s="4"/>
      <c r="M462" s="4"/>
      <c r="N462" s="4"/>
    </row>
    <row r="463" spans="1:14" x14ac:dyDescent="0.15">
      <c r="A463" s="8" t="s">
        <v>383</v>
      </c>
      <c r="B463" s="8" t="s">
        <v>1314</v>
      </c>
      <c r="C463" s="8" t="s">
        <v>19</v>
      </c>
      <c r="D463" s="8" t="s">
        <v>35</v>
      </c>
      <c r="E463" s="8" t="s">
        <v>160</v>
      </c>
      <c r="F463" s="8" t="s">
        <v>161</v>
      </c>
      <c r="G463" s="6">
        <v>43028</v>
      </c>
      <c r="H463" s="6">
        <v>43031</v>
      </c>
      <c r="I463" s="4">
        <v>-1</v>
      </c>
      <c r="J463" s="8" t="s">
        <v>37</v>
      </c>
      <c r="K463" s="8" t="s">
        <v>1317</v>
      </c>
      <c r="L463" s="4"/>
      <c r="M463" s="4"/>
      <c r="N463" s="4"/>
    </row>
    <row r="464" spans="1:14" x14ac:dyDescent="0.15">
      <c r="A464" s="8" t="s">
        <v>383</v>
      </c>
      <c r="B464" s="8" t="s">
        <v>1318</v>
      </c>
      <c r="C464" s="8" t="s">
        <v>111</v>
      </c>
      <c r="D464" s="8" t="s">
        <v>112</v>
      </c>
      <c r="E464" s="8" t="s">
        <v>160</v>
      </c>
      <c r="F464" s="8" t="s">
        <v>161</v>
      </c>
      <c r="G464" s="6">
        <v>43033</v>
      </c>
      <c r="H464" s="6">
        <v>43033</v>
      </c>
      <c r="I464" s="4">
        <v>-700</v>
      </c>
      <c r="J464" s="8" t="s">
        <v>39</v>
      </c>
      <c r="K464" s="8" t="s">
        <v>1319</v>
      </c>
      <c r="L464" s="4"/>
      <c r="M464" s="4"/>
      <c r="N464" s="4"/>
    </row>
    <row r="465" spans="1:14" x14ac:dyDescent="0.15">
      <c r="A465" s="8" t="s">
        <v>383</v>
      </c>
      <c r="B465" s="8" t="s">
        <v>1320</v>
      </c>
      <c r="C465" s="8" t="s">
        <v>111</v>
      </c>
      <c r="D465" s="8" t="s">
        <v>112</v>
      </c>
      <c r="E465" s="8" t="s">
        <v>160</v>
      </c>
      <c r="F465" s="8" t="s">
        <v>161</v>
      </c>
      <c r="G465" s="6">
        <v>43033</v>
      </c>
      <c r="H465" s="6">
        <v>43033</v>
      </c>
      <c r="I465" s="4">
        <v>0</v>
      </c>
      <c r="J465" s="8" t="s">
        <v>39</v>
      </c>
      <c r="K465" s="8" t="s">
        <v>1321</v>
      </c>
      <c r="L465" s="4"/>
      <c r="M465" s="4"/>
      <c r="N465" s="4"/>
    </row>
    <row r="466" spans="1:14" x14ac:dyDescent="0.15">
      <c r="A466" s="8" t="s">
        <v>383</v>
      </c>
      <c r="B466" s="8" t="s">
        <v>1320</v>
      </c>
      <c r="C466" s="8" t="s">
        <v>57</v>
      </c>
      <c r="D466" s="8" t="s">
        <v>113</v>
      </c>
      <c r="E466" s="8" t="s">
        <v>160</v>
      </c>
      <c r="F466" s="8" t="s">
        <v>161</v>
      </c>
      <c r="G466" s="6">
        <v>43033</v>
      </c>
      <c r="H466" s="6">
        <v>43038</v>
      </c>
      <c r="I466" s="4">
        <v>-150</v>
      </c>
      <c r="J466" s="8" t="s">
        <v>39</v>
      </c>
      <c r="K466" s="8" t="s">
        <v>1322</v>
      </c>
      <c r="L466" s="4"/>
      <c r="M466" s="4"/>
      <c r="N466" s="4"/>
    </row>
    <row r="467" spans="1:14" x14ac:dyDescent="0.15">
      <c r="A467" s="8" t="s">
        <v>383</v>
      </c>
      <c r="B467" s="8" t="s">
        <v>1323</v>
      </c>
      <c r="C467" s="8" t="s">
        <v>67</v>
      </c>
      <c r="D467" s="8" t="s">
        <v>162</v>
      </c>
      <c r="E467" s="8" t="s">
        <v>160</v>
      </c>
      <c r="F467" s="8" t="s">
        <v>161</v>
      </c>
      <c r="G467" s="6">
        <v>43033</v>
      </c>
      <c r="H467" s="6">
        <v>43038</v>
      </c>
      <c r="I467" s="4">
        <v>-17</v>
      </c>
      <c r="J467" s="8" t="s">
        <v>37</v>
      </c>
      <c r="K467" s="8" t="s">
        <v>1324</v>
      </c>
      <c r="L467" s="4"/>
      <c r="M467" s="4"/>
      <c r="N467" s="4"/>
    </row>
    <row r="468" spans="1:14" x14ac:dyDescent="0.15">
      <c r="A468" s="8" t="s">
        <v>383</v>
      </c>
      <c r="B468" s="8" t="s">
        <v>1323</v>
      </c>
      <c r="C468" s="8" t="s">
        <v>67</v>
      </c>
      <c r="D468" s="8" t="s">
        <v>162</v>
      </c>
      <c r="E468" s="8" t="s">
        <v>160</v>
      </c>
      <c r="F468" s="8" t="s">
        <v>161</v>
      </c>
      <c r="G468" s="6">
        <v>43033</v>
      </c>
      <c r="H468" s="6">
        <v>43038</v>
      </c>
      <c r="I468" s="4">
        <v>-3</v>
      </c>
      <c r="J468" s="8" t="s">
        <v>37</v>
      </c>
      <c r="K468" s="8" t="s">
        <v>1325</v>
      </c>
      <c r="L468" s="4"/>
      <c r="M468" s="4"/>
      <c r="N468" s="4"/>
    </row>
    <row r="469" spans="1:14" x14ac:dyDescent="0.15">
      <c r="A469" s="8" t="s">
        <v>383</v>
      </c>
      <c r="B469" s="8" t="s">
        <v>1326</v>
      </c>
      <c r="C469" s="8" t="s">
        <v>267</v>
      </c>
      <c r="D469" s="8" t="s">
        <v>267</v>
      </c>
      <c r="E469" s="8" t="s">
        <v>160</v>
      </c>
      <c r="F469" s="8" t="s">
        <v>161</v>
      </c>
      <c r="G469" s="6">
        <v>43033</v>
      </c>
      <c r="H469" s="6">
        <v>43033</v>
      </c>
      <c r="I469" s="4">
        <v>0</v>
      </c>
      <c r="J469" s="8" t="s">
        <v>133</v>
      </c>
      <c r="K469" s="8" t="s">
        <v>1327</v>
      </c>
      <c r="L469" s="4"/>
      <c r="M469" s="4"/>
      <c r="N469" s="4"/>
    </row>
    <row r="470" spans="1:14" x14ac:dyDescent="0.15">
      <c r="A470" s="8" t="s">
        <v>383</v>
      </c>
      <c r="B470" s="8" t="s">
        <v>1326</v>
      </c>
      <c r="C470" s="8" t="s">
        <v>77</v>
      </c>
      <c r="D470" s="8" t="s">
        <v>287</v>
      </c>
      <c r="E470" s="8" t="s">
        <v>160</v>
      </c>
      <c r="F470" s="8" t="s">
        <v>161</v>
      </c>
      <c r="G470" s="6">
        <v>43038</v>
      </c>
      <c r="H470" s="6">
        <v>43039</v>
      </c>
      <c r="I470" s="4">
        <v>-14</v>
      </c>
      <c r="J470" s="8" t="s">
        <v>39</v>
      </c>
      <c r="K470" s="8" t="s">
        <v>1328</v>
      </c>
      <c r="L470" s="4"/>
      <c r="M470" s="4"/>
      <c r="N470" s="4"/>
    </row>
    <row r="471" spans="1:14" x14ac:dyDescent="0.15">
      <c r="A471" s="8" t="s">
        <v>383</v>
      </c>
      <c r="B471" s="8" t="s">
        <v>1326</v>
      </c>
      <c r="C471" s="8" t="s">
        <v>67</v>
      </c>
      <c r="D471" s="8" t="s">
        <v>162</v>
      </c>
      <c r="E471" s="8" t="s">
        <v>160</v>
      </c>
      <c r="F471" s="8" t="s">
        <v>161</v>
      </c>
      <c r="G471" s="6">
        <v>43038</v>
      </c>
      <c r="H471" s="6">
        <v>43039</v>
      </c>
      <c r="I471" s="4">
        <v>-1</v>
      </c>
      <c r="J471" s="8" t="s">
        <v>37</v>
      </c>
      <c r="K471" s="8" t="s">
        <v>1329</v>
      </c>
      <c r="L471" s="4"/>
      <c r="M471" s="4"/>
      <c r="N471" s="4"/>
    </row>
    <row r="472" spans="1:14" x14ac:dyDescent="0.15">
      <c r="A472" s="8" t="s">
        <v>383</v>
      </c>
      <c r="B472" s="8" t="s">
        <v>1330</v>
      </c>
      <c r="C472" s="8" t="s">
        <v>22</v>
      </c>
      <c r="D472" s="8" t="s">
        <v>188</v>
      </c>
      <c r="E472" s="8" t="s">
        <v>160</v>
      </c>
      <c r="F472" s="8" t="s">
        <v>161</v>
      </c>
      <c r="G472" s="6">
        <v>43039</v>
      </c>
      <c r="H472" s="6">
        <v>43039</v>
      </c>
      <c r="I472" s="4">
        <v>-1</v>
      </c>
      <c r="J472" s="8" t="s">
        <v>37</v>
      </c>
      <c r="K472" s="8" t="s">
        <v>1331</v>
      </c>
      <c r="L472" s="4"/>
      <c r="M472" s="4"/>
      <c r="N472" s="4"/>
    </row>
    <row r="473" spans="1:14" x14ac:dyDescent="0.15">
      <c r="A473" s="8" t="s">
        <v>383</v>
      </c>
      <c r="B473" s="8" t="s">
        <v>1330</v>
      </c>
      <c r="C473" s="8" t="s">
        <v>267</v>
      </c>
      <c r="D473" s="8" t="s">
        <v>267</v>
      </c>
      <c r="E473" s="8" t="s">
        <v>160</v>
      </c>
      <c r="F473" s="8" t="s">
        <v>161</v>
      </c>
      <c r="G473" s="6">
        <v>43039</v>
      </c>
      <c r="H473" s="6">
        <v>43039</v>
      </c>
      <c r="I473" s="4">
        <v>-25</v>
      </c>
      <c r="J473" s="8" t="s">
        <v>133</v>
      </c>
      <c r="K473" s="8" t="s">
        <v>1332</v>
      </c>
      <c r="L473" s="4"/>
      <c r="M473" s="4"/>
      <c r="N473" s="4"/>
    </row>
    <row r="474" spans="1:14" x14ac:dyDescent="0.15">
      <c r="A474" s="8" t="s">
        <v>383</v>
      </c>
      <c r="B474" s="8" t="s">
        <v>1330</v>
      </c>
      <c r="C474" s="8" t="s">
        <v>71</v>
      </c>
      <c r="D474" s="8" t="s">
        <v>269</v>
      </c>
      <c r="E474" s="8" t="s">
        <v>160</v>
      </c>
      <c r="F474" s="8" t="s">
        <v>161</v>
      </c>
      <c r="G474" s="6">
        <v>43039</v>
      </c>
      <c r="H474" s="6">
        <v>43039</v>
      </c>
      <c r="I474" s="4">
        <v>-1950</v>
      </c>
      <c r="J474" s="8" t="s">
        <v>38</v>
      </c>
      <c r="K474" s="8" t="s">
        <v>1333</v>
      </c>
      <c r="L474" s="4"/>
      <c r="M474" s="4"/>
      <c r="N474" s="4"/>
    </row>
    <row r="475" spans="1:14" x14ac:dyDescent="0.15">
      <c r="A475" s="8" t="s">
        <v>383</v>
      </c>
      <c r="B475" s="8" t="s">
        <v>1334</v>
      </c>
      <c r="C475" s="8" t="s">
        <v>58</v>
      </c>
      <c r="D475" s="8" t="s">
        <v>127</v>
      </c>
      <c r="E475" s="8" t="s">
        <v>160</v>
      </c>
      <c r="F475" s="8" t="s">
        <v>161</v>
      </c>
      <c r="G475" s="6">
        <v>43041</v>
      </c>
      <c r="H475" s="6">
        <v>43042</v>
      </c>
      <c r="I475" s="4">
        <v>-43</v>
      </c>
      <c r="J475" s="8" t="s">
        <v>39</v>
      </c>
      <c r="K475" s="8" t="s">
        <v>1335</v>
      </c>
      <c r="L475" s="4"/>
      <c r="M475" s="4"/>
      <c r="N475" s="4"/>
    </row>
    <row r="476" spans="1:14" x14ac:dyDescent="0.15">
      <c r="A476" s="8" t="s">
        <v>383</v>
      </c>
      <c r="B476" s="8" t="s">
        <v>1336</v>
      </c>
      <c r="C476" s="8" t="s">
        <v>111</v>
      </c>
      <c r="D476" s="8" t="s">
        <v>112</v>
      </c>
      <c r="E476" s="8" t="s">
        <v>160</v>
      </c>
      <c r="F476" s="8" t="s">
        <v>161</v>
      </c>
      <c r="G476" s="6">
        <v>43041</v>
      </c>
      <c r="H476" s="6">
        <v>43042</v>
      </c>
      <c r="I476" s="4">
        <v>-100</v>
      </c>
      <c r="J476" s="8" t="s">
        <v>39</v>
      </c>
      <c r="K476" s="8" t="s">
        <v>1337</v>
      </c>
      <c r="L476" s="4"/>
      <c r="M476" s="4"/>
      <c r="N476" s="4"/>
    </row>
    <row r="477" spans="1:14" x14ac:dyDescent="0.15">
      <c r="A477" s="8" t="s">
        <v>383</v>
      </c>
      <c r="B477" s="8" t="s">
        <v>1338</v>
      </c>
      <c r="C477" s="8" t="s">
        <v>58</v>
      </c>
      <c r="D477" s="8" t="s">
        <v>127</v>
      </c>
      <c r="E477" s="8" t="s">
        <v>160</v>
      </c>
      <c r="F477" s="8" t="s">
        <v>161</v>
      </c>
      <c r="G477" s="6">
        <v>43041</v>
      </c>
      <c r="H477" s="6">
        <v>43042</v>
      </c>
      <c r="I477" s="4">
        <v>-11</v>
      </c>
      <c r="J477" s="8" t="s">
        <v>39</v>
      </c>
      <c r="K477" s="8" t="s">
        <v>1339</v>
      </c>
      <c r="L477" s="4"/>
      <c r="M477" s="4"/>
      <c r="N477" s="4"/>
    </row>
    <row r="478" spans="1:14" x14ac:dyDescent="0.15">
      <c r="A478" s="8" t="s">
        <v>383</v>
      </c>
      <c r="B478" s="8" t="s">
        <v>1338</v>
      </c>
      <c r="C478" s="8" t="s">
        <v>19</v>
      </c>
      <c r="D478" s="8" t="s">
        <v>35</v>
      </c>
      <c r="E478" s="8" t="s">
        <v>160</v>
      </c>
      <c r="F478" s="8" t="s">
        <v>161</v>
      </c>
      <c r="G478" s="6">
        <v>43042</v>
      </c>
      <c r="H478" s="6">
        <v>43042</v>
      </c>
      <c r="I478" s="4">
        <v>-1</v>
      </c>
      <c r="J478" s="8" t="s">
        <v>37</v>
      </c>
      <c r="K478" s="8" t="s">
        <v>1340</v>
      </c>
      <c r="L478" s="4"/>
      <c r="M478" s="4"/>
      <c r="N478" s="4"/>
    </row>
    <row r="479" spans="1:14" x14ac:dyDescent="0.15">
      <c r="A479" s="8" t="s">
        <v>383</v>
      </c>
      <c r="B479" s="8" t="s">
        <v>1341</v>
      </c>
      <c r="C479" s="8" t="s">
        <v>76</v>
      </c>
      <c r="D479" s="8" t="s">
        <v>110</v>
      </c>
      <c r="E479" s="8" t="s">
        <v>160</v>
      </c>
      <c r="F479" s="8" t="s">
        <v>161</v>
      </c>
      <c r="G479" s="6">
        <v>43042</v>
      </c>
      <c r="H479" s="6">
        <v>43047</v>
      </c>
      <c r="I479" s="4">
        <v>-13</v>
      </c>
      <c r="J479" s="8" t="s">
        <v>39</v>
      </c>
      <c r="K479" s="8" t="s">
        <v>1342</v>
      </c>
      <c r="L479" s="4"/>
      <c r="M479" s="4"/>
      <c r="N479" s="4"/>
    </row>
    <row r="480" spans="1:14" x14ac:dyDescent="0.15">
      <c r="A480" s="8" t="s">
        <v>383</v>
      </c>
      <c r="B480" s="8" t="s">
        <v>1341</v>
      </c>
      <c r="C480" s="8" t="s">
        <v>79</v>
      </c>
      <c r="D480" s="8" t="s">
        <v>289</v>
      </c>
      <c r="E480" s="8" t="s">
        <v>160</v>
      </c>
      <c r="F480" s="8" t="s">
        <v>161</v>
      </c>
      <c r="G480" s="6">
        <v>43042</v>
      </c>
      <c r="H480" s="6">
        <v>43047</v>
      </c>
      <c r="I480" s="4">
        <v>-1</v>
      </c>
      <c r="J480" s="8" t="s">
        <v>37</v>
      </c>
      <c r="K480" s="8" t="s">
        <v>1343</v>
      </c>
      <c r="L480" s="4"/>
      <c r="M480" s="4"/>
      <c r="N480" s="4"/>
    </row>
    <row r="481" spans="1:14" x14ac:dyDescent="0.15">
      <c r="A481" s="8" t="s">
        <v>383</v>
      </c>
      <c r="B481" s="8" t="s">
        <v>1341</v>
      </c>
      <c r="C481" s="8" t="s">
        <v>67</v>
      </c>
      <c r="D481" s="8" t="s">
        <v>162</v>
      </c>
      <c r="E481" s="8" t="s">
        <v>160</v>
      </c>
      <c r="F481" s="8" t="s">
        <v>161</v>
      </c>
      <c r="G481" s="6">
        <v>43042</v>
      </c>
      <c r="H481" s="6">
        <v>43047</v>
      </c>
      <c r="I481" s="4">
        <v>-1</v>
      </c>
      <c r="J481" s="8" t="s">
        <v>37</v>
      </c>
      <c r="K481" s="8" t="s">
        <v>1344</v>
      </c>
      <c r="L481" s="4"/>
      <c r="M481" s="4"/>
      <c r="N481" s="4"/>
    </row>
    <row r="482" spans="1:14" x14ac:dyDescent="0.15">
      <c r="A482" s="8" t="s">
        <v>383</v>
      </c>
      <c r="B482" s="8" t="s">
        <v>1345</v>
      </c>
      <c r="C482" s="8" t="s">
        <v>67</v>
      </c>
      <c r="D482" s="8" t="s">
        <v>162</v>
      </c>
      <c r="E482" s="8" t="s">
        <v>160</v>
      </c>
      <c r="F482" s="8" t="s">
        <v>161</v>
      </c>
      <c r="G482" s="6">
        <v>43042</v>
      </c>
      <c r="H482" s="6">
        <v>43046</v>
      </c>
      <c r="I482" s="4">
        <v>-1</v>
      </c>
      <c r="J482" s="8" t="s">
        <v>37</v>
      </c>
      <c r="K482" s="8" t="s">
        <v>1346</v>
      </c>
      <c r="L482" s="4"/>
      <c r="M482" s="4"/>
      <c r="N482" s="4"/>
    </row>
    <row r="483" spans="1:14" x14ac:dyDescent="0.15">
      <c r="A483" s="8" t="s">
        <v>383</v>
      </c>
      <c r="B483" s="8" t="s">
        <v>1347</v>
      </c>
      <c r="C483" s="8" t="s">
        <v>101</v>
      </c>
      <c r="D483" s="8" t="s">
        <v>102</v>
      </c>
      <c r="E483" s="8" t="s">
        <v>160</v>
      </c>
      <c r="F483" s="8" t="s">
        <v>161</v>
      </c>
      <c r="G483" s="6">
        <v>43046</v>
      </c>
      <c r="H483" s="6">
        <v>43047</v>
      </c>
      <c r="I483" s="4">
        <v>-300</v>
      </c>
      <c r="J483" s="8" t="s">
        <v>39</v>
      </c>
      <c r="K483" s="8" t="s">
        <v>1348</v>
      </c>
      <c r="L483" s="4"/>
      <c r="M483" s="4"/>
      <c r="N483" s="4"/>
    </row>
    <row r="484" spans="1:14" x14ac:dyDescent="0.15">
      <c r="A484" s="8" t="s">
        <v>383</v>
      </c>
      <c r="B484" s="8" t="s">
        <v>1349</v>
      </c>
      <c r="C484" s="8" t="s">
        <v>68</v>
      </c>
      <c r="D484" s="8" t="s">
        <v>166</v>
      </c>
      <c r="E484" s="8" t="s">
        <v>160</v>
      </c>
      <c r="F484" s="8" t="s">
        <v>161</v>
      </c>
      <c r="G484" s="6">
        <v>43047</v>
      </c>
      <c r="H484" s="6">
        <v>43047</v>
      </c>
      <c r="I484" s="4">
        <v>-2</v>
      </c>
      <c r="J484" s="8" t="s">
        <v>37</v>
      </c>
      <c r="K484" s="8" t="s">
        <v>1350</v>
      </c>
      <c r="L484" s="4"/>
      <c r="M484" s="4"/>
      <c r="N484" s="4"/>
    </row>
    <row r="485" spans="1:14" x14ac:dyDescent="0.15">
      <c r="A485" s="8" t="s">
        <v>383</v>
      </c>
      <c r="B485" s="8" t="s">
        <v>1349</v>
      </c>
      <c r="C485" s="8" t="s">
        <v>19</v>
      </c>
      <c r="D485" s="8" t="s">
        <v>35</v>
      </c>
      <c r="E485" s="8" t="s">
        <v>160</v>
      </c>
      <c r="F485" s="8" t="s">
        <v>161</v>
      </c>
      <c r="G485" s="6">
        <v>43047</v>
      </c>
      <c r="H485" s="6">
        <v>43047</v>
      </c>
      <c r="I485" s="4">
        <v>-1</v>
      </c>
      <c r="J485" s="8" t="s">
        <v>37</v>
      </c>
      <c r="K485" s="8" t="s">
        <v>1351</v>
      </c>
      <c r="L485" s="4"/>
      <c r="M485" s="4"/>
      <c r="N485" s="4"/>
    </row>
    <row r="486" spans="1:14" x14ac:dyDescent="0.15">
      <c r="A486" s="8" t="s">
        <v>383</v>
      </c>
      <c r="B486" s="8" t="s">
        <v>1352</v>
      </c>
      <c r="C486" s="8" t="s">
        <v>101</v>
      </c>
      <c r="D486" s="8" t="s">
        <v>102</v>
      </c>
      <c r="E486" s="8" t="s">
        <v>160</v>
      </c>
      <c r="F486" s="8" t="s">
        <v>161</v>
      </c>
      <c r="G486" s="6">
        <v>43048</v>
      </c>
      <c r="H486" s="6">
        <v>43054</v>
      </c>
      <c r="I486" s="4">
        <v>-200</v>
      </c>
      <c r="J486" s="8" t="s">
        <v>39</v>
      </c>
      <c r="K486" s="8" t="s">
        <v>1353</v>
      </c>
      <c r="L486" s="4"/>
      <c r="M486" s="4"/>
      <c r="N486" s="4"/>
    </row>
    <row r="487" spans="1:14" x14ac:dyDescent="0.15">
      <c r="A487" s="8" t="s">
        <v>383</v>
      </c>
      <c r="B487" s="8" t="s">
        <v>1354</v>
      </c>
      <c r="C487" s="8" t="s">
        <v>22</v>
      </c>
      <c r="D487" s="8" t="s">
        <v>188</v>
      </c>
      <c r="E487" s="8" t="s">
        <v>160</v>
      </c>
      <c r="F487" s="8" t="s">
        <v>161</v>
      </c>
      <c r="G487" s="6">
        <v>43049</v>
      </c>
      <c r="H487" s="6">
        <v>43054</v>
      </c>
      <c r="I487" s="4">
        <v>-1</v>
      </c>
      <c r="J487" s="8" t="s">
        <v>37</v>
      </c>
      <c r="K487" s="8" t="s">
        <v>1355</v>
      </c>
      <c r="L487" s="4"/>
      <c r="M487" s="4"/>
      <c r="N487" s="4"/>
    </row>
    <row r="488" spans="1:14" x14ac:dyDescent="0.15">
      <c r="A488" s="8" t="s">
        <v>383</v>
      </c>
      <c r="B488" s="8" t="s">
        <v>1354</v>
      </c>
      <c r="C488" s="8" t="s">
        <v>71</v>
      </c>
      <c r="D488" s="8" t="s">
        <v>269</v>
      </c>
      <c r="E488" s="8" t="s">
        <v>160</v>
      </c>
      <c r="F488" s="8" t="s">
        <v>161</v>
      </c>
      <c r="G488" s="6">
        <v>43049</v>
      </c>
      <c r="H488" s="6">
        <v>43054</v>
      </c>
      <c r="I488" s="4">
        <v>-825</v>
      </c>
      <c r="J488" s="8" t="s">
        <v>38</v>
      </c>
      <c r="K488" s="8" t="s">
        <v>1356</v>
      </c>
      <c r="L488" s="4"/>
      <c r="M488" s="4"/>
      <c r="N488" s="4"/>
    </row>
    <row r="489" spans="1:14" x14ac:dyDescent="0.15">
      <c r="A489" s="8" t="s">
        <v>383</v>
      </c>
      <c r="B489" s="8" t="s">
        <v>1354</v>
      </c>
      <c r="C489" s="8" t="s">
        <v>18</v>
      </c>
      <c r="D489" s="8" t="s">
        <v>269</v>
      </c>
      <c r="E489" s="8" t="s">
        <v>160</v>
      </c>
      <c r="F489" s="8" t="s">
        <v>161</v>
      </c>
      <c r="G489" s="6">
        <v>43049</v>
      </c>
      <c r="H489" s="6">
        <v>43054</v>
      </c>
      <c r="I489" s="4">
        <v>-390</v>
      </c>
      <c r="J489" s="8" t="s">
        <v>38</v>
      </c>
      <c r="K489" s="8" t="s">
        <v>1357</v>
      </c>
      <c r="L489" s="4"/>
      <c r="M489" s="4"/>
      <c r="N489" s="4"/>
    </row>
    <row r="490" spans="1:14" x14ac:dyDescent="0.15">
      <c r="A490" s="8" t="s">
        <v>383</v>
      </c>
      <c r="B490" s="8" t="s">
        <v>1358</v>
      </c>
      <c r="C490" s="8" t="s">
        <v>144</v>
      </c>
      <c r="D490" s="8" t="s">
        <v>211</v>
      </c>
      <c r="E490" s="8" t="s">
        <v>160</v>
      </c>
      <c r="F490" s="8" t="s">
        <v>161</v>
      </c>
      <c r="G490" s="6">
        <v>43049</v>
      </c>
      <c r="H490" s="6">
        <v>43063</v>
      </c>
      <c r="I490" s="4">
        <v>-31.15</v>
      </c>
      <c r="J490" s="8" t="s">
        <v>38</v>
      </c>
      <c r="K490" s="8" t="s">
        <v>1359</v>
      </c>
      <c r="L490" s="4"/>
      <c r="M490" s="4"/>
      <c r="N490" s="4"/>
    </row>
    <row r="491" spans="1:14" x14ac:dyDescent="0.15">
      <c r="A491" s="8" t="s">
        <v>383</v>
      </c>
      <c r="B491" s="8" t="s">
        <v>1358</v>
      </c>
      <c r="C491" s="8" t="s">
        <v>145</v>
      </c>
      <c r="D491" s="8" t="s">
        <v>280</v>
      </c>
      <c r="E491" s="8" t="s">
        <v>160</v>
      </c>
      <c r="F491" s="8" t="s">
        <v>161</v>
      </c>
      <c r="G491" s="6">
        <v>43049</v>
      </c>
      <c r="H491" s="6">
        <v>43063</v>
      </c>
      <c r="I491" s="4">
        <v>-65</v>
      </c>
      <c r="J491" s="8" t="s">
        <v>38</v>
      </c>
      <c r="K491" s="8" t="s">
        <v>1360</v>
      </c>
      <c r="L491" s="4"/>
      <c r="M491" s="4"/>
      <c r="N491" s="4"/>
    </row>
    <row r="492" spans="1:14" x14ac:dyDescent="0.15">
      <c r="A492" s="8" t="s">
        <v>383</v>
      </c>
      <c r="B492" s="8" t="s">
        <v>1358</v>
      </c>
      <c r="C492" s="8" t="s">
        <v>67</v>
      </c>
      <c r="D492" s="8" t="s">
        <v>162</v>
      </c>
      <c r="E492" s="8" t="s">
        <v>160</v>
      </c>
      <c r="F492" s="8" t="s">
        <v>161</v>
      </c>
      <c r="G492" s="6">
        <v>43049</v>
      </c>
      <c r="H492" s="6">
        <v>43063</v>
      </c>
      <c r="I492" s="4">
        <v>-2</v>
      </c>
      <c r="J492" s="8" t="s">
        <v>37</v>
      </c>
      <c r="K492" s="8" t="s">
        <v>1361</v>
      </c>
      <c r="L492" s="4"/>
      <c r="M492" s="4"/>
      <c r="N492" s="4"/>
    </row>
    <row r="493" spans="1:14" x14ac:dyDescent="0.15">
      <c r="A493" s="8" t="s">
        <v>383</v>
      </c>
      <c r="B493" s="8" t="s">
        <v>1358</v>
      </c>
      <c r="C493" s="8" t="s">
        <v>68</v>
      </c>
      <c r="D493" s="8" t="s">
        <v>166</v>
      </c>
      <c r="E493" s="8" t="s">
        <v>160</v>
      </c>
      <c r="F493" s="8" t="s">
        <v>161</v>
      </c>
      <c r="G493" s="6">
        <v>43049</v>
      </c>
      <c r="H493" s="6">
        <v>43063</v>
      </c>
      <c r="I493" s="4">
        <v>-12</v>
      </c>
      <c r="J493" s="8" t="s">
        <v>37</v>
      </c>
      <c r="K493" s="8" t="s">
        <v>1362</v>
      </c>
      <c r="L493" s="4"/>
      <c r="M493" s="4"/>
      <c r="N493" s="4"/>
    </row>
    <row r="494" spans="1:14" x14ac:dyDescent="0.15">
      <c r="A494" s="8" t="s">
        <v>383</v>
      </c>
      <c r="B494" s="8" t="s">
        <v>1363</v>
      </c>
      <c r="C494" s="8" t="s">
        <v>123</v>
      </c>
      <c r="D494" s="8" t="s">
        <v>124</v>
      </c>
      <c r="E494" s="8" t="s">
        <v>160</v>
      </c>
      <c r="F494" s="8" t="s">
        <v>161</v>
      </c>
      <c r="G494" s="6">
        <v>43052</v>
      </c>
      <c r="H494" s="6">
        <v>43054</v>
      </c>
      <c r="I494" s="4">
        <v>-300</v>
      </c>
      <c r="J494" s="8" t="s">
        <v>39</v>
      </c>
      <c r="K494" s="8" t="s">
        <v>1364</v>
      </c>
      <c r="L494" s="4"/>
      <c r="M494" s="4"/>
      <c r="N494" s="4"/>
    </row>
    <row r="495" spans="1:14" x14ac:dyDescent="0.15">
      <c r="A495" s="8" t="s">
        <v>383</v>
      </c>
      <c r="B495" s="8" t="s">
        <v>1365</v>
      </c>
      <c r="C495" s="8" t="s">
        <v>111</v>
      </c>
      <c r="D495" s="8" t="s">
        <v>112</v>
      </c>
      <c r="E495" s="8" t="s">
        <v>160</v>
      </c>
      <c r="F495" s="8" t="s">
        <v>161</v>
      </c>
      <c r="G495" s="6">
        <v>43052</v>
      </c>
      <c r="H495" s="6">
        <v>43053</v>
      </c>
      <c r="I495" s="4">
        <v>-27</v>
      </c>
      <c r="J495" s="8" t="s">
        <v>39</v>
      </c>
      <c r="K495" s="8" t="s">
        <v>1366</v>
      </c>
      <c r="L495" s="4"/>
      <c r="M495" s="4"/>
      <c r="N495" s="4"/>
    </row>
    <row r="496" spans="1:14" x14ac:dyDescent="0.15">
      <c r="A496" s="8" t="s">
        <v>383</v>
      </c>
      <c r="B496" s="8" t="s">
        <v>1365</v>
      </c>
      <c r="C496" s="8" t="s">
        <v>111</v>
      </c>
      <c r="D496" s="8" t="s">
        <v>112</v>
      </c>
      <c r="E496" s="8" t="s">
        <v>160</v>
      </c>
      <c r="F496" s="8" t="s">
        <v>161</v>
      </c>
      <c r="G496" s="6">
        <v>43053</v>
      </c>
      <c r="H496" s="6">
        <v>43053</v>
      </c>
      <c r="I496" s="4">
        <v>27</v>
      </c>
      <c r="J496" s="8" t="s">
        <v>39</v>
      </c>
      <c r="K496" s="8" t="s">
        <v>1366</v>
      </c>
      <c r="L496" s="4"/>
      <c r="M496" s="4"/>
      <c r="N496" s="4"/>
    </row>
    <row r="497" spans="1:14" x14ac:dyDescent="0.15">
      <c r="A497" s="8" t="s">
        <v>383</v>
      </c>
      <c r="B497" s="8" t="s">
        <v>1367</v>
      </c>
      <c r="C497" s="8" t="s">
        <v>73</v>
      </c>
      <c r="D497" s="8" t="s">
        <v>125</v>
      </c>
      <c r="E497" s="8" t="s">
        <v>160</v>
      </c>
      <c r="F497" s="8" t="s">
        <v>161</v>
      </c>
      <c r="G497" s="6">
        <v>43052</v>
      </c>
      <c r="H497" s="6">
        <v>43056</v>
      </c>
      <c r="I497" s="4">
        <v>-2.2999999999999998</v>
      </c>
      <c r="J497" s="8" t="s">
        <v>38</v>
      </c>
      <c r="K497" s="8" t="s">
        <v>1368</v>
      </c>
      <c r="L497" s="4"/>
      <c r="M497" s="4"/>
      <c r="N497" s="4"/>
    </row>
    <row r="498" spans="1:14" x14ac:dyDescent="0.15">
      <c r="A498" s="8" t="s">
        <v>383</v>
      </c>
      <c r="B498" s="8" t="s">
        <v>1367</v>
      </c>
      <c r="C498" s="8" t="s">
        <v>76</v>
      </c>
      <c r="D498" s="8" t="s">
        <v>110</v>
      </c>
      <c r="E498" s="8" t="s">
        <v>160</v>
      </c>
      <c r="F498" s="8" t="s">
        <v>161</v>
      </c>
      <c r="G498" s="6">
        <v>43052</v>
      </c>
      <c r="H498" s="6">
        <v>43056</v>
      </c>
      <c r="I498" s="4">
        <v>-100</v>
      </c>
      <c r="J498" s="8" t="s">
        <v>39</v>
      </c>
      <c r="K498" s="8" t="s">
        <v>1369</v>
      </c>
      <c r="L498" s="4"/>
      <c r="M498" s="4"/>
      <c r="N498" s="4"/>
    </row>
    <row r="499" spans="1:14" x14ac:dyDescent="0.15">
      <c r="A499" s="8" t="s">
        <v>383</v>
      </c>
      <c r="B499" s="8" t="s">
        <v>1367</v>
      </c>
      <c r="C499" s="8" t="s">
        <v>63</v>
      </c>
      <c r="D499" s="8" t="s">
        <v>95</v>
      </c>
      <c r="E499" s="8" t="s">
        <v>160</v>
      </c>
      <c r="F499" s="8" t="s">
        <v>161</v>
      </c>
      <c r="G499" s="6">
        <v>43052</v>
      </c>
      <c r="H499" s="6">
        <v>43056</v>
      </c>
      <c r="I499" s="4">
        <v>-100</v>
      </c>
      <c r="J499" s="8" t="s">
        <v>39</v>
      </c>
      <c r="K499" s="8" t="s">
        <v>1370</v>
      </c>
      <c r="L499" s="4"/>
      <c r="M499" s="4"/>
      <c r="N499" s="4"/>
    </row>
    <row r="500" spans="1:14" x14ac:dyDescent="0.15">
      <c r="A500" s="8" t="s">
        <v>383</v>
      </c>
      <c r="B500" s="8" t="s">
        <v>1371</v>
      </c>
      <c r="C500" s="8" t="s">
        <v>54</v>
      </c>
      <c r="D500" s="8" t="s">
        <v>169</v>
      </c>
      <c r="E500" s="8" t="s">
        <v>160</v>
      </c>
      <c r="F500" s="8" t="s">
        <v>161</v>
      </c>
      <c r="G500" s="6">
        <v>43053</v>
      </c>
      <c r="H500" s="6">
        <v>43056</v>
      </c>
      <c r="I500" s="4">
        <v>-30</v>
      </c>
      <c r="J500" s="8" t="s">
        <v>38</v>
      </c>
      <c r="K500" s="8" t="s">
        <v>1372</v>
      </c>
      <c r="L500" s="4"/>
      <c r="M500" s="4"/>
      <c r="N500" s="4"/>
    </row>
    <row r="501" spans="1:14" x14ac:dyDescent="0.15">
      <c r="A501" s="8" t="s">
        <v>383</v>
      </c>
      <c r="B501" s="8" t="s">
        <v>1371</v>
      </c>
      <c r="C501" s="8" t="s">
        <v>68</v>
      </c>
      <c r="D501" s="8" t="s">
        <v>166</v>
      </c>
      <c r="E501" s="8" t="s">
        <v>160</v>
      </c>
      <c r="F501" s="8" t="s">
        <v>161</v>
      </c>
      <c r="G501" s="6">
        <v>43053</v>
      </c>
      <c r="H501" s="6">
        <v>43056</v>
      </c>
      <c r="I501" s="4">
        <v>-2</v>
      </c>
      <c r="J501" s="8" t="s">
        <v>37</v>
      </c>
      <c r="K501" s="8" t="s">
        <v>1373</v>
      </c>
      <c r="L501" s="4"/>
      <c r="M501" s="4"/>
      <c r="N501" s="4"/>
    </row>
    <row r="502" spans="1:14" x14ac:dyDescent="0.15">
      <c r="A502" s="8" t="s">
        <v>383</v>
      </c>
      <c r="B502" s="8" t="s">
        <v>1374</v>
      </c>
      <c r="C502" s="8" t="s">
        <v>111</v>
      </c>
      <c r="D502" s="8" t="s">
        <v>112</v>
      </c>
      <c r="E502" s="8" t="s">
        <v>160</v>
      </c>
      <c r="F502" s="8" t="s">
        <v>161</v>
      </c>
      <c r="G502" s="6">
        <v>43053</v>
      </c>
      <c r="H502" s="6">
        <v>43054</v>
      </c>
      <c r="I502" s="4">
        <v>-34</v>
      </c>
      <c r="J502" s="8" t="s">
        <v>39</v>
      </c>
      <c r="K502" s="8" t="s">
        <v>1375</v>
      </c>
      <c r="L502" s="4"/>
      <c r="M502" s="4"/>
      <c r="N502" s="4"/>
    </row>
    <row r="503" spans="1:14" x14ac:dyDescent="0.15">
      <c r="A503" s="8" t="s">
        <v>383</v>
      </c>
      <c r="B503" s="8" t="s">
        <v>1376</v>
      </c>
      <c r="C503" s="8" t="s">
        <v>77</v>
      </c>
      <c r="D503" s="8" t="s">
        <v>287</v>
      </c>
      <c r="E503" s="8" t="s">
        <v>160</v>
      </c>
      <c r="F503" s="8" t="s">
        <v>161</v>
      </c>
      <c r="G503" s="6">
        <v>43055</v>
      </c>
      <c r="H503" s="6">
        <v>43056</v>
      </c>
      <c r="I503" s="4">
        <v>-100</v>
      </c>
      <c r="J503" s="8" t="s">
        <v>39</v>
      </c>
      <c r="K503" s="8" t="s">
        <v>1377</v>
      </c>
      <c r="L503" s="4"/>
      <c r="M503" s="4"/>
      <c r="N503" s="4"/>
    </row>
    <row r="504" spans="1:14" x14ac:dyDescent="0.15">
      <c r="A504" s="8" t="s">
        <v>383</v>
      </c>
      <c r="B504" s="8" t="s">
        <v>1376</v>
      </c>
      <c r="C504" s="8" t="s">
        <v>67</v>
      </c>
      <c r="D504" s="8" t="s">
        <v>162</v>
      </c>
      <c r="E504" s="8" t="s">
        <v>160</v>
      </c>
      <c r="F504" s="8" t="s">
        <v>161</v>
      </c>
      <c r="G504" s="6">
        <v>43055</v>
      </c>
      <c r="H504" s="6">
        <v>43056</v>
      </c>
      <c r="I504" s="4">
        <v>-5</v>
      </c>
      <c r="J504" s="8" t="s">
        <v>37</v>
      </c>
      <c r="K504" s="8" t="s">
        <v>1378</v>
      </c>
      <c r="L504" s="4"/>
      <c r="M504" s="4"/>
      <c r="N504" s="4"/>
    </row>
    <row r="505" spans="1:14" x14ac:dyDescent="0.15">
      <c r="A505" s="8" t="s">
        <v>383</v>
      </c>
      <c r="B505" s="8" t="s">
        <v>1379</v>
      </c>
      <c r="C505" s="8" t="s">
        <v>67</v>
      </c>
      <c r="D505" s="8" t="s">
        <v>162</v>
      </c>
      <c r="E505" s="8" t="s">
        <v>160</v>
      </c>
      <c r="F505" s="8" t="s">
        <v>161</v>
      </c>
      <c r="G505" s="6">
        <v>43055</v>
      </c>
      <c r="H505" s="6">
        <v>43056</v>
      </c>
      <c r="I505" s="4">
        <v>-14</v>
      </c>
      <c r="J505" s="8" t="s">
        <v>37</v>
      </c>
      <c r="K505" s="8" t="s">
        <v>1380</v>
      </c>
      <c r="L505" s="4"/>
      <c r="M505" s="4"/>
      <c r="N505" s="4"/>
    </row>
    <row r="506" spans="1:14" ht="27" x14ac:dyDescent="0.15">
      <c r="A506" s="8" t="s">
        <v>383</v>
      </c>
      <c r="B506" s="8" t="s">
        <v>1381</v>
      </c>
      <c r="C506" s="8" t="s">
        <v>136</v>
      </c>
      <c r="D506" s="11" t="s">
        <v>174</v>
      </c>
      <c r="E506" s="8" t="s">
        <v>160</v>
      </c>
      <c r="F506" s="8" t="s">
        <v>161</v>
      </c>
      <c r="G506" s="6">
        <v>43056</v>
      </c>
      <c r="H506" s="6">
        <v>43056</v>
      </c>
      <c r="I506" s="4">
        <v>-97.5</v>
      </c>
      <c r="J506" s="8" t="s">
        <v>38</v>
      </c>
      <c r="K506" s="8" t="s">
        <v>1382</v>
      </c>
      <c r="L506" s="4"/>
      <c r="M506" s="4"/>
      <c r="N506" s="4"/>
    </row>
    <row r="507" spans="1:14" x14ac:dyDescent="0.15">
      <c r="A507" s="8" t="s">
        <v>383</v>
      </c>
      <c r="B507" s="8" t="s">
        <v>1383</v>
      </c>
      <c r="C507" s="8" t="s">
        <v>101</v>
      </c>
      <c r="D507" s="8" t="s">
        <v>102</v>
      </c>
      <c r="E507" s="8" t="s">
        <v>160</v>
      </c>
      <c r="F507" s="8" t="s">
        <v>161</v>
      </c>
      <c r="G507" s="6">
        <v>43056</v>
      </c>
      <c r="H507" s="6">
        <v>43056</v>
      </c>
      <c r="I507" s="4">
        <v>70</v>
      </c>
      <c r="J507" s="8" t="s">
        <v>39</v>
      </c>
      <c r="K507" s="8" t="s">
        <v>1384</v>
      </c>
      <c r="L507" s="4"/>
      <c r="M507" s="4"/>
      <c r="N507" s="4"/>
    </row>
    <row r="508" spans="1:14" x14ac:dyDescent="0.15">
      <c r="A508" s="8" t="s">
        <v>383</v>
      </c>
      <c r="B508" s="8" t="s">
        <v>1385</v>
      </c>
      <c r="C508" s="8" t="s">
        <v>101</v>
      </c>
      <c r="D508" s="8" t="s">
        <v>102</v>
      </c>
      <c r="E508" s="8" t="s">
        <v>160</v>
      </c>
      <c r="F508" s="8" t="s">
        <v>161</v>
      </c>
      <c r="G508" s="6">
        <v>43059</v>
      </c>
      <c r="H508" s="6">
        <v>43060</v>
      </c>
      <c r="I508" s="4">
        <v>-200</v>
      </c>
      <c r="J508" s="8" t="s">
        <v>39</v>
      </c>
      <c r="K508" s="8" t="s">
        <v>1386</v>
      </c>
      <c r="L508" s="4"/>
      <c r="M508" s="4"/>
      <c r="N508" s="4"/>
    </row>
    <row r="509" spans="1:14" x14ac:dyDescent="0.15">
      <c r="A509" s="8" t="s">
        <v>383</v>
      </c>
      <c r="B509" s="8" t="s">
        <v>1385</v>
      </c>
      <c r="C509" s="8" t="s">
        <v>67</v>
      </c>
      <c r="D509" s="8" t="s">
        <v>162</v>
      </c>
      <c r="E509" s="8" t="s">
        <v>160</v>
      </c>
      <c r="F509" s="8" t="s">
        <v>161</v>
      </c>
      <c r="G509" s="6">
        <v>43059</v>
      </c>
      <c r="H509" s="6">
        <v>43060</v>
      </c>
      <c r="I509" s="4">
        <v>-5</v>
      </c>
      <c r="J509" s="8" t="s">
        <v>37</v>
      </c>
      <c r="K509" s="8" t="s">
        <v>1387</v>
      </c>
      <c r="L509" s="4"/>
      <c r="M509" s="4"/>
      <c r="N509" s="4"/>
    </row>
    <row r="510" spans="1:14" x14ac:dyDescent="0.15">
      <c r="A510" s="8" t="s">
        <v>383</v>
      </c>
      <c r="B510" s="8" t="s">
        <v>1388</v>
      </c>
      <c r="C510" s="8" t="s">
        <v>67</v>
      </c>
      <c r="D510" s="8" t="s">
        <v>162</v>
      </c>
      <c r="E510" s="8" t="s">
        <v>160</v>
      </c>
      <c r="F510" s="8" t="s">
        <v>161</v>
      </c>
      <c r="G510" s="6">
        <v>43059</v>
      </c>
      <c r="H510" s="6">
        <v>43063</v>
      </c>
      <c r="I510" s="4">
        <v>-14</v>
      </c>
      <c r="J510" s="8" t="s">
        <v>37</v>
      </c>
      <c r="K510" s="8" t="s">
        <v>1389</v>
      </c>
      <c r="L510" s="4"/>
      <c r="M510" s="4"/>
      <c r="N510" s="4"/>
    </row>
    <row r="511" spans="1:14" x14ac:dyDescent="0.15">
      <c r="A511" s="8" t="s">
        <v>383</v>
      </c>
      <c r="B511" s="8" t="s">
        <v>1390</v>
      </c>
      <c r="C511" s="8" t="s">
        <v>57</v>
      </c>
      <c r="D511" s="8" t="s">
        <v>113</v>
      </c>
      <c r="E511" s="8" t="s">
        <v>160</v>
      </c>
      <c r="F511" s="8" t="s">
        <v>161</v>
      </c>
      <c r="G511" s="6">
        <v>43059</v>
      </c>
      <c r="H511" s="6">
        <v>43060</v>
      </c>
      <c r="I511" s="4">
        <v>-80</v>
      </c>
      <c r="J511" s="8" t="s">
        <v>39</v>
      </c>
      <c r="K511" s="8" t="s">
        <v>1391</v>
      </c>
      <c r="L511" s="4"/>
      <c r="M511" s="4"/>
      <c r="N511" s="4"/>
    </row>
    <row r="512" spans="1:14" x14ac:dyDescent="0.15">
      <c r="A512" s="8" t="s">
        <v>383</v>
      </c>
      <c r="B512" s="8" t="s">
        <v>1390</v>
      </c>
      <c r="C512" s="8" t="s">
        <v>67</v>
      </c>
      <c r="D512" s="8" t="s">
        <v>162</v>
      </c>
      <c r="E512" s="8" t="s">
        <v>160</v>
      </c>
      <c r="F512" s="8" t="s">
        <v>161</v>
      </c>
      <c r="G512" s="6">
        <v>43059</v>
      </c>
      <c r="H512" s="6">
        <v>43060</v>
      </c>
      <c r="I512" s="4">
        <v>-3</v>
      </c>
      <c r="J512" s="8" t="s">
        <v>37</v>
      </c>
      <c r="K512" s="8" t="s">
        <v>1392</v>
      </c>
      <c r="L512" s="4"/>
      <c r="M512" s="4"/>
      <c r="N512" s="4"/>
    </row>
    <row r="513" spans="1:14" x14ac:dyDescent="0.15">
      <c r="A513" s="8" t="s">
        <v>383</v>
      </c>
      <c r="B513" s="8" t="s">
        <v>1393</v>
      </c>
      <c r="C513" s="8" t="s">
        <v>76</v>
      </c>
      <c r="D513" s="8" t="s">
        <v>110</v>
      </c>
      <c r="E513" s="8" t="s">
        <v>160</v>
      </c>
      <c r="F513" s="8" t="s">
        <v>161</v>
      </c>
      <c r="G513" s="6">
        <v>43060</v>
      </c>
      <c r="H513" s="6">
        <v>43060</v>
      </c>
      <c r="I513" s="4">
        <v>56</v>
      </c>
      <c r="J513" s="8" t="s">
        <v>39</v>
      </c>
      <c r="K513" s="8" t="s">
        <v>1394</v>
      </c>
      <c r="L513" s="4"/>
      <c r="M513" s="4"/>
      <c r="N513" s="4"/>
    </row>
    <row r="514" spans="1:14" x14ac:dyDescent="0.15">
      <c r="A514" s="8" t="s">
        <v>383</v>
      </c>
      <c r="B514" s="8" t="s">
        <v>1393</v>
      </c>
      <c r="C514" s="8" t="s">
        <v>63</v>
      </c>
      <c r="D514" s="8" t="s">
        <v>95</v>
      </c>
      <c r="E514" s="8" t="s">
        <v>160</v>
      </c>
      <c r="F514" s="8" t="s">
        <v>161</v>
      </c>
      <c r="G514" s="6">
        <v>43060</v>
      </c>
      <c r="H514" s="6">
        <v>43060</v>
      </c>
      <c r="I514" s="4">
        <v>61</v>
      </c>
      <c r="J514" s="8" t="s">
        <v>39</v>
      </c>
      <c r="K514" s="8" t="s">
        <v>1395</v>
      </c>
      <c r="L514" s="4"/>
      <c r="M514" s="4"/>
      <c r="N514" s="4"/>
    </row>
    <row r="515" spans="1:14" x14ac:dyDescent="0.15">
      <c r="A515" s="8" t="s">
        <v>383</v>
      </c>
      <c r="B515" s="8" t="s">
        <v>1396</v>
      </c>
      <c r="C515" s="8" t="s">
        <v>103</v>
      </c>
      <c r="D515" s="8" t="s">
        <v>104</v>
      </c>
      <c r="E515" s="8" t="s">
        <v>160</v>
      </c>
      <c r="F515" s="8" t="s">
        <v>161</v>
      </c>
      <c r="G515" s="6">
        <v>43067</v>
      </c>
      <c r="H515" s="6">
        <v>43067</v>
      </c>
      <c r="I515" s="4">
        <v>-4</v>
      </c>
      <c r="J515" s="8" t="s">
        <v>37</v>
      </c>
      <c r="K515" s="8" t="s">
        <v>1397</v>
      </c>
      <c r="L515" s="4"/>
      <c r="M515" s="4"/>
      <c r="N515" s="4"/>
    </row>
    <row r="516" spans="1:14" x14ac:dyDescent="0.15">
      <c r="A516" s="8" t="s">
        <v>383</v>
      </c>
      <c r="B516" s="8" t="s">
        <v>1396</v>
      </c>
      <c r="C516" s="8" t="s">
        <v>205</v>
      </c>
      <c r="D516" s="8" t="s">
        <v>205</v>
      </c>
      <c r="E516" s="8" t="s">
        <v>160</v>
      </c>
      <c r="F516" s="8" t="s">
        <v>161</v>
      </c>
      <c r="G516" s="6">
        <v>43067</v>
      </c>
      <c r="H516" s="6">
        <v>43067</v>
      </c>
      <c r="I516" s="4">
        <v>-1</v>
      </c>
      <c r="J516" s="8" t="s">
        <v>37</v>
      </c>
      <c r="K516" s="8" t="s">
        <v>1398</v>
      </c>
      <c r="L516" s="4"/>
      <c r="M516" s="4"/>
      <c r="N516" s="4"/>
    </row>
    <row r="517" spans="1:14" x14ac:dyDescent="0.15">
      <c r="A517" s="8" t="s">
        <v>383</v>
      </c>
      <c r="B517" s="8" t="s">
        <v>1399</v>
      </c>
      <c r="C517" s="8" t="s">
        <v>54</v>
      </c>
      <c r="D517" s="8" t="s">
        <v>169</v>
      </c>
      <c r="E517" s="8" t="s">
        <v>160</v>
      </c>
      <c r="F517" s="8" t="s">
        <v>161</v>
      </c>
      <c r="G517" s="6">
        <v>43061</v>
      </c>
      <c r="H517" s="6">
        <v>43063</v>
      </c>
      <c r="I517" s="4">
        <v>-60</v>
      </c>
      <c r="J517" s="8" t="s">
        <v>38</v>
      </c>
      <c r="K517" s="8" t="s">
        <v>1400</v>
      </c>
      <c r="L517" s="4"/>
      <c r="M517" s="4"/>
      <c r="N517" s="4"/>
    </row>
    <row r="518" spans="1:14" x14ac:dyDescent="0.15">
      <c r="A518" s="8" t="s">
        <v>383</v>
      </c>
      <c r="B518" s="8" t="s">
        <v>1399</v>
      </c>
      <c r="C518" s="8" t="s">
        <v>67</v>
      </c>
      <c r="D518" s="8" t="s">
        <v>162</v>
      </c>
      <c r="E518" s="8" t="s">
        <v>160</v>
      </c>
      <c r="F518" s="8" t="s">
        <v>161</v>
      </c>
      <c r="G518" s="6">
        <v>43061</v>
      </c>
      <c r="H518" s="6">
        <v>43063</v>
      </c>
      <c r="I518" s="4">
        <v>-1</v>
      </c>
      <c r="J518" s="8" t="s">
        <v>37</v>
      </c>
      <c r="K518" s="8" t="s">
        <v>1401</v>
      </c>
      <c r="L518" s="4"/>
      <c r="M518" s="4"/>
      <c r="N518" s="4"/>
    </row>
    <row r="519" spans="1:14" x14ac:dyDescent="0.15">
      <c r="A519" s="8" t="s">
        <v>383</v>
      </c>
      <c r="B519" s="8" t="s">
        <v>1399</v>
      </c>
      <c r="C519" s="8" t="s">
        <v>68</v>
      </c>
      <c r="D519" s="8" t="s">
        <v>166</v>
      </c>
      <c r="E519" s="8" t="s">
        <v>160</v>
      </c>
      <c r="F519" s="8" t="s">
        <v>161</v>
      </c>
      <c r="G519" s="6">
        <v>43061</v>
      </c>
      <c r="H519" s="6">
        <v>43063</v>
      </c>
      <c r="I519" s="4">
        <v>-10</v>
      </c>
      <c r="J519" s="8" t="s">
        <v>37</v>
      </c>
      <c r="K519" s="8" t="s">
        <v>1402</v>
      </c>
      <c r="L519" s="4"/>
      <c r="M519" s="4"/>
      <c r="N519" s="4"/>
    </row>
    <row r="520" spans="1:14" x14ac:dyDescent="0.15">
      <c r="A520" s="8" t="s">
        <v>383</v>
      </c>
      <c r="B520" s="8" t="s">
        <v>1403</v>
      </c>
      <c r="C520" s="8" t="s">
        <v>73</v>
      </c>
      <c r="D520" s="8" t="s">
        <v>125</v>
      </c>
      <c r="E520" s="8" t="s">
        <v>160</v>
      </c>
      <c r="F520" s="8" t="s">
        <v>161</v>
      </c>
      <c r="G520" s="6">
        <v>43062</v>
      </c>
      <c r="H520" s="6">
        <v>43067</v>
      </c>
      <c r="I520" s="4">
        <v>-30</v>
      </c>
      <c r="J520" s="8" t="s">
        <v>38</v>
      </c>
      <c r="K520" s="8" t="s">
        <v>1404</v>
      </c>
      <c r="L520" s="4"/>
      <c r="M520" s="4"/>
      <c r="N520" s="4"/>
    </row>
    <row r="521" spans="1:14" x14ac:dyDescent="0.15">
      <c r="A521" s="8" t="s">
        <v>383</v>
      </c>
      <c r="B521" s="8" t="s">
        <v>1403</v>
      </c>
      <c r="C521" s="8" t="s">
        <v>73</v>
      </c>
      <c r="D521" s="8" t="s">
        <v>125</v>
      </c>
      <c r="E521" s="8" t="s">
        <v>160</v>
      </c>
      <c r="F521" s="8" t="s">
        <v>161</v>
      </c>
      <c r="G521" s="6">
        <v>43067</v>
      </c>
      <c r="H521" s="6">
        <v>43067</v>
      </c>
      <c r="I521" s="4">
        <v>25.5</v>
      </c>
      <c r="J521" s="8" t="s">
        <v>38</v>
      </c>
      <c r="K521" s="8" t="s">
        <v>1404</v>
      </c>
      <c r="L521" s="4"/>
      <c r="M521" s="4"/>
      <c r="N521" s="4"/>
    </row>
    <row r="522" spans="1:14" x14ac:dyDescent="0.15">
      <c r="A522" s="8" t="s">
        <v>383</v>
      </c>
      <c r="B522" s="8" t="s">
        <v>1403</v>
      </c>
      <c r="C522" s="8" t="s">
        <v>79</v>
      </c>
      <c r="D522" s="8" t="s">
        <v>289</v>
      </c>
      <c r="E522" s="8" t="s">
        <v>160</v>
      </c>
      <c r="F522" s="8" t="s">
        <v>161</v>
      </c>
      <c r="G522" s="6">
        <v>43062</v>
      </c>
      <c r="H522" s="6">
        <v>43067</v>
      </c>
      <c r="I522" s="4">
        <v>-1</v>
      </c>
      <c r="J522" s="8" t="s">
        <v>37</v>
      </c>
      <c r="K522" s="8" t="s">
        <v>1405</v>
      </c>
      <c r="L522" s="4"/>
      <c r="M522" s="4"/>
      <c r="N522" s="4"/>
    </row>
    <row r="523" spans="1:14" x14ac:dyDescent="0.15">
      <c r="A523" s="8" t="s">
        <v>383</v>
      </c>
      <c r="B523" s="8" t="s">
        <v>1403</v>
      </c>
      <c r="C523" s="8" t="s">
        <v>114</v>
      </c>
      <c r="D523" s="8" t="s">
        <v>115</v>
      </c>
      <c r="E523" s="8" t="s">
        <v>160</v>
      </c>
      <c r="F523" s="8" t="s">
        <v>161</v>
      </c>
      <c r="G523" s="6">
        <v>43062</v>
      </c>
      <c r="H523" s="6">
        <v>43067</v>
      </c>
      <c r="I523" s="4">
        <v>-2</v>
      </c>
      <c r="J523" s="8" t="s">
        <v>37</v>
      </c>
      <c r="K523" s="8" t="s">
        <v>1406</v>
      </c>
      <c r="L523" s="4"/>
      <c r="M523" s="4"/>
      <c r="N523" s="4"/>
    </row>
    <row r="524" spans="1:14" x14ac:dyDescent="0.15">
      <c r="A524" s="8" t="s">
        <v>383</v>
      </c>
      <c r="B524" s="8" t="s">
        <v>1403</v>
      </c>
      <c r="C524" s="8" t="s">
        <v>114</v>
      </c>
      <c r="D524" s="8" t="s">
        <v>115</v>
      </c>
      <c r="E524" s="8" t="s">
        <v>160</v>
      </c>
      <c r="F524" s="8" t="s">
        <v>161</v>
      </c>
      <c r="G524" s="6">
        <v>43067</v>
      </c>
      <c r="H524" s="6">
        <v>43067</v>
      </c>
      <c r="I524" s="4">
        <v>1</v>
      </c>
      <c r="J524" s="8" t="s">
        <v>37</v>
      </c>
      <c r="K524" s="8" t="s">
        <v>1406</v>
      </c>
      <c r="L524" s="4"/>
      <c r="M524" s="4"/>
      <c r="N524" s="4"/>
    </row>
    <row r="525" spans="1:14" x14ac:dyDescent="0.15">
      <c r="A525" s="8" t="s">
        <v>383</v>
      </c>
      <c r="B525" s="8" t="s">
        <v>1403</v>
      </c>
      <c r="C525" s="8" t="s">
        <v>28</v>
      </c>
      <c r="D525" s="8" t="s">
        <v>202</v>
      </c>
      <c r="E525" s="8" t="s">
        <v>160</v>
      </c>
      <c r="F525" s="8" t="s">
        <v>161</v>
      </c>
      <c r="G525" s="6">
        <v>43062</v>
      </c>
      <c r="H525" s="6">
        <v>43067</v>
      </c>
      <c r="I525" s="4">
        <v>-2</v>
      </c>
      <c r="J525" s="8" t="s">
        <v>37</v>
      </c>
      <c r="K525" s="8" t="s">
        <v>1407</v>
      </c>
      <c r="L525" s="4"/>
      <c r="M525" s="4"/>
      <c r="N525" s="4"/>
    </row>
    <row r="526" spans="1:14" x14ac:dyDescent="0.15">
      <c r="A526" s="8" t="s">
        <v>383</v>
      </c>
      <c r="B526" s="8" t="s">
        <v>1403</v>
      </c>
      <c r="C526" s="8" t="s">
        <v>28</v>
      </c>
      <c r="D526" s="8" t="s">
        <v>202</v>
      </c>
      <c r="E526" s="8" t="s">
        <v>160</v>
      </c>
      <c r="F526" s="8" t="s">
        <v>161</v>
      </c>
      <c r="G526" s="6">
        <v>43067</v>
      </c>
      <c r="H526" s="6">
        <v>43067</v>
      </c>
      <c r="I526" s="4">
        <v>1</v>
      </c>
      <c r="J526" s="8" t="s">
        <v>37</v>
      </c>
      <c r="K526" s="8" t="s">
        <v>1407</v>
      </c>
      <c r="L526" s="4"/>
      <c r="M526" s="4"/>
      <c r="N526" s="4"/>
    </row>
    <row r="527" spans="1:14" x14ac:dyDescent="0.15">
      <c r="A527" s="8" t="s">
        <v>383</v>
      </c>
      <c r="B527" s="8" t="s">
        <v>1403</v>
      </c>
      <c r="C527" s="8" t="s">
        <v>68</v>
      </c>
      <c r="D527" s="8" t="s">
        <v>166</v>
      </c>
      <c r="E527" s="8" t="s">
        <v>160</v>
      </c>
      <c r="F527" s="8" t="s">
        <v>161</v>
      </c>
      <c r="G527" s="6">
        <v>43062</v>
      </c>
      <c r="H527" s="6">
        <v>43067</v>
      </c>
      <c r="I527" s="4">
        <v>-5</v>
      </c>
      <c r="J527" s="8" t="s">
        <v>37</v>
      </c>
      <c r="K527" s="8" t="s">
        <v>1408</v>
      </c>
      <c r="L527" s="4"/>
      <c r="M527" s="4"/>
      <c r="N527" s="4"/>
    </row>
    <row r="528" spans="1:14" x14ac:dyDescent="0.15">
      <c r="A528" s="8" t="s">
        <v>383</v>
      </c>
      <c r="B528" s="8" t="s">
        <v>1403</v>
      </c>
      <c r="C528" s="8" t="s">
        <v>68</v>
      </c>
      <c r="D528" s="8" t="s">
        <v>166</v>
      </c>
      <c r="E528" s="8" t="s">
        <v>160</v>
      </c>
      <c r="F528" s="8" t="s">
        <v>161</v>
      </c>
      <c r="G528" s="6">
        <v>43067</v>
      </c>
      <c r="H528" s="6">
        <v>43067</v>
      </c>
      <c r="I528" s="4">
        <v>3</v>
      </c>
      <c r="J528" s="8" t="s">
        <v>37</v>
      </c>
      <c r="K528" s="8" t="s">
        <v>1408</v>
      </c>
      <c r="L528" s="4"/>
      <c r="M528" s="4"/>
      <c r="N528" s="4"/>
    </row>
    <row r="529" spans="1:14" x14ac:dyDescent="0.15">
      <c r="A529" s="8" t="s">
        <v>383</v>
      </c>
      <c r="B529" s="8" t="s">
        <v>1403</v>
      </c>
      <c r="C529" s="8" t="s">
        <v>105</v>
      </c>
      <c r="D529" s="8" t="s">
        <v>321</v>
      </c>
      <c r="E529" s="8" t="s">
        <v>160</v>
      </c>
      <c r="F529" s="8" t="s">
        <v>161</v>
      </c>
      <c r="G529" s="6">
        <v>43062</v>
      </c>
      <c r="H529" s="6">
        <v>43067</v>
      </c>
      <c r="I529" s="4">
        <v>-1</v>
      </c>
      <c r="J529" s="8" t="s">
        <v>37</v>
      </c>
      <c r="K529" s="8" t="s">
        <v>1409</v>
      </c>
      <c r="L529" s="4"/>
      <c r="M529" s="4"/>
      <c r="N529" s="4"/>
    </row>
    <row r="530" spans="1:14" x14ac:dyDescent="0.15">
      <c r="A530" s="8" t="s">
        <v>383</v>
      </c>
      <c r="B530" s="8" t="s">
        <v>1410</v>
      </c>
      <c r="C530" s="8" t="s">
        <v>101</v>
      </c>
      <c r="D530" s="8" t="s">
        <v>102</v>
      </c>
      <c r="E530" s="8" t="s">
        <v>160</v>
      </c>
      <c r="F530" s="8" t="s">
        <v>161</v>
      </c>
      <c r="G530" s="6">
        <v>43062</v>
      </c>
      <c r="H530" s="6">
        <v>43063</v>
      </c>
      <c r="I530" s="4">
        <v>-300</v>
      </c>
      <c r="J530" s="8" t="s">
        <v>39</v>
      </c>
      <c r="K530" s="8" t="s">
        <v>1411</v>
      </c>
      <c r="L530" s="4"/>
      <c r="M530" s="4"/>
      <c r="N530" s="4"/>
    </row>
    <row r="531" spans="1:14" x14ac:dyDescent="0.15">
      <c r="A531" s="8" t="s">
        <v>383</v>
      </c>
      <c r="B531" s="8" t="s">
        <v>1410</v>
      </c>
      <c r="C531" s="8" t="s">
        <v>67</v>
      </c>
      <c r="D531" s="8" t="s">
        <v>162</v>
      </c>
      <c r="E531" s="8" t="s">
        <v>160</v>
      </c>
      <c r="F531" s="8" t="s">
        <v>161</v>
      </c>
      <c r="G531" s="6">
        <v>43062</v>
      </c>
      <c r="H531" s="6">
        <v>43063</v>
      </c>
      <c r="I531" s="4">
        <v>-2</v>
      </c>
      <c r="J531" s="8" t="s">
        <v>37</v>
      </c>
      <c r="K531" s="8" t="s">
        <v>1412</v>
      </c>
      <c r="L531" s="4"/>
      <c r="M531" s="4"/>
      <c r="N531" s="4"/>
    </row>
    <row r="532" spans="1:14" x14ac:dyDescent="0.15">
      <c r="A532" s="8" t="s">
        <v>383</v>
      </c>
      <c r="B532" s="8" t="s">
        <v>1413</v>
      </c>
      <c r="C532" s="8" t="s">
        <v>63</v>
      </c>
      <c r="D532" s="8" t="s">
        <v>95</v>
      </c>
      <c r="E532" s="8" t="s">
        <v>160</v>
      </c>
      <c r="F532" s="8" t="s">
        <v>161</v>
      </c>
      <c r="G532" s="6">
        <v>43063</v>
      </c>
      <c r="H532" s="6">
        <v>43069</v>
      </c>
      <c r="I532" s="4">
        <v>-100</v>
      </c>
      <c r="J532" s="8" t="s">
        <v>39</v>
      </c>
      <c r="K532" s="8" t="s">
        <v>1414</v>
      </c>
      <c r="L532" s="4"/>
      <c r="M532" s="4"/>
      <c r="N532" s="4"/>
    </row>
    <row r="533" spans="1:14" x14ac:dyDescent="0.15">
      <c r="A533" s="8" t="s">
        <v>383</v>
      </c>
      <c r="B533" s="8" t="s">
        <v>1415</v>
      </c>
      <c r="C533" s="8" t="s">
        <v>101</v>
      </c>
      <c r="D533" s="8" t="s">
        <v>102</v>
      </c>
      <c r="E533" s="8" t="s">
        <v>160</v>
      </c>
      <c r="F533" s="8" t="s">
        <v>161</v>
      </c>
      <c r="G533" s="6">
        <v>43066</v>
      </c>
      <c r="H533" s="6">
        <v>43067</v>
      </c>
      <c r="I533" s="4">
        <v>-300</v>
      </c>
      <c r="J533" s="8" t="s">
        <v>39</v>
      </c>
      <c r="K533" s="8" t="s">
        <v>1416</v>
      </c>
      <c r="L533" s="4"/>
      <c r="M533" s="4"/>
      <c r="N533" s="4"/>
    </row>
    <row r="534" spans="1:14" x14ac:dyDescent="0.15">
      <c r="A534" s="8" t="s">
        <v>383</v>
      </c>
      <c r="B534" s="8" t="s">
        <v>1415</v>
      </c>
      <c r="C534" s="8" t="s">
        <v>67</v>
      </c>
      <c r="D534" s="8" t="s">
        <v>162</v>
      </c>
      <c r="E534" s="8" t="s">
        <v>160</v>
      </c>
      <c r="F534" s="8" t="s">
        <v>161</v>
      </c>
      <c r="G534" s="6">
        <v>43066</v>
      </c>
      <c r="H534" s="6">
        <v>43067</v>
      </c>
      <c r="I534" s="4">
        <v>-7</v>
      </c>
      <c r="J534" s="8" t="s">
        <v>37</v>
      </c>
      <c r="K534" s="8" t="s">
        <v>1417</v>
      </c>
      <c r="L534" s="4"/>
      <c r="M534" s="4"/>
      <c r="N534" s="4"/>
    </row>
    <row r="535" spans="1:14" x14ac:dyDescent="0.15">
      <c r="A535" s="8" t="s">
        <v>383</v>
      </c>
      <c r="B535" s="8" t="s">
        <v>1418</v>
      </c>
      <c r="C535" s="8" t="s">
        <v>106</v>
      </c>
      <c r="D535" s="8" t="s">
        <v>107</v>
      </c>
      <c r="E535" s="8" t="s">
        <v>160</v>
      </c>
      <c r="F535" s="8" t="s">
        <v>161</v>
      </c>
      <c r="G535" s="6">
        <v>43066</v>
      </c>
      <c r="H535" s="6">
        <v>43067</v>
      </c>
      <c r="I535" s="4">
        <v>-200</v>
      </c>
      <c r="J535" s="8" t="s">
        <v>39</v>
      </c>
      <c r="K535" s="8" t="s">
        <v>1419</v>
      </c>
      <c r="L535" s="4"/>
      <c r="M535" s="4"/>
      <c r="N535" s="4"/>
    </row>
    <row r="536" spans="1:14" x14ac:dyDescent="0.15">
      <c r="A536" s="8" t="s">
        <v>383</v>
      </c>
      <c r="B536" s="8" t="s">
        <v>1420</v>
      </c>
      <c r="C536" s="8" t="s">
        <v>74</v>
      </c>
      <c r="D536" s="8" t="s">
        <v>283</v>
      </c>
      <c r="E536" s="8" t="s">
        <v>160</v>
      </c>
      <c r="F536" s="8" t="s">
        <v>161</v>
      </c>
      <c r="G536" s="6">
        <v>43067</v>
      </c>
      <c r="H536" s="6">
        <v>43067</v>
      </c>
      <c r="I536" s="4">
        <v>-150</v>
      </c>
      <c r="J536" s="8" t="s">
        <v>39</v>
      </c>
      <c r="K536" s="8" t="s">
        <v>1421</v>
      </c>
      <c r="L536" s="4"/>
      <c r="M536" s="4"/>
      <c r="N536" s="4"/>
    </row>
    <row r="537" spans="1:14" x14ac:dyDescent="0.15">
      <c r="A537" s="8" t="s">
        <v>383</v>
      </c>
      <c r="B537" s="8" t="s">
        <v>1420</v>
      </c>
      <c r="C537" s="8" t="s">
        <v>101</v>
      </c>
      <c r="D537" s="8" t="s">
        <v>102</v>
      </c>
      <c r="E537" s="8" t="s">
        <v>160</v>
      </c>
      <c r="F537" s="8" t="s">
        <v>161</v>
      </c>
      <c r="G537" s="6">
        <v>43067</v>
      </c>
      <c r="H537" s="6">
        <v>43067</v>
      </c>
      <c r="I537" s="4">
        <v>-70</v>
      </c>
      <c r="J537" s="8" t="s">
        <v>39</v>
      </c>
      <c r="K537" s="8" t="s">
        <v>1422</v>
      </c>
      <c r="L537" s="4"/>
      <c r="M537" s="4"/>
      <c r="N537" s="4"/>
    </row>
    <row r="538" spans="1:14" x14ac:dyDescent="0.15">
      <c r="A538" s="8" t="s">
        <v>383</v>
      </c>
      <c r="B538" s="8" t="s">
        <v>1420</v>
      </c>
      <c r="C538" s="8" t="s">
        <v>67</v>
      </c>
      <c r="D538" s="8" t="s">
        <v>162</v>
      </c>
      <c r="E538" s="8" t="s">
        <v>160</v>
      </c>
      <c r="F538" s="8" t="s">
        <v>161</v>
      </c>
      <c r="G538" s="6">
        <v>43067</v>
      </c>
      <c r="H538" s="6">
        <v>43067</v>
      </c>
      <c r="I538" s="4">
        <v>-8</v>
      </c>
      <c r="J538" s="8" t="s">
        <v>37</v>
      </c>
      <c r="K538" s="8" t="s">
        <v>1423</v>
      </c>
      <c r="L538" s="4"/>
      <c r="M538" s="4"/>
      <c r="N538" s="4"/>
    </row>
    <row r="539" spans="1:14" x14ac:dyDescent="0.15">
      <c r="A539" s="8" t="s">
        <v>383</v>
      </c>
      <c r="B539" s="8" t="s">
        <v>1424</v>
      </c>
      <c r="C539" s="8" t="s">
        <v>75</v>
      </c>
      <c r="D539" s="8" t="s">
        <v>284</v>
      </c>
      <c r="E539" s="8" t="s">
        <v>160</v>
      </c>
      <c r="F539" s="8" t="s">
        <v>161</v>
      </c>
      <c r="G539" s="6">
        <v>43068</v>
      </c>
      <c r="H539" s="6">
        <v>43069</v>
      </c>
      <c r="I539" s="4">
        <v>-231</v>
      </c>
      <c r="J539" s="8" t="s">
        <v>39</v>
      </c>
      <c r="K539" s="8" t="s">
        <v>1425</v>
      </c>
      <c r="L539" s="4"/>
      <c r="M539" s="4"/>
      <c r="N539" s="4"/>
    </row>
    <row r="540" spans="1:14" x14ac:dyDescent="0.15">
      <c r="A540" s="8" t="s">
        <v>383</v>
      </c>
      <c r="B540" s="8" t="s">
        <v>1426</v>
      </c>
      <c r="C540" s="8" t="s">
        <v>19</v>
      </c>
      <c r="D540" s="8" t="s">
        <v>35</v>
      </c>
      <c r="E540" s="8" t="s">
        <v>160</v>
      </c>
      <c r="F540" s="8" t="s">
        <v>161</v>
      </c>
      <c r="G540" s="6">
        <v>43069</v>
      </c>
      <c r="H540" s="6">
        <v>43069</v>
      </c>
      <c r="I540" s="4">
        <v>-1</v>
      </c>
      <c r="J540" s="8" t="s">
        <v>37</v>
      </c>
      <c r="K540" s="8" t="s">
        <v>1427</v>
      </c>
      <c r="L540" s="4"/>
      <c r="M540" s="4"/>
      <c r="N540" s="4"/>
    </row>
    <row r="541" spans="1:14" x14ac:dyDescent="0.15">
      <c r="A541" s="8" t="s">
        <v>383</v>
      </c>
      <c r="B541" s="8" t="s">
        <v>1428</v>
      </c>
      <c r="C541" s="8" t="s">
        <v>111</v>
      </c>
      <c r="D541" s="8" t="s">
        <v>112</v>
      </c>
      <c r="E541" s="8" t="s">
        <v>160</v>
      </c>
      <c r="F541" s="8" t="s">
        <v>161</v>
      </c>
      <c r="G541" s="6">
        <v>43070</v>
      </c>
      <c r="H541" s="6">
        <v>43073</v>
      </c>
      <c r="I541" s="4">
        <v>-600</v>
      </c>
      <c r="J541" s="8" t="s">
        <v>39</v>
      </c>
      <c r="K541" s="8" t="s">
        <v>1429</v>
      </c>
      <c r="L541" s="4"/>
      <c r="M541" s="4"/>
      <c r="N541" s="4"/>
    </row>
    <row r="542" spans="1:14" x14ac:dyDescent="0.15">
      <c r="A542" s="8" t="s">
        <v>383</v>
      </c>
      <c r="B542" s="8" t="s">
        <v>1428</v>
      </c>
      <c r="C542" s="8" t="s">
        <v>56</v>
      </c>
      <c r="D542" s="8" t="s">
        <v>126</v>
      </c>
      <c r="E542" s="8" t="s">
        <v>160</v>
      </c>
      <c r="F542" s="8" t="s">
        <v>161</v>
      </c>
      <c r="G542" s="6">
        <v>43070</v>
      </c>
      <c r="H542" s="6">
        <v>43073</v>
      </c>
      <c r="I542" s="4">
        <v>-2400</v>
      </c>
      <c r="J542" s="8" t="s">
        <v>39</v>
      </c>
      <c r="K542" s="8" t="s">
        <v>1430</v>
      </c>
      <c r="L542" s="4"/>
      <c r="M542" s="4"/>
      <c r="N542" s="4"/>
    </row>
    <row r="543" spans="1:14" x14ac:dyDescent="0.15">
      <c r="A543" s="8" t="s">
        <v>383</v>
      </c>
      <c r="B543" s="8" t="s">
        <v>1428</v>
      </c>
      <c r="C543" s="8" t="s">
        <v>29</v>
      </c>
      <c r="D543" s="8" t="s">
        <v>33</v>
      </c>
      <c r="E543" s="8" t="s">
        <v>160</v>
      </c>
      <c r="F543" s="8" t="s">
        <v>161</v>
      </c>
      <c r="G543" s="6">
        <v>43070</v>
      </c>
      <c r="H543" s="6">
        <v>43073</v>
      </c>
      <c r="I543" s="4">
        <v>-255</v>
      </c>
      <c r="J543" s="8" t="s">
        <v>39</v>
      </c>
      <c r="K543" s="8" t="s">
        <v>1431</v>
      </c>
      <c r="L543" s="4"/>
      <c r="M543" s="4"/>
      <c r="N543" s="4"/>
    </row>
    <row r="544" spans="1:14" x14ac:dyDescent="0.15">
      <c r="A544" s="8" t="s">
        <v>383</v>
      </c>
      <c r="B544" s="8" t="s">
        <v>1428</v>
      </c>
      <c r="C544" s="8" t="s">
        <v>67</v>
      </c>
      <c r="D544" s="8" t="s">
        <v>162</v>
      </c>
      <c r="E544" s="8" t="s">
        <v>160</v>
      </c>
      <c r="F544" s="8" t="s">
        <v>161</v>
      </c>
      <c r="G544" s="6">
        <v>43070</v>
      </c>
      <c r="H544" s="6">
        <v>43073</v>
      </c>
      <c r="I544" s="4">
        <v>-66</v>
      </c>
      <c r="J544" s="8" t="s">
        <v>37</v>
      </c>
      <c r="K544" s="8" t="s">
        <v>1432</v>
      </c>
      <c r="L544" s="4"/>
      <c r="M544" s="4"/>
      <c r="N544" s="4"/>
    </row>
    <row r="545" spans="1:14" x14ac:dyDescent="0.15">
      <c r="A545" s="8" t="s">
        <v>383</v>
      </c>
      <c r="B545" s="8" t="s">
        <v>1433</v>
      </c>
      <c r="C545" s="8" t="s">
        <v>101</v>
      </c>
      <c r="D545" s="8" t="s">
        <v>102</v>
      </c>
      <c r="E545" s="8" t="s">
        <v>160</v>
      </c>
      <c r="F545" s="8" t="s">
        <v>161</v>
      </c>
      <c r="G545" s="6">
        <v>43073</v>
      </c>
      <c r="H545" s="6">
        <v>43076</v>
      </c>
      <c r="I545" s="4">
        <v>-200</v>
      </c>
      <c r="J545" s="8" t="s">
        <v>39</v>
      </c>
      <c r="K545" s="8" t="s">
        <v>1434</v>
      </c>
      <c r="L545" s="4"/>
      <c r="M545" s="4"/>
      <c r="N545" s="4"/>
    </row>
    <row r="546" spans="1:14" x14ac:dyDescent="0.15">
      <c r="A546" s="8" t="s">
        <v>383</v>
      </c>
      <c r="B546" s="8" t="s">
        <v>1433</v>
      </c>
      <c r="C546" s="8" t="s">
        <v>67</v>
      </c>
      <c r="D546" s="8" t="s">
        <v>162</v>
      </c>
      <c r="E546" s="8" t="s">
        <v>160</v>
      </c>
      <c r="F546" s="8" t="s">
        <v>161</v>
      </c>
      <c r="G546" s="6">
        <v>43073</v>
      </c>
      <c r="H546" s="6">
        <v>43076</v>
      </c>
      <c r="I546" s="4">
        <v>-4</v>
      </c>
      <c r="J546" s="8" t="s">
        <v>37</v>
      </c>
      <c r="K546" s="8" t="s">
        <v>1435</v>
      </c>
      <c r="L546" s="4"/>
      <c r="M546" s="4"/>
      <c r="N546" s="4"/>
    </row>
    <row r="547" spans="1:14" x14ac:dyDescent="0.15">
      <c r="A547" s="8" t="s">
        <v>383</v>
      </c>
      <c r="B547" s="8" t="s">
        <v>1436</v>
      </c>
      <c r="C547" s="8" t="s">
        <v>67</v>
      </c>
      <c r="D547" s="8" t="s">
        <v>162</v>
      </c>
      <c r="E547" s="8" t="s">
        <v>160</v>
      </c>
      <c r="F547" s="8" t="s">
        <v>161</v>
      </c>
      <c r="G547" s="6">
        <v>43073</v>
      </c>
      <c r="H547" s="6">
        <v>43076</v>
      </c>
      <c r="I547" s="4">
        <v>-5</v>
      </c>
      <c r="J547" s="8" t="s">
        <v>37</v>
      </c>
      <c r="K547" s="8" t="s">
        <v>1437</v>
      </c>
      <c r="L547" s="4"/>
      <c r="M547" s="4"/>
      <c r="N547" s="4"/>
    </row>
    <row r="548" spans="1:14" x14ac:dyDescent="0.15">
      <c r="A548" s="8" t="s">
        <v>383</v>
      </c>
      <c r="B548" s="8" t="s">
        <v>1436</v>
      </c>
      <c r="C548" s="8" t="s">
        <v>67</v>
      </c>
      <c r="D548" s="8" t="s">
        <v>162</v>
      </c>
      <c r="E548" s="8" t="s">
        <v>160</v>
      </c>
      <c r="F548" s="8" t="s">
        <v>161</v>
      </c>
      <c r="G548" s="6">
        <v>43073</v>
      </c>
      <c r="H548" s="6">
        <v>43076</v>
      </c>
      <c r="I548" s="4">
        <v>-2</v>
      </c>
      <c r="J548" s="8" t="s">
        <v>37</v>
      </c>
      <c r="K548" s="8" t="s">
        <v>1438</v>
      </c>
      <c r="L548" s="4"/>
      <c r="M548" s="4"/>
      <c r="N548" s="4"/>
    </row>
    <row r="549" spans="1:14" x14ac:dyDescent="0.15">
      <c r="A549" s="8" t="s">
        <v>383</v>
      </c>
      <c r="B549" s="8" t="s">
        <v>1439</v>
      </c>
      <c r="C549" s="8" t="s">
        <v>25</v>
      </c>
      <c r="D549" s="8" t="s">
        <v>31</v>
      </c>
      <c r="E549" s="8" t="s">
        <v>160</v>
      </c>
      <c r="F549" s="8" t="s">
        <v>161</v>
      </c>
      <c r="G549" s="6">
        <v>43075</v>
      </c>
      <c r="H549" s="6">
        <v>43082</v>
      </c>
      <c r="I549" s="4">
        <v>-120</v>
      </c>
      <c r="J549" s="8" t="s">
        <v>38</v>
      </c>
      <c r="K549" s="8" t="s">
        <v>1440</v>
      </c>
      <c r="L549" s="4"/>
      <c r="M549" s="4"/>
      <c r="N549" s="4"/>
    </row>
    <row r="550" spans="1:14" x14ac:dyDescent="0.15">
      <c r="A550" s="8" t="s">
        <v>383</v>
      </c>
      <c r="B550" s="8" t="s">
        <v>1439</v>
      </c>
      <c r="C550" s="8" t="s">
        <v>73</v>
      </c>
      <c r="D550" s="8" t="s">
        <v>125</v>
      </c>
      <c r="E550" s="8" t="s">
        <v>160</v>
      </c>
      <c r="F550" s="8" t="s">
        <v>161</v>
      </c>
      <c r="G550" s="6">
        <v>43075</v>
      </c>
      <c r="H550" s="6">
        <v>43082</v>
      </c>
      <c r="I550" s="4">
        <v>-90</v>
      </c>
      <c r="J550" s="8" t="s">
        <v>38</v>
      </c>
      <c r="K550" s="8" t="s">
        <v>1441</v>
      </c>
      <c r="L550" s="4"/>
      <c r="M550" s="4"/>
      <c r="N550" s="4"/>
    </row>
    <row r="551" spans="1:14" x14ac:dyDescent="0.15">
      <c r="A551" s="8" t="s">
        <v>383</v>
      </c>
      <c r="B551" s="8" t="s">
        <v>1439</v>
      </c>
      <c r="C551" s="8" t="s">
        <v>73</v>
      </c>
      <c r="D551" s="8" t="s">
        <v>125</v>
      </c>
      <c r="E551" s="8" t="s">
        <v>160</v>
      </c>
      <c r="F551" s="8" t="s">
        <v>161</v>
      </c>
      <c r="G551" s="6">
        <v>43081</v>
      </c>
      <c r="H551" s="6">
        <v>43082</v>
      </c>
      <c r="I551" s="4">
        <v>-30</v>
      </c>
      <c r="J551" s="8" t="s">
        <v>38</v>
      </c>
      <c r="K551" s="8" t="s">
        <v>1442</v>
      </c>
      <c r="L551" s="4"/>
      <c r="M551" s="4"/>
      <c r="N551" s="4"/>
    </row>
    <row r="552" spans="1:14" x14ac:dyDescent="0.15">
      <c r="A552" s="8" t="s">
        <v>383</v>
      </c>
      <c r="B552" s="8" t="s">
        <v>1439</v>
      </c>
      <c r="C552" s="8" t="s">
        <v>205</v>
      </c>
      <c r="D552" s="8" t="s">
        <v>205</v>
      </c>
      <c r="E552" s="8" t="s">
        <v>160</v>
      </c>
      <c r="F552" s="8" t="s">
        <v>161</v>
      </c>
      <c r="G552" s="6">
        <v>43082</v>
      </c>
      <c r="H552" s="6">
        <v>43082</v>
      </c>
      <c r="I552" s="4">
        <v>-1</v>
      </c>
      <c r="J552" s="8" t="s">
        <v>37</v>
      </c>
      <c r="K552" s="8" t="s">
        <v>1443</v>
      </c>
      <c r="L552" s="4"/>
      <c r="M552" s="4"/>
      <c r="N552" s="4"/>
    </row>
    <row r="553" spans="1:14" x14ac:dyDescent="0.15">
      <c r="A553" s="8" t="s">
        <v>383</v>
      </c>
      <c r="B553" s="8" t="s">
        <v>1439</v>
      </c>
      <c r="C553" s="8" t="s">
        <v>117</v>
      </c>
      <c r="D553" s="8" t="s">
        <v>118</v>
      </c>
      <c r="E553" s="8" t="s">
        <v>160</v>
      </c>
      <c r="F553" s="8" t="s">
        <v>161</v>
      </c>
      <c r="G553" s="6">
        <v>43075</v>
      </c>
      <c r="H553" s="6">
        <v>43082</v>
      </c>
      <c r="I553" s="4">
        <v>-15</v>
      </c>
      <c r="J553" s="8" t="s">
        <v>37</v>
      </c>
      <c r="K553" s="8" t="s">
        <v>1444</v>
      </c>
      <c r="L553" s="4"/>
      <c r="M553" s="4"/>
      <c r="N553" s="4"/>
    </row>
    <row r="554" spans="1:14" x14ac:dyDescent="0.15">
      <c r="A554" s="8" t="s">
        <v>383</v>
      </c>
      <c r="B554" s="8" t="s">
        <v>1439</v>
      </c>
      <c r="C554" s="8" t="s">
        <v>200</v>
      </c>
      <c r="D554" s="8" t="s">
        <v>320</v>
      </c>
      <c r="E554" s="8" t="s">
        <v>160</v>
      </c>
      <c r="F554" s="8" t="s">
        <v>161</v>
      </c>
      <c r="G554" s="6">
        <v>43075</v>
      </c>
      <c r="H554" s="6">
        <v>43082</v>
      </c>
      <c r="I554" s="4">
        <v>-1</v>
      </c>
      <c r="J554" s="8" t="s">
        <v>37</v>
      </c>
      <c r="K554" s="8" t="s">
        <v>1445</v>
      </c>
      <c r="L554" s="4"/>
      <c r="M554" s="4"/>
      <c r="N554" s="4"/>
    </row>
    <row r="555" spans="1:14" x14ac:dyDescent="0.15">
      <c r="A555" s="8" t="s">
        <v>383</v>
      </c>
      <c r="B555" s="8" t="s">
        <v>1439</v>
      </c>
      <c r="C555" s="8" t="s">
        <v>200</v>
      </c>
      <c r="D555" s="8" t="s">
        <v>320</v>
      </c>
      <c r="E555" s="8" t="s">
        <v>160</v>
      </c>
      <c r="F555" s="8" t="s">
        <v>161</v>
      </c>
      <c r="G555" s="6">
        <v>43076</v>
      </c>
      <c r="H555" s="6">
        <v>43082</v>
      </c>
      <c r="I555" s="4">
        <v>-1</v>
      </c>
      <c r="J555" s="8" t="s">
        <v>37</v>
      </c>
      <c r="K555" s="8" t="s">
        <v>1446</v>
      </c>
      <c r="L555" s="4"/>
      <c r="M555" s="4"/>
      <c r="N555" s="4"/>
    </row>
    <row r="556" spans="1:14" x14ac:dyDescent="0.15">
      <c r="A556" s="8" t="s">
        <v>383</v>
      </c>
      <c r="B556" s="8" t="s">
        <v>1447</v>
      </c>
      <c r="C556" s="8" t="s">
        <v>101</v>
      </c>
      <c r="D556" s="8" t="s">
        <v>102</v>
      </c>
      <c r="E556" s="8" t="s">
        <v>160</v>
      </c>
      <c r="F556" s="8" t="s">
        <v>161</v>
      </c>
      <c r="G556" s="6">
        <v>43075</v>
      </c>
      <c r="H556" s="6">
        <v>43076</v>
      </c>
      <c r="I556" s="4">
        <v>-300</v>
      </c>
      <c r="J556" s="8" t="s">
        <v>39</v>
      </c>
      <c r="K556" s="8" t="s">
        <v>1448</v>
      </c>
      <c r="L556" s="4"/>
      <c r="M556" s="4"/>
      <c r="N556" s="4"/>
    </row>
    <row r="557" spans="1:14" x14ac:dyDescent="0.15">
      <c r="A557" s="8" t="s">
        <v>383</v>
      </c>
      <c r="B557" s="8" t="s">
        <v>1447</v>
      </c>
      <c r="C557" s="8" t="s">
        <v>67</v>
      </c>
      <c r="D557" s="8" t="s">
        <v>162</v>
      </c>
      <c r="E557" s="8" t="s">
        <v>160</v>
      </c>
      <c r="F557" s="8" t="s">
        <v>161</v>
      </c>
      <c r="G557" s="6">
        <v>43075</v>
      </c>
      <c r="H557" s="6">
        <v>43076</v>
      </c>
      <c r="I557" s="4">
        <v>-9</v>
      </c>
      <c r="J557" s="8" t="s">
        <v>37</v>
      </c>
      <c r="K557" s="8" t="s">
        <v>1449</v>
      </c>
      <c r="L557" s="4"/>
      <c r="M557" s="4"/>
      <c r="N557" s="4"/>
    </row>
    <row r="558" spans="1:14" x14ac:dyDescent="0.15">
      <c r="A558" s="8" t="s">
        <v>383</v>
      </c>
      <c r="B558" s="8" t="s">
        <v>1450</v>
      </c>
      <c r="C558" s="8" t="s">
        <v>101</v>
      </c>
      <c r="D558" s="8" t="s">
        <v>102</v>
      </c>
      <c r="E558" s="8" t="s">
        <v>160</v>
      </c>
      <c r="F558" s="8" t="s">
        <v>161</v>
      </c>
      <c r="G558" s="6">
        <v>43076</v>
      </c>
      <c r="H558" s="6">
        <v>43082</v>
      </c>
      <c r="I558" s="4">
        <v>-200</v>
      </c>
      <c r="J558" s="8" t="s">
        <v>39</v>
      </c>
      <c r="K558" s="8" t="s">
        <v>1451</v>
      </c>
      <c r="L558" s="4"/>
      <c r="M558" s="4"/>
      <c r="N558" s="4"/>
    </row>
    <row r="559" spans="1:14" x14ac:dyDescent="0.15">
      <c r="A559" s="8" t="s">
        <v>383</v>
      </c>
      <c r="B559" s="8" t="s">
        <v>1450</v>
      </c>
      <c r="C559" s="8" t="s">
        <v>101</v>
      </c>
      <c r="D559" s="8" t="s">
        <v>102</v>
      </c>
      <c r="E559" s="8" t="s">
        <v>160</v>
      </c>
      <c r="F559" s="8" t="s">
        <v>161</v>
      </c>
      <c r="G559" s="6">
        <v>43081</v>
      </c>
      <c r="H559" s="6">
        <v>43082</v>
      </c>
      <c r="I559" s="4">
        <v>-200</v>
      </c>
      <c r="J559" s="8" t="s">
        <v>39</v>
      </c>
      <c r="K559" s="8" t="s">
        <v>1452</v>
      </c>
      <c r="L559" s="4"/>
      <c r="M559" s="4"/>
      <c r="N559" s="4"/>
    </row>
    <row r="560" spans="1:14" x14ac:dyDescent="0.15">
      <c r="A560" s="8" t="s">
        <v>383</v>
      </c>
      <c r="B560" s="8" t="s">
        <v>1453</v>
      </c>
      <c r="C560" s="8" t="s">
        <v>101</v>
      </c>
      <c r="D560" s="8" t="s">
        <v>102</v>
      </c>
      <c r="E560" s="8" t="s">
        <v>160</v>
      </c>
      <c r="F560" s="8" t="s">
        <v>161</v>
      </c>
      <c r="G560" s="6">
        <v>43076</v>
      </c>
      <c r="H560" s="6">
        <v>43082</v>
      </c>
      <c r="I560" s="4">
        <v>-600</v>
      </c>
      <c r="J560" s="8" t="s">
        <v>39</v>
      </c>
      <c r="K560" s="8" t="s">
        <v>1454</v>
      </c>
      <c r="L560" s="4"/>
      <c r="M560" s="4"/>
      <c r="N560" s="4"/>
    </row>
    <row r="561" spans="1:14" x14ac:dyDescent="0.15">
      <c r="A561" s="8" t="s">
        <v>383</v>
      </c>
      <c r="B561" s="8" t="s">
        <v>1453</v>
      </c>
      <c r="C561" s="8" t="s">
        <v>101</v>
      </c>
      <c r="D561" s="8" t="s">
        <v>102</v>
      </c>
      <c r="E561" s="8" t="s">
        <v>160</v>
      </c>
      <c r="F561" s="8" t="s">
        <v>161</v>
      </c>
      <c r="G561" s="6">
        <v>43081</v>
      </c>
      <c r="H561" s="6">
        <v>43082</v>
      </c>
      <c r="I561" s="4">
        <v>-300</v>
      </c>
      <c r="J561" s="8" t="s">
        <v>39</v>
      </c>
      <c r="K561" s="8" t="s">
        <v>1455</v>
      </c>
      <c r="L561" s="4"/>
      <c r="M561" s="4"/>
      <c r="N561" s="4"/>
    </row>
    <row r="562" spans="1:14" x14ac:dyDescent="0.15">
      <c r="A562" s="8" t="s">
        <v>383</v>
      </c>
      <c r="B562" s="8" t="s">
        <v>1453</v>
      </c>
      <c r="C562" s="8" t="s">
        <v>67</v>
      </c>
      <c r="D562" s="8" t="s">
        <v>162</v>
      </c>
      <c r="E562" s="8" t="s">
        <v>160</v>
      </c>
      <c r="F562" s="8" t="s">
        <v>161</v>
      </c>
      <c r="G562" s="6">
        <v>43076</v>
      </c>
      <c r="H562" s="6">
        <v>43082</v>
      </c>
      <c r="I562" s="4">
        <v>-10</v>
      </c>
      <c r="J562" s="8" t="s">
        <v>37</v>
      </c>
      <c r="K562" s="8" t="s">
        <v>1456</v>
      </c>
      <c r="L562" s="4"/>
      <c r="M562" s="4"/>
      <c r="N562" s="4"/>
    </row>
    <row r="563" spans="1:14" x14ac:dyDescent="0.15">
      <c r="A563" s="8" t="s">
        <v>383</v>
      </c>
      <c r="B563" s="8" t="s">
        <v>1453</v>
      </c>
      <c r="C563" s="8" t="s">
        <v>67</v>
      </c>
      <c r="D563" s="8" t="s">
        <v>162</v>
      </c>
      <c r="E563" s="8" t="s">
        <v>160</v>
      </c>
      <c r="F563" s="8" t="s">
        <v>161</v>
      </c>
      <c r="G563" s="6">
        <v>43081</v>
      </c>
      <c r="H563" s="6">
        <v>43082</v>
      </c>
      <c r="I563" s="4">
        <v>-8</v>
      </c>
      <c r="J563" s="8" t="s">
        <v>37</v>
      </c>
      <c r="K563" s="8" t="s">
        <v>1457</v>
      </c>
      <c r="L563" s="4"/>
      <c r="M563" s="4"/>
      <c r="N563" s="4"/>
    </row>
    <row r="564" spans="1:14" x14ac:dyDescent="0.15">
      <c r="A564" s="8" t="s">
        <v>383</v>
      </c>
      <c r="B564" s="8" t="s">
        <v>1458</v>
      </c>
      <c r="C564" s="8" t="s">
        <v>24</v>
      </c>
      <c r="D564" s="8" t="s">
        <v>34</v>
      </c>
      <c r="E564" s="8" t="s">
        <v>160</v>
      </c>
      <c r="F564" s="8" t="s">
        <v>161</v>
      </c>
      <c r="G564" s="6">
        <v>43081</v>
      </c>
      <c r="H564" s="6">
        <v>43083</v>
      </c>
      <c r="I564" s="4">
        <v>-178.4</v>
      </c>
      <c r="J564" s="8" t="s">
        <v>39</v>
      </c>
      <c r="K564" s="8" t="s">
        <v>1459</v>
      </c>
      <c r="L564" s="4"/>
      <c r="M564" s="4"/>
      <c r="N564" s="4"/>
    </row>
    <row r="565" spans="1:14" ht="27" x14ac:dyDescent="0.15">
      <c r="A565" s="8" t="s">
        <v>383</v>
      </c>
      <c r="B565" s="8" t="s">
        <v>1458</v>
      </c>
      <c r="C565" s="8" t="s">
        <v>164</v>
      </c>
      <c r="D565" s="11" t="s">
        <v>165</v>
      </c>
      <c r="E565" s="8" t="s">
        <v>160</v>
      </c>
      <c r="F565" s="8" t="s">
        <v>161</v>
      </c>
      <c r="G565" s="6">
        <v>43081</v>
      </c>
      <c r="H565" s="6">
        <v>43083</v>
      </c>
      <c r="I565" s="4">
        <v>-2</v>
      </c>
      <c r="J565" s="8" t="s">
        <v>37</v>
      </c>
      <c r="K565" s="8" t="s">
        <v>1460</v>
      </c>
      <c r="L565" s="4"/>
      <c r="M565" s="4"/>
      <c r="N565" s="4"/>
    </row>
    <row r="566" spans="1:14" x14ac:dyDescent="0.15">
      <c r="A566" s="8" t="s">
        <v>383</v>
      </c>
      <c r="B566" s="8" t="s">
        <v>1458</v>
      </c>
      <c r="C566" s="8" t="s">
        <v>67</v>
      </c>
      <c r="D566" s="8" t="s">
        <v>162</v>
      </c>
      <c r="E566" s="8" t="s">
        <v>160</v>
      </c>
      <c r="F566" s="8" t="s">
        <v>161</v>
      </c>
      <c r="G566" s="6">
        <v>43081</v>
      </c>
      <c r="H566" s="6">
        <v>43083</v>
      </c>
      <c r="I566" s="4">
        <v>-8</v>
      </c>
      <c r="J566" s="8" t="s">
        <v>37</v>
      </c>
      <c r="K566" s="8" t="s">
        <v>1461</v>
      </c>
      <c r="L566" s="4"/>
      <c r="M566" s="4"/>
      <c r="N566" s="4"/>
    </row>
    <row r="567" spans="1:14" x14ac:dyDescent="0.15">
      <c r="A567" s="8" t="s">
        <v>383</v>
      </c>
      <c r="B567" s="8" t="s">
        <v>1462</v>
      </c>
      <c r="C567" s="8" t="s">
        <v>111</v>
      </c>
      <c r="D567" s="8" t="s">
        <v>112</v>
      </c>
      <c r="E567" s="8" t="s">
        <v>160</v>
      </c>
      <c r="F567" s="8" t="s">
        <v>161</v>
      </c>
      <c r="G567" s="6">
        <v>43081</v>
      </c>
      <c r="H567" s="6">
        <v>43088</v>
      </c>
      <c r="I567" s="4">
        <v>-48</v>
      </c>
      <c r="J567" s="8" t="s">
        <v>39</v>
      </c>
      <c r="K567" s="8" t="s">
        <v>1463</v>
      </c>
      <c r="L567" s="4"/>
      <c r="M567" s="4"/>
      <c r="N567" s="4"/>
    </row>
    <row r="568" spans="1:14" x14ac:dyDescent="0.15">
      <c r="A568" s="8" t="s">
        <v>383</v>
      </c>
      <c r="B568" s="8" t="s">
        <v>1462</v>
      </c>
      <c r="C568" s="8" t="s">
        <v>111</v>
      </c>
      <c r="D568" s="8" t="s">
        <v>112</v>
      </c>
      <c r="E568" s="8" t="s">
        <v>160</v>
      </c>
      <c r="F568" s="8" t="s">
        <v>161</v>
      </c>
      <c r="G568" s="6">
        <v>43081</v>
      </c>
      <c r="H568" s="6">
        <v>43088</v>
      </c>
      <c r="I568" s="4">
        <v>-6</v>
      </c>
      <c r="J568" s="8" t="s">
        <v>39</v>
      </c>
      <c r="K568" s="8" t="s">
        <v>1464</v>
      </c>
      <c r="L568" s="4"/>
      <c r="M568" s="4"/>
      <c r="N568" s="4"/>
    </row>
    <row r="569" spans="1:14" x14ac:dyDescent="0.15">
      <c r="A569" s="8" t="s">
        <v>383</v>
      </c>
      <c r="B569" s="8" t="s">
        <v>1462</v>
      </c>
      <c r="C569" s="8" t="s">
        <v>111</v>
      </c>
      <c r="D569" s="8" t="s">
        <v>112</v>
      </c>
      <c r="E569" s="8" t="s">
        <v>160</v>
      </c>
      <c r="F569" s="8" t="s">
        <v>161</v>
      </c>
      <c r="G569" s="6">
        <v>43088</v>
      </c>
      <c r="H569" s="6">
        <v>43088</v>
      </c>
      <c r="I569" s="4">
        <v>48</v>
      </c>
      <c r="J569" s="8" t="s">
        <v>39</v>
      </c>
      <c r="K569" s="8" t="s">
        <v>1463</v>
      </c>
      <c r="L569" s="4"/>
      <c r="M569" s="4"/>
      <c r="N569" s="4"/>
    </row>
    <row r="570" spans="1:14" x14ac:dyDescent="0.15">
      <c r="A570" s="8" t="s">
        <v>383</v>
      </c>
      <c r="B570" s="8" t="s">
        <v>1462</v>
      </c>
      <c r="C570" s="8" t="s">
        <v>111</v>
      </c>
      <c r="D570" s="8" t="s">
        <v>112</v>
      </c>
      <c r="E570" s="8" t="s">
        <v>160</v>
      </c>
      <c r="F570" s="8" t="s">
        <v>161</v>
      </c>
      <c r="G570" s="6">
        <v>43088</v>
      </c>
      <c r="H570" s="6">
        <v>43088</v>
      </c>
      <c r="I570" s="4">
        <v>6</v>
      </c>
      <c r="J570" s="8" t="s">
        <v>39</v>
      </c>
      <c r="K570" s="8" t="s">
        <v>1464</v>
      </c>
      <c r="L570" s="4"/>
      <c r="M570" s="4"/>
      <c r="N570" s="4"/>
    </row>
    <row r="571" spans="1:14" x14ac:dyDescent="0.15">
      <c r="A571" s="8" t="s">
        <v>383</v>
      </c>
      <c r="B571" s="8" t="s">
        <v>1462</v>
      </c>
      <c r="C571" s="8" t="s">
        <v>79</v>
      </c>
      <c r="D571" s="8" t="s">
        <v>289</v>
      </c>
      <c r="E571" s="8" t="s">
        <v>160</v>
      </c>
      <c r="F571" s="8" t="s">
        <v>161</v>
      </c>
      <c r="G571" s="6">
        <v>43081</v>
      </c>
      <c r="H571" s="6">
        <v>43088</v>
      </c>
      <c r="I571" s="4">
        <v>-1</v>
      </c>
      <c r="J571" s="8" t="s">
        <v>37</v>
      </c>
      <c r="K571" s="8" t="s">
        <v>1465</v>
      </c>
      <c r="L571" s="4"/>
      <c r="M571" s="4"/>
      <c r="N571" s="4"/>
    </row>
    <row r="572" spans="1:14" x14ac:dyDescent="0.15">
      <c r="A572" s="8" t="s">
        <v>383</v>
      </c>
      <c r="B572" s="8" t="s">
        <v>1462</v>
      </c>
      <c r="C572" s="8" t="s">
        <v>79</v>
      </c>
      <c r="D572" s="8" t="s">
        <v>289</v>
      </c>
      <c r="E572" s="8" t="s">
        <v>160</v>
      </c>
      <c r="F572" s="8" t="s">
        <v>161</v>
      </c>
      <c r="G572" s="6">
        <v>43088</v>
      </c>
      <c r="H572" s="6">
        <v>43088</v>
      </c>
      <c r="I572" s="4">
        <v>1</v>
      </c>
      <c r="J572" s="8" t="s">
        <v>37</v>
      </c>
      <c r="K572" s="8" t="s">
        <v>1465</v>
      </c>
      <c r="L572" s="4"/>
      <c r="M572" s="4"/>
      <c r="N572" s="4"/>
    </row>
    <row r="573" spans="1:14" x14ac:dyDescent="0.15">
      <c r="A573" s="8" t="s">
        <v>383</v>
      </c>
      <c r="B573" s="8" t="s">
        <v>1462</v>
      </c>
      <c r="C573" s="8" t="s">
        <v>67</v>
      </c>
      <c r="D573" s="8" t="s">
        <v>162</v>
      </c>
      <c r="E573" s="8" t="s">
        <v>160</v>
      </c>
      <c r="F573" s="8" t="s">
        <v>161</v>
      </c>
      <c r="G573" s="6">
        <v>43081</v>
      </c>
      <c r="H573" s="6">
        <v>43088</v>
      </c>
      <c r="I573" s="4">
        <v>-2</v>
      </c>
      <c r="J573" s="8" t="s">
        <v>37</v>
      </c>
      <c r="K573" s="8" t="s">
        <v>1466</v>
      </c>
      <c r="L573" s="4"/>
      <c r="M573" s="4"/>
      <c r="N573" s="4"/>
    </row>
    <row r="574" spans="1:14" x14ac:dyDescent="0.15">
      <c r="A574" s="8" t="s">
        <v>383</v>
      </c>
      <c r="B574" s="8" t="s">
        <v>1462</v>
      </c>
      <c r="C574" s="8" t="s">
        <v>67</v>
      </c>
      <c r="D574" s="8" t="s">
        <v>162</v>
      </c>
      <c r="E574" s="8" t="s">
        <v>160</v>
      </c>
      <c r="F574" s="8" t="s">
        <v>161</v>
      </c>
      <c r="G574" s="6">
        <v>43088</v>
      </c>
      <c r="H574" s="6">
        <v>43088</v>
      </c>
      <c r="I574" s="4">
        <v>2</v>
      </c>
      <c r="J574" s="8" t="s">
        <v>37</v>
      </c>
      <c r="K574" s="8" t="s">
        <v>1466</v>
      </c>
      <c r="L574" s="4"/>
      <c r="M574" s="4"/>
      <c r="N574" s="4"/>
    </row>
    <row r="575" spans="1:14" x14ac:dyDescent="0.15">
      <c r="A575" s="8" t="s">
        <v>383</v>
      </c>
      <c r="B575" s="8" t="s">
        <v>1467</v>
      </c>
      <c r="C575" s="8" t="s">
        <v>56</v>
      </c>
      <c r="D575" s="8" t="s">
        <v>126</v>
      </c>
      <c r="E575" s="8" t="s">
        <v>160</v>
      </c>
      <c r="F575" s="8" t="s">
        <v>161</v>
      </c>
      <c r="G575" s="6">
        <v>43082</v>
      </c>
      <c r="H575" s="6">
        <v>43082</v>
      </c>
      <c r="I575" s="4">
        <v>-600</v>
      </c>
      <c r="J575" s="8" t="s">
        <v>39</v>
      </c>
      <c r="K575" s="8" t="s">
        <v>1468</v>
      </c>
      <c r="L575" s="4"/>
      <c r="M575" s="4"/>
      <c r="N575" s="4"/>
    </row>
    <row r="576" spans="1:14" x14ac:dyDescent="0.15">
      <c r="A576" s="8" t="s">
        <v>383</v>
      </c>
      <c r="B576" s="8" t="s">
        <v>1467</v>
      </c>
      <c r="C576" s="8" t="s">
        <v>67</v>
      </c>
      <c r="D576" s="8" t="s">
        <v>162</v>
      </c>
      <c r="E576" s="8" t="s">
        <v>160</v>
      </c>
      <c r="F576" s="8" t="s">
        <v>161</v>
      </c>
      <c r="G576" s="6">
        <v>43082</v>
      </c>
      <c r="H576" s="6">
        <v>43082</v>
      </c>
      <c r="I576" s="4">
        <v>-28</v>
      </c>
      <c r="J576" s="8" t="s">
        <v>37</v>
      </c>
      <c r="K576" s="8" t="s">
        <v>1469</v>
      </c>
      <c r="L576" s="4"/>
      <c r="M576" s="4"/>
      <c r="N576" s="4"/>
    </row>
    <row r="577" spans="1:14" x14ac:dyDescent="0.15">
      <c r="A577" s="8" t="s">
        <v>383</v>
      </c>
      <c r="B577" s="8" t="s">
        <v>1470</v>
      </c>
      <c r="C577" s="8" t="s">
        <v>73</v>
      </c>
      <c r="D577" s="8" t="s">
        <v>125</v>
      </c>
      <c r="E577" s="8" t="s">
        <v>160</v>
      </c>
      <c r="F577" s="8" t="s">
        <v>161</v>
      </c>
      <c r="G577" s="6">
        <v>43082</v>
      </c>
      <c r="H577" s="6">
        <v>43088</v>
      </c>
      <c r="I577" s="4">
        <v>-60</v>
      </c>
      <c r="J577" s="8" t="s">
        <v>38</v>
      </c>
      <c r="K577" s="8" t="s">
        <v>1471</v>
      </c>
      <c r="L577" s="4"/>
      <c r="M577" s="4"/>
      <c r="N577" s="4"/>
    </row>
    <row r="578" spans="1:14" x14ac:dyDescent="0.15">
      <c r="A578" s="8" t="s">
        <v>383</v>
      </c>
      <c r="B578" s="8" t="s">
        <v>1470</v>
      </c>
      <c r="C578" s="8" t="s">
        <v>63</v>
      </c>
      <c r="D578" s="8" t="s">
        <v>95</v>
      </c>
      <c r="E578" s="8" t="s">
        <v>160</v>
      </c>
      <c r="F578" s="8" t="s">
        <v>161</v>
      </c>
      <c r="G578" s="6">
        <v>43082</v>
      </c>
      <c r="H578" s="6">
        <v>43088</v>
      </c>
      <c r="I578" s="4">
        <v>-461</v>
      </c>
      <c r="J578" s="8" t="s">
        <v>39</v>
      </c>
      <c r="K578" s="8" t="s">
        <v>1472</v>
      </c>
      <c r="L578" s="4"/>
      <c r="M578" s="4"/>
      <c r="N578" s="4"/>
    </row>
    <row r="579" spans="1:14" x14ac:dyDescent="0.15">
      <c r="A579" s="8" t="s">
        <v>383</v>
      </c>
      <c r="B579" s="8" t="s">
        <v>1470</v>
      </c>
      <c r="C579" s="8" t="s">
        <v>67</v>
      </c>
      <c r="D579" s="8" t="s">
        <v>162</v>
      </c>
      <c r="E579" s="8" t="s">
        <v>160</v>
      </c>
      <c r="F579" s="8" t="s">
        <v>161</v>
      </c>
      <c r="G579" s="6">
        <v>43082</v>
      </c>
      <c r="H579" s="6">
        <v>43088</v>
      </c>
      <c r="I579" s="4">
        <v>-30</v>
      </c>
      <c r="J579" s="8" t="s">
        <v>37</v>
      </c>
      <c r="K579" s="8" t="s">
        <v>1473</v>
      </c>
      <c r="L579" s="4"/>
      <c r="M579" s="4"/>
      <c r="N579" s="4"/>
    </row>
    <row r="580" spans="1:14" x14ac:dyDescent="0.15">
      <c r="A580" s="8" t="s">
        <v>383</v>
      </c>
      <c r="B580" s="8" t="s">
        <v>1470</v>
      </c>
      <c r="C580" s="8" t="s">
        <v>68</v>
      </c>
      <c r="D580" s="8" t="s">
        <v>166</v>
      </c>
      <c r="E580" s="8" t="s">
        <v>160</v>
      </c>
      <c r="F580" s="8" t="s">
        <v>161</v>
      </c>
      <c r="G580" s="6">
        <v>43082</v>
      </c>
      <c r="H580" s="6">
        <v>43088</v>
      </c>
      <c r="I580" s="4">
        <v>-10</v>
      </c>
      <c r="J580" s="8" t="s">
        <v>37</v>
      </c>
      <c r="K580" s="8" t="s">
        <v>1474</v>
      </c>
      <c r="L580" s="4"/>
      <c r="M580" s="4"/>
      <c r="N580" s="4"/>
    </row>
    <row r="581" spans="1:14" x14ac:dyDescent="0.15">
      <c r="A581" s="8" t="s">
        <v>383</v>
      </c>
      <c r="B581" s="8" t="s">
        <v>1475</v>
      </c>
      <c r="C581" s="8" t="s">
        <v>19</v>
      </c>
      <c r="D581" s="8" t="s">
        <v>35</v>
      </c>
      <c r="E581" s="8" t="s">
        <v>160</v>
      </c>
      <c r="F581" s="8" t="s">
        <v>161</v>
      </c>
      <c r="G581" s="6">
        <v>43083</v>
      </c>
      <c r="H581" s="6">
        <v>43083</v>
      </c>
      <c r="I581" s="4">
        <v>1</v>
      </c>
      <c r="J581" s="8" t="s">
        <v>37</v>
      </c>
      <c r="K581" s="8" t="s">
        <v>1476</v>
      </c>
      <c r="L581" s="4"/>
      <c r="M581" s="4"/>
      <c r="N581" s="4"/>
    </row>
    <row r="582" spans="1:14" x14ac:dyDescent="0.15">
      <c r="A582" s="8" t="s">
        <v>383</v>
      </c>
      <c r="B582" s="8" t="s">
        <v>1477</v>
      </c>
      <c r="C582" s="8" t="s">
        <v>19</v>
      </c>
      <c r="D582" s="8" t="s">
        <v>35</v>
      </c>
      <c r="E582" s="8" t="s">
        <v>160</v>
      </c>
      <c r="F582" s="8" t="s">
        <v>161</v>
      </c>
      <c r="G582" s="6">
        <v>43087</v>
      </c>
      <c r="H582" s="6">
        <v>43087</v>
      </c>
      <c r="I582" s="4">
        <v>1</v>
      </c>
      <c r="J582" s="8" t="s">
        <v>37</v>
      </c>
      <c r="K582" s="8" t="s">
        <v>1478</v>
      </c>
      <c r="L582" s="4"/>
      <c r="M582" s="4"/>
      <c r="N582" s="4"/>
    </row>
    <row r="583" spans="1:14" x14ac:dyDescent="0.15">
      <c r="A583" s="8" t="s">
        <v>383</v>
      </c>
      <c r="B583" s="8" t="s">
        <v>1479</v>
      </c>
      <c r="C583" s="8" t="s">
        <v>76</v>
      </c>
      <c r="D583" s="8" t="s">
        <v>110</v>
      </c>
      <c r="E583" s="8" t="s">
        <v>160</v>
      </c>
      <c r="F583" s="8" t="s">
        <v>161</v>
      </c>
      <c r="G583" s="6">
        <v>43088</v>
      </c>
      <c r="H583" s="6">
        <v>43088</v>
      </c>
      <c r="I583" s="4">
        <v>-40</v>
      </c>
      <c r="J583" s="8" t="s">
        <v>39</v>
      </c>
      <c r="K583" s="8" t="s">
        <v>1480</v>
      </c>
      <c r="L583" s="4"/>
      <c r="M583" s="4"/>
      <c r="N583" s="4"/>
    </row>
    <row r="584" spans="1:14" x14ac:dyDescent="0.15">
      <c r="A584" s="8" t="s">
        <v>383</v>
      </c>
      <c r="B584" s="8" t="s">
        <v>1481</v>
      </c>
      <c r="C584" s="8" t="s">
        <v>101</v>
      </c>
      <c r="D584" s="8" t="s">
        <v>102</v>
      </c>
      <c r="E584" s="8" t="s">
        <v>160</v>
      </c>
      <c r="F584" s="8" t="s">
        <v>161</v>
      </c>
      <c r="G584" s="6">
        <v>43088</v>
      </c>
      <c r="H584" s="6">
        <v>43088</v>
      </c>
      <c r="I584" s="4">
        <v>-1200</v>
      </c>
      <c r="J584" s="8" t="s">
        <v>39</v>
      </c>
      <c r="K584" s="8" t="s">
        <v>1482</v>
      </c>
      <c r="L584" s="4"/>
      <c r="M584" s="4"/>
      <c r="N584" s="4"/>
    </row>
    <row r="585" spans="1:14" x14ac:dyDescent="0.15">
      <c r="A585" s="8" t="s">
        <v>383</v>
      </c>
      <c r="B585" s="8" t="s">
        <v>1481</v>
      </c>
      <c r="C585" s="8" t="s">
        <v>117</v>
      </c>
      <c r="D585" s="8" t="s">
        <v>118</v>
      </c>
      <c r="E585" s="8" t="s">
        <v>160</v>
      </c>
      <c r="F585" s="8" t="s">
        <v>161</v>
      </c>
      <c r="G585" s="6">
        <v>43088</v>
      </c>
      <c r="H585" s="6">
        <v>43088</v>
      </c>
      <c r="I585" s="4">
        <v>-24</v>
      </c>
      <c r="J585" s="8" t="s">
        <v>37</v>
      </c>
      <c r="K585" s="8" t="s">
        <v>1483</v>
      </c>
      <c r="L585" s="4"/>
      <c r="M585" s="4"/>
      <c r="N585" s="4"/>
    </row>
    <row r="586" spans="1:14" x14ac:dyDescent="0.15">
      <c r="A586" s="8" t="s">
        <v>383</v>
      </c>
      <c r="B586" s="8" t="s">
        <v>1484</v>
      </c>
      <c r="C586" s="8" t="s">
        <v>111</v>
      </c>
      <c r="D586" s="8" t="s">
        <v>112</v>
      </c>
      <c r="E586" s="8" t="s">
        <v>160</v>
      </c>
      <c r="F586" s="8" t="s">
        <v>161</v>
      </c>
      <c r="G586" s="6">
        <v>43088</v>
      </c>
      <c r="H586" s="6">
        <v>43088</v>
      </c>
      <c r="I586" s="4">
        <v>0</v>
      </c>
      <c r="J586" s="8" t="s">
        <v>39</v>
      </c>
      <c r="K586" s="8" t="s">
        <v>1485</v>
      </c>
      <c r="L586" s="4"/>
      <c r="M586" s="4"/>
      <c r="N586" s="4"/>
    </row>
    <row r="587" spans="1:14" x14ac:dyDescent="0.15">
      <c r="A587" s="8" t="s">
        <v>383</v>
      </c>
      <c r="B587" s="8" t="s">
        <v>1484</v>
      </c>
      <c r="C587" s="8" t="s">
        <v>111</v>
      </c>
      <c r="D587" s="8" t="s">
        <v>112</v>
      </c>
      <c r="E587" s="8" t="s">
        <v>160</v>
      </c>
      <c r="F587" s="8" t="s">
        <v>161</v>
      </c>
      <c r="G587" s="6">
        <v>43088</v>
      </c>
      <c r="H587" s="6">
        <v>43089</v>
      </c>
      <c r="I587" s="4">
        <v>-5</v>
      </c>
      <c r="J587" s="8" t="s">
        <v>39</v>
      </c>
      <c r="K587" s="8" t="s">
        <v>1485</v>
      </c>
      <c r="L587" s="4"/>
      <c r="M587" s="4"/>
      <c r="N587" s="4"/>
    </row>
    <row r="588" spans="1:14" x14ac:dyDescent="0.15">
      <c r="A588" s="8" t="s">
        <v>383</v>
      </c>
      <c r="B588" s="8" t="s">
        <v>1484</v>
      </c>
      <c r="C588" s="8" t="s">
        <v>76</v>
      </c>
      <c r="D588" s="8" t="s">
        <v>110</v>
      </c>
      <c r="E588" s="8" t="s">
        <v>160</v>
      </c>
      <c r="F588" s="8" t="s">
        <v>161</v>
      </c>
      <c r="G588" s="6">
        <v>43088</v>
      </c>
      <c r="H588" s="6">
        <v>43088</v>
      </c>
      <c r="I588" s="4">
        <v>0</v>
      </c>
      <c r="J588" s="8" t="s">
        <v>39</v>
      </c>
      <c r="K588" s="8" t="s">
        <v>1486</v>
      </c>
      <c r="L588" s="4"/>
      <c r="M588" s="4"/>
      <c r="N588" s="4"/>
    </row>
    <row r="589" spans="1:14" x14ac:dyDescent="0.15">
      <c r="A589" s="8" t="s">
        <v>383</v>
      </c>
      <c r="B589" s="8" t="s">
        <v>1484</v>
      </c>
      <c r="C589" s="8" t="s">
        <v>76</v>
      </c>
      <c r="D589" s="8" t="s">
        <v>110</v>
      </c>
      <c r="E589" s="8" t="s">
        <v>160</v>
      </c>
      <c r="F589" s="8" t="s">
        <v>161</v>
      </c>
      <c r="G589" s="6">
        <v>43088</v>
      </c>
      <c r="H589" s="6">
        <v>43089</v>
      </c>
      <c r="I589" s="4">
        <v>-7</v>
      </c>
      <c r="J589" s="8" t="s">
        <v>39</v>
      </c>
      <c r="K589" s="8" t="s">
        <v>1486</v>
      </c>
      <c r="L589" s="4"/>
      <c r="M589" s="4"/>
      <c r="N589" s="4"/>
    </row>
    <row r="590" spans="1:14" x14ac:dyDescent="0.15">
      <c r="A590" s="8" t="s">
        <v>17</v>
      </c>
      <c r="B590" s="8" t="s">
        <v>700</v>
      </c>
      <c r="C590" s="8" t="s">
        <v>52</v>
      </c>
      <c r="D590" s="8" t="s">
        <v>96</v>
      </c>
      <c r="E590" s="8" t="s">
        <v>160</v>
      </c>
      <c r="F590" s="8" t="s">
        <v>161</v>
      </c>
      <c r="G590" s="6">
        <v>42831</v>
      </c>
      <c r="H590" s="6">
        <v>42826</v>
      </c>
      <c r="I590" s="4">
        <v>195</v>
      </c>
      <c r="J590" s="8" t="s">
        <v>38</v>
      </c>
      <c r="K590" s="8" t="s">
        <v>701</v>
      </c>
      <c r="L590" s="4">
        <v>5637291342</v>
      </c>
      <c r="M590" s="4" t="s">
        <v>375</v>
      </c>
      <c r="N590" s="4">
        <v>0</v>
      </c>
    </row>
    <row r="591" spans="1:14" x14ac:dyDescent="0.15">
      <c r="A591" s="8" t="s">
        <v>17</v>
      </c>
      <c r="B591" s="8" t="s">
        <v>702</v>
      </c>
      <c r="C591" s="8" t="s">
        <v>19</v>
      </c>
      <c r="D591" s="8" t="s">
        <v>35</v>
      </c>
      <c r="E591" s="8" t="s">
        <v>160</v>
      </c>
      <c r="F591" s="8" t="s">
        <v>161</v>
      </c>
      <c r="G591" s="6">
        <v>42831</v>
      </c>
      <c r="H591" s="6">
        <v>42826</v>
      </c>
      <c r="I591" s="4">
        <v>1</v>
      </c>
      <c r="J591" s="8" t="s">
        <v>37</v>
      </c>
      <c r="K591" s="8" t="s">
        <v>703</v>
      </c>
      <c r="L591" s="4">
        <v>5637291343</v>
      </c>
      <c r="M591" s="4" t="s">
        <v>375</v>
      </c>
      <c r="N591" s="4">
        <v>0</v>
      </c>
    </row>
    <row r="592" spans="1:14" x14ac:dyDescent="0.15">
      <c r="A592" s="8" t="s">
        <v>17</v>
      </c>
      <c r="B592" s="8" t="s">
        <v>704</v>
      </c>
      <c r="C592" s="8" t="s">
        <v>67</v>
      </c>
      <c r="D592" s="8" t="s">
        <v>162</v>
      </c>
      <c r="E592" s="8" t="s">
        <v>160</v>
      </c>
      <c r="F592" s="8" t="s">
        <v>161</v>
      </c>
      <c r="G592" s="6">
        <v>42809</v>
      </c>
      <c r="H592" s="6">
        <v>42830</v>
      </c>
      <c r="I592" s="4">
        <v>28</v>
      </c>
      <c r="J592" s="8" t="s">
        <v>37</v>
      </c>
      <c r="K592" s="8" t="s">
        <v>705</v>
      </c>
      <c r="L592" s="4">
        <v>5637291379</v>
      </c>
      <c r="M592" s="4"/>
      <c r="N592" s="4">
        <v>0</v>
      </c>
    </row>
    <row r="593" spans="1:14" x14ac:dyDescent="0.15">
      <c r="A593" s="8" t="s">
        <v>17</v>
      </c>
      <c r="B593" s="8" t="s">
        <v>706</v>
      </c>
      <c r="C593" s="8" t="s">
        <v>129</v>
      </c>
      <c r="D593" s="8" t="s">
        <v>130</v>
      </c>
      <c r="E593" s="8" t="s">
        <v>160</v>
      </c>
      <c r="F593" s="8" t="s">
        <v>161</v>
      </c>
      <c r="G593" s="6">
        <v>42825</v>
      </c>
      <c r="H593" s="6">
        <v>42853</v>
      </c>
      <c r="I593" s="4">
        <v>16</v>
      </c>
      <c r="J593" s="8" t="s">
        <v>37</v>
      </c>
      <c r="K593" s="8" t="s">
        <v>707</v>
      </c>
      <c r="L593" s="4">
        <v>5637291787</v>
      </c>
      <c r="M593" s="4"/>
      <c r="N593" s="4">
        <v>0</v>
      </c>
    </row>
    <row r="594" spans="1:14" x14ac:dyDescent="0.15">
      <c r="A594" s="8" t="s">
        <v>17</v>
      </c>
      <c r="B594" s="8" t="s">
        <v>708</v>
      </c>
      <c r="C594" s="8" t="s">
        <v>23</v>
      </c>
      <c r="D594" s="8" t="s">
        <v>159</v>
      </c>
      <c r="E594" s="8" t="s">
        <v>160</v>
      </c>
      <c r="F594" s="8" t="s">
        <v>161</v>
      </c>
      <c r="G594" s="6">
        <v>42828</v>
      </c>
      <c r="H594" s="6">
        <v>42835</v>
      </c>
      <c r="I594" s="4">
        <v>336</v>
      </c>
      <c r="J594" s="8" t="s">
        <v>37</v>
      </c>
      <c r="K594" s="8" t="s">
        <v>709</v>
      </c>
      <c r="L594" s="4">
        <v>5637291381</v>
      </c>
      <c r="M594" s="4"/>
      <c r="N594" s="4">
        <v>0</v>
      </c>
    </row>
    <row r="595" spans="1:14" x14ac:dyDescent="0.15">
      <c r="A595" s="8" t="s">
        <v>17</v>
      </c>
      <c r="B595" s="8" t="s">
        <v>708</v>
      </c>
      <c r="C595" s="8" t="s">
        <v>67</v>
      </c>
      <c r="D595" s="8" t="s">
        <v>162</v>
      </c>
      <c r="E595" s="8" t="s">
        <v>160</v>
      </c>
      <c r="F595" s="8" t="s">
        <v>161</v>
      </c>
      <c r="G595" s="6">
        <v>42828</v>
      </c>
      <c r="H595" s="6">
        <v>42835</v>
      </c>
      <c r="I595" s="4">
        <v>112</v>
      </c>
      <c r="J595" s="8" t="s">
        <v>37</v>
      </c>
      <c r="K595" s="8" t="s">
        <v>710</v>
      </c>
      <c r="L595" s="4">
        <v>5637291380</v>
      </c>
      <c r="M595" s="4"/>
      <c r="N595" s="4">
        <v>0</v>
      </c>
    </row>
    <row r="596" spans="1:14" x14ac:dyDescent="0.15">
      <c r="A596" s="8" t="s">
        <v>17</v>
      </c>
      <c r="B596" s="8" t="s">
        <v>708</v>
      </c>
      <c r="C596" s="8" t="s">
        <v>28</v>
      </c>
      <c r="D596" s="8" t="s">
        <v>202</v>
      </c>
      <c r="E596" s="8" t="s">
        <v>160</v>
      </c>
      <c r="F596" s="8" t="s">
        <v>161</v>
      </c>
      <c r="G596" s="6">
        <v>42828</v>
      </c>
      <c r="H596" s="6">
        <v>42835</v>
      </c>
      <c r="I596" s="4">
        <v>23</v>
      </c>
      <c r="J596" s="8" t="s">
        <v>37</v>
      </c>
      <c r="K596" s="8" t="s">
        <v>711</v>
      </c>
      <c r="L596" s="4">
        <v>5637291382</v>
      </c>
      <c r="M596" s="4"/>
      <c r="N596" s="4">
        <v>0</v>
      </c>
    </row>
    <row r="597" spans="1:14" ht="27" x14ac:dyDescent="0.15">
      <c r="A597" s="8" t="s">
        <v>17</v>
      </c>
      <c r="B597" s="8" t="s">
        <v>216</v>
      </c>
      <c r="C597" s="8" t="s">
        <v>181</v>
      </c>
      <c r="D597" s="11" t="s">
        <v>182</v>
      </c>
      <c r="E597" s="8" t="s">
        <v>160</v>
      </c>
      <c r="F597" s="8" t="s">
        <v>161</v>
      </c>
      <c r="G597" s="6">
        <v>42832</v>
      </c>
      <c r="H597" s="6">
        <v>42843</v>
      </c>
      <c r="I597" s="4">
        <v>40</v>
      </c>
      <c r="J597" s="8" t="s">
        <v>120</v>
      </c>
      <c r="K597" s="8" t="s">
        <v>217</v>
      </c>
      <c r="L597" s="4">
        <v>5637291683</v>
      </c>
      <c r="M597" s="4"/>
      <c r="N597" s="4">
        <v>0</v>
      </c>
    </row>
    <row r="598" spans="1:14" x14ac:dyDescent="0.15">
      <c r="A598" s="8" t="s">
        <v>17</v>
      </c>
      <c r="B598" s="8" t="s">
        <v>216</v>
      </c>
      <c r="C598" s="8" t="s">
        <v>67</v>
      </c>
      <c r="D598" s="8" t="s">
        <v>162</v>
      </c>
      <c r="E598" s="8" t="s">
        <v>160</v>
      </c>
      <c r="F598" s="8" t="s">
        <v>161</v>
      </c>
      <c r="G598" s="6">
        <v>42832</v>
      </c>
      <c r="H598" s="6">
        <v>42843</v>
      </c>
      <c r="I598" s="4">
        <v>84</v>
      </c>
      <c r="J598" s="8" t="s">
        <v>37</v>
      </c>
      <c r="K598" s="8" t="s">
        <v>712</v>
      </c>
      <c r="L598" s="4">
        <v>5637291682</v>
      </c>
      <c r="M598" s="4"/>
      <c r="N598" s="4">
        <v>0</v>
      </c>
    </row>
    <row r="599" spans="1:14" x14ac:dyDescent="0.15">
      <c r="A599" s="8" t="s">
        <v>17</v>
      </c>
      <c r="B599" s="8" t="s">
        <v>713</v>
      </c>
      <c r="C599" s="8" t="s">
        <v>129</v>
      </c>
      <c r="D599" s="8" t="s">
        <v>130</v>
      </c>
      <c r="E599" s="8" t="s">
        <v>160</v>
      </c>
      <c r="F599" s="8" t="s">
        <v>161</v>
      </c>
      <c r="G599" s="6">
        <v>42836</v>
      </c>
      <c r="H599" s="6">
        <v>42835</v>
      </c>
      <c r="I599" s="4">
        <v>750</v>
      </c>
      <c r="J599" s="8" t="s">
        <v>37</v>
      </c>
      <c r="K599" s="8" t="s">
        <v>714</v>
      </c>
      <c r="L599" s="4">
        <v>5637291358</v>
      </c>
      <c r="M599" s="4"/>
      <c r="N599" s="4">
        <v>0</v>
      </c>
    </row>
    <row r="600" spans="1:14" x14ac:dyDescent="0.15">
      <c r="A600" s="8" t="s">
        <v>17</v>
      </c>
      <c r="B600" s="8" t="s">
        <v>715</v>
      </c>
      <c r="C600" s="8" t="s">
        <v>101</v>
      </c>
      <c r="D600" s="8" t="s">
        <v>102</v>
      </c>
      <c r="E600" s="8" t="s">
        <v>160</v>
      </c>
      <c r="F600" s="8" t="s">
        <v>161</v>
      </c>
      <c r="G600" s="6">
        <v>42846</v>
      </c>
      <c r="H600" s="6">
        <v>42843</v>
      </c>
      <c r="I600" s="4">
        <v>300</v>
      </c>
      <c r="J600" s="8" t="s">
        <v>39</v>
      </c>
      <c r="K600" s="8" t="s">
        <v>716</v>
      </c>
      <c r="L600" s="4">
        <v>5637291674</v>
      </c>
      <c r="M600" s="4" t="s">
        <v>375</v>
      </c>
      <c r="N600" s="4">
        <v>0</v>
      </c>
    </row>
    <row r="601" spans="1:14" x14ac:dyDescent="0.15">
      <c r="A601" s="8" t="s">
        <v>17</v>
      </c>
      <c r="B601" s="8" t="s">
        <v>715</v>
      </c>
      <c r="C601" s="8" t="s">
        <v>56</v>
      </c>
      <c r="D601" s="8" t="s">
        <v>126</v>
      </c>
      <c r="E601" s="8" t="s">
        <v>160</v>
      </c>
      <c r="F601" s="8" t="s">
        <v>161</v>
      </c>
      <c r="G601" s="6">
        <v>42846</v>
      </c>
      <c r="H601" s="6">
        <v>42843</v>
      </c>
      <c r="I601" s="4">
        <v>300</v>
      </c>
      <c r="J601" s="8" t="s">
        <v>39</v>
      </c>
      <c r="K601" s="8" t="s">
        <v>717</v>
      </c>
      <c r="L601" s="4">
        <v>5637291675</v>
      </c>
      <c r="M601" s="4" t="s">
        <v>375</v>
      </c>
      <c r="N601" s="4">
        <v>0</v>
      </c>
    </row>
    <row r="602" spans="1:14" x14ac:dyDescent="0.15">
      <c r="A602" s="8" t="s">
        <v>17</v>
      </c>
      <c r="B602" s="8" t="s">
        <v>715</v>
      </c>
      <c r="C602" s="8" t="s">
        <v>29</v>
      </c>
      <c r="D602" s="8" t="s">
        <v>33</v>
      </c>
      <c r="E602" s="8" t="s">
        <v>160</v>
      </c>
      <c r="F602" s="8" t="s">
        <v>161</v>
      </c>
      <c r="G602" s="6">
        <v>42846</v>
      </c>
      <c r="H602" s="6">
        <v>42843</v>
      </c>
      <c r="I602" s="4">
        <v>600</v>
      </c>
      <c r="J602" s="8" t="s">
        <v>39</v>
      </c>
      <c r="K602" s="8" t="s">
        <v>718</v>
      </c>
      <c r="L602" s="4">
        <v>5637291680</v>
      </c>
      <c r="M602" s="4" t="s">
        <v>375</v>
      </c>
      <c r="N602" s="4">
        <v>0</v>
      </c>
    </row>
    <row r="603" spans="1:14" x14ac:dyDescent="0.15">
      <c r="A603" s="8" t="s">
        <v>17</v>
      </c>
      <c r="B603" s="8" t="s">
        <v>715</v>
      </c>
      <c r="C603" s="8" t="s">
        <v>76</v>
      </c>
      <c r="D603" s="8" t="s">
        <v>110</v>
      </c>
      <c r="E603" s="8" t="s">
        <v>160</v>
      </c>
      <c r="F603" s="8" t="s">
        <v>161</v>
      </c>
      <c r="G603" s="6">
        <v>42846</v>
      </c>
      <c r="H603" s="6">
        <v>42843</v>
      </c>
      <c r="I603" s="4">
        <v>100</v>
      </c>
      <c r="J603" s="8" t="s">
        <v>39</v>
      </c>
      <c r="K603" s="8" t="s">
        <v>719</v>
      </c>
      <c r="L603" s="4">
        <v>5637291676</v>
      </c>
      <c r="M603" s="4" t="s">
        <v>375</v>
      </c>
      <c r="N603" s="4">
        <v>0</v>
      </c>
    </row>
    <row r="604" spans="1:14" x14ac:dyDescent="0.15">
      <c r="A604" s="8" t="s">
        <v>17</v>
      </c>
      <c r="B604" s="8" t="s">
        <v>715</v>
      </c>
      <c r="C604" s="8" t="s">
        <v>24</v>
      </c>
      <c r="D604" s="8" t="s">
        <v>34</v>
      </c>
      <c r="E604" s="8" t="s">
        <v>160</v>
      </c>
      <c r="F604" s="8" t="s">
        <v>161</v>
      </c>
      <c r="G604" s="6">
        <v>42846</v>
      </c>
      <c r="H604" s="6">
        <v>42843</v>
      </c>
      <c r="I604" s="4">
        <v>600</v>
      </c>
      <c r="J604" s="8" t="s">
        <v>39</v>
      </c>
      <c r="K604" s="8" t="s">
        <v>720</v>
      </c>
      <c r="L604" s="4">
        <v>5637291677</v>
      </c>
      <c r="M604" s="4" t="s">
        <v>375</v>
      </c>
      <c r="N604" s="4">
        <v>0</v>
      </c>
    </row>
    <row r="605" spans="1:14" x14ac:dyDescent="0.15">
      <c r="A605" s="8" t="s">
        <v>17</v>
      </c>
      <c r="B605" s="8" t="s">
        <v>715</v>
      </c>
      <c r="C605" s="8" t="s">
        <v>62</v>
      </c>
      <c r="D605" s="8" t="s">
        <v>94</v>
      </c>
      <c r="E605" s="8" t="s">
        <v>160</v>
      </c>
      <c r="F605" s="8" t="s">
        <v>161</v>
      </c>
      <c r="G605" s="6">
        <v>42846</v>
      </c>
      <c r="H605" s="6">
        <v>42843</v>
      </c>
      <c r="I605" s="4">
        <v>1200</v>
      </c>
      <c r="J605" s="8" t="s">
        <v>39</v>
      </c>
      <c r="K605" s="8" t="s">
        <v>721</v>
      </c>
      <c r="L605" s="4">
        <v>5637291678</v>
      </c>
      <c r="M605" s="4" t="s">
        <v>375</v>
      </c>
      <c r="N605" s="4">
        <v>0</v>
      </c>
    </row>
    <row r="606" spans="1:14" x14ac:dyDescent="0.15">
      <c r="A606" s="8" t="s">
        <v>17</v>
      </c>
      <c r="B606" s="8" t="s">
        <v>715</v>
      </c>
      <c r="C606" s="8" t="s">
        <v>63</v>
      </c>
      <c r="D606" s="8" t="s">
        <v>95</v>
      </c>
      <c r="E606" s="8" t="s">
        <v>160</v>
      </c>
      <c r="F606" s="8" t="s">
        <v>161</v>
      </c>
      <c r="G606" s="6">
        <v>42846</v>
      </c>
      <c r="H606" s="6">
        <v>42843</v>
      </c>
      <c r="I606" s="4">
        <v>300</v>
      </c>
      <c r="J606" s="8" t="s">
        <v>39</v>
      </c>
      <c r="K606" s="8" t="s">
        <v>722</v>
      </c>
      <c r="L606" s="4">
        <v>5637291679</v>
      </c>
      <c r="M606" s="4" t="s">
        <v>375</v>
      </c>
      <c r="N606" s="4">
        <v>0</v>
      </c>
    </row>
    <row r="607" spans="1:14" x14ac:dyDescent="0.15">
      <c r="A607" s="8" t="s">
        <v>17</v>
      </c>
      <c r="B607" s="8" t="s">
        <v>723</v>
      </c>
      <c r="C607" s="8" t="s">
        <v>19</v>
      </c>
      <c r="D607" s="8" t="s">
        <v>35</v>
      </c>
      <c r="E607" s="8" t="s">
        <v>160</v>
      </c>
      <c r="F607" s="8" t="s">
        <v>161</v>
      </c>
      <c r="G607" s="6">
        <v>42846</v>
      </c>
      <c r="H607" s="6">
        <v>42843</v>
      </c>
      <c r="I607" s="4">
        <v>1</v>
      </c>
      <c r="J607" s="8" t="s">
        <v>37</v>
      </c>
      <c r="K607" s="8" t="s">
        <v>724</v>
      </c>
      <c r="L607" s="4">
        <v>5637291681</v>
      </c>
      <c r="M607" s="4" t="s">
        <v>375</v>
      </c>
      <c r="N607" s="4">
        <v>0</v>
      </c>
    </row>
    <row r="608" spans="1:14" x14ac:dyDescent="0.15">
      <c r="A608" s="8" t="s">
        <v>17</v>
      </c>
      <c r="B608" s="8" t="s">
        <v>725</v>
      </c>
      <c r="C608" s="8" t="s">
        <v>129</v>
      </c>
      <c r="D608" s="8" t="s">
        <v>130</v>
      </c>
      <c r="E608" s="8" t="s">
        <v>160</v>
      </c>
      <c r="F608" s="8" t="s">
        <v>161</v>
      </c>
      <c r="G608" s="6">
        <v>42838</v>
      </c>
      <c r="H608" s="6">
        <v>42853</v>
      </c>
      <c r="I608" s="4">
        <v>514</v>
      </c>
      <c r="J608" s="8" t="s">
        <v>37</v>
      </c>
      <c r="K608" s="8" t="s">
        <v>726</v>
      </c>
      <c r="L608" s="4">
        <v>5637291790</v>
      </c>
      <c r="M608" s="4"/>
      <c r="N608" s="4">
        <v>0</v>
      </c>
    </row>
    <row r="609" spans="1:14" x14ac:dyDescent="0.15">
      <c r="A609" s="8" t="s">
        <v>17</v>
      </c>
      <c r="B609" s="8" t="s">
        <v>725</v>
      </c>
      <c r="C609" s="8" t="s">
        <v>129</v>
      </c>
      <c r="D609" s="8" t="s">
        <v>130</v>
      </c>
      <c r="E609" s="8" t="s">
        <v>160</v>
      </c>
      <c r="F609" s="8" t="s">
        <v>161</v>
      </c>
      <c r="G609" s="6">
        <v>42853</v>
      </c>
      <c r="H609" s="6">
        <v>42853</v>
      </c>
      <c r="I609" s="4">
        <v>-222</v>
      </c>
      <c r="J609" s="8" t="s">
        <v>37</v>
      </c>
      <c r="K609" s="8" t="s">
        <v>726</v>
      </c>
      <c r="L609" s="4">
        <v>5637291790</v>
      </c>
      <c r="M609" s="4"/>
      <c r="N609" s="4">
        <v>0</v>
      </c>
    </row>
    <row r="610" spans="1:14" x14ac:dyDescent="0.15">
      <c r="A610" s="8" t="s">
        <v>17</v>
      </c>
      <c r="B610" s="8" t="s">
        <v>725</v>
      </c>
      <c r="C610" s="8" t="s">
        <v>218</v>
      </c>
      <c r="D610" s="8" t="s">
        <v>218</v>
      </c>
      <c r="E610" s="8" t="s">
        <v>160</v>
      </c>
      <c r="F610" s="8" t="s">
        <v>161</v>
      </c>
      <c r="G610" s="6">
        <v>42853</v>
      </c>
      <c r="H610" s="6">
        <v>42853</v>
      </c>
      <c r="I610" s="4">
        <v>1</v>
      </c>
      <c r="J610" s="8" t="s">
        <v>37</v>
      </c>
      <c r="K610" s="8" t="s">
        <v>727</v>
      </c>
      <c r="L610" s="4">
        <v>5637291791</v>
      </c>
      <c r="M610" s="4"/>
      <c r="N610" s="4">
        <v>0</v>
      </c>
    </row>
    <row r="611" spans="1:14" x14ac:dyDescent="0.15">
      <c r="A611" s="8" t="s">
        <v>17</v>
      </c>
      <c r="B611" s="8" t="s">
        <v>728</v>
      </c>
      <c r="C611" s="8" t="s">
        <v>23</v>
      </c>
      <c r="D611" s="8" t="s">
        <v>159</v>
      </c>
      <c r="E611" s="8" t="s">
        <v>160</v>
      </c>
      <c r="F611" s="8" t="s">
        <v>161</v>
      </c>
      <c r="G611" s="6">
        <v>42839</v>
      </c>
      <c r="H611" s="6">
        <v>42849</v>
      </c>
      <c r="I611" s="4">
        <v>420</v>
      </c>
      <c r="J611" s="8" t="s">
        <v>37</v>
      </c>
      <c r="K611" s="8" t="s">
        <v>729</v>
      </c>
      <c r="L611" s="4">
        <v>5637291794</v>
      </c>
      <c r="M611" s="4"/>
      <c r="N611" s="4">
        <v>0</v>
      </c>
    </row>
    <row r="612" spans="1:14" x14ac:dyDescent="0.15">
      <c r="A612" s="8" t="s">
        <v>17</v>
      </c>
      <c r="B612" s="8" t="s">
        <v>728</v>
      </c>
      <c r="C612" s="8" t="s">
        <v>67</v>
      </c>
      <c r="D612" s="8" t="s">
        <v>162</v>
      </c>
      <c r="E612" s="8" t="s">
        <v>160</v>
      </c>
      <c r="F612" s="8" t="s">
        <v>161</v>
      </c>
      <c r="G612" s="6">
        <v>42839</v>
      </c>
      <c r="H612" s="6">
        <v>42849</v>
      </c>
      <c r="I612" s="4">
        <v>84</v>
      </c>
      <c r="J612" s="8" t="s">
        <v>37</v>
      </c>
      <c r="K612" s="8" t="s">
        <v>730</v>
      </c>
      <c r="L612" s="4">
        <v>5637291793</v>
      </c>
      <c r="M612" s="4"/>
      <c r="N612" s="4">
        <v>0</v>
      </c>
    </row>
    <row r="613" spans="1:14" x14ac:dyDescent="0.15">
      <c r="A613" s="8" t="s">
        <v>17</v>
      </c>
      <c r="B613" s="8" t="s">
        <v>731</v>
      </c>
      <c r="C613" s="8" t="s">
        <v>67</v>
      </c>
      <c r="D613" s="8" t="s">
        <v>162</v>
      </c>
      <c r="E613" s="8" t="s">
        <v>160</v>
      </c>
      <c r="F613" s="8" t="s">
        <v>161</v>
      </c>
      <c r="G613" s="6">
        <v>42839</v>
      </c>
      <c r="H613" s="6">
        <v>42849</v>
      </c>
      <c r="I613" s="4">
        <v>392</v>
      </c>
      <c r="J613" s="8" t="s">
        <v>37</v>
      </c>
      <c r="K613" s="8" t="s">
        <v>732</v>
      </c>
      <c r="L613" s="4">
        <v>5637291792</v>
      </c>
      <c r="M613" s="4"/>
      <c r="N613" s="4">
        <v>0</v>
      </c>
    </row>
    <row r="614" spans="1:14" x14ac:dyDescent="0.15">
      <c r="A614" s="8" t="s">
        <v>17</v>
      </c>
      <c r="B614" s="8" t="s">
        <v>733</v>
      </c>
      <c r="C614" s="8" t="s">
        <v>73</v>
      </c>
      <c r="D614" s="8" t="s">
        <v>125</v>
      </c>
      <c r="E614" s="8" t="s">
        <v>160</v>
      </c>
      <c r="F614" s="8" t="s">
        <v>161</v>
      </c>
      <c r="G614" s="6">
        <v>42846</v>
      </c>
      <c r="H614" s="6">
        <v>42843</v>
      </c>
      <c r="I614" s="4">
        <v>300</v>
      </c>
      <c r="J614" s="8" t="s">
        <v>38</v>
      </c>
      <c r="K614" s="8" t="s">
        <v>734</v>
      </c>
      <c r="L614" s="4">
        <v>5637291668</v>
      </c>
      <c r="M614" s="4" t="s">
        <v>375</v>
      </c>
      <c r="N614" s="4">
        <v>0</v>
      </c>
    </row>
    <row r="615" spans="1:14" x14ac:dyDescent="0.15">
      <c r="A615" s="8" t="s">
        <v>17</v>
      </c>
      <c r="B615" s="8" t="s">
        <v>733</v>
      </c>
      <c r="C615" s="8" t="s">
        <v>142</v>
      </c>
      <c r="D615" s="8" t="s">
        <v>206</v>
      </c>
      <c r="E615" s="8" t="s">
        <v>160</v>
      </c>
      <c r="F615" s="8" t="s">
        <v>161</v>
      </c>
      <c r="G615" s="6">
        <v>42846</v>
      </c>
      <c r="H615" s="6">
        <v>42843</v>
      </c>
      <c r="I615" s="4">
        <v>360</v>
      </c>
      <c r="J615" s="8" t="s">
        <v>38</v>
      </c>
      <c r="K615" s="8" t="s">
        <v>735</v>
      </c>
      <c r="L615" s="4">
        <v>5637291669</v>
      </c>
      <c r="M615" s="4" t="s">
        <v>375</v>
      </c>
      <c r="N615" s="4">
        <v>0</v>
      </c>
    </row>
    <row r="616" spans="1:14" x14ac:dyDescent="0.15">
      <c r="A616" s="8" t="s">
        <v>17</v>
      </c>
      <c r="B616" s="8" t="s">
        <v>733</v>
      </c>
      <c r="C616" s="8" t="s">
        <v>142</v>
      </c>
      <c r="D616" s="8" t="s">
        <v>206</v>
      </c>
      <c r="E616" s="8" t="s">
        <v>160</v>
      </c>
      <c r="F616" s="8" t="s">
        <v>161</v>
      </c>
      <c r="G616" s="6">
        <v>42846</v>
      </c>
      <c r="H616" s="6">
        <v>42843</v>
      </c>
      <c r="I616" s="4">
        <v>20.100000000000001</v>
      </c>
      <c r="J616" s="8" t="s">
        <v>38</v>
      </c>
      <c r="K616" s="8" t="s">
        <v>736</v>
      </c>
      <c r="L616" s="4">
        <v>5637291670</v>
      </c>
      <c r="M616" s="4" t="s">
        <v>375</v>
      </c>
      <c r="N616" s="4">
        <v>0</v>
      </c>
    </row>
    <row r="617" spans="1:14" x14ac:dyDescent="0.15">
      <c r="A617" s="8" t="s">
        <v>17</v>
      </c>
      <c r="B617" s="8" t="s">
        <v>733</v>
      </c>
      <c r="C617" s="8" t="s">
        <v>15</v>
      </c>
      <c r="D617" s="8" t="s">
        <v>32</v>
      </c>
      <c r="E617" s="8" t="s">
        <v>160</v>
      </c>
      <c r="F617" s="8" t="s">
        <v>161</v>
      </c>
      <c r="G617" s="6">
        <v>42846</v>
      </c>
      <c r="H617" s="6">
        <v>42843</v>
      </c>
      <c r="I617" s="4">
        <v>2667.5</v>
      </c>
      <c r="J617" s="8" t="s">
        <v>38</v>
      </c>
      <c r="K617" s="8" t="s">
        <v>737</v>
      </c>
      <c r="L617" s="4">
        <v>5637291672</v>
      </c>
      <c r="M617" s="4" t="s">
        <v>375</v>
      </c>
      <c r="N617" s="4">
        <v>0</v>
      </c>
    </row>
    <row r="618" spans="1:14" x14ac:dyDescent="0.15">
      <c r="A618" s="8" t="s">
        <v>17</v>
      </c>
      <c r="B618" s="8" t="s">
        <v>733</v>
      </c>
      <c r="C618" s="8" t="s">
        <v>16</v>
      </c>
      <c r="D618" s="8" t="s">
        <v>32</v>
      </c>
      <c r="E618" s="8" t="s">
        <v>160</v>
      </c>
      <c r="F618" s="8" t="s">
        <v>161</v>
      </c>
      <c r="G618" s="6">
        <v>42846</v>
      </c>
      <c r="H618" s="6">
        <v>42843</v>
      </c>
      <c r="I618" s="4">
        <v>6045</v>
      </c>
      <c r="J618" s="8" t="s">
        <v>38</v>
      </c>
      <c r="K618" s="8" t="s">
        <v>738</v>
      </c>
      <c r="L618" s="4">
        <v>5637291671</v>
      </c>
      <c r="M618" s="4" t="s">
        <v>375</v>
      </c>
      <c r="N618" s="4">
        <v>0</v>
      </c>
    </row>
    <row r="619" spans="1:14" x14ac:dyDescent="0.15">
      <c r="A619" s="8" t="s">
        <v>17</v>
      </c>
      <c r="B619" s="8" t="s">
        <v>739</v>
      </c>
      <c r="C619" s="8" t="s">
        <v>19</v>
      </c>
      <c r="D619" s="8" t="s">
        <v>35</v>
      </c>
      <c r="E619" s="8" t="s">
        <v>160</v>
      </c>
      <c r="F619" s="8" t="s">
        <v>161</v>
      </c>
      <c r="G619" s="6">
        <v>42846</v>
      </c>
      <c r="H619" s="6">
        <v>42843</v>
      </c>
      <c r="I619" s="4">
        <v>1</v>
      </c>
      <c r="J619" s="8" t="s">
        <v>37</v>
      </c>
      <c r="K619" s="8" t="s">
        <v>740</v>
      </c>
      <c r="L619" s="4">
        <v>5637291673</v>
      </c>
      <c r="M619" s="4" t="s">
        <v>375</v>
      </c>
      <c r="N619" s="4">
        <v>0</v>
      </c>
    </row>
    <row r="620" spans="1:14" ht="27" x14ac:dyDescent="0.15">
      <c r="A620" s="8" t="s">
        <v>17</v>
      </c>
      <c r="B620" s="8" t="s">
        <v>741</v>
      </c>
      <c r="C620" s="8" t="s">
        <v>136</v>
      </c>
      <c r="D620" s="11" t="s">
        <v>174</v>
      </c>
      <c r="E620" s="8" t="s">
        <v>160</v>
      </c>
      <c r="F620" s="8" t="s">
        <v>161</v>
      </c>
      <c r="G620" s="6">
        <v>42846</v>
      </c>
      <c r="H620" s="6">
        <v>42846</v>
      </c>
      <c r="I620" s="4">
        <v>97.5</v>
      </c>
      <c r="J620" s="8" t="s">
        <v>38</v>
      </c>
      <c r="K620" s="8" t="s">
        <v>742</v>
      </c>
      <c r="L620" s="4">
        <v>5637291795</v>
      </c>
      <c r="M620" s="4" t="s">
        <v>375</v>
      </c>
      <c r="N620" s="4">
        <v>0</v>
      </c>
    </row>
    <row r="621" spans="1:14" x14ac:dyDescent="0.15">
      <c r="A621" s="8" t="s">
        <v>17</v>
      </c>
      <c r="B621" s="8" t="s">
        <v>743</v>
      </c>
      <c r="C621" s="8" t="s">
        <v>19</v>
      </c>
      <c r="D621" s="8" t="s">
        <v>35</v>
      </c>
      <c r="E621" s="8" t="s">
        <v>160</v>
      </c>
      <c r="F621" s="8" t="s">
        <v>161</v>
      </c>
      <c r="G621" s="6">
        <v>42853</v>
      </c>
      <c r="H621" s="6">
        <v>42846</v>
      </c>
      <c r="I621" s="4">
        <v>1</v>
      </c>
      <c r="J621" s="8" t="s">
        <v>37</v>
      </c>
      <c r="K621" s="8" t="s">
        <v>744</v>
      </c>
      <c r="L621" s="4">
        <v>5637291796</v>
      </c>
      <c r="M621" s="4" t="s">
        <v>375</v>
      </c>
      <c r="N621" s="4">
        <v>0</v>
      </c>
    </row>
    <row r="622" spans="1:14" x14ac:dyDescent="0.15">
      <c r="A622" s="8" t="s">
        <v>17</v>
      </c>
      <c r="B622" s="8" t="s">
        <v>745</v>
      </c>
      <c r="C622" s="8" t="s">
        <v>198</v>
      </c>
      <c r="D622" s="8" t="s">
        <v>210</v>
      </c>
      <c r="E622" s="8" t="s">
        <v>160</v>
      </c>
      <c r="F622" s="8" t="s">
        <v>161</v>
      </c>
      <c r="G622" s="6">
        <v>42849</v>
      </c>
      <c r="H622" s="6">
        <v>42850</v>
      </c>
      <c r="I622" s="4">
        <v>125</v>
      </c>
      <c r="J622" s="8" t="s">
        <v>133</v>
      </c>
      <c r="K622" s="8" t="s">
        <v>746</v>
      </c>
      <c r="L622" s="4">
        <v>5637291799</v>
      </c>
      <c r="M622" s="4"/>
      <c r="N622" s="4">
        <v>0</v>
      </c>
    </row>
    <row r="623" spans="1:14" x14ac:dyDescent="0.15">
      <c r="A623" s="8" t="s">
        <v>17</v>
      </c>
      <c r="B623" s="8" t="s">
        <v>747</v>
      </c>
      <c r="C623" s="8" t="s">
        <v>167</v>
      </c>
      <c r="D623" s="8" t="s">
        <v>168</v>
      </c>
      <c r="E623" s="8" t="s">
        <v>160</v>
      </c>
      <c r="F623" s="8" t="s">
        <v>161</v>
      </c>
      <c r="G623" s="6">
        <v>42849</v>
      </c>
      <c r="H623" s="6">
        <v>42846</v>
      </c>
      <c r="I623" s="4">
        <v>27000</v>
      </c>
      <c r="J623" s="8" t="s">
        <v>133</v>
      </c>
      <c r="K623" s="8" t="s">
        <v>748</v>
      </c>
      <c r="L623" s="4">
        <v>5637291736</v>
      </c>
      <c r="M623" s="4"/>
      <c r="N623" s="4">
        <v>0</v>
      </c>
    </row>
    <row r="624" spans="1:14" x14ac:dyDescent="0.15">
      <c r="A624" s="8" t="s">
        <v>17</v>
      </c>
      <c r="B624" s="8" t="s">
        <v>747</v>
      </c>
      <c r="C624" s="8" t="s">
        <v>219</v>
      </c>
      <c r="D624" s="8" t="s">
        <v>219</v>
      </c>
      <c r="E624" s="8" t="s">
        <v>160</v>
      </c>
      <c r="F624" s="8" t="s">
        <v>161</v>
      </c>
      <c r="G624" s="6">
        <v>42849</v>
      </c>
      <c r="H624" s="6">
        <v>42846</v>
      </c>
      <c r="I624" s="4">
        <v>18</v>
      </c>
      <c r="J624" s="8" t="s">
        <v>37</v>
      </c>
      <c r="K624" s="8" t="s">
        <v>749</v>
      </c>
      <c r="L624" s="4">
        <v>5637291737</v>
      </c>
      <c r="M624" s="4"/>
      <c r="N624" s="4">
        <v>0</v>
      </c>
    </row>
    <row r="625" spans="1:14" ht="27" x14ac:dyDescent="0.15">
      <c r="A625" s="8" t="s">
        <v>17</v>
      </c>
      <c r="B625" s="8" t="s">
        <v>220</v>
      </c>
      <c r="C625" s="8" t="s">
        <v>181</v>
      </c>
      <c r="D625" s="11" t="s">
        <v>182</v>
      </c>
      <c r="E625" s="8" t="s">
        <v>160</v>
      </c>
      <c r="F625" s="8" t="s">
        <v>161</v>
      </c>
      <c r="G625" s="6">
        <v>42851</v>
      </c>
      <c r="H625" s="6">
        <v>42857</v>
      </c>
      <c r="I625" s="4">
        <v>40</v>
      </c>
      <c r="J625" s="8" t="s">
        <v>120</v>
      </c>
      <c r="K625" s="8" t="s">
        <v>221</v>
      </c>
      <c r="L625" s="4">
        <v>5637291853</v>
      </c>
      <c r="M625" s="4"/>
      <c r="N625" s="4">
        <v>0</v>
      </c>
    </row>
    <row r="626" spans="1:14" x14ac:dyDescent="0.15">
      <c r="A626" s="8" t="s">
        <v>17</v>
      </c>
      <c r="B626" s="8" t="s">
        <v>750</v>
      </c>
      <c r="C626" s="8" t="s">
        <v>67</v>
      </c>
      <c r="D626" s="8" t="s">
        <v>162</v>
      </c>
      <c r="E626" s="8" t="s">
        <v>160</v>
      </c>
      <c r="F626" s="8" t="s">
        <v>161</v>
      </c>
      <c r="G626" s="6">
        <v>42851</v>
      </c>
      <c r="H626" s="6">
        <v>42859</v>
      </c>
      <c r="I626" s="4">
        <v>112</v>
      </c>
      <c r="J626" s="8" t="s">
        <v>37</v>
      </c>
      <c r="K626" s="8" t="s">
        <v>751</v>
      </c>
      <c r="L626" s="4">
        <v>5637291854</v>
      </c>
      <c r="M626" s="4"/>
      <c r="N626" s="4">
        <v>0</v>
      </c>
    </row>
    <row r="627" spans="1:14" x14ac:dyDescent="0.15">
      <c r="A627" s="8" t="s">
        <v>17</v>
      </c>
      <c r="B627" s="8" t="s">
        <v>752</v>
      </c>
      <c r="C627" s="8" t="s">
        <v>19</v>
      </c>
      <c r="D627" s="8" t="s">
        <v>35</v>
      </c>
      <c r="E627" s="8" t="s">
        <v>160</v>
      </c>
      <c r="F627" s="8" t="s">
        <v>161</v>
      </c>
      <c r="G627" s="6">
        <v>42853</v>
      </c>
      <c r="H627" s="6">
        <v>42853</v>
      </c>
      <c r="I627" s="4">
        <v>-1</v>
      </c>
      <c r="J627" s="8" t="s">
        <v>37</v>
      </c>
      <c r="K627" s="8" t="s">
        <v>753</v>
      </c>
      <c r="L627" s="4">
        <v>5637291797</v>
      </c>
      <c r="M627" s="4" t="s">
        <v>375</v>
      </c>
      <c r="N627" s="4">
        <v>0</v>
      </c>
    </row>
    <row r="628" spans="1:14" x14ac:dyDescent="0.15">
      <c r="A628" s="8" t="s">
        <v>17</v>
      </c>
      <c r="B628" s="8" t="s">
        <v>754</v>
      </c>
      <c r="C628" s="8" t="s">
        <v>19</v>
      </c>
      <c r="D628" s="8" t="s">
        <v>35</v>
      </c>
      <c r="E628" s="8" t="s">
        <v>160</v>
      </c>
      <c r="F628" s="8" t="s">
        <v>161</v>
      </c>
      <c r="G628" s="6">
        <v>42853</v>
      </c>
      <c r="H628" s="6">
        <v>42853</v>
      </c>
      <c r="I628" s="4">
        <v>1</v>
      </c>
      <c r="J628" s="8" t="s">
        <v>37</v>
      </c>
      <c r="K628" s="8" t="s">
        <v>755</v>
      </c>
      <c r="L628" s="4">
        <v>5637291798</v>
      </c>
      <c r="M628" s="4" t="s">
        <v>375</v>
      </c>
      <c r="N628" s="4">
        <v>0</v>
      </c>
    </row>
    <row r="629" spans="1:14" x14ac:dyDescent="0.15">
      <c r="A629" s="8" t="s">
        <v>17</v>
      </c>
      <c r="B629" s="8" t="s">
        <v>756</v>
      </c>
      <c r="C629" s="8" t="s">
        <v>23</v>
      </c>
      <c r="D629" s="8" t="s">
        <v>159</v>
      </c>
      <c r="E629" s="8" t="s">
        <v>160</v>
      </c>
      <c r="F629" s="8" t="s">
        <v>161</v>
      </c>
      <c r="G629" s="6">
        <v>42857</v>
      </c>
      <c r="H629" s="6">
        <v>42865</v>
      </c>
      <c r="I629" s="4">
        <v>294</v>
      </c>
      <c r="J629" s="8" t="s">
        <v>37</v>
      </c>
      <c r="K629" s="8" t="s">
        <v>757</v>
      </c>
      <c r="L629" s="4">
        <v>5637291909</v>
      </c>
      <c r="M629" s="4"/>
      <c r="N629" s="4">
        <v>0</v>
      </c>
    </row>
    <row r="630" spans="1:14" x14ac:dyDescent="0.15">
      <c r="A630" s="8" t="s">
        <v>17</v>
      </c>
      <c r="B630" s="8" t="s">
        <v>758</v>
      </c>
      <c r="C630" s="8" t="s">
        <v>67</v>
      </c>
      <c r="D630" s="8" t="s">
        <v>162</v>
      </c>
      <c r="E630" s="8" t="s">
        <v>160</v>
      </c>
      <c r="F630" s="8" t="s">
        <v>161</v>
      </c>
      <c r="G630" s="6">
        <v>42857</v>
      </c>
      <c r="H630" s="6">
        <v>42865</v>
      </c>
      <c r="I630" s="4">
        <v>112</v>
      </c>
      <c r="J630" s="8" t="s">
        <v>37</v>
      </c>
      <c r="K630" s="8" t="s">
        <v>759</v>
      </c>
      <c r="L630" s="4">
        <v>5637291908</v>
      </c>
      <c r="M630" s="4"/>
      <c r="N630" s="4">
        <v>0</v>
      </c>
    </row>
    <row r="631" spans="1:14" x14ac:dyDescent="0.15">
      <c r="A631" s="8" t="s">
        <v>17</v>
      </c>
      <c r="B631" s="8" t="s">
        <v>760</v>
      </c>
      <c r="C631" s="8" t="s">
        <v>175</v>
      </c>
      <c r="D631" s="8" t="s">
        <v>176</v>
      </c>
      <c r="E631" s="8" t="s">
        <v>160</v>
      </c>
      <c r="F631" s="8" t="s">
        <v>161</v>
      </c>
      <c r="G631" s="6">
        <v>42851</v>
      </c>
      <c r="H631" s="6">
        <v>42867</v>
      </c>
      <c r="I631" s="4">
        <v>70</v>
      </c>
      <c r="J631" s="8" t="s">
        <v>39</v>
      </c>
      <c r="K631" s="8" t="s">
        <v>761</v>
      </c>
      <c r="L631" s="4">
        <v>5637291902</v>
      </c>
      <c r="M631" s="4" t="s">
        <v>375</v>
      </c>
      <c r="N631" s="4">
        <v>0</v>
      </c>
    </row>
    <row r="632" spans="1:14" x14ac:dyDescent="0.15">
      <c r="A632" s="8" t="s">
        <v>17</v>
      </c>
      <c r="B632" s="8" t="s">
        <v>760</v>
      </c>
      <c r="C632" s="8" t="s">
        <v>175</v>
      </c>
      <c r="D632" s="8" t="s">
        <v>176</v>
      </c>
      <c r="E632" s="8" t="s">
        <v>160</v>
      </c>
      <c r="F632" s="8" t="s">
        <v>161</v>
      </c>
      <c r="G632" s="6">
        <v>42851</v>
      </c>
      <c r="H632" s="6">
        <v>42867</v>
      </c>
      <c r="I632" s="4">
        <v>26</v>
      </c>
      <c r="J632" s="8" t="s">
        <v>39</v>
      </c>
      <c r="K632" s="8" t="s">
        <v>762</v>
      </c>
      <c r="L632" s="4">
        <v>5637291903</v>
      </c>
      <c r="M632" s="4" t="s">
        <v>375</v>
      </c>
      <c r="N632" s="4">
        <v>0</v>
      </c>
    </row>
    <row r="633" spans="1:14" x14ac:dyDescent="0.15">
      <c r="A633" s="8" t="s">
        <v>17</v>
      </c>
      <c r="B633" s="8" t="s">
        <v>760</v>
      </c>
      <c r="C633" s="8" t="s">
        <v>175</v>
      </c>
      <c r="D633" s="8" t="s">
        <v>176</v>
      </c>
      <c r="E633" s="8" t="s">
        <v>160</v>
      </c>
      <c r="F633" s="8" t="s">
        <v>161</v>
      </c>
      <c r="G633" s="6">
        <v>42851</v>
      </c>
      <c r="H633" s="6">
        <v>42867</v>
      </c>
      <c r="I633" s="4">
        <v>75</v>
      </c>
      <c r="J633" s="8" t="s">
        <v>39</v>
      </c>
      <c r="K633" s="8" t="s">
        <v>763</v>
      </c>
      <c r="L633" s="4">
        <v>5637291904</v>
      </c>
      <c r="M633" s="4" t="s">
        <v>375</v>
      </c>
      <c r="N633" s="4">
        <v>0</v>
      </c>
    </row>
    <row r="634" spans="1:14" x14ac:dyDescent="0.15">
      <c r="A634" s="8" t="s">
        <v>17</v>
      </c>
      <c r="B634" s="8" t="s">
        <v>760</v>
      </c>
      <c r="C634" s="8" t="s">
        <v>175</v>
      </c>
      <c r="D634" s="8" t="s">
        <v>176</v>
      </c>
      <c r="E634" s="8" t="s">
        <v>160</v>
      </c>
      <c r="F634" s="8" t="s">
        <v>161</v>
      </c>
      <c r="G634" s="6">
        <v>42851</v>
      </c>
      <c r="H634" s="6">
        <v>42867</v>
      </c>
      <c r="I634" s="4">
        <v>70</v>
      </c>
      <c r="J634" s="8" t="s">
        <v>39</v>
      </c>
      <c r="K634" s="8" t="s">
        <v>764</v>
      </c>
      <c r="L634" s="4">
        <v>5637291905</v>
      </c>
      <c r="M634" s="4" t="s">
        <v>375</v>
      </c>
      <c r="N634" s="4">
        <v>0</v>
      </c>
    </row>
    <row r="635" spans="1:14" x14ac:dyDescent="0.15">
      <c r="A635" s="8" t="s">
        <v>17</v>
      </c>
      <c r="B635" s="8" t="s">
        <v>760</v>
      </c>
      <c r="C635" s="8" t="s">
        <v>175</v>
      </c>
      <c r="D635" s="8" t="s">
        <v>176</v>
      </c>
      <c r="E635" s="8" t="s">
        <v>160</v>
      </c>
      <c r="F635" s="8" t="s">
        <v>161</v>
      </c>
      <c r="G635" s="6">
        <v>42851</v>
      </c>
      <c r="H635" s="6">
        <v>42867</v>
      </c>
      <c r="I635" s="4">
        <v>26</v>
      </c>
      <c r="J635" s="8" t="s">
        <v>39</v>
      </c>
      <c r="K635" s="8" t="s">
        <v>765</v>
      </c>
      <c r="L635" s="4">
        <v>5637291906</v>
      </c>
      <c r="M635" s="4" t="s">
        <v>375</v>
      </c>
      <c r="N635" s="4">
        <v>0</v>
      </c>
    </row>
    <row r="636" spans="1:14" x14ac:dyDescent="0.15">
      <c r="A636" s="8" t="s">
        <v>17</v>
      </c>
      <c r="B636" s="8" t="s">
        <v>760</v>
      </c>
      <c r="C636" s="8" t="s">
        <v>175</v>
      </c>
      <c r="D636" s="8" t="s">
        <v>176</v>
      </c>
      <c r="E636" s="8" t="s">
        <v>160</v>
      </c>
      <c r="F636" s="8" t="s">
        <v>161</v>
      </c>
      <c r="G636" s="6">
        <v>42851</v>
      </c>
      <c r="H636" s="6">
        <v>42867</v>
      </c>
      <c r="I636" s="4">
        <v>75</v>
      </c>
      <c r="J636" s="8" t="s">
        <v>39</v>
      </c>
      <c r="K636" s="8" t="s">
        <v>766</v>
      </c>
      <c r="L636" s="4">
        <v>5637291907</v>
      </c>
      <c r="M636" s="4" t="s">
        <v>375</v>
      </c>
      <c r="N636" s="4">
        <v>0</v>
      </c>
    </row>
    <row r="637" spans="1:14" x14ac:dyDescent="0.15">
      <c r="A637" s="8" t="s">
        <v>17</v>
      </c>
      <c r="B637" s="8" t="s">
        <v>760</v>
      </c>
      <c r="C637" s="8" t="s">
        <v>175</v>
      </c>
      <c r="D637" s="8" t="s">
        <v>176</v>
      </c>
      <c r="E637" s="8" t="s">
        <v>160</v>
      </c>
      <c r="F637" s="8" t="s">
        <v>161</v>
      </c>
      <c r="G637" s="6">
        <v>42851</v>
      </c>
      <c r="H637" s="6">
        <v>42871</v>
      </c>
      <c r="I637" s="4">
        <v>21</v>
      </c>
      <c r="J637" s="8" t="s">
        <v>39</v>
      </c>
      <c r="K637" s="8" t="s">
        <v>764</v>
      </c>
      <c r="L637" s="4">
        <v>5637291905</v>
      </c>
      <c r="M637" s="4" t="s">
        <v>375</v>
      </c>
      <c r="N637" s="4">
        <v>0</v>
      </c>
    </row>
    <row r="638" spans="1:14" x14ac:dyDescent="0.15">
      <c r="A638" s="8" t="s">
        <v>17</v>
      </c>
      <c r="B638" s="8" t="s">
        <v>760</v>
      </c>
      <c r="C638" s="8" t="s">
        <v>175</v>
      </c>
      <c r="D638" s="8" t="s">
        <v>176</v>
      </c>
      <c r="E638" s="8" t="s">
        <v>160</v>
      </c>
      <c r="F638" s="8" t="s">
        <v>161</v>
      </c>
      <c r="G638" s="6">
        <v>42871</v>
      </c>
      <c r="H638" s="6">
        <v>42871</v>
      </c>
      <c r="I638" s="4">
        <v>-21</v>
      </c>
      <c r="J638" s="8" t="s">
        <v>39</v>
      </c>
      <c r="K638" s="8" t="s">
        <v>764</v>
      </c>
      <c r="L638" s="4">
        <v>5637291905</v>
      </c>
      <c r="M638" s="4" t="s">
        <v>375</v>
      </c>
      <c r="N638" s="4">
        <v>0</v>
      </c>
    </row>
    <row r="639" spans="1:14" x14ac:dyDescent="0.15">
      <c r="A639" s="8" t="s">
        <v>17</v>
      </c>
      <c r="B639" s="8" t="s">
        <v>767</v>
      </c>
      <c r="C639" s="8" t="s">
        <v>121</v>
      </c>
      <c r="D639" s="8" t="s">
        <v>122</v>
      </c>
      <c r="E639" s="8" t="s">
        <v>160</v>
      </c>
      <c r="F639" s="8" t="s">
        <v>161</v>
      </c>
      <c r="G639" s="6">
        <v>42860</v>
      </c>
      <c r="H639" s="6">
        <v>42865</v>
      </c>
      <c r="I639" s="4">
        <v>600</v>
      </c>
      <c r="J639" s="8" t="s">
        <v>39</v>
      </c>
      <c r="K639" s="8" t="s">
        <v>768</v>
      </c>
      <c r="L639" s="4">
        <v>5637291892</v>
      </c>
      <c r="M639" s="4" t="s">
        <v>375</v>
      </c>
      <c r="N639" s="4">
        <v>0</v>
      </c>
    </row>
    <row r="640" spans="1:14" x14ac:dyDescent="0.15">
      <c r="A640" s="8" t="s">
        <v>17</v>
      </c>
      <c r="B640" s="8" t="s">
        <v>767</v>
      </c>
      <c r="C640" s="8" t="s">
        <v>59</v>
      </c>
      <c r="D640" s="8" t="s">
        <v>93</v>
      </c>
      <c r="E640" s="8" t="s">
        <v>160</v>
      </c>
      <c r="F640" s="8" t="s">
        <v>161</v>
      </c>
      <c r="G640" s="6">
        <v>42860</v>
      </c>
      <c r="H640" s="6">
        <v>42865</v>
      </c>
      <c r="I640" s="4">
        <v>600</v>
      </c>
      <c r="J640" s="8" t="s">
        <v>39</v>
      </c>
      <c r="K640" s="8" t="s">
        <v>769</v>
      </c>
      <c r="L640" s="4">
        <v>5637291893</v>
      </c>
      <c r="M640" s="4" t="s">
        <v>375</v>
      </c>
      <c r="N640" s="4">
        <v>0</v>
      </c>
    </row>
    <row r="641" spans="1:14" x14ac:dyDescent="0.15">
      <c r="A641" s="8" t="s">
        <v>17</v>
      </c>
      <c r="B641" s="8" t="s">
        <v>767</v>
      </c>
      <c r="C641" s="8" t="s">
        <v>123</v>
      </c>
      <c r="D641" s="8" t="s">
        <v>124</v>
      </c>
      <c r="E641" s="8" t="s">
        <v>160</v>
      </c>
      <c r="F641" s="8" t="s">
        <v>161</v>
      </c>
      <c r="G641" s="6">
        <v>42860</v>
      </c>
      <c r="H641" s="6">
        <v>42865</v>
      </c>
      <c r="I641" s="4">
        <v>300</v>
      </c>
      <c r="J641" s="8" t="s">
        <v>39</v>
      </c>
      <c r="K641" s="8" t="s">
        <v>770</v>
      </c>
      <c r="L641" s="4">
        <v>5637291894</v>
      </c>
      <c r="M641" s="4" t="s">
        <v>375</v>
      </c>
      <c r="N641" s="4">
        <v>0</v>
      </c>
    </row>
    <row r="642" spans="1:14" x14ac:dyDescent="0.15">
      <c r="A642" s="8" t="s">
        <v>17</v>
      </c>
      <c r="B642" s="8" t="s">
        <v>771</v>
      </c>
      <c r="C642" s="8" t="s">
        <v>19</v>
      </c>
      <c r="D642" s="8" t="s">
        <v>35</v>
      </c>
      <c r="E642" s="8" t="s">
        <v>160</v>
      </c>
      <c r="F642" s="8" t="s">
        <v>161</v>
      </c>
      <c r="G642" s="6">
        <v>42865</v>
      </c>
      <c r="H642" s="6">
        <v>42865</v>
      </c>
      <c r="I642" s="4">
        <v>1</v>
      </c>
      <c r="J642" s="8" t="s">
        <v>37</v>
      </c>
      <c r="K642" s="8" t="s">
        <v>772</v>
      </c>
      <c r="L642" s="4">
        <v>5637291895</v>
      </c>
      <c r="M642" s="4" t="s">
        <v>375</v>
      </c>
      <c r="N642" s="4">
        <v>0</v>
      </c>
    </row>
    <row r="643" spans="1:14" x14ac:dyDescent="0.15">
      <c r="A643" s="8" t="s">
        <v>17</v>
      </c>
      <c r="B643" s="8" t="s">
        <v>773</v>
      </c>
      <c r="C643" s="8" t="s">
        <v>23</v>
      </c>
      <c r="D643" s="8" t="s">
        <v>159</v>
      </c>
      <c r="E643" s="8" t="s">
        <v>160</v>
      </c>
      <c r="F643" s="8" t="s">
        <v>161</v>
      </c>
      <c r="G643" s="6">
        <v>42859</v>
      </c>
      <c r="H643" s="6">
        <v>42870</v>
      </c>
      <c r="I643" s="4">
        <v>126</v>
      </c>
      <c r="J643" s="8" t="s">
        <v>37</v>
      </c>
      <c r="K643" s="8" t="s">
        <v>774</v>
      </c>
      <c r="L643" s="4">
        <v>5637292171</v>
      </c>
      <c r="M643" s="4"/>
      <c r="N643" s="4">
        <v>0</v>
      </c>
    </row>
    <row r="644" spans="1:14" x14ac:dyDescent="0.15">
      <c r="A644" s="8" t="s">
        <v>17</v>
      </c>
      <c r="B644" s="8" t="s">
        <v>773</v>
      </c>
      <c r="C644" s="8" t="s">
        <v>67</v>
      </c>
      <c r="D644" s="8" t="s">
        <v>162</v>
      </c>
      <c r="E644" s="8" t="s">
        <v>160</v>
      </c>
      <c r="F644" s="8" t="s">
        <v>161</v>
      </c>
      <c r="G644" s="6">
        <v>42859</v>
      </c>
      <c r="H644" s="6">
        <v>42870</v>
      </c>
      <c r="I644" s="4">
        <v>280</v>
      </c>
      <c r="J644" s="8" t="s">
        <v>37</v>
      </c>
      <c r="K644" s="8" t="s">
        <v>775</v>
      </c>
      <c r="L644" s="4">
        <v>5637292170</v>
      </c>
      <c r="M644" s="4"/>
      <c r="N644" s="4">
        <v>0</v>
      </c>
    </row>
    <row r="645" spans="1:14" x14ac:dyDescent="0.15">
      <c r="A645" s="8" t="s">
        <v>17</v>
      </c>
      <c r="B645" s="8" t="s">
        <v>776</v>
      </c>
      <c r="C645" s="8" t="s">
        <v>23</v>
      </c>
      <c r="D645" s="8" t="s">
        <v>159</v>
      </c>
      <c r="E645" s="8" t="s">
        <v>160</v>
      </c>
      <c r="F645" s="8" t="s">
        <v>161</v>
      </c>
      <c r="G645" s="6">
        <v>42860</v>
      </c>
      <c r="H645" s="6">
        <v>42870</v>
      </c>
      <c r="I645" s="4">
        <v>1</v>
      </c>
      <c r="J645" s="8" t="s">
        <v>37</v>
      </c>
      <c r="K645" s="8" t="s">
        <v>777</v>
      </c>
      <c r="L645" s="4">
        <v>5637292172</v>
      </c>
      <c r="M645" s="4"/>
      <c r="N645" s="4">
        <v>0</v>
      </c>
    </row>
    <row r="646" spans="1:14" x14ac:dyDescent="0.15">
      <c r="A646" s="8" t="s">
        <v>17</v>
      </c>
      <c r="B646" s="8" t="s">
        <v>778</v>
      </c>
      <c r="C646" s="8" t="s">
        <v>23</v>
      </c>
      <c r="D646" s="8" t="s">
        <v>159</v>
      </c>
      <c r="E646" s="8" t="s">
        <v>160</v>
      </c>
      <c r="F646" s="8" t="s">
        <v>161</v>
      </c>
      <c r="G646" s="6">
        <v>42867</v>
      </c>
      <c r="H646" s="6">
        <v>42877</v>
      </c>
      <c r="I646" s="4">
        <v>5</v>
      </c>
      <c r="J646" s="8" t="s">
        <v>37</v>
      </c>
      <c r="K646" s="8" t="s">
        <v>779</v>
      </c>
      <c r="L646" s="4">
        <v>5637292221</v>
      </c>
      <c r="M646" s="4"/>
      <c r="N646" s="4">
        <v>0</v>
      </c>
    </row>
    <row r="647" spans="1:14" x14ac:dyDescent="0.15">
      <c r="A647" s="8" t="s">
        <v>17</v>
      </c>
      <c r="B647" s="8" t="s">
        <v>778</v>
      </c>
      <c r="C647" s="8" t="s">
        <v>67</v>
      </c>
      <c r="D647" s="8" t="s">
        <v>162</v>
      </c>
      <c r="E647" s="8" t="s">
        <v>160</v>
      </c>
      <c r="F647" s="8" t="s">
        <v>161</v>
      </c>
      <c r="G647" s="6">
        <v>42867</v>
      </c>
      <c r="H647" s="6">
        <v>42877</v>
      </c>
      <c r="I647" s="4">
        <v>280</v>
      </c>
      <c r="J647" s="8" t="s">
        <v>37</v>
      </c>
      <c r="K647" s="8" t="s">
        <v>780</v>
      </c>
      <c r="L647" s="4">
        <v>5637292219</v>
      </c>
      <c r="M647" s="4"/>
      <c r="N647" s="4">
        <v>0</v>
      </c>
    </row>
    <row r="648" spans="1:14" x14ac:dyDescent="0.15">
      <c r="A648" s="8" t="s">
        <v>17</v>
      </c>
      <c r="B648" s="8" t="s">
        <v>778</v>
      </c>
      <c r="C648" s="8" t="s">
        <v>28</v>
      </c>
      <c r="D648" s="8" t="s">
        <v>202</v>
      </c>
      <c r="E648" s="8" t="s">
        <v>160</v>
      </c>
      <c r="F648" s="8" t="s">
        <v>161</v>
      </c>
      <c r="G648" s="6">
        <v>42867</v>
      </c>
      <c r="H648" s="6">
        <v>42877</v>
      </c>
      <c r="I648" s="4">
        <v>2</v>
      </c>
      <c r="J648" s="8" t="s">
        <v>37</v>
      </c>
      <c r="K648" s="8" t="s">
        <v>781</v>
      </c>
      <c r="L648" s="4">
        <v>5637292220</v>
      </c>
      <c r="M648" s="4"/>
      <c r="N648" s="4">
        <v>0</v>
      </c>
    </row>
    <row r="649" spans="1:14" x14ac:dyDescent="0.15">
      <c r="A649" s="8" t="s">
        <v>17</v>
      </c>
      <c r="B649" s="8" t="s">
        <v>782</v>
      </c>
      <c r="C649" s="8" t="s">
        <v>25</v>
      </c>
      <c r="D649" s="8" t="s">
        <v>31</v>
      </c>
      <c r="E649" s="8" t="s">
        <v>160</v>
      </c>
      <c r="F649" s="8" t="s">
        <v>161</v>
      </c>
      <c r="G649" s="6">
        <v>42873</v>
      </c>
      <c r="H649" s="6">
        <v>42873</v>
      </c>
      <c r="I649" s="4">
        <v>600</v>
      </c>
      <c r="J649" s="8" t="s">
        <v>38</v>
      </c>
      <c r="K649" s="8" t="s">
        <v>783</v>
      </c>
      <c r="L649" s="4">
        <v>5637292200</v>
      </c>
      <c r="M649" s="4" t="s">
        <v>375</v>
      </c>
      <c r="N649" s="4">
        <v>0</v>
      </c>
    </row>
    <row r="650" spans="1:14" x14ac:dyDescent="0.15">
      <c r="A650" s="8" t="s">
        <v>17</v>
      </c>
      <c r="B650" s="8" t="s">
        <v>784</v>
      </c>
      <c r="C650" s="8" t="s">
        <v>19</v>
      </c>
      <c r="D650" s="8" t="s">
        <v>35</v>
      </c>
      <c r="E650" s="8" t="s">
        <v>160</v>
      </c>
      <c r="F650" s="8" t="s">
        <v>161</v>
      </c>
      <c r="G650" s="6">
        <v>42873</v>
      </c>
      <c r="H650" s="6">
        <v>42873</v>
      </c>
      <c r="I650" s="4">
        <v>1</v>
      </c>
      <c r="J650" s="8" t="s">
        <v>37</v>
      </c>
      <c r="K650" s="8" t="s">
        <v>785</v>
      </c>
      <c r="L650" s="4">
        <v>5637292201</v>
      </c>
      <c r="M650" s="4" t="s">
        <v>375</v>
      </c>
      <c r="N650" s="4">
        <v>0</v>
      </c>
    </row>
    <row r="651" spans="1:14" x14ac:dyDescent="0.15">
      <c r="A651" s="8" t="s">
        <v>17</v>
      </c>
      <c r="B651" s="8" t="s">
        <v>786</v>
      </c>
      <c r="C651" s="8" t="s">
        <v>25</v>
      </c>
      <c r="D651" s="8" t="s">
        <v>31</v>
      </c>
      <c r="E651" s="8" t="s">
        <v>160</v>
      </c>
      <c r="F651" s="8" t="s">
        <v>161</v>
      </c>
      <c r="G651" s="6">
        <v>42873</v>
      </c>
      <c r="H651" s="6">
        <v>42873</v>
      </c>
      <c r="I651" s="4">
        <v>150</v>
      </c>
      <c r="J651" s="8" t="s">
        <v>38</v>
      </c>
      <c r="K651" s="8" t="s">
        <v>787</v>
      </c>
      <c r="L651" s="4">
        <v>5637292202</v>
      </c>
      <c r="M651" s="4" t="s">
        <v>375</v>
      </c>
      <c r="N651" s="4">
        <v>0</v>
      </c>
    </row>
    <row r="652" spans="1:14" x14ac:dyDescent="0.15">
      <c r="A652" s="8" t="s">
        <v>17</v>
      </c>
      <c r="B652" s="8" t="s">
        <v>788</v>
      </c>
      <c r="C652" s="8" t="s">
        <v>101</v>
      </c>
      <c r="D652" s="8" t="s">
        <v>102</v>
      </c>
      <c r="E652" s="8" t="s">
        <v>160</v>
      </c>
      <c r="F652" s="8" t="s">
        <v>161</v>
      </c>
      <c r="G652" s="6">
        <v>42884</v>
      </c>
      <c r="H652" s="6">
        <v>42884</v>
      </c>
      <c r="I652" s="4">
        <v>570</v>
      </c>
      <c r="J652" s="8" t="s">
        <v>39</v>
      </c>
      <c r="K652" s="8" t="s">
        <v>789</v>
      </c>
      <c r="L652" s="4">
        <v>5637292223</v>
      </c>
      <c r="M652" s="4" t="s">
        <v>375</v>
      </c>
      <c r="N652" s="4">
        <v>0</v>
      </c>
    </row>
    <row r="653" spans="1:14" x14ac:dyDescent="0.15">
      <c r="A653" s="8" t="s">
        <v>17</v>
      </c>
      <c r="B653" s="8" t="s">
        <v>790</v>
      </c>
      <c r="C653" s="8" t="s">
        <v>19</v>
      </c>
      <c r="D653" s="8" t="s">
        <v>35</v>
      </c>
      <c r="E653" s="8" t="s">
        <v>160</v>
      </c>
      <c r="F653" s="8" t="s">
        <v>161</v>
      </c>
      <c r="G653" s="6">
        <v>42884</v>
      </c>
      <c r="H653" s="6">
        <v>42884</v>
      </c>
      <c r="I653" s="4">
        <v>1</v>
      </c>
      <c r="J653" s="8" t="s">
        <v>37</v>
      </c>
      <c r="K653" s="8" t="s">
        <v>791</v>
      </c>
      <c r="L653" s="4">
        <v>5637292222</v>
      </c>
      <c r="M653" s="4" t="s">
        <v>375</v>
      </c>
      <c r="N653" s="4">
        <v>0</v>
      </c>
    </row>
    <row r="654" spans="1:14" x14ac:dyDescent="0.15">
      <c r="A654" s="8" t="s">
        <v>17</v>
      </c>
      <c r="B654" s="8" t="s">
        <v>792</v>
      </c>
      <c r="C654" s="8" t="s">
        <v>214</v>
      </c>
      <c r="D654" s="8" t="s">
        <v>215</v>
      </c>
      <c r="E654" s="8" t="s">
        <v>160</v>
      </c>
      <c r="F654" s="8" t="s">
        <v>161</v>
      </c>
      <c r="G654" s="6">
        <v>42872</v>
      </c>
      <c r="H654" s="6">
        <v>42872</v>
      </c>
      <c r="I654" s="4">
        <v>1</v>
      </c>
      <c r="J654" s="8" t="s">
        <v>37</v>
      </c>
      <c r="K654" s="8" t="s">
        <v>793</v>
      </c>
      <c r="L654" s="4">
        <v>5637292224</v>
      </c>
      <c r="M654" s="4" t="s">
        <v>375</v>
      </c>
      <c r="N654" s="4">
        <v>0</v>
      </c>
    </row>
    <row r="655" spans="1:14" x14ac:dyDescent="0.15">
      <c r="A655" s="8" t="s">
        <v>17</v>
      </c>
      <c r="B655" s="8" t="s">
        <v>794</v>
      </c>
      <c r="C655" s="8" t="s">
        <v>214</v>
      </c>
      <c r="D655" s="8" t="s">
        <v>215</v>
      </c>
      <c r="E655" s="8" t="s">
        <v>160</v>
      </c>
      <c r="F655" s="8" t="s">
        <v>161</v>
      </c>
      <c r="G655" s="6">
        <v>42872</v>
      </c>
      <c r="H655" s="6">
        <v>42872</v>
      </c>
      <c r="I655" s="4">
        <v>1</v>
      </c>
      <c r="J655" s="8" t="s">
        <v>37</v>
      </c>
      <c r="K655" s="8" t="s">
        <v>795</v>
      </c>
      <c r="L655" s="4">
        <v>5637292225</v>
      </c>
      <c r="M655" s="4" t="s">
        <v>375</v>
      </c>
      <c r="N655" s="4">
        <v>0</v>
      </c>
    </row>
    <row r="656" spans="1:14" x14ac:dyDescent="0.15">
      <c r="A656" s="8" t="s">
        <v>17</v>
      </c>
      <c r="B656" s="8" t="s">
        <v>796</v>
      </c>
      <c r="C656" s="8" t="s">
        <v>67</v>
      </c>
      <c r="D656" s="8" t="s">
        <v>162</v>
      </c>
      <c r="E656" s="8" t="s">
        <v>160</v>
      </c>
      <c r="F656" s="8" t="s">
        <v>161</v>
      </c>
      <c r="G656" s="6">
        <v>42884</v>
      </c>
      <c r="H656" s="6">
        <v>42893</v>
      </c>
      <c r="I656" s="4">
        <v>252</v>
      </c>
      <c r="J656" s="8" t="s">
        <v>37</v>
      </c>
      <c r="K656" s="8" t="s">
        <v>797</v>
      </c>
      <c r="L656" s="4">
        <v>5637292900</v>
      </c>
      <c r="M656" s="4"/>
      <c r="N656" s="4">
        <v>0</v>
      </c>
    </row>
    <row r="657" spans="1:14" x14ac:dyDescent="0.15">
      <c r="A657" s="8" t="s">
        <v>17</v>
      </c>
      <c r="B657" s="8" t="s">
        <v>798</v>
      </c>
      <c r="C657" s="8" t="s">
        <v>214</v>
      </c>
      <c r="D657" s="8" t="s">
        <v>215</v>
      </c>
      <c r="E657" s="8" t="s">
        <v>160</v>
      </c>
      <c r="F657" s="8" t="s">
        <v>161</v>
      </c>
      <c r="G657" s="6">
        <v>42859</v>
      </c>
      <c r="H657" s="6">
        <v>42859</v>
      </c>
      <c r="I657" s="4">
        <v>1</v>
      </c>
      <c r="J657" s="8" t="s">
        <v>37</v>
      </c>
      <c r="K657" s="8" t="s">
        <v>799</v>
      </c>
      <c r="L657" s="4">
        <v>5637292271</v>
      </c>
      <c r="M657" s="4"/>
      <c r="N657" s="4">
        <v>0</v>
      </c>
    </row>
    <row r="658" spans="1:14" x14ac:dyDescent="0.15">
      <c r="A658" s="8" t="s">
        <v>17</v>
      </c>
      <c r="B658" s="8" t="s">
        <v>800</v>
      </c>
      <c r="C658" s="8" t="s">
        <v>67</v>
      </c>
      <c r="D658" s="8" t="s">
        <v>162</v>
      </c>
      <c r="E658" s="8" t="s">
        <v>160</v>
      </c>
      <c r="F658" s="8" t="s">
        <v>161</v>
      </c>
      <c r="G658" s="6">
        <v>42887</v>
      </c>
      <c r="H658" s="6">
        <v>42898</v>
      </c>
      <c r="I658" s="4">
        <v>28</v>
      </c>
      <c r="J658" s="8" t="s">
        <v>37</v>
      </c>
      <c r="K658" s="8" t="s">
        <v>801</v>
      </c>
      <c r="L658" s="4">
        <v>5637292383</v>
      </c>
      <c r="M658" s="4"/>
      <c r="N658" s="4">
        <v>0</v>
      </c>
    </row>
    <row r="659" spans="1:14" x14ac:dyDescent="0.15">
      <c r="A659" s="8" t="s">
        <v>17</v>
      </c>
      <c r="B659" s="8" t="s">
        <v>802</v>
      </c>
      <c r="C659" s="8" t="s">
        <v>214</v>
      </c>
      <c r="D659" s="8" t="s">
        <v>215</v>
      </c>
      <c r="E659" s="8" t="s">
        <v>160</v>
      </c>
      <c r="F659" s="8" t="s">
        <v>161</v>
      </c>
      <c r="G659" s="6">
        <v>42886</v>
      </c>
      <c r="H659" s="6">
        <v>42880</v>
      </c>
      <c r="I659" s="4">
        <v>1</v>
      </c>
      <c r="J659" s="8" t="s">
        <v>37</v>
      </c>
      <c r="K659" s="8" t="s">
        <v>803</v>
      </c>
      <c r="L659" s="4">
        <v>5637292307</v>
      </c>
      <c r="M659" s="4"/>
      <c r="N659" s="4">
        <v>0</v>
      </c>
    </row>
    <row r="660" spans="1:14" x14ac:dyDescent="0.15">
      <c r="A660" s="8" t="s">
        <v>17</v>
      </c>
      <c r="B660" s="8" t="s">
        <v>804</v>
      </c>
      <c r="C660" s="8" t="s">
        <v>67</v>
      </c>
      <c r="D660" s="8" t="s">
        <v>162</v>
      </c>
      <c r="E660" s="8" t="s">
        <v>160</v>
      </c>
      <c r="F660" s="8" t="s">
        <v>161</v>
      </c>
      <c r="G660" s="6">
        <v>42888</v>
      </c>
      <c r="H660" s="6">
        <v>42898</v>
      </c>
      <c r="I660" s="4">
        <v>84</v>
      </c>
      <c r="J660" s="8" t="s">
        <v>37</v>
      </c>
      <c r="K660" s="8" t="s">
        <v>805</v>
      </c>
      <c r="L660" s="4">
        <v>5637292384</v>
      </c>
      <c r="M660" s="4"/>
      <c r="N660" s="4">
        <v>0</v>
      </c>
    </row>
    <row r="661" spans="1:14" x14ac:dyDescent="0.15">
      <c r="A661" s="8" t="s">
        <v>17</v>
      </c>
      <c r="B661" s="8" t="s">
        <v>806</v>
      </c>
      <c r="C661" s="8" t="s">
        <v>67</v>
      </c>
      <c r="D661" s="8" t="s">
        <v>162</v>
      </c>
      <c r="E661" s="8" t="s">
        <v>160</v>
      </c>
      <c r="F661" s="8" t="s">
        <v>161</v>
      </c>
      <c r="G661" s="6">
        <v>42894</v>
      </c>
      <c r="H661" s="6">
        <v>42905</v>
      </c>
      <c r="I661" s="4">
        <v>56</v>
      </c>
      <c r="J661" s="8" t="s">
        <v>37</v>
      </c>
      <c r="K661" s="8" t="s">
        <v>807</v>
      </c>
      <c r="L661" s="4">
        <v>5637292667</v>
      </c>
      <c r="M661" s="4"/>
      <c r="N661" s="4">
        <v>0</v>
      </c>
    </row>
    <row r="662" spans="1:14" x14ac:dyDescent="0.15">
      <c r="A662" s="8" t="s">
        <v>17</v>
      </c>
      <c r="B662" s="8" t="s">
        <v>808</v>
      </c>
      <c r="C662" s="8" t="s">
        <v>23</v>
      </c>
      <c r="D662" s="8" t="s">
        <v>159</v>
      </c>
      <c r="E662" s="8" t="s">
        <v>160</v>
      </c>
      <c r="F662" s="8" t="s">
        <v>161</v>
      </c>
      <c r="G662" s="6">
        <v>42899</v>
      </c>
      <c r="H662" s="6">
        <v>42907</v>
      </c>
      <c r="I662" s="4">
        <v>168</v>
      </c>
      <c r="J662" s="8" t="s">
        <v>37</v>
      </c>
      <c r="K662" s="8" t="s">
        <v>809</v>
      </c>
      <c r="L662" s="4">
        <v>5637292899</v>
      </c>
      <c r="M662" s="4"/>
      <c r="N662" s="4">
        <v>0</v>
      </c>
    </row>
    <row r="663" spans="1:14" x14ac:dyDescent="0.15">
      <c r="A663" s="8" t="s">
        <v>17</v>
      </c>
      <c r="B663" s="8" t="s">
        <v>808</v>
      </c>
      <c r="C663" s="8" t="s">
        <v>67</v>
      </c>
      <c r="D663" s="8" t="s">
        <v>162</v>
      </c>
      <c r="E663" s="8" t="s">
        <v>160</v>
      </c>
      <c r="F663" s="8" t="s">
        <v>161</v>
      </c>
      <c r="G663" s="6">
        <v>42899</v>
      </c>
      <c r="H663" s="6">
        <v>42907</v>
      </c>
      <c r="I663" s="4">
        <v>112</v>
      </c>
      <c r="J663" s="8" t="s">
        <v>37</v>
      </c>
      <c r="K663" s="8" t="s">
        <v>810</v>
      </c>
      <c r="L663" s="4">
        <v>5637292898</v>
      </c>
      <c r="M663" s="4"/>
      <c r="N663" s="4">
        <v>0</v>
      </c>
    </row>
    <row r="664" spans="1:14" x14ac:dyDescent="0.15">
      <c r="A664" s="8" t="s">
        <v>17</v>
      </c>
      <c r="B664" s="8" t="s">
        <v>811</v>
      </c>
      <c r="C664" s="8" t="s">
        <v>15</v>
      </c>
      <c r="D664" s="8" t="s">
        <v>32</v>
      </c>
      <c r="E664" s="8" t="s">
        <v>160</v>
      </c>
      <c r="F664" s="8" t="s">
        <v>161</v>
      </c>
      <c r="G664" s="6">
        <v>42909</v>
      </c>
      <c r="H664" s="6">
        <v>42907</v>
      </c>
      <c r="I664" s="4">
        <v>1067</v>
      </c>
      <c r="J664" s="8" t="s">
        <v>38</v>
      </c>
      <c r="K664" s="8" t="s">
        <v>812</v>
      </c>
      <c r="L664" s="4">
        <v>5637292660</v>
      </c>
      <c r="M664" s="4" t="s">
        <v>375</v>
      </c>
      <c r="N664" s="4">
        <v>0</v>
      </c>
    </row>
    <row r="665" spans="1:14" x14ac:dyDescent="0.15">
      <c r="A665" s="8" t="s">
        <v>17</v>
      </c>
      <c r="B665" s="8" t="s">
        <v>811</v>
      </c>
      <c r="C665" s="8" t="s">
        <v>27</v>
      </c>
      <c r="D665" s="8" t="s">
        <v>32</v>
      </c>
      <c r="E665" s="8" t="s">
        <v>160</v>
      </c>
      <c r="F665" s="8" t="s">
        <v>161</v>
      </c>
      <c r="G665" s="6">
        <v>42909</v>
      </c>
      <c r="H665" s="6">
        <v>42907</v>
      </c>
      <c r="I665" s="4">
        <v>6000</v>
      </c>
      <c r="J665" s="8" t="s">
        <v>38</v>
      </c>
      <c r="K665" s="8" t="s">
        <v>813</v>
      </c>
      <c r="L665" s="4">
        <v>5637292659</v>
      </c>
      <c r="M665" s="4" t="s">
        <v>375</v>
      </c>
      <c r="N665" s="4">
        <v>0</v>
      </c>
    </row>
    <row r="666" spans="1:14" x14ac:dyDescent="0.15">
      <c r="A666" s="8" t="s">
        <v>17</v>
      </c>
      <c r="B666" s="8" t="s">
        <v>814</v>
      </c>
      <c r="C666" s="8" t="s">
        <v>19</v>
      </c>
      <c r="D666" s="8" t="s">
        <v>35</v>
      </c>
      <c r="E666" s="8" t="s">
        <v>160</v>
      </c>
      <c r="F666" s="8" t="s">
        <v>161</v>
      </c>
      <c r="G666" s="6">
        <v>42909</v>
      </c>
      <c r="H666" s="6">
        <v>42907</v>
      </c>
      <c r="I666" s="4">
        <v>1</v>
      </c>
      <c r="J666" s="8" t="s">
        <v>37</v>
      </c>
      <c r="K666" s="8" t="s">
        <v>815</v>
      </c>
      <c r="L666" s="4">
        <v>5637292661</v>
      </c>
      <c r="M666" s="4" t="s">
        <v>375</v>
      </c>
      <c r="N666" s="4">
        <v>0</v>
      </c>
    </row>
    <row r="667" spans="1:14" x14ac:dyDescent="0.15">
      <c r="A667" s="8" t="s">
        <v>17</v>
      </c>
      <c r="B667" s="8" t="s">
        <v>816</v>
      </c>
      <c r="C667" s="8" t="s">
        <v>29</v>
      </c>
      <c r="D667" s="8" t="s">
        <v>33</v>
      </c>
      <c r="E667" s="8" t="s">
        <v>160</v>
      </c>
      <c r="F667" s="8" t="s">
        <v>161</v>
      </c>
      <c r="G667" s="6">
        <v>42909</v>
      </c>
      <c r="H667" s="6">
        <v>42907</v>
      </c>
      <c r="I667" s="4">
        <v>600</v>
      </c>
      <c r="J667" s="8" t="s">
        <v>39</v>
      </c>
      <c r="K667" s="8" t="s">
        <v>817</v>
      </c>
      <c r="L667" s="4">
        <v>5637292662</v>
      </c>
      <c r="M667" s="4" t="s">
        <v>375</v>
      </c>
      <c r="N667" s="4">
        <v>0</v>
      </c>
    </row>
    <row r="668" spans="1:14" x14ac:dyDescent="0.15">
      <c r="A668" s="8" t="s">
        <v>17</v>
      </c>
      <c r="B668" s="8" t="s">
        <v>816</v>
      </c>
      <c r="C668" s="8" t="s">
        <v>59</v>
      </c>
      <c r="D668" s="8" t="s">
        <v>93</v>
      </c>
      <c r="E668" s="8" t="s">
        <v>160</v>
      </c>
      <c r="F668" s="8" t="s">
        <v>161</v>
      </c>
      <c r="G668" s="6">
        <v>42909</v>
      </c>
      <c r="H668" s="6">
        <v>42907</v>
      </c>
      <c r="I668" s="4">
        <v>200</v>
      </c>
      <c r="J668" s="8" t="s">
        <v>39</v>
      </c>
      <c r="K668" s="8" t="s">
        <v>818</v>
      </c>
      <c r="L668" s="4">
        <v>5637292663</v>
      </c>
      <c r="M668" s="4" t="s">
        <v>375</v>
      </c>
      <c r="N668" s="4">
        <v>0</v>
      </c>
    </row>
    <row r="669" spans="1:14" x14ac:dyDescent="0.15">
      <c r="A669" s="8" t="s">
        <v>17</v>
      </c>
      <c r="B669" s="8" t="s">
        <v>816</v>
      </c>
      <c r="C669" s="8" t="s">
        <v>62</v>
      </c>
      <c r="D669" s="8" t="s">
        <v>94</v>
      </c>
      <c r="E669" s="8" t="s">
        <v>160</v>
      </c>
      <c r="F669" s="8" t="s">
        <v>161</v>
      </c>
      <c r="G669" s="6">
        <v>42909</v>
      </c>
      <c r="H669" s="6">
        <v>42907</v>
      </c>
      <c r="I669" s="4">
        <v>300</v>
      </c>
      <c r="J669" s="8" t="s">
        <v>39</v>
      </c>
      <c r="K669" s="8" t="s">
        <v>819</v>
      </c>
      <c r="L669" s="4">
        <v>5637292664</v>
      </c>
      <c r="M669" s="4" t="s">
        <v>375</v>
      </c>
      <c r="N669" s="4">
        <v>0</v>
      </c>
    </row>
    <row r="670" spans="1:14" x14ac:dyDescent="0.15">
      <c r="A670" s="8" t="s">
        <v>17</v>
      </c>
      <c r="B670" s="8" t="s">
        <v>816</v>
      </c>
      <c r="C670" s="8" t="s">
        <v>63</v>
      </c>
      <c r="D670" s="8" t="s">
        <v>95</v>
      </c>
      <c r="E670" s="8" t="s">
        <v>160</v>
      </c>
      <c r="F670" s="8" t="s">
        <v>161</v>
      </c>
      <c r="G670" s="6">
        <v>42909</v>
      </c>
      <c r="H670" s="6">
        <v>42907</v>
      </c>
      <c r="I670" s="4">
        <v>400</v>
      </c>
      <c r="J670" s="8" t="s">
        <v>39</v>
      </c>
      <c r="K670" s="8" t="s">
        <v>820</v>
      </c>
      <c r="L670" s="4">
        <v>5637292665</v>
      </c>
      <c r="M670" s="4" t="s">
        <v>375</v>
      </c>
      <c r="N670" s="4">
        <v>0</v>
      </c>
    </row>
    <row r="671" spans="1:14" x14ac:dyDescent="0.15">
      <c r="A671" s="8" t="s">
        <v>17</v>
      </c>
      <c r="B671" s="8" t="s">
        <v>821</v>
      </c>
      <c r="C671" s="8" t="s">
        <v>19</v>
      </c>
      <c r="D671" s="8" t="s">
        <v>35</v>
      </c>
      <c r="E671" s="8" t="s">
        <v>160</v>
      </c>
      <c r="F671" s="8" t="s">
        <v>161</v>
      </c>
      <c r="G671" s="6">
        <v>42909</v>
      </c>
      <c r="H671" s="6">
        <v>42907</v>
      </c>
      <c r="I671" s="4">
        <v>1</v>
      </c>
      <c r="J671" s="8" t="s">
        <v>37</v>
      </c>
      <c r="K671" s="8" t="s">
        <v>822</v>
      </c>
      <c r="L671" s="4">
        <v>5637292666</v>
      </c>
      <c r="M671" s="4" t="s">
        <v>375</v>
      </c>
      <c r="N671" s="4">
        <v>0</v>
      </c>
    </row>
    <row r="672" spans="1:14" x14ac:dyDescent="0.15">
      <c r="A672" s="8" t="s">
        <v>17</v>
      </c>
      <c r="B672" s="8" t="s">
        <v>823</v>
      </c>
      <c r="C672" s="8" t="s">
        <v>62</v>
      </c>
      <c r="D672" s="8" t="s">
        <v>94</v>
      </c>
      <c r="E672" s="8" t="s">
        <v>160</v>
      </c>
      <c r="F672" s="8" t="s">
        <v>161</v>
      </c>
      <c r="G672" s="6">
        <v>42915</v>
      </c>
      <c r="H672" s="6">
        <v>42916</v>
      </c>
      <c r="I672" s="4">
        <v>100</v>
      </c>
      <c r="J672" s="8" t="s">
        <v>39</v>
      </c>
      <c r="K672" s="8" t="s">
        <v>824</v>
      </c>
      <c r="L672" s="4">
        <v>5637293401</v>
      </c>
      <c r="M672" s="4" t="s">
        <v>375</v>
      </c>
      <c r="N672" s="4">
        <v>0</v>
      </c>
    </row>
    <row r="673" spans="1:14" x14ac:dyDescent="0.15">
      <c r="A673" s="8" t="s">
        <v>17</v>
      </c>
      <c r="B673" s="8" t="s">
        <v>825</v>
      </c>
      <c r="C673" s="8" t="s">
        <v>23</v>
      </c>
      <c r="D673" s="8" t="s">
        <v>159</v>
      </c>
      <c r="E673" s="8" t="s">
        <v>160</v>
      </c>
      <c r="F673" s="8" t="s">
        <v>161</v>
      </c>
      <c r="G673" s="6">
        <v>42906</v>
      </c>
      <c r="H673" s="6">
        <v>42914</v>
      </c>
      <c r="I673" s="4">
        <v>420</v>
      </c>
      <c r="J673" s="8" t="s">
        <v>37</v>
      </c>
      <c r="K673" s="8" t="s">
        <v>826</v>
      </c>
      <c r="L673" s="4">
        <v>5637292989</v>
      </c>
      <c r="M673" s="4"/>
      <c r="N673" s="4">
        <v>0</v>
      </c>
    </row>
    <row r="674" spans="1:14" x14ac:dyDescent="0.15">
      <c r="A674" s="8" t="s">
        <v>17</v>
      </c>
      <c r="B674" s="8" t="s">
        <v>827</v>
      </c>
      <c r="C674" s="8" t="s">
        <v>15</v>
      </c>
      <c r="D674" s="8" t="s">
        <v>32</v>
      </c>
      <c r="E674" s="8" t="s">
        <v>160</v>
      </c>
      <c r="F674" s="8" t="s">
        <v>161</v>
      </c>
      <c r="G674" s="6">
        <v>42915</v>
      </c>
      <c r="H674" s="6">
        <v>42915</v>
      </c>
      <c r="I674" s="4">
        <v>3201</v>
      </c>
      <c r="J674" s="8" t="s">
        <v>38</v>
      </c>
      <c r="K674" s="8" t="s">
        <v>828</v>
      </c>
      <c r="L674" s="4">
        <v>5637292969</v>
      </c>
      <c r="M674" s="4" t="s">
        <v>375</v>
      </c>
      <c r="N674" s="4">
        <v>0</v>
      </c>
    </row>
    <row r="675" spans="1:14" x14ac:dyDescent="0.15">
      <c r="A675" s="8" t="s">
        <v>17</v>
      </c>
      <c r="B675" s="8" t="s">
        <v>829</v>
      </c>
      <c r="C675" s="8" t="s">
        <v>19</v>
      </c>
      <c r="D675" s="8" t="s">
        <v>35</v>
      </c>
      <c r="E675" s="8" t="s">
        <v>160</v>
      </c>
      <c r="F675" s="8" t="s">
        <v>161</v>
      </c>
      <c r="G675" s="6">
        <v>42915</v>
      </c>
      <c r="H675" s="6">
        <v>42915</v>
      </c>
      <c r="I675" s="4">
        <v>1</v>
      </c>
      <c r="J675" s="8" t="s">
        <v>37</v>
      </c>
      <c r="K675" s="8" t="s">
        <v>830</v>
      </c>
      <c r="L675" s="4">
        <v>5637292970</v>
      </c>
      <c r="M675" s="4" t="s">
        <v>375</v>
      </c>
      <c r="N675" s="4">
        <v>0</v>
      </c>
    </row>
    <row r="676" spans="1:14" x14ac:dyDescent="0.15">
      <c r="A676" s="8" t="s">
        <v>17</v>
      </c>
      <c r="B676" s="8" t="s">
        <v>1487</v>
      </c>
      <c r="C676" s="8" t="s">
        <v>67</v>
      </c>
      <c r="D676" s="8" t="s">
        <v>162</v>
      </c>
      <c r="E676" s="8" t="s">
        <v>160</v>
      </c>
      <c r="F676" s="8" t="s">
        <v>161</v>
      </c>
      <c r="G676" s="6">
        <v>42912</v>
      </c>
      <c r="H676" s="6">
        <v>42919</v>
      </c>
      <c r="I676" s="4">
        <v>84</v>
      </c>
      <c r="J676" s="8" t="s">
        <v>37</v>
      </c>
      <c r="K676" s="8" t="s">
        <v>1488</v>
      </c>
      <c r="L676" s="4">
        <v>5637293459</v>
      </c>
      <c r="M676" s="4"/>
      <c r="N676" s="4">
        <v>0</v>
      </c>
    </row>
    <row r="677" spans="1:14" x14ac:dyDescent="0.15">
      <c r="A677" s="8" t="s">
        <v>17</v>
      </c>
      <c r="B677" s="8" t="s">
        <v>1489</v>
      </c>
      <c r="C677" s="8" t="s">
        <v>23</v>
      </c>
      <c r="D677" s="8" t="s">
        <v>159</v>
      </c>
      <c r="E677" s="8" t="s">
        <v>160</v>
      </c>
      <c r="F677" s="8" t="s">
        <v>161</v>
      </c>
      <c r="G677" s="6">
        <v>42913</v>
      </c>
      <c r="H677" s="6">
        <v>42921</v>
      </c>
      <c r="I677" s="4">
        <v>210</v>
      </c>
      <c r="J677" s="8" t="s">
        <v>37</v>
      </c>
      <c r="K677" s="8" t="s">
        <v>1490</v>
      </c>
      <c r="L677" s="4">
        <v>5637293458</v>
      </c>
      <c r="M677" s="4"/>
      <c r="N677" s="4">
        <v>0</v>
      </c>
    </row>
    <row r="678" spans="1:14" x14ac:dyDescent="0.15">
      <c r="A678" s="8" t="s">
        <v>17</v>
      </c>
      <c r="B678" s="8" t="s">
        <v>831</v>
      </c>
      <c r="C678" s="8" t="s">
        <v>65</v>
      </c>
      <c r="D678" s="8" t="s">
        <v>172</v>
      </c>
      <c r="E678" s="8" t="s">
        <v>160</v>
      </c>
      <c r="F678" s="8" t="s">
        <v>161</v>
      </c>
      <c r="G678" s="6">
        <v>42887</v>
      </c>
      <c r="H678" s="6">
        <v>42894</v>
      </c>
      <c r="I678" s="4">
        <v>1</v>
      </c>
      <c r="J678" s="8" t="s">
        <v>37</v>
      </c>
      <c r="K678" s="8" t="s">
        <v>832</v>
      </c>
      <c r="L678" s="4">
        <v>5637292971</v>
      </c>
      <c r="M678" s="4" t="s">
        <v>375</v>
      </c>
      <c r="N678" s="4">
        <v>0</v>
      </c>
    </row>
    <row r="679" spans="1:14" x14ac:dyDescent="0.15">
      <c r="A679" s="8" t="s">
        <v>17</v>
      </c>
      <c r="B679" s="8" t="s">
        <v>833</v>
      </c>
      <c r="C679" s="8" t="s">
        <v>66</v>
      </c>
      <c r="D679" s="8" t="s">
        <v>116</v>
      </c>
      <c r="E679" s="8" t="s">
        <v>160</v>
      </c>
      <c r="F679" s="8" t="s">
        <v>161</v>
      </c>
      <c r="G679" s="6">
        <v>42915</v>
      </c>
      <c r="H679" s="6">
        <v>42894</v>
      </c>
      <c r="I679" s="4">
        <v>5</v>
      </c>
      <c r="J679" s="8" t="s">
        <v>37</v>
      </c>
      <c r="K679" s="8" t="s">
        <v>834</v>
      </c>
      <c r="L679" s="4">
        <v>5637292972</v>
      </c>
      <c r="M679" s="4" t="s">
        <v>375</v>
      </c>
      <c r="N679" s="4">
        <v>0</v>
      </c>
    </row>
    <row r="680" spans="1:14" x14ac:dyDescent="0.15">
      <c r="A680" s="8" t="s">
        <v>17</v>
      </c>
      <c r="B680" s="8" t="s">
        <v>835</v>
      </c>
      <c r="C680" s="8" t="s">
        <v>68</v>
      </c>
      <c r="D680" s="8" t="s">
        <v>166</v>
      </c>
      <c r="E680" s="8" t="s">
        <v>160</v>
      </c>
      <c r="F680" s="8" t="s">
        <v>161</v>
      </c>
      <c r="G680" s="6">
        <v>42901</v>
      </c>
      <c r="H680" s="6">
        <v>42907</v>
      </c>
      <c r="I680" s="4">
        <v>84</v>
      </c>
      <c r="J680" s="8" t="s">
        <v>37</v>
      </c>
      <c r="K680" s="8" t="s">
        <v>836</v>
      </c>
      <c r="L680" s="4">
        <v>5637292973</v>
      </c>
      <c r="M680" s="4"/>
      <c r="N680" s="4">
        <v>0</v>
      </c>
    </row>
    <row r="681" spans="1:14" x14ac:dyDescent="0.15">
      <c r="A681" s="8" t="s">
        <v>17</v>
      </c>
      <c r="B681" s="8" t="s">
        <v>837</v>
      </c>
      <c r="C681" s="8" t="s">
        <v>70</v>
      </c>
      <c r="D681" s="8" t="s">
        <v>173</v>
      </c>
      <c r="E681" s="8" t="s">
        <v>160</v>
      </c>
      <c r="F681" s="8" t="s">
        <v>161</v>
      </c>
      <c r="G681" s="6">
        <v>42915</v>
      </c>
      <c r="H681" s="6">
        <v>42912</v>
      </c>
      <c r="I681" s="4">
        <v>1</v>
      </c>
      <c r="J681" s="8" t="s">
        <v>37</v>
      </c>
      <c r="K681" s="8" t="s">
        <v>838</v>
      </c>
      <c r="L681" s="4">
        <v>5637292974</v>
      </c>
      <c r="M681" s="4" t="s">
        <v>375</v>
      </c>
      <c r="N681" s="4">
        <v>0</v>
      </c>
    </row>
    <row r="682" spans="1:14" x14ac:dyDescent="0.15">
      <c r="A682" s="8" t="s">
        <v>17</v>
      </c>
      <c r="B682" s="8" t="s">
        <v>1491</v>
      </c>
      <c r="C682" s="8" t="s">
        <v>67</v>
      </c>
      <c r="D682" s="8" t="s">
        <v>162</v>
      </c>
      <c r="E682" s="8" t="s">
        <v>160</v>
      </c>
      <c r="F682" s="8" t="s">
        <v>161</v>
      </c>
      <c r="G682" s="6">
        <v>42919</v>
      </c>
      <c r="H682" s="6">
        <v>42928</v>
      </c>
      <c r="I682" s="4">
        <v>112</v>
      </c>
      <c r="J682" s="8" t="s">
        <v>37</v>
      </c>
      <c r="K682" s="8" t="s">
        <v>1492</v>
      </c>
      <c r="L682" s="4">
        <v>5637293457</v>
      </c>
      <c r="M682" s="4"/>
      <c r="N682" s="4">
        <v>0</v>
      </c>
    </row>
    <row r="683" spans="1:14" x14ac:dyDescent="0.15">
      <c r="A683" s="8" t="s">
        <v>17</v>
      </c>
      <c r="B683" s="8" t="s">
        <v>1493</v>
      </c>
      <c r="C683" s="8" t="s">
        <v>142</v>
      </c>
      <c r="D683" s="8" t="s">
        <v>206</v>
      </c>
      <c r="E683" s="8" t="s">
        <v>160</v>
      </c>
      <c r="F683" s="8" t="s">
        <v>161</v>
      </c>
      <c r="G683" s="6">
        <v>42933</v>
      </c>
      <c r="H683" s="6">
        <v>42929</v>
      </c>
      <c r="I683" s="4">
        <v>1410</v>
      </c>
      <c r="J683" s="8" t="s">
        <v>38</v>
      </c>
      <c r="K683" s="8" t="s">
        <v>1494</v>
      </c>
      <c r="L683" s="4">
        <v>5637293476</v>
      </c>
      <c r="M683" s="4" t="s">
        <v>375</v>
      </c>
      <c r="N683" s="4">
        <v>0</v>
      </c>
    </row>
    <row r="684" spans="1:14" x14ac:dyDescent="0.15">
      <c r="A684" s="8" t="s">
        <v>17</v>
      </c>
      <c r="B684" s="8" t="s">
        <v>1495</v>
      </c>
      <c r="C684" s="8" t="s">
        <v>19</v>
      </c>
      <c r="D684" s="8" t="s">
        <v>35</v>
      </c>
      <c r="E684" s="8" t="s">
        <v>160</v>
      </c>
      <c r="F684" s="8" t="s">
        <v>161</v>
      </c>
      <c r="G684" s="6">
        <v>42933</v>
      </c>
      <c r="H684" s="6">
        <v>42933</v>
      </c>
      <c r="I684" s="4">
        <v>1</v>
      </c>
      <c r="J684" s="8" t="s">
        <v>37</v>
      </c>
      <c r="K684" s="8" t="s">
        <v>1496</v>
      </c>
      <c r="L684" s="4">
        <v>5637293475</v>
      </c>
      <c r="M684" s="4" t="s">
        <v>375</v>
      </c>
      <c r="N684" s="4">
        <v>0</v>
      </c>
    </row>
    <row r="685" spans="1:14" x14ac:dyDescent="0.15">
      <c r="A685" s="8" t="s">
        <v>17</v>
      </c>
      <c r="B685" s="8" t="s">
        <v>839</v>
      </c>
      <c r="C685" s="8" t="s">
        <v>65</v>
      </c>
      <c r="D685" s="8" t="s">
        <v>172</v>
      </c>
      <c r="E685" s="8" t="s">
        <v>160</v>
      </c>
      <c r="F685" s="8" t="s">
        <v>161</v>
      </c>
      <c r="G685" s="6">
        <v>42916</v>
      </c>
      <c r="H685" s="6">
        <v>42916</v>
      </c>
      <c r="I685" s="4">
        <v>-1</v>
      </c>
      <c r="J685" s="8" t="s">
        <v>37</v>
      </c>
      <c r="K685" s="8" t="s">
        <v>840</v>
      </c>
      <c r="L685" s="4">
        <v>5637293014</v>
      </c>
      <c r="M685" s="4" t="s">
        <v>375</v>
      </c>
      <c r="N685" s="4">
        <v>0</v>
      </c>
    </row>
    <row r="686" spans="1:14" x14ac:dyDescent="0.15">
      <c r="A686" s="8" t="s">
        <v>17</v>
      </c>
      <c r="B686" s="8" t="s">
        <v>841</v>
      </c>
      <c r="C686" s="8" t="s">
        <v>214</v>
      </c>
      <c r="D686" s="8" t="s">
        <v>215</v>
      </c>
      <c r="E686" s="8" t="s">
        <v>160</v>
      </c>
      <c r="F686" s="8" t="s">
        <v>161</v>
      </c>
      <c r="G686" s="6">
        <v>42916</v>
      </c>
      <c r="H686" s="6">
        <v>42894</v>
      </c>
      <c r="I686" s="4">
        <v>1</v>
      </c>
      <c r="J686" s="8" t="s">
        <v>37</v>
      </c>
      <c r="K686" s="8" t="s">
        <v>842</v>
      </c>
      <c r="L686" s="4">
        <v>5637293015</v>
      </c>
      <c r="M686" s="4" t="s">
        <v>375</v>
      </c>
      <c r="N686" s="4">
        <v>0</v>
      </c>
    </row>
    <row r="687" spans="1:14" x14ac:dyDescent="0.15">
      <c r="A687" s="8" t="s">
        <v>17</v>
      </c>
      <c r="B687" s="8" t="s">
        <v>1497</v>
      </c>
      <c r="C687" s="8" t="s">
        <v>67</v>
      </c>
      <c r="D687" s="8" t="s">
        <v>162</v>
      </c>
      <c r="E687" s="8" t="s">
        <v>160</v>
      </c>
      <c r="F687" s="8" t="s">
        <v>161</v>
      </c>
      <c r="G687" s="6">
        <v>42930</v>
      </c>
      <c r="H687" s="6">
        <v>42940</v>
      </c>
      <c r="I687" s="4">
        <v>140</v>
      </c>
      <c r="J687" s="8" t="s">
        <v>37</v>
      </c>
      <c r="K687" s="8" t="s">
        <v>1498</v>
      </c>
      <c r="L687" s="4">
        <v>5637293553</v>
      </c>
      <c r="M687" s="4"/>
      <c r="N687" s="4">
        <v>0</v>
      </c>
    </row>
    <row r="688" spans="1:14" x14ac:dyDescent="0.15">
      <c r="A688" s="8" t="s">
        <v>17</v>
      </c>
      <c r="B688" s="8" t="s">
        <v>1499</v>
      </c>
      <c r="C688" s="8" t="s">
        <v>129</v>
      </c>
      <c r="D688" s="8" t="s">
        <v>130</v>
      </c>
      <c r="E688" s="8" t="s">
        <v>160</v>
      </c>
      <c r="F688" s="8" t="s">
        <v>161</v>
      </c>
      <c r="G688" s="6">
        <v>42932</v>
      </c>
      <c r="H688" s="6">
        <v>42932</v>
      </c>
      <c r="I688" s="4">
        <v>16</v>
      </c>
      <c r="J688" s="8" t="s">
        <v>37</v>
      </c>
      <c r="K688" s="8" t="s">
        <v>1500</v>
      </c>
      <c r="L688" s="4">
        <v>5637293460</v>
      </c>
      <c r="M688" s="4"/>
      <c r="N688" s="4">
        <v>0</v>
      </c>
    </row>
    <row r="689" spans="1:14" x14ac:dyDescent="0.15">
      <c r="A689" s="8" t="s">
        <v>17</v>
      </c>
      <c r="B689" s="8" t="s">
        <v>1501</v>
      </c>
      <c r="C689" s="8" t="s">
        <v>129</v>
      </c>
      <c r="D689" s="8" t="s">
        <v>130</v>
      </c>
      <c r="E689" s="8" t="s">
        <v>160</v>
      </c>
      <c r="F689" s="8" t="s">
        <v>161</v>
      </c>
      <c r="G689" s="6">
        <v>42932</v>
      </c>
      <c r="H689" s="6">
        <v>42927</v>
      </c>
      <c r="I689" s="4">
        <v>84</v>
      </c>
      <c r="J689" s="8" t="s">
        <v>37</v>
      </c>
      <c r="K689" s="8" t="s">
        <v>1502</v>
      </c>
      <c r="L689" s="4">
        <v>5637293461</v>
      </c>
      <c r="M689" s="4"/>
      <c r="N689" s="4">
        <v>0</v>
      </c>
    </row>
    <row r="690" spans="1:14" x14ac:dyDescent="0.15">
      <c r="A690" s="8" t="s">
        <v>17</v>
      </c>
      <c r="B690" s="8" t="s">
        <v>1503</v>
      </c>
      <c r="C690" s="8" t="s">
        <v>23</v>
      </c>
      <c r="D690" s="8" t="s">
        <v>159</v>
      </c>
      <c r="E690" s="8" t="s">
        <v>160</v>
      </c>
      <c r="F690" s="8" t="s">
        <v>161</v>
      </c>
      <c r="G690" s="6">
        <v>42930</v>
      </c>
      <c r="H690" s="6">
        <v>42940</v>
      </c>
      <c r="I690" s="4">
        <v>210</v>
      </c>
      <c r="J690" s="8" t="s">
        <v>37</v>
      </c>
      <c r="K690" s="8" t="s">
        <v>1504</v>
      </c>
      <c r="L690" s="4">
        <v>5637293551</v>
      </c>
      <c r="M690" s="4"/>
      <c r="N690" s="4">
        <v>0</v>
      </c>
    </row>
    <row r="691" spans="1:14" x14ac:dyDescent="0.15">
      <c r="A691" s="8" t="s">
        <v>17</v>
      </c>
      <c r="B691" s="8" t="s">
        <v>1503</v>
      </c>
      <c r="C691" s="8" t="s">
        <v>67</v>
      </c>
      <c r="D691" s="8" t="s">
        <v>162</v>
      </c>
      <c r="E691" s="8" t="s">
        <v>160</v>
      </c>
      <c r="F691" s="8" t="s">
        <v>161</v>
      </c>
      <c r="G691" s="6">
        <v>42930</v>
      </c>
      <c r="H691" s="6">
        <v>42940</v>
      </c>
      <c r="I691" s="4">
        <v>56</v>
      </c>
      <c r="J691" s="8" t="s">
        <v>37</v>
      </c>
      <c r="K691" s="8" t="s">
        <v>1505</v>
      </c>
      <c r="L691" s="4">
        <v>5637293552</v>
      </c>
      <c r="M691" s="4"/>
      <c r="N691" s="4">
        <v>0</v>
      </c>
    </row>
    <row r="692" spans="1:14" x14ac:dyDescent="0.15">
      <c r="A692" s="8" t="s">
        <v>17</v>
      </c>
      <c r="B692" s="8" t="s">
        <v>1506</v>
      </c>
      <c r="C692" s="8" t="s">
        <v>68</v>
      </c>
      <c r="D692" s="8" t="s">
        <v>166</v>
      </c>
      <c r="E692" s="8" t="s">
        <v>160</v>
      </c>
      <c r="F692" s="8" t="s">
        <v>161</v>
      </c>
      <c r="G692" s="6">
        <v>42920</v>
      </c>
      <c r="H692" s="6">
        <v>42929</v>
      </c>
      <c r="I692" s="4">
        <v>210</v>
      </c>
      <c r="J692" s="8" t="s">
        <v>37</v>
      </c>
      <c r="K692" s="8" t="s">
        <v>1507</v>
      </c>
      <c r="L692" s="4">
        <v>5637293477</v>
      </c>
      <c r="M692" s="4" t="s">
        <v>375</v>
      </c>
      <c r="N692" s="4">
        <v>1563.86</v>
      </c>
    </row>
    <row r="693" spans="1:14" x14ac:dyDescent="0.15">
      <c r="A693" s="8" t="s">
        <v>17</v>
      </c>
      <c r="B693" s="8" t="s">
        <v>1508</v>
      </c>
      <c r="C693" s="8" t="s">
        <v>68</v>
      </c>
      <c r="D693" s="8" t="s">
        <v>166</v>
      </c>
      <c r="E693" s="8" t="s">
        <v>160</v>
      </c>
      <c r="F693" s="8" t="s">
        <v>161</v>
      </c>
      <c r="G693" s="6">
        <v>42935</v>
      </c>
      <c r="H693" s="6">
        <v>42929</v>
      </c>
      <c r="I693" s="4">
        <v>-210</v>
      </c>
      <c r="J693" s="8" t="s">
        <v>37</v>
      </c>
      <c r="K693" s="8" t="s">
        <v>1509</v>
      </c>
      <c r="L693" s="4">
        <v>5637293478</v>
      </c>
      <c r="M693" s="4" t="s">
        <v>375</v>
      </c>
      <c r="N693" s="4">
        <v>-1563.86</v>
      </c>
    </row>
    <row r="694" spans="1:14" x14ac:dyDescent="0.15">
      <c r="A694" s="8" t="s">
        <v>17</v>
      </c>
      <c r="B694" s="8" t="s">
        <v>1510</v>
      </c>
      <c r="C694" s="8" t="s">
        <v>68</v>
      </c>
      <c r="D694" s="8" t="s">
        <v>166</v>
      </c>
      <c r="E694" s="8" t="s">
        <v>160</v>
      </c>
      <c r="F694" s="8" t="s">
        <v>161</v>
      </c>
      <c r="G694" s="6">
        <v>42920</v>
      </c>
      <c r="H694" s="6">
        <v>42929</v>
      </c>
      <c r="I694" s="4">
        <v>210</v>
      </c>
      <c r="J694" s="8" t="s">
        <v>37</v>
      </c>
      <c r="K694" s="8" t="s">
        <v>1511</v>
      </c>
      <c r="L694" s="4">
        <v>5637293479</v>
      </c>
      <c r="M694" s="4"/>
      <c r="N694" s="4">
        <v>0</v>
      </c>
    </row>
    <row r="695" spans="1:14" x14ac:dyDescent="0.15">
      <c r="A695" s="8" t="s">
        <v>17</v>
      </c>
      <c r="B695" s="8" t="s">
        <v>1512</v>
      </c>
      <c r="C695" s="8" t="s">
        <v>142</v>
      </c>
      <c r="D695" s="8" t="s">
        <v>206</v>
      </c>
      <c r="E695" s="8" t="s">
        <v>160</v>
      </c>
      <c r="F695" s="8" t="s">
        <v>161</v>
      </c>
      <c r="G695" s="6">
        <v>42937</v>
      </c>
      <c r="H695" s="6">
        <v>42937</v>
      </c>
      <c r="I695" s="4">
        <v>0</v>
      </c>
      <c r="J695" s="8" t="s">
        <v>38</v>
      </c>
      <c r="K695" s="8" t="s">
        <v>1513</v>
      </c>
      <c r="L695" s="4">
        <v>5637293504</v>
      </c>
      <c r="M695" s="4" t="s">
        <v>375</v>
      </c>
      <c r="N695" s="4">
        <v>0</v>
      </c>
    </row>
    <row r="696" spans="1:14" x14ac:dyDescent="0.15">
      <c r="A696" s="8" t="s">
        <v>17</v>
      </c>
      <c r="B696" s="8" t="s">
        <v>1512</v>
      </c>
      <c r="C696" s="8" t="s">
        <v>142</v>
      </c>
      <c r="D696" s="8" t="s">
        <v>206</v>
      </c>
      <c r="E696" s="8" t="s">
        <v>160</v>
      </c>
      <c r="F696" s="8" t="s">
        <v>161</v>
      </c>
      <c r="G696" s="6">
        <v>42940</v>
      </c>
      <c r="H696" s="6">
        <v>42940</v>
      </c>
      <c r="I696" s="4">
        <v>-60</v>
      </c>
      <c r="J696" s="8" t="s">
        <v>38</v>
      </c>
      <c r="K696" s="8" t="s">
        <v>1513</v>
      </c>
      <c r="L696" s="4">
        <v>5637293504</v>
      </c>
      <c r="M696" s="4" t="s">
        <v>375</v>
      </c>
      <c r="N696" s="4">
        <v>0</v>
      </c>
    </row>
    <row r="697" spans="1:14" ht="27" x14ac:dyDescent="0.15">
      <c r="A697" s="8" t="s">
        <v>17</v>
      </c>
      <c r="B697" s="8" t="s">
        <v>1514</v>
      </c>
      <c r="C697" s="8" t="s">
        <v>181</v>
      </c>
      <c r="D697" s="11" t="s">
        <v>182</v>
      </c>
      <c r="E697" s="8" t="s">
        <v>160</v>
      </c>
      <c r="F697" s="8" t="s">
        <v>161</v>
      </c>
      <c r="G697" s="6">
        <v>42935</v>
      </c>
      <c r="H697" s="6">
        <v>42942</v>
      </c>
      <c r="I697" s="4">
        <v>40</v>
      </c>
      <c r="J697" s="8" t="s">
        <v>120</v>
      </c>
      <c r="K697" s="8" t="s">
        <v>1515</v>
      </c>
      <c r="L697" s="4">
        <v>5637293900</v>
      </c>
      <c r="M697" s="4"/>
      <c r="N697" s="4">
        <v>0</v>
      </c>
    </row>
    <row r="698" spans="1:14" x14ac:dyDescent="0.15">
      <c r="A698" s="8" t="s">
        <v>17</v>
      </c>
      <c r="B698" s="8" t="s">
        <v>1514</v>
      </c>
      <c r="C698" s="8" t="s">
        <v>23</v>
      </c>
      <c r="D698" s="8" t="s">
        <v>159</v>
      </c>
      <c r="E698" s="8" t="s">
        <v>160</v>
      </c>
      <c r="F698" s="8" t="s">
        <v>161</v>
      </c>
      <c r="G698" s="6">
        <v>42935</v>
      </c>
      <c r="H698" s="6">
        <v>42942</v>
      </c>
      <c r="I698" s="4">
        <v>84</v>
      </c>
      <c r="J698" s="8" t="s">
        <v>37</v>
      </c>
      <c r="K698" s="8" t="s">
        <v>1516</v>
      </c>
      <c r="L698" s="4">
        <v>5637293899</v>
      </c>
      <c r="M698" s="4"/>
      <c r="N698" s="4">
        <v>0</v>
      </c>
    </row>
    <row r="699" spans="1:14" x14ac:dyDescent="0.15">
      <c r="A699" s="8" t="s">
        <v>17</v>
      </c>
      <c r="B699" s="8" t="s">
        <v>1514</v>
      </c>
      <c r="C699" s="8" t="s">
        <v>67</v>
      </c>
      <c r="D699" s="8" t="s">
        <v>162</v>
      </c>
      <c r="E699" s="8" t="s">
        <v>160</v>
      </c>
      <c r="F699" s="8" t="s">
        <v>161</v>
      </c>
      <c r="G699" s="6">
        <v>42935</v>
      </c>
      <c r="H699" s="6">
        <v>42942</v>
      </c>
      <c r="I699" s="4">
        <v>280</v>
      </c>
      <c r="J699" s="8" t="s">
        <v>37</v>
      </c>
      <c r="K699" s="8" t="s">
        <v>1517</v>
      </c>
      <c r="L699" s="4">
        <v>5637293898</v>
      </c>
      <c r="M699" s="4"/>
      <c r="N699" s="4">
        <v>0</v>
      </c>
    </row>
    <row r="700" spans="1:14" x14ac:dyDescent="0.15">
      <c r="A700" s="8" t="s">
        <v>17</v>
      </c>
      <c r="B700" s="8" t="s">
        <v>1518</v>
      </c>
      <c r="C700" s="8" t="s">
        <v>129</v>
      </c>
      <c r="D700" s="8" t="s">
        <v>130</v>
      </c>
      <c r="E700" s="8" t="s">
        <v>160</v>
      </c>
      <c r="F700" s="8" t="s">
        <v>161</v>
      </c>
      <c r="G700" s="6">
        <v>42936</v>
      </c>
      <c r="H700" s="6">
        <v>42935</v>
      </c>
      <c r="I700" s="4">
        <v>16</v>
      </c>
      <c r="J700" s="8" t="s">
        <v>37</v>
      </c>
      <c r="K700" s="8" t="s">
        <v>1519</v>
      </c>
      <c r="L700" s="4">
        <v>5637293494</v>
      </c>
      <c r="M700" s="4"/>
      <c r="N700" s="4">
        <v>0</v>
      </c>
    </row>
    <row r="701" spans="1:14" x14ac:dyDescent="0.15">
      <c r="A701" s="8" t="s">
        <v>17</v>
      </c>
      <c r="B701" s="8" t="s">
        <v>1518</v>
      </c>
      <c r="C701" s="8" t="s">
        <v>129</v>
      </c>
      <c r="D701" s="8" t="s">
        <v>130</v>
      </c>
      <c r="E701" s="8" t="s">
        <v>160</v>
      </c>
      <c r="F701" s="8" t="s">
        <v>161</v>
      </c>
      <c r="G701" s="6">
        <v>42936</v>
      </c>
      <c r="H701" s="6">
        <v>42935</v>
      </c>
      <c r="I701" s="4">
        <v>16</v>
      </c>
      <c r="J701" s="8" t="s">
        <v>37</v>
      </c>
      <c r="K701" s="8" t="s">
        <v>1520</v>
      </c>
      <c r="L701" s="4">
        <v>5637293495</v>
      </c>
      <c r="M701" s="4"/>
      <c r="N701" s="4">
        <v>0</v>
      </c>
    </row>
    <row r="702" spans="1:14" x14ac:dyDescent="0.15">
      <c r="A702" s="8" t="s">
        <v>17</v>
      </c>
      <c r="B702" s="8" t="s">
        <v>1521</v>
      </c>
      <c r="C702" s="8" t="s">
        <v>103</v>
      </c>
      <c r="D702" s="8" t="s">
        <v>104</v>
      </c>
      <c r="E702" s="8" t="s">
        <v>160</v>
      </c>
      <c r="F702" s="8" t="s">
        <v>161</v>
      </c>
      <c r="G702" s="6">
        <v>42936</v>
      </c>
      <c r="H702" s="6">
        <v>42936</v>
      </c>
      <c r="I702" s="4">
        <v>0</v>
      </c>
      <c r="J702" s="8" t="s">
        <v>37</v>
      </c>
      <c r="K702" s="8" t="s">
        <v>1522</v>
      </c>
      <c r="L702" s="4"/>
      <c r="M702" s="4"/>
      <c r="N702" s="4">
        <v>0</v>
      </c>
    </row>
    <row r="703" spans="1:14" x14ac:dyDescent="0.15">
      <c r="A703" s="8" t="s">
        <v>17</v>
      </c>
      <c r="B703" s="8" t="s">
        <v>1521</v>
      </c>
      <c r="C703" s="8" t="s">
        <v>129</v>
      </c>
      <c r="D703" s="8" t="s">
        <v>130</v>
      </c>
      <c r="E703" s="8" t="s">
        <v>160</v>
      </c>
      <c r="F703" s="8" t="s">
        <v>161</v>
      </c>
      <c r="G703" s="6">
        <v>42936</v>
      </c>
      <c r="H703" s="6">
        <v>42951</v>
      </c>
      <c r="I703" s="4">
        <v>1</v>
      </c>
      <c r="J703" s="8" t="s">
        <v>37</v>
      </c>
      <c r="K703" s="8" t="s">
        <v>1523</v>
      </c>
      <c r="L703" s="4">
        <v>5637294651</v>
      </c>
      <c r="M703" s="4"/>
      <c r="N703" s="4">
        <v>0</v>
      </c>
    </row>
    <row r="704" spans="1:14" x14ac:dyDescent="0.15">
      <c r="A704" s="8" t="s">
        <v>17</v>
      </c>
      <c r="B704" s="8" t="s">
        <v>1524</v>
      </c>
      <c r="C704" s="8" t="s">
        <v>142</v>
      </c>
      <c r="D704" s="8" t="s">
        <v>206</v>
      </c>
      <c r="E704" s="8" t="s">
        <v>160</v>
      </c>
      <c r="F704" s="8" t="s">
        <v>161</v>
      </c>
      <c r="G704" s="6">
        <v>42940</v>
      </c>
      <c r="H704" s="6">
        <v>42940</v>
      </c>
      <c r="I704" s="4">
        <v>60</v>
      </c>
      <c r="J704" s="8" t="s">
        <v>38</v>
      </c>
      <c r="K704" s="8" t="s">
        <v>1525</v>
      </c>
      <c r="L704" s="4">
        <v>5637293506</v>
      </c>
      <c r="M704" s="4" t="s">
        <v>375</v>
      </c>
      <c r="N704" s="4">
        <v>0</v>
      </c>
    </row>
    <row r="705" spans="1:14" x14ac:dyDescent="0.15">
      <c r="A705" s="8" t="s">
        <v>17</v>
      </c>
      <c r="B705" s="8" t="s">
        <v>1526</v>
      </c>
      <c r="C705" s="8" t="s">
        <v>214</v>
      </c>
      <c r="D705" s="8" t="s">
        <v>215</v>
      </c>
      <c r="E705" s="8" t="s">
        <v>160</v>
      </c>
      <c r="F705" s="8" t="s">
        <v>161</v>
      </c>
      <c r="G705" s="6">
        <v>42930</v>
      </c>
      <c r="H705" s="6">
        <v>42930</v>
      </c>
      <c r="I705" s="4">
        <v>1</v>
      </c>
      <c r="J705" s="8" t="s">
        <v>37</v>
      </c>
      <c r="K705" s="8" t="s">
        <v>1527</v>
      </c>
      <c r="L705" s="4">
        <v>5637293501</v>
      </c>
      <c r="M705" s="4"/>
      <c r="N705" s="4">
        <v>0</v>
      </c>
    </row>
    <row r="706" spans="1:14" x14ac:dyDescent="0.15">
      <c r="A706" s="8" t="s">
        <v>17</v>
      </c>
      <c r="B706" s="8" t="s">
        <v>1528</v>
      </c>
      <c r="C706" s="8" t="s">
        <v>129</v>
      </c>
      <c r="D706" s="8" t="s">
        <v>130</v>
      </c>
      <c r="E706" s="8" t="s">
        <v>160</v>
      </c>
      <c r="F706" s="8" t="s">
        <v>161</v>
      </c>
      <c r="G706" s="6">
        <v>42940</v>
      </c>
      <c r="H706" s="6">
        <v>42919</v>
      </c>
      <c r="I706" s="4">
        <v>68</v>
      </c>
      <c r="J706" s="8" t="s">
        <v>37</v>
      </c>
      <c r="K706" s="8" t="s">
        <v>1529</v>
      </c>
      <c r="L706" s="4">
        <v>5637293913</v>
      </c>
      <c r="M706" s="4"/>
      <c r="N706" s="4">
        <v>0</v>
      </c>
    </row>
    <row r="707" spans="1:14" x14ac:dyDescent="0.15">
      <c r="A707" s="8" t="s">
        <v>17</v>
      </c>
      <c r="B707" s="8" t="s">
        <v>1528</v>
      </c>
      <c r="C707" s="8" t="s">
        <v>129</v>
      </c>
      <c r="D707" s="8" t="s">
        <v>130</v>
      </c>
      <c r="E707" s="8" t="s">
        <v>160</v>
      </c>
      <c r="F707" s="8" t="s">
        <v>161</v>
      </c>
      <c r="G707" s="6">
        <v>42940</v>
      </c>
      <c r="H707" s="6">
        <v>42919</v>
      </c>
      <c r="I707" s="4">
        <v>262</v>
      </c>
      <c r="J707" s="8" t="s">
        <v>37</v>
      </c>
      <c r="K707" s="8" t="s">
        <v>1530</v>
      </c>
      <c r="L707" s="4">
        <v>5637293914</v>
      </c>
      <c r="M707" s="4"/>
      <c r="N707" s="4">
        <v>0</v>
      </c>
    </row>
    <row r="708" spans="1:14" x14ac:dyDescent="0.15">
      <c r="A708" s="8" t="s">
        <v>17</v>
      </c>
      <c r="B708" s="8" t="s">
        <v>1528</v>
      </c>
      <c r="C708" s="8" t="s">
        <v>129</v>
      </c>
      <c r="D708" s="8" t="s">
        <v>130</v>
      </c>
      <c r="E708" s="8" t="s">
        <v>160</v>
      </c>
      <c r="F708" s="8" t="s">
        <v>161</v>
      </c>
      <c r="G708" s="6">
        <v>42940</v>
      </c>
      <c r="H708" s="6">
        <v>42919</v>
      </c>
      <c r="I708" s="4">
        <v>84</v>
      </c>
      <c r="J708" s="8" t="s">
        <v>37</v>
      </c>
      <c r="K708" s="8" t="s">
        <v>1531</v>
      </c>
      <c r="L708" s="4">
        <v>5637293915</v>
      </c>
      <c r="M708" s="4"/>
      <c r="N708" s="4">
        <v>0</v>
      </c>
    </row>
    <row r="709" spans="1:14" x14ac:dyDescent="0.15">
      <c r="A709" s="8" t="s">
        <v>17</v>
      </c>
      <c r="B709" s="8" t="s">
        <v>1532</v>
      </c>
      <c r="C709" s="8" t="s">
        <v>129</v>
      </c>
      <c r="D709" s="8" t="s">
        <v>130</v>
      </c>
      <c r="E709" s="8" t="s">
        <v>160</v>
      </c>
      <c r="F709" s="8" t="s">
        <v>161</v>
      </c>
      <c r="G709" s="6">
        <v>42940</v>
      </c>
      <c r="H709" s="6">
        <v>42951</v>
      </c>
      <c r="I709" s="4">
        <v>258</v>
      </c>
      <c r="J709" s="8" t="s">
        <v>37</v>
      </c>
      <c r="K709" s="8" t="s">
        <v>1533</v>
      </c>
      <c r="L709" s="4">
        <v>5637294652</v>
      </c>
      <c r="M709" s="4"/>
      <c r="N709" s="4">
        <v>0</v>
      </c>
    </row>
    <row r="710" spans="1:14" x14ac:dyDescent="0.15">
      <c r="A710" s="8" t="s">
        <v>17</v>
      </c>
      <c r="B710" s="8" t="s">
        <v>1534</v>
      </c>
      <c r="C710" s="8" t="s">
        <v>129</v>
      </c>
      <c r="D710" s="8" t="s">
        <v>130</v>
      </c>
      <c r="E710" s="8" t="s">
        <v>160</v>
      </c>
      <c r="F710" s="8" t="s">
        <v>161</v>
      </c>
      <c r="G710" s="6">
        <v>42940</v>
      </c>
      <c r="H710" s="6">
        <v>42919</v>
      </c>
      <c r="I710" s="4">
        <v>2</v>
      </c>
      <c r="J710" s="8" t="s">
        <v>37</v>
      </c>
      <c r="K710" s="8" t="s">
        <v>1535</v>
      </c>
      <c r="L710" s="4">
        <v>5637293916</v>
      </c>
      <c r="M710" s="4"/>
      <c r="N710" s="4">
        <v>0</v>
      </c>
    </row>
    <row r="711" spans="1:14" x14ac:dyDescent="0.15">
      <c r="A711" s="8" t="s">
        <v>17</v>
      </c>
      <c r="B711" s="8" t="s">
        <v>1534</v>
      </c>
      <c r="C711" s="8" t="s">
        <v>129</v>
      </c>
      <c r="D711" s="8" t="s">
        <v>130</v>
      </c>
      <c r="E711" s="8" t="s">
        <v>160</v>
      </c>
      <c r="F711" s="8" t="s">
        <v>161</v>
      </c>
      <c r="G711" s="6">
        <v>42940</v>
      </c>
      <c r="H711" s="6">
        <v>42919</v>
      </c>
      <c r="I711" s="4">
        <v>8</v>
      </c>
      <c r="J711" s="8" t="s">
        <v>37</v>
      </c>
      <c r="K711" s="8" t="s">
        <v>1536</v>
      </c>
      <c r="L711" s="4">
        <v>5637293917</v>
      </c>
      <c r="M711" s="4"/>
      <c r="N711" s="4">
        <v>0</v>
      </c>
    </row>
    <row r="712" spans="1:14" x14ac:dyDescent="0.15">
      <c r="A712" s="8" t="s">
        <v>17</v>
      </c>
      <c r="B712" s="8" t="s">
        <v>1534</v>
      </c>
      <c r="C712" s="8" t="s">
        <v>129</v>
      </c>
      <c r="D712" s="8" t="s">
        <v>130</v>
      </c>
      <c r="E712" s="8" t="s">
        <v>160</v>
      </c>
      <c r="F712" s="8" t="s">
        <v>161</v>
      </c>
      <c r="G712" s="6">
        <v>42940</v>
      </c>
      <c r="H712" s="6">
        <v>42919</v>
      </c>
      <c r="I712" s="4">
        <v>32</v>
      </c>
      <c r="J712" s="8" t="s">
        <v>37</v>
      </c>
      <c r="K712" s="8" t="s">
        <v>1537</v>
      </c>
      <c r="L712" s="4">
        <v>5637293918</v>
      </c>
      <c r="M712" s="4"/>
      <c r="N712" s="4">
        <v>0</v>
      </c>
    </row>
    <row r="713" spans="1:14" x14ac:dyDescent="0.15">
      <c r="A713" s="8" t="s">
        <v>17</v>
      </c>
      <c r="B713" s="8" t="s">
        <v>1534</v>
      </c>
      <c r="C713" s="8" t="s">
        <v>129</v>
      </c>
      <c r="D713" s="8" t="s">
        <v>130</v>
      </c>
      <c r="E713" s="8" t="s">
        <v>160</v>
      </c>
      <c r="F713" s="8" t="s">
        <v>161</v>
      </c>
      <c r="G713" s="6">
        <v>42940</v>
      </c>
      <c r="H713" s="6">
        <v>42919</v>
      </c>
      <c r="I713" s="4">
        <v>3</v>
      </c>
      <c r="J713" s="8" t="s">
        <v>37</v>
      </c>
      <c r="K713" s="8" t="s">
        <v>1538</v>
      </c>
      <c r="L713" s="4">
        <v>5637293919</v>
      </c>
      <c r="M713" s="4"/>
      <c r="N713" s="4">
        <v>0</v>
      </c>
    </row>
    <row r="714" spans="1:14" x14ac:dyDescent="0.15">
      <c r="A714" s="8" t="s">
        <v>17</v>
      </c>
      <c r="B714" s="8" t="s">
        <v>1534</v>
      </c>
      <c r="C714" s="8" t="s">
        <v>129</v>
      </c>
      <c r="D714" s="8" t="s">
        <v>130</v>
      </c>
      <c r="E714" s="8" t="s">
        <v>160</v>
      </c>
      <c r="F714" s="8" t="s">
        <v>161</v>
      </c>
      <c r="G714" s="6">
        <v>42940</v>
      </c>
      <c r="H714" s="6">
        <v>42919</v>
      </c>
      <c r="I714" s="4">
        <v>12</v>
      </c>
      <c r="J714" s="8" t="s">
        <v>37</v>
      </c>
      <c r="K714" s="8" t="s">
        <v>1539</v>
      </c>
      <c r="L714" s="4">
        <v>5637293920</v>
      </c>
      <c r="M714" s="4"/>
      <c r="N714" s="4">
        <v>0</v>
      </c>
    </row>
    <row r="715" spans="1:14" x14ac:dyDescent="0.15">
      <c r="A715" s="8" t="s">
        <v>17</v>
      </c>
      <c r="B715" s="8" t="s">
        <v>1540</v>
      </c>
      <c r="C715" s="8" t="s">
        <v>366</v>
      </c>
      <c r="D715" s="8" t="s">
        <v>367</v>
      </c>
      <c r="E715" s="8" t="s">
        <v>160</v>
      </c>
      <c r="F715" s="8" t="s">
        <v>161</v>
      </c>
      <c r="G715" s="6">
        <v>42954</v>
      </c>
      <c r="H715" s="6">
        <v>42958</v>
      </c>
      <c r="I715" s="4">
        <v>320</v>
      </c>
      <c r="J715" s="8" t="s">
        <v>37</v>
      </c>
      <c r="K715" s="8" t="s">
        <v>1541</v>
      </c>
      <c r="L715" s="4">
        <v>5637293922</v>
      </c>
      <c r="M715" s="4"/>
      <c r="N715" s="4">
        <v>0</v>
      </c>
    </row>
    <row r="716" spans="1:14" x14ac:dyDescent="0.15">
      <c r="A716" s="8" t="s">
        <v>17</v>
      </c>
      <c r="B716" s="8" t="s">
        <v>1542</v>
      </c>
      <c r="C716" s="8" t="s">
        <v>129</v>
      </c>
      <c r="D716" s="8" t="s">
        <v>130</v>
      </c>
      <c r="E716" s="8" t="s">
        <v>160</v>
      </c>
      <c r="F716" s="8" t="s">
        <v>161</v>
      </c>
      <c r="G716" s="6">
        <v>42963</v>
      </c>
      <c r="H716" s="6">
        <v>42951</v>
      </c>
      <c r="I716" s="4">
        <v>1</v>
      </c>
      <c r="J716" s="8" t="s">
        <v>37</v>
      </c>
      <c r="K716" s="8" t="s">
        <v>1543</v>
      </c>
      <c r="L716" s="4">
        <v>5637294650</v>
      </c>
      <c r="M716" s="4"/>
      <c r="N716" s="4">
        <v>0</v>
      </c>
    </row>
    <row r="717" spans="1:14" x14ac:dyDescent="0.15">
      <c r="A717" s="8" t="s">
        <v>17</v>
      </c>
      <c r="B717" s="8" t="s">
        <v>1544</v>
      </c>
      <c r="C717" s="8" t="s">
        <v>23</v>
      </c>
      <c r="D717" s="8" t="s">
        <v>159</v>
      </c>
      <c r="E717" s="8" t="s">
        <v>160</v>
      </c>
      <c r="F717" s="8" t="s">
        <v>161</v>
      </c>
      <c r="G717" s="6">
        <v>42963</v>
      </c>
      <c r="H717" s="6">
        <v>42970</v>
      </c>
      <c r="I717" s="4">
        <v>84</v>
      </c>
      <c r="J717" s="8" t="s">
        <v>37</v>
      </c>
      <c r="K717" s="8" t="s">
        <v>379</v>
      </c>
      <c r="L717" s="4">
        <v>5637295206</v>
      </c>
      <c r="M717" s="4"/>
      <c r="N717" s="4">
        <v>0</v>
      </c>
    </row>
    <row r="718" spans="1:14" x14ac:dyDescent="0.15">
      <c r="A718" s="8" t="s">
        <v>17</v>
      </c>
      <c r="B718" s="8" t="s">
        <v>1544</v>
      </c>
      <c r="C718" s="8" t="s">
        <v>67</v>
      </c>
      <c r="D718" s="8" t="s">
        <v>162</v>
      </c>
      <c r="E718" s="8" t="s">
        <v>160</v>
      </c>
      <c r="F718" s="8" t="s">
        <v>161</v>
      </c>
      <c r="G718" s="6">
        <v>42963</v>
      </c>
      <c r="H718" s="6">
        <v>42970</v>
      </c>
      <c r="I718" s="4">
        <v>56</v>
      </c>
      <c r="J718" s="8" t="s">
        <v>37</v>
      </c>
      <c r="K718" s="8" t="s">
        <v>1545</v>
      </c>
      <c r="L718" s="4">
        <v>5637295207</v>
      </c>
      <c r="M718" s="4"/>
      <c r="N718" s="4">
        <v>0</v>
      </c>
    </row>
    <row r="719" spans="1:14" x14ac:dyDescent="0.15">
      <c r="A719" s="8" t="s">
        <v>17</v>
      </c>
      <c r="B719" s="8" t="s">
        <v>1544</v>
      </c>
      <c r="C719" s="8" t="s">
        <v>28</v>
      </c>
      <c r="D719" s="8" t="s">
        <v>202</v>
      </c>
      <c r="E719" s="8" t="s">
        <v>160</v>
      </c>
      <c r="F719" s="8" t="s">
        <v>161</v>
      </c>
      <c r="G719" s="6">
        <v>42963</v>
      </c>
      <c r="H719" s="6">
        <v>42970</v>
      </c>
      <c r="I719" s="4">
        <v>56</v>
      </c>
      <c r="J719" s="8" t="s">
        <v>37</v>
      </c>
      <c r="K719" s="8" t="s">
        <v>1546</v>
      </c>
      <c r="L719" s="4">
        <v>5637295208</v>
      </c>
      <c r="M719" s="4"/>
      <c r="N719" s="4">
        <v>0</v>
      </c>
    </row>
    <row r="720" spans="1:14" x14ac:dyDescent="0.15">
      <c r="A720" s="8" t="s">
        <v>17</v>
      </c>
      <c r="B720" s="8" t="s">
        <v>1547</v>
      </c>
      <c r="C720" s="8" t="s">
        <v>129</v>
      </c>
      <c r="D720" s="8" t="s">
        <v>130</v>
      </c>
      <c r="E720" s="8" t="s">
        <v>160</v>
      </c>
      <c r="F720" s="8" t="s">
        <v>161</v>
      </c>
      <c r="G720" s="6">
        <v>42944</v>
      </c>
      <c r="H720" s="6">
        <v>42951</v>
      </c>
      <c r="I720" s="4">
        <v>47</v>
      </c>
      <c r="J720" s="8" t="s">
        <v>37</v>
      </c>
      <c r="K720" s="8" t="s">
        <v>1548</v>
      </c>
      <c r="L720" s="4">
        <v>5637294653</v>
      </c>
      <c r="M720" s="4"/>
      <c r="N720" s="4">
        <v>0</v>
      </c>
    </row>
    <row r="721" spans="1:14" x14ac:dyDescent="0.15">
      <c r="A721" s="8" t="s">
        <v>17</v>
      </c>
      <c r="B721" s="8" t="s">
        <v>1547</v>
      </c>
      <c r="C721" s="8" t="s">
        <v>129</v>
      </c>
      <c r="D721" s="8" t="s">
        <v>130</v>
      </c>
      <c r="E721" s="8" t="s">
        <v>160</v>
      </c>
      <c r="F721" s="8" t="s">
        <v>161</v>
      </c>
      <c r="G721" s="6">
        <v>42944</v>
      </c>
      <c r="H721" s="6">
        <v>42951</v>
      </c>
      <c r="I721" s="4">
        <v>37</v>
      </c>
      <c r="J721" s="8" t="s">
        <v>37</v>
      </c>
      <c r="K721" s="8" t="s">
        <v>1549</v>
      </c>
      <c r="L721" s="4">
        <v>5637294654</v>
      </c>
      <c r="M721" s="4"/>
      <c r="N721" s="4">
        <v>0</v>
      </c>
    </row>
    <row r="722" spans="1:14" x14ac:dyDescent="0.15">
      <c r="A722" s="8" t="s">
        <v>17</v>
      </c>
      <c r="B722" s="8" t="s">
        <v>1547</v>
      </c>
      <c r="C722" s="8" t="s">
        <v>129</v>
      </c>
      <c r="D722" s="8" t="s">
        <v>130</v>
      </c>
      <c r="E722" s="8" t="s">
        <v>160</v>
      </c>
      <c r="F722" s="8" t="s">
        <v>161</v>
      </c>
      <c r="G722" s="6">
        <v>42944</v>
      </c>
      <c r="H722" s="6">
        <v>42951</v>
      </c>
      <c r="I722" s="4">
        <v>52</v>
      </c>
      <c r="J722" s="8" t="s">
        <v>37</v>
      </c>
      <c r="K722" s="8" t="s">
        <v>1550</v>
      </c>
      <c r="L722" s="4">
        <v>5637294655</v>
      </c>
      <c r="M722" s="4"/>
      <c r="N722" s="4">
        <v>0</v>
      </c>
    </row>
    <row r="723" spans="1:14" x14ac:dyDescent="0.15">
      <c r="A723" s="8" t="s">
        <v>17</v>
      </c>
      <c r="B723" s="8" t="s">
        <v>1547</v>
      </c>
      <c r="C723" s="8" t="s">
        <v>129</v>
      </c>
      <c r="D723" s="8" t="s">
        <v>130</v>
      </c>
      <c r="E723" s="8" t="s">
        <v>160</v>
      </c>
      <c r="F723" s="8" t="s">
        <v>161</v>
      </c>
      <c r="G723" s="6">
        <v>42944</v>
      </c>
      <c r="H723" s="6">
        <v>42951</v>
      </c>
      <c r="I723" s="4">
        <v>6</v>
      </c>
      <c r="J723" s="8" t="s">
        <v>37</v>
      </c>
      <c r="K723" s="8" t="s">
        <v>1551</v>
      </c>
      <c r="L723" s="4">
        <v>5637294656</v>
      </c>
      <c r="M723" s="4"/>
      <c r="N723" s="4">
        <v>0</v>
      </c>
    </row>
    <row r="724" spans="1:14" x14ac:dyDescent="0.15">
      <c r="A724" s="8" t="s">
        <v>17</v>
      </c>
      <c r="B724" s="8" t="s">
        <v>1552</v>
      </c>
      <c r="C724" s="8" t="s">
        <v>205</v>
      </c>
      <c r="D724" s="8" t="s">
        <v>205</v>
      </c>
      <c r="E724" s="8" t="s">
        <v>160</v>
      </c>
      <c r="F724" s="8" t="s">
        <v>161</v>
      </c>
      <c r="G724" s="6">
        <v>42947</v>
      </c>
      <c r="H724" s="6">
        <v>42919</v>
      </c>
      <c r="I724" s="4">
        <v>1</v>
      </c>
      <c r="J724" s="8" t="s">
        <v>37</v>
      </c>
      <c r="K724" s="8" t="s">
        <v>1553</v>
      </c>
      <c r="L724" s="4">
        <v>5637293921</v>
      </c>
      <c r="M724" s="4"/>
      <c r="N724" s="4">
        <v>0</v>
      </c>
    </row>
    <row r="725" spans="1:14" x14ac:dyDescent="0.15">
      <c r="A725" s="8" t="s">
        <v>17</v>
      </c>
      <c r="B725" s="8" t="s">
        <v>374</v>
      </c>
      <c r="C725" s="8" t="s">
        <v>129</v>
      </c>
      <c r="D725" s="8" t="s">
        <v>130</v>
      </c>
      <c r="E725" s="8" t="s">
        <v>160</v>
      </c>
      <c r="F725" s="8" t="s">
        <v>161</v>
      </c>
      <c r="G725" s="6">
        <v>42965</v>
      </c>
      <c r="H725" s="6">
        <v>42951</v>
      </c>
      <c r="I725" s="4">
        <v>75</v>
      </c>
      <c r="J725" s="8" t="s">
        <v>37</v>
      </c>
      <c r="K725" s="8" t="s">
        <v>1554</v>
      </c>
      <c r="L725" s="4">
        <v>5637294657</v>
      </c>
      <c r="M725" s="4"/>
      <c r="N725" s="4">
        <v>0</v>
      </c>
    </row>
    <row r="726" spans="1:14" x14ac:dyDescent="0.15">
      <c r="A726" s="8" t="s">
        <v>17</v>
      </c>
      <c r="B726" s="8" t="s">
        <v>378</v>
      </c>
      <c r="C726" s="8" t="s">
        <v>205</v>
      </c>
      <c r="D726" s="8" t="s">
        <v>205</v>
      </c>
      <c r="E726" s="8" t="s">
        <v>160</v>
      </c>
      <c r="F726" s="8" t="s">
        <v>161</v>
      </c>
      <c r="G726" s="6">
        <v>42965</v>
      </c>
      <c r="H726" s="6">
        <v>42951</v>
      </c>
      <c r="I726" s="4">
        <v>1</v>
      </c>
      <c r="J726" s="8" t="s">
        <v>37</v>
      </c>
      <c r="K726" s="8" t="s">
        <v>1555</v>
      </c>
      <c r="L726" s="4">
        <v>5637294658</v>
      </c>
      <c r="M726" s="4"/>
      <c r="N726" s="4">
        <v>0</v>
      </c>
    </row>
    <row r="727" spans="1:14" x14ac:dyDescent="0.15">
      <c r="A727" s="8" t="s">
        <v>17</v>
      </c>
      <c r="B727" s="8" t="s">
        <v>1556</v>
      </c>
      <c r="C727" s="8" t="s">
        <v>67</v>
      </c>
      <c r="D727" s="8" t="s">
        <v>162</v>
      </c>
      <c r="E727" s="8" t="s">
        <v>160</v>
      </c>
      <c r="F727" s="8" t="s">
        <v>161</v>
      </c>
      <c r="G727" s="6">
        <v>42970</v>
      </c>
      <c r="H727" s="6">
        <v>42977</v>
      </c>
      <c r="I727" s="4">
        <v>168</v>
      </c>
      <c r="J727" s="8" t="s">
        <v>37</v>
      </c>
      <c r="K727" s="8" t="s">
        <v>1557</v>
      </c>
      <c r="L727" s="4">
        <v>5637295656</v>
      </c>
      <c r="M727" s="4"/>
      <c r="N727" s="4">
        <v>0</v>
      </c>
    </row>
    <row r="728" spans="1:14" x14ac:dyDescent="0.15">
      <c r="A728" s="8" t="s">
        <v>17</v>
      </c>
      <c r="B728" s="8" t="s">
        <v>1558</v>
      </c>
      <c r="C728" s="8" t="s">
        <v>129</v>
      </c>
      <c r="D728" s="8" t="s">
        <v>130</v>
      </c>
      <c r="E728" s="8" t="s">
        <v>160</v>
      </c>
      <c r="F728" s="8" t="s">
        <v>161</v>
      </c>
      <c r="G728" s="6">
        <v>42971</v>
      </c>
      <c r="H728" s="6">
        <v>42979</v>
      </c>
      <c r="I728" s="4">
        <v>1</v>
      </c>
      <c r="J728" s="8" t="s">
        <v>37</v>
      </c>
      <c r="K728" s="8" t="s">
        <v>1559</v>
      </c>
      <c r="L728" s="4">
        <v>5637295657</v>
      </c>
      <c r="M728" s="4"/>
      <c r="N728" s="4">
        <v>0</v>
      </c>
    </row>
    <row r="729" spans="1:14" x14ac:dyDescent="0.15">
      <c r="A729" s="8" t="s">
        <v>17</v>
      </c>
      <c r="B729" s="8" t="s">
        <v>1558</v>
      </c>
      <c r="C729" s="8" t="s">
        <v>129</v>
      </c>
      <c r="D729" s="8" t="s">
        <v>130</v>
      </c>
      <c r="E729" s="8" t="s">
        <v>160</v>
      </c>
      <c r="F729" s="8" t="s">
        <v>161</v>
      </c>
      <c r="G729" s="6">
        <v>42971</v>
      </c>
      <c r="H729" s="6">
        <v>42979</v>
      </c>
      <c r="I729" s="4">
        <v>14</v>
      </c>
      <c r="J729" s="8" t="s">
        <v>37</v>
      </c>
      <c r="K729" s="8" t="s">
        <v>1560</v>
      </c>
      <c r="L729" s="4">
        <v>5637295658</v>
      </c>
      <c r="M729" s="4"/>
      <c r="N729" s="4">
        <v>0</v>
      </c>
    </row>
    <row r="730" spans="1:14" x14ac:dyDescent="0.15">
      <c r="A730" s="8" t="s">
        <v>17</v>
      </c>
      <c r="B730" s="8" t="s">
        <v>1561</v>
      </c>
      <c r="C730" s="8" t="s">
        <v>101</v>
      </c>
      <c r="D730" s="8" t="s">
        <v>102</v>
      </c>
      <c r="E730" s="8" t="s">
        <v>160</v>
      </c>
      <c r="F730" s="8" t="s">
        <v>161</v>
      </c>
      <c r="G730" s="6">
        <v>42978</v>
      </c>
      <c r="H730" s="6">
        <v>42978</v>
      </c>
      <c r="I730" s="4">
        <v>600</v>
      </c>
      <c r="J730" s="8" t="s">
        <v>39</v>
      </c>
      <c r="K730" s="8" t="s">
        <v>1562</v>
      </c>
      <c r="L730" s="4">
        <v>5637295650</v>
      </c>
      <c r="M730" s="4" t="s">
        <v>375</v>
      </c>
      <c r="N730" s="4">
        <v>0</v>
      </c>
    </row>
    <row r="731" spans="1:14" x14ac:dyDescent="0.15">
      <c r="A731" s="8" t="s">
        <v>17</v>
      </c>
      <c r="B731" s="8" t="s">
        <v>1561</v>
      </c>
      <c r="C731" s="8" t="s">
        <v>59</v>
      </c>
      <c r="D731" s="8" t="s">
        <v>93</v>
      </c>
      <c r="E731" s="8" t="s">
        <v>160</v>
      </c>
      <c r="F731" s="8" t="s">
        <v>161</v>
      </c>
      <c r="G731" s="6">
        <v>42978</v>
      </c>
      <c r="H731" s="6">
        <v>42978</v>
      </c>
      <c r="I731" s="4">
        <v>340</v>
      </c>
      <c r="J731" s="8" t="s">
        <v>39</v>
      </c>
      <c r="K731" s="8" t="s">
        <v>1563</v>
      </c>
      <c r="L731" s="4">
        <v>5637295651</v>
      </c>
      <c r="M731" s="4" t="s">
        <v>375</v>
      </c>
      <c r="N731" s="4">
        <v>0</v>
      </c>
    </row>
    <row r="732" spans="1:14" x14ac:dyDescent="0.15">
      <c r="A732" s="8" t="s">
        <v>17</v>
      </c>
      <c r="B732" s="8" t="s">
        <v>1561</v>
      </c>
      <c r="C732" s="8" t="s">
        <v>77</v>
      </c>
      <c r="D732" s="8" t="s">
        <v>287</v>
      </c>
      <c r="E732" s="8" t="s">
        <v>160</v>
      </c>
      <c r="F732" s="8" t="s">
        <v>161</v>
      </c>
      <c r="G732" s="6">
        <v>42978</v>
      </c>
      <c r="H732" s="6">
        <v>42978</v>
      </c>
      <c r="I732" s="4">
        <v>300</v>
      </c>
      <c r="J732" s="8" t="s">
        <v>39</v>
      </c>
      <c r="K732" s="8" t="s">
        <v>1564</v>
      </c>
      <c r="L732" s="4">
        <v>5637295652</v>
      </c>
      <c r="M732" s="4" t="s">
        <v>375</v>
      </c>
      <c r="N732" s="4">
        <v>0</v>
      </c>
    </row>
    <row r="733" spans="1:14" x14ac:dyDescent="0.15">
      <c r="A733" s="8" t="s">
        <v>17</v>
      </c>
      <c r="B733" s="8" t="s">
        <v>1561</v>
      </c>
      <c r="C733" s="8" t="s">
        <v>62</v>
      </c>
      <c r="D733" s="8" t="s">
        <v>94</v>
      </c>
      <c r="E733" s="8" t="s">
        <v>160</v>
      </c>
      <c r="F733" s="8" t="s">
        <v>161</v>
      </c>
      <c r="G733" s="6">
        <v>42978</v>
      </c>
      <c r="H733" s="6">
        <v>42978</v>
      </c>
      <c r="I733" s="4">
        <v>150</v>
      </c>
      <c r="J733" s="8" t="s">
        <v>39</v>
      </c>
      <c r="K733" s="8" t="s">
        <v>1565</v>
      </c>
      <c r="L733" s="4">
        <v>5637295653</v>
      </c>
      <c r="M733" s="4" t="s">
        <v>375</v>
      </c>
      <c r="N733" s="4">
        <v>0</v>
      </c>
    </row>
    <row r="734" spans="1:14" x14ac:dyDescent="0.15">
      <c r="A734" s="8" t="s">
        <v>17</v>
      </c>
      <c r="B734" s="8" t="s">
        <v>1561</v>
      </c>
      <c r="C734" s="8" t="s">
        <v>63</v>
      </c>
      <c r="D734" s="8" t="s">
        <v>95</v>
      </c>
      <c r="E734" s="8" t="s">
        <v>160</v>
      </c>
      <c r="F734" s="8" t="s">
        <v>161</v>
      </c>
      <c r="G734" s="6">
        <v>42978</v>
      </c>
      <c r="H734" s="6">
        <v>42978</v>
      </c>
      <c r="I734" s="4">
        <v>375</v>
      </c>
      <c r="J734" s="8" t="s">
        <v>39</v>
      </c>
      <c r="K734" s="8" t="s">
        <v>1566</v>
      </c>
      <c r="L734" s="4">
        <v>5637295654</v>
      </c>
      <c r="M734" s="4" t="s">
        <v>375</v>
      </c>
      <c r="N734" s="4">
        <v>0</v>
      </c>
    </row>
    <row r="735" spans="1:14" x14ac:dyDescent="0.15">
      <c r="A735" s="8" t="s">
        <v>17</v>
      </c>
      <c r="B735" s="8" t="s">
        <v>1567</v>
      </c>
      <c r="C735" s="8" t="s">
        <v>134</v>
      </c>
      <c r="D735" s="8" t="s">
        <v>135</v>
      </c>
      <c r="E735" s="8" t="s">
        <v>160</v>
      </c>
      <c r="F735" s="8" t="s">
        <v>161</v>
      </c>
      <c r="G735" s="6">
        <v>42975</v>
      </c>
      <c r="H735" s="6">
        <v>42972</v>
      </c>
      <c r="I735" s="4">
        <v>29</v>
      </c>
      <c r="J735" s="8" t="s">
        <v>37</v>
      </c>
      <c r="K735" s="8" t="s">
        <v>1568</v>
      </c>
      <c r="L735" s="4">
        <v>5637295209</v>
      </c>
      <c r="M735" s="4"/>
      <c r="N735" s="4">
        <v>0</v>
      </c>
    </row>
    <row r="736" spans="1:14" x14ac:dyDescent="0.15">
      <c r="A736" s="8" t="s">
        <v>17</v>
      </c>
      <c r="B736" s="8" t="s">
        <v>1569</v>
      </c>
      <c r="C736" s="8" t="s">
        <v>19</v>
      </c>
      <c r="D736" s="8" t="s">
        <v>35</v>
      </c>
      <c r="E736" s="8" t="s">
        <v>160</v>
      </c>
      <c r="F736" s="8" t="s">
        <v>161</v>
      </c>
      <c r="G736" s="6">
        <v>42978</v>
      </c>
      <c r="H736" s="6">
        <v>42978</v>
      </c>
      <c r="I736" s="4">
        <v>1</v>
      </c>
      <c r="J736" s="8" t="s">
        <v>37</v>
      </c>
      <c r="K736" s="8" t="s">
        <v>1570</v>
      </c>
      <c r="L736" s="4">
        <v>5637295655</v>
      </c>
      <c r="M736" s="4" t="s">
        <v>375</v>
      </c>
      <c r="N736" s="4">
        <v>0</v>
      </c>
    </row>
    <row r="737" spans="1:14" x14ac:dyDescent="0.15">
      <c r="A737" s="8" t="s">
        <v>17</v>
      </c>
      <c r="B737" s="8" t="s">
        <v>1571</v>
      </c>
      <c r="C737" s="8" t="s">
        <v>214</v>
      </c>
      <c r="D737" s="8" t="s">
        <v>215</v>
      </c>
      <c r="E737" s="8" t="s">
        <v>160</v>
      </c>
      <c r="F737" s="8" t="s">
        <v>161</v>
      </c>
      <c r="G737" s="6">
        <v>42976</v>
      </c>
      <c r="H737" s="6">
        <v>42976</v>
      </c>
      <c r="I737" s="4">
        <v>-1</v>
      </c>
      <c r="J737" s="8" t="s">
        <v>37</v>
      </c>
      <c r="K737" s="8" t="s">
        <v>1572</v>
      </c>
      <c r="L737" s="4">
        <v>5637295398</v>
      </c>
      <c r="M737" s="4"/>
      <c r="N737" s="4">
        <v>0</v>
      </c>
    </row>
    <row r="738" spans="1:14" x14ac:dyDescent="0.15">
      <c r="A738" s="8" t="s">
        <v>17</v>
      </c>
      <c r="B738" s="8" t="s">
        <v>1573</v>
      </c>
      <c r="C738" s="8" t="s">
        <v>214</v>
      </c>
      <c r="D738" s="8" t="s">
        <v>215</v>
      </c>
      <c r="E738" s="8" t="s">
        <v>160</v>
      </c>
      <c r="F738" s="8" t="s">
        <v>161</v>
      </c>
      <c r="G738" s="6">
        <v>42976</v>
      </c>
      <c r="H738" s="6">
        <v>42976</v>
      </c>
      <c r="I738" s="4">
        <v>1</v>
      </c>
      <c r="J738" s="8" t="s">
        <v>37</v>
      </c>
      <c r="K738" s="8" t="s">
        <v>1574</v>
      </c>
      <c r="L738" s="4">
        <v>5637295399</v>
      </c>
      <c r="M738" s="4"/>
      <c r="N738" s="4">
        <v>0</v>
      </c>
    </row>
    <row r="739" spans="1:14" x14ac:dyDescent="0.15">
      <c r="A739" s="8" t="s">
        <v>17</v>
      </c>
      <c r="B739" s="8" t="s">
        <v>1575</v>
      </c>
      <c r="C739" s="8" t="s">
        <v>67</v>
      </c>
      <c r="D739" s="8" t="s">
        <v>162</v>
      </c>
      <c r="E739" s="8" t="s">
        <v>160</v>
      </c>
      <c r="F739" s="8" t="s">
        <v>161</v>
      </c>
      <c r="G739" s="6">
        <v>42977</v>
      </c>
      <c r="H739" s="6">
        <v>42983</v>
      </c>
      <c r="I739" s="4">
        <v>28</v>
      </c>
      <c r="J739" s="8" t="s">
        <v>37</v>
      </c>
      <c r="K739" s="8" t="s">
        <v>1576</v>
      </c>
      <c r="L739" s="4">
        <v>5637296400</v>
      </c>
      <c r="M739" s="4"/>
      <c r="N739" s="4">
        <v>0</v>
      </c>
    </row>
    <row r="740" spans="1:14" ht="27" x14ac:dyDescent="0.15">
      <c r="A740" s="8" t="s">
        <v>17</v>
      </c>
      <c r="B740" s="8" t="s">
        <v>1577</v>
      </c>
      <c r="C740" s="8" t="s">
        <v>136</v>
      </c>
      <c r="D740" s="11" t="s">
        <v>174</v>
      </c>
      <c r="E740" s="8" t="s">
        <v>160</v>
      </c>
      <c r="F740" s="8" t="s">
        <v>161</v>
      </c>
      <c r="G740" s="6">
        <v>42978</v>
      </c>
      <c r="H740" s="6">
        <v>42978</v>
      </c>
      <c r="I740" s="4">
        <v>97.5</v>
      </c>
      <c r="J740" s="8" t="s">
        <v>38</v>
      </c>
      <c r="K740" s="8" t="s">
        <v>1578</v>
      </c>
      <c r="L740" s="4">
        <v>5637295648</v>
      </c>
      <c r="M740" s="4" t="s">
        <v>375</v>
      </c>
      <c r="N740" s="4">
        <v>0</v>
      </c>
    </row>
    <row r="741" spans="1:14" x14ac:dyDescent="0.15">
      <c r="A741" s="8" t="s">
        <v>17</v>
      </c>
      <c r="B741" s="8" t="s">
        <v>1579</v>
      </c>
      <c r="C741" s="8" t="s">
        <v>19</v>
      </c>
      <c r="D741" s="8" t="s">
        <v>35</v>
      </c>
      <c r="E741" s="8" t="s">
        <v>160</v>
      </c>
      <c r="F741" s="8" t="s">
        <v>161</v>
      </c>
      <c r="G741" s="6">
        <v>42978</v>
      </c>
      <c r="H741" s="6">
        <v>42978</v>
      </c>
      <c r="I741" s="4">
        <v>1</v>
      </c>
      <c r="J741" s="8" t="s">
        <v>37</v>
      </c>
      <c r="K741" s="8" t="s">
        <v>1580</v>
      </c>
      <c r="L741" s="4">
        <v>5637295649</v>
      </c>
      <c r="M741" s="4" t="s">
        <v>375</v>
      </c>
      <c r="N741" s="4">
        <v>0</v>
      </c>
    </row>
    <row r="742" spans="1:14" x14ac:dyDescent="0.15">
      <c r="A742" s="8" t="s">
        <v>17</v>
      </c>
      <c r="B742" s="8" t="s">
        <v>1581</v>
      </c>
      <c r="C742" s="8" t="s">
        <v>67</v>
      </c>
      <c r="D742" s="8" t="s">
        <v>162</v>
      </c>
      <c r="E742" s="8" t="s">
        <v>160</v>
      </c>
      <c r="F742" s="8" t="s">
        <v>161</v>
      </c>
      <c r="G742" s="6">
        <v>42984</v>
      </c>
      <c r="H742" s="6">
        <v>42991</v>
      </c>
      <c r="I742" s="4">
        <v>224</v>
      </c>
      <c r="J742" s="8" t="s">
        <v>37</v>
      </c>
      <c r="K742" s="8" t="s">
        <v>1582</v>
      </c>
      <c r="L742" s="4">
        <v>5637296669</v>
      </c>
      <c r="M742" s="4"/>
      <c r="N742" s="4">
        <v>0</v>
      </c>
    </row>
    <row r="743" spans="1:14" x14ac:dyDescent="0.15">
      <c r="A743" s="8" t="s">
        <v>17</v>
      </c>
      <c r="B743" s="8" t="s">
        <v>1583</v>
      </c>
      <c r="C743" s="8" t="s">
        <v>23</v>
      </c>
      <c r="D743" s="8" t="s">
        <v>159</v>
      </c>
      <c r="E743" s="8" t="s">
        <v>160</v>
      </c>
      <c r="F743" s="8" t="s">
        <v>161</v>
      </c>
      <c r="G743" s="6">
        <v>42984</v>
      </c>
      <c r="H743" s="6">
        <v>42991</v>
      </c>
      <c r="I743" s="4">
        <v>420</v>
      </c>
      <c r="J743" s="8" t="s">
        <v>37</v>
      </c>
      <c r="K743" s="8" t="s">
        <v>1584</v>
      </c>
      <c r="L743" s="4">
        <v>5637296668</v>
      </c>
      <c r="M743" s="4"/>
      <c r="N743" s="4">
        <v>0</v>
      </c>
    </row>
    <row r="744" spans="1:14" x14ac:dyDescent="0.15">
      <c r="A744" s="8" t="s">
        <v>17</v>
      </c>
      <c r="B744" s="8" t="s">
        <v>1585</v>
      </c>
      <c r="C744" s="8" t="s">
        <v>23</v>
      </c>
      <c r="D744" s="8" t="s">
        <v>159</v>
      </c>
      <c r="E744" s="8" t="s">
        <v>160</v>
      </c>
      <c r="F744" s="8" t="s">
        <v>161</v>
      </c>
      <c r="G744" s="6">
        <v>42991</v>
      </c>
      <c r="H744" s="6">
        <v>42998</v>
      </c>
      <c r="I744" s="4">
        <v>126</v>
      </c>
      <c r="J744" s="8" t="s">
        <v>37</v>
      </c>
      <c r="K744" s="8" t="s">
        <v>1586</v>
      </c>
      <c r="L744" s="4">
        <v>5637296678</v>
      </c>
      <c r="M744" s="4"/>
      <c r="N744" s="4">
        <v>0</v>
      </c>
    </row>
    <row r="745" spans="1:14" x14ac:dyDescent="0.15">
      <c r="A745" s="8" t="s">
        <v>17</v>
      </c>
      <c r="B745" s="8" t="s">
        <v>1587</v>
      </c>
      <c r="C745" s="8" t="s">
        <v>67</v>
      </c>
      <c r="D745" s="8" t="s">
        <v>162</v>
      </c>
      <c r="E745" s="8" t="s">
        <v>160</v>
      </c>
      <c r="F745" s="8" t="s">
        <v>161</v>
      </c>
      <c r="G745" s="6">
        <v>42992</v>
      </c>
      <c r="H745" s="6">
        <v>42998</v>
      </c>
      <c r="I745" s="4">
        <v>84</v>
      </c>
      <c r="J745" s="8" t="s">
        <v>37</v>
      </c>
      <c r="K745" s="8" t="s">
        <v>1588</v>
      </c>
      <c r="L745" s="4">
        <v>5637296677</v>
      </c>
      <c r="M745" s="4"/>
      <c r="N745" s="4">
        <v>0</v>
      </c>
    </row>
    <row r="746" spans="1:14" x14ac:dyDescent="0.15">
      <c r="A746" s="8" t="s">
        <v>17</v>
      </c>
      <c r="B746" s="8" t="s">
        <v>1589</v>
      </c>
      <c r="C746" s="8" t="s">
        <v>67</v>
      </c>
      <c r="D746" s="8" t="s">
        <v>162</v>
      </c>
      <c r="E746" s="8" t="s">
        <v>160</v>
      </c>
      <c r="F746" s="8" t="s">
        <v>161</v>
      </c>
      <c r="G746" s="6">
        <v>42996</v>
      </c>
      <c r="H746" s="6">
        <v>43003</v>
      </c>
      <c r="I746" s="4">
        <v>196</v>
      </c>
      <c r="J746" s="8" t="s">
        <v>37</v>
      </c>
      <c r="K746" s="8" t="s">
        <v>1590</v>
      </c>
      <c r="L746" s="4">
        <v>5637296755</v>
      </c>
      <c r="M746" s="4"/>
      <c r="N746" s="4">
        <v>0</v>
      </c>
    </row>
    <row r="747" spans="1:14" x14ac:dyDescent="0.15">
      <c r="A747" s="8" t="s">
        <v>17</v>
      </c>
      <c r="B747" s="8" t="s">
        <v>1591</v>
      </c>
      <c r="C747" s="8" t="s">
        <v>72</v>
      </c>
      <c r="D747" s="8" t="s">
        <v>31</v>
      </c>
      <c r="E747" s="8" t="s">
        <v>160</v>
      </c>
      <c r="F747" s="8" t="s">
        <v>161</v>
      </c>
      <c r="G747" s="6">
        <v>42997</v>
      </c>
      <c r="H747" s="6">
        <v>42997</v>
      </c>
      <c r="I747" s="4">
        <v>240</v>
      </c>
      <c r="J747" s="8" t="s">
        <v>38</v>
      </c>
      <c r="K747" s="8" t="s">
        <v>1592</v>
      </c>
      <c r="L747" s="4">
        <v>5637296200</v>
      </c>
      <c r="M747" s="4" t="s">
        <v>375</v>
      </c>
      <c r="N747" s="4">
        <v>0</v>
      </c>
    </row>
    <row r="748" spans="1:14" x14ac:dyDescent="0.15">
      <c r="A748" s="8" t="s">
        <v>17</v>
      </c>
      <c r="B748" s="8" t="s">
        <v>1593</v>
      </c>
      <c r="C748" s="8" t="s">
        <v>19</v>
      </c>
      <c r="D748" s="8" t="s">
        <v>35</v>
      </c>
      <c r="E748" s="8" t="s">
        <v>160</v>
      </c>
      <c r="F748" s="8" t="s">
        <v>161</v>
      </c>
      <c r="G748" s="6">
        <v>42997</v>
      </c>
      <c r="H748" s="6">
        <v>42997</v>
      </c>
      <c r="I748" s="4">
        <v>1</v>
      </c>
      <c r="J748" s="8" t="s">
        <v>37</v>
      </c>
      <c r="K748" s="8" t="s">
        <v>1594</v>
      </c>
      <c r="L748" s="4">
        <v>5637296201</v>
      </c>
      <c r="M748" s="4" t="s">
        <v>375</v>
      </c>
      <c r="N748" s="4">
        <v>0</v>
      </c>
    </row>
    <row r="749" spans="1:14" x14ac:dyDescent="0.15">
      <c r="A749" s="8" t="s">
        <v>17</v>
      </c>
      <c r="B749" s="8" t="s">
        <v>1595</v>
      </c>
      <c r="C749" s="8" t="s">
        <v>23</v>
      </c>
      <c r="D749" s="8" t="s">
        <v>159</v>
      </c>
      <c r="E749" s="8" t="s">
        <v>160</v>
      </c>
      <c r="F749" s="8" t="s">
        <v>161</v>
      </c>
      <c r="G749" s="6">
        <v>42998</v>
      </c>
      <c r="H749" s="6">
        <v>43005</v>
      </c>
      <c r="I749" s="4">
        <v>1</v>
      </c>
      <c r="J749" s="8" t="s">
        <v>37</v>
      </c>
      <c r="K749" s="8" t="s">
        <v>1596</v>
      </c>
      <c r="L749" s="4">
        <v>5637296771</v>
      </c>
      <c r="M749" s="4"/>
      <c r="N749" s="4">
        <v>0</v>
      </c>
    </row>
    <row r="750" spans="1:14" x14ac:dyDescent="0.15">
      <c r="A750" s="8" t="s">
        <v>17</v>
      </c>
      <c r="B750" s="8" t="s">
        <v>1597</v>
      </c>
      <c r="C750" s="8" t="s">
        <v>57</v>
      </c>
      <c r="D750" s="8" t="s">
        <v>113</v>
      </c>
      <c r="E750" s="8" t="s">
        <v>160</v>
      </c>
      <c r="F750" s="8" t="s">
        <v>161</v>
      </c>
      <c r="G750" s="6">
        <v>43003</v>
      </c>
      <c r="H750" s="6">
        <v>43003</v>
      </c>
      <c r="I750" s="4">
        <v>355</v>
      </c>
      <c r="J750" s="8" t="s">
        <v>39</v>
      </c>
      <c r="K750" s="8" t="s">
        <v>1598</v>
      </c>
      <c r="L750" s="4">
        <v>5637296684</v>
      </c>
      <c r="M750" s="4" t="s">
        <v>375</v>
      </c>
      <c r="N750" s="4">
        <v>0</v>
      </c>
    </row>
    <row r="751" spans="1:14" x14ac:dyDescent="0.15">
      <c r="A751" s="8" t="s">
        <v>17</v>
      </c>
      <c r="B751" s="8" t="s">
        <v>1597</v>
      </c>
      <c r="C751" s="8" t="s">
        <v>29</v>
      </c>
      <c r="D751" s="8" t="s">
        <v>33</v>
      </c>
      <c r="E751" s="8" t="s">
        <v>160</v>
      </c>
      <c r="F751" s="8" t="s">
        <v>161</v>
      </c>
      <c r="G751" s="6">
        <v>43003</v>
      </c>
      <c r="H751" s="6">
        <v>43003</v>
      </c>
      <c r="I751" s="4">
        <v>400</v>
      </c>
      <c r="J751" s="8" t="s">
        <v>39</v>
      </c>
      <c r="K751" s="8" t="s">
        <v>1599</v>
      </c>
      <c r="L751" s="4">
        <v>5637296685</v>
      </c>
      <c r="M751" s="4" t="s">
        <v>375</v>
      </c>
      <c r="N751" s="4">
        <v>0</v>
      </c>
    </row>
    <row r="752" spans="1:14" x14ac:dyDescent="0.15">
      <c r="A752" s="8" t="s">
        <v>17</v>
      </c>
      <c r="B752" s="8" t="s">
        <v>1600</v>
      </c>
      <c r="C752" s="8" t="s">
        <v>19</v>
      </c>
      <c r="D752" s="8" t="s">
        <v>35</v>
      </c>
      <c r="E752" s="8" t="s">
        <v>160</v>
      </c>
      <c r="F752" s="8" t="s">
        <v>161</v>
      </c>
      <c r="G752" s="6">
        <v>43003</v>
      </c>
      <c r="H752" s="6">
        <v>43003</v>
      </c>
      <c r="I752" s="4">
        <v>1</v>
      </c>
      <c r="J752" s="8" t="s">
        <v>37</v>
      </c>
      <c r="K752" s="8" t="s">
        <v>1601</v>
      </c>
      <c r="L752" s="4">
        <v>5637296687</v>
      </c>
      <c r="M752" s="4" t="s">
        <v>375</v>
      </c>
      <c r="N752" s="4">
        <v>0</v>
      </c>
    </row>
    <row r="753" spans="1:14" x14ac:dyDescent="0.15">
      <c r="A753" s="8" t="s">
        <v>17</v>
      </c>
      <c r="B753" s="8" t="s">
        <v>1602</v>
      </c>
      <c r="C753" s="8" t="s">
        <v>67</v>
      </c>
      <c r="D753" s="8" t="s">
        <v>162</v>
      </c>
      <c r="E753" s="8" t="s">
        <v>160</v>
      </c>
      <c r="F753" s="8" t="s">
        <v>161</v>
      </c>
      <c r="G753" s="6">
        <v>43000</v>
      </c>
      <c r="H753" s="6">
        <v>43010</v>
      </c>
      <c r="I753" s="4">
        <v>56</v>
      </c>
      <c r="J753" s="8" t="s">
        <v>37</v>
      </c>
      <c r="K753" s="8" t="s">
        <v>1603</v>
      </c>
      <c r="L753" s="4">
        <v>5637296787</v>
      </c>
      <c r="M753" s="4"/>
      <c r="N753" s="4">
        <v>0</v>
      </c>
    </row>
    <row r="754" spans="1:14" x14ac:dyDescent="0.15">
      <c r="A754" s="8" t="s">
        <v>17</v>
      </c>
      <c r="B754" s="8" t="s">
        <v>1604</v>
      </c>
      <c r="C754" s="8" t="s">
        <v>72</v>
      </c>
      <c r="D754" s="8" t="s">
        <v>31</v>
      </c>
      <c r="E754" s="8" t="s">
        <v>160</v>
      </c>
      <c r="F754" s="8" t="s">
        <v>161</v>
      </c>
      <c r="G754" s="6">
        <v>43012</v>
      </c>
      <c r="H754" s="6">
        <v>43012</v>
      </c>
      <c r="I754" s="4">
        <v>300</v>
      </c>
      <c r="J754" s="8" t="s">
        <v>38</v>
      </c>
      <c r="K754" s="8" t="s">
        <v>1605</v>
      </c>
      <c r="L754" s="4">
        <v>5637296802</v>
      </c>
      <c r="M754" s="4" t="s">
        <v>375</v>
      </c>
      <c r="N754" s="4">
        <v>0</v>
      </c>
    </row>
    <row r="755" spans="1:14" x14ac:dyDescent="0.15">
      <c r="A755" s="8" t="s">
        <v>17</v>
      </c>
      <c r="B755" s="8" t="s">
        <v>1606</v>
      </c>
      <c r="C755" s="8" t="s">
        <v>19</v>
      </c>
      <c r="D755" s="8" t="s">
        <v>35</v>
      </c>
      <c r="E755" s="8" t="s">
        <v>160</v>
      </c>
      <c r="F755" s="8" t="s">
        <v>161</v>
      </c>
      <c r="G755" s="6">
        <v>43013</v>
      </c>
      <c r="H755" s="6">
        <v>43012</v>
      </c>
      <c r="I755" s="4">
        <v>1</v>
      </c>
      <c r="J755" s="8" t="s">
        <v>37</v>
      </c>
      <c r="K755" s="8" t="s">
        <v>1607</v>
      </c>
      <c r="L755" s="4">
        <v>5637296803</v>
      </c>
      <c r="M755" s="4" t="s">
        <v>375</v>
      </c>
      <c r="N755" s="4">
        <v>0</v>
      </c>
    </row>
    <row r="756" spans="1:14" x14ac:dyDescent="0.15">
      <c r="A756" s="8" t="s">
        <v>17</v>
      </c>
      <c r="B756" s="8" t="s">
        <v>1608</v>
      </c>
      <c r="C756" s="8" t="s">
        <v>23</v>
      </c>
      <c r="D756" s="8" t="s">
        <v>159</v>
      </c>
      <c r="E756" s="8" t="s">
        <v>160</v>
      </c>
      <c r="F756" s="8" t="s">
        <v>161</v>
      </c>
      <c r="G756" s="6">
        <v>43010</v>
      </c>
      <c r="H756" s="6">
        <v>43017</v>
      </c>
      <c r="I756" s="4">
        <v>84</v>
      </c>
      <c r="J756" s="8" t="s">
        <v>37</v>
      </c>
      <c r="K756" s="8" t="s">
        <v>1609</v>
      </c>
      <c r="L756" s="4">
        <v>5637296830</v>
      </c>
      <c r="M756" s="4"/>
      <c r="N756" s="4">
        <v>0</v>
      </c>
    </row>
    <row r="757" spans="1:14" x14ac:dyDescent="0.15">
      <c r="A757" s="8" t="s">
        <v>17</v>
      </c>
      <c r="B757" s="8" t="s">
        <v>1608</v>
      </c>
      <c r="C757" s="8" t="s">
        <v>67</v>
      </c>
      <c r="D757" s="8" t="s">
        <v>162</v>
      </c>
      <c r="E757" s="8" t="s">
        <v>160</v>
      </c>
      <c r="F757" s="8" t="s">
        <v>161</v>
      </c>
      <c r="G757" s="6">
        <v>43010</v>
      </c>
      <c r="H757" s="6">
        <v>43017</v>
      </c>
      <c r="I757" s="4">
        <v>168</v>
      </c>
      <c r="J757" s="8" t="s">
        <v>37</v>
      </c>
      <c r="K757" s="8" t="s">
        <v>1610</v>
      </c>
      <c r="L757" s="4">
        <v>5637296829</v>
      </c>
      <c r="M757" s="4"/>
      <c r="N757" s="4">
        <v>0</v>
      </c>
    </row>
    <row r="758" spans="1:14" x14ac:dyDescent="0.15">
      <c r="A758" s="8" t="s">
        <v>17</v>
      </c>
      <c r="B758" s="8" t="s">
        <v>1611</v>
      </c>
      <c r="C758" s="8" t="s">
        <v>67</v>
      </c>
      <c r="D758" s="8" t="s">
        <v>162</v>
      </c>
      <c r="E758" s="8" t="s">
        <v>160</v>
      </c>
      <c r="F758" s="8" t="s">
        <v>161</v>
      </c>
      <c r="G758" s="6">
        <v>43017</v>
      </c>
      <c r="H758" s="6">
        <v>43024</v>
      </c>
      <c r="I758" s="4">
        <v>56</v>
      </c>
      <c r="J758" s="8" t="s">
        <v>37</v>
      </c>
      <c r="K758" s="8" t="s">
        <v>1612</v>
      </c>
      <c r="L758" s="4">
        <v>5637296871</v>
      </c>
      <c r="M758" s="4"/>
      <c r="N758" s="4">
        <v>0</v>
      </c>
    </row>
    <row r="759" spans="1:14" ht="27" x14ac:dyDescent="0.15">
      <c r="A759" s="8" t="s">
        <v>17</v>
      </c>
      <c r="B759" s="8" t="s">
        <v>1613</v>
      </c>
      <c r="C759" s="8" t="s">
        <v>181</v>
      </c>
      <c r="D759" s="11" t="s">
        <v>182</v>
      </c>
      <c r="E759" s="8" t="s">
        <v>160</v>
      </c>
      <c r="F759" s="8" t="s">
        <v>161</v>
      </c>
      <c r="G759" s="6">
        <v>43020</v>
      </c>
      <c r="H759" s="6">
        <v>43017</v>
      </c>
      <c r="I759" s="4">
        <v>20</v>
      </c>
      <c r="J759" s="8" t="s">
        <v>120</v>
      </c>
      <c r="K759" s="8" t="s">
        <v>1614</v>
      </c>
      <c r="L759" s="4">
        <v>5637296831</v>
      </c>
      <c r="M759" s="4"/>
      <c r="N759" s="4">
        <v>0</v>
      </c>
    </row>
    <row r="760" spans="1:14" x14ac:dyDescent="0.15">
      <c r="A760" s="8" t="s">
        <v>17</v>
      </c>
      <c r="B760" s="8" t="s">
        <v>1615</v>
      </c>
      <c r="C760" s="8" t="s">
        <v>111</v>
      </c>
      <c r="D760" s="8" t="s">
        <v>112</v>
      </c>
      <c r="E760" s="8" t="s">
        <v>160</v>
      </c>
      <c r="F760" s="8" t="s">
        <v>161</v>
      </c>
      <c r="G760" s="6">
        <v>43031</v>
      </c>
      <c r="H760" s="6">
        <v>43024</v>
      </c>
      <c r="I760" s="4">
        <v>1500</v>
      </c>
      <c r="J760" s="8" t="s">
        <v>39</v>
      </c>
      <c r="K760" s="8" t="s">
        <v>1616</v>
      </c>
      <c r="L760" s="4">
        <v>5637296874</v>
      </c>
      <c r="M760" s="4" t="s">
        <v>375</v>
      </c>
      <c r="N760" s="4">
        <v>0</v>
      </c>
    </row>
    <row r="761" spans="1:14" x14ac:dyDescent="0.15">
      <c r="A761" s="8" t="s">
        <v>17</v>
      </c>
      <c r="B761" s="8" t="s">
        <v>1615</v>
      </c>
      <c r="C761" s="8" t="s">
        <v>56</v>
      </c>
      <c r="D761" s="8" t="s">
        <v>126</v>
      </c>
      <c r="E761" s="8" t="s">
        <v>160</v>
      </c>
      <c r="F761" s="8" t="s">
        <v>161</v>
      </c>
      <c r="G761" s="6">
        <v>43031</v>
      </c>
      <c r="H761" s="6">
        <v>43024</v>
      </c>
      <c r="I761" s="4">
        <v>900</v>
      </c>
      <c r="J761" s="8" t="s">
        <v>39</v>
      </c>
      <c r="K761" s="8" t="s">
        <v>1617</v>
      </c>
      <c r="L761" s="4">
        <v>5637296875</v>
      </c>
      <c r="M761" s="4" t="s">
        <v>375</v>
      </c>
      <c r="N761" s="4">
        <v>0</v>
      </c>
    </row>
    <row r="762" spans="1:14" x14ac:dyDescent="0.15">
      <c r="A762" s="8" t="s">
        <v>17</v>
      </c>
      <c r="B762" s="8" t="s">
        <v>1615</v>
      </c>
      <c r="C762" s="8" t="s">
        <v>57</v>
      </c>
      <c r="D762" s="8" t="s">
        <v>113</v>
      </c>
      <c r="E762" s="8" t="s">
        <v>160</v>
      </c>
      <c r="F762" s="8" t="s">
        <v>161</v>
      </c>
      <c r="G762" s="6">
        <v>43031</v>
      </c>
      <c r="H762" s="6">
        <v>43024</v>
      </c>
      <c r="I762" s="4">
        <v>300</v>
      </c>
      <c r="J762" s="8" t="s">
        <v>39</v>
      </c>
      <c r="K762" s="8" t="s">
        <v>1618</v>
      </c>
      <c r="L762" s="4">
        <v>5637296876</v>
      </c>
      <c r="M762" s="4" t="s">
        <v>375</v>
      </c>
      <c r="N762" s="4">
        <v>0</v>
      </c>
    </row>
    <row r="763" spans="1:14" x14ac:dyDescent="0.15">
      <c r="A763" s="8" t="s">
        <v>17</v>
      </c>
      <c r="B763" s="8" t="s">
        <v>1615</v>
      </c>
      <c r="C763" s="8" t="s">
        <v>29</v>
      </c>
      <c r="D763" s="8" t="s">
        <v>33</v>
      </c>
      <c r="E763" s="8" t="s">
        <v>160</v>
      </c>
      <c r="F763" s="8" t="s">
        <v>161</v>
      </c>
      <c r="G763" s="6">
        <v>43031</v>
      </c>
      <c r="H763" s="6">
        <v>43024</v>
      </c>
      <c r="I763" s="4">
        <v>500</v>
      </c>
      <c r="J763" s="8" t="s">
        <v>39</v>
      </c>
      <c r="K763" s="8" t="s">
        <v>1619</v>
      </c>
      <c r="L763" s="4">
        <v>5637296877</v>
      </c>
      <c r="M763" s="4" t="s">
        <v>375</v>
      </c>
      <c r="N763" s="4">
        <v>0</v>
      </c>
    </row>
    <row r="764" spans="1:14" x14ac:dyDescent="0.15">
      <c r="A764" s="8" t="s">
        <v>17</v>
      </c>
      <c r="B764" s="8" t="s">
        <v>1620</v>
      </c>
      <c r="C764" s="8" t="s">
        <v>19</v>
      </c>
      <c r="D764" s="8" t="s">
        <v>35</v>
      </c>
      <c r="E764" s="8" t="s">
        <v>160</v>
      </c>
      <c r="F764" s="8" t="s">
        <v>161</v>
      </c>
      <c r="G764" s="6">
        <v>43031</v>
      </c>
      <c r="H764" s="6">
        <v>43024</v>
      </c>
      <c r="I764" s="4">
        <v>1</v>
      </c>
      <c r="J764" s="8" t="s">
        <v>37</v>
      </c>
      <c r="K764" s="8" t="s">
        <v>1621</v>
      </c>
      <c r="L764" s="4">
        <v>5637296878</v>
      </c>
      <c r="M764" s="4" t="s">
        <v>375</v>
      </c>
      <c r="N764" s="4">
        <v>0</v>
      </c>
    </row>
    <row r="765" spans="1:14" x14ac:dyDescent="0.15">
      <c r="A765" s="8" t="s">
        <v>17</v>
      </c>
      <c r="B765" s="8" t="s">
        <v>1622</v>
      </c>
      <c r="C765" s="8" t="s">
        <v>67</v>
      </c>
      <c r="D765" s="8" t="s">
        <v>162</v>
      </c>
      <c r="E765" s="8" t="s">
        <v>160</v>
      </c>
      <c r="F765" s="8" t="s">
        <v>161</v>
      </c>
      <c r="G765" s="6">
        <v>43021</v>
      </c>
      <c r="H765" s="6">
        <v>43032</v>
      </c>
      <c r="I765" s="4">
        <v>252</v>
      </c>
      <c r="J765" s="8" t="s">
        <v>37</v>
      </c>
      <c r="K765" s="8" t="s">
        <v>1623</v>
      </c>
      <c r="L765" s="4">
        <v>5637297209</v>
      </c>
      <c r="M765" s="4"/>
      <c r="N765" s="4">
        <v>0</v>
      </c>
    </row>
    <row r="766" spans="1:14" x14ac:dyDescent="0.15">
      <c r="A766" s="8" t="s">
        <v>17</v>
      </c>
      <c r="B766" s="8" t="s">
        <v>1624</v>
      </c>
      <c r="C766" s="8" t="s">
        <v>20</v>
      </c>
      <c r="D766" s="8" t="s">
        <v>269</v>
      </c>
      <c r="E766" s="8" t="s">
        <v>160</v>
      </c>
      <c r="F766" s="8" t="s">
        <v>161</v>
      </c>
      <c r="G766" s="6">
        <v>43033</v>
      </c>
      <c r="H766" s="6">
        <v>43031</v>
      </c>
      <c r="I766" s="4">
        <v>291</v>
      </c>
      <c r="J766" s="8" t="s">
        <v>38</v>
      </c>
      <c r="K766" s="8" t="s">
        <v>1625</v>
      </c>
      <c r="L766" s="4">
        <v>5637297153</v>
      </c>
      <c r="M766" s="4" t="s">
        <v>375</v>
      </c>
      <c r="N766" s="4">
        <v>0</v>
      </c>
    </row>
    <row r="767" spans="1:14" x14ac:dyDescent="0.15">
      <c r="A767" s="8" t="s">
        <v>17</v>
      </c>
      <c r="B767" s="8" t="s">
        <v>1624</v>
      </c>
      <c r="C767" s="8" t="s">
        <v>71</v>
      </c>
      <c r="D767" s="8" t="s">
        <v>269</v>
      </c>
      <c r="E767" s="8" t="s">
        <v>160</v>
      </c>
      <c r="F767" s="8" t="s">
        <v>161</v>
      </c>
      <c r="G767" s="6">
        <v>43033</v>
      </c>
      <c r="H767" s="6">
        <v>43031</v>
      </c>
      <c r="I767" s="4">
        <v>2475</v>
      </c>
      <c r="J767" s="8" t="s">
        <v>38</v>
      </c>
      <c r="K767" s="8" t="s">
        <v>1626</v>
      </c>
      <c r="L767" s="4">
        <v>5637297154</v>
      </c>
      <c r="M767" s="4" t="s">
        <v>375</v>
      </c>
      <c r="N767" s="4">
        <v>0</v>
      </c>
    </row>
    <row r="768" spans="1:14" x14ac:dyDescent="0.15">
      <c r="A768" s="8" t="s">
        <v>17</v>
      </c>
      <c r="B768" s="8" t="s">
        <v>1627</v>
      </c>
      <c r="C768" s="8" t="s">
        <v>19</v>
      </c>
      <c r="D768" s="8" t="s">
        <v>35</v>
      </c>
      <c r="E768" s="8" t="s">
        <v>160</v>
      </c>
      <c r="F768" s="8" t="s">
        <v>161</v>
      </c>
      <c r="G768" s="6">
        <v>43033</v>
      </c>
      <c r="H768" s="6">
        <v>43031</v>
      </c>
      <c r="I768" s="4">
        <v>1</v>
      </c>
      <c r="J768" s="8" t="s">
        <v>37</v>
      </c>
      <c r="K768" s="8" t="s">
        <v>1628</v>
      </c>
      <c r="L768" s="4">
        <v>5637297155</v>
      </c>
      <c r="M768" s="4" t="s">
        <v>375</v>
      </c>
      <c r="N768" s="4">
        <v>0</v>
      </c>
    </row>
    <row r="769" spans="1:14" x14ac:dyDescent="0.15">
      <c r="A769" s="8" t="s">
        <v>17</v>
      </c>
      <c r="B769" s="8" t="s">
        <v>1629</v>
      </c>
      <c r="C769" s="8" t="s">
        <v>23</v>
      </c>
      <c r="D769" s="8" t="s">
        <v>159</v>
      </c>
      <c r="E769" s="8" t="s">
        <v>160</v>
      </c>
      <c r="F769" s="8" t="s">
        <v>161</v>
      </c>
      <c r="G769" s="6">
        <v>43028</v>
      </c>
      <c r="H769" s="6">
        <v>43038</v>
      </c>
      <c r="I769" s="4">
        <v>126</v>
      </c>
      <c r="J769" s="8" t="s">
        <v>37</v>
      </c>
      <c r="K769" s="8" t="s">
        <v>1630</v>
      </c>
      <c r="L769" s="4">
        <v>5637297661</v>
      </c>
      <c r="M769" s="4"/>
      <c r="N769" s="4">
        <v>0</v>
      </c>
    </row>
    <row r="770" spans="1:14" x14ac:dyDescent="0.15">
      <c r="A770" s="8" t="s">
        <v>17</v>
      </c>
      <c r="B770" s="8" t="s">
        <v>1629</v>
      </c>
      <c r="C770" s="8" t="s">
        <v>67</v>
      </c>
      <c r="D770" s="8" t="s">
        <v>162</v>
      </c>
      <c r="E770" s="8" t="s">
        <v>160</v>
      </c>
      <c r="F770" s="8" t="s">
        <v>161</v>
      </c>
      <c r="G770" s="6">
        <v>43028</v>
      </c>
      <c r="H770" s="6">
        <v>43038</v>
      </c>
      <c r="I770" s="4">
        <v>196</v>
      </c>
      <c r="J770" s="8" t="s">
        <v>37</v>
      </c>
      <c r="K770" s="8" t="s">
        <v>1631</v>
      </c>
      <c r="L770" s="4">
        <v>5637297660</v>
      </c>
      <c r="M770" s="4"/>
      <c r="N770" s="4">
        <v>0</v>
      </c>
    </row>
    <row r="771" spans="1:14" x14ac:dyDescent="0.15">
      <c r="A771" s="8" t="s">
        <v>17</v>
      </c>
      <c r="B771" s="8" t="s">
        <v>1632</v>
      </c>
      <c r="C771" s="8" t="s">
        <v>267</v>
      </c>
      <c r="D771" s="8" t="s">
        <v>267</v>
      </c>
      <c r="E771" s="8" t="s">
        <v>160</v>
      </c>
      <c r="F771" s="8" t="s">
        <v>161</v>
      </c>
      <c r="G771" s="6">
        <v>43033</v>
      </c>
      <c r="H771" s="6">
        <v>43028</v>
      </c>
      <c r="I771" s="4">
        <v>50</v>
      </c>
      <c r="J771" s="8" t="s">
        <v>133</v>
      </c>
      <c r="K771" s="8" t="s">
        <v>1633</v>
      </c>
      <c r="L771" s="4">
        <v>5637297156</v>
      </c>
      <c r="M771" s="4"/>
      <c r="N771" s="4">
        <v>0</v>
      </c>
    </row>
    <row r="772" spans="1:14" x14ac:dyDescent="0.15">
      <c r="A772" s="8" t="s">
        <v>17</v>
      </c>
      <c r="B772" s="8" t="s">
        <v>1634</v>
      </c>
      <c r="C772" s="8" t="s">
        <v>23</v>
      </c>
      <c r="D772" s="8" t="s">
        <v>159</v>
      </c>
      <c r="E772" s="8" t="s">
        <v>160</v>
      </c>
      <c r="F772" s="8" t="s">
        <v>161</v>
      </c>
      <c r="G772" s="6">
        <v>43042</v>
      </c>
      <c r="H772" s="6">
        <v>43052</v>
      </c>
      <c r="I772" s="4">
        <v>336</v>
      </c>
      <c r="J772" s="8" t="s">
        <v>37</v>
      </c>
      <c r="K772" s="8" t="s">
        <v>1635</v>
      </c>
      <c r="L772" s="4">
        <v>5637298191</v>
      </c>
      <c r="M772" s="4"/>
      <c r="N772" s="4">
        <v>0</v>
      </c>
    </row>
    <row r="773" spans="1:14" x14ac:dyDescent="0.15">
      <c r="A773" s="8" t="s">
        <v>17</v>
      </c>
      <c r="B773" s="8" t="s">
        <v>1634</v>
      </c>
      <c r="C773" s="8" t="s">
        <v>67</v>
      </c>
      <c r="D773" s="8" t="s">
        <v>162</v>
      </c>
      <c r="E773" s="8" t="s">
        <v>160</v>
      </c>
      <c r="F773" s="8" t="s">
        <v>161</v>
      </c>
      <c r="G773" s="6">
        <v>43042</v>
      </c>
      <c r="H773" s="6">
        <v>43052</v>
      </c>
      <c r="I773" s="4">
        <v>224</v>
      </c>
      <c r="J773" s="8" t="s">
        <v>37</v>
      </c>
      <c r="K773" s="8" t="s">
        <v>1636</v>
      </c>
      <c r="L773" s="4">
        <v>5637298190</v>
      </c>
      <c r="M773" s="4"/>
      <c r="N773" s="4">
        <v>0</v>
      </c>
    </row>
    <row r="774" spans="1:14" x14ac:dyDescent="0.15">
      <c r="A774" s="8" t="s">
        <v>17</v>
      </c>
      <c r="B774" s="8" t="s">
        <v>1637</v>
      </c>
      <c r="C774" s="8" t="s">
        <v>23</v>
      </c>
      <c r="D774" s="8" t="s">
        <v>159</v>
      </c>
      <c r="E774" s="8" t="s">
        <v>160</v>
      </c>
      <c r="F774" s="8" t="s">
        <v>161</v>
      </c>
      <c r="G774" s="6">
        <v>43042</v>
      </c>
      <c r="H774" s="6">
        <v>43052</v>
      </c>
      <c r="I774" s="4">
        <v>84</v>
      </c>
      <c r="J774" s="8" t="s">
        <v>37</v>
      </c>
      <c r="K774" s="8" t="s">
        <v>1638</v>
      </c>
      <c r="L774" s="4">
        <v>5637298192</v>
      </c>
      <c r="M774" s="4"/>
      <c r="N774" s="4">
        <v>0</v>
      </c>
    </row>
    <row r="775" spans="1:14" x14ac:dyDescent="0.15">
      <c r="A775" s="8" t="s">
        <v>17</v>
      </c>
      <c r="B775" s="8" t="s">
        <v>1639</v>
      </c>
      <c r="C775" s="8" t="s">
        <v>67</v>
      </c>
      <c r="D775" s="8" t="s">
        <v>162</v>
      </c>
      <c r="E775" s="8" t="s">
        <v>160</v>
      </c>
      <c r="F775" s="8" t="s">
        <v>161</v>
      </c>
      <c r="G775" s="6">
        <v>43047</v>
      </c>
      <c r="H775" s="6">
        <v>43054</v>
      </c>
      <c r="I775" s="4">
        <v>140</v>
      </c>
      <c r="J775" s="8" t="s">
        <v>37</v>
      </c>
      <c r="K775" s="8" t="s">
        <v>1640</v>
      </c>
      <c r="L775" s="4">
        <v>5637298161</v>
      </c>
      <c r="M775" s="4"/>
      <c r="N775" s="4">
        <v>0</v>
      </c>
    </row>
    <row r="776" spans="1:14" x14ac:dyDescent="0.15">
      <c r="A776" s="8" t="s">
        <v>17</v>
      </c>
      <c r="B776" s="8" t="s">
        <v>1641</v>
      </c>
      <c r="C776" s="8" t="s">
        <v>52</v>
      </c>
      <c r="D776" s="8" t="s">
        <v>96</v>
      </c>
      <c r="E776" s="8" t="s">
        <v>160</v>
      </c>
      <c r="F776" s="8" t="s">
        <v>161</v>
      </c>
      <c r="G776" s="6">
        <v>43055</v>
      </c>
      <c r="H776" s="6">
        <v>43049</v>
      </c>
      <c r="I776" s="4">
        <v>97.5</v>
      </c>
      <c r="J776" s="8" t="s">
        <v>38</v>
      </c>
      <c r="K776" s="8" t="s">
        <v>1642</v>
      </c>
      <c r="L776" s="4">
        <v>5637297436</v>
      </c>
      <c r="M776" s="4" t="s">
        <v>375</v>
      </c>
      <c r="N776" s="4">
        <v>0</v>
      </c>
    </row>
    <row r="777" spans="1:14" ht="27" x14ac:dyDescent="0.15">
      <c r="A777" s="8" t="s">
        <v>17</v>
      </c>
      <c r="B777" s="8" t="s">
        <v>1641</v>
      </c>
      <c r="C777" s="8" t="s">
        <v>136</v>
      </c>
      <c r="D777" s="11" t="s">
        <v>174</v>
      </c>
      <c r="E777" s="8" t="s">
        <v>160</v>
      </c>
      <c r="F777" s="8" t="s">
        <v>161</v>
      </c>
      <c r="G777" s="6">
        <v>43055</v>
      </c>
      <c r="H777" s="6">
        <v>43049</v>
      </c>
      <c r="I777" s="4">
        <v>195</v>
      </c>
      <c r="J777" s="8" t="s">
        <v>38</v>
      </c>
      <c r="K777" s="8" t="s">
        <v>1643</v>
      </c>
      <c r="L777" s="4">
        <v>5637297434</v>
      </c>
      <c r="M777" s="4" t="s">
        <v>375</v>
      </c>
      <c r="N777" s="4">
        <v>0</v>
      </c>
    </row>
    <row r="778" spans="1:14" x14ac:dyDescent="0.15">
      <c r="A778" s="8" t="s">
        <v>17</v>
      </c>
      <c r="B778" s="8" t="s">
        <v>1641</v>
      </c>
      <c r="C778" s="8" t="s">
        <v>144</v>
      </c>
      <c r="D778" s="8" t="s">
        <v>211</v>
      </c>
      <c r="E778" s="8" t="s">
        <v>160</v>
      </c>
      <c r="F778" s="8" t="s">
        <v>161</v>
      </c>
      <c r="G778" s="6">
        <v>43055</v>
      </c>
      <c r="H778" s="6">
        <v>43049</v>
      </c>
      <c r="I778" s="4">
        <v>67</v>
      </c>
      <c r="J778" s="8" t="s">
        <v>38</v>
      </c>
      <c r="K778" s="8" t="s">
        <v>1644</v>
      </c>
      <c r="L778" s="4">
        <v>5637297435</v>
      </c>
      <c r="M778" s="4" t="s">
        <v>375</v>
      </c>
      <c r="N778" s="4">
        <v>0</v>
      </c>
    </row>
    <row r="779" spans="1:14" x14ac:dyDescent="0.15">
      <c r="A779" s="8" t="s">
        <v>17</v>
      </c>
      <c r="B779" s="8" t="s">
        <v>1645</v>
      </c>
      <c r="C779" s="8" t="s">
        <v>19</v>
      </c>
      <c r="D779" s="8" t="s">
        <v>35</v>
      </c>
      <c r="E779" s="8" t="s">
        <v>160</v>
      </c>
      <c r="F779" s="8" t="s">
        <v>161</v>
      </c>
      <c r="G779" s="6">
        <v>43055</v>
      </c>
      <c r="H779" s="6">
        <v>43049</v>
      </c>
      <c r="I779" s="4">
        <v>1</v>
      </c>
      <c r="J779" s="8" t="s">
        <v>37</v>
      </c>
      <c r="K779" s="8" t="s">
        <v>1646</v>
      </c>
      <c r="L779" s="4">
        <v>5637297437</v>
      </c>
      <c r="M779" s="4" t="s">
        <v>375</v>
      </c>
      <c r="N779" s="4">
        <v>0</v>
      </c>
    </row>
    <row r="780" spans="1:14" x14ac:dyDescent="0.15">
      <c r="A780" s="8" t="s">
        <v>17</v>
      </c>
      <c r="B780" s="8" t="s">
        <v>1647</v>
      </c>
      <c r="C780" s="8" t="s">
        <v>28</v>
      </c>
      <c r="D780" s="8" t="s">
        <v>202</v>
      </c>
      <c r="E780" s="8" t="s">
        <v>160</v>
      </c>
      <c r="F780" s="8" t="s">
        <v>161</v>
      </c>
      <c r="G780" s="6">
        <v>43052</v>
      </c>
      <c r="H780" s="6">
        <v>43059</v>
      </c>
      <c r="I780" s="4">
        <v>27</v>
      </c>
      <c r="J780" s="8" t="s">
        <v>37</v>
      </c>
      <c r="K780" s="8" t="s">
        <v>1648</v>
      </c>
      <c r="L780" s="4">
        <v>5637298197</v>
      </c>
      <c r="M780" s="4"/>
      <c r="N780" s="4">
        <v>0</v>
      </c>
    </row>
    <row r="781" spans="1:14" x14ac:dyDescent="0.15">
      <c r="A781" s="8" t="s">
        <v>17</v>
      </c>
      <c r="B781" s="8" t="s">
        <v>1649</v>
      </c>
      <c r="C781" s="8" t="s">
        <v>28</v>
      </c>
      <c r="D781" s="8" t="s">
        <v>202</v>
      </c>
      <c r="E781" s="8" t="s">
        <v>160</v>
      </c>
      <c r="F781" s="8" t="s">
        <v>161</v>
      </c>
      <c r="G781" s="6">
        <v>43052</v>
      </c>
      <c r="H781" s="6">
        <v>43059</v>
      </c>
      <c r="I781" s="4">
        <v>27</v>
      </c>
      <c r="J781" s="8" t="s">
        <v>37</v>
      </c>
      <c r="K781" s="8" t="s">
        <v>1650</v>
      </c>
      <c r="L781" s="4">
        <v>5637298194</v>
      </c>
      <c r="M781" s="4"/>
      <c r="N781" s="4">
        <v>0</v>
      </c>
    </row>
    <row r="782" spans="1:14" x14ac:dyDescent="0.15">
      <c r="A782" s="8" t="s">
        <v>17</v>
      </c>
      <c r="B782" s="8" t="s">
        <v>1651</v>
      </c>
      <c r="C782" s="8" t="s">
        <v>23</v>
      </c>
      <c r="D782" s="8" t="s">
        <v>159</v>
      </c>
      <c r="E782" s="8" t="s">
        <v>160</v>
      </c>
      <c r="F782" s="8" t="s">
        <v>161</v>
      </c>
      <c r="G782" s="6">
        <v>43052</v>
      </c>
      <c r="H782" s="6">
        <v>43059</v>
      </c>
      <c r="I782" s="4">
        <v>462</v>
      </c>
      <c r="J782" s="8" t="s">
        <v>37</v>
      </c>
      <c r="K782" s="8" t="s">
        <v>1652</v>
      </c>
      <c r="L782" s="4">
        <v>5637298195</v>
      </c>
      <c r="M782" s="4"/>
      <c r="N782" s="4">
        <v>0</v>
      </c>
    </row>
    <row r="783" spans="1:14" x14ac:dyDescent="0.15">
      <c r="A783" s="8" t="s">
        <v>17</v>
      </c>
      <c r="B783" s="8" t="s">
        <v>1651</v>
      </c>
      <c r="C783" s="8" t="s">
        <v>67</v>
      </c>
      <c r="D783" s="8" t="s">
        <v>162</v>
      </c>
      <c r="E783" s="8" t="s">
        <v>160</v>
      </c>
      <c r="F783" s="8" t="s">
        <v>161</v>
      </c>
      <c r="G783" s="6">
        <v>43052</v>
      </c>
      <c r="H783" s="6">
        <v>43059</v>
      </c>
      <c r="I783" s="4">
        <v>84</v>
      </c>
      <c r="J783" s="8" t="s">
        <v>37</v>
      </c>
      <c r="K783" s="8" t="s">
        <v>1653</v>
      </c>
      <c r="L783" s="4">
        <v>5637298196</v>
      </c>
      <c r="M783" s="4"/>
      <c r="N783" s="4">
        <v>0</v>
      </c>
    </row>
    <row r="784" spans="1:14" x14ac:dyDescent="0.15">
      <c r="A784" s="8" t="s">
        <v>17</v>
      </c>
      <c r="B784" s="8" t="s">
        <v>1654</v>
      </c>
      <c r="C784" s="8" t="s">
        <v>101</v>
      </c>
      <c r="D784" s="8" t="s">
        <v>102</v>
      </c>
      <c r="E784" s="8" t="s">
        <v>160</v>
      </c>
      <c r="F784" s="8" t="s">
        <v>161</v>
      </c>
      <c r="G784" s="6">
        <v>43060</v>
      </c>
      <c r="H784" s="6">
        <v>43061</v>
      </c>
      <c r="I784" s="4">
        <v>600</v>
      </c>
      <c r="J784" s="8" t="s">
        <v>39</v>
      </c>
      <c r="K784" s="8" t="s">
        <v>1655</v>
      </c>
      <c r="L784" s="4">
        <v>5637298165</v>
      </c>
      <c r="M784" s="4" t="s">
        <v>375</v>
      </c>
      <c r="N784" s="4">
        <v>0</v>
      </c>
    </row>
    <row r="785" spans="1:14" x14ac:dyDescent="0.15">
      <c r="A785" s="8" t="s">
        <v>17</v>
      </c>
      <c r="B785" s="8" t="s">
        <v>1654</v>
      </c>
      <c r="C785" s="8" t="s">
        <v>123</v>
      </c>
      <c r="D785" s="8" t="s">
        <v>124</v>
      </c>
      <c r="E785" s="8" t="s">
        <v>160</v>
      </c>
      <c r="F785" s="8" t="s">
        <v>161</v>
      </c>
      <c r="G785" s="6">
        <v>43060</v>
      </c>
      <c r="H785" s="6">
        <v>43061</v>
      </c>
      <c r="I785" s="4">
        <v>600</v>
      </c>
      <c r="J785" s="8" t="s">
        <v>39</v>
      </c>
      <c r="K785" s="8" t="s">
        <v>1656</v>
      </c>
      <c r="L785" s="4">
        <v>5637298162</v>
      </c>
      <c r="M785" s="4" t="s">
        <v>375</v>
      </c>
      <c r="N785" s="4">
        <v>0</v>
      </c>
    </row>
    <row r="786" spans="1:14" x14ac:dyDescent="0.15">
      <c r="A786" s="8" t="s">
        <v>17</v>
      </c>
      <c r="B786" s="8" t="s">
        <v>1654</v>
      </c>
      <c r="C786" s="8" t="s">
        <v>76</v>
      </c>
      <c r="D786" s="8" t="s">
        <v>110</v>
      </c>
      <c r="E786" s="8" t="s">
        <v>160</v>
      </c>
      <c r="F786" s="8" t="s">
        <v>161</v>
      </c>
      <c r="G786" s="6">
        <v>43060</v>
      </c>
      <c r="H786" s="6">
        <v>43061</v>
      </c>
      <c r="I786" s="4">
        <v>350</v>
      </c>
      <c r="J786" s="8" t="s">
        <v>39</v>
      </c>
      <c r="K786" s="8" t="s">
        <v>1657</v>
      </c>
      <c r="L786" s="4">
        <v>5637298163</v>
      </c>
      <c r="M786" s="4" t="s">
        <v>375</v>
      </c>
      <c r="N786" s="4">
        <v>0</v>
      </c>
    </row>
    <row r="787" spans="1:14" x14ac:dyDescent="0.15">
      <c r="A787" s="8" t="s">
        <v>17</v>
      </c>
      <c r="B787" s="8" t="s">
        <v>1654</v>
      </c>
      <c r="C787" s="8" t="s">
        <v>63</v>
      </c>
      <c r="D787" s="8" t="s">
        <v>95</v>
      </c>
      <c r="E787" s="8" t="s">
        <v>160</v>
      </c>
      <c r="F787" s="8" t="s">
        <v>161</v>
      </c>
      <c r="G787" s="6">
        <v>43060</v>
      </c>
      <c r="H787" s="6">
        <v>43061</v>
      </c>
      <c r="I787" s="4">
        <v>200</v>
      </c>
      <c r="J787" s="8" t="s">
        <v>39</v>
      </c>
      <c r="K787" s="8" t="s">
        <v>1658</v>
      </c>
      <c r="L787" s="4">
        <v>5637298164</v>
      </c>
      <c r="M787" s="4" t="s">
        <v>375</v>
      </c>
      <c r="N787" s="4">
        <v>0</v>
      </c>
    </row>
    <row r="788" spans="1:14" x14ac:dyDescent="0.15">
      <c r="A788" s="8" t="s">
        <v>17</v>
      </c>
      <c r="B788" s="8" t="s">
        <v>1659</v>
      </c>
      <c r="C788" s="8" t="s">
        <v>19</v>
      </c>
      <c r="D788" s="8" t="s">
        <v>35</v>
      </c>
      <c r="E788" s="8" t="s">
        <v>160</v>
      </c>
      <c r="F788" s="8" t="s">
        <v>161</v>
      </c>
      <c r="G788" s="6">
        <v>43061</v>
      </c>
      <c r="H788" s="6">
        <v>43061</v>
      </c>
      <c r="I788" s="4">
        <v>1</v>
      </c>
      <c r="J788" s="8" t="s">
        <v>37</v>
      </c>
      <c r="K788" s="8" t="s">
        <v>1660</v>
      </c>
      <c r="L788" s="4">
        <v>5637298166</v>
      </c>
      <c r="M788" s="4" t="s">
        <v>375</v>
      </c>
      <c r="N788" s="4">
        <v>0</v>
      </c>
    </row>
    <row r="789" spans="1:14" x14ac:dyDescent="0.15">
      <c r="A789" s="8" t="s">
        <v>17</v>
      </c>
      <c r="B789" s="8" t="s">
        <v>1661</v>
      </c>
      <c r="C789" s="8" t="s">
        <v>23</v>
      </c>
      <c r="D789" s="8" t="s">
        <v>159</v>
      </c>
      <c r="E789" s="8" t="s">
        <v>160</v>
      </c>
      <c r="F789" s="8" t="s">
        <v>161</v>
      </c>
      <c r="G789" s="6">
        <v>43059</v>
      </c>
      <c r="H789" s="6">
        <v>43066</v>
      </c>
      <c r="I789" s="4">
        <v>210</v>
      </c>
      <c r="J789" s="8" t="s">
        <v>37</v>
      </c>
      <c r="K789" s="8" t="s">
        <v>1662</v>
      </c>
      <c r="L789" s="4">
        <v>5637298193</v>
      </c>
      <c r="M789" s="4"/>
      <c r="N789" s="4">
        <v>0</v>
      </c>
    </row>
    <row r="790" spans="1:14" x14ac:dyDescent="0.15">
      <c r="A790" s="8" t="s">
        <v>17</v>
      </c>
      <c r="B790" s="8" t="s">
        <v>1663</v>
      </c>
      <c r="C790" s="8" t="s">
        <v>129</v>
      </c>
      <c r="D790" s="8" t="s">
        <v>130</v>
      </c>
      <c r="E790" s="8" t="s">
        <v>160</v>
      </c>
      <c r="F790" s="8" t="s">
        <v>161</v>
      </c>
      <c r="G790" s="6">
        <v>43062</v>
      </c>
      <c r="H790" s="6">
        <v>43061</v>
      </c>
      <c r="I790" s="4">
        <v>4</v>
      </c>
      <c r="J790" s="8" t="s">
        <v>37</v>
      </c>
      <c r="K790" s="8" t="s">
        <v>1664</v>
      </c>
      <c r="L790" s="4">
        <v>5637298176</v>
      </c>
      <c r="M790" s="4"/>
      <c r="N790" s="4">
        <v>0</v>
      </c>
    </row>
    <row r="791" spans="1:14" x14ac:dyDescent="0.15">
      <c r="A791" s="8" t="s">
        <v>17</v>
      </c>
      <c r="B791" s="8" t="s">
        <v>1665</v>
      </c>
      <c r="C791" s="8" t="s">
        <v>101</v>
      </c>
      <c r="D791" s="8" t="s">
        <v>102</v>
      </c>
      <c r="E791" s="8" t="s">
        <v>160</v>
      </c>
      <c r="F791" s="8" t="s">
        <v>161</v>
      </c>
      <c r="G791" s="6">
        <v>43066</v>
      </c>
      <c r="H791" s="6">
        <v>43066</v>
      </c>
      <c r="I791" s="4">
        <v>1200</v>
      </c>
      <c r="J791" s="8" t="s">
        <v>39</v>
      </c>
      <c r="K791" s="8" t="s">
        <v>1666</v>
      </c>
      <c r="L791" s="4">
        <v>5637298183</v>
      </c>
      <c r="M791" s="4" t="s">
        <v>375</v>
      </c>
      <c r="N791" s="4">
        <v>0</v>
      </c>
    </row>
    <row r="792" spans="1:14" x14ac:dyDescent="0.15">
      <c r="A792" s="8" t="s">
        <v>17</v>
      </c>
      <c r="B792" s="8" t="s">
        <v>1665</v>
      </c>
      <c r="C792" s="8" t="s">
        <v>56</v>
      </c>
      <c r="D792" s="8" t="s">
        <v>126</v>
      </c>
      <c r="E792" s="8" t="s">
        <v>160</v>
      </c>
      <c r="F792" s="8" t="s">
        <v>161</v>
      </c>
      <c r="G792" s="6">
        <v>43066</v>
      </c>
      <c r="H792" s="6">
        <v>43066</v>
      </c>
      <c r="I792" s="4">
        <v>2250</v>
      </c>
      <c r="J792" s="8" t="s">
        <v>39</v>
      </c>
      <c r="K792" s="8" t="s">
        <v>1667</v>
      </c>
      <c r="L792" s="4">
        <v>5637298184</v>
      </c>
      <c r="M792" s="4" t="s">
        <v>375</v>
      </c>
      <c r="N792" s="4">
        <v>0</v>
      </c>
    </row>
    <row r="793" spans="1:14" x14ac:dyDescent="0.15">
      <c r="A793" s="8" t="s">
        <v>17</v>
      </c>
      <c r="B793" s="8" t="s">
        <v>1665</v>
      </c>
      <c r="C793" s="8" t="s">
        <v>57</v>
      </c>
      <c r="D793" s="8" t="s">
        <v>113</v>
      </c>
      <c r="E793" s="8" t="s">
        <v>160</v>
      </c>
      <c r="F793" s="8" t="s">
        <v>161</v>
      </c>
      <c r="G793" s="6">
        <v>43066</v>
      </c>
      <c r="H793" s="6">
        <v>43066</v>
      </c>
      <c r="I793" s="4">
        <v>250</v>
      </c>
      <c r="J793" s="8" t="s">
        <v>39</v>
      </c>
      <c r="K793" s="8" t="s">
        <v>1668</v>
      </c>
      <c r="L793" s="4">
        <v>5637298185</v>
      </c>
      <c r="M793" s="4" t="s">
        <v>375</v>
      </c>
      <c r="N793" s="4">
        <v>0</v>
      </c>
    </row>
    <row r="794" spans="1:14" x14ac:dyDescent="0.15">
      <c r="A794" s="8" t="s">
        <v>17</v>
      </c>
      <c r="B794" s="8" t="s">
        <v>1669</v>
      </c>
      <c r="C794" s="8" t="s">
        <v>19</v>
      </c>
      <c r="D794" s="8" t="s">
        <v>35</v>
      </c>
      <c r="E794" s="8" t="s">
        <v>160</v>
      </c>
      <c r="F794" s="8" t="s">
        <v>161</v>
      </c>
      <c r="G794" s="6">
        <v>43063</v>
      </c>
      <c r="H794" s="6">
        <v>43063</v>
      </c>
      <c r="I794" s="4">
        <v>1</v>
      </c>
      <c r="J794" s="8" t="s">
        <v>37</v>
      </c>
      <c r="K794" s="8" t="s">
        <v>1670</v>
      </c>
      <c r="L794" s="4">
        <v>5637298182</v>
      </c>
      <c r="M794" s="4" t="s">
        <v>375</v>
      </c>
      <c r="N794" s="4">
        <v>0</v>
      </c>
    </row>
    <row r="795" spans="1:14" x14ac:dyDescent="0.15">
      <c r="A795" s="8" t="s">
        <v>17</v>
      </c>
      <c r="B795" s="8" t="s">
        <v>1671</v>
      </c>
      <c r="C795" s="8" t="s">
        <v>114</v>
      </c>
      <c r="D795" s="8" t="s">
        <v>115</v>
      </c>
      <c r="E795" s="8" t="s">
        <v>160</v>
      </c>
      <c r="F795" s="8" t="s">
        <v>161</v>
      </c>
      <c r="G795" s="6">
        <v>43062</v>
      </c>
      <c r="H795" s="6">
        <v>43062</v>
      </c>
      <c r="I795" s="4">
        <v>6</v>
      </c>
      <c r="J795" s="8" t="s">
        <v>37</v>
      </c>
      <c r="K795" s="8" t="s">
        <v>1672</v>
      </c>
      <c r="L795" s="4">
        <v>5637298167</v>
      </c>
      <c r="M795" s="4"/>
      <c r="N795" s="4">
        <v>0</v>
      </c>
    </row>
    <row r="796" spans="1:14" ht="27" x14ac:dyDescent="0.15">
      <c r="A796" s="8" t="s">
        <v>17</v>
      </c>
      <c r="B796" s="8" t="s">
        <v>1673</v>
      </c>
      <c r="C796" s="8" t="s">
        <v>370</v>
      </c>
      <c r="D796" s="11" t="s">
        <v>371</v>
      </c>
      <c r="E796" s="8" t="s">
        <v>160</v>
      </c>
      <c r="F796" s="8" t="s">
        <v>161</v>
      </c>
      <c r="G796" s="6">
        <v>43069</v>
      </c>
      <c r="H796" s="6">
        <v>43069</v>
      </c>
      <c r="I796" s="4">
        <v>42</v>
      </c>
      <c r="J796" s="8" t="s">
        <v>37</v>
      </c>
      <c r="K796" s="8" t="s">
        <v>1674</v>
      </c>
      <c r="L796" s="4">
        <v>5637298205</v>
      </c>
      <c r="M796" s="4"/>
      <c r="N796" s="4">
        <v>0</v>
      </c>
    </row>
    <row r="797" spans="1:14" x14ac:dyDescent="0.15">
      <c r="A797" s="8" t="s">
        <v>17</v>
      </c>
      <c r="B797" s="8" t="s">
        <v>1675</v>
      </c>
      <c r="C797" s="8" t="s">
        <v>23</v>
      </c>
      <c r="D797" s="8" t="s">
        <v>159</v>
      </c>
      <c r="E797" s="8" t="s">
        <v>160</v>
      </c>
      <c r="F797" s="8" t="s">
        <v>161</v>
      </c>
      <c r="G797" s="6">
        <v>43062</v>
      </c>
      <c r="H797" s="6">
        <v>43068</v>
      </c>
      <c r="I797" s="4">
        <v>84</v>
      </c>
      <c r="J797" s="8" t="s">
        <v>37</v>
      </c>
      <c r="K797" s="8" t="s">
        <v>1676</v>
      </c>
      <c r="L797" s="4">
        <v>5637298210</v>
      </c>
      <c r="M797" s="4"/>
      <c r="N797" s="4">
        <v>0</v>
      </c>
    </row>
    <row r="798" spans="1:14" x14ac:dyDescent="0.15">
      <c r="A798" s="8" t="s">
        <v>17</v>
      </c>
      <c r="B798" s="8" t="s">
        <v>1677</v>
      </c>
      <c r="C798" s="8" t="s">
        <v>23</v>
      </c>
      <c r="D798" s="8" t="s">
        <v>159</v>
      </c>
      <c r="E798" s="8" t="s">
        <v>160</v>
      </c>
      <c r="F798" s="8" t="s">
        <v>161</v>
      </c>
      <c r="G798" s="6">
        <v>43062</v>
      </c>
      <c r="H798" s="6">
        <v>43068</v>
      </c>
      <c r="I798" s="4">
        <v>210</v>
      </c>
      <c r="J798" s="8" t="s">
        <v>37</v>
      </c>
      <c r="K798" s="8" t="s">
        <v>1678</v>
      </c>
      <c r="L798" s="4">
        <v>5637298211</v>
      </c>
      <c r="M798" s="4"/>
      <c r="N798" s="4">
        <v>0</v>
      </c>
    </row>
    <row r="799" spans="1:14" x14ac:dyDescent="0.15">
      <c r="A799" s="8" t="s">
        <v>17</v>
      </c>
      <c r="B799" s="8" t="s">
        <v>1677</v>
      </c>
      <c r="C799" s="8" t="s">
        <v>67</v>
      </c>
      <c r="D799" s="8" t="s">
        <v>162</v>
      </c>
      <c r="E799" s="8" t="s">
        <v>160</v>
      </c>
      <c r="F799" s="8" t="s">
        <v>161</v>
      </c>
      <c r="G799" s="6">
        <v>43062</v>
      </c>
      <c r="H799" s="6">
        <v>43068</v>
      </c>
      <c r="I799" s="4">
        <v>140</v>
      </c>
      <c r="J799" s="8" t="s">
        <v>37</v>
      </c>
      <c r="K799" s="8" t="s">
        <v>1679</v>
      </c>
      <c r="L799" s="4">
        <v>5637298212</v>
      </c>
      <c r="M799" s="4"/>
      <c r="N799" s="4">
        <v>0</v>
      </c>
    </row>
    <row r="800" spans="1:14" x14ac:dyDescent="0.15">
      <c r="A800" s="8" t="s">
        <v>17</v>
      </c>
      <c r="B800" s="8" t="s">
        <v>1680</v>
      </c>
      <c r="C800" s="8" t="s">
        <v>67</v>
      </c>
      <c r="D800" s="8" t="s">
        <v>162</v>
      </c>
      <c r="E800" s="8" t="s">
        <v>160</v>
      </c>
      <c r="F800" s="8" t="s">
        <v>161</v>
      </c>
      <c r="G800" s="6">
        <v>43062</v>
      </c>
      <c r="H800" s="6">
        <v>43068</v>
      </c>
      <c r="I800" s="4">
        <v>364</v>
      </c>
      <c r="J800" s="8" t="s">
        <v>37</v>
      </c>
      <c r="K800" s="8" t="s">
        <v>1681</v>
      </c>
      <c r="L800" s="4">
        <v>5637298213</v>
      </c>
      <c r="M800" s="4"/>
      <c r="N800" s="4">
        <v>0</v>
      </c>
    </row>
    <row r="801" spans="1:14" x14ac:dyDescent="0.15">
      <c r="A801" s="8" t="s">
        <v>17</v>
      </c>
      <c r="B801" s="8" t="s">
        <v>1682</v>
      </c>
      <c r="C801" s="8" t="s">
        <v>67</v>
      </c>
      <c r="D801" s="8" t="s">
        <v>162</v>
      </c>
      <c r="E801" s="8" t="s">
        <v>160</v>
      </c>
      <c r="F801" s="8" t="s">
        <v>161</v>
      </c>
      <c r="G801" s="6">
        <v>43062</v>
      </c>
      <c r="H801" s="6">
        <v>43068</v>
      </c>
      <c r="I801" s="4">
        <v>56</v>
      </c>
      <c r="J801" s="8" t="s">
        <v>37</v>
      </c>
      <c r="K801" s="8" t="s">
        <v>1683</v>
      </c>
      <c r="L801" s="4">
        <v>5637298214</v>
      </c>
      <c r="M801" s="4"/>
      <c r="N801" s="4">
        <v>0</v>
      </c>
    </row>
    <row r="802" spans="1:14" x14ac:dyDescent="0.15">
      <c r="A802" s="8" t="s">
        <v>17</v>
      </c>
      <c r="B802" s="8" t="s">
        <v>1684</v>
      </c>
      <c r="C802" s="8" t="s">
        <v>19</v>
      </c>
      <c r="D802" s="8" t="s">
        <v>35</v>
      </c>
      <c r="E802" s="8" t="s">
        <v>160</v>
      </c>
      <c r="F802" s="8" t="s">
        <v>161</v>
      </c>
      <c r="G802" s="6">
        <v>43069</v>
      </c>
      <c r="H802" s="6">
        <v>43069</v>
      </c>
      <c r="I802" s="4">
        <v>1</v>
      </c>
      <c r="J802" s="8" t="s">
        <v>37</v>
      </c>
      <c r="K802" s="8" t="s">
        <v>1685</v>
      </c>
      <c r="L802" s="4">
        <v>5637298201</v>
      </c>
      <c r="M802" s="4" t="s">
        <v>375</v>
      </c>
      <c r="N802" s="4">
        <v>0</v>
      </c>
    </row>
    <row r="803" spans="1:14" x14ac:dyDescent="0.15">
      <c r="A803" s="8" t="s">
        <v>17</v>
      </c>
      <c r="B803" s="8" t="s">
        <v>1686</v>
      </c>
      <c r="C803" s="8" t="s">
        <v>74</v>
      </c>
      <c r="D803" s="8" t="s">
        <v>283</v>
      </c>
      <c r="E803" s="8" t="s">
        <v>160</v>
      </c>
      <c r="F803" s="8" t="s">
        <v>161</v>
      </c>
      <c r="G803" s="6">
        <v>43069</v>
      </c>
      <c r="H803" s="6">
        <v>43069</v>
      </c>
      <c r="I803" s="4">
        <v>150</v>
      </c>
      <c r="J803" s="8" t="s">
        <v>39</v>
      </c>
      <c r="K803" s="8" t="s">
        <v>1687</v>
      </c>
      <c r="L803" s="4">
        <v>5637298198</v>
      </c>
      <c r="M803" s="4" t="s">
        <v>375</v>
      </c>
      <c r="N803" s="4">
        <v>0</v>
      </c>
    </row>
    <row r="804" spans="1:14" x14ac:dyDescent="0.15">
      <c r="A804" s="8" t="s">
        <v>17</v>
      </c>
      <c r="B804" s="8" t="s">
        <v>1686</v>
      </c>
      <c r="C804" s="8" t="s">
        <v>101</v>
      </c>
      <c r="D804" s="8" t="s">
        <v>102</v>
      </c>
      <c r="E804" s="8" t="s">
        <v>160</v>
      </c>
      <c r="F804" s="8" t="s">
        <v>161</v>
      </c>
      <c r="G804" s="6">
        <v>43069</v>
      </c>
      <c r="H804" s="6">
        <v>43069</v>
      </c>
      <c r="I804" s="4">
        <v>2604</v>
      </c>
      <c r="J804" s="8" t="s">
        <v>39</v>
      </c>
      <c r="K804" s="8" t="s">
        <v>1688</v>
      </c>
      <c r="L804" s="4">
        <v>5637298199</v>
      </c>
      <c r="M804" s="4" t="s">
        <v>375</v>
      </c>
      <c r="N804" s="4">
        <v>0</v>
      </c>
    </row>
    <row r="805" spans="1:14" x14ac:dyDescent="0.15">
      <c r="A805" s="8" t="s">
        <v>17</v>
      </c>
      <c r="B805" s="8" t="s">
        <v>1686</v>
      </c>
      <c r="C805" s="8" t="s">
        <v>56</v>
      </c>
      <c r="D805" s="8" t="s">
        <v>126</v>
      </c>
      <c r="E805" s="8" t="s">
        <v>160</v>
      </c>
      <c r="F805" s="8" t="s">
        <v>161</v>
      </c>
      <c r="G805" s="6">
        <v>43069</v>
      </c>
      <c r="H805" s="6">
        <v>43069</v>
      </c>
      <c r="I805" s="4">
        <v>650</v>
      </c>
      <c r="J805" s="8" t="s">
        <v>39</v>
      </c>
      <c r="K805" s="8" t="s">
        <v>1689</v>
      </c>
      <c r="L805" s="4">
        <v>5637298200</v>
      </c>
      <c r="M805" s="4" t="s">
        <v>375</v>
      </c>
      <c r="N805" s="4">
        <v>0</v>
      </c>
    </row>
    <row r="806" spans="1:14" x14ac:dyDescent="0.15">
      <c r="A806" s="8" t="s">
        <v>17</v>
      </c>
      <c r="B806" s="8" t="s">
        <v>1690</v>
      </c>
      <c r="C806" s="8" t="s">
        <v>175</v>
      </c>
      <c r="D806" s="8" t="s">
        <v>176</v>
      </c>
      <c r="E806" s="8" t="s">
        <v>160</v>
      </c>
      <c r="F806" s="8" t="s">
        <v>161</v>
      </c>
      <c r="G806" s="6">
        <v>43069</v>
      </c>
      <c r="H806" s="6">
        <v>43069</v>
      </c>
      <c r="I806" s="4">
        <v>18</v>
      </c>
      <c r="J806" s="8" t="s">
        <v>39</v>
      </c>
      <c r="K806" s="8" t="s">
        <v>1691</v>
      </c>
      <c r="L806" s="4">
        <v>5637298202</v>
      </c>
      <c r="M806" s="4" t="s">
        <v>375</v>
      </c>
      <c r="N806" s="4">
        <v>0</v>
      </c>
    </row>
    <row r="807" spans="1:14" x14ac:dyDescent="0.15">
      <c r="A807" s="8" t="s">
        <v>17</v>
      </c>
      <c r="B807" s="8" t="s">
        <v>1690</v>
      </c>
      <c r="C807" s="8" t="s">
        <v>175</v>
      </c>
      <c r="D807" s="8" t="s">
        <v>176</v>
      </c>
      <c r="E807" s="8" t="s">
        <v>160</v>
      </c>
      <c r="F807" s="8" t="s">
        <v>161</v>
      </c>
      <c r="G807" s="6">
        <v>43069</v>
      </c>
      <c r="H807" s="6">
        <v>43069</v>
      </c>
      <c r="I807" s="4">
        <v>18</v>
      </c>
      <c r="J807" s="8" t="s">
        <v>39</v>
      </c>
      <c r="K807" s="8" t="s">
        <v>1692</v>
      </c>
      <c r="L807" s="4">
        <v>5637298203</v>
      </c>
      <c r="M807" s="4" t="s">
        <v>375</v>
      </c>
      <c r="N807" s="4">
        <v>0</v>
      </c>
    </row>
    <row r="808" spans="1:14" x14ac:dyDescent="0.15">
      <c r="A808" s="8" t="s">
        <v>17</v>
      </c>
      <c r="B808" s="8" t="s">
        <v>1690</v>
      </c>
      <c r="C808" s="8" t="s">
        <v>175</v>
      </c>
      <c r="D808" s="8" t="s">
        <v>176</v>
      </c>
      <c r="E808" s="8" t="s">
        <v>160</v>
      </c>
      <c r="F808" s="8" t="s">
        <v>161</v>
      </c>
      <c r="G808" s="6">
        <v>43069</v>
      </c>
      <c r="H808" s="6">
        <v>43069</v>
      </c>
      <c r="I808" s="4">
        <v>32</v>
      </c>
      <c r="J808" s="8" t="s">
        <v>39</v>
      </c>
      <c r="K808" s="8" t="s">
        <v>1693</v>
      </c>
      <c r="L808" s="4">
        <v>5637298204</v>
      </c>
      <c r="M808" s="4" t="s">
        <v>375</v>
      </c>
      <c r="N808" s="4">
        <v>0</v>
      </c>
    </row>
    <row r="809" spans="1:14" x14ac:dyDescent="0.15">
      <c r="A809" s="8" t="s">
        <v>17</v>
      </c>
      <c r="B809" s="8" t="s">
        <v>1694</v>
      </c>
      <c r="C809" s="8" t="s">
        <v>214</v>
      </c>
      <c r="D809" s="8" t="s">
        <v>215</v>
      </c>
      <c r="E809" s="8" t="s">
        <v>160</v>
      </c>
      <c r="F809" s="8" t="s">
        <v>161</v>
      </c>
      <c r="G809" s="6">
        <v>43069</v>
      </c>
      <c r="H809" s="6">
        <v>43069</v>
      </c>
      <c r="I809" s="4">
        <v>1</v>
      </c>
      <c r="J809" s="8" t="s">
        <v>37</v>
      </c>
      <c r="K809" s="8" t="s">
        <v>1695</v>
      </c>
      <c r="L809" s="4">
        <v>5637298026</v>
      </c>
      <c r="M809" s="4"/>
      <c r="N809" s="4">
        <v>0</v>
      </c>
    </row>
    <row r="810" spans="1:14" x14ac:dyDescent="0.15">
      <c r="A810" s="8" t="s">
        <v>17</v>
      </c>
      <c r="B810" s="8" t="s">
        <v>1696</v>
      </c>
      <c r="C810" s="8" t="s">
        <v>67</v>
      </c>
      <c r="D810" s="8" t="s">
        <v>162</v>
      </c>
      <c r="E810" s="8" t="s">
        <v>160</v>
      </c>
      <c r="F810" s="8" t="s">
        <v>161</v>
      </c>
      <c r="G810" s="6">
        <v>43076</v>
      </c>
      <c r="H810" s="6">
        <v>43087</v>
      </c>
      <c r="I810" s="4">
        <v>56</v>
      </c>
      <c r="J810" s="8" t="s">
        <v>37</v>
      </c>
      <c r="K810" s="8" t="s">
        <v>1697</v>
      </c>
      <c r="L810" s="4">
        <v>5637298222</v>
      </c>
      <c r="M810" s="4"/>
      <c r="N810" s="4">
        <v>0</v>
      </c>
    </row>
    <row r="811" spans="1:14" x14ac:dyDescent="0.15">
      <c r="A811" s="8" t="s">
        <v>17</v>
      </c>
      <c r="B811" s="8" t="s">
        <v>1698</v>
      </c>
      <c r="C811" s="8" t="s">
        <v>67</v>
      </c>
      <c r="D811" s="8" t="s">
        <v>162</v>
      </c>
      <c r="E811" s="8" t="s">
        <v>160</v>
      </c>
      <c r="F811" s="8" t="s">
        <v>161</v>
      </c>
      <c r="G811" s="6">
        <v>43076</v>
      </c>
      <c r="H811" s="6">
        <v>43087</v>
      </c>
      <c r="I811" s="4">
        <v>56</v>
      </c>
      <c r="J811" s="8" t="s">
        <v>37</v>
      </c>
      <c r="K811" s="8" t="s">
        <v>1699</v>
      </c>
      <c r="L811" s="4">
        <v>5637298223</v>
      </c>
      <c r="M811" s="4"/>
      <c r="N811" s="4">
        <v>0</v>
      </c>
    </row>
    <row r="812" spans="1:14" x14ac:dyDescent="0.15">
      <c r="A812" s="8" t="s">
        <v>843</v>
      </c>
      <c r="B812" s="8" t="s">
        <v>844</v>
      </c>
      <c r="C812" s="8" t="s">
        <v>52</v>
      </c>
      <c r="D812" s="8" t="s">
        <v>96</v>
      </c>
      <c r="E812" s="8" t="s">
        <v>160</v>
      </c>
      <c r="F812" s="8" t="s">
        <v>161</v>
      </c>
      <c r="G812" s="6">
        <v>42909</v>
      </c>
      <c r="H812" s="6">
        <v>42909</v>
      </c>
      <c r="I812" s="4">
        <v>-10</v>
      </c>
      <c r="J812" s="8" t="s">
        <v>38</v>
      </c>
      <c r="K812" s="8" t="s">
        <v>845</v>
      </c>
      <c r="L812" s="4"/>
      <c r="M812" s="4"/>
      <c r="N812" s="4"/>
    </row>
    <row r="813" spans="1:14" x14ac:dyDescent="0.15">
      <c r="A813" s="8" t="s">
        <v>843</v>
      </c>
      <c r="B813" s="8" t="s">
        <v>844</v>
      </c>
      <c r="C813" s="8" t="s">
        <v>52</v>
      </c>
      <c r="D813" s="8" t="s">
        <v>96</v>
      </c>
      <c r="E813" s="8" t="s">
        <v>160</v>
      </c>
      <c r="F813" s="8" t="s">
        <v>161</v>
      </c>
      <c r="G813" s="6">
        <v>42909</v>
      </c>
      <c r="H813" s="6">
        <v>42909</v>
      </c>
      <c r="I813" s="4">
        <v>-3.9</v>
      </c>
      <c r="J813" s="8" t="s">
        <v>38</v>
      </c>
      <c r="K813" s="8" t="s">
        <v>846</v>
      </c>
      <c r="L813" s="4"/>
      <c r="M813" s="4"/>
      <c r="N813" s="4"/>
    </row>
    <row r="814" spans="1:14" ht="27" x14ac:dyDescent="0.15">
      <c r="A814" s="8" t="s">
        <v>843</v>
      </c>
      <c r="B814" s="8" t="s">
        <v>844</v>
      </c>
      <c r="C814" s="8" t="s">
        <v>136</v>
      </c>
      <c r="D814" s="11" t="s">
        <v>174</v>
      </c>
      <c r="E814" s="8" t="s">
        <v>160</v>
      </c>
      <c r="F814" s="8" t="s">
        <v>161</v>
      </c>
      <c r="G814" s="6">
        <v>42909</v>
      </c>
      <c r="H814" s="6">
        <v>42909</v>
      </c>
      <c r="I814" s="4">
        <v>-10</v>
      </c>
      <c r="J814" s="8" t="s">
        <v>38</v>
      </c>
      <c r="K814" s="8" t="s">
        <v>847</v>
      </c>
      <c r="L814" s="4"/>
      <c r="M814" s="4"/>
      <c r="N814" s="4"/>
    </row>
    <row r="815" spans="1:14" ht="27" x14ac:dyDescent="0.15">
      <c r="A815" s="8" t="s">
        <v>843</v>
      </c>
      <c r="B815" s="8" t="s">
        <v>844</v>
      </c>
      <c r="C815" s="8" t="s">
        <v>136</v>
      </c>
      <c r="D815" s="11" t="s">
        <v>174</v>
      </c>
      <c r="E815" s="8" t="s">
        <v>160</v>
      </c>
      <c r="F815" s="8" t="s">
        <v>161</v>
      </c>
      <c r="G815" s="6">
        <v>42909</v>
      </c>
      <c r="H815" s="6">
        <v>42909</v>
      </c>
      <c r="I815" s="4">
        <v>-3.9</v>
      </c>
      <c r="J815" s="8" t="s">
        <v>38</v>
      </c>
      <c r="K815" s="8" t="s">
        <v>848</v>
      </c>
      <c r="L815" s="4"/>
      <c r="M815" s="4"/>
      <c r="N815" s="4"/>
    </row>
    <row r="816" spans="1:14" x14ac:dyDescent="0.15">
      <c r="A816" s="8" t="s">
        <v>843</v>
      </c>
      <c r="B816" s="8" t="s">
        <v>844</v>
      </c>
      <c r="C816" s="8" t="s">
        <v>175</v>
      </c>
      <c r="D816" s="8" t="s">
        <v>176</v>
      </c>
      <c r="E816" s="8" t="s">
        <v>160</v>
      </c>
      <c r="F816" s="8" t="s">
        <v>161</v>
      </c>
      <c r="G816" s="6">
        <v>42909</v>
      </c>
      <c r="H816" s="6">
        <v>42909</v>
      </c>
      <c r="I816" s="4">
        <v>-140</v>
      </c>
      <c r="J816" s="8" t="s">
        <v>39</v>
      </c>
      <c r="K816" s="8" t="s">
        <v>849</v>
      </c>
      <c r="L816" s="4"/>
      <c r="M816" s="4"/>
      <c r="N816" s="4"/>
    </row>
    <row r="817" spans="1:14" x14ac:dyDescent="0.15">
      <c r="A817" s="8" t="s">
        <v>843</v>
      </c>
      <c r="B817" s="8" t="s">
        <v>844</v>
      </c>
      <c r="C817" s="8" t="s">
        <v>23</v>
      </c>
      <c r="D817" s="8" t="s">
        <v>159</v>
      </c>
      <c r="E817" s="8" t="s">
        <v>160</v>
      </c>
      <c r="F817" s="8" t="s">
        <v>161</v>
      </c>
      <c r="G817" s="6">
        <v>42909</v>
      </c>
      <c r="H817" s="6">
        <v>42909</v>
      </c>
      <c r="I817" s="4">
        <v>-1</v>
      </c>
      <c r="J817" s="8" t="s">
        <v>37</v>
      </c>
      <c r="K817" s="8" t="s">
        <v>850</v>
      </c>
      <c r="L817" s="4"/>
      <c r="M817" s="4"/>
      <c r="N817" s="4"/>
    </row>
    <row r="818" spans="1:14" x14ac:dyDescent="0.15">
      <c r="A818" s="8" t="s">
        <v>843</v>
      </c>
      <c r="B818" s="8" t="s">
        <v>851</v>
      </c>
      <c r="C818" s="8" t="s">
        <v>175</v>
      </c>
      <c r="D818" s="8" t="s">
        <v>176</v>
      </c>
      <c r="E818" s="8" t="s">
        <v>160</v>
      </c>
      <c r="F818" s="8" t="s">
        <v>161</v>
      </c>
      <c r="G818" s="6">
        <v>42913</v>
      </c>
      <c r="H818" s="6">
        <v>42913</v>
      </c>
      <c r="I818" s="4">
        <v>-202</v>
      </c>
      <c r="J818" s="8" t="s">
        <v>39</v>
      </c>
      <c r="K818" s="8" t="s">
        <v>852</v>
      </c>
      <c r="L818" s="4"/>
      <c r="M818" s="4"/>
      <c r="N818" s="4"/>
    </row>
    <row r="819" spans="1:14" x14ac:dyDescent="0.15">
      <c r="A819" s="8" t="s">
        <v>843</v>
      </c>
      <c r="B819" s="8" t="s">
        <v>853</v>
      </c>
      <c r="C819" s="8" t="s">
        <v>65</v>
      </c>
      <c r="D819" s="8" t="s">
        <v>172</v>
      </c>
      <c r="E819" s="8" t="s">
        <v>160</v>
      </c>
      <c r="F819" s="8" t="s">
        <v>161</v>
      </c>
      <c r="G819" s="6">
        <v>42916</v>
      </c>
      <c r="H819" s="6">
        <v>42916</v>
      </c>
      <c r="I819" s="4">
        <v>1</v>
      </c>
      <c r="J819" s="8" t="s">
        <v>37</v>
      </c>
      <c r="K819" s="8" t="s">
        <v>854</v>
      </c>
      <c r="L819" s="4"/>
      <c r="M819" s="4"/>
      <c r="N819" s="4"/>
    </row>
    <row r="820" spans="1:14" x14ac:dyDescent="0.15">
      <c r="A820" s="8" t="s">
        <v>843</v>
      </c>
      <c r="B820" s="8" t="s">
        <v>1700</v>
      </c>
      <c r="C820" s="8" t="s">
        <v>103</v>
      </c>
      <c r="D820" s="8" t="s">
        <v>104</v>
      </c>
      <c r="E820" s="8" t="s">
        <v>160</v>
      </c>
      <c r="F820" s="8" t="s">
        <v>161</v>
      </c>
      <c r="G820" s="6">
        <v>42978</v>
      </c>
      <c r="H820" s="6">
        <v>42978</v>
      </c>
      <c r="I820" s="4">
        <v>-75</v>
      </c>
      <c r="J820" s="8" t="s">
        <v>37</v>
      </c>
      <c r="K820" s="8" t="s">
        <v>1701</v>
      </c>
      <c r="L820" s="4"/>
      <c r="M820" s="4"/>
      <c r="N820" s="4"/>
    </row>
    <row r="821" spans="1:14" x14ac:dyDescent="0.15">
      <c r="A821" s="8" t="s">
        <v>843</v>
      </c>
      <c r="B821" s="8" t="s">
        <v>1702</v>
      </c>
      <c r="C821" s="8" t="s">
        <v>175</v>
      </c>
      <c r="D821" s="8" t="s">
        <v>176</v>
      </c>
      <c r="E821" s="8" t="s">
        <v>160</v>
      </c>
      <c r="F821" s="8" t="s">
        <v>161</v>
      </c>
      <c r="G821" s="6">
        <v>43087</v>
      </c>
      <c r="H821" s="6">
        <v>43087</v>
      </c>
      <c r="I821" s="4">
        <v>-18</v>
      </c>
      <c r="J821" s="8" t="s">
        <v>39</v>
      </c>
      <c r="K821" s="8" t="s">
        <v>1703</v>
      </c>
      <c r="L821" s="4"/>
      <c r="M821" s="4"/>
      <c r="N821" s="4"/>
    </row>
    <row r="822" spans="1:14" x14ac:dyDescent="0.15">
      <c r="A822" s="8" t="s">
        <v>843</v>
      </c>
      <c r="B822" s="8" t="s">
        <v>1702</v>
      </c>
      <c r="C822" s="8" t="s">
        <v>175</v>
      </c>
      <c r="D822" s="8" t="s">
        <v>176</v>
      </c>
      <c r="E822" s="8" t="s">
        <v>160</v>
      </c>
      <c r="F822" s="8" t="s">
        <v>161</v>
      </c>
      <c r="G822" s="6">
        <v>43087</v>
      </c>
      <c r="H822" s="6">
        <v>43087</v>
      </c>
      <c r="I822" s="4">
        <v>-18</v>
      </c>
      <c r="J822" s="8" t="s">
        <v>39</v>
      </c>
      <c r="K822" s="8" t="s">
        <v>1704</v>
      </c>
      <c r="L822" s="4"/>
      <c r="M822" s="4"/>
      <c r="N822" s="4"/>
    </row>
    <row r="823" spans="1:14" x14ac:dyDescent="0.15">
      <c r="A823" s="8" t="s">
        <v>843</v>
      </c>
      <c r="B823" s="8" t="s">
        <v>1702</v>
      </c>
      <c r="C823" s="8" t="s">
        <v>175</v>
      </c>
      <c r="D823" s="8" t="s">
        <v>176</v>
      </c>
      <c r="E823" s="8" t="s">
        <v>160</v>
      </c>
      <c r="F823" s="8" t="s">
        <v>161</v>
      </c>
      <c r="G823" s="6">
        <v>43087</v>
      </c>
      <c r="H823" s="6">
        <v>43087</v>
      </c>
      <c r="I823" s="4">
        <v>-32</v>
      </c>
      <c r="J823" s="8" t="s">
        <v>39</v>
      </c>
      <c r="K823" s="8" t="s">
        <v>1705</v>
      </c>
      <c r="L823" s="4"/>
      <c r="M823" s="4"/>
      <c r="N823" s="4"/>
    </row>
    <row r="824" spans="1:14" x14ac:dyDescent="0.15">
      <c r="A824" s="8" t="s">
        <v>843</v>
      </c>
      <c r="B824" s="8" t="s">
        <v>1706</v>
      </c>
      <c r="C824" s="8" t="s">
        <v>138</v>
      </c>
      <c r="D824" s="8" t="s">
        <v>255</v>
      </c>
      <c r="E824" s="8" t="s">
        <v>160</v>
      </c>
      <c r="F824" s="8" t="s">
        <v>161</v>
      </c>
      <c r="G824" s="6">
        <v>43088</v>
      </c>
      <c r="H824" s="6">
        <v>43088</v>
      </c>
      <c r="I824" s="4">
        <v>-240</v>
      </c>
      <c r="J824" s="8" t="s">
        <v>37</v>
      </c>
      <c r="K824" s="8" t="s">
        <v>1707</v>
      </c>
      <c r="L824" s="4"/>
      <c r="M824" s="4"/>
      <c r="N824" s="4"/>
    </row>
    <row r="825" spans="1:14" x14ac:dyDescent="0.15">
      <c r="A825" s="8" t="s">
        <v>843</v>
      </c>
      <c r="B825" s="8" t="s">
        <v>1706</v>
      </c>
      <c r="C825" s="8" t="s">
        <v>139</v>
      </c>
      <c r="D825" s="8" t="s">
        <v>256</v>
      </c>
      <c r="E825" s="8" t="s">
        <v>160</v>
      </c>
      <c r="F825" s="8" t="s">
        <v>161</v>
      </c>
      <c r="G825" s="6">
        <v>43088</v>
      </c>
      <c r="H825" s="6">
        <v>43088</v>
      </c>
      <c r="I825" s="4">
        <v>-1900</v>
      </c>
      <c r="J825" s="8" t="s">
        <v>37</v>
      </c>
      <c r="K825" s="8" t="s">
        <v>1708</v>
      </c>
      <c r="L825" s="4"/>
      <c r="M825" s="4"/>
      <c r="N825" s="4"/>
    </row>
    <row r="826" spans="1:14" ht="27" x14ac:dyDescent="0.15">
      <c r="A826" s="8" t="s">
        <v>855</v>
      </c>
      <c r="B826" s="8" t="s">
        <v>81</v>
      </c>
      <c r="C826" s="8" t="s">
        <v>136</v>
      </c>
      <c r="D826" s="11" t="s">
        <v>174</v>
      </c>
      <c r="E826" s="8" t="s">
        <v>160</v>
      </c>
      <c r="F826" s="8" t="s">
        <v>81</v>
      </c>
      <c r="G826" s="6">
        <v>42985</v>
      </c>
      <c r="H826" s="6">
        <v>42985</v>
      </c>
      <c r="I826" s="4">
        <v>0</v>
      </c>
      <c r="J826" s="8" t="s">
        <v>38</v>
      </c>
      <c r="K826" s="8" t="s">
        <v>1709</v>
      </c>
      <c r="L826" s="4"/>
      <c r="M826" s="4"/>
      <c r="N826" s="4"/>
    </row>
    <row r="827" spans="1:14" ht="27" x14ac:dyDescent="0.15">
      <c r="A827" s="8" t="s">
        <v>855</v>
      </c>
      <c r="B827" s="8" t="s">
        <v>81</v>
      </c>
      <c r="C827" s="8" t="s">
        <v>136</v>
      </c>
      <c r="D827" s="11" t="s">
        <v>174</v>
      </c>
      <c r="E827" s="8" t="s">
        <v>160</v>
      </c>
      <c r="F827" s="8" t="s">
        <v>81</v>
      </c>
      <c r="G827" s="6">
        <v>43056</v>
      </c>
      <c r="H827" s="6">
        <v>43056</v>
      </c>
      <c r="I827" s="4">
        <v>0</v>
      </c>
      <c r="J827" s="8" t="s">
        <v>38</v>
      </c>
      <c r="K827" s="8" t="s">
        <v>1710</v>
      </c>
      <c r="L827" s="4"/>
      <c r="M827" s="4"/>
      <c r="N827" s="4"/>
    </row>
    <row r="828" spans="1:14" x14ac:dyDescent="0.15">
      <c r="A828" s="8" t="s">
        <v>855</v>
      </c>
      <c r="B828" s="8" t="s">
        <v>81</v>
      </c>
      <c r="C828" s="8" t="s">
        <v>71</v>
      </c>
      <c r="D828" s="8" t="s">
        <v>269</v>
      </c>
      <c r="E828" s="8" t="s">
        <v>160</v>
      </c>
      <c r="F828" s="8" t="s">
        <v>81</v>
      </c>
      <c r="G828" s="6">
        <v>43039</v>
      </c>
      <c r="H828" s="6">
        <v>43039</v>
      </c>
      <c r="I828" s="4">
        <v>0</v>
      </c>
      <c r="J828" s="8" t="s">
        <v>38</v>
      </c>
      <c r="K828" s="8" t="s">
        <v>1711</v>
      </c>
      <c r="L828" s="4"/>
      <c r="M828" s="4"/>
      <c r="N828" s="4"/>
    </row>
    <row r="829" spans="1:14" x14ac:dyDescent="0.15">
      <c r="A829" s="8" t="s">
        <v>855</v>
      </c>
      <c r="B829" s="8" t="s">
        <v>81</v>
      </c>
      <c r="C829" s="8" t="s">
        <v>25</v>
      </c>
      <c r="D829" s="8" t="s">
        <v>31</v>
      </c>
      <c r="E829" s="8" t="s">
        <v>160</v>
      </c>
      <c r="F829" s="8" t="s">
        <v>81</v>
      </c>
      <c r="G829" s="6">
        <v>42879</v>
      </c>
      <c r="H829" s="6">
        <v>42879</v>
      </c>
      <c r="I829" s="4">
        <v>0</v>
      </c>
      <c r="J829" s="8" t="s">
        <v>38</v>
      </c>
      <c r="K829" s="8" t="s">
        <v>856</v>
      </c>
      <c r="L829" s="4"/>
      <c r="M829" s="4"/>
      <c r="N829" s="4"/>
    </row>
    <row r="830" spans="1:14" x14ac:dyDescent="0.15">
      <c r="A830" s="8" t="s">
        <v>855</v>
      </c>
      <c r="B830" s="8" t="s">
        <v>81</v>
      </c>
      <c r="C830" s="8" t="s">
        <v>72</v>
      </c>
      <c r="D830" s="8" t="s">
        <v>31</v>
      </c>
      <c r="E830" s="8" t="s">
        <v>160</v>
      </c>
      <c r="F830" s="8" t="s">
        <v>81</v>
      </c>
      <c r="G830" s="6">
        <v>42997</v>
      </c>
      <c r="H830" s="6">
        <v>42997</v>
      </c>
      <c r="I830" s="4">
        <v>0</v>
      </c>
      <c r="J830" s="8" t="s">
        <v>38</v>
      </c>
      <c r="K830" s="8" t="s">
        <v>1712</v>
      </c>
      <c r="L830" s="4"/>
      <c r="M830" s="4"/>
      <c r="N830" s="4"/>
    </row>
    <row r="831" spans="1:14" x14ac:dyDescent="0.15">
      <c r="A831" s="8" t="s">
        <v>855</v>
      </c>
      <c r="B831" s="8" t="s">
        <v>81</v>
      </c>
      <c r="C831" s="8" t="s">
        <v>72</v>
      </c>
      <c r="D831" s="8" t="s">
        <v>31</v>
      </c>
      <c r="E831" s="8" t="s">
        <v>160</v>
      </c>
      <c r="F831" s="8" t="s">
        <v>81</v>
      </c>
      <c r="G831" s="6">
        <v>43012</v>
      </c>
      <c r="H831" s="6">
        <v>43012</v>
      </c>
      <c r="I831" s="4">
        <v>0</v>
      </c>
      <c r="J831" s="8" t="s">
        <v>38</v>
      </c>
      <c r="K831" s="8" t="s">
        <v>1713</v>
      </c>
      <c r="L831" s="4"/>
      <c r="M831" s="4"/>
      <c r="N831" s="4"/>
    </row>
    <row r="832" spans="1:14" x14ac:dyDescent="0.15">
      <c r="A832" s="8" t="s">
        <v>855</v>
      </c>
      <c r="B832" s="8" t="s">
        <v>81</v>
      </c>
      <c r="C832" s="8" t="s">
        <v>73</v>
      </c>
      <c r="D832" s="8" t="s">
        <v>125</v>
      </c>
      <c r="E832" s="8" t="s">
        <v>160</v>
      </c>
      <c r="F832" s="8" t="s">
        <v>81</v>
      </c>
      <c r="G832" s="6">
        <v>42843</v>
      </c>
      <c r="H832" s="6">
        <v>42843</v>
      </c>
      <c r="I832" s="4">
        <v>0</v>
      </c>
      <c r="J832" s="8" t="s">
        <v>38</v>
      </c>
      <c r="K832" s="8" t="s">
        <v>857</v>
      </c>
      <c r="L832" s="4"/>
      <c r="M832" s="4"/>
      <c r="N832" s="4"/>
    </row>
    <row r="833" spans="1:14" x14ac:dyDescent="0.15">
      <c r="A833" s="8" t="s">
        <v>855</v>
      </c>
      <c r="B833" s="8" t="s">
        <v>81</v>
      </c>
      <c r="C833" s="8" t="s">
        <v>142</v>
      </c>
      <c r="D833" s="8" t="s">
        <v>206</v>
      </c>
      <c r="E833" s="8" t="s">
        <v>160</v>
      </c>
      <c r="F833" s="8" t="s">
        <v>81</v>
      </c>
      <c r="G833" s="6">
        <v>42851</v>
      </c>
      <c r="H833" s="6">
        <v>42851</v>
      </c>
      <c r="I833" s="4">
        <v>0</v>
      </c>
      <c r="J833" s="8" t="s">
        <v>38</v>
      </c>
      <c r="K833" s="8" t="s">
        <v>858</v>
      </c>
      <c r="L833" s="4"/>
      <c r="M833" s="4"/>
      <c r="N833" s="4"/>
    </row>
    <row r="834" spans="1:14" x14ac:dyDescent="0.15">
      <c r="A834" s="8" t="s">
        <v>855</v>
      </c>
      <c r="B834" s="8" t="s">
        <v>81</v>
      </c>
      <c r="C834" s="8" t="s">
        <v>142</v>
      </c>
      <c r="D834" s="8" t="s">
        <v>206</v>
      </c>
      <c r="E834" s="8" t="s">
        <v>160</v>
      </c>
      <c r="F834" s="8" t="s">
        <v>81</v>
      </c>
      <c r="G834" s="6">
        <v>42942</v>
      </c>
      <c r="H834" s="6">
        <v>42942</v>
      </c>
      <c r="I834" s="4">
        <v>0</v>
      </c>
      <c r="J834" s="8" t="s">
        <v>38</v>
      </c>
      <c r="K834" s="8" t="s">
        <v>1714</v>
      </c>
      <c r="L834" s="4"/>
      <c r="M834" s="4"/>
      <c r="N834" s="4"/>
    </row>
    <row r="835" spans="1:14" x14ac:dyDescent="0.15">
      <c r="A835" s="8" t="s">
        <v>855</v>
      </c>
      <c r="B835" s="8" t="s">
        <v>81</v>
      </c>
      <c r="C835" s="8" t="s">
        <v>15</v>
      </c>
      <c r="D835" s="8" t="s">
        <v>32</v>
      </c>
      <c r="E835" s="8" t="s">
        <v>160</v>
      </c>
      <c r="F835" s="8" t="s">
        <v>81</v>
      </c>
      <c r="G835" s="6">
        <v>42851</v>
      </c>
      <c r="H835" s="6">
        <v>42851</v>
      </c>
      <c r="I835" s="4">
        <v>0</v>
      </c>
      <c r="J835" s="8" t="s">
        <v>38</v>
      </c>
      <c r="K835" s="8" t="s">
        <v>859</v>
      </c>
      <c r="L835" s="4"/>
      <c r="M835" s="4"/>
      <c r="N835" s="4"/>
    </row>
    <row r="836" spans="1:14" x14ac:dyDescent="0.15">
      <c r="A836" s="8" t="s">
        <v>855</v>
      </c>
      <c r="B836" s="8" t="s">
        <v>81</v>
      </c>
      <c r="C836" s="8" t="s">
        <v>15</v>
      </c>
      <c r="D836" s="8" t="s">
        <v>32</v>
      </c>
      <c r="E836" s="8" t="s">
        <v>160</v>
      </c>
      <c r="F836" s="8" t="s">
        <v>81</v>
      </c>
      <c r="G836" s="6">
        <v>42915</v>
      </c>
      <c r="H836" s="6">
        <v>42915</v>
      </c>
      <c r="I836" s="4">
        <v>0</v>
      </c>
      <c r="J836" s="8" t="s">
        <v>38</v>
      </c>
      <c r="K836" s="8" t="s">
        <v>860</v>
      </c>
      <c r="L836" s="4"/>
      <c r="M836" s="4"/>
      <c r="N836" s="4"/>
    </row>
    <row r="837" spans="1:14" x14ac:dyDescent="0.15">
      <c r="A837" s="8" t="s">
        <v>855</v>
      </c>
      <c r="B837" s="8" t="s">
        <v>81</v>
      </c>
      <c r="C837" s="8" t="s">
        <v>15</v>
      </c>
      <c r="D837" s="8" t="s">
        <v>32</v>
      </c>
      <c r="E837" s="8" t="s">
        <v>160</v>
      </c>
      <c r="F837" s="8" t="s">
        <v>81</v>
      </c>
      <c r="G837" s="6">
        <v>42947</v>
      </c>
      <c r="H837" s="6">
        <v>42947</v>
      </c>
      <c r="I837" s="4">
        <v>0</v>
      </c>
      <c r="J837" s="8" t="s">
        <v>38</v>
      </c>
      <c r="K837" s="8" t="s">
        <v>1715</v>
      </c>
      <c r="L837" s="4"/>
      <c r="M837" s="4"/>
      <c r="N837" s="4"/>
    </row>
    <row r="838" spans="1:14" x14ac:dyDescent="0.15">
      <c r="A838" s="8" t="s">
        <v>855</v>
      </c>
      <c r="B838" s="8" t="s">
        <v>81</v>
      </c>
      <c r="C838" s="8" t="s">
        <v>15</v>
      </c>
      <c r="D838" s="8" t="s">
        <v>32</v>
      </c>
      <c r="E838" s="8" t="s">
        <v>160</v>
      </c>
      <c r="F838" s="8" t="s">
        <v>81</v>
      </c>
      <c r="G838" s="6">
        <v>43008</v>
      </c>
      <c r="H838" s="6">
        <v>43008</v>
      </c>
      <c r="I838" s="4">
        <v>0</v>
      </c>
      <c r="J838" s="8" t="s">
        <v>38</v>
      </c>
      <c r="K838" s="8" t="s">
        <v>1716</v>
      </c>
      <c r="L838" s="4"/>
      <c r="M838" s="4"/>
      <c r="N838" s="4"/>
    </row>
    <row r="839" spans="1:14" x14ac:dyDescent="0.15">
      <c r="A839" s="8" t="s">
        <v>855</v>
      </c>
      <c r="B839" s="8" t="s">
        <v>81</v>
      </c>
      <c r="C839" s="8" t="s">
        <v>27</v>
      </c>
      <c r="D839" s="8" t="s">
        <v>32</v>
      </c>
      <c r="E839" s="8" t="s">
        <v>160</v>
      </c>
      <c r="F839" s="8" t="s">
        <v>81</v>
      </c>
      <c r="G839" s="6">
        <v>42947</v>
      </c>
      <c r="H839" s="6">
        <v>42947</v>
      </c>
      <c r="I839" s="4">
        <v>0</v>
      </c>
      <c r="J839" s="8" t="s">
        <v>38</v>
      </c>
      <c r="K839" s="8" t="s">
        <v>1717</v>
      </c>
      <c r="L839" s="4"/>
      <c r="M839" s="4"/>
      <c r="N839" s="4"/>
    </row>
    <row r="840" spans="1:14" x14ac:dyDescent="0.15">
      <c r="A840" s="8" t="s">
        <v>855</v>
      </c>
      <c r="B840" s="8" t="s">
        <v>81</v>
      </c>
      <c r="C840" s="8" t="s">
        <v>27</v>
      </c>
      <c r="D840" s="8" t="s">
        <v>32</v>
      </c>
      <c r="E840" s="8" t="s">
        <v>160</v>
      </c>
      <c r="F840" s="8" t="s">
        <v>81</v>
      </c>
      <c r="G840" s="6">
        <v>43027</v>
      </c>
      <c r="H840" s="6">
        <v>43027</v>
      </c>
      <c r="I840" s="4">
        <v>0</v>
      </c>
      <c r="J840" s="8" t="s">
        <v>38</v>
      </c>
      <c r="K840" s="8" t="s">
        <v>1718</v>
      </c>
      <c r="L840" s="4"/>
      <c r="M840" s="4"/>
      <c r="N840" s="4"/>
    </row>
    <row r="841" spans="1:14" x14ac:dyDescent="0.15">
      <c r="A841" s="8" t="s">
        <v>855</v>
      </c>
      <c r="B841" s="8" t="s">
        <v>81</v>
      </c>
      <c r="C841" s="8" t="s">
        <v>16</v>
      </c>
      <c r="D841" s="8" t="s">
        <v>32</v>
      </c>
      <c r="E841" s="8" t="s">
        <v>160</v>
      </c>
      <c r="F841" s="8" t="s">
        <v>81</v>
      </c>
      <c r="G841" s="6">
        <v>42851</v>
      </c>
      <c r="H841" s="6">
        <v>42851</v>
      </c>
      <c r="I841" s="4">
        <v>0</v>
      </c>
      <c r="J841" s="8" t="s">
        <v>38</v>
      </c>
      <c r="K841" s="8" t="s">
        <v>861</v>
      </c>
      <c r="L841" s="4"/>
      <c r="M841" s="4"/>
      <c r="N841" s="4"/>
    </row>
    <row r="842" spans="1:14" x14ac:dyDescent="0.15">
      <c r="A842" s="8" t="s">
        <v>855</v>
      </c>
      <c r="B842" s="8" t="s">
        <v>81</v>
      </c>
      <c r="C842" s="8" t="s">
        <v>144</v>
      </c>
      <c r="D842" s="8" t="s">
        <v>211</v>
      </c>
      <c r="E842" s="8" t="s">
        <v>160</v>
      </c>
      <c r="F842" s="8" t="s">
        <v>81</v>
      </c>
      <c r="G842" s="6">
        <v>43063</v>
      </c>
      <c r="H842" s="6">
        <v>43063</v>
      </c>
      <c r="I842" s="4">
        <v>0</v>
      </c>
      <c r="J842" s="8" t="s">
        <v>38</v>
      </c>
      <c r="K842" s="8" t="s">
        <v>1719</v>
      </c>
      <c r="L842" s="4"/>
      <c r="M842" s="4"/>
      <c r="N842" s="4"/>
    </row>
    <row r="843" spans="1:14" x14ac:dyDescent="0.15">
      <c r="A843" s="8" t="s">
        <v>855</v>
      </c>
      <c r="B843" s="8" t="s">
        <v>81</v>
      </c>
      <c r="C843" s="8" t="s">
        <v>101</v>
      </c>
      <c r="D843" s="8" t="s">
        <v>102</v>
      </c>
      <c r="E843" s="8" t="s">
        <v>160</v>
      </c>
      <c r="F843" s="8" t="s">
        <v>81</v>
      </c>
      <c r="G843" s="6">
        <v>42886</v>
      </c>
      <c r="H843" s="6">
        <v>42886</v>
      </c>
      <c r="I843" s="4">
        <v>0</v>
      </c>
      <c r="J843" s="8" t="s">
        <v>39</v>
      </c>
      <c r="K843" s="8" t="s">
        <v>862</v>
      </c>
      <c r="L843" s="4"/>
      <c r="M843" s="4"/>
      <c r="N843" s="4"/>
    </row>
    <row r="844" spans="1:14" x14ac:dyDescent="0.15">
      <c r="A844" s="8" t="s">
        <v>855</v>
      </c>
      <c r="B844" s="8" t="s">
        <v>81</v>
      </c>
      <c r="C844" s="8" t="s">
        <v>101</v>
      </c>
      <c r="D844" s="8" t="s">
        <v>102</v>
      </c>
      <c r="E844" s="8" t="s">
        <v>160</v>
      </c>
      <c r="F844" s="8" t="s">
        <v>81</v>
      </c>
      <c r="G844" s="6">
        <v>42978</v>
      </c>
      <c r="H844" s="6">
        <v>42978</v>
      </c>
      <c r="I844" s="4">
        <v>0</v>
      </c>
      <c r="J844" s="8" t="s">
        <v>39</v>
      </c>
      <c r="K844" s="8" t="s">
        <v>1720</v>
      </c>
      <c r="L844" s="4"/>
      <c r="M844" s="4"/>
      <c r="N844" s="4"/>
    </row>
    <row r="845" spans="1:14" x14ac:dyDescent="0.15">
      <c r="A845" s="8" t="s">
        <v>855</v>
      </c>
      <c r="B845" s="8" t="s">
        <v>81</v>
      </c>
      <c r="C845" s="8" t="s">
        <v>101</v>
      </c>
      <c r="D845" s="8" t="s">
        <v>102</v>
      </c>
      <c r="E845" s="8" t="s">
        <v>160</v>
      </c>
      <c r="F845" s="8" t="s">
        <v>81</v>
      </c>
      <c r="G845" s="6">
        <v>43060</v>
      </c>
      <c r="H845" s="6">
        <v>43060</v>
      </c>
      <c r="I845" s="4">
        <v>0</v>
      </c>
      <c r="J845" s="8" t="s">
        <v>39</v>
      </c>
      <c r="K845" s="8" t="s">
        <v>1721</v>
      </c>
      <c r="L845" s="4"/>
      <c r="M845" s="4"/>
      <c r="N845" s="4"/>
    </row>
    <row r="846" spans="1:14" x14ac:dyDescent="0.15">
      <c r="A846" s="8" t="s">
        <v>855</v>
      </c>
      <c r="B846" s="8" t="s">
        <v>81</v>
      </c>
      <c r="C846" s="8" t="s">
        <v>101</v>
      </c>
      <c r="D846" s="8" t="s">
        <v>102</v>
      </c>
      <c r="E846" s="8" t="s">
        <v>160</v>
      </c>
      <c r="F846" s="8" t="s">
        <v>81</v>
      </c>
      <c r="G846" s="6">
        <v>43063</v>
      </c>
      <c r="H846" s="6">
        <v>43063</v>
      </c>
      <c r="I846" s="4">
        <v>0</v>
      </c>
      <c r="J846" s="8" t="s">
        <v>39</v>
      </c>
      <c r="K846" s="8" t="s">
        <v>1722</v>
      </c>
      <c r="L846" s="4"/>
      <c r="M846" s="4"/>
      <c r="N846" s="4"/>
    </row>
    <row r="847" spans="1:14" x14ac:dyDescent="0.15">
      <c r="A847" s="8" t="s">
        <v>855</v>
      </c>
      <c r="B847" s="8" t="s">
        <v>81</v>
      </c>
      <c r="C847" s="8" t="s">
        <v>101</v>
      </c>
      <c r="D847" s="8" t="s">
        <v>102</v>
      </c>
      <c r="E847" s="8" t="s">
        <v>160</v>
      </c>
      <c r="F847" s="8" t="s">
        <v>81</v>
      </c>
      <c r="G847" s="6">
        <v>43067</v>
      </c>
      <c r="H847" s="6">
        <v>43067</v>
      </c>
      <c r="I847" s="4">
        <v>0</v>
      </c>
      <c r="J847" s="8" t="s">
        <v>39</v>
      </c>
      <c r="K847" s="8" t="s">
        <v>1723</v>
      </c>
      <c r="L847" s="4"/>
      <c r="M847" s="4"/>
      <c r="N847" s="4"/>
    </row>
    <row r="848" spans="1:14" ht="40.5" x14ac:dyDescent="0.15">
      <c r="A848" s="8" t="s">
        <v>855</v>
      </c>
      <c r="B848" s="8" t="s">
        <v>81</v>
      </c>
      <c r="C848" s="8" t="s">
        <v>197</v>
      </c>
      <c r="D848" s="11" t="s">
        <v>213</v>
      </c>
      <c r="E848" s="8" t="s">
        <v>160</v>
      </c>
      <c r="F848" s="8" t="s">
        <v>81</v>
      </c>
      <c r="G848" s="6">
        <v>42885</v>
      </c>
      <c r="H848" s="6">
        <v>42885</v>
      </c>
      <c r="I848" s="4">
        <v>0</v>
      </c>
      <c r="J848" s="8" t="s">
        <v>39</v>
      </c>
      <c r="K848" s="8" t="s">
        <v>863</v>
      </c>
      <c r="L848" s="4"/>
      <c r="M848" s="4"/>
      <c r="N848" s="4"/>
    </row>
    <row r="849" spans="1:14" x14ac:dyDescent="0.15">
      <c r="A849" s="8" t="s">
        <v>855</v>
      </c>
      <c r="B849" s="8" t="s">
        <v>81</v>
      </c>
      <c r="C849" s="8" t="s">
        <v>75</v>
      </c>
      <c r="D849" s="8" t="s">
        <v>284</v>
      </c>
      <c r="E849" s="8" t="s">
        <v>160</v>
      </c>
      <c r="F849" s="8" t="s">
        <v>81</v>
      </c>
      <c r="G849" s="6">
        <v>43069</v>
      </c>
      <c r="H849" s="6">
        <v>43069</v>
      </c>
      <c r="I849" s="4">
        <v>0</v>
      </c>
      <c r="J849" s="8" t="s">
        <v>39</v>
      </c>
      <c r="K849" s="8" t="s">
        <v>1724</v>
      </c>
      <c r="L849" s="4"/>
      <c r="M849" s="4"/>
      <c r="N849" s="4"/>
    </row>
    <row r="850" spans="1:14" x14ac:dyDescent="0.15">
      <c r="A850" s="8" t="s">
        <v>855</v>
      </c>
      <c r="B850" s="8" t="s">
        <v>81</v>
      </c>
      <c r="C850" s="8" t="s">
        <v>111</v>
      </c>
      <c r="D850" s="8" t="s">
        <v>112</v>
      </c>
      <c r="E850" s="8" t="s">
        <v>160</v>
      </c>
      <c r="F850" s="8" t="s">
        <v>81</v>
      </c>
      <c r="G850" s="6">
        <v>43033</v>
      </c>
      <c r="H850" s="6">
        <v>43033</v>
      </c>
      <c r="I850" s="4">
        <v>0</v>
      </c>
      <c r="J850" s="8" t="s">
        <v>39</v>
      </c>
      <c r="K850" s="8" t="s">
        <v>1725</v>
      </c>
      <c r="L850" s="4"/>
      <c r="M850" s="4"/>
      <c r="N850" s="4"/>
    </row>
    <row r="851" spans="1:14" x14ac:dyDescent="0.15">
      <c r="A851" s="8" t="s">
        <v>855</v>
      </c>
      <c r="B851" s="8" t="s">
        <v>81</v>
      </c>
      <c r="C851" s="8" t="s">
        <v>56</v>
      </c>
      <c r="D851" s="8" t="s">
        <v>126</v>
      </c>
      <c r="E851" s="8" t="s">
        <v>160</v>
      </c>
      <c r="F851" s="8" t="s">
        <v>81</v>
      </c>
      <c r="G851" s="6">
        <v>42871</v>
      </c>
      <c r="H851" s="6">
        <v>42871</v>
      </c>
      <c r="I851" s="4">
        <v>0</v>
      </c>
      <c r="J851" s="8" t="s">
        <v>39</v>
      </c>
      <c r="K851" s="8" t="s">
        <v>864</v>
      </c>
      <c r="L851" s="4"/>
      <c r="M851" s="4"/>
      <c r="N851" s="4"/>
    </row>
    <row r="852" spans="1:14" x14ac:dyDescent="0.15">
      <c r="A852" s="8" t="s">
        <v>855</v>
      </c>
      <c r="B852" s="8" t="s">
        <v>81</v>
      </c>
      <c r="C852" s="8" t="s">
        <v>56</v>
      </c>
      <c r="D852" s="8" t="s">
        <v>126</v>
      </c>
      <c r="E852" s="8" t="s">
        <v>160</v>
      </c>
      <c r="F852" s="8" t="s">
        <v>81</v>
      </c>
      <c r="G852" s="6">
        <v>43027</v>
      </c>
      <c r="H852" s="6">
        <v>43027</v>
      </c>
      <c r="I852" s="4">
        <v>0</v>
      </c>
      <c r="J852" s="8" t="s">
        <v>39</v>
      </c>
      <c r="K852" s="8" t="s">
        <v>1726</v>
      </c>
      <c r="L852" s="4"/>
      <c r="M852" s="4"/>
      <c r="N852" s="4"/>
    </row>
    <row r="853" spans="1:14" x14ac:dyDescent="0.15">
      <c r="A853" s="8" t="s">
        <v>855</v>
      </c>
      <c r="B853" s="8" t="s">
        <v>81</v>
      </c>
      <c r="C853" s="8" t="s">
        <v>57</v>
      </c>
      <c r="D853" s="8" t="s">
        <v>113</v>
      </c>
      <c r="E853" s="8" t="s">
        <v>160</v>
      </c>
      <c r="F853" s="8" t="s">
        <v>81</v>
      </c>
      <c r="G853" s="6">
        <v>43021</v>
      </c>
      <c r="H853" s="6">
        <v>43021</v>
      </c>
      <c r="I853" s="4">
        <v>0</v>
      </c>
      <c r="J853" s="8" t="s">
        <v>39</v>
      </c>
      <c r="K853" s="8" t="s">
        <v>1727</v>
      </c>
      <c r="L853" s="4"/>
      <c r="M853" s="4"/>
      <c r="N853" s="4"/>
    </row>
    <row r="854" spans="1:14" x14ac:dyDescent="0.15">
      <c r="A854" s="8" t="s">
        <v>855</v>
      </c>
      <c r="B854" s="8" t="s">
        <v>81</v>
      </c>
      <c r="C854" s="8" t="s">
        <v>57</v>
      </c>
      <c r="D854" s="8" t="s">
        <v>113</v>
      </c>
      <c r="E854" s="8" t="s">
        <v>160</v>
      </c>
      <c r="F854" s="8" t="s">
        <v>81</v>
      </c>
      <c r="G854" s="6">
        <v>43038</v>
      </c>
      <c r="H854" s="6">
        <v>43038</v>
      </c>
      <c r="I854" s="4">
        <v>0</v>
      </c>
      <c r="J854" s="8" t="s">
        <v>39</v>
      </c>
      <c r="K854" s="8" t="s">
        <v>1728</v>
      </c>
      <c r="L854" s="4"/>
      <c r="M854" s="4"/>
      <c r="N854" s="4"/>
    </row>
    <row r="855" spans="1:14" x14ac:dyDescent="0.15">
      <c r="A855" s="8" t="s">
        <v>855</v>
      </c>
      <c r="B855" s="8" t="s">
        <v>81</v>
      </c>
      <c r="C855" s="8" t="s">
        <v>29</v>
      </c>
      <c r="D855" s="8" t="s">
        <v>33</v>
      </c>
      <c r="E855" s="8" t="s">
        <v>160</v>
      </c>
      <c r="F855" s="8" t="s">
        <v>81</v>
      </c>
      <c r="G855" s="6">
        <v>42839</v>
      </c>
      <c r="H855" s="6">
        <v>42839</v>
      </c>
      <c r="I855" s="4">
        <v>0</v>
      </c>
      <c r="J855" s="8" t="s">
        <v>39</v>
      </c>
      <c r="K855" s="8" t="s">
        <v>865</v>
      </c>
      <c r="L855" s="4"/>
      <c r="M855" s="4"/>
      <c r="N855" s="4"/>
    </row>
    <row r="856" spans="1:14" x14ac:dyDescent="0.15">
      <c r="A856" s="8" t="s">
        <v>855</v>
      </c>
      <c r="B856" s="8" t="s">
        <v>81</v>
      </c>
      <c r="C856" s="8" t="s">
        <v>29</v>
      </c>
      <c r="D856" s="8" t="s">
        <v>33</v>
      </c>
      <c r="E856" s="8" t="s">
        <v>160</v>
      </c>
      <c r="F856" s="8" t="s">
        <v>81</v>
      </c>
      <c r="G856" s="6">
        <v>42851</v>
      </c>
      <c r="H856" s="6">
        <v>42851</v>
      </c>
      <c r="I856" s="4">
        <v>0</v>
      </c>
      <c r="J856" s="8" t="s">
        <v>39</v>
      </c>
      <c r="K856" s="8" t="s">
        <v>866</v>
      </c>
      <c r="L856" s="4"/>
      <c r="M856" s="4"/>
      <c r="N856" s="4"/>
    </row>
    <row r="857" spans="1:14" x14ac:dyDescent="0.15">
      <c r="A857" s="8" t="s">
        <v>855</v>
      </c>
      <c r="B857" s="8" t="s">
        <v>81</v>
      </c>
      <c r="C857" s="8" t="s">
        <v>29</v>
      </c>
      <c r="D857" s="8" t="s">
        <v>33</v>
      </c>
      <c r="E857" s="8" t="s">
        <v>160</v>
      </c>
      <c r="F857" s="8" t="s">
        <v>81</v>
      </c>
      <c r="G857" s="6">
        <v>42908</v>
      </c>
      <c r="H857" s="6">
        <v>42908</v>
      </c>
      <c r="I857" s="4">
        <v>0</v>
      </c>
      <c r="J857" s="8" t="s">
        <v>39</v>
      </c>
      <c r="K857" s="8" t="s">
        <v>867</v>
      </c>
      <c r="L857" s="4"/>
      <c r="M857" s="4"/>
      <c r="N857" s="4"/>
    </row>
    <row r="858" spans="1:14" x14ac:dyDescent="0.15">
      <c r="A858" s="8" t="s">
        <v>855</v>
      </c>
      <c r="B858" s="8" t="s">
        <v>81</v>
      </c>
      <c r="C858" s="8" t="s">
        <v>29</v>
      </c>
      <c r="D858" s="8" t="s">
        <v>33</v>
      </c>
      <c r="E858" s="8" t="s">
        <v>160</v>
      </c>
      <c r="F858" s="8" t="s">
        <v>81</v>
      </c>
      <c r="G858" s="6">
        <v>43004</v>
      </c>
      <c r="H858" s="6">
        <v>43004</v>
      </c>
      <c r="I858" s="4">
        <v>0</v>
      </c>
      <c r="J858" s="8" t="s">
        <v>39</v>
      </c>
      <c r="K858" s="8" t="s">
        <v>1729</v>
      </c>
      <c r="L858" s="4"/>
      <c r="M858" s="4"/>
      <c r="N858" s="4"/>
    </row>
    <row r="859" spans="1:14" x14ac:dyDescent="0.15">
      <c r="A859" s="8" t="s">
        <v>855</v>
      </c>
      <c r="B859" s="8" t="s">
        <v>81</v>
      </c>
      <c r="C859" s="8" t="s">
        <v>29</v>
      </c>
      <c r="D859" s="8" t="s">
        <v>33</v>
      </c>
      <c r="E859" s="8" t="s">
        <v>160</v>
      </c>
      <c r="F859" s="8" t="s">
        <v>81</v>
      </c>
      <c r="G859" s="6">
        <v>43031</v>
      </c>
      <c r="H859" s="6">
        <v>43031</v>
      </c>
      <c r="I859" s="4">
        <v>0</v>
      </c>
      <c r="J859" s="8" t="s">
        <v>39</v>
      </c>
      <c r="K859" s="8" t="s">
        <v>1730</v>
      </c>
      <c r="L859" s="4"/>
      <c r="M859" s="4"/>
      <c r="N859" s="4"/>
    </row>
    <row r="860" spans="1:14" x14ac:dyDescent="0.15">
      <c r="A860" s="8" t="s">
        <v>855</v>
      </c>
      <c r="B860" s="8" t="s">
        <v>81</v>
      </c>
      <c r="C860" s="8" t="s">
        <v>121</v>
      </c>
      <c r="D860" s="8" t="s">
        <v>122</v>
      </c>
      <c r="E860" s="8" t="s">
        <v>160</v>
      </c>
      <c r="F860" s="8" t="s">
        <v>81</v>
      </c>
      <c r="G860" s="6">
        <v>42871</v>
      </c>
      <c r="H860" s="6">
        <v>42871</v>
      </c>
      <c r="I860" s="4">
        <v>0</v>
      </c>
      <c r="J860" s="8" t="s">
        <v>39</v>
      </c>
      <c r="K860" s="8" t="s">
        <v>868</v>
      </c>
      <c r="L860" s="4"/>
      <c r="M860" s="4"/>
      <c r="N860" s="4"/>
    </row>
    <row r="861" spans="1:14" x14ac:dyDescent="0.15">
      <c r="A861" s="8" t="s">
        <v>855</v>
      </c>
      <c r="B861" s="8" t="s">
        <v>81</v>
      </c>
      <c r="C861" s="8" t="s">
        <v>59</v>
      </c>
      <c r="D861" s="8" t="s">
        <v>93</v>
      </c>
      <c r="E861" s="8" t="s">
        <v>160</v>
      </c>
      <c r="F861" s="8" t="s">
        <v>81</v>
      </c>
      <c r="G861" s="6">
        <v>42865</v>
      </c>
      <c r="H861" s="6">
        <v>42865</v>
      </c>
      <c r="I861" s="4">
        <v>0</v>
      </c>
      <c r="J861" s="8" t="s">
        <v>39</v>
      </c>
      <c r="K861" s="8" t="s">
        <v>869</v>
      </c>
      <c r="L861" s="4"/>
      <c r="M861" s="4"/>
      <c r="N861" s="4"/>
    </row>
    <row r="862" spans="1:14" x14ac:dyDescent="0.15">
      <c r="A862" s="8" t="s">
        <v>855</v>
      </c>
      <c r="B862" s="8" t="s">
        <v>81</v>
      </c>
      <c r="C862" s="8" t="s">
        <v>59</v>
      </c>
      <c r="D862" s="8" t="s">
        <v>93</v>
      </c>
      <c r="E862" s="8" t="s">
        <v>160</v>
      </c>
      <c r="F862" s="8" t="s">
        <v>81</v>
      </c>
      <c r="G862" s="6">
        <v>42932</v>
      </c>
      <c r="H862" s="6">
        <v>42932</v>
      </c>
      <c r="I862" s="4">
        <v>0</v>
      </c>
      <c r="J862" s="8" t="s">
        <v>39</v>
      </c>
      <c r="K862" s="8" t="s">
        <v>1731</v>
      </c>
      <c r="L862" s="4"/>
      <c r="M862" s="4"/>
      <c r="N862" s="4"/>
    </row>
    <row r="863" spans="1:14" x14ac:dyDescent="0.15">
      <c r="A863" s="8" t="s">
        <v>855</v>
      </c>
      <c r="B863" s="8" t="s">
        <v>81</v>
      </c>
      <c r="C863" s="8" t="s">
        <v>59</v>
      </c>
      <c r="D863" s="8" t="s">
        <v>93</v>
      </c>
      <c r="E863" s="8" t="s">
        <v>160</v>
      </c>
      <c r="F863" s="8" t="s">
        <v>81</v>
      </c>
      <c r="G863" s="6">
        <v>42990</v>
      </c>
      <c r="H863" s="6">
        <v>42990</v>
      </c>
      <c r="I863" s="4">
        <v>0</v>
      </c>
      <c r="J863" s="8" t="s">
        <v>39</v>
      </c>
      <c r="K863" s="8" t="s">
        <v>1732</v>
      </c>
      <c r="L863" s="4"/>
      <c r="M863" s="4"/>
      <c r="N863" s="4"/>
    </row>
    <row r="864" spans="1:14" x14ac:dyDescent="0.15">
      <c r="A864" s="8" t="s">
        <v>855</v>
      </c>
      <c r="B864" s="8" t="s">
        <v>81</v>
      </c>
      <c r="C864" s="8" t="s">
        <v>123</v>
      </c>
      <c r="D864" s="8" t="s">
        <v>124</v>
      </c>
      <c r="E864" s="8" t="s">
        <v>160</v>
      </c>
      <c r="F864" s="8" t="s">
        <v>81</v>
      </c>
      <c r="G864" s="6">
        <v>42963</v>
      </c>
      <c r="H864" s="6">
        <v>42963</v>
      </c>
      <c r="I864" s="4">
        <v>0</v>
      </c>
      <c r="J864" s="8" t="s">
        <v>39</v>
      </c>
      <c r="K864" s="8" t="s">
        <v>1733</v>
      </c>
      <c r="L864" s="4"/>
      <c r="M864" s="4"/>
      <c r="N864" s="4"/>
    </row>
    <row r="865" spans="1:14" x14ac:dyDescent="0.15">
      <c r="A865" s="8" t="s">
        <v>855</v>
      </c>
      <c r="B865" s="8" t="s">
        <v>81</v>
      </c>
      <c r="C865" s="8" t="s">
        <v>76</v>
      </c>
      <c r="D865" s="8" t="s">
        <v>110</v>
      </c>
      <c r="E865" s="8" t="s">
        <v>160</v>
      </c>
      <c r="F865" s="8" t="s">
        <v>81</v>
      </c>
      <c r="G865" s="6">
        <v>42886</v>
      </c>
      <c r="H865" s="6">
        <v>42886</v>
      </c>
      <c r="I865" s="4">
        <v>0</v>
      </c>
      <c r="J865" s="8" t="s">
        <v>39</v>
      </c>
      <c r="K865" s="8" t="s">
        <v>870</v>
      </c>
      <c r="L865" s="4"/>
      <c r="M865" s="4"/>
      <c r="N865" s="4"/>
    </row>
    <row r="866" spans="1:14" x14ac:dyDescent="0.15">
      <c r="A866" s="8" t="s">
        <v>855</v>
      </c>
      <c r="B866" s="8" t="s">
        <v>81</v>
      </c>
      <c r="C866" s="8" t="s">
        <v>24</v>
      </c>
      <c r="D866" s="8" t="s">
        <v>34</v>
      </c>
      <c r="E866" s="8" t="s">
        <v>160</v>
      </c>
      <c r="F866" s="8" t="s">
        <v>81</v>
      </c>
      <c r="G866" s="6">
        <v>42978</v>
      </c>
      <c r="H866" s="6">
        <v>42978</v>
      </c>
      <c r="I866" s="4">
        <v>0</v>
      </c>
      <c r="J866" s="8" t="s">
        <v>39</v>
      </c>
      <c r="K866" s="8" t="s">
        <v>1734</v>
      </c>
      <c r="L866" s="4"/>
      <c r="M866" s="4"/>
      <c r="N866" s="4"/>
    </row>
    <row r="867" spans="1:14" x14ac:dyDescent="0.15">
      <c r="A867" s="8" t="s">
        <v>855</v>
      </c>
      <c r="B867" s="8" t="s">
        <v>81</v>
      </c>
      <c r="C867" s="8" t="s">
        <v>77</v>
      </c>
      <c r="D867" s="8" t="s">
        <v>287</v>
      </c>
      <c r="E867" s="8" t="s">
        <v>160</v>
      </c>
      <c r="F867" s="8" t="s">
        <v>81</v>
      </c>
      <c r="G867" s="6">
        <v>43000</v>
      </c>
      <c r="H867" s="6">
        <v>43000</v>
      </c>
      <c r="I867" s="4">
        <v>0</v>
      </c>
      <c r="J867" s="8" t="s">
        <v>39</v>
      </c>
      <c r="K867" s="8" t="s">
        <v>1735</v>
      </c>
      <c r="L867" s="4"/>
      <c r="M867" s="4"/>
      <c r="N867" s="4"/>
    </row>
    <row r="868" spans="1:14" x14ac:dyDescent="0.15">
      <c r="A868" s="8" t="s">
        <v>855</v>
      </c>
      <c r="B868" s="8" t="s">
        <v>81</v>
      </c>
      <c r="C868" s="8" t="s">
        <v>62</v>
      </c>
      <c r="D868" s="8" t="s">
        <v>94</v>
      </c>
      <c r="E868" s="8" t="s">
        <v>160</v>
      </c>
      <c r="F868" s="8" t="s">
        <v>81</v>
      </c>
      <c r="G868" s="6">
        <v>42851</v>
      </c>
      <c r="H868" s="6">
        <v>42851</v>
      </c>
      <c r="I868" s="4">
        <v>0</v>
      </c>
      <c r="J868" s="8" t="s">
        <v>39</v>
      </c>
      <c r="K868" s="8" t="s">
        <v>871</v>
      </c>
      <c r="L868" s="4"/>
      <c r="M868" s="4"/>
      <c r="N868" s="4"/>
    </row>
    <row r="869" spans="1:14" x14ac:dyDescent="0.15">
      <c r="A869" s="8" t="s">
        <v>855</v>
      </c>
      <c r="B869" s="8" t="s">
        <v>81</v>
      </c>
      <c r="C869" s="8" t="s">
        <v>62</v>
      </c>
      <c r="D869" s="8" t="s">
        <v>94</v>
      </c>
      <c r="E869" s="8" t="s">
        <v>160</v>
      </c>
      <c r="F869" s="8" t="s">
        <v>81</v>
      </c>
      <c r="G869" s="6">
        <v>42908</v>
      </c>
      <c r="H869" s="6">
        <v>42908</v>
      </c>
      <c r="I869" s="4">
        <v>0</v>
      </c>
      <c r="J869" s="8" t="s">
        <v>39</v>
      </c>
      <c r="K869" s="8" t="s">
        <v>872</v>
      </c>
      <c r="L869" s="4"/>
      <c r="M869" s="4"/>
      <c r="N869" s="4"/>
    </row>
    <row r="870" spans="1:14" x14ac:dyDescent="0.15">
      <c r="A870" s="8" t="s">
        <v>855</v>
      </c>
      <c r="B870" s="8" t="s">
        <v>81</v>
      </c>
      <c r="C870" s="8" t="s">
        <v>63</v>
      </c>
      <c r="D870" s="8" t="s">
        <v>95</v>
      </c>
      <c r="E870" s="8" t="s">
        <v>160</v>
      </c>
      <c r="F870" s="8" t="s">
        <v>81</v>
      </c>
      <c r="G870" s="6">
        <v>42851</v>
      </c>
      <c r="H870" s="6">
        <v>42851</v>
      </c>
      <c r="I870" s="4">
        <v>0</v>
      </c>
      <c r="J870" s="8" t="s">
        <v>39</v>
      </c>
      <c r="K870" s="8" t="s">
        <v>873</v>
      </c>
      <c r="L870" s="4"/>
      <c r="M870" s="4"/>
      <c r="N870" s="4"/>
    </row>
    <row r="871" spans="1:14" x14ac:dyDescent="0.15">
      <c r="A871" s="8" t="s">
        <v>855</v>
      </c>
      <c r="B871" s="8" t="s">
        <v>81</v>
      </c>
      <c r="C871" s="8" t="s">
        <v>63</v>
      </c>
      <c r="D871" s="8" t="s">
        <v>95</v>
      </c>
      <c r="E871" s="8" t="s">
        <v>160</v>
      </c>
      <c r="F871" s="8" t="s">
        <v>81</v>
      </c>
      <c r="G871" s="6">
        <v>42908</v>
      </c>
      <c r="H871" s="6">
        <v>42908</v>
      </c>
      <c r="I871" s="4">
        <v>0</v>
      </c>
      <c r="J871" s="8" t="s">
        <v>39</v>
      </c>
      <c r="K871" s="8" t="s">
        <v>874</v>
      </c>
      <c r="L871" s="4"/>
      <c r="M871" s="4"/>
      <c r="N871" s="4"/>
    </row>
    <row r="872" spans="1:14" x14ac:dyDescent="0.15">
      <c r="A872" s="8" t="s">
        <v>855</v>
      </c>
      <c r="B872" s="8" t="s">
        <v>81</v>
      </c>
      <c r="C872" s="8" t="s">
        <v>63</v>
      </c>
      <c r="D872" s="8" t="s">
        <v>95</v>
      </c>
      <c r="E872" s="8" t="s">
        <v>160</v>
      </c>
      <c r="F872" s="8" t="s">
        <v>81</v>
      </c>
      <c r="G872" s="6">
        <v>42997</v>
      </c>
      <c r="H872" s="6">
        <v>42997</v>
      </c>
      <c r="I872" s="4">
        <v>0</v>
      </c>
      <c r="J872" s="8" t="s">
        <v>39</v>
      </c>
      <c r="K872" s="8" t="s">
        <v>1736</v>
      </c>
      <c r="L872" s="4"/>
      <c r="M872" s="4"/>
      <c r="N872" s="4"/>
    </row>
    <row r="873" spans="1:14" x14ac:dyDescent="0.15">
      <c r="A873" s="8" t="s">
        <v>855</v>
      </c>
      <c r="B873" s="8" t="s">
        <v>81</v>
      </c>
      <c r="C873" s="8" t="s">
        <v>63</v>
      </c>
      <c r="D873" s="8" t="s">
        <v>95</v>
      </c>
      <c r="E873" s="8" t="s">
        <v>160</v>
      </c>
      <c r="F873" s="8" t="s">
        <v>81</v>
      </c>
      <c r="G873" s="6">
        <v>43069</v>
      </c>
      <c r="H873" s="6">
        <v>43069</v>
      </c>
      <c r="I873" s="4">
        <v>0</v>
      </c>
      <c r="J873" s="8" t="s">
        <v>39</v>
      </c>
      <c r="K873" s="8" t="s">
        <v>1737</v>
      </c>
      <c r="L873" s="4"/>
      <c r="M873" s="4"/>
      <c r="N873" s="4"/>
    </row>
    <row r="874" spans="1:14" x14ac:dyDescent="0.15">
      <c r="A874" s="8" t="s">
        <v>855</v>
      </c>
      <c r="B874" s="8" t="s">
        <v>81</v>
      </c>
      <c r="C874" s="8" t="s">
        <v>103</v>
      </c>
      <c r="D874" s="8" t="s">
        <v>104</v>
      </c>
      <c r="E874" s="8" t="s">
        <v>160</v>
      </c>
      <c r="F874" s="8" t="s">
        <v>81</v>
      </c>
      <c r="G874" s="6">
        <v>42836</v>
      </c>
      <c r="H874" s="6">
        <v>42836</v>
      </c>
      <c r="I874" s="4">
        <v>0</v>
      </c>
      <c r="J874" s="8" t="s">
        <v>37</v>
      </c>
      <c r="K874" s="8" t="s">
        <v>875</v>
      </c>
      <c r="L874" s="4"/>
      <c r="M874" s="4"/>
      <c r="N874" s="4"/>
    </row>
    <row r="875" spans="1:14" x14ac:dyDescent="0.15">
      <c r="A875" s="8" t="s">
        <v>855</v>
      </c>
      <c r="B875" s="8" t="s">
        <v>81</v>
      </c>
      <c r="C875" s="8" t="s">
        <v>103</v>
      </c>
      <c r="D875" s="8" t="s">
        <v>104</v>
      </c>
      <c r="E875" s="8" t="s">
        <v>160</v>
      </c>
      <c r="F875" s="8" t="s">
        <v>81</v>
      </c>
      <c r="G875" s="6">
        <v>42839</v>
      </c>
      <c r="H875" s="6">
        <v>42839</v>
      </c>
      <c r="I875" s="4">
        <v>0</v>
      </c>
      <c r="J875" s="8" t="s">
        <v>37</v>
      </c>
      <c r="K875" s="8" t="s">
        <v>876</v>
      </c>
      <c r="L875" s="4"/>
      <c r="M875" s="4"/>
      <c r="N875" s="4"/>
    </row>
    <row r="876" spans="1:14" x14ac:dyDescent="0.15">
      <c r="A876" s="8" t="s">
        <v>855</v>
      </c>
      <c r="B876" s="8" t="s">
        <v>81</v>
      </c>
      <c r="C876" s="8" t="s">
        <v>103</v>
      </c>
      <c r="D876" s="8" t="s">
        <v>104</v>
      </c>
      <c r="E876" s="8" t="s">
        <v>160</v>
      </c>
      <c r="F876" s="8" t="s">
        <v>81</v>
      </c>
      <c r="G876" s="6">
        <v>42933</v>
      </c>
      <c r="H876" s="6">
        <v>42933</v>
      </c>
      <c r="I876" s="4">
        <v>0</v>
      </c>
      <c r="J876" s="8" t="s">
        <v>37</v>
      </c>
      <c r="K876" s="8" t="s">
        <v>1738</v>
      </c>
      <c r="L876" s="4"/>
      <c r="M876" s="4"/>
      <c r="N876" s="4"/>
    </row>
    <row r="877" spans="1:14" x14ac:dyDescent="0.15">
      <c r="A877" s="8" t="s">
        <v>855</v>
      </c>
      <c r="B877" s="8" t="s">
        <v>81</v>
      </c>
      <c r="C877" s="8" t="s">
        <v>103</v>
      </c>
      <c r="D877" s="8" t="s">
        <v>104</v>
      </c>
      <c r="E877" s="8" t="s">
        <v>160</v>
      </c>
      <c r="F877" s="8" t="s">
        <v>81</v>
      </c>
      <c r="G877" s="6">
        <v>42936</v>
      </c>
      <c r="H877" s="6">
        <v>42936</v>
      </c>
      <c r="I877" s="4">
        <v>0</v>
      </c>
      <c r="J877" s="8" t="s">
        <v>37</v>
      </c>
      <c r="K877" s="8" t="s">
        <v>1739</v>
      </c>
      <c r="L877" s="4"/>
      <c r="M877" s="4"/>
      <c r="N877" s="4"/>
    </row>
    <row r="878" spans="1:14" x14ac:dyDescent="0.15">
      <c r="A878" s="8" t="s">
        <v>855</v>
      </c>
      <c r="B878" s="8" t="s">
        <v>81</v>
      </c>
      <c r="C878" s="8" t="s">
        <v>103</v>
      </c>
      <c r="D878" s="8" t="s">
        <v>104</v>
      </c>
      <c r="E878" s="8" t="s">
        <v>160</v>
      </c>
      <c r="F878" s="8" t="s">
        <v>81</v>
      </c>
      <c r="G878" s="6">
        <v>42940</v>
      </c>
      <c r="H878" s="6">
        <v>42940</v>
      </c>
      <c r="I878" s="4">
        <v>0</v>
      </c>
      <c r="J878" s="8" t="s">
        <v>37</v>
      </c>
      <c r="K878" s="8" t="s">
        <v>1740</v>
      </c>
      <c r="L878" s="4"/>
      <c r="M878" s="4"/>
      <c r="N878" s="4"/>
    </row>
    <row r="879" spans="1:14" x14ac:dyDescent="0.15">
      <c r="A879" s="8" t="s">
        <v>855</v>
      </c>
      <c r="B879" s="8" t="s">
        <v>81</v>
      </c>
      <c r="C879" s="8" t="s">
        <v>103</v>
      </c>
      <c r="D879" s="8" t="s">
        <v>104</v>
      </c>
      <c r="E879" s="8" t="s">
        <v>160</v>
      </c>
      <c r="F879" s="8" t="s">
        <v>81</v>
      </c>
      <c r="G879" s="6">
        <v>42947</v>
      </c>
      <c r="H879" s="6">
        <v>42947</v>
      </c>
      <c r="I879" s="4">
        <v>0</v>
      </c>
      <c r="J879" s="8" t="s">
        <v>37</v>
      </c>
      <c r="K879" s="8" t="s">
        <v>1741</v>
      </c>
      <c r="L879" s="4"/>
      <c r="M879" s="4"/>
      <c r="N879" s="4"/>
    </row>
    <row r="880" spans="1:14" x14ac:dyDescent="0.15">
      <c r="A880" s="8" t="s">
        <v>855</v>
      </c>
      <c r="B880" s="8" t="s">
        <v>81</v>
      </c>
      <c r="C880" s="8" t="s">
        <v>103</v>
      </c>
      <c r="D880" s="8" t="s">
        <v>104</v>
      </c>
      <c r="E880" s="8" t="s">
        <v>160</v>
      </c>
      <c r="F880" s="8" t="s">
        <v>81</v>
      </c>
      <c r="G880" s="6">
        <v>42978</v>
      </c>
      <c r="H880" s="6">
        <v>42978</v>
      </c>
      <c r="I880" s="4">
        <v>0</v>
      </c>
      <c r="J880" s="8" t="s">
        <v>37</v>
      </c>
      <c r="K880" s="8" t="s">
        <v>1742</v>
      </c>
      <c r="L880" s="4"/>
      <c r="M880" s="4"/>
      <c r="N880" s="4"/>
    </row>
    <row r="881" spans="1:14" x14ac:dyDescent="0.15">
      <c r="A881" s="8" t="s">
        <v>855</v>
      </c>
      <c r="B881" s="8" t="s">
        <v>81</v>
      </c>
      <c r="C881" s="8" t="s">
        <v>103</v>
      </c>
      <c r="D881" s="8" t="s">
        <v>104</v>
      </c>
      <c r="E881" s="8" t="s">
        <v>160</v>
      </c>
      <c r="F881" s="8" t="s">
        <v>81</v>
      </c>
      <c r="G881" s="6">
        <v>42985</v>
      </c>
      <c r="H881" s="6">
        <v>42985</v>
      </c>
      <c r="I881" s="4">
        <v>0</v>
      </c>
      <c r="J881" s="8" t="s">
        <v>37</v>
      </c>
      <c r="K881" s="8" t="s">
        <v>1743</v>
      </c>
      <c r="L881" s="4"/>
      <c r="M881" s="4"/>
      <c r="N881" s="4"/>
    </row>
    <row r="882" spans="1:14" x14ac:dyDescent="0.15">
      <c r="A882" s="8" t="s">
        <v>855</v>
      </c>
      <c r="B882" s="8" t="s">
        <v>81</v>
      </c>
      <c r="C882" s="8" t="s">
        <v>103</v>
      </c>
      <c r="D882" s="8" t="s">
        <v>104</v>
      </c>
      <c r="E882" s="8" t="s">
        <v>160</v>
      </c>
      <c r="F882" s="8" t="s">
        <v>81</v>
      </c>
      <c r="G882" s="6">
        <v>43000</v>
      </c>
      <c r="H882" s="6">
        <v>43000</v>
      </c>
      <c r="I882" s="4">
        <v>0</v>
      </c>
      <c r="J882" s="8" t="s">
        <v>37</v>
      </c>
      <c r="K882" s="8" t="s">
        <v>1744</v>
      </c>
      <c r="L882" s="4"/>
      <c r="M882" s="4"/>
      <c r="N882" s="4"/>
    </row>
    <row r="883" spans="1:14" x14ac:dyDescent="0.15">
      <c r="A883" s="8" t="s">
        <v>855</v>
      </c>
      <c r="B883" s="8" t="s">
        <v>81</v>
      </c>
      <c r="C883" s="8" t="s">
        <v>175</v>
      </c>
      <c r="D883" s="8" t="s">
        <v>176</v>
      </c>
      <c r="E883" s="8" t="s">
        <v>160</v>
      </c>
      <c r="F883" s="8" t="s">
        <v>81</v>
      </c>
      <c r="G883" s="6">
        <v>42909</v>
      </c>
      <c r="H883" s="6">
        <v>42909</v>
      </c>
      <c r="I883" s="4">
        <v>0</v>
      </c>
      <c r="J883" s="8" t="s">
        <v>39</v>
      </c>
      <c r="K883" s="8" t="s">
        <v>877</v>
      </c>
      <c r="L883" s="4"/>
      <c r="M883" s="4"/>
      <c r="N883" s="4"/>
    </row>
    <row r="884" spans="1:14" x14ac:dyDescent="0.15">
      <c r="A884" s="8" t="s">
        <v>855</v>
      </c>
      <c r="B884" s="8" t="s">
        <v>81</v>
      </c>
      <c r="C884" s="8" t="s">
        <v>134</v>
      </c>
      <c r="D884" s="8" t="s">
        <v>135</v>
      </c>
      <c r="E884" s="8" t="s">
        <v>160</v>
      </c>
      <c r="F884" s="8" t="s">
        <v>81</v>
      </c>
      <c r="G884" s="6">
        <v>42831</v>
      </c>
      <c r="H884" s="6">
        <v>42831</v>
      </c>
      <c r="I884" s="4">
        <v>0</v>
      </c>
      <c r="J884" s="8" t="s">
        <v>37</v>
      </c>
      <c r="K884" s="8" t="s">
        <v>878</v>
      </c>
      <c r="L884" s="4"/>
      <c r="M884" s="4"/>
      <c r="N884" s="4"/>
    </row>
    <row r="885" spans="1:14" x14ac:dyDescent="0.15">
      <c r="A885" s="8" t="s">
        <v>855</v>
      </c>
      <c r="B885" s="8" t="s">
        <v>81</v>
      </c>
      <c r="C885" s="8" t="s">
        <v>134</v>
      </c>
      <c r="D885" s="8" t="s">
        <v>135</v>
      </c>
      <c r="E885" s="8" t="s">
        <v>160</v>
      </c>
      <c r="F885" s="8" t="s">
        <v>81</v>
      </c>
      <c r="G885" s="6">
        <v>42991</v>
      </c>
      <c r="H885" s="6">
        <v>42991</v>
      </c>
      <c r="I885" s="4">
        <v>0</v>
      </c>
      <c r="J885" s="8" t="s">
        <v>37</v>
      </c>
      <c r="K885" s="8" t="s">
        <v>1745</v>
      </c>
      <c r="L885" s="4"/>
      <c r="M885" s="4"/>
      <c r="N885" s="4"/>
    </row>
    <row r="886" spans="1:14" ht="27" x14ac:dyDescent="0.15">
      <c r="A886" s="8" t="s">
        <v>855</v>
      </c>
      <c r="B886" s="8" t="s">
        <v>81</v>
      </c>
      <c r="C886" s="8" t="s">
        <v>181</v>
      </c>
      <c r="D886" s="11" t="s">
        <v>182</v>
      </c>
      <c r="E886" s="8" t="s">
        <v>160</v>
      </c>
      <c r="F886" s="8" t="s">
        <v>81</v>
      </c>
      <c r="G886" s="6">
        <v>42860</v>
      </c>
      <c r="H886" s="6">
        <v>42860</v>
      </c>
      <c r="I886" s="4">
        <v>0</v>
      </c>
      <c r="J886" s="8" t="s">
        <v>120</v>
      </c>
      <c r="K886" s="8" t="s">
        <v>879</v>
      </c>
      <c r="L886" s="4"/>
      <c r="M886" s="4"/>
      <c r="N886" s="4"/>
    </row>
    <row r="887" spans="1:14" ht="27" x14ac:dyDescent="0.15">
      <c r="A887" s="8" t="s">
        <v>855</v>
      </c>
      <c r="B887" s="8" t="s">
        <v>81</v>
      </c>
      <c r="C887" s="8" t="s">
        <v>181</v>
      </c>
      <c r="D887" s="11" t="s">
        <v>182</v>
      </c>
      <c r="E887" s="8" t="s">
        <v>160</v>
      </c>
      <c r="F887" s="8" t="s">
        <v>81</v>
      </c>
      <c r="G887" s="6">
        <v>43042</v>
      </c>
      <c r="H887" s="6">
        <v>43042</v>
      </c>
      <c r="I887" s="4">
        <v>0</v>
      </c>
      <c r="J887" s="8" t="s">
        <v>120</v>
      </c>
      <c r="K887" s="8" t="s">
        <v>1746</v>
      </c>
      <c r="L887" s="4"/>
      <c r="M887" s="4"/>
      <c r="N887" s="4"/>
    </row>
    <row r="888" spans="1:14" x14ac:dyDescent="0.15">
      <c r="A888" s="8" t="s">
        <v>855</v>
      </c>
      <c r="B888" s="8" t="s">
        <v>81</v>
      </c>
      <c r="C888" s="8" t="s">
        <v>80</v>
      </c>
      <c r="D888" s="8" t="s">
        <v>163</v>
      </c>
      <c r="E888" s="8" t="s">
        <v>160</v>
      </c>
      <c r="F888" s="8" t="s">
        <v>81</v>
      </c>
      <c r="G888" s="6">
        <v>42851</v>
      </c>
      <c r="H888" s="6">
        <v>42851</v>
      </c>
      <c r="I888" s="4">
        <v>0</v>
      </c>
      <c r="J888" s="8" t="s">
        <v>37</v>
      </c>
      <c r="K888" s="8" t="s">
        <v>880</v>
      </c>
      <c r="L888" s="4"/>
      <c r="M888" s="4"/>
      <c r="N888" s="4"/>
    </row>
    <row r="889" spans="1:14" x14ac:dyDescent="0.15">
      <c r="A889" s="8" t="s">
        <v>855</v>
      </c>
      <c r="B889" s="8" t="s">
        <v>81</v>
      </c>
      <c r="C889" s="8" t="s">
        <v>148</v>
      </c>
      <c r="D889" s="8" t="s">
        <v>170</v>
      </c>
      <c r="E889" s="8" t="s">
        <v>160</v>
      </c>
      <c r="F889" s="8" t="s">
        <v>81</v>
      </c>
      <c r="G889" s="6">
        <v>42851</v>
      </c>
      <c r="H889" s="6">
        <v>42851</v>
      </c>
      <c r="I889" s="4">
        <v>0</v>
      </c>
      <c r="J889" s="8" t="s">
        <v>37</v>
      </c>
      <c r="K889" s="8" t="s">
        <v>881</v>
      </c>
      <c r="L889" s="4"/>
      <c r="M889" s="4"/>
      <c r="N889" s="4"/>
    </row>
    <row r="890" spans="1:14" x14ac:dyDescent="0.15">
      <c r="A890" s="8" t="s">
        <v>855</v>
      </c>
      <c r="B890" s="8" t="s">
        <v>81</v>
      </c>
      <c r="C890" s="8" t="s">
        <v>66</v>
      </c>
      <c r="D890" s="8" t="s">
        <v>116</v>
      </c>
      <c r="E890" s="8" t="s">
        <v>160</v>
      </c>
      <c r="F890" s="8" t="s">
        <v>81</v>
      </c>
      <c r="G890" s="6">
        <v>42900</v>
      </c>
      <c r="H890" s="6">
        <v>42900</v>
      </c>
      <c r="I890" s="4">
        <v>0</v>
      </c>
      <c r="J890" s="8" t="s">
        <v>37</v>
      </c>
      <c r="K890" s="8" t="s">
        <v>882</v>
      </c>
      <c r="L890" s="4"/>
      <c r="M890" s="4"/>
      <c r="N890" s="4"/>
    </row>
    <row r="891" spans="1:14" x14ac:dyDescent="0.15">
      <c r="A891" s="8" t="s">
        <v>855</v>
      </c>
      <c r="B891" s="8" t="s">
        <v>81</v>
      </c>
      <c r="C891" s="8" t="s">
        <v>167</v>
      </c>
      <c r="D891" s="8" t="s">
        <v>168</v>
      </c>
      <c r="E891" s="8" t="s">
        <v>160</v>
      </c>
      <c r="F891" s="8" t="s">
        <v>81</v>
      </c>
      <c r="G891" s="6">
        <v>42850</v>
      </c>
      <c r="H891" s="6">
        <v>42850</v>
      </c>
      <c r="I891" s="4">
        <v>0</v>
      </c>
      <c r="J891" s="8" t="s">
        <v>133</v>
      </c>
      <c r="K891" s="8" t="s">
        <v>883</v>
      </c>
      <c r="L891" s="4"/>
      <c r="M891" s="4"/>
      <c r="N891" s="4"/>
    </row>
    <row r="892" spans="1:14" x14ac:dyDescent="0.15">
      <c r="A892" s="8" t="s">
        <v>855</v>
      </c>
      <c r="B892" s="8" t="s">
        <v>81</v>
      </c>
      <c r="C892" s="8" t="s">
        <v>167</v>
      </c>
      <c r="D892" s="8" t="s">
        <v>168</v>
      </c>
      <c r="E892" s="8" t="s">
        <v>160</v>
      </c>
      <c r="F892" s="8" t="s">
        <v>81</v>
      </c>
      <c r="G892" s="6">
        <v>43014</v>
      </c>
      <c r="H892" s="6">
        <v>43014</v>
      </c>
      <c r="I892" s="4">
        <v>0</v>
      </c>
      <c r="J892" s="8" t="s">
        <v>133</v>
      </c>
      <c r="K892" s="8" t="s">
        <v>1747</v>
      </c>
      <c r="L892" s="4"/>
      <c r="M892" s="4"/>
      <c r="N892" s="4"/>
    </row>
    <row r="893" spans="1:14" x14ac:dyDescent="0.15">
      <c r="A893" s="8" t="s">
        <v>855</v>
      </c>
      <c r="B893" s="8" t="s">
        <v>81</v>
      </c>
      <c r="C893" s="8" t="s">
        <v>23</v>
      </c>
      <c r="D893" s="8" t="s">
        <v>159</v>
      </c>
      <c r="E893" s="8" t="s">
        <v>160</v>
      </c>
      <c r="F893" s="8" t="s">
        <v>81</v>
      </c>
      <c r="G893" s="6">
        <v>42870</v>
      </c>
      <c r="H893" s="6">
        <v>42870</v>
      </c>
      <c r="I893" s="4">
        <v>0</v>
      </c>
      <c r="J893" s="8" t="s">
        <v>37</v>
      </c>
      <c r="K893" s="8" t="s">
        <v>884</v>
      </c>
      <c r="L893" s="4"/>
      <c r="M893" s="4"/>
      <c r="N893" s="4"/>
    </row>
    <row r="894" spans="1:14" x14ac:dyDescent="0.15">
      <c r="A894" s="8" t="s">
        <v>855</v>
      </c>
      <c r="B894" s="8" t="s">
        <v>81</v>
      </c>
      <c r="C894" s="8" t="s">
        <v>23</v>
      </c>
      <c r="D894" s="8" t="s">
        <v>159</v>
      </c>
      <c r="E894" s="8" t="s">
        <v>160</v>
      </c>
      <c r="F894" s="8" t="s">
        <v>81</v>
      </c>
      <c r="G894" s="6">
        <v>43052</v>
      </c>
      <c r="H894" s="6">
        <v>43052</v>
      </c>
      <c r="I894" s="4">
        <v>0</v>
      </c>
      <c r="J894" s="8" t="s">
        <v>37</v>
      </c>
      <c r="K894" s="8" t="s">
        <v>1748</v>
      </c>
      <c r="L894" s="4"/>
      <c r="M894" s="4"/>
      <c r="N894" s="4"/>
    </row>
    <row r="895" spans="1:14" x14ac:dyDescent="0.15">
      <c r="A895" s="8" t="s">
        <v>855</v>
      </c>
      <c r="B895" s="8" t="s">
        <v>81</v>
      </c>
      <c r="C895" s="8" t="s">
        <v>23</v>
      </c>
      <c r="D895" s="8" t="s">
        <v>159</v>
      </c>
      <c r="E895" s="8" t="s">
        <v>160</v>
      </c>
      <c r="F895" s="8" t="s">
        <v>81</v>
      </c>
      <c r="G895" s="6">
        <v>43068</v>
      </c>
      <c r="H895" s="6">
        <v>43068</v>
      </c>
      <c r="I895" s="4">
        <v>0</v>
      </c>
      <c r="J895" s="8" t="s">
        <v>37</v>
      </c>
      <c r="K895" s="8" t="s">
        <v>1749</v>
      </c>
      <c r="L895" s="4"/>
      <c r="M895" s="4"/>
      <c r="N895" s="4"/>
    </row>
    <row r="896" spans="1:14" x14ac:dyDescent="0.15">
      <c r="A896" s="8" t="s">
        <v>855</v>
      </c>
      <c r="B896" s="8" t="s">
        <v>81</v>
      </c>
      <c r="C896" s="8" t="s">
        <v>67</v>
      </c>
      <c r="D896" s="8" t="s">
        <v>162</v>
      </c>
      <c r="E896" s="8" t="s">
        <v>160</v>
      </c>
      <c r="F896" s="8" t="s">
        <v>81</v>
      </c>
      <c r="G896" s="6">
        <v>42830</v>
      </c>
      <c r="H896" s="6">
        <v>42830</v>
      </c>
      <c r="I896" s="4">
        <v>0</v>
      </c>
      <c r="J896" s="8" t="s">
        <v>37</v>
      </c>
      <c r="K896" s="8" t="s">
        <v>885</v>
      </c>
      <c r="L896" s="4"/>
      <c r="M896" s="4"/>
      <c r="N896" s="4"/>
    </row>
    <row r="897" spans="1:14" x14ac:dyDescent="0.15">
      <c r="A897" s="8" t="s">
        <v>855</v>
      </c>
      <c r="B897" s="8" t="s">
        <v>81</v>
      </c>
      <c r="C897" s="8" t="s">
        <v>67</v>
      </c>
      <c r="D897" s="8" t="s">
        <v>162</v>
      </c>
      <c r="E897" s="8" t="s">
        <v>160</v>
      </c>
      <c r="F897" s="8" t="s">
        <v>81</v>
      </c>
      <c r="G897" s="6">
        <v>42849</v>
      </c>
      <c r="H897" s="6">
        <v>42849</v>
      </c>
      <c r="I897" s="4">
        <v>0</v>
      </c>
      <c r="J897" s="8" t="s">
        <v>37</v>
      </c>
      <c r="K897" s="8" t="s">
        <v>886</v>
      </c>
      <c r="L897" s="4"/>
      <c r="M897" s="4"/>
      <c r="N897" s="4"/>
    </row>
    <row r="898" spans="1:14" x14ac:dyDescent="0.15">
      <c r="A898" s="8" t="s">
        <v>855</v>
      </c>
      <c r="B898" s="8" t="s">
        <v>81</v>
      </c>
      <c r="C898" s="8" t="s">
        <v>67</v>
      </c>
      <c r="D898" s="8" t="s">
        <v>162</v>
      </c>
      <c r="E898" s="8" t="s">
        <v>160</v>
      </c>
      <c r="F898" s="8" t="s">
        <v>81</v>
      </c>
      <c r="G898" s="6">
        <v>42860</v>
      </c>
      <c r="H898" s="6">
        <v>42860</v>
      </c>
      <c r="I898" s="4">
        <v>0</v>
      </c>
      <c r="J898" s="8" t="s">
        <v>37</v>
      </c>
      <c r="K898" s="8" t="s">
        <v>887</v>
      </c>
      <c r="L898" s="4"/>
      <c r="M898" s="4"/>
      <c r="N898" s="4"/>
    </row>
    <row r="899" spans="1:14" x14ac:dyDescent="0.15">
      <c r="A899" s="8" t="s">
        <v>855</v>
      </c>
      <c r="B899" s="8" t="s">
        <v>81</v>
      </c>
      <c r="C899" s="8" t="s">
        <v>67</v>
      </c>
      <c r="D899" s="8" t="s">
        <v>162</v>
      </c>
      <c r="E899" s="8" t="s">
        <v>160</v>
      </c>
      <c r="F899" s="8" t="s">
        <v>81</v>
      </c>
      <c r="G899" s="6">
        <v>42877</v>
      </c>
      <c r="H899" s="6">
        <v>42877</v>
      </c>
      <c r="I899" s="4">
        <v>0</v>
      </c>
      <c r="J899" s="8" t="s">
        <v>37</v>
      </c>
      <c r="K899" s="8" t="s">
        <v>888</v>
      </c>
      <c r="L899" s="4"/>
      <c r="M899" s="4"/>
      <c r="N899" s="4"/>
    </row>
    <row r="900" spans="1:14" x14ac:dyDescent="0.15">
      <c r="A900" s="8" t="s">
        <v>855</v>
      </c>
      <c r="B900" s="8" t="s">
        <v>81</v>
      </c>
      <c r="C900" s="8" t="s">
        <v>67</v>
      </c>
      <c r="D900" s="8" t="s">
        <v>162</v>
      </c>
      <c r="E900" s="8" t="s">
        <v>160</v>
      </c>
      <c r="F900" s="8" t="s">
        <v>81</v>
      </c>
      <c r="G900" s="6">
        <v>42900</v>
      </c>
      <c r="H900" s="6">
        <v>42900</v>
      </c>
      <c r="I900" s="4">
        <v>0</v>
      </c>
      <c r="J900" s="8" t="s">
        <v>37</v>
      </c>
      <c r="K900" s="8" t="s">
        <v>889</v>
      </c>
      <c r="L900" s="4"/>
      <c r="M900" s="4"/>
      <c r="N900" s="4"/>
    </row>
    <row r="901" spans="1:14" x14ac:dyDescent="0.15">
      <c r="A901" s="8" t="s">
        <v>855</v>
      </c>
      <c r="B901" s="8" t="s">
        <v>81</v>
      </c>
      <c r="C901" s="8" t="s">
        <v>67</v>
      </c>
      <c r="D901" s="8" t="s">
        <v>162</v>
      </c>
      <c r="E901" s="8" t="s">
        <v>160</v>
      </c>
      <c r="F901" s="8" t="s">
        <v>81</v>
      </c>
      <c r="G901" s="6">
        <v>42908</v>
      </c>
      <c r="H901" s="6">
        <v>42908</v>
      </c>
      <c r="I901" s="4">
        <v>0</v>
      </c>
      <c r="J901" s="8" t="s">
        <v>37</v>
      </c>
      <c r="K901" s="8" t="s">
        <v>890</v>
      </c>
      <c r="L901" s="4"/>
      <c r="M901" s="4"/>
      <c r="N901" s="4"/>
    </row>
    <row r="902" spans="1:14" x14ac:dyDescent="0.15">
      <c r="A902" s="8" t="s">
        <v>855</v>
      </c>
      <c r="B902" s="8" t="s">
        <v>81</v>
      </c>
      <c r="C902" s="8" t="s">
        <v>67</v>
      </c>
      <c r="D902" s="8" t="s">
        <v>162</v>
      </c>
      <c r="E902" s="8" t="s">
        <v>160</v>
      </c>
      <c r="F902" s="8" t="s">
        <v>81</v>
      </c>
      <c r="G902" s="6">
        <v>42915</v>
      </c>
      <c r="H902" s="6">
        <v>42915</v>
      </c>
      <c r="I902" s="4">
        <v>0</v>
      </c>
      <c r="J902" s="8" t="s">
        <v>37</v>
      </c>
      <c r="K902" s="8" t="s">
        <v>891</v>
      </c>
      <c r="L902" s="4"/>
      <c r="M902" s="4"/>
      <c r="N902" s="4"/>
    </row>
    <row r="903" spans="1:14" x14ac:dyDescent="0.15">
      <c r="A903" s="8" t="s">
        <v>855</v>
      </c>
      <c r="B903" s="8" t="s">
        <v>81</v>
      </c>
      <c r="C903" s="8" t="s">
        <v>67</v>
      </c>
      <c r="D903" s="8" t="s">
        <v>162</v>
      </c>
      <c r="E903" s="8" t="s">
        <v>160</v>
      </c>
      <c r="F903" s="8" t="s">
        <v>81</v>
      </c>
      <c r="G903" s="6">
        <v>42940</v>
      </c>
      <c r="H903" s="6">
        <v>42940</v>
      </c>
      <c r="I903" s="4">
        <v>0</v>
      </c>
      <c r="J903" s="8" t="s">
        <v>37</v>
      </c>
      <c r="K903" s="8" t="s">
        <v>1750</v>
      </c>
      <c r="L903" s="4"/>
      <c r="M903" s="4"/>
      <c r="N903" s="4"/>
    </row>
    <row r="904" spans="1:14" x14ac:dyDescent="0.15">
      <c r="A904" s="8" t="s">
        <v>855</v>
      </c>
      <c r="B904" s="8" t="s">
        <v>81</v>
      </c>
      <c r="C904" s="8" t="s">
        <v>67</v>
      </c>
      <c r="D904" s="8" t="s">
        <v>162</v>
      </c>
      <c r="E904" s="8" t="s">
        <v>160</v>
      </c>
      <c r="F904" s="8" t="s">
        <v>81</v>
      </c>
      <c r="G904" s="6">
        <v>42965</v>
      </c>
      <c r="H904" s="6">
        <v>42965</v>
      </c>
      <c r="I904" s="4">
        <v>0</v>
      </c>
      <c r="J904" s="8" t="s">
        <v>37</v>
      </c>
      <c r="K904" s="8" t="s">
        <v>1751</v>
      </c>
      <c r="L904" s="4"/>
      <c r="M904" s="4"/>
      <c r="N904" s="4"/>
    </row>
    <row r="905" spans="1:14" x14ac:dyDescent="0.15">
      <c r="A905" s="8" t="s">
        <v>855</v>
      </c>
      <c r="B905" s="8" t="s">
        <v>81</v>
      </c>
      <c r="C905" s="8" t="s">
        <v>67</v>
      </c>
      <c r="D905" s="8" t="s">
        <v>162</v>
      </c>
      <c r="E905" s="8" t="s">
        <v>160</v>
      </c>
      <c r="F905" s="8" t="s">
        <v>81</v>
      </c>
      <c r="G905" s="6">
        <v>42970</v>
      </c>
      <c r="H905" s="6">
        <v>42970</v>
      </c>
      <c r="I905" s="4">
        <v>0</v>
      </c>
      <c r="J905" s="8" t="s">
        <v>37</v>
      </c>
      <c r="K905" s="8" t="s">
        <v>1752</v>
      </c>
      <c r="L905" s="4"/>
      <c r="M905" s="4"/>
      <c r="N905" s="4"/>
    </row>
    <row r="906" spans="1:14" x14ac:dyDescent="0.15">
      <c r="A906" s="8" t="s">
        <v>855</v>
      </c>
      <c r="B906" s="8" t="s">
        <v>81</v>
      </c>
      <c r="C906" s="8" t="s">
        <v>67</v>
      </c>
      <c r="D906" s="8" t="s">
        <v>162</v>
      </c>
      <c r="E906" s="8" t="s">
        <v>160</v>
      </c>
      <c r="F906" s="8" t="s">
        <v>81</v>
      </c>
      <c r="G906" s="6">
        <v>42985</v>
      </c>
      <c r="H906" s="6">
        <v>42985</v>
      </c>
      <c r="I906" s="4">
        <v>0</v>
      </c>
      <c r="J906" s="8" t="s">
        <v>37</v>
      </c>
      <c r="K906" s="8" t="s">
        <v>1753</v>
      </c>
      <c r="L906" s="4"/>
      <c r="M906" s="4"/>
      <c r="N906" s="4"/>
    </row>
    <row r="907" spans="1:14" x14ac:dyDescent="0.15">
      <c r="A907" s="8" t="s">
        <v>855</v>
      </c>
      <c r="B907" s="8" t="s">
        <v>81</v>
      </c>
      <c r="C907" s="8" t="s">
        <v>67</v>
      </c>
      <c r="D907" s="8" t="s">
        <v>162</v>
      </c>
      <c r="E907" s="8" t="s">
        <v>160</v>
      </c>
      <c r="F907" s="8" t="s">
        <v>81</v>
      </c>
      <c r="G907" s="6">
        <v>43014</v>
      </c>
      <c r="H907" s="6">
        <v>43014</v>
      </c>
      <c r="I907" s="4">
        <v>0</v>
      </c>
      <c r="J907" s="8" t="s">
        <v>37</v>
      </c>
      <c r="K907" s="8" t="s">
        <v>1754</v>
      </c>
      <c r="L907" s="4"/>
      <c r="M907" s="4"/>
      <c r="N907" s="4"/>
    </row>
    <row r="908" spans="1:14" x14ac:dyDescent="0.15">
      <c r="A908" s="8" t="s">
        <v>855</v>
      </c>
      <c r="B908" s="8" t="s">
        <v>81</v>
      </c>
      <c r="C908" s="8" t="s">
        <v>67</v>
      </c>
      <c r="D908" s="8" t="s">
        <v>162</v>
      </c>
      <c r="E908" s="8" t="s">
        <v>160</v>
      </c>
      <c r="F908" s="8" t="s">
        <v>81</v>
      </c>
      <c r="G908" s="6">
        <v>43017</v>
      </c>
      <c r="H908" s="6">
        <v>43017</v>
      </c>
      <c r="I908" s="4">
        <v>0</v>
      </c>
      <c r="J908" s="8" t="s">
        <v>37</v>
      </c>
      <c r="K908" s="8" t="s">
        <v>1755</v>
      </c>
      <c r="L908" s="4"/>
      <c r="M908" s="4"/>
      <c r="N908" s="4"/>
    </row>
    <row r="909" spans="1:14" x14ac:dyDescent="0.15">
      <c r="A909" s="8" t="s">
        <v>855</v>
      </c>
      <c r="B909" s="8" t="s">
        <v>81</v>
      </c>
      <c r="C909" s="8" t="s">
        <v>67</v>
      </c>
      <c r="D909" s="8" t="s">
        <v>162</v>
      </c>
      <c r="E909" s="8" t="s">
        <v>160</v>
      </c>
      <c r="F909" s="8" t="s">
        <v>81</v>
      </c>
      <c r="G909" s="6">
        <v>43060</v>
      </c>
      <c r="H909" s="6">
        <v>43060</v>
      </c>
      <c r="I909" s="4">
        <v>0</v>
      </c>
      <c r="J909" s="8" t="s">
        <v>37</v>
      </c>
      <c r="K909" s="8" t="s">
        <v>1756</v>
      </c>
      <c r="L909" s="4"/>
      <c r="M909" s="4"/>
      <c r="N909" s="4"/>
    </row>
    <row r="910" spans="1:14" x14ac:dyDescent="0.15">
      <c r="A910" s="8" t="s">
        <v>855</v>
      </c>
      <c r="B910" s="8" t="s">
        <v>81</v>
      </c>
      <c r="C910" s="8" t="s">
        <v>67</v>
      </c>
      <c r="D910" s="8" t="s">
        <v>162</v>
      </c>
      <c r="E910" s="8" t="s">
        <v>160</v>
      </c>
      <c r="F910" s="8" t="s">
        <v>81</v>
      </c>
      <c r="G910" s="6">
        <v>43068</v>
      </c>
      <c r="H910" s="6">
        <v>43068</v>
      </c>
      <c r="I910" s="4">
        <v>0</v>
      </c>
      <c r="J910" s="8" t="s">
        <v>37</v>
      </c>
      <c r="K910" s="8" t="s">
        <v>1757</v>
      </c>
      <c r="L910" s="4"/>
      <c r="M910" s="4"/>
      <c r="N910" s="4"/>
    </row>
    <row r="911" spans="1:14" x14ac:dyDescent="0.15">
      <c r="A911" s="8" t="s">
        <v>855</v>
      </c>
      <c r="B911" s="8" t="s">
        <v>81</v>
      </c>
      <c r="C911" s="8" t="s">
        <v>28</v>
      </c>
      <c r="D911" s="8" t="s">
        <v>202</v>
      </c>
      <c r="E911" s="8" t="s">
        <v>160</v>
      </c>
      <c r="F911" s="8" t="s">
        <v>81</v>
      </c>
      <c r="G911" s="6">
        <v>43059</v>
      </c>
      <c r="H911" s="6">
        <v>43059</v>
      </c>
      <c r="I911" s="4">
        <v>0</v>
      </c>
      <c r="J911" s="8" t="s">
        <v>37</v>
      </c>
      <c r="K911" s="8" t="s">
        <v>1758</v>
      </c>
      <c r="L911" s="4"/>
      <c r="M911" s="4"/>
      <c r="N911" s="4"/>
    </row>
    <row r="912" spans="1:14" x14ac:dyDescent="0.15">
      <c r="A912" s="8" t="s">
        <v>855</v>
      </c>
      <c r="B912" s="8" t="s">
        <v>81</v>
      </c>
      <c r="C912" s="8" t="s">
        <v>198</v>
      </c>
      <c r="D912" s="8" t="s">
        <v>210</v>
      </c>
      <c r="E912" s="8" t="s">
        <v>160</v>
      </c>
      <c r="F912" s="8" t="s">
        <v>81</v>
      </c>
      <c r="G912" s="6">
        <v>42850</v>
      </c>
      <c r="H912" s="6">
        <v>42850</v>
      </c>
      <c r="I912" s="4">
        <v>0</v>
      </c>
      <c r="J912" s="8" t="s">
        <v>133</v>
      </c>
      <c r="K912" s="8" t="s">
        <v>892</v>
      </c>
      <c r="L912" s="4"/>
      <c r="M912" s="4"/>
      <c r="N912" s="4"/>
    </row>
    <row r="913" spans="1:14" x14ac:dyDescent="0.15">
      <c r="A913" s="8" t="s">
        <v>855</v>
      </c>
      <c r="B913" s="8" t="s">
        <v>81</v>
      </c>
      <c r="C913" s="8" t="s">
        <v>68</v>
      </c>
      <c r="D913" s="8" t="s">
        <v>166</v>
      </c>
      <c r="E913" s="8" t="s">
        <v>160</v>
      </c>
      <c r="F913" s="8" t="s">
        <v>81</v>
      </c>
      <c r="G913" s="6">
        <v>42886</v>
      </c>
      <c r="H913" s="6">
        <v>42886</v>
      </c>
      <c r="I913" s="4">
        <v>0</v>
      </c>
      <c r="J913" s="8" t="s">
        <v>37</v>
      </c>
      <c r="K913" s="8" t="s">
        <v>893</v>
      </c>
      <c r="L913" s="4"/>
      <c r="M913" s="4"/>
      <c r="N913" s="4"/>
    </row>
    <row r="914" spans="1:14" x14ac:dyDescent="0.15">
      <c r="A914" s="8" t="s">
        <v>855</v>
      </c>
      <c r="B914" s="8" t="s">
        <v>81</v>
      </c>
      <c r="C914" s="8" t="s">
        <v>68</v>
      </c>
      <c r="D914" s="8" t="s">
        <v>166</v>
      </c>
      <c r="E914" s="8" t="s">
        <v>160</v>
      </c>
      <c r="F914" s="8" t="s">
        <v>81</v>
      </c>
      <c r="G914" s="6">
        <v>42908</v>
      </c>
      <c r="H914" s="6">
        <v>42908</v>
      </c>
      <c r="I914" s="4">
        <v>0</v>
      </c>
      <c r="J914" s="8" t="s">
        <v>37</v>
      </c>
      <c r="K914" s="8" t="s">
        <v>894</v>
      </c>
      <c r="L914" s="4"/>
      <c r="M914" s="4"/>
      <c r="N914" s="4"/>
    </row>
    <row r="915" spans="1:14" x14ac:dyDescent="0.15">
      <c r="A915" s="8" t="s">
        <v>855</v>
      </c>
      <c r="B915" s="8" t="s">
        <v>81</v>
      </c>
      <c r="C915" s="8" t="s">
        <v>68</v>
      </c>
      <c r="D915" s="8" t="s">
        <v>166</v>
      </c>
      <c r="E915" s="8" t="s">
        <v>160</v>
      </c>
      <c r="F915" s="8" t="s">
        <v>81</v>
      </c>
      <c r="G915" s="6">
        <v>42932</v>
      </c>
      <c r="H915" s="6">
        <v>42932</v>
      </c>
      <c r="I915" s="4">
        <v>0</v>
      </c>
      <c r="J915" s="8" t="s">
        <v>37</v>
      </c>
      <c r="K915" s="8" t="s">
        <v>1759</v>
      </c>
      <c r="L915" s="4"/>
      <c r="M915" s="4"/>
      <c r="N915" s="4"/>
    </row>
    <row r="916" spans="1:14" x14ac:dyDescent="0.15">
      <c r="A916" s="8" t="s">
        <v>177</v>
      </c>
      <c r="B916" s="8" t="s">
        <v>222</v>
      </c>
      <c r="C916" s="8" t="s">
        <v>134</v>
      </c>
      <c r="D916" s="8" t="s">
        <v>135</v>
      </c>
      <c r="E916" s="8" t="s">
        <v>160</v>
      </c>
      <c r="F916" s="8" t="s">
        <v>161</v>
      </c>
      <c r="G916" s="6">
        <v>42831</v>
      </c>
      <c r="H916" s="6">
        <v>42831</v>
      </c>
      <c r="I916" s="4">
        <v>-2</v>
      </c>
      <c r="J916" s="8" t="s">
        <v>37</v>
      </c>
      <c r="K916" s="8" t="s">
        <v>895</v>
      </c>
      <c r="L916" s="4"/>
      <c r="M916" s="4"/>
      <c r="N916" s="4"/>
    </row>
    <row r="917" spans="1:14" ht="27" x14ac:dyDescent="0.15">
      <c r="A917" s="8" t="s">
        <v>177</v>
      </c>
      <c r="B917" s="8" t="s">
        <v>222</v>
      </c>
      <c r="C917" s="8" t="s">
        <v>181</v>
      </c>
      <c r="D917" s="11" t="s">
        <v>182</v>
      </c>
      <c r="E917" s="8" t="s">
        <v>160</v>
      </c>
      <c r="F917" s="8" t="s">
        <v>161</v>
      </c>
      <c r="G917" s="6">
        <v>42831</v>
      </c>
      <c r="H917" s="6">
        <v>42831</v>
      </c>
      <c r="I917" s="4">
        <v>-17.78</v>
      </c>
      <c r="J917" s="8" t="s">
        <v>120</v>
      </c>
      <c r="K917" s="8" t="s">
        <v>223</v>
      </c>
      <c r="L917" s="4"/>
      <c r="M917" s="4"/>
      <c r="N917" s="4"/>
    </row>
    <row r="918" spans="1:14" ht="27" x14ac:dyDescent="0.15">
      <c r="A918" s="8" t="s">
        <v>177</v>
      </c>
      <c r="B918" s="8" t="s">
        <v>224</v>
      </c>
      <c r="C918" s="8" t="s">
        <v>179</v>
      </c>
      <c r="D918" s="11" t="s">
        <v>180</v>
      </c>
      <c r="E918" s="8" t="s">
        <v>160</v>
      </c>
      <c r="F918" s="8" t="s">
        <v>161</v>
      </c>
      <c r="G918" s="6">
        <v>42831</v>
      </c>
      <c r="H918" s="6">
        <v>42831</v>
      </c>
      <c r="I918" s="4">
        <v>-3</v>
      </c>
      <c r="J918" s="8" t="s">
        <v>37</v>
      </c>
      <c r="K918" s="8" t="s">
        <v>896</v>
      </c>
      <c r="L918" s="4"/>
      <c r="M918" s="4"/>
      <c r="N918" s="4"/>
    </row>
    <row r="919" spans="1:14" ht="27" x14ac:dyDescent="0.15">
      <c r="A919" s="8" t="s">
        <v>177</v>
      </c>
      <c r="B919" s="8" t="s">
        <v>224</v>
      </c>
      <c r="C919" s="8" t="s">
        <v>181</v>
      </c>
      <c r="D919" s="11" t="s">
        <v>182</v>
      </c>
      <c r="E919" s="8" t="s">
        <v>160</v>
      </c>
      <c r="F919" s="8" t="s">
        <v>161</v>
      </c>
      <c r="G919" s="6">
        <v>42831</v>
      </c>
      <c r="H919" s="6">
        <v>42831</v>
      </c>
      <c r="I919" s="4">
        <v>-13.33</v>
      </c>
      <c r="J919" s="8" t="s">
        <v>120</v>
      </c>
      <c r="K919" s="8" t="s">
        <v>225</v>
      </c>
      <c r="L919" s="4"/>
      <c r="M919" s="4"/>
      <c r="N919" s="4"/>
    </row>
    <row r="920" spans="1:14" x14ac:dyDescent="0.15">
      <c r="A920" s="8" t="s">
        <v>177</v>
      </c>
      <c r="B920" s="8" t="s">
        <v>897</v>
      </c>
      <c r="C920" s="8" t="s">
        <v>129</v>
      </c>
      <c r="D920" s="8" t="s">
        <v>130</v>
      </c>
      <c r="E920" s="8" t="s">
        <v>160</v>
      </c>
      <c r="F920" s="8" t="s">
        <v>161</v>
      </c>
      <c r="G920" s="6">
        <v>42836</v>
      </c>
      <c r="H920" s="6">
        <v>42836</v>
      </c>
      <c r="I920" s="4">
        <v>-343</v>
      </c>
      <c r="J920" s="8" t="s">
        <v>37</v>
      </c>
      <c r="K920" s="8" t="s">
        <v>898</v>
      </c>
      <c r="L920" s="4"/>
      <c r="M920" s="4"/>
      <c r="N920" s="4"/>
    </row>
    <row r="921" spans="1:14" x14ac:dyDescent="0.15">
      <c r="A921" s="8" t="s">
        <v>177</v>
      </c>
      <c r="B921" s="8" t="s">
        <v>899</v>
      </c>
      <c r="C921" s="8" t="s">
        <v>129</v>
      </c>
      <c r="D921" s="8" t="s">
        <v>130</v>
      </c>
      <c r="E921" s="8" t="s">
        <v>160</v>
      </c>
      <c r="F921" s="8" t="s">
        <v>161</v>
      </c>
      <c r="G921" s="6">
        <v>42836</v>
      </c>
      <c r="H921" s="6">
        <v>42836</v>
      </c>
      <c r="I921" s="4">
        <v>-407</v>
      </c>
      <c r="J921" s="8" t="s">
        <v>37</v>
      </c>
      <c r="K921" s="8" t="s">
        <v>900</v>
      </c>
      <c r="L921" s="4"/>
      <c r="M921" s="4"/>
      <c r="N921" s="4"/>
    </row>
    <row r="922" spans="1:14" x14ac:dyDescent="0.15">
      <c r="A922" s="8" t="s">
        <v>177</v>
      </c>
      <c r="B922" s="8" t="s">
        <v>226</v>
      </c>
      <c r="C922" s="8" t="s">
        <v>134</v>
      </c>
      <c r="D922" s="8" t="s">
        <v>135</v>
      </c>
      <c r="E922" s="8" t="s">
        <v>160</v>
      </c>
      <c r="F922" s="8" t="s">
        <v>161</v>
      </c>
      <c r="G922" s="6">
        <v>42836</v>
      </c>
      <c r="H922" s="6">
        <v>42836</v>
      </c>
      <c r="I922" s="4">
        <v>-2</v>
      </c>
      <c r="J922" s="8" t="s">
        <v>37</v>
      </c>
      <c r="K922" s="8" t="s">
        <v>901</v>
      </c>
      <c r="L922" s="4"/>
      <c r="M922" s="4"/>
      <c r="N922" s="4"/>
    </row>
    <row r="923" spans="1:14" ht="27" x14ac:dyDescent="0.15">
      <c r="A923" s="8" t="s">
        <v>177</v>
      </c>
      <c r="B923" s="8" t="s">
        <v>226</v>
      </c>
      <c r="C923" s="8" t="s">
        <v>181</v>
      </c>
      <c r="D923" s="11" t="s">
        <v>182</v>
      </c>
      <c r="E923" s="8" t="s">
        <v>160</v>
      </c>
      <c r="F923" s="8" t="s">
        <v>161</v>
      </c>
      <c r="G923" s="6">
        <v>42836</v>
      </c>
      <c r="H923" s="6">
        <v>42836</v>
      </c>
      <c r="I923" s="4">
        <v>-17.78</v>
      </c>
      <c r="J923" s="8" t="s">
        <v>120</v>
      </c>
      <c r="K923" s="8" t="s">
        <v>227</v>
      </c>
      <c r="L923" s="4"/>
      <c r="M923" s="4"/>
      <c r="N923" s="4"/>
    </row>
    <row r="924" spans="1:14" x14ac:dyDescent="0.15">
      <c r="A924" s="8" t="s">
        <v>177</v>
      </c>
      <c r="B924" s="8" t="s">
        <v>902</v>
      </c>
      <c r="C924" s="8" t="s">
        <v>129</v>
      </c>
      <c r="D924" s="8" t="s">
        <v>130</v>
      </c>
      <c r="E924" s="8" t="s">
        <v>160</v>
      </c>
      <c r="F924" s="8" t="s">
        <v>161</v>
      </c>
      <c r="G924" s="6">
        <v>42838</v>
      </c>
      <c r="H924" s="6">
        <v>42838</v>
      </c>
      <c r="I924" s="4">
        <v>-514</v>
      </c>
      <c r="J924" s="8" t="s">
        <v>37</v>
      </c>
      <c r="K924" s="8" t="s">
        <v>903</v>
      </c>
      <c r="L924" s="4"/>
      <c r="M924" s="4"/>
      <c r="N924" s="4"/>
    </row>
    <row r="925" spans="1:14" x14ac:dyDescent="0.15">
      <c r="A925" s="8" t="s">
        <v>177</v>
      </c>
      <c r="B925" s="8" t="s">
        <v>228</v>
      </c>
      <c r="C925" s="8" t="s">
        <v>134</v>
      </c>
      <c r="D925" s="8" t="s">
        <v>135</v>
      </c>
      <c r="E925" s="8" t="s">
        <v>160</v>
      </c>
      <c r="F925" s="8" t="s">
        <v>161</v>
      </c>
      <c r="G925" s="6">
        <v>42844</v>
      </c>
      <c r="H925" s="6">
        <v>42844</v>
      </c>
      <c r="I925" s="4">
        <v>-1</v>
      </c>
      <c r="J925" s="8" t="s">
        <v>37</v>
      </c>
      <c r="K925" s="8" t="s">
        <v>904</v>
      </c>
      <c r="L925" s="4"/>
      <c r="M925" s="4"/>
      <c r="N925" s="4"/>
    </row>
    <row r="926" spans="1:14" ht="27" x14ac:dyDescent="0.15">
      <c r="A926" s="8" t="s">
        <v>177</v>
      </c>
      <c r="B926" s="8" t="s">
        <v>228</v>
      </c>
      <c r="C926" s="8" t="s">
        <v>181</v>
      </c>
      <c r="D926" s="11" t="s">
        <v>182</v>
      </c>
      <c r="E926" s="8" t="s">
        <v>160</v>
      </c>
      <c r="F926" s="8" t="s">
        <v>161</v>
      </c>
      <c r="G926" s="6">
        <v>42844</v>
      </c>
      <c r="H926" s="6">
        <v>42844</v>
      </c>
      <c r="I926" s="4">
        <v>-8.89</v>
      </c>
      <c r="J926" s="8" t="s">
        <v>120</v>
      </c>
      <c r="K926" s="8" t="s">
        <v>229</v>
      </c>
      <c r="L926" s="4"/>
      <c r="M926" s="4"/>
      <c r="N926" s="4"/>
    </row>
    <row r="927" spans="1:14" x14ac:dyDescent="0.15">
      <c r="A927" s="8" t="s">
        <v>177</v>
      </c>
      <c r="B927" s="8" t="s">
        <v>905</v>
      </c>
      <c r="C927" s="8" t="s">
        <v>129</v>
      </c>
      <c r="D927" s="8" t="s">
        <v>130</v>
      </c>
      <c r="E927" s="8" t="s">
        <v>160</v>
      </c>
      <c r="F927" s="8" t="s">
        <v>161</v>
      </c>
      <c r="G927" s="6">
        <v>42853</v>
      </c>
      <c r="H927" s="6">
        <v>42853</v>
      </c>
      <c r="I927" s="4">
        <v>222</v>
      </c>
      <c r="J927" s="8" t="s">
        <v>37</v>
      </c>
      <c r="K927" s="8" t="s">
        <v>906</v>
      </c>
      <c r="L927" s="4"/>
      <c r="M927" s="4"/>
      <c r="N927" s="4"/>
    </row>
    <row r="928" spans="1:14" x14ac:dyDescent="0.15">
      <c r="A928" s="8" t="s">
        <v>177</v>
      </c>
      <c r="B928" s="8" t="s">
        <v>230</v>
      </c>
      <c r="C928" s="8" t="s">
        <v>134</v>
      </c>
      <c r="D928" s="8" t="s">
        <v>135</v>
      </c>
      <c r="E928" s="8" t="s">
        <v>160</v>
      </c>
      <c r="F928" s="8" t="s">
        <v>161</v>
      </c>
      <c r="G928" s="6">
        <v>42860</v>
      </c>
      <c r="H928" s="6">
        <v>42860</v>
      </c>
      <c r="I928" s="4">
        <v>-2</v>
      </c>
      <c r="J928" s="8" t="s">
        <v>37</v>
      </c>
      <c r="K928" s="8" t="s">
        <v>907</v>
      </c>
      <c r="L928" s="4"/>
      <c r="M928" s="4"/>
      <c r="N928" s="4"/>
    </row>
    <row r="929" spans="1:14" ht="27" x14ac:dyDescent="0.15">
      <c r="A929" s="8" t="s">
        <v>177</v>
      </c>
      <c r="B929" s="8" t="s">
        <v>230</v>
      </c>
      <c r="C929" s="8" t="s">
        <v>181</v>
      </c>
      <c r="D929" s="11" t="s">
        <v>182</v>
      </c>
      <c r="E929" s="8" t="s">
        <v>160</v>
      </c>
      <c r="F929" s="8" t="s">
        <v>161</v>
      </c>
      <c r="G929" s="6">
        <v>42860</v>
      </c>
      <c r="H929" s="6">
        <v>42860</v>
      </c>
      <c r="I929" s="4">
        <v>-17.78</v>
      </c>
      <c r="J929" s="8" t="s">
        <v>120</v>
      </c>
      <c r="K929" s="8" t="s">
        <v>231</v>
      </c>
      <c r="L929" s="4"/>
      <c r="M929" s="4"/>
      <c r="N929" s="4"/>
    </row>
    <row r="930" spans="1:14" ht="27" x14ac:dyDescent="0.15">
      <c r="A930" s="8" t="s">
        <v>177</v>
      </c>
      <c r="B930" s="8" t="s">
        <v>232</v>
      </c>
      <c r="C930" s="8" t="s">
        <v>179</v>
      </c>
      <c r="D930" s="11" t="s">
        <v>180</v>
      </c>
      <c r="E930" s="8" t="s">
        <v>160</v>
      </c>
      <c r="F930" s="8" t="s">
        <v>161</v>
      </c>
      <c r="G930" s="6">
        <v>42867</v>
      </c>
      <c r="H930" s="6">
        <v>42867</v>
      </c>
      <c r="I930" s="4">
        <v>-2</v>
      </c>
      <c r="J930" s="8" t="s">
        <v>37</v>
      </c>
      <c r="K930" s="8" t="s">
        <v>908</v>
      </c>
      <c r="L930" s="4"/>
      <c r="M930" s="4"/>
      <c r="N930" s="4"/>
    </row>
    <row r="931" spans="1:14" ht="27" x14ac:dyDescent="0.15">
      <c r="A931" s="8" t="s">
        <v>177</v>
      </c>
      <c r="B931" s="8" t="s">
        <v>232</v>
      </c>
      <c r="C931" s="8" t="s">
        <v>181</v>
      </c>
      <c r="D931" s="11" t="s">
        <v>182</v>
      </c>
      <c r="E931" s="8" t="s">
        <v>160</v>
      </c>
      <c r="F931" s="8" t="s">
        <v>161</v>
      </c>
      <c r="G931" s="6">
        <v>42867</v>
      </c>
      <c r="H931" s="6">
        <v>42867</v>
      </c>
      <c r="I931" s="4">
        <v>-8.89</v>
      </c>
      <c r="J931" s="8" t="s">
        <v>120</v>
      </c>
      <c r="K931" s="8" t="s">
        <v>233</v>
      </c>
      <c r="L931" s="4"/>
      <c r="M931" s="4"/>
      <c r="N931" s="4"/>
    </row>
    <row r="932" spans="1:14" x14ac:dyDescent="0.15">
      <c r="A932" s="8" t="s">
        <v>177</v>
      </c>
      <c r="B932" s="8" t="s">
        <v>234</v>
      </c>
      <c r="C932" s="8" t="s">
        <v>134</v>
      </c>
      <c r="D932" s="8" t="s">
        <v>135</v>
      </c>
      <c r="E932" s="8" t="s">
        <v>160</v>
      </c>
      <c r="F932" s="8" t="s">
        <v>161</v>
      </c>
      <c r="G932" s="6">
        <v>42871</v>
      </c>
      <c r="H932" s="6">
        <v>42871</v>
      </c>
      <c r="I932" s="4">
        <v>-1</v>
      </c>
      <c r="J932" s="8" t="s">
        <v>37</v>
      </c>
      <c r="K932" s="8" t="s">
        <v>909</v>
      </c>
      <c r="L932" s="4"/>
      <c r="M932" s="4"/>
      <c r="N932" s="4"/>
    </row>
    <row r="933" spans="1:14" ht="27" x14ac:dyDescent="0.15">
      <c r="A933" s="8" t="s">
        <v>177</v>
      </c>
      <c r="B933" s="8" t="s">
        <v>234</v>
      </c>
      <c r="C933" s="8" t="s">
        <v>181</v>
      </c>
      <c r="D933" s="11" t="s">
        <v>182</v>
      </c>
      <c r="E933" s="8" t="s">
        <v>160</v>
      </c>
      <c r="F933" s="8" t="s">
        <v>161</v>
      </c>
      <c r="G933" s="6">
        <v>42871</v>
      </c>
      <c r="H933" s="6">
        <v>42871</v>
      </c>
      <c r="I933" s="4">
        <v>-8.89</v>
      </c>
      <c r="J933" s="8" t="s">
        <v>120</v>
      </c>
      <c r="K933" s="8" t="s">
        <v>235</v>
      </c>
      <c r="L933" s="4"/>
      <c r="M933" s="4"/>
      <c r="N933" s="4"/>
    </row>
    <row r="934" spans="1:14" x14ac:dyDescent="0.15">
      <c r="A934" s="8" t="s">
        <v>177</v>
      </c>
      <c r="B934" s="8" t="s">
        <v>236</v>
      </c>
      <c r="C934" s="8" t="s">
        <v>134</v>
      </c>
      <c r="D934" s="8" t="s">
        <v>135</v>
      </c>
      <c r="E934" s="8" t="s">
        <v>160</v>
      </c>
      <c r="F934" s="8" t="s">
        <v>161</v>
      </c>
      <c r="G934" s="6">
        <v>42873</v>
      </c>
      <c r="H934" s="6">
        <v>42873</v>
      </c>
      <c r="I934" s="4">
        <v>-1</v>
      </c>
      <c r="J934" s="8" t="s">
        <v>37</v>
      </c>
      <c r="K934" s="8" t="s">
        <v>910</v>
      </c>
      <c r="L934" s="4"/>
      <c r="M934" s="4"/>
      <c r="N934" s="4"/>
    </row>
    <row r="935" spans="1:14" ht="27" x14ac:dyDescent="0.15">
      <c r="A935" s="8" t="s">
        <v>177</v>
      </c>
      <c r="B935" s="8" t="s">
        <v>236</v>
      </c>
      <c r="C935" s="8" t="s">
        <v>181</v>
      </c>
      <c r="D935" s="11" t="s">
        <v>182</v>
      </c>
      <c r="E935" s="8" t="s">
        <v>160</v>
      </c>
      <c r="F935" s="8" t="s">
        <v>161</v>
      </c>
      <c r="G935" s="6">
        <v>42873</v>
      </c>
      <c r="H935" s="6">
        <v>42873</v>
      </c>
      <c r="I935" s="4">
        <v>-8.89</v>
      </c>
      <c r="J935" s="8" t="s">
        <v>120</v>
      </c>
      <c r="K935" s="8" t="s">
        <v>237</v>
      </c>
      <c r="L935" s="4"/>
      <c r="M935" s="4"/>
      <c r="N935" s="4"/>
    </row>
    <row r="936" spans="1:14" ht="27" x14ac:dyDescent="0.15">
      <c r="A936" s="8" t="s">
        <v>177</v>
      </c>
      <c r="B936" s="8" t="s">
        <v>178</v>
      </c>
      <c r="C936" s="8" t="s">
        <v>179</v>
      </c>
      <c r="D936" s="11" t="s">
        <v>180</v>
      </c>
      <c r="E936" s="8" t="s">
        <v>160</v>
      </c>
      <c r="F936" s="8" t="s">
        <v>161</v>
      </c>
      <c r="G936" s="6">
        <v>42895</v>
      </c>
      <c r="H936" s="6">
        <v>42895</v>
      </c>
      <c r="I936" s="4">
        <v>-1</v>
      </c>
      <c r="J936" s="8" t="s">
        <v>37</v>
      </c>
      <c r="K936" s="8" t="s">
        <v>911</v>
      </c>
      <c r="L936" s="4"/>
      <c r="M936" s="4"/>
      <c r="N936" s="4"/>
    </row>
    <row r="937" spans="1:14" ht="27" x14ac:dyDescent="0.15">
      <c r="A937" s="8" t="s">
        <v>177</v>
      </c>
      <c r="B937" s="8" t="s">
        <v>178</v>
      </c>
      <c r="C937" s="8" t="s">
        <v>181</v>
      </c>
      <c r="D937" s="11" t="s">
        <v>182</v>
      </c>
      <c r="E937" s="8" t="s">
        <v>160</v>
      </c>
      <c r="F937" s="8" t="s">
        <v>161</v>
      </c>
      <c r="G937" s="6">
        <v>42895</v>
      </c>
      <c r="H937" s="6">
        <v>42895</v>
      </c>
      <c r="I937" s="4">
        <v>-4.4399999999999995</v>
      </c>
      <c r="J937" s="8" t="s">
        <v>120</v>
      </c>
      <c r="K937" s="8" t="s">
        <v>183</v>
      </c>
      <c r="L937" s="4"/>
      <c r="M937" s="4"/>
      <c r="N937" s="4"/>
    </row>
    <row r="938" spans="1:14" ht="27" x14ac:dyDescent="0.15">
      <c r="A938" s="8" t="s">
        <v>177</v>
      </c>
      <c r="B938" s="8" t="s">
        <v>184</v>
      </c>
      <c r="C938" s="8" t="s">
        <v>179</v>
      </c>
      <c r="D938" s="11" t="s">
        <v>180</v>
      </c>
      <c r="E938" s="8" t="s">
        <v>160</v>
      </c>
      <c r="F938" s="8" t="s">
        <v>161</v>
      </c>
      <c r="G938" s="6">
        <v>42913</v>
      </c>
      <c r="H938" s="6">
        <v>42913</v>
      </c>
      <c r="I938" s="4">
        <v>-1</v>
      </c>
      <c r="J938" s="8" t="s">
        <v>37</v>
      </c>
      <c r="K938" s="8" t="s">
        <v>912</v>
      </c>
      <c r="L938" s="4"/>
      <c r="M938" s="4"/>
      <c r="N938" s="4"/>
    </row>
    <row r="939" spans="1:14" ht="27" x14ac:dyDescent="0.15">
      <c r="A939" s="8" t="s">
        <v>177</v>
      </c>
      <c r="B939" s="8" t="s">
        <v>184</v>
      </c>
      <c r="C939" s="8" t="s">
        <v>181</v>
      </c>
      <c r="D939" s="11" t="s">
        <v>182</v>
      </c>
      <c r="E939" s="8" t="s">
        <v>160</v>
      </c>
      <c r="F939" s="8" t="s">
        <v>161</v>
      </c>
      <c r="G939" s="6">
        <v>42913</v>
      </c>
      <c r="H939" s="6">
        <v>42913</v>
      </c>
      <c r="I939" s="4">
        <v>-4.4399999999999995</v>
      </c>
      <c r="J939" s="8" t="s">
        <v>120</v>
      </c>
      <c r="K939" s="8" t="s">
        <v>185</v>
      </c>
      <c r="L939" s="4"/>
      <c r="M939" s="4"/>
      <c r="N939" s="4"/>
    </row>
    <row r="940" spans="1:14" x14ac:dyDescent="0.15">
      <c r="A940" s="8" t="s">
        <v>177</v>
      </c>
      <c r="B940" s="8" t="s">
        <v>1760</v>
      </c>
      <c r="C940" s="8" t="s">
        <v>131</v>
      </c>
      <c r="D940" s="8" t="s">
        <v>132</v>
      </c>
      <c r="E940" s="8" t="s">
        <v>160</v>
      </c>
      <c r="F940" s="8" t="s">
        <v>161</v>
      </c>
      <c r="G940" s="6">
        <v>42918</v>
      </c>
      <c r="H940" s="6">
        <v>42918</v>
      </c>
      <c r="I940" s="4">
        <v>-1</v>
      </c>
      <c r="J940" s="8" t="s">
        <v>37</v>
      </c>
      <c r="K940" s="8" t="s">
        <v>1761</v>
      </c>
      <c r="L940" s="4"/>
      <c r="M940" s="4"/>
      <c r="N940" s="4"/>
    </row>
    <row r="941" spans="1:14" ht="27" x14ac:dyDescent="0.15">
      <c r="A941" s="8" t="s">
        <v>177</v>
      </c>
      <c r="B941" s="8" t="s">
        <v>1760</v>
      </c>
      <c r="C941" s="8" t="s">
        <v>181</v>
      </c>
      <c r="D941" s="11" t="s">
        <v>182</v>
      </c>
      <c r="E941" s="8" t="s">
        <v>160</v>
      </c>
      <c r="F941" s="8" t="s">
        <v>161</v>
      </c>
      <c r="G941" s="6">
        <v>42918</v>
      </c>
      <c r="H941" s="6">
        <v>42918</v>
      </c>
      <c r="I941" s="4">
        <v>-1.78</v>
      </c>
      <c r="J941" s="8" t="s">
        <v>120</v>
      </c>
      <c r="K941" s="8" t="s">
        <v>1762</v>
      </c>
      <c r="L941" s="4"/>
      <c r="M941" s="4"/>
      <c r="N941" s="4"/>
    </row>
    <row r="942" spans="1:14" ht="27" x14ac:dyDescent="0.15">
      <c r="A942" s="8" t="s">
        <v>177</v>
      </c>
      <c r="B942" s="8" t="s">
        <v>1763</v>
      </c>
      <c r="C942" s="8" t="s">
        <v>179</v>
      </c>
      <c r="D942" s="11" t="s">
        <v>180</v>
      </c>
      <c r="E942" s="8" t="s">
        <v>160</v>
      </c>
      <c r="F942" s="8" t="s">
        <v>161</v>
      </c>
      <c r="G942" s="6">
        <v>42922</v>
      </c>
      <c r="H942" s="6">
        <v>42922</v>
      </c>
      <c r="I942" s="4">
        <v>-1</v>
      </c>
      <c r="J942" s="8" t="s">
        <v>37</v>
      </c>
      <c r="K942" s="8" t="s">
        <v>1764</v>
      </c>
      <c r="L942" s="4"/>
      <c r="M942" s="4"/>
      <c r="N942" s="4"/>
    </row>
    <row r="943" spans="1:14" ht="27" x14ac:dyDescent="0.15">
      <c r="A943" s="8" t="s">
        <v>177</v>
      </c>
      <c r="B943" s="8" t="s">
        <v>1763</v>
      </c>
      <c r="C943" s="8" t="s">
        <v>181</v>
      </c>
      <c r="D943" s="11" t="s">
        <v>182</v>
      </c>
      <c r="E943" s="8" t="s">
        <v>160</v>
      </c>
      <c r="F943" s="8" t="s">
        <v>161</v>
      </c>
      <c r="G943" s="6">
        <v>42922</v>
      </c>
      <c r="H943" s="6">
        <v>42922</v>
      </c>
      <c r="I943" s="4">
        <v>-4.4399999999999995</v>
      </c>
      <c r="J943" s="8" t="s">
        <v>120</v>
      </c>
      <c r="K943" s="8" t="s">
        <v>1765</v>
      </c>
      <c r="L943" s="4"/>
      <c r="M943" s="4"/>
      <c r="N943" s="4"/>
    </row>
    <row r="944" spans="1:14" x14ac:dyDescent="0.15">
      <c r="A944" s="8" t="s">
        <v>177</v>
      </c>
      <c r="B944" s="8" t="s">
        <v>1766</v>
      </c>
      <c r="C944" s="8" t="s">
        <v>129</v>
      </c>
      <c r="D944" s="8" t="s">
        <v>130</v>
      </c>
      <c r="E944" s="8" t="s">
        <v>160</v>
      </c>
      <c r="F944" s="8" t="s">
        <v>161</v>
      </c>
      <c r="G944" s="6">
        <v>42932</v>
      </c>
      <c r="H944" s="6">
        <v>42932</v>
      </c>
      <c r="I944" s="4">
        <v>-16</v>
      </c>
      <c r="J944" s="8" t="s">
        <v>37</v>
      </c>
      <c r="K944" s="8" t="s">
        <v>1767</v>
      </c>
      <c r="L944" s="4"/>
      <c r="M944" s="4"/>
      <c r="N944" s="4"/>
    </row>
    <row r="945" spans="1:14" x14ac:dyDescent="0.15">
      <c r="A945" s="8" t="s">
        <v>177</v>
      </c>
      <c r="B945" s="8" t="s">
        <v>1768</v>
      </c>
      <c r="C945" s="8" t="s">
        <v>129</v>
      </c>
      <c r="D945" s="8" t="s">
        <v>130</v>
      </c>
      <c r="E945" s="8" t="s">
        <v>160</v>
      </c>
      <c r="F945" s="8" t="s">
        <v>161</v>
      </c>
      <c r="G945" s="6">
        <v>42932</v>
      </c>
      <c r="H945" s="6">
        <v>42932</v>
      </c>
      <c r="I945" s="4">
        <v>-84</v>
      </c>
      <c r="J945" s="8" t="s">
        <v>37</v>
      </c>
      <c r="K945" s="8" t="s">
        <v>1769</v>
      </c>
      <c r="L945" s="4"/>
      <c r="M945" s="4"/>
      <c r="N945" s="4"/>
    </row>
    <row r="946" spans="1:14" ht="27" x14ac:dyDescent="0.15">
      <c r="A946" s="8" t="s">
        <v>177</v>
      </c>
      <c r="B946" s="8" t="s">
        <v>1770</v>
      </c>
      <c r="C946" s="8" t="s">
        <v>179</v>
      </c>
      <c r="D946" s="11" t="s">
        <v>180</v>
      </c>
      <c r="E946" s="8" t="s">
        <v>160</v>
      </c>
      <c r="F946" s="8" t="s">
        <v>161</v>
      </c>
      <c r="G946" s="6">
        <v>42934</v>
      </c>
      <c r="H946" s="6">
        <v>42934</v>
      </c>
      <c r="I946" s="4">
        <v>-1</v>
      </c>
      <c r="J946" s="8" t="s">
        <v>37</v>
      </c>
      <c r="K946" s="8" t="s">
        <v>1771</v>
      </c>
      <c r="L946" s="4"/>
      <c r="M946" s="4"/>
      <c r="N946" s="4"/>
    </row>
    <row r="947" spans="1:14" ht="27" x14ac:dyDescent="0.15">
      <c r="A947" s="8" t="s">
        <v>177</v>
      </c>
      <c r="B947" s="8" t="s">
        <v>1770</v>
      </c>
      <c r="C947" s="8" t="s">
        <v>181</v>
      </c>
      <c r="D947" s="11" t="s">
        <v>182</v>
      </c>
      <c r="E947" s="8" t="s">
        <v>160</v>
      </c>
      <c r="F947" s="8" t="s">
        <v>161</v>
      </c>
      <c r="G947" s="6">
        <v>42934</v>
      </c>
      <c r="H947" s="6">
        <v>42934</v>
      </c>
      <c r="I947" s="4">
        <v>-4.4399999999999995</v>
      </c>
      <c r="J947" s="8" t="s">
        <v>120</v>
      </c>
      <c r="K947" s="8" t="s">
        <v>1772</v>
      </c>
      <c r="L947" s="4"/>
      <c r="M947" s="4"/>
      <c r="N947" s="4"/>
    </row>
    <row r="948" spans="1:14" x14ac:dyDescent="0.15">
      <c r="A948" s="8" t="s">
        <v>177</v>
      </c>
      <c r="B948" s="8" t="s">
        <v>1773</v>
      </c>
      <c r="C948" s="8" t="s">
        <v>129</v>
      </c>
      <c r="D948" s="8" t="s">
        <v>130</v>
      </c>
      <c r="E948" s="8" t="s">
        <v>160</v>
      </c>
      <c r="F948" s="8" t="s">
        <v>161</v>
      </c>
      <c r="G948" s="6">
        <v>42936</v>
      </c>
      <c r="H948" s="6">
        <v>42936</v>
      </c>
      <c r="I948" s="4">
        <v>-16</v>
      </c>
      <c r="J948" s="8" t="s">
        <v>37</v>
      </c>
      <c r="K948" s="8" t="s">
        <v>1774</v>
      </c>
      <c r="L948" s="4"/>
      <c r="M948" s="4"/>
      <c r="N948" s="4"/>
    </row>
    <row r="949" spans="1:14" x14ac:dyDescent="0.15">
      <c r="A949" s="8" t="s">
        <v>177</v>
      </c>
      <c r="B949" s="8" t="s">
        <v>1773</v>
      </c>
      <c r="C949" s="8" t="s">
        <v>129</v>
      </c>
      <c r="D949" s="8" t="s">
        <v>130</v>
      </c>
      <c r="E949" s="8" t="s">
        <v>160</v>
      </c>
      <c r="F949" s="8" t="s">
        <v>161</v>
      </c>
      <c r="G949" s="6">
        <v>42936</v>
      </c>
      <c r="H949" s="6">
        <v>42936</v>
      </c>
      <c r="I949" s="4">
        <v>-16</v>
      </c>
      <c r="J949" s="8" t="s">
        <v>37</v>
      </c>
      <c r="K949" s="8" t="s">
        <v>1775</v>
      </c>
      <c r="L949" s="4"/>
      <c r="M949" s="4"/>
      <c r="N949" s="4"/>
    </row>
    <row r="950" spans="1:14" x14ac:dyDescent="0.15">
      <c r="A950" s="8" t="s">
        <v>177</v>
      </c>
      <c r="B950" s="8" t="s">
        <v>1776</v>
      </c>
      <c r="C950" s="8" t="s">
        <v>134</v>
      </c>
      <c r="D950" s="8" t="s">
        <v>135</v>
      </c>
      <c r="E950" s="8" t="s">
        <v>160</v>
      </c>
      <c r="F950" s="8" t="s">
        <v>161</v>
      </c>
      <c r="G950" s="6">
        <v>42936</v>
      </c>
      <c r="H950" s="6">
        <v>42936</v>
      </c>
      <c r="I950" s="4">
        <v>-1</v>
      </c>
      <c r="J950" s="8" t="s">
        <v>37</v>
      </c>
      <c r="K950" s="8" t="s">
        <v>1777</v>
      </c>
      <c r="L950" s="4"/>
      <c r="M950" s="4"/>
      <c r="N950" s="4"/>
    </row>
    <row r="951" spans="1:14" ht="27" x14ac:dyDescent="0.15">
      <c r="A951" s="8" t="s">
        <v>177</v>
      </c>
      <c r="B951" s="8" t="s">
        <v>1776</v>
      </c>
      <c r="C951" s="8" t="s">
        <v>181</v>
      </c>
      <c r="D951" s="11" t="s">
        <v>182</v>
      </c>
      <c r="E951" s="8" t="s">
        <v>160</v>
      </c>
      <c r="F951" s="8" t="s">
        <v>161</v>
      </c>
      <c r="G951" s="6">
        <v>42936</v>
      </c>
      <c r="H951" s="6">
        <v>42936</v>
      </c>
      <c r="I951" s="4">
        <v>-8.89</v>
      </c>
      <c r="J951" s="8" t="s">
        <v>120</v>
      </c>
      <c r="K951" s="8" t="s">
        <v>1778</v>
      </c>
      <c r="L951" s="4"/>
      <c r="M951" s="4"/>
      <c r="N951" s="4"/>
    </row>
    <row r="952" spans="1:14" x14ac:dyDescent="0.15">
      <c r="A952" s="8" t="s">
        <v>177</v>
      </c>
      <c r="B952" s="8" t="s">
        <v>1779</v>
      </c>
      <c r="C952" s="8" t="s">
        <v>129</v>
      </c>
      <c r="D952" s="8" t="s">
        <v>130</v>
      </c>
      <c r="E952" s="8" t="s">
        <v>160</v>
      </c>
      <c r="F952" s="8" t="s">
        <v>161</v>
      </c>
      <c r="G952" s="6">
        <v>42936</v>
      </c>
      <c r="H952" s="6">
        <v>42936</v>
      </c>
      <c r="I952" s="4">
        <v>-1</v>
      </c>
      <c r="J952" s="8" t="s">
        <v>37</v>
      </c>
      <c r="K952" s="8" t="s">
        <v>1780</v>
      </c>
      <c r="L952" s="4"/>
      <c r="M952" s="4"/>
      <c r="N952" s="4"/>
    </row>
    <row r="953" spans="1:14" x14ac:dyDescent="0.15">
      <c r="A953" s="8" t="s">
        <v>177</v>
      </c>
      <c r="B953" s="8" t="s">
        <v>1781</v>
      </c>
      <c r="C953" s="8" t="s">
        <v>134</v>
      </c>
      <c r="D953" s="8" t="s">
        <v>135</v>
      </c>
      <c r="E953" s="8" t="s">
        <v>160</v>
      </c>
      <c r="F953" s="8" t="s">
        <v>161</v>
      </c>
      <c r="G953" s="6">
        <v>42937</v>
      </c>
      <c r="H953" s="6">
        <v>42937</v>
      </c>
      <c r="I953" s="4">
        <v>-1</v>
      </c>
      <c r="J953" s="8" t="s">
        <v>37</v>
      </c>
      <c r="K953" s="8" t="s">
        <v>1782</v>
      </c>
      <c r="L953" s="4"/>
      <c r="M953" s="4"/>
      <c r="N953" s="4"/>
    </row>
    <row r="954" spans="1:14" ht="27" x14ac:dyDescent="0.15">
      <c r="A954" s="8" t="s">
        <v>177</v>
      </c>
      <c r="B954" s="8" t="s">
        <v>1781</v>
      </c>
      <c r="C954" s="8" t="s">
        <v>181</v>
      </c>
      <c r="D954" s="11" t="s">
        <v>182</v>
      </c>
      <c r="E954" s="8" t="s">
        <v>160</v>
      </c>
      <c r="F954" s="8" t="s">
        <v>161</v>
      </c>
      <c r="G954" s="6">
        <v>42937</v>
      </c>
      <c r="H954" s="6">
        <v>42937</v>
      </c>
      <c r="I954" s="4">
        <v>-8.89</v>
      </c>
      <c r="J954" s="8" t="s">
        <v>120</v>
      </c>
      <c r="K954" s="8" t="s">
        <v>1783</v>
      </c>
      <c r="L954" s="4"/>
      <c r="M954" s="4"/>
      <c r="N954" s="4"/>
    </row>
    <row r="955" spans="1:14" x14ac:dyDescent="0.15">
      <c r="A955" s="8" t="s">
        <v>177</v>
      </c>
      <c r="B955" s="8" t="s">
        <v>1784</v>
      </c>
      <c r="C955" s="8" t="s">
        <v>129</v>
      </c>
      <c r="D955" s="8" t="s">
        <v>130</v>
      </c>
      <c r="E955" s="8" t="s">
        <v>160</v>
      </c>
      <c r="F955" s="8" t="s">
        <v>161</v>
      </c>
      <c r="G955" s="6">
        <v>42940</v>
      </c>
      <c r="H955" s="6">
        <v>42940</v>
      </c>
      <c r="I955" s="4">
        <v>-68</v>
      </c>
      <c r="J955" s="8" t="s">
        <v>37</v>
      </c>
      <c r="K955" s="8" t="s">
        <v>1785</v>
      </c>
      <c r="L955" s="4"/>
      <c r="M955" s="4"/>
      <c r="N955" s="4"/>
    </row>
    <row r="956" spans="1:14" x14ac:dyDescent="0.15">
      <c r="A956" s="8" t="s">
        <v>177</v>
      </c>
      <c r="B956" s="8" t="s">
        <v>1786</v>
      </c>
      <c r="C956" s="8" t="s">
        <v>129</v>
      </c>
      <c r="D956" s="8" t="s">
        <v>130</v>
      </c>
      <c r="E956" s="8" t="s">
        <v>160</v>
      </c>
      <c r="F956" s="8" t="s">
        <v>161</v>
      </c>
      <c r="G956" s="6">
        <v>42940</v>
      </c>
      <c r="H956" s="6">
        <v>42940</v>
      </c>
      <c r="I956" s="4">
        <v>-262</v>
      </c>
      <c r="J956" s="8" t="s">
        <v>37</v>
      </c>
      <c r="K956" s="8" t="s">
        <v>1787</v>
      </c>
      <c r="L956" s="4"/>
      <c r="M956" s="4"/>
      <c r="N956" s="4"/>
    </row>
    <row r="957" spans="1:14" x14ac:dyDescent="0.15">
      <c r="A957" s="8" t="s">
        <v>177</v>
      </c>
      <c r="B957" s="8" t="s">
        <v>1786</v>
      </c>
      <c r="C957" s="8" t="s">
        <v>129</v>
      </c>
      <c r="D957" s="8" t="s">
        <v>130</v>
      </c>
      <c r="E957" s="8" t="s">
        <v>160</v>
      </c>
      <c r="F957" s="8" t="s">
        <v>161</v>
      </c>
      <c r="G957" s="6">
        <v>42940</v>
      </c>
      <c r="H957" s="6">
        <v>42940</v>
      </c>
      <c r="I957" s="4">
        <v>-84</v>
      </c>
      <c r="J957" s="8" t="s">
        <v>37</v>
      </c>
      <c r="K957" s="8" t="s">
        <v>1788</v>
      </c>
      <c r="L957" s="4"/>
      <c r="M957" s="4"/>
      <c r="N957" s="4"/>
    </row>
    <row r="958" spans="1:14" x14ac:dyDescent="0.15">
      <c r="A958" s="8" t="s">
        <v>177</v>
      </c>
      <c r="B958" s="8" t="s">
        <v>1786</v>
      </c>
      <c r="C958" s="8" t="s">
        <v>129</v>
      </c>
      <c r="D958" s="8" t="s">
        <v>130</v>
      </c>
      <c r="E958" s="8" t="s">
        <v>160</v>
      </c>
      <c r="F958" s="8" t="s">
        <v>161</v>
      </c>
      <c r="G958" s="6">
        <v>42940</v>
      </c>
      <c r="H958" s="6">
        <v>42940</v>
      </c>
      <c r="I958" s="4">
        <v>-258</v>
      </c>
      <c r="J958" s="8" t="s">
        <v>37</v>
      </c>
      <c r="K958" s="8" t="s">
        <v>1789</v>
      </c>
      <c r="L958" s="4"/>
      <c r="M958" s="4"/>
      <c r="N958" s="4"/>
    </row>
    <row r="959" spans="1:14" x14ac:dyDescent="0.15">
      <c r="A959" s="8" t="s">
        <v>177</v>
      </c>
      <c r="B959" s="8" t="s">
        <v>1790</v>
      </c>
      <c r="C959" s="8" t="s">
        <v>129</v>
      </c>
      <c r="D959" s="8" t="s">
        <v>130</v>
      </c>
      <c r="E959" s="8" t="s">
        <v>160</v>
      </c>
      <c r="F959" s="8" t="s">
        <v>161</v>
      </c>
      <c r="G959" s="6">
        <v>42940</v>
      </c>
      <c r="H959" s="6">
        <v>42940</v>
      </c>
      <c r="I959" s="4">
        <v>-2</v>
      </c>
      <c r="J959" s="8" t="s">
        <v>37</v>
      </c>
      <c r="K959" s="8" t="s">
        <v>1791</v>
      </c>
      <c r="L959" s="4"/>
      <c r="M959" s="4"/>
      <c r="N959" s="4"/>
    </row>
    <row r="960" spans="1:14" x14ac:dyDescent="0.15">
      <c r="A960" s="8" t="s">
        <v>177</v>
      </c>
      <c r="B960" s="8" t="s">
        <v>1790</v>
      </c>
      <c r="C960" s="8" t="s">
        <v>129</v>
      </c>
      <c r="D960" s="8" t="s">
        <v>130</v>
      </c>
      <c r="E960" s="8" t="s">
        <v>160</v>
      </c>
      <c r="F960" s="8" t="s">
        <v>161</v>
      </c>
      <c r="G960" s="6">
        <v>42940</v>
      </c>
      <c r="H960" s="6">
        <v>42940</v>
      </c>
      <c r="I960" s="4">
        <v>-8</v>
      </c>
      <c r="J960" s="8" t="s">
        <v>37</v>
      </c>
      <c r="K960" s="8" t="s">
        <v>1792</v>
      </c>
      <c r="L960" s="4"/>
      <c r="M960" s="4"/>
      <c r="N960" s="4"/>
    </row>
    <row r="961" spans="1:14" x14ac:dyDescent="0.15">
      <c r="A961" s="8" t="s">
        <v>177</v>
      </c>
      <c r="B961" s="8" t="s">
        <v>1790</v>
      </c>
      <c r="C961" s="8" t="s">
        <v>129</v>
      </c>
      <c r="D961" s="8" t="s">
        <v>130</v>
      </c>
      <c r="E961" s="8" t="s">
        <v>160</v>
      </c>
      <c r="F961" s="8" t="s">
        <v>161</v>
      </c>
      <c r="G961" s="6">
        <v>42940</v>
      </c>
      <c r="H961" s="6">
        <v>42940</v>
      </c>
      <c r="I961" s="4">
        <v>-32</v>
      </c>
      <c r="J961" s="8" t="s">
        <v>37</v>
      </c>
      <c r="K961" s="8" t="s">
        <v>1793</v>
      </c>
      <c r="L961" s="4"/>
      <c r="M961" s="4"/>
      <c r="N961" s="4"/>
    </row>
    <row r="962" spans="1:14" x14ac:dyDescent="0.15">
      <c r="A962" s="8" t="s">
        <v>177</v>
      </c>
      <c r="B962" s="8" t="s">
        <v>1790</v>
      </c>
      <c r="C962" s="8" t="s">
        <v>129</v>
      </c>
      <c r="D962" s="8" t="s">
        <v>130</v>
      </c>
      <c r="E962" s="8" t="s">
        <v>160</v>
      </c>
      <c r="F962" s="8" t="s">
        <v>161</v>
      </c>
      <c r="G962" s="6">
        <v>42940</v>
      </c>
      <c r="H962" s="6">
        <v>42940</v>
      </c>
      <c r="I962" s="4">
        <v>-3</v>
      </c>
      <c r="J962" s="8" t="s">
        <v>37</v>
      </c>
      <c r="K962" s="8" t="s">
        <v>1794</v>
      </c>
      <c r="L962" s="4"/>
      <c r="M962" s="4"/>
      <c r="N962" s="4"/>
    </row>
    <row r="963" spans="1:14" x14ac:dyDescent="0.15">
      <c r="A963" s="8" t="s">
        <v>177</v>
      </c>
      <c r="B963" s="8" t="s">
        <v>1790</v>
      </c>
      <c r="C963" s="8" t="s">
        <v>129</v>
      </c>
      <c r="D963" s="8" t="s">
        <v>130</v>
      </c>
      <c r="E963" s="8" t="s">
        <v>160</v>
      </c>
      <c r="F963" s="8" t="s">
        <v>161</v>
      </c>
      <c r="G963" s="6">
        <v>42940</v>
      </c>
      <c r="H963" s="6">
        <v>42940</v>
      </c>
      <c r="I963" s="4">
        <v>-12</v>
      </c>
      <c r="J963" s="8" t="s">
        <v>37</v>
      </c>
      <c r="K963" s="8" t="s">
        <v>1795</v>
      </c>
      <c r="L963" s="4"/>
      <c r="M963" s="4"/>
      <c r="N963" s="4"/>
    </row>
    <row r="964" spans="1:14" x14ac:dyDescent="0.15">
      <c r="A964" s="8" t="s">
        <v>177</v>
      </c>
      <c r="B964" s="8" t="s">
        <v>1796</v>
      </c>
      <c r="C964" s="8" t="s">
        <v>131</v>
      </c>
      <c r="D964" s="8" t="s">
        <v>132</v>
      </c>
      <c r="E964" s="8" t="s">
        <v>160</v>
      </c>
      <c r="F964" s="8" t="s">
        <v>161</v>
      </c>
      <c r="G964" s="6">
        <v>42940</v>
      </c>
      <c r="H964" s="6">
        <v>42940</v>
      </c>
      <c r="I964" s="4">
        <v>-1</v>
      </c>
      <c r="J964" s="8" t="s">
        <v>37</v>
      </c>
      <c r="K964" s="8" t="s">
        <v>1797</v>
      </c>
      <c r="L964" s="4"/>
      <c r="M964" s="4"/>
      <c r="N964" s="4"/>
    </row>
    <row r="965" spans="1:14" ht="27" x14ac:dyDescent="0.15">
      <c r="A965" s="8" t="s">
        <v>177</v>
      </c>
      <c r="B965" s="8" t="s">
        <v>1796</v>
      </c>
      <c r="C965" s="8" t="s">
        <v>181</v>
      </c>
      <c r="D965" s="11" t="s">
        <v>182</v>
      </c>
      <c r="E965" s="8" t="s">
        <v>160</v>
      </c>
      <c r="F965" s="8" t="s">
        <v>161</v>
      </c>
      <c r="G965" s="6">
        <v>42940</v>
      </c>
      <c r="H965" s="6">
        <v>42940</v>
      </c>
      <c r="I965" s="4">
        <v>-1.78</v>
      </c>
      <c r="J965" s="8" t="s">
        <v>120</v>
      </c>
      <c r="K965" s="8" t="s">
        <v>1798</v>
      </c>
      <c r="L965" s="4"/>
      <c r="M965" s="4"/>
      <c r="N965" s="4"/>
    </row>
    <row r="966" spans="1:14" x14ac:dyDescent="0.15">
      <c r="A966" s="8" t="s">
        <v>177</v>
      </c>
      <c r="B966" s="8" t="s">
        <v>1799</v>
      </c>
      <c r="C966" s="8" t="s">
        <v>129</v>
      </c>
      <c r="D966" s="8" t="s">
        <v>130</v>
      </c>
      <c r="E966" s="8" t="s">
        <v>160</v>
      </c>
      <c r="F966" s="8" t="s">
        <v>161</v>
      </c>
      <c r="G966" s="6">
        <v>42947</v>
      </c>
      <c r="H966" s="6">
        <v>42947</v>
      </c>
      <c r="I966" s="4">
        <v>-47</v>
      </c>
      <c r="J966" s="8" t="s">
        <v>37</v>
      </c>
      <c r="K966" s="8" t="s">
        <v>1800</v>
      </c>
      <c r="L966" s="4"/>
      <c r="M966" s="4"/>
      <c r="N966" s="4"/>
    </row>
    <row r="967" spans="1:14" x14ac:dyDescent="0.15">
      <c r="A967" s="8" t="s">
        <v>177</v>
      </c>
      <c r="B967" s="8" t="s">
        <v>1799</v>
      </c>
      <c r="C967" s="8" t="s">
        <v>129</v>
      </c>
      <c r="D967" s="8" t="s">
        <v>130</v>
      </c>
      <c r="E967" s="8" t="s">
        <v>160</v>
      </c>
      <c r="F967" s="8" t="s">
        <v>161</v>
      </c>
      <c r="G967" s="6">
        <v>42947</v>
      </c>
      <c r="H967" s="6">
        <v>42947</v>
      </c>
      <c r="I967" s="4">
        <v>-37</v>
      </c>
      <c r="J967" s="8" t="s">
        <v>37</v>
      </c>
      <c r="K967" s="8" t="s">
        <v>1801</v>
      </c>
      <c r="L967" s="4"/>
      <c r="M967" s="4"/>
      <c r="N967" s="4"/>
    </row>
    <row r="968" spans="1:14" x14ac:dyDescent="0.15">
      <c r="A968" s="8" t="s">
        <v>177</v>
      </c>
      <c r="B968" s="8" t="s">
        <v>1799</v>
      </c>
      <c r="C968" s="8" t="s">
        <v>129</v>
      </c>
      <c r="D968" s="8" t="s">
        <v>130</v>
      </c>
      <c r="E968" s="8" t="s">
        <v>160</v>
      </c>
      <c r="F968" s="8" t="s">
        <v>161</v>
      </c>
      <c r="G968" s="6">
        <v>42947</v>
      </c>
      <c r="H968" s="6">
        <v>42947</v>
      </c>
      <c r="I968" s="4">
        <v>-52</v>
      </c>
      <c r="J968" s="8" t="s">
        <v>37</v>
      </c>
      <c r="K968" s="8" t="s">
        <v>1802</v>
      </c>
      <c r="L968" s="4"/>
      <c r="M968" s="4"/>
      <c r="N968" s="4"/>
    </row>
    <row r="969" spans="1:14" x14ac:dyDescent="0.15">
      <c r="A969" s="8" t="s">
        <v>177</v>
      </c>
      <c r="B969" s="8" t="s">
        <v>1803</v>
      </c>
      <c r="C969" s="8" t="s">
        <v>129</v>
      </c>
      <c r="D969" s="8" t="s">
        <v>130</v>
      </c>
      <c r="E969" s="8" t="s">
        <v>160</v>
      </c>
      <c r="F969" s="8" t="s">
        <v>161</v>
      </c>
      <c r="G969" s="6">
        <v>42947</v>
      </c>
      <c r="H969" s="6">
        <v>42947</v>
      </c>
      <c r="I969" s="4">
        <v>-6</v>
      </c>
      <c r="J969" s="8" t="s">
        <v>37</v>
      </c>
      <c r="K969" s="8" t="s">
        <v>1804</v>
      </c>
      <c r="L969" s="4"/>
      <c r="M969" s="4"/>
      <c r="N969" s="4"/>
    </row>
    <row r="970" spans="1:14" x14ac:dyDescent="0.15">
      <c r="A970" s="8" t="s">
        <v>177</v>
      </c>
      <c r="B970" s="8" t="s">
        <v>1805</v>
      </c>
      <c r="C970" s="8" t="s">
        <v>129</v>
      </c>
      <c r="D970" s="8" t="s">
        <v>130</v>
      </c>
      <c r="E970" s="8" t="s">
        <v>160</v>
      </c>
      <c r="F970" s="8" t="s">
        <v>161</v>
      </c>
      <c r="G970" s="6">
        <v>42963</v>
      </c>
      <c r="H970" s="6">
        <v>42963</v>
      </c>
      <c r="I970" s="4">
        <v>-1</v>
      </c>
      <c r="J970" s="8" t="s">
        <v>37</v>
      </c>
      <c r="K970" s="8" t="s">
        <v>376</v>
      </c>
      <c r="L970" s="4"/>
      <c r="M970" s="4"/>
      <c r="N970" s="4"/>
    </row>
    <row r="971" spans="1:14" x14ac:dyDescent="0.15">
      <c r="A971" s="8" t="s">
        <v>177</v>
      </c>
      <c r="B971" s="8" t="s">
        <v>1806</v>
      </c>
      <c r="C971" s="8" t="s">
        <v>129</v>
      </c>
      <c r="D971" s="8" t="s">
        <v>130</v>
      </c>
      <c r="E971" s="8" t="s">
        <v>160</v>
      </c>
      <c r="F971" s="8" t="s">
        <v>161</v>
      </c>
      <c r="G971" s="6">
        <v>42971</v>
      </c>
      <c r="H971" s="6">
        <v>42971</v>
      </c>
      <c r="I971" s="4">
        <v>-1</v>
      </c>
      <c r="J971" s="8" t="s">
        <v>37</v>
      </c>
      <c r="K971" s="8" t="s">
        <v>1807</v>
      </c>
      <c r="L971" s="4"/>
      <c r="M971" s="4"/>
      <c r="N971" s="4"/>
    </row>
    <row r="972" spans="1:14" x14ac:dyDescent="0.15">
      <c r="A972" s="8" t="s">
        <v>177</v>
      </c>
      <c r="B972" s="8" t="s">
        <v>1806</v>
      </c>
      <c r="C972" s="8" t="s">
        <v>129</v>
      </c>
      <c r="D972" s="8" t="s">
        <v>130</v>
      </c>
      <c r="E972" s="8" t="s">
        <v>160</v>
      </c>
      <c r="F972" s="8" t="s">
        <v>161</v>
      </c>
      <c r="G972" s="6">
        <v>42971</v>
      </c>
      <c r="H972" s="6">
        <v>42971</v>
      </c>
      <c r="I972" s="4">
        <v>-14</v>
      </c>
      <c r="J972" s="8" t="s">
        <v>37</v>
      </c>
      <c r="K972" s="8" t="s">
        <v>1808</v>
      </c>
      <c r="L972" s="4"/>
      <c r="M972" s="4"/>
      <c r="N972" s="4"/>
    </row>
    <row r="973" spans="1:14" x14ac:dyDescent="0.15">
      <c r="A973" s="8" t="s">
        <v>177</v>
      </c>
      <c r="B973" s="8" t="s">
        <v>1809</v>
      </c>
      <c r="C973" s="8" t="s">
        <v>129</v>
      </c>
      <c r="D973" s="8" t="s">
        <v>130</v>
      </c>
      <c r="E973" s="8" t="s">
        <v>160</v>
      </c>
      <c r="F973" s="8" t="s">
        <v>161</v>
      </c>
      <c r="G973" s="6">
        <v>42978</v>
      </c>
      <c r="H973" s="6">
        <v>42978</v>
      </c>
      <c r="I973" s="4">
        <v>-75</v>
      </c>
      <c r="J973" s="8" t="s">
        <v>37</v>
      </c>
      <c r="K973" s="8" t="s">
        <v>1810</v>
      </c>
      <c r="L973" s="4"/>
      <c r="M973" s="4"/>
      <c r="N973" s="4"/>
    </row>
    <row r="974" spans="1:14" x14ac:dyDescent="0.15">
      <c r="A974" s="8" t="s">
        <v>177</v>
      </c>
      <c r="B974" s="8" t="s">
        <v>1811</v>
      </c>
      <c r="C974" s="8" t="s">
        <v>129</v>
      </c>
      <c r="D974" s="8" t="s">
        <v>130</v>
      </c>
      <c r="E974" s="8" t="s">
        <v>160</v>
      </c>
      <c r="F974" s="8" t="s">
        <v>161</v>
      </c>
      <c r="G974" s="6">
        <v>42982</v>
      </c>
      <c r="H974" s="6">
        <v>42982</v>
      </c>
      <c r="I974" s="4">
        <v>-12</v>
      </c>
      <c r="J974" s="8" t="s">
        <v>37</v>
      </c>
      <c r="K974" s="8" t="s">
        <v>1812</v>
      </c>
      <c r="L974" s="4"/>
      <c r="M974" s="4"/>
      <c r="N974" s="4"/>
    </row>
    <row r="975" spans="1:14" x14ac:dyDescent="0.15">
      <c r="A975" s="8" t="s">
        <v>177</v>
      </c>
      <c r="B975" s="8" t="s">
        <v>1811</v>
      </c>
      <c r="C975" s="8" t="s">
        <v>129</v>
      </c>
      <c r="D975" s="8" t="s">
        <v>130</v>
      </c>
      <c r="E975" s="8" t="s">
        <v>160</v>
      </c>
      <c r="F975" s="8" t="s">
        <v>161</v>
      </c>
      <c r="G975" s="6">
        <v>42982</v>
      </c>
      <c r="H975" s="6">
        <v>42982</v>
      </c>
      <c r="I975" s="4">
        <v>-8</v>
      </c>
      <c r="J975" s="8" t="s">
        <v>37</v>
      </c>
      <c r="K975" s="8" t="s">
        <v>1813</v>
      </c>
      <c r="L975" s="4"/>
      <c r="M975" s="4"/>
      <c r="N975" s="4"/>
    </row>
    <row r="976" spans="1:14" x14ac:dyDescent="0.15">
      <c r="A976" s="8" t="s">
        <v>177</v>
      </c>
      <c r="B976" s="8" t="s">
        <v>1814</v>
      </c>
      <c r="C976" s="8" t="s">
        <v>134</v>
      </c>
      <c r="D976" s="8" t="s">
        <v>135</v>
      </c>
      <c r="E976" s="8" t="s">
        <v>160</v>
      </c>
      <c r="F976" s="8" t="s">
        <v>161</v>
      </c>
      <c r="G976" s="6">
        <v>42991</v>
      </c>
      <c r="H976" s="6">
        <v>42991</v>
      </c>
      <c r="I976" s="4">
        <v>-1</v>
      </c>
      <c r="J976" s="8" t="s">
        <v>37</v>
      </c>
      <c r="K976" s="8" t="s">
        <v>1815</v>
      </c>
      <c r="L976" s="4"/>
      <c r="M976" s="4"/>
      <c r="N976" s="4"/>
    </row>
    <row r="977" spans="1:14" ht="27" x14ac:dyDescent="0.15">
      <c r="A977" s="8" t="s">
        <v>177</v>
      </c>
      <c r="B977" s="8" t="s">
        <v>1814</v>
      </c>
      <c r="C977" s="8" t="s">
        <v>181</v>
      </c>
      <c r="D977" s="11" t="s">
        <v>182</v>
      </c>
      <c r="E977" s="8" t="s">
        <v>160</v>
      </c>
      <c r="F977" s="8" t="s">
        <v>161</v>
      </c>
      <c r="G977" s="6">
        <v>42991</v>
      </c>
      <c r="H977" s="6">
        <v>42991</v>
      </c>
      <c r="I977" s="4">
        <v>-8.89</v>
      </c>
      <c r="J977" s="8" t="s">
        <v>120</v>
      </c>
      <c r="K977" s="8" t="s">
        <v>1816</v>
      </c>
      <c r="L977" s="4"/>
      <c r="M977" s="4"/>
      <c r="N977" s="4"/>
    </row>
    <row r="978" spans="1:14" ht="27" x14ac:dyDescent="0.15">
      <c r="A978" s="8" t="s">
        <v>177</v>
      </c>
      <c r="B978" s="8" t="s">
        <v>1817</v>
      </c>
      <c r="C978" s="8" t="s">
        <v>179</v>
      </c>
      <c r="D978" s="11" t="s">
        <v>180</v>
      </c>
      <c r="E978" s="8" t="s">
        <v>160</v>
      </c>
      <c r="F978" s="8" t="s">
        <v>161</v>
      </c>
      <c r="G978" s="6">
        <v>42991</v>
      </c>
      <c r="H978" s="6">
        <v>42991</v>
      </c>
      <c r="I978" s="4">
        <v>-1</v>
      </c>
      <c r="J978" s="8" t="s">
        <v>37</v>
      </c>
      <c r="K978" s="8" t="s">
        <v>1818</v>
      </c>
      <c r="L978" s="4"/>
      <c r="M978" s="4"/>
      <c r="N978" s="4"/>
    </row>
    <row r="979" spans="1:14" ht="27" x14ac:dyDescent="0.15">
      <c r="A979" s="8" t="s">
        <v>177</v>
      </c>
      <c r="B979" s="8" t="s">
        <v>1817</v>
      </c>
      <c r="C979" s="8" t="s">
        <v>181</v>
      </c>
      <c r="D979" s="11" t="s">
        <v>182</v>
      </c>
      <c r="E979" s="8" t="s">
        <v>160</v>
      </c>
      <c r="F979" s="8" t="s">
        <v>161</v>
      </c>
      <c r="G979" s="6">
        <v>42991</v>
      </c>
      <c r="H979" s="6">
        <v>42991</v>
      </c>
      <c r="I979" s="4">
        <v>-4.4399999999999995</v>
      </c>
      <c r="J979" s="8" t="s">
        <v>120</v>
      </c>
      <c r="K979" s="8" t="s">
        <v>1819</v>
      </c>
      <c r="L979" s="4"/>
      <c r="M979" s="4"/>
      <c r="N979" s="4"/>
    </row>
    <row r="980" spans="1:14" x14ac:dyDescent="0.15">
      <c r="A980" s="8" t="s">
        <v>177</v>
      </c>
      <c r="B980" s="8" t="s">
        <v>1820</v>
      </c>
      <c r="C980" s="8" t="s">
        <v>129</v>
      </c>
      <c r="D980" s="8" t="s">
        <v>130</v>
      </c>
      <c r="E980" s="8" t="s">
        <v>160</v>
      </c>
      <c r="F980" s="8" t="s">
        <v>161</v>
      </c>
      <c r="G980" s="6">
        <v>42998</v>
      </c>
      <c r="H980" s="6">
        <v>42998</v>
      </c>
      <c r="I980" s="4">
        <v>-7</v>
      </c>
      <c r="J980" s="8" t="s">
        <v>37</v>
      </c>
      <c r="K980" s="8" t="s">
        <v>1821</v>
      </c>
      <c r="L980" s="4"/>
      <c r="M980" s="4"/>
      <c r="N980" s="4"/>
    </row>
    <row r="981" spans="1:14" x14ac:dyDescent="0.15">
      <c r="A981" s="8" t="s">
        <v>177</v>
      </c>
      <c r="B981" s="8" t="s">
        <v>1820</v>
      </c>
      <c r="C981" s="8" t="s">
        <v>129</v>
      </c>
      <c r="D981" s="8" t="s">
        <v>130</v>
      </c>
      <c r="E981" s="8" t="s">
        <v>160</v>
      </c>
      <c r="F981" s="8" t="s">
        <v>161</v>
      </c>
      <c r="G981" s="6">
        <v>42998</v>
      </c>
      <c r="H981" s="6">
        <v>42998</v>
      </c>
      <c r="I981" s="4">
        <v>-2</v>
      </c>
      <c r="J981" s="8" t="s">
        <v>37</v>
      </c>
      <c r="K981" s="8" t="s">
        <v>1822</v>
      </c>
      <c r="L981" s="4"/>
      <c r="M981" s="4"/>
      <c r="N981" s="4"/>
    </row>
    <row r="982" spans="1:14" x14ac:dyDescent="0.15">
      <c r="A982" s="8" t="s">
        <v>177</v>
      </c>
      <c r="B982" s="8" t="s">
        <v>1820</v>
      </c>
      <c r="C982" s="8" t="s">
        <v>129</v>
      </c>
      <c r="D982" s="8" t="s">
        <v>130</v>
      </c>
      <c r="E982" s="8" t="s">
        <v>160</v>
      </c>
      <c r="F982" s="8" t="s">
        <v>161</v>
      </c>
      <c r="G982" s="6">
        <v>42998</v>
      </c>
      <c r="H982" s="6">
        <v>42998</v>
      </c>
      <c r="I982" s="4">
        <v>-8</v>
      </c>
      <c r="J982" s="8" t="s">
        <v>37</v>
      </c>
      <c r="K982" s="8" t="s">
        <v>1823</v>
      </c>
      <c r="L982" s="4"/>
      <c r="M982" s="4"/>
      <c r="N982" s="4"/>
    </row>
    <row r="983" spans="1:14" x14ac:dyDescent="0.15">
      <c r="A983" s="8" t="s">
        <v>177</v>
      </c>
      <c r="B983" s="8" t="s">
        <v>1824</v>
      </c>
      <c r="C983" s="8" t="s">
        <v>131</v>
      </c>
      <c r="D983" s="8" t="s">
        <v>132</v>
      </c>
      <c r="E983" s="8" t="s">
        <v>160</v>
      </c>
      <c r="F983" s="8" t="s">
        <v>161</v>
      </c>
      <c r="G983" s="6">
        <v>42998</v>
      </c>
      <c r="H983" s="6">
        <v>42998</v>
      </c>
      <c r="I983" s="4">
        <v>-1</v>
      </c>
      <c r="J983" s="8" t="s">
        <v>37</v>
      </c>
      <c r="K983" s="8" t="s">
        <v>1825</v>
      </c>
      <c r="L983" s="4"/>
      <c r="M983" s="4"/>
      <c r="N983" s="4"/>
    </row>
    <row r="984" spans="1:14" ht="27" x14ac:dyDescent="0.15">
      <c r="A984" s="8" t="s">
        <v>177</v>
      </c>
      <c r="B984" s="8" t="s">
        <v>1824</v>
      </c>
      <c r="C984" s="8" t="s">
        <v>181</v>
      </c>
      <c r="D984" s="11" t="s">
        <v>182</v>
      </c>
      <c r="E984" s="8" t="s">
        <v>160</v>
      </c>
      <c r="F984" s="8" t="s">
        <v>161</v>
      </c>
      <c r="G984" s="6">
        <v>42998</v>
      </c>
      <c r="H984" s="6">
        <v>42998</v>
      </c>
      <c r="I984" s="4">
        <v>-1.78</v>
      </c>
      <c r="J984" s="8" t="s">
        <v>120</v>
      </c>
      <c r="K984" s="8" t="s">
        <v>1826</v>
      </c>
      <c r="L984" s="4"/>
      <c r="M984" s="4"/>
      <c r="N984" s="4"/>
    </row>
    <row r="985" spans="1:14" x14ac:dyDescent="0.15">
      <c r="A985" s="8" t="s">
        <v>177</v>
      </c>
      <c r="B985" s="8" t="s">
        <v>1827</v>
      </c>
      <c r="C985" s="8" t="s">
        <v>131</v>
      </c>
      <c r="D985" s="8" t="s">
        <v>132</v>
      </c>
      <c r="E985" s="8" t="s">
        <v>160</v>
      </c>
      <c r="F985" s="8" t="s">
        <v>161</v>
      </c>
      <c r="G985" s="6">
        <v>43042</v>
      </c>
      <c r="H985" s="6">
        <v>43042</v>
      </c>
      <c r="I985" s="4">
        <v>-1</v>
      </c>
      <c r="J985" s="8" t="s">
        <v>37</v>
      </c>
      <c r="K985" s="8" t="s">
        <v>1828</v>
      </c>
      <c r="L985" s="4"/>
      <c r="M985" s="4"/>
      <c r="N985" s="4"/>
    </row>
    <row r="986" spans="1:14" ht="27" x14ac:dyDescent="0.15">
      <c r="A986" s="8" t="s">
        <v>177</v>
      </c>
      <c r="B986" s="8" t="s">
        <v>1827</v>
      </c>
      <c r="C986" s="8" t="s">
        <v>181</v>
      </c>
      <c r="D986" s="11" t="s">
        <v>182</v>
      </c>
      <c r="E986" s="8" t="s">
        <v>160</v>
      </c>
      <c r="F986" s="8" t="s">
        <v>161</v>
      </c>
      <c r="G986" s="6">
        <v>43042</v>
      </c>
      <c r="H986" s="6">
        <v>43042</v>
      </c>
      <c r="I986" s="4">
        <v>-1.78</v>
      </c>
      <c r="J986" s="8" t="s">
        <v>120</v>
      </c>
      <c r="K986" s="8" t="s">
        <v>1829</v>
      </c>
      <c r="L986" s="4"/>
      <c r="M986" s="4"/>
      <c r="N986" s="4"/>
    </row>
    <row r="987" spans="1:14" x14ac:dyDescent="0.15">
      <c r="A987" s="8" t="s">
        <v>177</v>
      </c>
      <c r="B987" s="8" t="s">
        <v>1830</v>
      </c>
      <c r="C987" s="8" t="s">
        <v>131</v>
      </c>
      <c r="D987" s="8" t="s">
        <v>132</v>
      </c>
      <c r="E987" s="8" t="s">
        <v>160</v>
      </c>
      <c r="F987" s="8" t="s">
        <v>161</v>
      </c>
      <c r="G987" s="6">
        <v>43062</v>
      </c>
      <c r="H987" s="6">
        <v>43062</v>
      </c>
      <c r="I987" s="4">
        <v>-1</v>
      </c>
      <c r="J987" s="8" t="s">
        <v>37</v>
      </c>
      <c r="K987" s="8" t="s">
        <v>1831</v>
      </c>
      <c r="L987" s="4"/>
      <c r="M987" s="4"/>
      <c r="N987" s="4"/>
    </row>
    <row r="988" spans="1:14" ht="27" x14ac:dyDescent="0.15">
      <c r="A988" s="8" t="s">
        <v>177</v>
      </c>
      <c r="B988" s="8" t="s">
        <v>1830</v>
      </c>
      <c r="C988" s="8" t="s">
        <v>181</v>
      </c>
      <c r="D988" s="11" t="s">
        <v>182</v>
      </c>
      <c r="E988" s="8" t="s">
        <v>160</v>
      </c>
      <c r="F988" s="8" t="s">
        <v>161</v>
      </c>
      <c r="G988" s="6">
        <v>43062</v>
      </c>
      <c r="H988" s="6">
        <v>43062</v>
      </c>
      <c r="I988" s="4">
        <v>-1.78</v>
      </c>
      <c r="J988" s="8" t="s">
        <v>120</v>
      </c>
      <c r="K988" s="8" t="s">
        <v>1832</v>
      </c>
      <c r="L988" s="4"/>
      <c r="M988" s="4"/>
      <c r="N988" s="4"/>
    </row>
    <row r="989" spans="1:14" x14ac:dyDescent="0.15">
      <c r="A989" s="8" t="s">
        <v>177</v>
      </c>
      <c r="B989" s="8" t="s">
        <v>1833</v>
      </c>
      <c r="C989" s="8" t="s">
        <v>129</v>
      </c>
      <c r="D989" s="8" t="s">
        <v>130</v>
      </c>
      <c r="E989" s="8" t="s">
        <v>160</v>
      </c>
      <c r="F989" s="8" t="s">
        <v>161</v>
      </c>
      <c r="G989" s="6">
        <v>43062</v>
      </c>
      <c r="H989" s="6">
        <v>43062</v>
      </c>
      <c r="I989" s="4">
        <v>-4</v>
      </c>
      <c r="J989" s="8" t="s">
        <v>37</v>
      </c>
      <c r="K989" s="8" t="s">
        <v>1834</v>
      </c>
      <c r="L989" s="4"/>
      <c r="M989" s="4"/>
      <c r="N989" s="4"/>
    </row>
    <row r="990" spans="1:14" x14ac:dyDescent="0.15">
      <c r="A990" s="8" t="s">
        <v>177</v>
      </c>
      <c r="B990" s="8" t="s">
        <v>1835</v>
      </c>
      <c r="C990" s="8" t="s">
        <v>131</v>
      </c>
      <c r="D990" s="8" t="s">
        <v>132</v>
      </c>
      <c r="E990" s="8" t="s">
        <v>160</v>
      </c>
      <c r="F990" s="8" t="s">
        <v>161</v>
      </c>
      <c r="G990" s="6">
        <v>43080</v>
      </c>
      <c r="H990" s="6">
        <v>43080</v>
      </c>
      <c r="I990" s="4">
        <v>-1</v>
      </c>
      <c r="J990" s="8" t="s">
        <v>37</v>
      </c>
      <c r="K990" s="8" t="s">
        <v>1836</v>
      </c>
      <c r="L990" s="4"/>
      <c r="M990" s="4"/>
      <c r="N990" s="4"/>
    </row>
    <row r="991" spans="1:14" ht="27" x14ac:dyDescent="0.15">
      <c r="A991" s="8" t="s">
        <v>177</v>
      </c>
      <c r="B991" s="8" t="s">
        <v>1835</v>
      </c>
      <c r="C991" s="8" t="s">
        <v>179</v>
      </c>
      <c r="D991" s="11" t="s">
        <v>180</v>
      </c>
      <c r="E991" s="8" t="s">
        <v>160</v>
      </c>
      <c r="F991" s="8" t="s">
        <v>161</v>
      </c>
      <c r="G991" s="6">
        <v>43080</v>
      </c>
      <c r="H991" s="6">
        <v>43080</v>
      </c>
      <c r="I991" s="4">
        <v>-2</v>
      </c>
      <c r="J991" s="8" t="s">
        <v>37</v>
      </c>
      <c r="K991" s="8" t="s">
        <v>1837</v>
      </c>
      <c r="L991" s="4"/>
      <c r="M991" s="4"/>
      <c r="N991" s="4"/>
    </row>
    <row r="992" spans="1:14" ht="27" x14ac:dyDescent="0.15">
      <c r="A992" s="8" t="s">
        <v>177</v>
      </c>
      <c r="B992" s="8" t="s">
        <v>1835</v>
      </c>
      <c r="C992" s="8" t="s">
        <v>181</v>
      </c>
      <c r="D992" s="11" t="s">
        <v>182</v>
      </c>
      <c r="E992" s="8" t="s">
        <v>160</v>
      </c>
      <c r="F992" s="8" t="s">
        <v>161</v>
      </c>
      <c r="G992" s="6">
        <v>43080</v>
      </c>
      <c r="H992" s="6">
        <v>43080</v>
      </c>
      <c r="I992" s="4">
        <v>-1.78</v>
      </c>
      <c r="J992" s="8" t="s">
        <v>120</v>
      </c>
      <c r="K992" s="8" t="s">
        <v>1838</v>
      </c>
      <c r="L992" s="4"/>
      <c r="M992" s="4"/>
      <c r="N992" s="4"/>
    </row>
    <row r="993" spans="1:14" ht="27" x14ac:dyDescent="0.15">
      <c r="A993" s="8" t="s">
        <v>177</v>
      </c>
      <c r="B993" s="8" t="s">
        <v>1835</v>
      </c>
      <c r="C993" s="8" t="s">
        <v>181</v>
      </c>
      <c r="D993" s="11" t="s">
        <v>182</v>
      </c>
      <c r="E993" s="8" t="s">
        <v>160</v>
      </c>
      <c r="F993" s="8" t="s">
        <v>161</v>
      </c>
      <c r="G993" s="6">
        <v>43080</v>
      </c>
      <c r="H993" s="6">
        <v>43080</v>
      </c>
      <c r="I993" s="4">
        <v>-8.89</v>
      </c>
      <c r="J993" s="8" t="s">
        <v>120</v>
      </c>
      <c r="K993" s="8" t="s">
        <v>1839</v>
      </c>
      <c r="L993" s="4"/>
      <c r="M993" s="4"/>
      <c r="N993" s="4"/>
    </row>
    <row r="994" spans="1:14" x14ac:dyDescent="0.15">
      <c r="A994" s="8" t="s">
        <v>186</v>
      </c>
      <c r="B994" s="8" t="s">
        <v>222</v>
      </c>
      <c r="C994" s="8" t="s">
        <v>108</v>
      </c>
      <c r="D994" s="8" t="s">
        <v>109</v>
      </c>
      <c r="E994" s="8" t="s">
        <v>160</v>
      </c>
      <c r="F994" s="8" t="s">
        <v>161</v>
      </c>
      <c r="G994" s="6">
        <v>42831</v>
      </c>
      <c r="H994" s="6">
        <v>42831</v>
      </c>
      <c r="I994" s="4">
        <v>2</v>
      </c>
      <c r="J994" s="8" t="s">
        <v>37</v>
      </c>
      <c r="K994" s="8" t="s">
        <v>913</v>
      </c>
      <c r="L994" s="4"/>
      <c r="M994" s="4"/>
      <c r="N994" s="4"/>
    </row>
    <row r="995" spans="1:14" ht="27" x14ac:dyDescent="0.15">
      <c r="A995" s="8" t="s">
        <v>186</v>
      </c>
      <c r="B995" s="8" t="s">
        <v>224</v>
      </c>
      <c r="C995" s="8" t="s">
        <v>164</v>
      </c>
      <c r="D995" s="11" t="s">
        <v>165</v>
      </c>
      <c r="E995" s="8" t="s">
        <v>160</v>
      </c>
      <c r="F995" s="8" t="s">
        <v>161</v>
      </c>
      <c r="G995" s="6">
        <v>42831</v>
      </c>
      <c r="H995" s="6">
        <v>42831</v>
      </c>
      <c r="I995" s="4">
        <v>3</v>
      </c>
      <c r="J995" s="8" t="s">
        <v>37</v>
      </c>
      <c r="K995" s="8" t="s">
        <v>914</v>
      </c>
      <c r="L995" s="4"/>
      <c r="M995" s="4"/>
      <c r="N995" s="4"/>
    </row>
    <row r="996" spans="1:14" x14ac:dyDescent="0.15">
      <c r="A996" s="8" t="s">
        <v>186</v>
      </c>
      <c r="B996" s="8" t="s">
        <v>897</v>
      </c>
      <c r="C996" s="8" t="s">
        <v>103</v>
      </c>
      <c r="D996" s="8" t="s">
        <v>104</v>
      </c>
      <c r="E996" s="8" t="s">
        <v>160</v>
      </c>
      <c r="F996" s="8" t="s">
        <v>161</v>
      </c>
      <c r="G996" s="6">
        <v>42836</v>
      </c>
      <c r="H996" s="6">
        <v>42836</v>
      </c>
      <c r="I996" s="4">
        <v>343</v>
      </c>
      <c r="J996" s="8" t="s">
        <v>37</v>
      </c>
      <c r="K996" s="8" t="s">
        <v>915</v>
      </c>
      <c r="L996" s="4"/>
      <c r="M996" s="4"/>
      <c r="N996" s="4"/>
    </row>
    <row r="997" spans="1:14" x14ac:dyDescent="0.15">
      <c r="A997" s="8" t="s">
        <v>186</v>
      </c>
      <c r="B997" s="8" t="s">
        <v>899</v>
      </c>
      <c r="C997" s="8" t="s">
        <v>103</v>
      </c>
      <c r="D997" s="8" t="s">
        <v>104</v>
      </c>
      <c r="E997" s="8" t="s">
        <v>160</v>
      </c>
      <c r="F997" s="8" t="s">
        <v>161</v>
      </c>
      <c r="G997" s="6">
        <v>42836</v>
      </c>
      <c r="H997" s="6">
        <v>42836</v>
      </c>
      <c r="I997" s="4">
        <v>407</v>
      </c>
      <c r="J997" s="8" t="s">
        <v>37</v>
      </c>
      <c r="K997" s="8" t="s">
        <v>916</v>
      </c>
      <c r="L997" s="4"/>
      <c r="M997" s="4"/>
      <c r="N997" s="4"/>
    </row>
    <row r="998" spans="1:14" x14ac:dyDescent="0.15">
      <c r="A998" s="8" t="s">
        <v>186</v>
      </c>
      <c r="B998" s="8" t="s">
        <v>226</v>
      </c>
      <c r="C998" s="8" t="s">
        <v>108</v>
      </c>
      <c r="D998" s="8" t="s">
        <v>109</v>
      </c>
      <c r="E998" s="8" t="s">
        <v>160</v>
      </c>
      <c r="F998" s="8" t="s">
        <v>161</v>
      </c>
      <c r="G998" s="6">
        <v>42836</v>
      </c>
      <c r="H998" s="6">
        <v>42836</v>
      </c>
      <c r="I998" s="4">
        <v>2</v>
      </c>
      <c r="J998" s="8" t="s">
        <v>37</v>
      </c>
      <c r="K998" s="8" t="s">
        <v>917</v>
      </c>
      <c r="L998" s="4"/>
      <c r="M998" s="4"/>
      <c r="N998" s="4"/>
    </row>
    <row r="999" spans="1:14" x14ac:dyDescent="0.15">
      <c r="A999" s="8" t="s">
        <v>186</v>
      </c>
      <c r="B999" s="8" t="s">
        <v>902</v>
      </c>
      <c r="C999" s="8" t="s">
        <v>103</v>
      </c>
      <c r="D999" s="8" t="s">
        <v>104</v>
      </c>
      <c r="E999" s="8" t="s">
        <v>160</v>
      </c>
      <c r="F999" s="8" t="s">
        <v>161</v>
      </c>
      <c r="G999" s="6">
        <v>42838</v>
      </c>
      <c r="H999" s="6">
        <v>42838</v>
      </c>
      <c r="I999" s="4">
        <v>514</v>
      </c>
      <c r="J999" s="8" t="s">
        <v>37</v>
      </c>
      <c r="K999" s="8" t="s">
        <v>918</v>
      </c>
      <c r="L999" s="4"/>
      <c r="M999" s="4"/>
      <c r="N999" s="4"/>
    </row>
    <row r="1000" spans="1:14" x14ac:dyDescent="0.15">
      <c r="A1000" s="8" t="s">
        <v>186</v>
      </c>
      <c r="B1000" s="8" t="s">
        <v>228</v>
      </c>
      <c r="C1000" s="8" t="s">
        <v>108</v>
      </c>
      <c r="D1000" s="8" t="s">
        <v>109</v>
      </c>
      <c r="E1000" s="8" t="s">
        <v>160</v>
      </c>
      <c r="F1000" s="8" t="s">
        <v>161</v>
      </c>
      <c r="G1000" s="6">
        <v>42844</v>
      </c>
      <c r="H1000" s="6">
        <v>42844</v>
      </c>
      <c r="I1000" s="4">
        <v>1</v>
      </c>
      <c r="J1000" s="8" t="s">
        <v>37</v>
      </c>
      <c r="K1000" s="8" t="s">
        <v>919</v>
      </c>
      <c r="L1000" s="4"/>
      <c r="M1000" s="4"/>
      <c r="N1000" s="4"/>
    </row>
    <row r="1001" spans="1:14" x14ac:dyDescent="0.15">
      <c r="A1001" s="8" t="s">
        <v>186</v>
      </c>
      <c r="B1001" s="8" t="s">
        <v>905</v>
      </c>
      <c r="C1001" s="8" t="s">
        <v>103</v>
      </c>
      <c r="D1001" s="8" t="s">
        <v>104</v>
      </c>
      <c r="E1001" s="8" t="s">
        <v>160</v>
      </c>
      <c r="F1001" s="8" t="s">
        <v>161</v>
      </c>
      <c r="G1001" s="6">
        <v>42853</v>
      </c>
      <c r="H1001" s="6">
        <v>42853</v>
      </c>
      <c r="I1001" s="4">
        <v>-222</v>
      </c>
      <c r="J1001" s="8" t="s">
        <v>37</v>
      </c>
      <c r="K1001" s="8" t="s">
        <v>920</v>
      </c>
      <c r="L1001" s="4"/>
      <c r="M1001" s="4"/>
      <c r="N1001" s="4"/>
    </row>
    <row r="1002" spans="1:14" x14ac:dyDescent="0.15">
      <c r="A1002" s="8" t="s">
        <v>186</v>
      </c>
      <c r="B1002" s="8" t="s">
        <v>230</v>
      </c>
      <c r="C1002" s="8" t="s">
        <v>108</v>
      </c>
      <c r="D1002" s="8" t="s">
        <v>109</v>
      </c>
      <c r="E1002" s="8" t="s">
        <v>160</v>
      </c>
      <c r="F1002" s="8" t="s">
        <v>161</v>
      </c>
      <c r="G1002" s="6">
        <v>42860</v>
      </c>
      <c r="H1002" s="6">
        <v>42860</v>
      </c>
      <c r="I1002" s="4">
        <v>2</v>
      </c>
      <c r="J1002" s="8" t="s">
        <v>37</v>
      </c>
      <c r="K1002" s="8" t="s">
        <v>921</v>
      </c>
      <c r="L1002" s="4"/>
      <c r="M1002" s="4"/>
      <c r="N1002" s="4"/>
    </row>
    <row r="1003" spans="1:14" ht="27" x14ac:dyDescent="0.15">
      <c r="A1003" s="8" t="s">
        <v>186</v>
      </c>
      <c r="B1003" s="8" t="s">
        <v>232</v>
      </c>
      <c r="C1003" s="8" t="s">
        <v>164</v>
      </c>
      <c r="D1003" s="11" t="s">
        <v>165</v>
      </c>
      <c r="E1003" s="8" t="s">
        <v>160</v>
      </c>
      <c r="F1003" s="8" t="s">
        <v>161</v>
      </c>
      <c r="G1003" s="6">
        <v>42867</v>
      </c>
      <c r="H1003" s="6">
        <v>42867</v>
      </c>
      <c r="I1003" s="4">
        <v>2</v>
      </c>
      <c r="J1003" s="8" t="s">
        <v>37</v>
      </c>
      <c r="K1003" s="8" t="s">
        <v>922</v>
      </c>
      <c r="L1003" s="4"/>
      <c r="M1003" s="4"/>
      <c r="N1003" s="4"/>
    </row>
    <row r="1004" spans="1:14" x14ac:dyDescent="0.15">
      <c r="A1004" s="8" t="s">
        <v>186</v>
      </c>
      <c r="B1004" s="8" t="s">
        <v>234</v>
      </c>
      <c r="C1004" s="8" t="s">
        <v>108</v>
      </c>
      <c r="D1004" s="8" t="s">
        <v>109</v>
      </c>
      <c r="E1004" s="8" t="s">
        <v>160</v>
      </c>
      <c r="F1004" s="8" t="s">
        <v>161</v>
      </c>
      <c r="G1004" s="6">
        <v>42871</v>
      </c>
      <c r="H1004" s="6">
        <v>42871</v>
      </c>
      <c r="I1004" s="4">
        <v>1</v>
      </c>
      <c r="J1004" s="8" t="s">
        <v>37</v>
      </c>
      <c r="K1004" s="8" t="s">
        <v>923</v>
      </c>
      <c r="L1004" s="4"/>
      <c r="M1004" s="4"/>
      <c r="N1004" s="4"/>
    </row>
    <row r="1005" spans="1:14" x14ac:dyDescent="0.15">
      <c r="A1005" s="8" t="s">
        <v>186</v>
      </c>
      <c r="B1005" s="8" t="s">
        <v>236</v>
      </c>
      <c r="C1005" s="8" t="s">
        <v>108</v>
      </c>
      <c r="D1005" s="8" t="s">
        <v>109</v>
      </c>
      <c r="E1005" s="8" t="s">
        <v>160</v>
      </c>
      <c r="F1005" s="8" t="s">
        <v>161</v>
      </c>
      <c r="G1005" s="6">
        <v>42873</v>
      </c>
      <c r="H1005" s="6">
        <v>42873</v>
      </c>
      <c r="I1005" s="4">
        <v>1</v>
      </c>
      <c r="J1005" s="8" t="s">
        <v>37</v>
      </c>
      <c r="K1005" s="8" t="s">
        <v>924</v>
      </c>
      <c r="L1005" s="4"/>
      <c r="M1005" s="4"/>
      <c r="N1005" s="4"/>
    </row>
    <row r="1006" spans="1:14" ht="27" x14ac:dyDescent="0.15">
      <c r="A1006" s="8" t="s">
        <v>186</v>
      </c>
      <c r="B1006" s="8" t="s">
        <v>178</v>
      </c>
      <c r="C1006" s="8" t="s">
        <v>164</v>
      </c>
      <c r="D1006" s="11" t="s">
        <v>165</v>
      </c>
      <c r="E1006" s="8" t="s">
        <v>160</v>
      </c>
      <c r="F1006" s="8" t="s">
        <v>161</v>
      </c>
      <c r="G1006" s="6">
        <v>42895</v>
      </c>
      <c r="H1006" s="6">
        <v>42895</v>
      </c>
      <c r="I1006" s="4">
        <v>1</v>
      </c>
      <c r="J1006" s="8" t="s">
        <v>37</v>
      </c>
      <c r="K1006" s="8" t="s">
        <v>925</v>
      </c>
      <c r="L1006" s="4"/>
      <c r="M1006" s="4"/>
      <c r="N1006" s="4"/>
    </row>
    <row r="1007" spans="1:14" ht="27" x14ac:dyDescent="0.15">
      <c r="A1007" s="8" t="s">
        <v>186</v>
      </c>
      <c r="B1007" s="8" t="s">
        <v>184</v>
      </c>
      <c r="C1007" s="8" t="s">
        <v>164</v>
      </c>
      <c r="D1007" s="11" t="s">
        <v>165</v>
      </c>
      <c r="E1007" s="8" t="s">
        <v>160</v>
      </c>
      <c r="F1007" s="8" t="s">
        <v>161</v>
      </c>
      <c r="G1007" s="6">
        <v>42913</v>
      </c>
      <c r="H1007" s="6">
        <v>42913</v>
      </c>
      <c r="I1007" s="4">
        <v>1</v>
      </c>
      <c r="J1007" s="8" t="s">
        <v>37</v>
      </c>
      <c r="K1007" s="8" t="s">
        <v>926</v>
      </c>
      <c r="L1007" s="4"/>
      <c r="M1007" s="4"/>
      <c r="N1007" s="4"/>
    </row>
    <row r="1008" spans="1:14" x14ac:dyDescent="0.15">
      <c r="A1008" s="8" t="s">
        <v>186</v>
      </c>
      <c r="B1008" s="8" t="s">
        <v>1760</v>
      </c>
      <c r="C1008" s="8" t="s">
        <v>79</v>
      </c>
      <c r="D1008" s="8" t="s">
        <v>289</v>
      </c>
      <c r="E1008" s="8" t="s">
        <v>160</v>
      </c>
      <c r="F1008" s="8" t="s">
        <v>161</v>
      </c>
      <c r="G1008" s="6">
        <v>42918</v>
      </c>
      <c r="H1008" s="6">
        <v>42918</v>
      </c>
      <c r="I1008" s="4">
        <v>1</v>
      </c>
      <c r="J1008" s="8" t="s">
        <v>37</v>
      </c>
      <c r="K1008" s="8" t="s">
        <v>1840</v>
      </c>
      <c r="L1008" s="4"/>
      <c r="M1008" s="4"/>
      <c r="N1008" s="4"/>
    </row>
    <row r="1009" spans="1:14" ht="27" x14ac:dyDescent="0.15">
      <c r="A1009" s="8" t="s">
        <v>186</v>
      </c>
      <c r="B1009" s="8" t="s">
        <v>1763</v>
      </c>
      <c r="C1009" s="8" t="s">
        <v>164</v>
      </c>
      <c r="D1009" s="11" t="s">
        <v>165</v>
      </c>
      <c r="E1009" s="8" t="s">
        <v>160</v>
      </c>
      <c r="F1009" s="8" t="s">
        <v>161</v>
      </c>
      <c r="G1009" s="6">
        <v>42922</v>
      </c>
      <c r="H1009" s="6">
        <v>42922</v>
      </c>
      <c r="I1009" s="4">
        <v>1</v>
      </c>
      <c r="J1009" s="8" t="s">
        <v>37</v>
      </c>
      <c r="K1009" s="8" t="s">
        <v>1841</v>
      </c>
      <c r="L1009" s="4"/>
      <c r="M1009" s="4"/>
      <c r="N1009" s="4"/>
    </row>
    <row r="1010" spans="1:14" x14ac:dyDescent="0.15">
      <c r="A1010" s="8" t="s">
        <v>186</v>
      </c>
      <c r="B1010" s="8" t="s">
        <v>1766</v>
      </c>
      <c r="C1010" s="8" t="s">
        <v>103</v>
      </c>
      <c r="D1010" s="8" t="s">
        <v>104</v>
      </c>
      <c r="E1010" s="8" t="s">
        <v>160</v>
      </c>
      <c r="F1010" s="8" t="s">
        <v>161</v>
      </c>
      <c r="G1010" s="6">
        <v>42932</v>
      </c>
      <c r="H1010" s="6">
        <v>42932</v>
      </c>
      <c r="I1010" s="4">
        <v>16</v>
      </c>
      <c r="J1010" s="8" t="s">
        <v>37</v>
      </c>
      <c r="K1010" s="8" t="s">
        <v>1842</v>
      </c>
      <c r="L1010" s="4"/>
      <c r="M1010" s="4"/>
      <c r="N1010" s="4"/>
    </row>
    <row r="1011" spans="1:14" x14ac:dyDescent="0.15">
      <c r="A1011" s="8" t="s">
        <v>186</v>
      </c>
      <c r="B1011" s="8" t="s">
        <v>1768</v>
      </c>
      <c r="C1011" s="8" t="s">
        <v>103</v>
      </c>
      <c r="D1011" s="8" t="s">
        <v>104</v>
      </c>
      <c r="E1011" s="8" t="s">
        <v>160</v>
      </c>
      <c r="F1011" s="8" t="s">
        <v>161</v>
      </c>
      <c r="G1011" s="6">
        <v>42932</v>
      </c>
      <c r="H1011" s="6">
        <v>42932</v>
      </c>
      <c r="I1011" s="4">
        <v>84</v>
      </c>
      <c r="J1011" s="8" t="s">
        <v>37</v>
      </c>
      <c r="K1011" s="8" t="s">
        <v>1843</v>
      </c>
      <c r="L1011" s="4"/>
      <c r="M1011" s="4"/>
      <c r="N1011" s="4"/>
    </row>
    <row r="1012" spans="1:14" ht="27" x14ac:dyDescent="0.15">
      <c r="A1012" s="8" t="s">
        <v>186</v>
      </c>
      <c r="B1012" s="8" t="s">
        <v>1770</v>
      </c>
      <c r="C1012" s="8" t="s">
        <v>164</v>
      </c>
      <c r="D1012" s="11" t="s">
        <v>165</v>
      </c>
      <c r="E1012" s="8" t="s">
        <v>160</v>
      </c>
      <c r="F1012" s="8" t="s">
        <v>161</v>
      </c>
      <c r="G1012" s="6">
        <v>42934</v>
      </c>
      <c r="H1012" s="6">
        <v>42934</v>
      </c>
      <c r="I1012" s="4">
        <v>1</v>
      </c>
      <c r="J1012" s="8" t="s">
        <v>37</v>
      </c>
      <c r="K1012" s="8" t="s">
        <v>1844</v>
      </c>
      <c r="L1012" s="4"/>
      <c r="M1012" s="4"/>
      <c r="N1012" s="4"/>
    </row>
    <row r="1013" spans="1:14" x14ac:dyDescent="0.15">
      <c r="A1013" s="8" t="s">
        <v>186</v>
      </c>
      <c r="B1013" s="8" t="s">
        <v>1773</v>
      </c>
      <c r="C1013" s="8" t="s">
        <v>103</v>
      </c>
      <c r="D1013" s="8" t="s">
        <v>104</v>
      </c>
      <c r="E1013" s="8" t="s">
        <v>160</v>
      </c>
      <c r="F1013" s="8" t="s">
        <v>161</v>
      </c>
      <c r="G1013" s="6">
        <v>42936</v>
      </c>
      <c r="H1013" s="6">
        <v>42936</v>
      </c>
      <c r="I1013" s="4">
        <v>16</v>
      </c>
      <c r="J1013" s="8" t="s">
        <v>37</v>
      </c>
      <c r="K1013" s="8" t="s">
        <v>1845</v>
      </c>
      <c r="L1013" s="4"/>
      <c r="M1013" s="4"/>
      <c r="N1013" s="4"/>
    </row>
    <row r="1014" spans="1:14" x14ac:dyDescent="0.15">
      <c r="A1014" s="8" t="s">
        <v>186</v>
      </c>
      <c r="B1014" s="8" t="s">
        <v>1773</v>
      </c>
      <c r="C1014" s="8" t="s">
        <v>103</v>
      </c>
      <c r="D1014" s="8" t="s">
        <v>104</v>
      </c>
      <c r="E1014" s="8" t="s">
        <v>160</v>
      </c>
      <c r="F1014" s="8" t="s">
        <v>161</v>
      </c>
      <c r="G1014" s="6">
        <v>42936</v>
      </c>
      <c r="H1014" s="6">
        <v>42936</v>
      </c>
      <c r="I1014" s="4">
        <v>16</v>
      </c>
      <c r="J1014" s="8" t="s">
        <v>37</v>
      </c>
      <c r="K1014" s="8" t="s">
        <v>1846</v>
      </c>
      <c r="L1014" s="4"/>
      <c r="M1014" s="4"/>
      <c r="N1014" s="4"/>
    </row>
    <row r="1015" spans="1:14" x14ac:dyDescent="0.15">
      <c r="A1015" s="8" t="s">
        <v>186</v>
      </c>
      <c r="B1015" s="8" t="s">
        <v>1776</v>
      </c>
      <c r="C1015" s="8" t="s">
        <v>108</v>
      </c>
      <c r="D1015" s="8" t="s">
        <v>109</v>
      </c>
      <c r="E1015" s="8" t="s">
        <v>160</v>
      </c>
      <c r="F1015" s="8" t="s">
        <v>161</v>
      </c>
      <c r="G1015" s="6">
        <v>42936</v>
      </c>
      <c r="H1015" s="6">
        <v>42936</v>
      </c>
      <c r="I1015" s="4">
        <v>1</v>
      </c>
      <c r="J1015" s="8" t="s">
        <v>37</v>
      </c>
      <c r="K1015" s="8" t="s">
        <v>1847</v>
      </c>
      <c r="L1015" s="4"/>
      <c r="M1015" s="4"/>
      <c r="N1015" s="4"/>
    </row>
    <row r="1016" spans="1:14" x14ac:dyDescent="0.15">
      <c r="A1016" s="8" t="s">
        <v>186</v>
      </c>
      <c r="B1016" s="8" t="s">
        <v>1779</v>
      </c>
      <c r="C1016" s="8" t="s">
        <v>103</v>
      </c>
      <c r="D1016" s="8" t="s">
        <v>104</v>
      </c>
      <c r="E1016" s="8" t="s">
        <v>160</v>
      </c>
      <c r="F1016" s="8" t="s">
        <v>161</v>
      </c>
      <c r="G1016" s="6">
        <v>42936</v>
      </c>
      <c r="H1016" s="6">
        <v>42936</v>
      </c>
      <c r="I1016" s="4">
        <v>1</v>
      </c>
      <c r="J1016" s="8" t="s">
        <v>37</v>
      </c>
      <c r="K1016" s="8" t="s">
        <v>1848</v>
      </c>
      <c r="L1016" s="4"/>
      <c r="M1016" s="4"/>
      <c r="N1016" s="4"/>
    </row>
    <row r="1017" spans="1:14" x14ac:dyDescent="0.15">
      <c r="A1017" s="8" t="s">
        <v>186</v>
      </c>
      <c r="B1017" s="8" t="s">
        <v>1781</v>
      </c>
      <c r="C1017" s="8" t="s">
        <v>108</v>
      </c>
      <c r="D1017" s="8" t="s">
        <v>109</v>
      </c>
      <c r="E1017" s="8" t="s">
        <v>160</v>
      </c>
      <c r="F1017" s="8" t="s">
        <v>161</v>
      </c>
      <c r="G1017" s="6">
        <v>42937</v>
      </c>
      <c r="H1017" s="6">
        <v>42937</v>
      </c>
      <c r="I1017" s="4">
        <v>1</v>
      </c>
      <c r="J1017" s="8" t="s">
        <v>37</v>
      </c>
      <c r="K1017" s="8" t="s">
        <v>1849</v>
      </c>
      <c r="L1017" s="4"/>
      <c r="M1017" s="4"/>
      <c r="N1017" s="4"/>
    </row>
    <row r="1018" spans="1:14" x14ac:dyDescent="0.15">
      <c r="A1018" s="8" t="s">
        <v>186</v>
      </c>
      <c r="B1018" s="8" t="s">
        <v>1784</v>
      </c>
      <c r="C1018" s="8" t="s">
        <v>103</v>
      </c>
      <c r="D1018" s="8" t="s">
        <v>104</v>
      </c>
      <c r="E1018" s="8" t="s">
        <v>160</v>
      </c>
      <c r="F1018" s="8" t="s">
        <v>161</v>
      </c>
      <c r="G1018" s="6">
        <v>42940</v>
      </c>
      <c r="H1018" s="6">
        <v>42940</v>
      </c>
      <c r="I1018" s="4">
        <v>68</v>
      </c>
      <c r="J1018" s="8" t="s">
        <v>37</v>
      </c>
      <c r="K1018" s="8" t="s">
        <v>1850</v>
      </c>
      <c r="L1018" s="4"/>
      <c r="M1018" s="4"/>
      <c r="N1018" s="4"/>
    </row>
    <row r="1019" spans="1:14" x14ac:dyDescent="0.15">
      <c r="A1019" s="8" t="s">
        <v>186</v>
      </c>
      <c r="B1019" s="8" t="s">
        <v>1786</v>
      </c>
      <c r="C1019" s="8" t="s">
        <v>103</v>
      </c>
      <c r="D1019" s="8" t="s">
        <v>104</v>
      </c>
      <c r="E1019" s="8" t="s">
        <v>160</v>
      </c>
      <c r="F1019" s="8" t="s">
        <v>161</v>
      </c>
      <c r="G1019" s="6">
        <v>42940</v>
      </c>
      <c r="H1019" s="6">
        <v>42940</v>
      </c>
      <c r="I1019" s="4">
        <v>262</v>
      </c>
      <c r="J1019" s="8" t="s">
        <v>37</v>
      </c>
      <c r="K1019" s="8" t="s">
        <v>1851</v>
      </c>
      <c r="L1019" s="4"/>
      <c r="M1019" s="4"/>
      <c r="N1019" s="4"/>
    </row>
    <row r="1020" spans="1:14" x14ac:dyDescent="0.15">
      <c r="A1020" s="8" t="s">
        <v>186</v>
      </c>
      <c r="B1020" s="8" t="s">
        <v>1786</v>
      </c>
      <c r="C1020" s="8" t="s">
        <v>103</v>
      </c>
      <c r="D1020" s="8" t="s">
        <v>104</v>
      </c>
      <c r="E1020" s="8" t="s">
        <v>160</v>
      </c>
      <c r="F1020" s="8" t="s">
        <v>161</v>
      </c>
      <c r="G1020" s="6">
        <v>42940</v>
      </c>
      <c r="H1020" s="6">
        <v>42940</v>
      </c>
      <c r="I1020" s="4">
        <v>84</v>
      </c>
      <c r="J1020" s="8" t="s">
        <v>37</v>
      </c>
      <c r="K1020" s="8" t="s">
        <v>1852</v>
      </c>
      <c r="L1020" s="4"/>
      <c r="M1020" s="4"/>
      <c r="N1020" s="4"/>
    </row>
    <row r="1021" spans="1:14" x14ac:dyDescent="0.15">
      <c r="A1021" s="8" t="s">
        <v>186</v>
      </c>
      <c r="B1021" s="8" t="s">
        <v>1786</v>
      </c>
      <c r="C1021" s="8" t="s">
        <v>103</v>
      </c>
      <c r="D1021" s="8" t="s">
        <v>104</v>
      </c>
      <c r="E1021" s="8" t="s">
        <v>160</v>
      </c>
      <c r="F1021" s="8" t="s">
        <v>161</v>
      </c>
      <c r="G1021" s="6">
        <v>42940</v>
      </c>
      <c r="H1021" s="6">
        <v>42940</v>
      </c>
      <c r="I1021" s="4">
        <v>258</v>
      </c>
      <c r="J1021" s="8" t="s">
        <v>37</v>
      </c>
      <c r="K1021" s="8" t="s">
        <v>1853</v>
      </c>
      <c r="L1021" s="4"/>
      <c r="M1021" s="4"/>
      <c r="N1021" s="4"/>
    </row>
    <row r="1022" spans="1:14" x14ac:dyDescent="0.15">
      <c r="A1022" s="8" t="s">
        <v>186</v>
      </c>
      <c r="B1022" s="8" t="s">
        <v>1790</v>
      </c>
      <c r="C1022" s="8" t="s">
        <v>103</v>
      </c>
      <c r="D1022" s="8" t="s">
        <v>104</v>
      </c>
      <c r="E1022" s="8" t="s">
        <v>160</v>
      </c>
      <c r="F1022" s="8" t="s">
        <v>161</v>
      </c>
      <c r="G1022" s="6">
        <v>42940</v>
      </c>
      <c r="H1022" s="6">
        <v>42940</v>
      </c>
      <c r="I1022" s="4">
        <v>2</v>
      </c>
      <c r="J1022" s="8" t="s">
        <v>37</v>
      </c>
      <c r="K1022" s="8" t="s">
        <v>1854</v>
      </c>
      <c r="L1022" s="4"/>
      <c r="M1022" s="4"/>
      <c r="N1022" s="4"/>
    </row>
    <row r="1023" spans="1:14" x14ac:dyDescent="0.15">
      <c r="A1023" s="8" t="s">
        <v>186</v>
      </c>
      <c r="B1023" s="8" t="s">
        <v>1790</v>
      </c>
      <c r="C1023" s="8" t="s">
        <v>103</v>
      </c>
      <c r="D1023" s="8" t="s">
        <v>104</v>
      </c>
      <c r="E1023" s="8" t="s">
        <v>160</v>
      </c>
      <c r="F1023" s="8" t="s">
        <v>161</v>
      </c>
      <c r="G1023" s="6">
        <v>42940</v>
      </c>
      <c r="H1023" s="6">
        <v>42940</v>
      </c>
      <c r="I1023" s="4">
        <v>8</v>
      </c>
      <c r="J1023" s="8" t="s">
        <v>37</v>
      </c>
      <c r="K1023" s="8" t="s">
        <v>1855</v>
      </c>
      <c r="L1023" s="4"/>
      <c r="M1023" s="4"/>
      <c r="N1023" s="4"/>
    </row>
    <row r="1024" spans="1:14" x14ac:dyDescent="0.15">
      <c r="A1024" s="8" t="s">
        <v>186</v>
      </c>
      <c r="B1024" s="8" t="s">
        <v>1790</v>
      </c>
      <c r="C1024" s="8" t="s">
        <v>103</v>
      </c>
      <c r="D1024" s="8" t="s">
        <v>104</v>
      </c>
      <c r="E1024" s="8" t="s">
        <v>160</v>
      </c>
      <c r="F1024" s="8" t="s">
        <v>161</v>
      </c>
      <c r="G1024" s="6">
        <v>42940</v>
      </c>
      <c r="H1024" s="6">
        <v>42940</v>
      </c>
      <c r="I1024" s="4">
        <v>32</v>
      </c>
      <c r="J1024" s="8" t="s">
        <v>37</v>
      </c>
      <c r="K1024" s="8" t="s">
        <v>1856</v>
      </c>
      <c r="L1024" s="4"/>
      <c r="M1024" s="4"/>
      <c r="N1024" s="4"/>
    </row>
    <row r="1025" spans="1:14" x14ac:dyDescent="0.15">
      <c r="A1025" s="8" t="s">
        <v>186</v>
      </c>
      <c r="B1025" s="8" t="s">
        <v>1790</v>
      </c>
      <c r="C1025" s="8" t="s">
        <v>103</v>
      </c>
      <c r="D1025" s="8" t="s">
        <v>104</v>
      </c>
      <c r="E1025" s="8" t="s">
        <v>160</v>
      </c>
      <c r="F1025" s="8" t="s">
        <v>161</v>
      </c>
      <c r="G1025" s="6">
        <v>42940</v>
      </c>
      <c r="H1025" s="6">
        <v>42940</v>
      </c>
      <c r="I1025" s="4">
        <v>3</v>
      </c>
      <c r="J1025" s="8" t="s">
        <v>37</v>
      </c>
      <c r="K1025" s="8" t="s">
        <v>1857</v>
      </c>
      <c r="L1025" s="4"/>
      <c r="M1025" s="4"/>
      <c r="N1025" s="4"/>
    </row>
    <row r="1026" spans="1:14" x14ac:dyDescent="0.15">
      <c r="A1026" s="8" t="s">
        <v>186</v>
      </c>
      <c r="B1026" s="8" t="s">
        <v>1790</v>
      </c>
      <c r="C1026" s="8" t="s">
        <v>103</v>
      </c>
      <c r="D1026" s="8" t="s">
        <v>104</v>
      </c>
      <c r="E1026" s="8" t="s">
        <v>160</v>
      </c>
      <c r="F1026" s="8" t="s">
        <v>161</v>
      </c>
      <c r="G1026" s="6">
        <v>42940</v>
      </c>
      <c r="H1026" s="6">
        <v>42940</v>
      </c>
      <c r="I1026" s="4">
        <v>12</v>
      </c>
      <c r="J1026" s="8" t="s">
        <v>37</v>
      </c>
      <c r="K1026" s="8" t="s">
        <v>1858</v>
      </c>
      <c r="L1026" s="4"/>
      <c r="M1026" s="4"/>
      <c r="N1026" s="4"/>
    </row>
    <row r="1027" spans="1:14" x14ac:dyDescent="0.15">
      <c r="A1027" s="8" t="s">
        <v>186</v>
      </c>
      <c r="B1027" s="8" t="s">
        <v>1796</v>
      </c>
      <c r="C1027" s="8" t="s">
        <v>79</v>
      </c>
      <c r="D1027" s="8" t="s">
        <v>289</v>
      </c>
      <c r="E1027" s="8" t="s">
        <v>160</v>
      </c>
      <c r="F1027" s="8" t="s">
        <v>161</v>
      </c>
      <c r="G1027" s="6">
        <v>42940</v>
      </c>
      <c r="H1027" s="6">
        <v>42940</v>
      </c>
      <c r="I1027" s="4">
        <v>1</v>
      </c>
      <c r="J1027" s="8" t="s">
        <v>37</v>
      </c>
      <c r="K1027" s="8" t="s">
        <v>1859</v>
      </c>
      <c r="L1027" s="4"/>
      <c r="M1027" s="4"/>
      <c r="N1027" s="4"/>
    </row>
    <row r="1028" spans="1:14" x14ac:dyDescent="0.15">
      <c r="A1028" s="8" t="s">
        <v>186</v>
      </c>
      <c r="B1028" s="8" t="s">
        <v>1799</v>
      </c>
      <c r="C1028" s="8" t="s">
        <v>103</v>
      </c>
      <c r="D1028" s="8" t="s">
        <v>104</v>
      </c>
      <c r="E1028" s="8" t="s">
        <v>160</v>
      </c>
      <c r="F1028" s="8" t="s">
        <v>161</v>
      </c>
      <c r="G1028" s="6">
        <v>42947</v>
      </c>
      <c r="H1028" s="6">
        <v>42947</v>
      </c>
      <c r="I1028" s="4">
        <v>47</v>
      </c>
      <c r="J1028" s="8" t="s">
        <v>37</v>
      </c>
      <c r="K1028" s="8" t="s">
        <v>1860</v>
      </c>
      <c r="L1028" s="4"/>
      <c r="M1028" s="4"/>
      <c r="N1028" s="4"/>
    </row>
    <row r="1029" spans="1:14" x14ac:dyDescent="0.15">
      <c r="A1029" s="8" t="s">
        <v>186</v>
      </c>
      <c r="B1029" s="8" t="s">
        <v>1799</v>
      </c>
      <c r="C1029" s="8" t="s">
        <v>103</v>
      </c>
      <c r="D1029" s="8" t="s">
        <v>104</v>
      </c>
      <c r="E1029" s="8" t="s">
        <v>160</v>
      </c>
      <c r="F1029" s="8" t="s">
        <v>161</v>
      </c>
      <c r="G1029" s="6">
        <v>42947</v>
      </c>
      <c r="H1029" s="6">
        <v>42947</v>
      </c>
      <c r="I1029" s="4">
        <v>37</v>
      </c>
      <c r="J1029" s="8" t="s">
        <v>37</v>
      </c>
      <c r="K1029" s="8" t="s">
        <v>1861</v>
      </c>
      <c r="L1029" s="4"/>
      <c r="M1029" s="4"/>
      <c r="N1029" s="4"/>
    </row>
    <row r="1030" spans="1:14" x14ac:dyDescent="0.15">
      <c r="A1030" s="8" t="s">
        <v>186</v>
      </c>
      <c r="B1030" s="8" t="s">
        <v>1799</v>
      </c>
      <c r="C1030" s="8" t="s">
        <v>103</v>
      </c>
      <c r="D1030" s="8" t="s">
        <v>104</v>
      </c>
      <c r="E1030" s="8" t="s">
        <v>160</v>
      </c>
      <c r="F1030" s="8" t="s">
        <v>161</v>
      </c>
      <c r="G1030" s="6">
        <v>42947</v>
      </c>
      <c r="H1030" s="6">
        <v>42947</v>
      </c>
      <c r="I1030" s="4">
        <v>52</v>
      </c>
      <c r="J1030" s="8" t="s">
        <v>37</v>
      </c>
      <c r="K1030" s="8" t="s">
        <v>1862</v>
      </c>
      <c r="L1030" s="4"/>
      <c r="M1030" s="4"/>
      <c r="N1030" s="4"/>
    </row>
    <row r="1031" spans="1:14" x14ac:dyDescent="0.15">
      <c r="A1031" s="8" t="s">
        <v>186</v>
      </c>
      <c r="B1031" s="8" t="s">
        <v>1803</v>
      </c>
      <c r="C1031" s="8" t="s">
        <v>103</v>
      </c>
      <c r="D1031" s="8" t="s">
        <v>104</v>
      </c>
      <c r="E1031" s="8" t="s">
        <v>160</v>
      </c>
      <c r="F1031" s="8" t="s">
        <v>161</v>
      </c>
      <c r="G1031" s="6">
        <v>42947</v>
      </c>
      <c r="H1031" s="6">
        <v>42947</v>
      </c>
      <c r="I1031" s="4">
        <v>6</v>
      </c>
      <c r="J1031" s="8" t="s">
        <v>37</v>
      </c>
      <c r="K1031" s="8" t="s">
        <v>1863</v>
      </c>
      <c r="L1031" s="4"/>
      <c r="M1031" s="4"/>
      <c r="N1031" s="4"/>
    </row>
    <row r="1032" spans="1:14" x14ac:dyDescent="0.15">
      <c r="A1032" s="8" t="s">
        <v>186</v>
      </c>
      <c r="B1032" s="8" t="s">
        <v>1805</v>
      </c>
      <c r="C1032" s="8" t="s">
        <v>103</v>
      </c>
      <c r="D1032" s="8" t="s">
        <v>104</v>
      </c>
      <c r="E1032" s="8" t="s">
        <v>160</v>
      </c>
      <c r="F1032" s="8" t="s">
        <v>161</v>
      </c>
      <c r="G1032" s="6">
        <v>42963</v>
      </c>
      <c r="H1032" s="6">
        <v>42963</v>
      </c>
      <c r="I1032" s="4">
        <v>1</v>
      </c>
      <c r="J1032" s="8" t="s">
        <v>37</v>
      </c>
      <c r="K1032" s="8" t="s">
        <v>1864</v>
      </c>
      <c r="L1032" s="4"/>
      <c r="M1032" s="4"/>
      <c r="N1032" s="4"/>
    </row>
    <row r="1033" spans="1:14" x14ac:dyDescent="0.15">
      <c r="A1033" s="8" t="s">
        <v>186</v>
      </c>
      <c r="B1033" s="8" t="s">
        <v>1806</v>
      </c>
      <c r="C1033" s="8" t="s">
        <v>103</v>
      </c>
      <c r="D1033" s="8" t="s">
        <v>104</v>
      </c>
      <c r="E1033" s="8" t="s">
        <v>160</v>
      </c>
      <c r="F1033" s="8" t="s">
        <v>161</v>
      </c>
      <c r="G1033" s="6">
        <v>42971</v>
      </c>
      <c r="H1033" s="6">
        <v>42971</v>
      </c>
      <c r="I1033" s="4">
        <v>1</v>
      </c>
      <c r="J1033" s="8" t="s">
        <v>37</v>
      </c>
      <c r="K1033" s="8" t="s">
        <v>1865</v>
      </c>
      <c r="L1033" s="4"/>
      <c r="M1033" s="4"/>
      <c r="N1033" s="4"/>
    </row>
    <row r="1034" spans="1:14" x14ac:dyDescent="0.15">
      <c r="A1034" s="8" t="s">
        <v>186</v>
      </c>
      <c r="B1034" s="8" t="s">
        <v>1806</v>
      </c>
      <c r="C1034" s="8" t="s">
        <v>103</v>
      </c>
      <c r="D1034" s="8" t="s">
        <v>104</v>
      </c>
      <c r="E1034" s="8" t="s">
        <v>160</v>
      </c>
      <c r="F1034" s="8" t="s">
        <v>161</v>
      </c>
      <c r="G1034" s="6">
        <v>42971</v>
      </c>
      <c r="H1034" s="6">
        <v>42971</v>
      </c>
      <c r="I1034" s="4">
        <v>14</v>
      </c>
      <c r="J1034" s="8" t="s">
        <v>37</v>
      </c>
      <c r="K1034" s="8" t="s">
        <v>1866</v>
      </c>
      <c r="L1034" s="4"/>
      <c r="M1034" s="4"/>
      <c r="N1034" s="4"/>
    </row>
    <row r="1035" spans="1:14" x14ac:dyDescent="0.15">
      <c r="A1035" s="8" t="s">
        <v>186</v>
      </c>
      <c r="B1035" s="8" t="s">
        <v>1809</v>
      </c>
      <c r="C1035" s="8" t="s">
        <v>103</v>
      </c>
      <c r="D1035" s="8" t="s">
        <v>104</v>
      </c>
      <c r="E1035" s="8" t="s">
        <v>160</v>
      </c>
      <c r="F1035" s="8" t="s">
        <v>161</v>
      </c>
      <c r="G1035" s="6">
        <v>42978</v>
      </c>
      <c r="H1035" s="6">
        <v>42978</v>
      </c>
      <c r="I1035" s="4">
        <v>75</v>
      </c>
      <c r="J1035" s="8" t="s">
        <v>37</v>
      </c>
      <c r="K1035" s="8" t="s">
        <v>1867</v>
      </c>
      <c r="L1035" s="4"/>
      <c r="M1035" s="4"/>
      <c r="N1035" s="4"/>
    </row>
    <row r="1036" spans="1:14" x14ac:dyDescent="0.15">
      <c r="A1036" s="8" t="s">
        <v>186</v>
      </c>
      <c r="B1036" s="8" t="s">
        <v>1811</v>
      </c>
      <c r="C1036" s="8" t="s">
        <v>103</v>
      </c>
      <c r="D1036" s="8" t="s">
        <v>104</v>
      </c>
      <c r="E1036" s="8" t="s">
        <v>160</v>
      </c>
      <c r="F1036" s="8" t="s">
        <v>161</v>
      </c>
      <c r="G1036" s="6">
        <v>42982</v>
      </c>
      <c r="H1036" s="6">
        <v>42982</v>
      </c>
      <c r="I1036" s="4">
        <v>12</v>
      </c>
      <c r="J1036" s="8" t="s">
        <v>37</v>
      </c>
      <c r="K1036" s="8" t="s">
        <v>1868</v>
      </c>
      <c r="L1036" s="4"/>
      <c r="M1036" s="4"/>
      <c r="N1036" s="4"/>
    </row>
    <row r="1037" spans="1:14" x14ac:dyDescent="0.15">
      <c r="A1037" s="8" t="s">
        <v>186</v>
      </c>
      <c r="B1037" s="8" t="s">
        <v>1811</v>
      </c>
      <c r="C1037" s="8" t="s">
        <v>103</v>
      </c>
      <c r="D1037" s="8" t="s">
        <v>104</v>
      </c>
      <c r="E1037" s="8" t="s">
        <v>160</v>
      </c>
      <c r="F1037" s="8" t="s">
        <v>161</v>
      </c>
      <c r="G1037" s="6">
        <v>42982</v>
      </c>
      <c r="H1037" s="6">
        <v>42982</v>
      </c>
      <c r="I1037" s="4">
        <v>8</v>
      </c>
      <c r="J1037" s="8" t="s">
        <v>37</v>
      </c>
      <c r="K1037" s="8" t="s">
        <v>1869</v>
      </c>
      <c r="L1037" s="4"/>
      <c r="M1037" s="4"/>
      <c r="N1037" s="4"/>
    </row>
    <row r="1038" spans="1:14" x14ac:dyDescent="0.15">
      <c r="A1038" s="8" t="s">
        <v>186</v>
      </c>
      <c r="B1038" s="8" t="s">
        <v>1814</v>
      </c>
      <c r="C1038" s="8" t="s">
        <v>108</v>
      </c>
      <c r="D1038" s="8" t="s">
        <v>109</v>
      </c>
      <c r="E1038" s="8" t="s">
        <v>160</v>
      </c>
      <c r="F1038" s="8" t="s">
        <v>161</v>
      </c>
      <c r="G1038" s="6">
        <v>42991</v>
      </c>
      <c r="H1038" s="6">
        <v>42991</v>
      </c>
      <c r="I1038" s="4">
        <v>1</v>
      </c>
      <c r="J1038" s="8" t="s">
        <v>37</v>
      </c>
      <c r="K1038" s="8" t="s">
        <v>1870</v>
      </c>
      <c r="L1038" s="4"/>
      <c r="M1038" s="4"/>
      <c r="N1038" s="4"/>
    </row>
    <row r="1039" spans="1:14" ht="27" x14ac:dyDescent="0.15">
      <c r="A1039" s="8" t="s">
        <v>186</v>
      </c>
      <c r="B1039" s="8" t="s">
        <v>1817</v>
      </c>
      <c r="C1039" s="8" t="s">
        <v>164</v>
      </c>
      <c r="D1039" s="11" t="s">
        <v>165</v>
      </c>
      <c r="E1039" s="8" t="s">
        <v>160</v>
      </c>
      <c r="F1039" s="8" t="s">
        <v>161</v>
      </c>
      <c r="G1039" s="6">
        <v>42991</v>
      </c>
      <c r="H1039" s="6">
        <v>42991</v>
      </c>
      <c r="I1039" s="4">
        <v>1</v>
      </c>
      <c r="J1039" s="8" t="s">
        <v>37</v>
      </c>
      <c r="K1039" s="8" t="s">
        <v>1871</v>
      </c>
      <c r="L1039" s="4"/>
      <c r="M1039" s="4"/>
      <c r="N1039" s="4"/>
    </row>
    <row r="1040" spans="1:14" x14ac:dyDescent="0.15">
      <c r="A1040" s="8" t="s">
        <v>186</v>
      </c>
      <c r="B1040" s="8" t="s">
        <v>1820</v>
      </c>
      <c r="C1040" s="8" t="s">
        <v>103</v>
      </c>
      <c r="D1040" s="8" t="s">
        <v>104</v>
      </c>
      <c r="E1040" s="8" t="s">
        <v>160</v>
      </c>
      <c r="F1040" s="8" t="s">
        <v>161</v>
      </c>
      <c r="G1040" s="6">
        <v>42998</v>
      </c>
      <c r="H1040" s="6">
        <v>42998</v>
      </c>
      <c r="I1040" s="4">
        <v>7</v>
      </c>
      <c r="J1040" s="8" t="s">
        <v>37</v>
      </c>
      <c r="K1040" s="8" t="s">
        <v>1872</v>
      </c>
      <c r="L1040" s="4"/>
      <c r="M1040" s="4"/>
      <c r="N1040" s="4"/>
    </row>
    <row r="1041" spans="1:14" x14ac:dyDescent="0.15">
      <c r="A1041" s="8" t="s">
        <v>186</v>
      </c>
      <c r="B1041" s="8" t="s">
        <v>1820</v>
      </c>
      <c r="C1041" s="8" t="s">
        <v>103</v>
      </c>
      <c r="D1041" s="8" t="s">
        <v>104</v>
      </c>
      <c r="E1041" s="8" t="s">
        <v>160</v>
      </c>
      <c r="F1041" s="8" t="s">
        <v>161</v>
      </c>
      <c r="G1041" s="6">
        <v>42998</v>
      </c>
      <c r="H1041" s="6">
        <v>42998</v>
      </c>
      <c r="I1041" s="4">
        <v>2</v>
      </c>
      <c r="J1041" s="8" t="s">
        <v>37</v>
      </c>
      <c r="K1041" s="8" t="s">
        <v>1873</v>
      </c>
      <c r="L1041" s="4"/>
      <c r="M1041" s="4"/>
      <c r="N1041" s="4"/>
    </row>
    <row r="1042" spans="1:14" x14ac:dyDescent="0.15">
      <c r="A1042" s="8" t="s">
        <v>186</v>
      </c>
      <c r="B1042" s="8" t="s">
        <v>1820</v>
      </c>
      <c r="C1042" s="8" t="s">
        <v>103</v>
      </c>
      <c r="D1042" s="8" t="s">
        <v>104</v>
      </c>
      <c r="E1042" s="8" t="s">
        <v>160</v>
      </c>
      <c r="F1042" s="8" t="s">
        <v>161</v>
      </c>
      <c r="G1042" s="6">
        <v>42998</v>
      </c>
      <c r="H1042" s="6">
        <v>42998</v>
      </c>
      <c r="I1042" s="4">
        <v>8</v>
      </c>
      <c r="J1042" s="8" t="s">
        <v>37</v>
      </c>
      <c r="K1042" s="8" t="s">
        <v>1874</v>
      </c>
      <c r="L1042" s="4"/>
      <c r="M1042" s="4"/>
      <c r="N1042" s="4"/>
    </row>
    <row r="1043" spans="1:14" x14ac:dyDescent="0.15">
      <c r="A1043" s="8" t="s">
        <v>186</v>
      </c>
      <c r="B1043" s="8" t="s">
        <v>1824</v>
      </c>
      <c r="C1043" s="8" t="s">
        <v>79</v>
      </c>
      <c r="D1043" s="8" t="s">
        <v>289</v>
      </c>
      <c r="E1043" s="8" t="s">
        <v>160</v>
      </c>
      <c r="F1043" s="8" t="s">
        <v>161</v>
      </c>
      <c r="G1043" s="6">
        <v>42998</v>
      </c>
      <c r="H1043" s="6">
        <v>42998</v>
      </c>
      <c r="I1043" s="4">
        <v>1</v>
      </c>
      <c r="J1043" s="8" t="s">
        <v>37</v>
      </c>
      <c r="K1043" s="8" t="s">
        <v>1875</v>
      </c>
      <c r="L1043" s="4"/>
      <c r="M1043" s="4"/>
      <c r="N1043" s="4"/>
    </row>
    <row r="1044" spans="1:14" x14ac:dyDescent="0.15">
      <c r="A1044" s="8" t="s">
        <v>186</v>
      </c>
      <c r="B1044" s="8" t="s">
        <v>1827</v>
      </c>
      <c r="C1044" s="8" t="s">
        <v>79</v>
      </c>
      <c r="D1044" s="8" t="s">
        <v>289</v>
      </c>
      <c r="E1044" s="8" t="s">
        <v>160</v>
      </c>
      <c r="F1044" s="8" t="s">
        <v>161</v>
      </c>
      <c r="G1044" s="6">
        <v>43042</v>
      </c>
      <c r="H1044" s="6">
        <v>43042</v>
      </c>
      <c r="I1044" s="4">
        <v>1</v>
      </c>
      <c r="J1044" s="8" t="s">
        <v>37</v>
      </c>
      <c r="K1044" s="8" t="s">
        <v>1876</v>
      </c>
      <c r="L1044" s="4"/>
      <c r="M1044" s="4"/>
      <c r="N1044" s="4"/>
    </row>
    <row r="1045" spans="1:14" x14ac:dyDescent="0.15">
      <c r="A1045" s="8" t="s">
        <v>186</v>
      </c>
      <c r="B1045" s="8" t="s">
        <v>1830</v>
      </c>
      <c r="C1045" s="8" t="s">
        <v>79</v>
      </c>
      <c r="D1045" s="8" t="s">
        <v>289</v>
      </c>
      <c r="E1045" s="8" t="s">
        <v>160</v>
      </c>
      <c r="F1045" s="8" t="s">
        <v>161</v>
      </c>
      <c r="G1045" s="6">
        <v>43062</v>
      </c>
      <c r="H1045" s="6">
        <v>43062</v>
      </c>
      <c r="I1045" s="4">
        <v>1</v>
      </c>
      <c r="J1045" s="8" t="s">
        <v>37</v>
      </c>
      <c r="K1045" s="8" t="s">
        <v>1877</v>
      </c>
      <c r="L1045" s="4"/>
      <c r="M1045" s="4"/>
      <c r="N1045" s="4"/>
    </row>
    <row r="1046" spans="1:14" x14ac:dyDescent="0.15">
      <c r="A1046" s="8" t="s">
        <v>186</v>
      </c>
      <c r="B1046" s="8" t="s">
        <v>1833</v>
      </c>
      <c r="C1046" s="8" t="s">
        <v>103</v>
      </c>
      <c r="D1046" s="8" t="s">
        <v>104</v>
      </c>
      <c r="E1046" s="8" t="s">
        <v>160</v>
      </c>
      <c r="F1046" s="8" t="s">
        <v>161</v>
      </c>
      <c r="G1046" s="6">
        <v>43062</v>
      </c>
      <c r="H1046" s="6">
        <v>43062</v>
      </c>
      <c r="I1046" s="4">
        <v>4</v>
      </c>
      <c r="J1046" s="8" t="s">
        <v>37</v>
      </c>
      <c r="K1046" s="8" t="s">
        <v>1878</v>
      </c>
      <c r="L1046" s="4"/>
      <c r="M1046" s="4"/>
      <c r="N1046" s="4"/>
    </row>
    <row r="1047" spans="1:14" x14ac:dyDescent="0.15">
      <c r="A1047" s="8" t="s">
        <v>186</v>
      </c>
      <c r="B1047" s="8" t="s">
        <v>1835</v>
      </c>
      <c r="C1047" s="8" t="s">
        <v>79</v>
      </c>
      <c r="D1047" s="8" t="s">
        <v>289</v>
      </c>
      <c r="E1047" s="8" t="s">
        <v>160</v>
      </c>
      <c r="F1047" s="8" t="s">
        <v>161</v>
      </c>
      <c r="G1047" s="6">
        <v>43080</v>
      </c>
      <c r="H1047" s="6">
        <v>43080</v>
      </c>
      <c r="I1047" s="4">
        <v>1</v>
      </c>
      <c r="J1047" s="8" t="s">
        <v>37</v>
      </c>
      <c r="K1047" s="8" t="s">
        <v>1879</v>
      </c>
      <c r="L1047" s="4"/>
      <c r="M1047" s="4"/>
      <c r="N1047" s="4"/>
    </row>
    <row r="1048" spans="1:14" ht="27" x14ac:dyDescent="0.15">
      <c r="A1048" s="8" t="s">
        <v>186</v>
      </c>
      <c r="B1048" s="8" t="s">
        <v>1835</v>
      </c>
      <c r="C1048" s="8" t="s">
        <v>164</v>
      </c>
      <c r="D1048" s="11" t="s">
        <v>165</v>
      </c>
      <c r="E1048" s="8" t="s">
        <v>160</v>
      </c>
      <c r="F1048" s="8" t="s">
        <v>161</v>
      </c>
      <c r="G1048" s="6">
        <v>43080</v>
      </c>
      <c r="H1048" s="6">
        <v>43080</v>
      </c>
      <c r="I1048" s="4">
        <v>2</v>
      </c>
      <c r="J1048" s="8" t="s">
        <v>37</v>
      </c>
      <c r="K1048" s="8" t="s">
        <v>1880</v>
      </c>
      <c r="L1048" s="4"/>
      <c r="M1048" s="4"/>
      <c r="N1048" s="4"/>
    </row>
    <row r="1049" spans="1:14" x14ac:dyDescent="0.15">
      <c r="A1049" s="8" t="s">
        <v>21</v>
      </c>
      <c r="B1049" s="8" t="s">
        <v>187</v>
      </c>
      <c r="C1049" s="8" t="s">
        <v>53</v>
      </c>
      <c r="D1049" s="8" t="s">
        <v>171</v>
      </c>
      <c r="E1049" s="8" t="s">
        <v>160</v>
      </c>
      <c r="F1049" s="8" t="s">
        <v>161</v>
      </c>
      <c r="G1049" s="6">
        <v>42914</v>
      </c>
      <c r="H1049" s="6">
        <v>42914</v>
      </c>
      <c r="I1049" s="4">
        <v>1</v>
      </c>
      <c r="J1049" s="8" t="s">
        <v>37</v>
      </c>
      <c r="K1049" s="8" t="s">
        <v>927</v>
      </c>
      <c r="L1049" s="4"/>
      <c r="M1049" s="4"/>
      <c r="N1049" s="4"/>
    </row>
    <row r="1050" spans="1:14" x14ac:dyDescent="0.15">
      <c r="A1050" s="8" t="s">
        <v>21</v>
      </c>
      <c r="B1050" s="8" t="s">
        <v>187</v>
      </c>
      <c r="C1050" s="8" t="s">
        <v>22</v>
      </c>
      <c r="D1050" s="8" t="s">
        <v>188</v>
      </c>
      <c r="E1050" s="8" t="s">
        <v>160</v>
      </c>
      <c r="F1050" s="8" t="s">
        <v>161</v>
      </c>
      <c r="G1050" s="6">
        <v>42914</v>
      </c>
      <c r="H1050" s="6">
        <v>42914</v>
      </c>
      <c r="I1050" s="4">
        <v>1</v>
      </c>
      <c r="J1050" s="8" t="s">
        <v>37</v>
      </c>
      <c r="K1050" s="8" t="s">
        <v>928</v>
      </c>
      <c r="L1050" s="4"/>
      <c r="M1050" s="4"/>
      <c r="N1050" s="4"/>
    </row>
    <row r="1051" spans="1:14" x14ac:dyDescent="0.15">
      <c r="A1051" s="8" t="s">
        <v>21</v>
      </c>
      <c r="B1051" s="8" t="s">
        <v>187</v>
      </c>
      <c r="C1051" s="8" t="s">
        <v>119</v>
      </c>
      <c r="D1051" s="8" t="s">
        <v>189</v>
      </c>
      <c r="E1051" s="8" t="s">
        <v>160</v>
      </c>
      <c r="F1051" s="8" t="s">
        <v>161</v>
      </c>
      <c r="G1051" s="6">
        <v>42914</v>
      </c>
      <c r="H1051" s="6">
        <v>42914</v>
      </c>
      <c r="I1051" s="4">
        <v>-7</v>
      </c>
      <c r="J1051" s="8" t="s">
        <v>37</v>
      </c>
      <c r="K1051" s="8" t="s">
        <v>929</v>
      </c>
      <c r="L1051" s="4"/>
      <c r="M1051" s="4"/>
      <c r="N1051" s="4"/>
    </row>
    <row r="1052" spans="1:14" x14ac:dyDescent="0.15">
      <c r="A1052" s="8" t="s">
        <v>21</v>
      </c>
      <c r="B1052" s="8" t="s">
        <v>187</v>
      </c>
      <c r="C1052" s="8" t="s">
        <v>131</v>
      </c>
      <c r="D1052" s="8" t="s">
        <v>132</v>
      </c>
      <c r="E1052" s="8" t="s">
        <v>160</v>
      </c>
      <c r="F1052" s="8" t="s">
        <v>161</v>
      </c>
      <c r="G1052" s="6">
        <v>42914</v>
      </c>
      <c r="H1052" s="6">
        <v>42914</v>
      </c>
      <c r="I1052" s="4">
        <v>-2</v>
      </c>
      <c r="J1052" s="8" t="s">
        <v>37</v>
      </c>
      <c r="K1052" s="8" t="s">
        <v>190</v>
      </c>
      <c r="L1052" s="4"/>
      <c r="M1052" s="4"/>
      <c r="N1052" s="4"/>
    </row>
    <row r="1053" spans="1:14" x14ac:dyDescent="0.15">
      <c r="A1053" s="8" t="s">
        <v>21</v>
      </c>
      <c r="B1053" s="8" t="s">
        <v>187</v>
      </c>
      <c r="C1053" s="8" t="s">
        <v>134</v>
      </c>
      <c r="D1053" s="8" t="s">
        <v>135</v>
      </c>
      <c r="E1053" s="8" t="s">
        <v>160</v>
      </c>
      <c r="F1053" s="8" t="s">
        <v>161</v>
      </c>
      <c r="G1053" s="6">
        <v>42914</v>
      </c>
      <c r="H1053" s="6">
        <v>42914</v>
      </c>
      <c r="I1053" s="4">
        <v>-4</v>
      </c>
      <c r="J1053" s="8" t="s">
        <v>37</v>
      </c>
      <c r="K1053" s="8" t="s">
        <v>930</v>
      </c>
      <c r="L1053" s="4"/>
      <c r="M1053" s="4"/>
      <c r="N1053" s="4"/>
    </row>
    <row r="1054" spans="1:14" x14ac:dyDescent="0.15">
      <c r="A1054" s="8" t="s">
        <v>21</v>
      </c>
      <c r="B1054" s="8" t="s">
        <v>187</v>
      </c>
      <c r="C1054" s="8" t="s">
        <v>167</v>
      </c>
      <c r="D1054" s="8" t="s">
        <v>168</v>
      </c>
      <c r="E1054" s="8" t="s">
        <v>160</v>
      </c>
      <c r="F1054" s="8" t="s">
        <v>161</v>
      </c>
      <c r="G1054" s="6">
        <v>42914</v>
      </c>
      <c r="H1054" s="6">
        <v>42914</v>
      </c>
      <c r="I1054" s="4">
        <v>100</v>
      </c>
      <c r="J1054" s="8" t="s">
        <v>133</v>
      </c>
      <c r="K1054" s="8" t="s">
        <v>931</v>
      </c>
      <c r="L1054" s="4"/>
      <c r="M1054" s="4"/>
      <c r="N1054" s="4"/>
    </row>
    <row r="1055" spans="1:14" x14ac:dyDescent="0.15">
      <c r="A1055" s="8" t="s">
        <v>21</v>
      </c>
      <c r="B1055" s="8" t="s">
        <v>187</v>
      </c>
      <c r="C1055" s="8" t="s">
        <v>114</v>
      </c>
      <c r="D1055" s="8" t="s">
        <v>115</v>
      </c>
      <c r="E1055" s="8" t="s">
        <v>160</v>
      </c>
      <c r="F1055" s="8" t="s">
        <v>161</v>
      </c>
      <c r="G1055" s="6">
        <v>42914</v>
      </c>
      <c r="H1055" s="6">
        <v>42914</v>
      </c>
      <c r="I1055" s="4">
        <v>-1</v>
      </c>
      <c r="J1055" s="8" t="s">
        <v>37</v>
      </c>
      <c r="K1055" s="8" t="s">
        <v>932</v>
      </c>
      <c r="L1055" s="4"/>
      <c r="M1055" s="4"/>
      <c r="N1055" s="4"/>
    </row>
    <row r="1056" spans="1:14" x14ac:dyDescent="0.15">
      <c r="A1056" s="8" t="s">
        <v>21</v>
      </c>
      <c r="B1056" s="8" t="s">
        <v>187</v>
      </c>
      <c r="C1056" s="8" t="s">
        <v>67</v>
      </c>
      <c r="D1056" s="8" t="s">
        <v>162</v>
      </c>
      <c r="E1056" s="8" t="s">
        <v>160</v>
      </c>
      <c r="F1056" s="8" t="s">
        <v>161</v>
      </c>
      <c r="G1056" s="6">
        <v>42914</v>
      </c>
      <c r="H1056" s="6">
        <v>42914</v>
      </c>
      <c r="I1056" s="4">
        <v>1</v>
      </c>
      <c r="J1056" s="8" t="s">
        <v>37</v>
      </c>
      <c r="K1056" s="8" t="s">
        <v>933</v>
      </c>
      <c r="L1056" s="4"/>
      <c r="M1056" s="4"/>
      <c r="N1056" s="4"/>
    </row>
    <row r="1057" spans="1:14" x14ac:dyDescent="0.15">
      <c r="A1057" s="8" t="s">
        <v>21</v>
      </c>
      <c r="B1057" s="8" t="s">
        <v>187</v>
      </c>
      <c r="C1057" s="8" t="s">
        <v>117</v>
      </c>
      <c r="D1057" s="8" t="s">
        <v>118</v>
      </c>
      <c r="E1057" s="8" t="s">
        <v>160</v>
      </c>
      <c r="F1057" s="8" t="s">
        <v>161</v>
      </c>
      <c r="G1057" s="6">
        <v>42914</v>
      </c>
      <c r="H1057" s="6">
        <v>42914</v>
      </c>
      <c r="I1057" s="4">
        <v>-1</v>
      </c>
      <c r="J1057" s="8" t="s">
        <v>37</v>
      </c>
      <c r="K1057" s="8" t="s">
        <v>934</v>
      </c>
      <c r="L1057" s="4"/>
      <c r="M1057" s="4"/>
      <c r="N1057" s="4"/>
    </row>
    <row r="1058" spans="1:14" x14ac:dyDescent="0.15">
      <c r="A1058" s="8" t="s">
        <v>21</v>
      </c>
      <c r="B1058" s="8" t="s">
        <v>187</v>
      </c>
      <c r="C1058" s="8" t="s">
        <v>69</v>
      </c>
      <c r="D1058" s="8" t="s">
        <v>69</v>
      </c>
      <c r="E1058" s="8" t="s">
        <v>160</v>
      </c>
      <c r="F1058" s="8" t="s">
        <v>161</v>
      </c>
      <c r="G1058" s="6">
        <v>42914</v>
      </c>
      <c r="H1058" s="6">
        <v>42914</v>
      </c>
      <c r="I1058" s="4">
        <v>1</v>
      </c>
      <c r="J1058" s="8" t="s">
        <v>37</v>
      </c>
      <c r="K1058" s="8" t="s">
        <v>935</v>
      </c>
      <c r="L1058" s="4"/>
      <c r="M1058" s="4"/>
      <c r="N1058" s="4"/>
    </row>
    <row r="1059" spans="1:14" x14ac:dyDescent="0.15">
      <c r="A1059" s="8" t="s">
        <v>21</v>
      </c>
      <c r="B1059" s="8" t="s">
        <v>1881</v>
      </c>
      <c r="C1059" s="8" t="s">
        <v>53</v>
      </c>
      <c r="D1059" s="8" t="s">
        <v>171</v>
      </c>
      <c r="E1059" s="8" t="s">
        <v>160</v>
      </c>
      <c r="F1059" s="8" t="s">
        <v>161</v>
      </c>
      <c r="G1059" s="6">
        <v>43004</v>
      </c>
      <c r="H1059" s="6">
        <v>43004</v>
      </c>
      <c r="I1059" s="4">
        <v>1</v>
      </c>
      <c r="J1059" s="8" t="s">
        <v>37</v>
      </c>
      <c r="K1059" s="8" t="s">
        <v>1882</v>
      </c>
      <c r="L1059" s="4"/>
      <c r="M1059" s="4"/>
      <c r="N1059" s="4"/>
    </row>
    <row r="1060" spans="1:14" x14ac:dyDescent="0.15">
      <c r="A1060" s="8" t="s">
        <v>21</v>
      </c>
      <c r="B1060" s="8" t="s">
        <v>1881</v>
      </c>
      <c r="C1060" s="8" t="s">
        <v>366</v>
      </c>
      <c r="D1060" s="8" t="s">
        <v>367</v>
      </c>
      <c r="E1060" s="8" t="s">
        <v>160</v>
      </c>
      <c r="F1060" s="8" t="s">
        <v>161</v>
      </c>
      <c r="G1060" s="6">
        <v>43004</v>
      </c>
      <c r="H1060" s="6">
        <v>43004</v>
      </c>
      <c r="I1060" s="4">
        <v>-1</v>
      </c>
      <c r="J1060" s="8" t="s">
        <v>37</v>
      </c>
      <c r="K1060" s="8" t="s">
        <v>1883</v>
      </c>
      <c r="L1060" s="4"/>
      <c r="M1060" s="4"/>
      <c r="N1060" s="4"/>
    </row>
    <row r="1061" spans="1:14" x14ac:dyDescent="0.15">
      <c r="A1061" s="8" t="s">
        <v>21</v>
      </c>
      <c r="B1061" s="8" t="s">
        <v>1881</v>
      </c>
      <c r="C1061" s="8" t="s">
        <v>140</v>
      </c>
      <c r="D1061" s="8" t="s">
        <v>268</v>
      </c>
      <c r="E1061" s="8" t="s">
        <v>160</v>
      </c>
      <c r="F1061" s="8" t="s">
        <v>161</v>
      </c>
      <c r="G1061" s="6">
        <v>43004</v>
      </c>
      <c r="H1061" s="6">
        <v>43004</v>
      </c>
      <c r="I1061" s="4">
        <v>42</v>
      </c>
      <c r="J1061" s="8" t="s">
        <v>37</v>
      </c>
      <c r="K1061" s="8" t="s">
        <v>1884</v>
      </c>
      <c r="L1061" s="4"/>
      <c r="M1061" s="4"/>
      <c r="N1061" s="4"/>
    </row>
    <row r="1062" spans="1:14" x14ac:dyDescent="0.15">
      <c r="A1062" s="8" t="s">
        <v>21</v>
      </c>
      <c r="B1062" s="8" t="s">
        <v>1881</v>
      </c>
      <c r="C1062" s="8" t="s">
        <v>119</v>
      </c>
      <c r="D1062" s="8" t="s">
        <v>189</v>
      </c>
      <c r="E1062" s="8" t="s">
        <v>160</v>
      </c>
      <c r="F1062" s="8" t="s">
        <v>161</v>
      </c>
      <c r="G1062" s="6">
        <v>43004</v>
      </c>
      <c r="H1062" s="6">
        <v>43004</v>
      </c>
      <c r="I1062" s="4">
        <v>-7</v>
      </c>
      <c r="J1062" s="8" t="s">
        <v>37</v>
      </c>
      <c r="K1062" s="8" t="s">
        <v>1885</v>
      </c>
      <c r="L1062" s="4"/>
      <c r="M1062" s="4"/>
      <c r="N1062" s="4"/>
    </row>
    <row r="1063" spans="1:14" x14ac:dyDescent="0.15">
      <c r="A1063" s="8" t="s">
        <v>21</v>
      </c>
      <c r="B1063" s="8" t="s">
        <v>1881</v>
      </c>
      <c r="C1063" s="8" t="s">
        <v>29</v>
      </c>
      <c r="D1063" s="8" t="s">
        <v>33</v>
      </c>
      <c r="E1063" s="8" t="s">
        <v>160</v>
      </c>
      <c r="F1063" s="8" t="s">
        <v>161</v>
      </c>
      <c r="G1063" s="6">
        <v>43004</v>
      </c>
      <c r="H1063" s="6">
        <v>43004</v>
      </c>
      <c r="I1063" s="4">
        <v>-1</v>
      </c>
      <c r="J1063" s="8" t="s">
        <v>39</v>
      </c>
      <c r="K1063" s="8" t="s">
        <v>1886</v>
      </c>
      <c r="L1063" s="4"/>
      <c r="M1063" s="4"/>
      <c r="N1063" s="4"/>
    </row>
    <row r="1064" spans="1:14" x14ac:dyDescent="0.15">
      <c r="A1064" s="8" t="s">
        <v>21</v>
      </c>
      <c r="B1064" s="8" t="s">
        <v>1881</v>
      </c>
      <c r="C1064" s="8" t="s">
        <v>58</v>
      </c>
      <c r="D1064" s="8" t="s">
        <v>127</v>
      </c>
      <c r="E1064" s="8" t="s">
        <v>160</v>
      </c>
      <c r="F1064" s="8" t="s">
        <v>161</v>
      </c>
      <c r="G1064" s="6">
        <v>43004</v>
      </c>
      <c r="H1064" s="6">
        <v>43004</v>
      </c>
      <c r="I1064" s="4">
        <v>-2.1</v>
      </c>
      <c r="J1064" s="8" t="s">
        <v>39</v>
      </c>
      <c r="K1064" s="8" t="s">
        <v>1887</v>
      </c>
      <c r="L1064" s="4"/>
      <c r="M1064" s="4"/>
      <c r="N1064" s="4"/>
    </row>
    <row r="1065" spans="1:14" x14ac:dyDescent="0.15">
      <c r="A1065" s="8" t="s">
        <v>21</v>
      </c>
      <c r="B1065" s="8" t="s">
        <v>1881</v>
      </c>
      <c r="C1065" s="8" t="s">
        <v>131</v>
      </c>
      <c r="D1065" s="8" t="s">
        <v>132</v>
      </c>
      <c r="E1065" s="8" t="s">
        <v>160</v>
      </c>
      <c r="F1065" s="8" t="s">
        <v>161</v>
      </c>
      <c r="G1065" s="6">
        <v>43004</v>
      </c>
      <c r="H1065" s="6">
        <v>43004</v>
      </c>
      <c r="I1065" s="4">
        <v>-1</v>
      </c>
      <c r="J1065" s="8" t="s">
        <v>37</v>
      </c>
      <c r="K1065" s="8" t="s">
        <v>1888</v>
      </c>
      <c r="L1065" s="4"/>
      <c r="M1065" s="4"/>
      <c r="N1065" s="4"/>
    </row>
    <row r="1066" spans="1:14" ht="27" x14ac:dyDescent="0.15">
      <c r="A1066" s="8" t="s">
        <v>21</v>
      </c>
      <c r="B1066" s="8" t="s">
        <v>1881</v>
      </c>
      <c r="C1066" s="8" t="s">
        <v>179</v>
      </c>
      <c r="D1066" s="11" t="s">
        <v>180</v>
      </c>
      <c r="E1066" s="8" t="s">
        <v>160</v>
      </c>
      <c r="F1066" s="8" t="s">
        <v>161</v>
      </c>
      <c r="G1066" s="6">
        <v>43004</v>
      </c>
      <c r="H1066" s="6">
        <v>43004</v>
      </c>
      <c r="I1066" s="4">
        <v>-11</v>
      </c>
      <c r="J1066" s="8" t="s">
        <v>37</v>
      </c>
      <c r="K1066" s="8" t="s">
        <v>1889</v>
      </c>
      <c r="L1066" s="4"/>
      <c r="M1066" s="4"/>
      <c r="N1066" s="4"/>
    </row>
    <row r="1067" spans="1:14" x14ac:dyDescent="0.15">
      <c r="A1067" s="8" t="s">
        <v>21</v>
      </c>
      <c r="B1067" s="8" t="s">
        <v>1881</v>
      </c>
      <c r="C1067" s="8" t="s">
        <v>134</v>
      </c>
      <c r="D1067" s="8" t="s">
        <v>135</v>
      </c>
      <c r="E1067" s="8" t="s">
        <v>160</v>
      </c>
      <c r="F1067" s="8" t="s">
        <v>161</v>
      </c>
      <c r="G1067" s="6">
        <v>43004</v>
      </c>
      <c r="H1067" s="6">
        <v>43004</v>
      </c>
      <c r="I1067" s="4">
        <v>-4</v>
      </c>
      <c r="J1067" s="8" t="s">
        <v>37</v>
      </c>
      <c r="K1067" s="8" t="s">
        <v>1890</v>
      </c>
      <c r="L1067" s="4"/>
      <c r="M1067" s="4"/>
      <c r="N1067" s="4"/>
    </row>
    <row r="1068" spans="1:14" x14ac:dyDescent="0.15">
      <c r="A1068" s="8" t="s">
        <v>21</v>
      </c>
      <c r="B1068" s="8" t="s">
        <v>1881</v>
      </c>
      <c r="C1068" s="8" t="s">
        <v>80</v>
      </c>
      <c r="D1068" s="8" t="s">
        <v>163</v>
      </c>
      <c r="E1068" s="8" t="s">
        <v>160</v>
      </c>
      <c r="F1068" s="8" t="s">
        <v>161</v>
      </c>
      <c r="G1068" s="6">
        <v>43004</v>
      </c>
      <c r="H1068" s="6">
        <v>43004</v>
      </c>
      <c r="I1068" s="4">
        <v>1</v>
      </c>
      <c r="J1068" s="8" t="s">
        <v>37</v>
      </c>
      <c r="K1068" s="8" t="s">
        <v>1891</v>
      </c>
      <c r="L1068" s="4"/>
      <c r="M1068" s="4"/>
      <c r="N1068" s="4"/>
    </row>
    <row r="1069" spans="1:14" x14ac:dyDescent="0.15">
      <c r="A1069" s="8" t="s">
        <v>21</v>
      </c>
      <c r="B1069" s="8" t="s">
        <v>1881</v>
      </c>
      <c r="C1069" s="8" t="s">
        <v>148</v>
      </c>
      <c r="D1069" s="8" t="s">
        <v>170</v>
      </c>
      <c r="E1069" s="8" t="s">
        <v>160</v>
      </c>
      <c r="F1069" s="8" t="s">
        <v>161</v>
      </c>
      <c r="G1069" s="6">
        <v>43004</v>
      </c>
      <c r="H1069" s="6">
        <v>43004</v>
      </c>
      <c r="I1069" s="4">
        <v>10</v>
      </c>
      <c r="J1069" s="8" t="s">
        <v>37</v>
      </c>
      <c r="K1069" s="8" t="s">
        <v>1892</v>
      </c>
      <c r="L1069" s="4"/>
      <c r="M1069" s="4"/>
      <c r="N1069" s="4"/>
    </row>
    <row r="1070" spans="1:14" x14ac:dyDescent="0.15">
      <c r="A1070" s="8" t="s">
        <v>21</v>
      </c>
      <c r="B1070" s="8" t="s">
        <v>1881</v>
      </c>
      <c r="C1070" s="8" t="s">
        <v>67</v>
      </c>
      <c r="D1070" s="8" t="s">
        <v>162</v>
      </c>
      <c r="E1070" s="8" t="s">
        <v>160</v>
      </c>
      <c r="F1070" s="8" t="s">
        <v>161</v>
      </c>
      <c r="G1070" s="6">
        <v>43004</v>
      </c>
      <c r="H1070" s="6">
        <v>43004</v>
      </c>
      <c r="I1070" s="4">
        <v>-1</v>
      </c>
      <c r="J1070" s="8" t="s">
        <v>37</v>
      </c>
      <c r="K1070" s="8" t="s">
        <v>1893</v>
      </c>
      <c r="L1070" s="4"/>
      <c r="M1070" s="4"/>
      <c r="N1070" s="4"/>
    </row>
    <row r="1071" spans="1:14" x14ac:dyDescent="0.15">
      <c r="A1071" s="8" t="s">
        <v>21</v>
      </c>
      <c r="B1071" s="8" t="s">
        <v>1894</v>
      </c>
      <c r="C1071" s="8" t="s">
        <v>101</v>
      </c>
      <c r="D1071" s="8" t="s">
        <v>102</v>
      </c>
      <c r="E1071" s="8" t="s">
        <v>160</v>
      </c>
      <c r="F1071" s="8" t="s">
        <v>161</v>
      </c>
      <c r="G1071" s="6">
        <v>43089</v>
      </c>
      <c r="H1071" s="6">
        <v>43089</v>
      </c>
      <c r="I1071" s="4">
        <v>15</v>
      </c>
      <c r="J1071" s="8" t="s">
        <v>39</v>
      </c>
      <c r="K1071" s="8" t="s">
        <v>1895</v>
      </c>
      <c r="L1071" s="4"/>
      <c r="M1071" s="4"/>
      <c r="N1071" s="4"/>
    </row>
    <row r="1072" spans="1:14" x14ac:dyDescent="0.15">
      <c r="A1072" s="8" t="s">
        <v>21</v>
      </c>
      <c r="B1072" s="8" t="s">
        <v>1894</v>
      </c>
      <c r="C1072" s="8" t="s">
        <v>24</v>
      </c>
      <c r="D1072" s="8" t="s">
        <v>34</v>
      </c>
      <c r="E1072" s="8" t="s">
        <v>160</v>
      </c>
      <c r="F1072" s="8" t="s">
        <v>161</v>
      </c>
      <c r="G1072" s="6">
        <v>43089</v>
      </c>
      <c r="H1072" s="6">
        <v>43089</v>
      </c>
      <c r="I1072" s="4">
        <v>-1</v>
      </c>
      <c r="J1072" s="8" t="s">
        <v>39</v>
      </c>
      <c r="K1072" s="8" t="s">
        <v>1896</v>
      </c>
      <c r="L1072" s="4"/>
      <c r="M1072" s="4"/>
      <c r="N1072" s="4"/>
    </row>
    <row r="1073" spans="1:14" x14ac:dyDescent="0.15">
      <c r="A1073" s="8" t="s">
        <v>21</v>
      </c>
      <c r="B1073" s="8" t="s">
        <v>1894</v>
      </c>
      <c r="C1073" s="8" t="s">
        <v>131</v>
      </c>
      <c r="D1073" s="8" t="s">
        <v>132</v>
      </c>
      <c r="E1073" s="8" t="s">
        <v>160</v>
      </c>
      <c r="F1073" s="8" t="s">
        <v>161</v>
      </c>
      <c r="G1073" s="6">
        <v>43089</v>
      </c>
      <c r="H1073" s="6">
        <v>43089</v>
      </c>
      <c r="I1073" s="4">
        <v>-1</v>
      </c>
      <c r="J1073" s="8" t="s">
        <v>37</v>
      </c>
      <c r="K1073" s="8" t="s">
        <v>1897</v>
      </c>
      <c r="L1073" s="4"/>
      <c r="M1073" s="4"/>
      <c r="N1073" s="4"/>
    </row>
    <row r="1074" spans="1:14" ht="27" x14ac:dyDescent="0.15">
      <c r="A1074" s="8" t="s">
        <v>21</v>
      </c>
      <c r="B1074" s="8" t="s">
        <v>1894</v>
      </c>
      <c r="C1074" s="8" t="s">
        <v>179</v>
      </c>
      <c r="D1074" s="11" t="s">
        <v>180</v>
      </c>
      <c r="E1074" s="8" t="s">
        <v>160</v>
      </c>
      <c r="F1074" s="8" t="s">
        <v>161</v>
      </c>
      <c r="G1074" s="6">
        <v>43089</v>
      </c>
      <c r="H1074" s="6">
        <v>43089</v>
      </c>
      <c r="I1074" s="4">
        <v>11</v>
      </c>
      <c r="J1074" s="8" t="s">
        <v>37</v>
      </c>
      <c r="K1074" s="8" t="s">
        <v>1898</v>
      </c>
      <c r="L1074" s="4"/>
      <c r="M1074" s="4"/>
      <c r="N1074" s="4"/>
    </row>
    <row r="1075" spans="1:14" x14ac:dyDescent="0.15">
      <c r="A1075" s="8" t="s">
        <v>21</v>
      </c>
      <c r="B1075" s="8" t="s">
        <v>1894</v>
      </c>
      <c r="C1075" s="8" t="s">
        <v>134</v>
      </c>
      <c r="D1075" s="8" t="s">
        <v>135</v>
      </c>
      <c r="E1075" s="8" t="s">
        <v>160</v>
      </c>
      <c r="F1075" s="8" t="s">
        <v>161</v>
      </c>
      <c r="G1075" s="6">
        <v>43089</v>
      </c>
      <c r="H1075" s="6">
        <v>43089</v>
      </c>
      <c r="I1075" s="4">
        <v>-2</v>
      </c>
      <c r="J1075" s="8" t="s">
        <v>37</v>
      </c>
      <c r="K1075" s="8" t="s">
        <v>1899</v>
      </c>
      <c r="L1075" s="4"/>
      <c r="M1075" s="4"/>
      <c r="N1075" s="4"/>
    </row>
    <row r="1076" spans="1:14" x14ac:dyDescent="0.15">
      <c r="A1076" s="8" t="s">
        <v>21</v>
      </c>
      <c r="B1076" s="8" t="s">
        <v>1894</v>
      </c>
      <c r="C1076" s="8" t="s">
        <v>68</v>
      </c>
      <c r="D1076" s="8" t="s">
        <v>166</v>
      </c>
      <c r="E1076" s="8" t="s">
        <v>160</v>
      </c>
      <c r="F1076" s="8" t="s">
        <v>161</v>
      </c>
      <c r="G1076" s="6">
        <v>43089</v>
      </c>
      <c r="H1076" s="6">
        <v>43089</v>
      </c>
      <c r="I1076" s="4">
        <v>1</v>
      </c>
      <c r="J1076" s="8" t="s">
        <v>37</v>
      </c>
      <c r="K1076" s="8" t="s">
        <v>1900</v>
      </c>
      <c r="L1076" s="4"/>
      <c r="M1076" s="4"/>
      <c r="N1076" s="4"/>
    </row>
    <row r="1077" spans="1:14" x14ac:dyDescent="0.15">
      <c r="A1077" s="8" t="s">
        <v>21</v>
      </c>
      <c r="B1077" s="8" t="s">
        <v>1894</v>
      </c>
      <c r="C1077" s="8" t="s">
        <v>105</v>
      </c>
      <c r="D1077" s="8" t="s">
        <v>321</v>
      </c>
      <c r="E1077" s="8" t="s">
        <v>160</v>
      </c>
      <c r="F1077" s="8" t="s">
        <v>161</v>
      </c>
      <c r="G1077" s="6">
        <v>43089</v>
      </c>
      <c r="H1077" s="6">
        <v>43089</v>
      </c>
      <c r="I1077" s="4">
        <v>-1</v>
      </c>
      <c r="J1077" s="8" t="s">
        <v>37</v>
      </c>
      <c r="K1077" s="8" t="s">
        <v>1901</v>
      </c>
      <c r="L1077" s="4"/>
      <c r="M1077" s="4"/>
      <c r="N1077" s="4"/>
    </row>
    <row r="1078" spans="1:14" x14ac:dyDescent="0.15">
      <c r="A1078" s="8" t="s">
        <v>936</v>
      </c>
      <c r="B1078" s="8" t="s">
        <v>937</v>
      </c>
      <c r="C1078" s="8" t="s">
        <v>214</v>
      </c>
      <c r="D1078" s="8" t="s">
        <v>215</v>
      </c>
      <c r="E1078" s="8" t="s">
        <v>160</v>
      </c>
      <c r="F1078" s="8" t="s">
        <v>161</v>
      </c>
      <c r="G1078" s="6">
        <v>42859</v>
      </c>
      <c r="H1078" s="6">
        <v>42859</v>
      </c>
      <c r="I1078" s="4">
        <v>-1</v>
      </c>
      <c r="J1078" s="8" t="s">
        <v>37</v>
      </c>
      <c r="K1078" s="8" t="s">
        <v>938</v>
      </c>
      <c r="L1078" s="4"/>
      <c r="M1078" s="4"/>
      <c r="N1078" s="4"/>
    </row>
    <row r="1079" spans="1:14" x14ac:dyDescent="0.15">
      <c r="A1079" s="8" t="s">
        <v>936</v>
      </c>
      <c r="B1079" s="8" t="s">
        <v>939</v>
      </c>
      <c r="C1079" s="8" t="s">
        <v>214</v>
      </c>
      <c r="D1079" s="8" t="s">
        <v>215</v>
      </c>
      <c r="E1079" s="8" t="s">
        <v>160</v>
      </c>
      <c r="F1079" s="8" t="s">
        <v>161</v>
      </c>
      <c r="G1079" s="6">
        <v>42872</v>
      </c>
      <c r="H1079" s="6">
        <v>42872</v>
      </c>
      <c r="I1079" s="4">
        <v>-1</v>
      </c>
      <c r="J1079" s="8" t="s">
        <v>37</v>
      </c>
      <c r="K1079" s="8" t="s">
        <v>940</v>
      </c>
      <c r="L1079" s="4"/>
      <c r="M1079" s="4"/>
      <c r="N1079" s="4"/>
    </row>
    <row r="1080" spans="1:14" x14ac:dyDescent="0.15">
      <c r="A1080" s="8" t="s">
        <v>936</v>
      </c>
      <c r="B1080" s="8" t="s">
        <v>939</v>
      </c>
      <c r="C1080" s="8" t="s">
        <v>214</v>
      </c>
      <c r="D1080" s="8" t="s">
        <v>215</v>
      </c>
      <c r="E1080" s="8" t="s">
        <v>160</v>
      </c>
      <c r="F1080" s="8" t="s">
        <v>161</v>
      </c>
      <c r="G1080" s="6">
        <v>42872</v>
      </c>
      <c r="H1080" s="6">
        <v>42872</v>
      </c>
      <c r="I1080" s="4">
        <v>-1</v>
      </c>
      <c r="J1080" s="8" t="s">
        <v>37</v>
      </c>
      <c r="K1080" s="8" t="s">
        <v>941</v>
      </c>
      <c r="L1080" s="4"/>
      <c r="M1080" s="4"/>
      <c r="N1080" s="4"/>
    </row>
    <row r="1081" spans="1:14" x14ac:dyDescent="0.15">
      <c r="A1081" s="8" t="s">
        <v>936</v>
      </c>
      <c r="B1081" s="8" t="s">
        <v>942</v>
      </c>
      <c r="C1081" s="8" t="s">
        <v>214</v>
      </c>
      <c r="D1081" s="8" t="s">
        <v>215</v>
      </c>
      <c r="E1081" s="8" t="s">
        <v>160</v>
      </c>
      <c r="F1081" s="8" t="s">
        <v>161</v>
      </c>
      <c r="G1081" s="6">
        <v>42880</v>
      </c>
      <c r="H1081" s="6">
        <v>42880</v>
      </c>
      <c r="I1081" s="4">
        <v>-1</v>
      </c>
      <c r="J1081" s="8" t="s">
        <v>37</v>
      </c>
      <c r="K1081" s="8" t="s">
        <v>943</v>
      </c>
      <c r="L1081" s="4"/>
      <c r="M1081" s="4"/>
      <c r="N1081" s="4"/>
    </row>
    <row r="1082" spans="1:14" x14ac:dyDescent="0.15">
      <c r="A1082" s="8" t="s">
        <v>936</v>
      </c>
      <c r="B1082" s="8" t="s">
        <v>944</v>
      </c>
      <c r="C1082" s="8" t="s">
        <v>214</v>
      </c>
      <c r="D1082" s="8" t="s">
        <v>215</v>
      </c>
      <c r="E1082" s="8" t="s">
        <v>160</v>
      </c>
      <c r="F1082" s="8" t="s">
        <v>161</v>
      </c>
      <c r="G1082" s="6">
        <v>42894</v>
      </c>
      <c r="H1082" s="6">
        <v>42894</v>
      </c>
      <c r="I1082" s="4">
        <v>-1</v>
      </c>
      <c r="J1082" s="8" t="s">
        <v>37</v>
      </c>
      <c r="K1082" s="8" t="s">
        <v>945</v>
      </c>
      <c r="L1082" s="4"/>
      <c r="M1082" s="4"/>
      <c r="N1082" s="4"/>
    </row>
    <row r="1083" spans="1:14" x14ac:dyDescent="0.15">
      <c r="A1083" s="8" t="s">
        <v>936</v>
      </c>
      <c r="B1083" s="8" t="s">
        <v>944</v>
      </c>
      <c r="C1083" s="8" t="s">
        <v>214</v>
      </c>
      <c r="D1083" s="8" t="s">
        <v>215</v>
      </c>
      <c r="E1083" s="8" t="s">
        <v>160</v>
      </c>
      <c r="F1083" s="8" t="s">
        <v>161</v>
      </c>
      <c r="G1083" s="6">
        <v>42916</v>
      </c>
      <c r="H1083" s="6">
        <v>42916</v>
      </c>
      <c r="I1083" s="4">
        <v>-1</v>
      </c>
      <c r="J1083" s="8" t="s">
        <v>37</v>
      </c>
      <c r="K1083" s="8" t="s">
        <v>946</v>
      </c>
      <c r="L1083" s="4"/>
      <c r="M1083" s="4"/>
      <c r="N1083" s="4"/>
    </row>
    <row r="1084" spans="1:14" x14ac:dyDescent="0.15">
      <c r="A1084" s="8" t="s">
        <v>936</v>
      </c>
      <c r="B1084" s="8" t="s">
        <v>944</v>
      </c>
      <c r="C1084" s="8" t="s">
        <v>65</v>
      </c>
      <c r="D1084" s="8" t="s">
        <v>172</v>
      </c>
      <c r="E1084" s="8" t="s">
        <v>160</v>
      </c>
      <c r="F1084" s="8" t="s">
        <v>161</v>
      </c>
      <c r="G1084" s="6">
        <v>42894</v>
      </c>
      <c r="H1084" s="6">
        <v>42894</v>
      </c>
      <c r="I1084" s="4">
        <v>-1</v>
      </c>
      <c r="J1084" s="8" t="s">
        <v>37</v>
      </c>
      <c r="K1084" s="8" t="s">
        <v>947</v>
      </c>
      <c r="L1084" s="4"/>
      <c r="M1084" s="4"/>
      <c r="N1084" s="4"/>
    </row>
    <row r="1085" spans="1:14" x14ac:dyDescent="0.15">
      <c r="A1085" s="8" t="s">
        <v>936</v>
      </c>
      <c r="B1085" s="8" t="s">
        <v>948</v>
      </c>
      <c r="C1085" s="8" t="s">
        <v>70</v>
      </c>
      <c r="D1085" s="8" t="s">
        <v>173</v>
      </c>
      <c r="E1085" s="8" t="s">
        <v>160</v>
      </c>
      <c r="F1085" s="8" t="s">
        <v>161</v>
      </c>
      <c r="G1085" s="6">
        <v>42912</v>
      </c>
      <c r="H1085" s="6">
        <v>42912</v>
      </c>
      <c r="I1085" s="4">
        <v>-1</v>
      </c>
      <c r="J1085" s="8" t="s">
        <v>37</v>
      </c>
      <c r="K1085" s="8" t="s">
        <v>949</v>
      </c>
      <c r="L1085" s="4"/>
      <c r="M1085" s="4"/>
      <c r="N1085" s="4"/>
    </row>
    <row r="1086" spans="1:14" x14ac:dyDescent="0.15">
      <c r="A1086" s="8" t="s">
        <v>936</v>
      </c>
      <c r="B1086" s="8" t="s">
        <v>1902</v>
      </c>
      <c r="C1086" s="8" t="s">
        <v>214</v>
      </c>
      <c r="D1086" s="8" t="s">
        <v>215</v>
      </c>
      <c r="E1086" s="8" t="s">
        <v>160</v>
      </c>
      <c r="F1086" s="8" t="s">
        <v>161</v>
      </c>
      <c r="G1086" s="6">
        <v>42930</v>
      </c>
      <c r="H1086" s="6">
        <v>42930</v>
      </c>
      <c r="I1086" s="4">
        <v>-1</v>
      </c>
      <c r="J1086" s="8" t="s">
        <v>37</v>
      </c>
      <c r="K1086" s="8" t="s">
        <v>1903</v>
      </c>
      <c r="L1086" s="4"/>
      <c r="M1086" s="4"/>
      <c r="N1086" s="4"/>
    </row>
    <row r="1087" spans="1:14" x14ac:dyDescent="0.15">
      <c r="A1087" s="8" t="s">
        <v>936</v>
      </c>
      <c r="B1087" s="8" t="s">
        <v>1902</v>
      </c>
      <c r="C1087" s="8" t="s">
        <v>214</v>
      </c>
      <c r="D1087" s="8" t="s">
        <v>215</v>
      </c>
      <c r="E1087" s="8" t="s">
        <v>160</v>
      </c>
      <c r="F1087" s="8" t="s">
        <v>161</v>
      </c>
      <c r="G1087" s="6">
        <v>42976</v>
      </c>
      <c r="H1087" s="6">
        <v>42976</v>
      </c>
      <c r="I1087" s="4">
        <v>1</v>
      </c>
      <c r="J1087" s="8" t="s">
        <v>37</v>
      </c>
      <c r="K1087" s="8" t="s">
        <v>1904</v>
      </c>
      <c r="L1087" s="4"/>
      <c r="M1087" s="4"/>
      <c r="N1087" s="4"/>
    </row>
    <row r="1088" spans="1:14" x14ac:dyDescent="0.15">
      <c r="A1088" s="8" t="s">
        <v>936</v>
      </c>
      <c r="B1088" s="8" t="s">
        <v>1902</v>
      </c>
      <c r="C1088" s="8" t="s">
        <v>214</v>
      </c>
      <c r="D1088" s="8" t="s">
        <v>215</v>
      </c>
      <c r="E1088" s="8" t="s">
        <v>160</v>
      </c>
      <c r="F1088" s="8" t="s">
        <v>161</v>
      </c>
      <c r="G1088" s="6">
        <v>42976</v>
      </c>
      <c r="H1088" s="6">
        <v>42976</v>
      </c>
      <c r="I1088" s="4">
        <v>-1</v>
      </c>
      <c r="J1088" s="8" t="s">
        <v>37</v>
      </c>
      <c r="K1088" s="8" t="s">
        <v>1905</v>
      </c>
      <c r="L1088" s="4"/>
      <c r="M1088" s="4"/>
      <c r="N1088" s="4"/>
    </row>
    <row r="1089" spans="1:14" x14ac:dyDescent="0.15">
      <c r="A1089" s="8" t="s">
        <v>936</v>
      </c>
      <c r="B1089" s="8" t="s">
        <v>1906</v>
      </c>
      <c r="C1089" s="8" t="s">
        <v>214</v>
      </c>
      <c r="D1089" s="8" t="s">
        <v>215</v>
      </c>
      <c r="E1089" s="8" t="s">
        <v>160</v>
      </c>
      <c r="F1089" s="8" t="s">
        <v>161</v>
      </c>
      <c r="G1089" s="6">
        <v>43069</v>
      </c>
      <c r="H1089" s="6">
        <v>43069</v>
      </c>
      <c r="I1089" s="4">
        <v>-1</v>
      </c>
      <c r="J1089" s="8" t="s">
        <v>37</v>
      </c>
      <c r="K1089" s="8" t="s">
        <v>1907</v>
      </c>
      <c r="L1089" s="4"/>
      <c r="M1089" s="4"/>
      <c r="N1089" s="4"/>
    </row>
    <row r="1090" spans="1:14" x14ac:dyDescent="0.15">
      <c r="A1090" s="3" t="s">
        <v>13</v>
      </c>
      <c r="B1090" s="7"/>
      <c r="C1090" s="7" t="s">
        <v>13</v>
      </c>
      <c r="D1090" s="7"/>
      <c r="E1090" s="7"/>
      <c r="F1090" s="7"/>
      <c r="G1090" s="5"/>
      <c r="H1090" s="5"/>
      <c r="I1090" s="3">
        <f>SUBTOTAL(109,AtlasReport_1_Table_1[Quantity])</f>
        <v>-5419.7699999999959</v>
      </c>
      <c r="J1090" s="7"/>
      <c r="K1090" s="7"/>
      <c r="L1090" s="3"/>
      <c r="M1090" s="3"/>
      <c r="N1090" s="3"/>
    </row>
    <row r="1091" spans="1:14" x14ac:dyDescent="0.15">
      <c r="A1091" s="3"/>
      <c r="B1091" s="3"/>
      <c r="C1091" s="3"/>
      <c r="D1091" s="3"/>
      <c r="E1091" s="3"/>
      <c r="F1091" s="3"/>
      <c r="G1091" s="5"/>
      <c r="H1091" s="5"/>
      <c r="I1091" s="3"/>
      <c r="J1091" s="3"/>
      <c r="K1091" s="3"/>
      <c r="L1091" s="3"/>
      <c r="M1091" s="3"/>
      <c r="N1091" s="3"/>
    </row>
    <row r="1092" spans="1:14" x14ac:dyDescent="0.15">
      <c r="A1092" s="3"/>
      <c r="B1092" s="3"/>
      <c r="C1092" s="3"/>
      <c r="D1092" s="3"/>
      <c r="E1092" s="3"/>
      <c r="F1092" s="3"/>
      <c r="G1092" s="5"/>
      <c r="H1092" s="5"/>
      <c r="I1092" s="3"/>
      <c r="J1092" s="3"/>
      <c r="K1092" s="3"/>
      <c r="L1092" s="3"/>
      <c r="M1092" s="3"/>
      <c r="N1092" s="3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7"/>
  <sheetViews>
    <sheetView workbookViewId="0">
      <selection activeCell="D3" sqref="D3"/>
    </sheetView>
  </sheetViews>
  <sheetFormatPr defaultRowHeight="13.5" x14ac:dyDescent="0.15"/>
  <cols>
    <col min="1" max="1" width="14.375" customWidth="1"/>
    <col min="2" max="2" width="11.625" customWidth="1"/>
    <col min="3" max="3" width="14.875" customWidth="1"/>
    <col min="4" max="4" width="26.125" customWidth="1"/>
    <col min="5" max="5" width="9.75" customWidth="1"/>
    <col min="6" max="6" width="6.75" customWidth="1"/>
    <col min="7" max="7" width="5.875" customWidth="1"/>
    <col min="8" max="8" width="11" customWidth="1"/>
    <col min="9" max="9" width="7.125" customWidth="1"/>
    <col min="10" max="10" width="10" customWidth="1"/>
    <col min="11" max="12" width="11.125" customWidth="1"/>
    <col min="13" max="13" width="9.75" customWidth="1"/>
    <col min="14" max="14" width="18.875" customWidth="1"/>
    <col min="15" max="15" width="10.125" customWidth="1"/>
    <col min="16" max="16" width="8.75" customWidth="1"/>
    <col min="17" max="17" width="13.375" customWidth="1"/>
  </cols>
  <sheetData>
    <row r="1" spans="1:17" ht="22.5" x14ac:dyDescent="0.25">
      <c r="A1" s="2" t="s">
        <v>40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1:17" x14ac:dyDescent="0.15">
      <c r="A2" s="3" t="s">
        <v>8</v>
      </c>
      <c r="B2" s="3" t="s">
        <v>9</v>
      </c>
      <c r="C2" s="3" t="s">
        <v>6</v>
      </c>
      <c r="D2" s="3" t="s">
        <v>30</v>
      </c>
      <c r="E2" s="5" t="s">
        <v>47</v>
      </c>
      <c r="F2" s="3" t="s">
        <v>49</v>
      </c>
      <c r="G2" s="3" t="s">
        <v>50</v>
      </c>
      <c r="H2" s="3" t="s">
        <v>12</v>
      </c>
      <c r="I2" s="3" t="s">
        <v>36</v>
      </c>
      <c r="J2" s="3" t="s">
        <v>41</v>
      </c>
      <c r="K2" s="3" t="s">
        <v>42</v>
      </c>
      <c r="L2" s="3" t="s">
        <v>45</v>
      </c>
      <c r="M2" s="3" t="s">
        <v>43</v>
      </c>
      <c r="N2" s="3" t="s">
        <v>44</v>
      </c>
      <c r="O2" s="3" t="s">
        <v>7</v>
      </c>
      <c r="P2" s="3" t="s">
        <v>46</v>
      </c>
      <c r="Q2" s="3" t="s">
        <v>48</v>
      </c>
    </row>
    <row r="3" spans="1:17" x14ac:dyDescent="0.15">
      <c r="A3" s="8" t="s">
        <v>17</v>
      </c>
      <c r="B3" s="8" t="s">
        <v>1506</v>
      </c>
      <c r="C3" s="8" t="s">
        <v>68</v>
      </c>
      <c r="D3" s="8" t="s">
        <v>166</v>
      </c>
      <c r="E3" s="6">
        <v>42929</v>
      </c>
      <c r="F3" s="8" t="s">
        <v>160</v>
      </c>
      <c r="G3" s="8" t="s">
        <v>161</v>
      </c>
      <c r="H3" s="4">
        <v>210</v>
      </c>
      <c r="I3" s="8" t="s">
        <v>37</v>
      </c>
      <c r="J3" s="4">
        <v>7.4469523809520011</v>
      </c>
      <c r="K3" s="4">
        <v>1563.86</v>
      </c>
      <c r="L3" s="8" t="s">
        <v>375</v>
      </c>
      <c r="M3" s="4">
        <v>1563.86</v>
      </c>
      <c r="N3" s="8" t="s">
        <v>1908</v>
      </c>
      <c r="O3" s="8" t="s">
        <v>1507</v>
      </c>
      <c r="P3" s="8" t="s">
        <v>377</v>
      </c>
      <c r="Q3" s="4">
        <v>5637656534</v>
      </c>
    </row>
    <row r="4" spans="1:17" x14ac:dyDescent="0.15">
      <c r="A4" s="8" t="s">
        <v>17</v>
      </c>
      <c r="B4" s="8" t="s">
        <v>1508</v>
      </c>
      <c r="C4" s="8" t="s">
        <v>68</v>
      </c>
      <c r="D4" s="8" t="s">
        <v>166</v>
      </c>
      <c r="E4" s="6">
        <v>42929</v>
      </c>
      <c r="F4" s="8" t="s">
        <v>160</v>
      </c>
      <c r="G4" s="8" t="s">
        <v>161</v>
      </c>
      <c r="H4" s="4">
        <v>-210</v>
      </c>
      <c r="I4" s="8" t="s">
        <v>37</v>
      </c>
      <c r="J4" s="4">
        <v>7.4469523809520011</v>
      </c>
      <c r="K4" s="4">
        <v>-1563.86</v>
      </c>
      <c r="L4" s="8" t="s">
        <v>375</v>
      </c>
      <c r="M4" s="4">
        <v>-1563.86</v>
      </c>
      <c r="N4" s="8" t="s">
        <v>1909</v>
      </c>
      <c r="O4" s="8" t="s">
        <v>1509</v>
      </c>
      <c r="P4" s="8" t="s">
        <v>377</v>
      </c>
      <c r="Q4" s="4">
        <v>5637656541</v>
      </c>
    </row>
    <row r="5" spans="1:17" x14ac:dyDescent="0.15">
      <c r="A5" s="3" t="s">
        <v>13</v>
      </c>
      <c r="B5" s="7"/>
      <c r="C5" s="7"/>
      <c r="D5" s="7"/>
      <c r="E5" s="5"/>
      <c r="F5" s="7"/>
      <c r="G5" s="7"/>
      <c r="H5" s="3">
        <f>SUBTOTAL(109,AtlasReport_2_Table_1[Quantity])</f>
        <v>0</v>
      </c>
      <c r="I5" s="7"/>
      <c r="J5" s="3">
        <f>SUBTOTAL(109,AtlasReport_2_Table_1[TPP cost price])</f>
        <v>14.893904761904002</v>
      </c>
      <c r="K5" s="3">
        <f>SUBTOTAL(109,AtlasReport_2_Table_1[TPP cost amount])</f>
        <v>0</v>
      </c>
      <c r="L5" s="7"/>
      <c r="M5" s="3">
        <f>SUBTOTAL(109,AtlasReport_2_Table_1[TPP cost amount currency])</f>
        <v>0</v>
      </c>
      <c r="N5" s="7"/>
      <c r="O5" s="7"/>
      <c r="P5" s="7"/>
      <c r="Q5" s="3">
        <f>SUBTOTAL(109,AtlasReport_2_Table_1[InventTransRecId])</f>
        <v>11275313075</v>
      </c>
    </row>
    <row r="6" spans="1:17" x14ac:dyDescent="0.15">
      <c r="A6" s="3"/>
      <c r="B6" s="3"/>
      <c r="C6" s="3"/>
      <c r="D6" s="3"/>
      <c r="E6" s="5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</row>
    <row r="7" spans="1:17" x14ac:dyDescent="0.15">
      <c r="A7" s="3"/>
      <c r="B7" s="3"/>
      <c r="C7" s="3"/>
      <c r="D7" s="3"/>
      <c r="E7" s="5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72"/>
  <sheetViews>
    <sheetView workbookViewId="0">
      <selection activeCell="A7" sqref="A7"/>
    </sheetView>
  </sheetViews>
  <sheetFormatPr defaultRowHeight="13.5" x14ac:dyDescent="0.15"/>
  <cols>
    <col min="1" max="1" width="32" customWidth="1"/>
    <col min="2" max="2" width="6.75" customWidth="1"/>
    <col min="3" max="3" width="13.625" customWidth="1"/>
    <col min="4" max="4" width="17.375" customWidth="1"/>
    <col min="5" max="5" width="20.625" customWidth="1"/>
    <col min="6" max="6" width="17.625" customWidth="1"/>
    <col min="7" max="7" width="20.625" customWidth="1"/>
    <col min="8" max="8" width="17.625" customWidth="1"/>
    <col min="9" max="9" width="10.75" bestFit="1" customWidth="1"/>
  </cols>
  <sheetData>
    <row r="1" spans="1:8" ht="22.5" x14ac:dyDescent="0.25">
      <c r="A1" s="2" t="s">
        <v>51</v>
      </c>
      <c r="B1" s="2"/>
      <c r="C1" s="2"/>
      <c r="D1" s="2"/>
      <c r="E1" s="2"/>
      <c r="F1" s="2"/>
      <c r="G1" s="2"/>
      <c r="H1" s="2"/>
    </row>
    <row r="2" spans="1:8" x14ac:dyDescent="0.15">
      <c r="A2" s="3" t="s">
        <v>6</v>
      </c>
      <c r="B2" s="3" t="s">
        <v>49</v>
      </c>
      <c r="C2" s="3" t="s">
        <v>50</v>
      </c>
      <c r="D2" s="9" t="s">
        <v>82</v>
      </c>
      <c r="E2" s="9" t="s">
        <v>87</v>
      </c>
      <c r="F2" s="9" t="s">
        <v>88</v>
      </c>
      <c r="G2" s="9" t="s">
        <v>83</v>
      </c>
      <c r="H2" s="9" t="s">
        <v>84</v>
      </c>
    </row>
    <row r="3" spans="1:8" x14ac:dyDescent="0.15">
      <c r="A3" s="8" t="s">
        <v>52</v>
      </c>
      <c r="B3" s="8" t="s">
        <v>160</v>
      </c>
      <c r="C3" s="8" t="s">
        <v>161</v>
      </c>
      <c r="D3" s="10">
        <v>278.60000000000002</v>
      </c>
      <c r="E3" s="10">
        <v>278.60000000000002</v>
      </c>
      <c r="F3" s="10">
        <v>0</v>
      </c>
      <c r="G3" s="10">
        <f>AtlasReport_3_Table_1[[#This Row],[Current On-hand]]-AtlasReport_3_Table_1[[#This Row],[Trans backwords (Beginning)]]</f>
        <v>0</v>
      </c>
      <c r="H3" s="10">
        <f>AtlasReport_3_Table_1[[#This Row],[Current On-hand]]-AtlasReport_3_Table_1[[#This Row],[Trans backwords (Ending)]]</f>
        <v>278.60000000000002</v>
      </c>
    </row>
    <row r="4" spans="1:8" x14ac:dyDescent="0.15">
      <c r="A4" s="8" t="s">
        <v>136</v>
      </c>
      <c r="B4" s="8" t="s">
        <v>160</v>
      </c>
      <c r="C4" s="8" t="s">
        <v>81</v>
      </c>
      <c r="D4" s="10">
        <v>0</v>
      </c>
      <c r="E4" s="10">
        <v>0</v>
      </c>
      <c r="F4" s="10">
        <v>0</v>
      </c>
      <c r="G4" s="10">
        <f>AtlasReport_3_Table_1[[#This Row],[Current On-hand]]-AtlasReport_3_Table_1[[#This Row],[Trans backwords (Beginning)]]</f>
        <v>0</v>
      </c>
      <c r="H4" s="10">
        <f>AtlasReport_3_Table_1[[#This Row],[Current On-hand]]-AtlasReport_3_Table_1[[#This Row],[Trans backwords (Ending)]]</f>
        <v>0</v>
      </c>
    </row>
    <row r="5" spans="1:8" x14ac:dyDescent="0.15">
      <c r="A5" s="8" t="s">
        <v>136</v>
      </c>
      <c r="B5" s="8" t="s">
        <v>160</v>
      </c>
      <c r="C5" s="8" t="s">
        <v>161</v>
      </c>
      <c r="D5" s="10">
        <v>101.1</v>
      </c>
      <c r="E5" s="10">
        <v>101.1</v>
      </c>
      <c r="F5" s="10">
        <v>0</v>
      </c>
      <c r="G5" s="10">
        <f>AtlasReport_3_Table_1[[#This Row],[Current On-hand]]-AtlasReport_3_Table_1[[#This Row],[Trans backwords (Beginning)]]</f>
        <v>0</v>
      </c>
      <c r="H5" s="10">
        <f>AtlasReport_3_Table_1[[#This Row],[Current On-hand]]-AtlasReport_3_Table_1[[#This Row],[Trans backwords (Ending)]]</f>
        <v>101.1</v>
      </c>
    </row>
    <row r="6" spans="1:8" x14ac:dyDescent="0.15">
      <c r="A6" s="8" t="s">
        <v>137</v>
      </c>
      <c r="B6" s="8" t="s">
        <v>160</v>
      </c>
      <c r="C6" s="8" t="s">
        <v>81</v>
      </c>
      <c r="D6" s="10">
        <v>0</v>
      </c>
      <c r="E6" s="10">
        <v>0</v>
      </c>
      <c r="F6" s="10">
        <v>0</v>
      </c>
      <c r="G6" s="10">
        <f>AtlasReport_3_Table_1[[#This Row],[Current On-hand]]-AtlasReport_3_Table_1[[#This Row],[Trans backwords (Beginning)]]</f>
        <v>0</v>
      </c>
      <c r="H6" s="10">
        <f>AtlasReport_3_Table_1[[#This Row],[Current On-hand]]-AtlasReport_3_Table_1[[#This Row],[Trans backwords (Ending)]]</f>
        <v>0</v>
      </c>
    </row>
    <row r="7" spans="1:8" x14ac:dyDescent="0.15">
      <c r="A7" s="8" t="s">
        <v>137</v>
      </c>
      <c r="B7" s="8" t="s">
        <v>160</v>
      </c>
      <c r="C7" s="8" t="s">
        <v>161</v>
      </c>
      <c r="D7" s="10">
        <v>390</v>
      </c>
      <c r="E7" s="10">
        <v>0</v>
      </c>
      <c r="F7" s="10">
        <v>0</v>
      </c>
      <c r="G7" s="10">
        <f>AtlasReport_3_Table_1[[#This Row],[Current On-hand]]-AtlasReport_3_Table_1[[#This Row],[Trans backwords (Beginning)]]</f>
        <v>390</v>
      </c>
      <c r="H7" s="10">
        <f>AtlasReport_3_Table_1[[#This Row],[Current On-hand]]-AtlasReport_3_Table_1[[#This Row],[Trans backwords (Ending)]]</f>
        <v>390</v>
      </c>
    </row>
    <row r="8" spans="1:8" x14ac:dyDescent="0.15">
      <c r="A8" s="8" t="s">
        <v>53</v>
      </c>
      <c r="B8" s="8" t="s">
        <v>160</v>
      </c>
      <c r="C8" s="8" t="s">
        <v>161</v>
      </c>
      <c r="D8" s="10">
        <v>0</v>
      </c>
      <c r="E8" s="10">
        <v>0</v>
      </c>
      <c r="F8" s="10">
        <v>0</v>
      </c>
      <c r="G8" s="10">
        <f>AtlasReport_3_Table_1[[#This Row],[Current On-hand]]-AtlasReport_3_Table_1[[#This Row],[Trans backwords (Beginning)]]</f>
        <v>0</v>
      </c>
      <c r="H8" s="10">
        <f>AtlasReport_3_Table_1[[#This Row],[Current On-hand]]-AtlasReport_3_Table_1[[#This Row],[Trans backwords (Ending)]]</f>
        <v>0</v>
      </c>
    </row>
    <row r="9" spans="1:8" x14ac:dyDescent="0.15">
      <c r="A9" s="8" t="s">
        <v>70</v>
      </c>
      <c r="B9" s="8" t="s">
        <v>160</v>
      </c>
      <c r="C9" s="8" t="s">
        <v>161</v>
      </c>
      <c r="D9" s="10">
        <v>0</v>
      </c>
      <c r="E9" s="10">
        <v>0</v>
      </c>
      <c r="F9" s="10">
        <v>0</v>
      </c>
      <c r="G9" s="10">
        <f>AtlasReport_3_Table_1[[#This Row],[Current On-hand]]-AtlasReport_3_Table_1[[#This Row],[Trans backwords (Beginning)]]</f>
        <v>0</v>
      </c>
      <c r="H9" s="10">
        <f>AtlasReport_3_Table_1[[#This Row],[Current On-hand]]-AtlasReport_3_Table_1[[#This Row],[Trans backwords (Ending)]]</f>
        <v>0</v>
      </c>
    </row>
    <row r="10" spans="1:8" x14ac:dyDescent="0.15">
      <c r="A10" s="8" t="s">
        <v>138</v>
      </c>
      <c r="B10" s="8" t="s">
        <v>160</v>
      </c>
      <c r="C10" s="8" t="s">
        <v>81</v>
      </c>
      <c r="D10" s="10">
        <v>0</v>
      </c>
      <c r="E10" s="10">
        <v>0</v>
      </c>
      <c r="F10" s="10">
        <v>0</v>
      </c>
      <c r="G10" s="10">
        <f>AtlasReport_3_Table_1[[#This Row],[Current On-hand]]-AtlasReport_3_Table_1[[#This Row],[Trans backwords (Beginning)]]</f>
        <v>0</v>
      </c>
      <c r="H10" s="10">
        <f>AtlasReport_3_Table_1[[#This Row],[Current On-hand]]-AtlasReport_3_Table_1[[#This Row],[Trans backwords (Ending)]]</f>
        <v>0</v>
      </c>
    </row>
    <row r="11" spans="1:8" x14ac:dyDescent="0.15">
      <c r="A11" s="8" t="s">
        <v>138</v>
      </c>
      <c r="B11" s="8" t="s">
        <v>160</v>
      </c>
      <c r="C11" s="8" t="s">
        <v>161</v>
      </c>
      <c r="D11" s="10">
        <v>0</v>
      </c>
      <c r="E11" s="10">
        <v>-240</v>
      </c>
      <c r="F11" s="10">
        <v>0</v>
      </c>
      <c r="G11" s="10">
        <f>AtlasReport_3_Table_1[[#This Row],[Current On-hand]]-AtlasReport_3_Table_1[[#This Row],[Trans backwords (Beginning)]]</f>
        <v>240</v>
      </c>
      <c r="H11" s="10">
        <f>AtlasReport_3_Table_1[[#This Row],[Current On-hand]]-AtlasReport_3_Table_1[[#This Row],[Trans backwords (Ending)]]</f>
        <v>0</v>
      </c>
    </row>
    <row r="12" spans="1:8" x14ac:dyDescent="0.15">
      <c r="A12" s="8" t="s">
        <v>366</v>
      </c>
      <c r="B12" s="8" t="s">
        <v>160</v>
      </c>
      <c r="C12" s="8" t="s">
        <v>161</v>
      </c>
      <c r="D12" s="10">
        <v>119</v>
      </c>
      <c r="E12" s="10">
        <v>119</v>
      </c>
      <c r="F12" s="10">
        <v>0</v>
      </c>
      <c r="G12" s="10">
        <f>AtlasReport_3_Table_1[[#This Row],[Current On-hand]]-AtlasReport_3_Table_1[[#This Row],[Trans backwords (Beginning)]]</f>
        <v>0</v>
      </c>
      <c r="H12" s="10">
        <f>AtlasReport_3_Table_1[[#This Row],[Current On-hand]]-AtlasReport_3_Table_1[[#This Row],[Trans backwords (Ending)]]</f>
        <v>119</v>
      </c>
    </row>
    <row r="13" spans="1:8" x14ac:dyDescent="0.15">
      <c r="A13" s="8" t="s">
        <v>139</v>
      </c>
      <c r="B13" s="8" t="s">
        <v>160</v>
      </c>
      <c r="C13" s="8" t="s">
        <v>161</v>
      </c>
      <c r="D13" s="10">
        <v>0</v>
      </c>
      <c r="E13" s="10">
        <v>-1900</v>
      </c>
      <c r="F13" s="10">
        <v>0</v>
      </c>
      <c r="G13" s="10">
        <f>AtlasReport_3_Table_1[[#This Row],[Current On-hand]]-AtlasReport_3_Table_1[[#This Row],[Trans backwords (Beginning)]]</f>
        <v>1900</v>
      </c>
      <c r="H13" s="10">
        <f>AtlasReport_3_Table_1[[#This Row],[Current On-hand]]-AtlasReport_3_Table_1[[#This Row],[Trans backwords (Ending)]]</f>
        <v>0</v>
      </c>
    </row>
    <row r="14" spans="1:8" x14ac:dyDescent="0.15">
      <c r="A14" s="8" t="s">
        <v>22</v>
      </c>
      <c r="B14" s="8" t="s">
        <v>160</v>
      </c>
      <c r="C14" s="8" t="s">
        <v>161</v>
      </c>
      <c r="D14" s="10">
        <v>-5</v>
      </c>
      <c r="E14" s="10">
        <v>-5</v>
      </c>
      <c r="F14" s="10">
        <v>0</v>
      </c>
      <c r="G14" s="10">
        <f>AtlasReport_3_Table_1[[#This Row],[Current On-hand]]-AtlasReport_3_Table_1[[#This Row],[Trans backwords (Beginning)]]</f>
        <v>0</v>
      </c>
      <c r="H14" s="10">
        <f>AtlasReport_3_Table_1[[#This Row],[Current On-hand]]-AtlasReport_3_Table_1[[#This Row],[Trans backwords (Ending)]]</f>
        <v>-5</v>
      </c>
    </row>
    <row r="15" spans="1:8" x14ac:dyDescent="0.15">
      <c r="A15" s="8" t="s">
        <v>267</v>
      </c>
      <c r="B15" s="8" t="s">
        <v>160</v>
      </c>
      <c r="C15" s="8" t="s">
        <v>161</v>
      </c>
      <c r="D15" s="10">
        <v>25</v>
      </c>
      <c r="E15" s="10">
        <v>25</v>
      </c>
      <c r="F15" s="10">
        <v>0</v>
      </c>
      <c r="G15" s="10">
        <f>AtlasReport_3_Table_1[[#This Row],[Current On-hand]]-AtlasReport_3_Table_1[[#This Row],[Trans backwords (Beginning)]]</f>
        <v>0</v>
      </c>
      <c r="H15" s="10">
        <f>AtlasReport_3_Table_1[[#This Row],[Current On-hand]]-AtlasReport_3_Table_1[[#This Row],[Trans backwords (Ending)]]</f>
        <v>25</v>
      </c>
    </row>
    <row r="16" spans="1:8" x14ac:dyDescent="0.15">
      <c r="A16" s="8" t="s">
        <v>140</v>
      </c>
      <c r="B16" s="8" t="s">
        <v>160</v>
      </c>
      <c r="C16" s="8" t="s">
        <v>161</v>
      </c>
      <c r="D16" s="10">
        <v>70</v>
      </c>
      <c r="E16" s="10">
        <v>42</v>
      </c>
      <c r="F16" s="10">
        <v>0</v>
      </c>
      <c r="G16" s="10">
        <f>AtlasReport_3_Table_1[[#This Row],[Current On-hand]]-AtlasReport_3_Table_1[[#This Row],[Trans backwords (Beginning)]]</f>
        <v>28</v>
      </c>
      <c r="H16" s="10">
        <f>AtlasReport_3_Table_1[[#This Row],[Current On-hand]]-AtlasReport_3_Table_1[[#This Row],[Trans backwords (Ending)]]</f>
        <v>70</v>
      </c>
    </row>
    <row r="17" spans="1:8" x14ac:dyDescent="0.15">
      <c r="A17" s="8" t="s">
        <v>119</v>
      </c>
      <c r="B17" s="8" t="s">
        <v>160</v>
      </c>
      <c r="C17" s="8" t="s">
        <v>161</v>
      </c>
      <c r="D17" s="10">
        <v>5</v>
      </c>
      <c r="E17" s="10">
        <v>-14</v>
      </c>
      <c r="F17" s="10">
        <v>0</v>
      </c>
      <c r="G17" s="10">
        <f>AtlasReport_3_Table_1[[#This Row],[Current On-hand]]-AtlasReport_3_Table_1[[#This Row],[Trans backwords (Beginning)]]</f>
        <v>19</v>
      </c>
      <c r="H17" s="10">
        <f>AtlasReport_3_Table_1[[#This Row],[Current On-hand]]-AtlasReport_3_Table_1[[#This Row],[Trans backwords (Ending)]]</f>
        <v>5</v>
      </c>
    </row>
    <row r="18" spans="1:8" x14ac:dyDescent="0.15">
      <c r="A18" s="8" t="s">
        <v>20</v>
      </c>
      <c r="B18" s="8" t="s">
        <v>160</v>
      </c>
      <c r="C18" s="8" t="s">
        <v>81</v>
      </c>
      <c r="D18" s="10">
        <v>0</v>
      </c>
      <c r="E18" s="10">
        <v>0</v>
      </c>
      <c r="F18" s="10">
        <v>0</v>
      </c>
      <c r="G18" s="10">
        <f>AtlasReport_3_Table_1[[#This Row],[Current On-hand]]-AtlasReport_3_Table_1[[#This Row],[Trans backwords (Beginning)]]</f>
        <v>0</v>
      </c>
      <c r="H18" s="10">
        <f>AtlasReport_3_Table_1[[#This Row],[Current On-hand]]-AtlasReport_3_Table_1[[#This Row],[Trans backwords (Ending)]]</f>
        <v>0</v>
      </c>
    </row>
    <row r="19" spans="1:8" x14ac:dyDescent="0.15">
      <c r="A19" s="8" t="s">
        <v>20</v>
      </c>
      <c r="B19" s="8" t="s">
        <v>160</v>
      </c>
      <c r="C19" s="8" t="s">
        <v>161</v>
      </c>
      <c r="D19" s="10">
        <v>679</v>
      </c>
      <c r="E19" s="10">
        <v>-291</v>
      </c>
      <c r="F19" s="10">
        <v>0</v>
      </c>
      <c r="G19" s="10">
        <f>AtlasReport_3_Table_1[[#This Row],[Current On-hand]]-AtlasReport_3_Table_1[[#This Row],[Trans backwords (Beginning)]]</f>
        <v>970</v>
      </c>
      <c r="H19" s="10">
        <f>AtlasReport_3_Table_1[[#This Row],[Current On-hand]]-AtlasReport_3_Table_1[[#This Row],[Trans backwords (Ending)]]</f>
        <v>679</v>
      </c>
    </row>
    <row r="20" spans="1:8" x14ac:dyDescent="0.15">
      <c r="A20" s="8" t="s">
        <v>71</v>
      </c>
      <c r="B20" s="8" t="s">
        <v>160</v>
      </c>
      <c r="C20" s="8" t="s">
        <v>81</v>
      </c>
      <c r="D20" s="10">
        <v>0</v>
      </c>
      <c r="E20" s="10">
        <v>0</v>
      </c>
      <c r="F20" s="10">
        <v>0</v>
      </c>
      <c r="G20" s="10">
        <f>AtlasReport_3_Table_1[[#This Row],[Current On-hand]]-AtlasReport_3_Table_1[[#This Row],[Trans backwords (Beginning)]]</f>
        <v>0</v>
      </c>
      <c r="H20" s="10">
        <f>AtlasReport_3_Table_1[[#This Row],[Current On-hand]]-AtlasReport_3_Table_1[[#This Row],[Trans backwords (Ending)]]</f>
        <v>0</v>
      </c>
    </row>
    <row r="21" spans="1:8" x14ac:dyDescent="0.15">
      <c r="A21" s="8" t="s">
        <v>71</v>
      </c>
      <c r="B21" s="8" t="s">
        <v>160</v>
      </c>
      <c r="C21" s="8" t="s">
        <v>161</v>
      </c>
      <c r="D21" s="10">
        <v>0</v>
      </c>
      <c r="E21" s="10">
        <v>-300</v>
      </c>
      <c r="F21" s="10">
        <v>0</v>
      </c>
      <c r="G21" s="10">
        <f>AtlasReport_3_Table_1[[#This Row],[Current On-hand]]-AtlasReport_3_Table_1[[#This Row],[Trans backwords (Beginning)]]</f>
        <v>300</v>
      </c>
      <c r="H21" s="10">
        <f>AtlasReport_3_Table_1[[#This Row],[Current On-hand]]-AtlasReport_3_Table_1[[#This Row],[Trans backwords (Ending)]]</f>
        <v>0</v>
      </c>
    </row>
    <row r="22" spans="1:8" x14ac:dyDescent="0.15">
      <c r="A22" s="8" t="s">
        <v>18</v>
      </c>
      <c r="B22" s="8" t="s">
        <v>160</v>
      </c>
      <c r="C22" s="8" t="s">
        <v>161</v>
      </c>
      <c r="D22" s="10">
        <v>0</v>
      </c>
      <c r="E22" s="10">
        <v>-390</v>
      </c>
      <c r="F22" s="10">
        <v>0</v>
      </c>
      <c r="G22" s="10">
        <f>AtlasReport_3_Table_1[[#This Row],[Current On-hand]]-AtlasReport_3_Table_1[[#This Row],[Trans backwords (Beginning)]]</f>
        <v>390</v>
      </c>
      <c r="H22" s="10">
        <f>AtlasReport_3_Table_1[[#This Row],[Current On-hand]]-AtlasReport_3_Table_1[[#This Row],[Trans backwords (Ending)]]</f>
        <v>0</v>
      </c>
    </row>
    <row r="23" spans="1:8" x14ac:dyDescent="0.15">
      <c r="A23" s="8" t="s">
        <v>191</v>
      </c>
      <c r="B23" s="8" t="s">
        <v>160</v>
      </c>
      <c r="C23" s="8" t="s">
        <v>81</v>
      </c>
      <c r="D23" s="10">
        <v>0</v>
      </c>
      <c r="E23" s="10">
        <v>0</v>
      </c>
      <c r="F23" s="10">
        <v>0</v>
      </c>
      <c r="G23" s="10">
        <f>AtlasReport_3_Table_1[[#This Row],[Current On-hand]]-AtlasReport_3_Table_1[[#This Row],[Trans backwords (Beginning)]]</f>
        <v>0</v>
      </c>
      <c r="H23" s="10">
        <f>AtlasReport_3_Table_1[[#This Row],[Current On-hand]]-AtlasReport_3_Table_1[[#This Row],[Trans backwords (Ending)]]</f>
        <v>0</v>
      </c>
    </row>
    <row r="24" spans="1:8" x14ac:dyDescent="0.15">
      <c r="A24" s="8" t="s">
        <v>191</v>
      </c>
      <c r="B24" s="8" t="s">
        <v>160</v>
      </c>
      <c r="C24" s="8" t="s">
        <v>161</v>
      </c>
      <c r="D24" s="10">
        <v>135</v>
      </c>
      <c r="E24" s="10">
        <v>0</v>
      </c>
      <c r="F24" s="10">
        <v>0</v>
      </c>
      <c r="G24" s="10">
        <f>AtlasReport_3_Table_1[[#This Row],[Current On-hand]]-AtlasReport_3_Table_1[[#This Row],[Trans backwords (Beginning)]]</f>
        <v>135</v>
      </c>
      <c r="H24" s="10">
        <f>AtlasReport_3_Table_1[[#This Row],[Current On-hand]]-AtlasReport_3_Table_1[[#This Row],[Trans backwords (Ending)]]</f>
        <v>135</v>
      </c>
    </row>
    <row r="25" spans="1:8" x14ac:dyDescent="0.15">
      <c r="A25" s="8" t="s">
        <v>54</v>
      </c>
      <c r="B25" s="8" t="s">
        <v>160</v>
      </c>
      <c r="C25" s="8" t="s">
        <v>81</v>
      </c>
      <c r="D25" s="10">
        <v>0</v>
      </c>
      <c r="E25" s="10">
        <v>0</v>
      </c>
      <c r="F25" s="10">
        <v>0</v>
      </c>
      <c r="G25" s="10">
        <f>AtlasReport_3_Table_1[[#This Row],[Current On-hand]]-AtlasReport_3_Table_1[[#This Row],[Trans backwords (Beginning)]]</f>
        <v>0</v>
      </c>
      <c r="H25" s="10">
        <f>AtlasReport_3_Table_1[[#This Row],[Current On-hand]]-AtlasReport_3_Table_1[[#This Row],[Trans backwords (Ending)]]</f>
        <v>0</v>
      </c>
    </row>
    <row r="26" spans="1:8" x14ac:dyDescent="0.15">
      <c r="A26" s="8" t="s">
        <v>54</v>
      </c>
      <c r="B26" s="8" t="s">
        <v>160</v>
      </c>
      <c r="C26" s="8" t="s">
        <v>161</v>
      </c>
      <c r="D26" s="10">
        <v>25.05</v>
      </c>
      <c r="E26" s="10">
        <v>-139.94999999999999</v>
      </c>
      <c r="F26" s="10">
        <v>0</v>
      </c>
      <c r="G26" s="10">
        <f>AtlasReport_3_Table_1[[#This Row],[Current On-hand]]-AtlasReport_3_Table_1[[#This Row],[Trans backwords (Beginning)]]</f>
        <v>165</v>
      </c>
      <c r="H26" s="10">
        <f>AtlasReport_3_Table_1[[#This Row],[Current On-hand]]-AtlasReport_3_Table_1[[#This Row],[Trans backwords (Ending)]]</f>
        <v>25.05</v>
      </c>
    </row>
    <row r="27" spans="1:8" x14ac:dyDescent="0.15">
      <c r="A27" s="8" t="s">
        <v>141</v>
      </c>
      <c r="B27" s="8" t="s">
        <v>160</v>
      </c>
      <c r="C27" s="8" t="s">
        <v>81</v>
      </c>
      <c r="D27" s="10">
        <v>0</v>
      </c>
      <c r="E27" s="10">
        <v>0</v>
      </c>
      <c r="F27" s="10">
        <v>0</v>
      </c>
      <c r="G27" s="10">
        <f>AtlasReport_3_Table_1[[#This Row],[Current On-hand]]-AtlasReport_3_Table_1[[#This Row],[Trans backwords (Beginning)]]</f>
        <v>0</v>
      </c>
      <c r="H27" s="10">
        <f>AtlasReport_3_Table_1[[#This Row],[Current On-hand]]-AtlasReport_3_Table_1[[#This Row],[Trans backwords (Ending)]]</f>
        <v>0</v>
      </c>
    </row>
    <row r="28" spans="1:8" x14ac:dyDescent="0.15">
      <c r="A28" s="8" t="s">
        <v>141</v>
      </c>
      <c r="B28" s="8" t="s">
        <v>160</v>
      </c>
      <c r="C28" s="8" t="s">
        <v>161</v>
      </c>
      <c r="D28" s="10">
        <v>249.6</v>
      </c>
      <c r="E28" s="10">
        <v>0</v>
      </c>
      <c r="F28" s="10">
        <v>0</v>
      </c>
      <c r="G28" s="10">
        <f>AtlasReport_3_Table_1[[#This Row],[Current On-hand]]-AtlasReport_3_Table_1[[#This Row],[Trans backwords (Beginning)]]</f>
        <v>249.6</v>
      </c>
      <c r="H28" s="10">
        <f>AtlasReport_3_Table_1[[#This Row],[Current On-hand]]-AtlasReport_3_Table_1[[#This Row],[Trans backwords (Ending)]]</f>
        <v>249.6</v>
      </c>
    </row>
    <row r="29" spans="1:8" x14ac:dyDescent="0.15">
      <c r="A29" s="8" t="s">
        <v>192</v>
      </c>
      <c r="B29" s="8" t="s">
        <v>160</v>
      </c>
      <c r="C29" s="8" t="s">
        <v>81</v>
      </c>
      <c r="D29" s="10">
        <v>0</v>
      </c>
      <c r="E29" s="10">
        <v>0</v>
      </c>
      <c r="F29" s="10">
        <v>0</v>
      </c>
      <c r="G29" s="10">
        <f>AtlasReport_3_Table_1[[#This Row],[Current On-hand]]-AtlasReport_3_Table_1[[#This Row],[Trans backwords (Beginning)]]</f>
        <v>0</v>
      </c>
      <c r="H29" s="10">
        <f>AtlasReport_3_Table_1[[#This Row],[Current On-hand]]-AtlasReport_3_Table_1[[#This Row],[Trans backwords (Ending)]]</f>
        <v>0</v>
      </c>
    </row>
    <row r="30" spans="1:8" x14ac:dyDescent="0.15">
      <c r="A30" s="8" t="s">
        <v>192</v>
      </c>
      <c r="B30" s="8" t="s">
        <v>160</v>
      </c>
      <c r="C30" s="8" t="s">
        <v>161</v>
      </c>
      <c r="D30" s="10">
        <v>12</v>
      </c>
      <c r="E30" s="10">
        <v>0</v>
      </c>
      <c r="F30" s="10">
        <v>0</v>
      </c>
      <c r="G30" s="10">
        <f>AtlasReport_3_Table_1[[#This Row],[Current On-hand]]-AtlasReport_3_Table_1[[#This Row],[Trans backwords (Beginning)]]</f>
        <v>12</v>
      </c>
      <c r="H30" s="10">
        <f>AtlasReport_3_Table_1[[#This Row],[Current On-hand]]-AtlasReport_3_Table_1[[#This Row],[Trans backwords (Ending)]]</f>
        <v>12</v>
      </c>
    </row>
    <row r="31" spans="1:8" x14ac:dyDescent="0.15">
      <c r="A31" s="8" t="s">
        <v>25</v>
      </c>
      <c r="B31" s="8" t="s">
        <v>160</v>
      </c>
      <c r="C31" s="8" t="s">
        <v>81</v>
      </c>
      <c r="D31" s="10">
        <v>0</v>
      </c>
      <c r="E31" s="10">
        <v>0</v>
      </c>
      <c r="F31" s="10">
        <v>0</v>
      </c>
      <c r="G31" s="10">
        <f>AtlasReport_3_Table_1[[#This Row],[Current On-hand]]-AtlasReport_3_Table_1[[#This Row],[Trans backwords (Beginning)]]</f>
        <v>0</v>
      </c>
      <c r="H31" s="10">
        <f>AtlasReport_3_Table_1[[#This Row],[Current On-hand]]-AtlasReport_3_Table_1[[#This Row],[Trans backwords (Ending)]]</f>
        <v>0</v>
      </c>
    </row>
    <row r="32" spans="1:8" x14ac:dyDescent="0.15">
      <c r="A32" s="8" t="s">
        <v>25</v>
      </c>
      <c r="B32" s="8" t="s">
        <v>160</v>
      </c>
      <c r="C32" s="8" t="s">
        <v>161</v>
      </c>
      <c r="D32" s="10">
        <v>73.8</v>
      </c>
      <c r="E32" s="10">
        <v>-181.8</v>
      </c>
      <c r="F32" s="10">
        <v>0</v>
      </c>
      <c r="G32" s="10">
        <f>AtlasReport_3_Table_1[[#This Row],[Current On-hand]]-AtlasReport_3_Table_1[[#This Row],[Trans backwords (Beginning)]]</f>
        <v>255.60000000000002</v>
      </c>
      <c r="H32" s="10">
        <f>AtlasReport_3_Table_1[[#This Row],[Current On-hand]]-AtlasReport_3_Table_1[[#This Row],[Trans backwords (Ending)]]</f>
        <v>73.8</v>
      </c>
    </row>
    <row r="33" spans="1:8" x14ac:dyDescent="0.15">
      <c r="A33" s="8" t="s">
        <v>193</v>
      </c>
      <c r="B33" s="8" t="s">
        <v>160</v>
      </c>
      <c r="C33" s="8" t="s">
        <v>81</v>
      </c>
      <c r="D33" s="10">
        <v>0</v>
      </c>
      <c r="E33" s="10">
        <v>0</v>
      </c>
      <c r="F33" s="10">
        <v>0</v>
      </c>
      <c r="G33" s="10">
        <f>AtlasReport_3_Table_1[[#This Row],[Current On-hand]]-AtlasReport_3_Table_1[[#This Row],[Trans backwords (Beginning)]]</f>
        <v>0</v>
      </c>
      <c r="H33" s="10">
        <f>AtlasReport_3_Table_1[[#This Row],[Current On-hand]]-AtlasReport_3_Table_1[[#This Row],[Trans backwords (Ending)]]</f>
        <v>0</v>
      </c>
    </row>
    <row r="34" spans="1:8" x14ac:dyDescent="0.15">
      <c r="A34" s="8" t="s">
        <v>193</v>
      </c>
      <c r="B34" s="8" t="s">
        <v>160</v>
      </c>
      <c r="C34" s="8" t="s">
        <v>161</v>
      </c>
      <c r="D34" s="10">
        <v>93.51</v>
      </c>
      <c r="E34" s="10">
        <v>0</v>
      </c>
      <c r="F34" s="10">
        <v>0</v>
      </c>
      <c r="G34" s="10">
        <f>AtlasReport_3_Table_1[[#This Row],[Current On-hand]]-AtlasReport_3_Table_1[[#This Row],[Trans backwords (Beginning)]]</f>
        <v>93.51</v>
      </c>
      <c r="H34" s="10">
        <f>AtlasReport_3_Table_1[[#This Row],[Current On-hand]]-AtlasReport_3_Table_1[[#This Row],[Trans backwords (Ending)]]</f>
        <v>93.51</v>
      </c>
    </row>
    <row r="35" spans="1:8" x14ac:dyDescent="0.15">
      <c r="A35" s="8" t="s">
        <v>72</v>
      </c>
      <c r="B35" s="8" t="s">
        <v>160</v>
      </c>
      <c r="C35" s="8" t="s">
        <v>81</v>
      </c>
      <c r="D35" s="10">
        <v>0</v>
      </c>
      <c r="E35" s="10">
        <v>0</v>
      </c>
      <c r="F35" s="10">
        <v>0</v>
      </c>
      <c r="G35" s="10">
        <f>AtlasReport_3_Table_1[[#This Row],[Current On-hand]]-AtlasReport_3_Table_1[[#This Row],[Trans backwords (Beginning)]]</f>
        <v>0</v>
      </c>
      <c r="H35" s="10">
        <f>AtlasReport_3_Table_1[[#This Row],[Current On-hand]]-AtlasReport_3_Table_1[[#This Row],[Trans backwords (Ending)]]</f>
        <v>0</v>
      </c>
    </row>
    <row r="36" spans="1:8" x14ac:dyDescent="0.15">
      <c r="A36" s="8" t="s">
        <v>72</v>
      </c>
      <c r="B36" s="8" t="s">
        <v>160</v>
      </c>
      <c r="C36" s="8" t="s">
        <v>161</v>
      </c>
      <c r="D36" s="10">
        <v>180</v>
      </c>
      <c r="E36" s="10">
        <v>60</v>
      </c>
      <c r="F36" s="10">
        <v>0</v>
      </c>
      <c r="G36" s="10">
        <f>AtlasReport_3_Table_1[[#This Row],[Current On-hand]]-AtlasReport_3_Table_1[[#This Row],[Trans backwords (Beginning)]]</f>
        <v>120</v>
      </c>
      <c r="H36" s="10">
        <f>AtlasReport_3_Table_1[[#This Row],[Current On-hand]]-AtlasReport_3_Table_1[[#This Row],[Trans backwords (Ending)]]</f>
        <v>180</v>
      </c>
    </row>
    <row r="37" spans="1:8" x14ac:dyDescent="0.15">
      <c r="A37" s="8" t="s">
        <v>194</v>
      </c>
      <c r="B37" s="8" t="s">
        <v>160</v>
      </c>
      <c r="C37" s="8" t="s">
        <v>81</v>
      </c>
      <c r="D37" s="10">
        <v>0</v>
      </c>
      <c r="E37" s="10">
        <v>0</v>
      </c>
      <c r="F37" s="10">
        <v>0</v>
      </c>
      <c r="G37" s="10">
        <f>AtlasReport_3_Table_1[[#This Row],[Current On-hand]]-AtlasReport_3_Table_1[[#This Row],[Trans backwords (Beginning)]]</f>
        <v>0</v>
      </c>
      <c r="H37" s="10">
        <f>AtlasReport_3_Table_1[[#This Row],[Current On-hand]]-AtlasReport_3_Table_1[[#This Row],[Trans backwords (Ending)]]</f>
        <v>0</v>
      </c>
    </row>
    <row r="38" spans="1:8" x14ac:dyDescent="0.15">
      <c r="A38" s="8" t="s">
        <v>194</v>
      </c>
      <c r="B38" s="8" t="s">
        <v>160</v>
      </c>
      <c r="C38" s="8" t="s">
        <v>161</v>
      </c>
      <c r="D38" s="10">
        <v>30</v>
      </c>
      <c r="E38" s="10">
        <v>0</v>
      </c>
      <c r="F38" s="10">
        <v>0</v>
      </c>
      <c r="G38" s="10">
        <f>AtlasReport_3_Table_1[[#This Row],[Current On-hand]]-AtlasReport_3_Table_1[[#This Row],[Trans backwords (Beginning)]]</f>
        <v>30</v>
      </c>
      <c r="H38" s="10">
        <f>AtlasReport_3_Table_1[[#This Row],[Current On-hand]]-AtlasReport_3_Table_1[[#This Row],[Trans backwords (Ending)]]</f>
        <v>30</v>
      </c>
    </row>
    <row r="39" spans="1:8" x14ac:dyDescent="0.15">
      <c r="A39" s="8" t="s">
        <v>73</v>
      </c>
      <c r="B39" s="8" t="s">
        <v>160</v>
      </c>
      <c r="C39" s="8" t="s">
        <v>81</v>
      </c>
      <c r="D39" s="10">
        <v>0</v>
      </c>
      <c r="E39" s="10">
        <v>0</v>
      </c>
      <c r="F39" s="10">
        <v>0</v>
      </c>
      <c r="G39" s="10">
        <f>AtlasReport_3_Table_1[[#This Row],[Current On-hand]]-AtlasReport_3_Table_1[[#This Row],[Trans backwords (Beginning)]]</f>
        <v>0</v>
      </c>
      <c r="H39" s="10">
        <f>AtlasReport_3_Table_1[[#This Row],[Current On-hand]]-AtlasReport_3_Table_1[[#This Row],[Trans backwords (Ending)]]</f>
        <v>0</v>
      </c>
    </row>
    <row r="40" spans="1:8" x14ac:dyDescent="0.15">
      <c r="A40" s="8" t="s">
        <v>73</v>
      </c>
      <c r="B40" s="8" t="s">
        <v>160</v>
      </c>
      <c r="C40" s="8" t="s">
        <v>161</v>
      </c>
      <c r="D40" s="10">
        <v>96.6</v>
      </c>
      <c r="E40" s="10">
        <v>-232.6</v>
      </c>
      <c r="F40" s="10">
        <v>0</v>
      </c>
      <c r="G40" s="10">
        <f>AtlasReport_3_Table_1[[#This Row],[Current On-hand]]-AtlasReport_3_Table_1[[#This Row],[Trans backwords (Beginning)]]</f>
        <v>329.2</v>
      </c>
      <c r="H40" s="10">
        <f>AtlasReport_3_Table_1[[#This Row],[Current On-hand]]-AtlasReport_3_Table_1[[#This Row],[Trans backwords (Ending)]]</f>
        <v>96.6</v>
      </c>
    </row>
    <row r="41" spans="1:8" x14ac:dyDescent="0.15">
      <c r="A41" s="8" t="s">
        <v>142</v>
      </c>
      <c r="B41" s="8" t="s">
        <v>160</v>
      </c>
      <c r="C41" s="8" t="s">
        <v>81</v>
      </c>
      <c r="D41" s="10">
        <v>0</v>
      </c>
      <c r="E41" s="10">
        <v>0</v>
      </c>
      <c r="F41" s="10">
        <v>0</v>
      </c>
      <c r="G41" s="10">
        <f>AtlasReport_3_Table_1[[#This Row],[Current On-hand]]-AtlasReport_3_Table_1[[#This Row],[Trans backwords (Beginning)]]</f>
        <v>0</v>
      </c>
      <c r="H41" s="10">
        <f>AtlasReport_3_Table_1[[#This Row],[Current On-hand]]-AtlasReport_3_Table_1[[#This Row],[Trans backwords (Ending)]]</f>
        <v>0</v>
      </c>
    </row>
    <row r="42" spans="1:8" x14ac:dyDescent="0.15">
      <c r="A42" s="8" t="s">
        <v>142</v>
      </c>
      <c r="B42" s="8" t="s">
        <v>160</v>
      </c>
      <c r="C42" s="8" t="s">
        <v>161</v>
      </c>
      <c r="D42" s="10">
        <v>540</v>
      </c>
      <c r="E42" s="10">
        <v>540</v>
      </c>
      <c r="F42" s="10">
        <v>0</v>
      </c>
      <c r="G42" s="10">
        <f>AtlasReport_3_Table_1[[#This Row],[Current On-hand]]-AtlasReport_3_Table_1[[#This Row],[Trans backwords (Beginning)]]</f>
        <v>0</v>
      </c>
      <c r="H42" s="10">
        <f>AtlasReport_3_Table_1[[#This Row],[Current On-hand]]-AtlasReport_3_Table_1[[#This Row],[Trans backwords (Ending)]]</f>
        <v>540</v>
      </c>
    </row>
    <row r="43" spans="1:8" x14ac:dyDescent="0.15">
      <c r="A43" s="8" t="s">
        <v>26</v>
      </c>
      <c r="B43" s="8" t="s">
        <v>160</v>
      </c>
      <c r="C43" s="8" t="s">
        <v>81</v>
      </c>
      <c r="D43" s="10">
        <v>0</v>
      </c>
      <c r="E43" s="10">
        <v>0</v>
      </c>
      <c r="F43" s="10">
        <v>0</v>
      </c>
      <c r="G43" s="10">
        <f>AtlasReport_3_Table_1[[#This Row],[Current On-hand]]-AtlasReport_3_Table_1[[#This Row],[Trans backwords (Beginning)]]</f>
        <v>0</v>
      </c>
      <c r="H43" s="10">
        <f>AtlasReport_3_Table_1[[#This Row],[Current On-hand]]-AtlasReport_3_Table_1[[#This Row],[Trans backwords (Ending)]]</f>
        <v>0</v>
      </c>
    </row>
    <row r="44" spans="1:8" x14ac:dyDescent="0.15">
      <c r="A44" s="8" t="s">
        <v>26</v>
      </c>
      <c r="B44" s="8" t="s">
        <v>160</v>
      </c>
      <c r="C44" s="8" t="s">
        <v>161</v>
      </c>
      <c r="D44" s="10">
        <v>25.2</v>
      </c>
      <c r="E44" s="10">
        <v>0</v>
      </c>
      <c r="F44" s="10">
        <v>0</v>
      </c>
      <c r="G44" s="10">
        <f>AtlasReport_3_Table_1[[#This Row],[Current On-hand]]-AtlasReport_3_Table_1[[#This Row],[Trans backwords (Beginning)]]</f>
        <v>25.2</v>
      </c>
      <c r="H44" s="10">
        <f>AtlasReport_3_Table_1[[#This Row],[Current On-hand]]-AtlasReport_3_Table_1[[#This Row],[Trans backwords (Ending)]]</f>
        <v>25.2</v>
      </c>
    </row>
    <row r="45" spans="1:8" x14ac:dyDescent="0.15">
      <c r="A45" s="8" t="s">
        <v>15</v>
      </c>
      <c r="B45" s="8" t="s">
        <v>160</v>
      </c>
      <c r="C45" s="8" t="s">
        <v>81</v>
      </c>
      <c r="D45" s="10">
        <v>0</v>
      </c>
      <c r="E45" s="10">
        <v>0</v>
      </c>
      <c r="F45" s="10">
        <v>0</v>
      </c>
      <c r="G45" s="10">
        <f>AtlasReport_3_Table_1[[#This Row],[Current On-hand]]-AtlasReport_3_Table_1[[#This Row],[Trans backwords (Beginning)]]</f>
        <v>0</v>
      </c>
      <c r="H45" s="10">
        <f>AtlasReport_3_Table_1[[#This Row],[Current On-hand]]-AtlasReport_3_Table_1[[#This Row],[Trans backwords (Ending)]]</f>
        <v>0</v>
      </c>
    </row>
    <row r="46" spans="1:8" x14ac:dyDescent="0.15">
      <c r="A46" s="8" t="s">
        <v>15</v>
      </c>
      <c r="B46" s="8" t="s">
        <v>160</v>
      </c>
      <c r="C46" s="8" t="s">
        <v>161</v>
      </c>
      <c r="D46" s="10">
        <v>630.5</v>
      </c>
      <c r="E46" s="10">
        <v>194</v>
      </c>
      <c r="F46" s="10">
        <v>0</v>
      </c>
      <c r="G46" s="10">
        <f>AtlasReport_3_Table_1[[#This Row],[Current On-hand]]-AtlasReport_3_Table_1[[#This Row],[Trans backwords (Beginning)]]</f>
        <v>436.5</v>
      </c>
      <c r="H46" s="10">
        <f>AtlasReport_3_Table_1[[#This Row],[Current On-hand]]-AtlasReport_3_Table_1[[#This Row],[Trans backwords (Ending)]]</f>
        <v>630.5</v>
      </c>
    </row>
    <row r="47" spans="1:8" x14ac:dyDescent="0.15">
      <c r="A47" s="8" t="s">
        <v>27</v>
      </c>
      <c r="B47" s="8" t="s">
        <v>160</v>
      </c>
      <c r="C47" s="8" t="s">
        <v>81</v>
      </c>
      <c r="D47" s="10">
        <v>0</v>
      </c>
      <c r="E47" s="10">
        <v>0</v>
      </c>
      <c r="F47" s="10">
        <v>0</v>
      </c>
      <c r="G47" s="10">
        <f>AtlasReport_3_Table_1[[#This Row],[Current On-hand]]-AtlasReport_3_Table_1[[#This Row],[Trans backwords (Beginning)]]</f>
        <v>0</v>
      </c>
      <c r="H47" s="10">
        <f>AtlasReport_3_Table_1[[#This Row],[Current On-hand]]-AtlasReport_3_Table_1[[#This Row],[Trans backwords (Ending)]]</f>
        <v>0</v>
      </c>
    </row>
    <row r="48" spans="1:8" x14ac:dyDescent="0.15">
      <c r="A48" s="8" t="s">
        <v>27</v>
      </c>
      <c r="B48" s="8" t="s">
        <v>160</v>
      </c>
      <c r="C48" s="8" t="s">
        <v>161</v>
      </c>
      <c r="D48" s="10">
        <v>2700</v>
      </c>
      <c r="E48" s="10">
        <v>675</v>
      </c>
      <c r="F48" s="10">
        <v>0</v>
      </c>
      <c r="G48" s="10">
        <f>AtlasReport_3_Table_1[[#This Row],[Current On-hand]]-AtlasReport_3_Table_1[[#This Row],[Trans backwords (Beginning)]]</f>
        <v>2025</v>
      </c>
      <c r="H48" s="10">
        <f>AtlasReport_3_Table_1[[#This Row],[Current On-hand]]-AtlasReport_3_Table_1[[#This Row],[Trans backwords (Ending)]]</f>
        <v>2700</v>
      </c>
    </row>
    <row r="49" spans="1:8" x14ac:dyDescent="0.15">
      <c r="A49" s="8" t="s">
        <v>16</v>
      </c>
      <c r="B49" s="8" t="s">
        <v>160</v>
      </c>
      <c r="C49" s="8" t="s">
        <v>81</v>
      </c>
      <c r="D49" s="10">
        <v>0</v>
      </c>
      <c r="E49" s="10">
        <v>0</v>
      </c>
      <c r="F49" s="10">
        <v>0</v>
      </c>
      <c r="G49" s="10">
        <f>AtlasReport_3_Table_1[[#This Row],[Current On-hand]]-AtlasReport_3_Table_1[[#This Row],[Trans backwords (Beginning)]]</f>
        <v>0</v>
      </c>
      <c r="H49" s="10">
        <f>AtlasReport_3_Table_1[[#This Row],[Current On-hand]]-AtlasReport_3_Table_1[[#This Row],[Trans backwords (Ending)]]</f>
        <v>0</v>
      </c>
    </row>
    <row r="50" spans="1:8" x14ac:dyDescent="0.15">
      <c r="A50" s="8" t="s">
        <v>16</v>
      </c>
      <c r="B50" s="8" t="s">
        <v>160</v>
      </c>
      <c r="C50" s="8" t="s">
        <v>161</v>
      </c>
      <c r="D50" s="10">
        <v>3412.5</v>
      </c>
      <c r="E50" s="10">
        <v>-487.5</v>
      </c>
      <c r="F50" s="10">
        <v>0</v>
      </c>
      <c r="G50" s="10">
        <f>AtlasReport_3_Table_1[[#This Row],[Current On-hand]]-AtlasReport_3_Table_1[[#This Row],[Trans backwords (Beginning)]]</f>
        <v>3900</v>
      </c>
      <c r="H50" s="10">
        <f>AtlasReport_3_Table_1[[#This Row],[Current On-hand]]-AtlasReport_3_Table_1[[#This Row],[Trans backwords (Ending)]]</f>
        <v>3412.5</v>
      </c>
    </row>
    <row r="51" spans="1:8" x14ac:dyDescent="0.15">
      <c r="A51" s="8" t="s">
        <v>143</v>
      </c>
      <c r="B51" s="8" t="s">
        <v>160</v>
      </c>
      <c r="C51" s="8" t="s">
        <v>161</v>
      </c>
      <c r="D51" s="10">
        <v>33.5</v>
      </c>
      <c r="E51" s="10">
        <v>0</v>
      </c>
      <c r="F51" s="10">
        <v>0</v>
      </c>
      <c r="G51" s="10">
        <f>AtlasReport_3_Table_1[[#This Row],[Current On-hand]]-AtlasReport_3_Table_1[[#This Row],[Trans backwords (Beginning)]]</f>
        <v>33.5</v>
      </c>
      <c r="H51" s="10">
        <f>AtlasReport_3_Table_1[[#This Row],[Current On-hand]]-AtlasReport_3_Table_1[[#This Row],[Trans backwords (Ending)]]</f>
        <v>33.5</v>
      </c>
    </row>
    <row r="52" spans="1:8" x14ac:dyDescent="0.15">
      <c r="A52" s="8" t="s">
        <v>144</v>
      </c>
      <c r="B52" s="8" t="s">
        <v>160</v>
      </c>
      <c r="C52" s="8" t="s">
        <v>81</v>
      </c>
      <c r="D52" s="10">
        <v>0</v>
      </c>
      <c r="E52" s="10">
        <v>0</v>
      </c>
      <c r="F52" s="10">
        <v>0</v>
      </c>
      <c r="G52" s="10">
        <f>AtlasReport_3_Table_1[[#This Row],[Current On-hand]]-AtlasReport_3_Table_1[[#This Row],[Trans backwords (Beginning)]]</f>
        <v>0</v>
      </c>
      <c r="H52" s="10">
        <f>AtlasReport_3_Table_1[[#This Row],[Current On-hand]]-AtlasReport_3_Table_1[[#This Row],[Trans backwords (Ending)]]</f>
        <v>0</v>
      </c>
    </row>
    <row r="53" spans="1:8" x14ac:dyDescent="0.15">
      <c r="A53" s="8" t="s">
        <v>144</v>
      </c>
      <c r="B53" s="8" t="s">
        <v>160</v>
      </c>
      <c r="C53" s="8" t="s">
        <v>161</v>
      </c>
      <c r="D53" s="10">
        <v>67</v>
      </c>
      <c r="E53" s="10">
        <v>2.35</v>
      </c>
      <c r="F53" s="10">
        <v>0</v>
      </c>
      <c r="G53" s="10">
        <f>AtlasReport_3_Table_1[[#This Row],[Current On-hand]]-AtlasReport_3_Table_1[[#This Row],[Trans backwords (Beginning)]]</f>
        <v>64.650000000000006</v>
      </c>
      <c r="H53" s="10">
        <f>AtlasReport_3_Table_1[[#This Row],[Current On-hand]]-AtlasReport_3_Table_1[[#This Row],[Trans backwords (Ending)]]</f>
        <v>67</v>
      </c>
    </row>
    <row r="54" spans="1:8" x14ac:dyDescent="0.15">
      <c r="A54" s="8" t="s">
        <v>145</v>
      </c>
      <c r="B54" s="8" t="s">
        <v>160</v>
      </c>
      <c r="C54" s="8" t="s">
        <v>161</v>
      </c>
      <c r="D54" s="10">
        <v>0</v>
      </c>
      <c r="E54" s="10">
        <v>-67</v>
      </c>
      <c r="F54" s="10">
        <v>0</v>
      </c>
      <c r="G54" s="10">
        <f>AtlasReport_3_Table_1[[#This Row],[Current On-hand]]-AtlasReport_3_Table_1[[#This Row],[Trans backwords (Beginning)]]</f>
        <v>67</v>
      </c>
      <c r="H54" s="10">
        <f>AtlasReport_3_Table_1[[#This Row],[Current On-hand]]-AtlasReport_3_Table_1[[#This Row],[Trans backwords (Ending)]]</f>
        <v>0</v>
      </c>
    </row>
    <row r="55" spans="1:8" x14ac:dyDescent="0.15">
      <c r="A55" s="8" t="s">
        <v>195</v>
      </c>
      <c r="B55" s="8" t="s">
        <v>160</v>
      </c>
      <c r="C55" s="8" t="s">
        <v>81</v>
      </c>
      <c r="D55" s="10">
        <v>0</v>
      </c>
      <c r="E55" s="10">
        <v>0</v>
      </c>
      <c r="F55" s="10">
        <v>0</v>
      </c>
      <c r="G55" s="10">
        <f>AtlasReport_3_Table_1[[#This Row],[Current On-hand]]-AtlasReport_3_Table_1[[#This Row],[Trans backwords (Beginning)]]</f>
        <v>0</v>
      </c>
      <c r="H55" s="10">
        <f>AtlasReport_3_Table_1[[#This Row],[Current On-hand]]-AtlasReport_3_Table_1[[#This Row],[Trans backwords (Ending)]]</f>
        <v>0</v>
      </c>
    </row>
    <row r="56" spans="1:8" x14ac:dyDescent="0.15">
      <c r="A56" s="8" t="s">
        <v>195</v>
      </c>
      <c r="B56" s="8" t="s">
        <v>160</v>
      </c>
      <c r="C56" s="8" t="s">
        <v>161</v>
      </c>
      <c r="D56" s="10">
        <v>1</v>
      </c>
      <c r="E56" s="10">
        <v>0</v>
      </c>
      <c r="F56" s="10">
        <v>0</v>
      </c>
      <c r="G56" s="10">
        <f>AtlasReport_3_Table_1[[#This Row],[Current On-hand]]-AtlasReport_3_Table_1[[#This Row],[Trans backwords (Beginning)]]</f>
        <v>1</v>
      </c>
      <c r="H56" s="10">
        <f>AtlasReport_3_Table_1[[#This Row],[Current On-hand]]-AtlasReport_3_Table_1[[#This Row],[Trans backwords (Ending)]]</f>
        <v>1</v>
      </c>
    </row>
    <row r="57" spans="1:8" x14ac:dyDescent="0.15">
      <c r="A57" s="8" t="s">
        <v>196</v>
      </c>
      <c r="B57" s="8" t="s">
        <v>160</v>
      </c>
      <c r="C57" s="8" t="s">
        <v>81</v>
      </c>
      <c r="D57" s="10">
        <v>0</v>
      </c>
      <c r="E57" s="10">
        <v>0</v>
      </c>
      <c r="F57" s="10">
        <v>0</v>
      </c>
      <c r="G57" s="10">
        <f>AtlasReport_3_Table_1[[#This Row],[Current On-hand]]-AtlasReport_3_Table_1[[#This Row],[Trans backwords (Beginning)]]</f>
        <v>0</v>
      </c>
      <c r="H57" s="10">
        <f>AtlasReport_3_Table_1[[#This Row],[Current On-hand]]-AtlasReport_3_Table_1[[#This Row],[Trans backwords (Ending)]]</f>
        <v>0</v>
      </c>
    </row>
    <row r="58" spans="1:8" x14ac:dyDescent="0.15">
      <c r="A58" s="8" t="s">
        <v>196</v>
      </c>
      <c r="B58" s="8" t="s">
        <v>160</v>
      </c>
      <c r="C58" s="8" t="s">
        <v>161</v>
      </c>
      <c r="D58" s="10">
        <v>0</v>
      </c>
      <c r="E58" s="10">
        <v>-80</v>
      </c>
      <c r="F58" s="10">
        <v>0</v>
      </c>
      <c r="G58" s="10">
        <f>AtlasReport_3_Table_1[[#This Row],[Current On-hand]]-AtlasReport_3_Table_1[[#This Row],[Trans backwords (Beginning)]]</f>
        <v>80</v>
      </c>
      <c r="H58" s="10">
        <f>AtlasReport_3_Table_1[[#This Row],[Current On-hand]]-AtlasReport_3_Table_1[[#This Row],[Trans backwords (Ending)]]</f>
        <v>0</v>
      </c>
    </row>
    <row r="59" spans="1:8" x14ac:dyDescent="0.15">
      <c r="A59" s="8" t="s">
        <v>74</v>
      </c>
      <c r="B59" s="8" t="s">
        <v>160</v>
      </c>
      <c r="C59" s="8" t="s">
        <v>81</v>
      </c>
      <c r="D59" s="10">
        <v>0</v>
      </c>
      <c r="E59" s="10">
        <v>0</v>
      </c>
      <c r="F59" s="10">
        <v>0</v>
      </c>
      <c r="G59" s="10">
        <f>AtlasReport_3_Table_1[[#This Row],[Current On-hand]]-AtlasReport_3_Table_1[[#This Row],[Trans backwords (Beginning)]]</f>
        <v>0</v>
      </c>
      <c r="H59" s="10">
        <f>AtlasReport_3_Table_1[[#This Row],[Current On-hand]]-AtlasReport_3_Table_1[[#This Row],[Trans backwords (Ending)]]</f>
        <v>0</v>
      </c>
    </row>
    <row r="60" spans="1:8" x14ac:dyDescent="0.15">
      <c r="A60" s="8" t="s">
        <v>74</v>
      </c>
      <c r="B60" s="8" t="s">
        <v>160</v>
      </c>
      <c r="C60" s="8" t="s">
        <v>161</v>
      </c>
      <c r="D60" s="10">
        <v>150</v>
      </c>
      <c r="E60" s="10">
        <v>0</v>
      </c>
      <c r="F60" s="10">
        <v>0</v>
      </c>
      <c r="G60" s="10">
        <f>AtlasReport_3_Table_1[[#This Row],[Current On-hand]]-AtlasReport_3_Table_1[[#This Row],[Trans backwords (Beginning)]]</f>
        <v>150</v>
      </c>
      <c r="H60" s="10">
        <f>AtlasReport_3_Table_1[[#This Row],[Current On-hand]]-AtlasReport_3_Table_1[[#This Row],[Trans backwords (Ending)]]</f>
        <v>150</v>
      </c>
    </row>
    <row r="61" spans="1:8" x14ac:dyDescent="0.15">
      <c r="A61" s="8" t="s">
        <v>101</v>
      </c>
      <c r="B61" s="8" t="s">
        <v>160</v>
      </c>
      <c r="C61" s="8" t="s">
        <v>81</v>
      </c>
      <c r="D61" s="10">
        <v>0</v>
      </c>
      <c r="E61" s="10">
        <v>0</v>
      </c>
      <c r="F61" s="10">
        <v>0</v>
      </c>
      <c r="G61" s="10">
        <f>AtlasReport_3_Table_1[[#This Row],[Current On-hand]]-AtlasReport_3_Table_1[[#This Row],[Trans backwords (Beginning)]]</f>
        <v>0</v>
      </c>
      <c r="H61" s="10">
        <f>AtlasReport_3_Table_1[[#This Row],[Current On-hand]]-AtlasReport_3_Table_1[[#This Row],[Trans backwords (Ending)]]</f>
        <v>0</v>
      </c>
    </row>
    <row r="62" spans="1:8" x14ac:dyDescent="0.15">
      <c r="A62" s="8" t="s">
        <v>101</v>
      </c>
      <c r="B62" s="8" t="s">
        <v>160</v>
      </c>
      <c r="C62" s="8" t="s">
        <v>161</v>
      </c>
      <c r="D62" s="10">
        <v>819</v>
      </c>
      <c r="E62" s="10">
        <v>319</v>
      </c>
      <c r="F62" s="10">
        <v>0</v>
      </c>
      <c r="G62" s="10">
        <f>AtlasReport_3_Table_1[[#This Row],[Current On-hand]]-AtlasReport_3_Table_1[[#This Row],[Trans backwords (Beginning)]]</f>
        <v>500</v>
      </c>
      <c r="H62" s="10">
        <f>AtlasReport_3_Table_1[[#This Row],[Current On-hand]]-AtlasReport_3_Table_1[[#This Row],[Trans backwords (Ending)]]</f>
        <v>819</v>
      </c>
    </row>
    <row r="63" spans="1:8" x14ac:dyDescent="0.15">
      <c r="A63" s="8" t="s">
        <v>197</v>
      </c>
      <c r="B63" s="8" t="s">
        <v>160</v>
      </c>
      <c r="C63" s="8" t="s">
        <v>81</v>
      </c>
      <c r="D63" s="10">
        <v>0</v>
      </c>
      <c r="E63" s="10">
        <v>0</v>
      </c>
      <c r="F63" s="10">
        <v>0</v>
      </c>
      <c r="G63" s="10">
        <f>AtlasReport_3_Table_1[[#This Row],[Current On-hand]]-AtlasReport_3_Table_1[[#This Row],[Trans backwords (Beginning)]]</f>
        <v>0</v>
      </c>
      <c r="H63" s="10">
        <f>AtlasReport_3_Table_1[[#This Row],[Current On-hand]]-AtlasReport_3_Table_1[[#This Row],[Trans backwords (Ending)]]</f>
        <v>0</v>
      </c>
    </row>
    <row r="64" spans="1:8" x14ac:dyDescent="0.15">
      <c r="A64" s="8" t="s">
        <v>197</v>
      </c>
      <c r="B64" s="8" t="s">
        <v>160</v>
      </c>
      <c r="C64" s="8" t="s">
        <v>161</v>
      </c>
      <c r="D64" s="10">
        <v>197.5</v>
      </c>
      <c r="E64" s="10">
        <v>-10</v>
      </c>
      <c r="F64" s="10">
        <v>0</v>
      </c>
      <c r="G64" s="10">
        <f>AtlasReport_3_Table_1[[#This Row],[Current On-hand]]-AtlasReport_3_Table_1[[#This Row],[Trans backwords (Beginning)]]</f>
        <v>207.5</v>
      </c>
      <c r="H64" s="10">
        <f>AtlasReport_3_Table_1[[#This Row],[Current On-hand]]-AtlasReport_3_Table_1[[#This Row],[Trans backwords (Ending)]]</f>
        <v>197.5</v>
      </c>
    </row>
    <row r="65" spans="1:8" x14ac:dyDescent="0.15">
      <c r="A65" s="8" t="s">
        <v>75</v>
      </c>
      <c r="B65" s="8" t="s">
        <v>160</v>
      </c>
      <c r="C65" s="8" t="s">
        <v>81</v>
      </c>
      <c r="D65" s="10">
        <v>0</v>
      </c>
      <c r="E65" s="10">
        <v>0</v>
      </c>
      <c r="F65" s="10">
        <v>0</v>
      </c>
      <c r="G65" s="10">
        <f>AtlasReport_3_Table_1[[#This Row],[Current On-hand]]-AtlasReport_3_Table_1[[#This Row],[Trans backwords (Beginning)]]</f>
        <v>0</v>
      </c>
      <c r="H65" s="10">
        <f>AtlasReport_3_Table_1[[#This Row],[Current On-hand]]-AtlasReport_3_Table_1[[#This Row],[Trans backwords (Ending)]]</f>
        <v>0</v>
      </c>
    </row>
    <row r="66" spans="1:8" x14ac:dyDescent="0.15">
      <c r="A66" s="8" t="s">
        <v>75</v>
      </c>
      <c r="B66" s="8" t="s">
        <v>160</v>
      </c>
      <c r="C66" s="8" t="s">
        <v>161</v>
      </c>
      <c r="D66" s="10">
        <v>0</v>
      </c>
      <c r="E66" s="10">
        <v>-231</v>
      </c>
      <c r="F66" s="10">
        <v>0</v>
      </c>
      <c r="G66" s="10">
        <f>AtlasReport_3_Table_1[[#This Row],[Current On-hand]]-AtlasReport_3_Table_1[[#This Row],[Trans backwords (Beginning)]]</f>
        <v>231</v>
      </c>
      <c r="H66" s="10">
        <f>AtlasReport_3_Table_1[[#This Row],[Current On-hand]]-AtlasReport_3_Table_1[[#This Row],[Trans backwords (Ending)]]</f>
        <v>0</v>
      </c>
    </row>
    <row r="67" spans="1:8" x14ac:dyDescent="0.15">
      <c r="A67" s="8" t="s">
        <v>55</v>
      </c>
      <c r="B67" s="8" t="s">
        <v>160</v>
      </c>
      <c r="C67" s="8" t="s">
        <v>81</v>
      </c>
      <c r="D67" s="10">
        <v>0</v>
      </c>
      <c r="E67" s="10">
        <v>0</v>
      </c>
      <c r="F67" s="10">
        <v>0</v>
      </c>
      <c r="G67" s="10">
        <f>AtlasReport_3_Table_1[[#This Row],[Current On-hand]]-AtlasReport_3_Table_1[[#This Row],[Trans backwords (Beginning)]]</f>
        <v>0</v>
      </c>
      <c r="H67" s="10">
        <f>AtlasReport_3_Table_1[[#This Row],[Current On-hand]]-AtlasReport_3_Table_1[[#This Row],[Trans backwords (Ending)]]</f>
        <v>0</v>
      </c>
    </row>
    <row r="68" spans="1:8" x14ac:dyDescent="0.15">
      <c r="A68" s="8" t="s">
        <v>55</v>
      </c>
      <c r="B68" s="8" t="s">
        <v>160</v>
      </c>
      <c r="C68" s="8" t="s">
        <v>161</v>
      </c>
      <c r="D68" s="10">
        <v>480</v>
      </c>
      <c r="E68" s="10">
        <v>0</v>
      </c>
      <c r="F68" s="10">
        <v>0</v>
      </c>
      <c r="G68" s="10">
        <f>AtlasReport_3_Table_1[[#This Row],[Current On-hand]]-AtlasReport_3_Table_1[[#This Row],[Trans backwords (Beginning)]]</f>
        <v>480</v>
      </c>
      <c r="H68" s="10">
        <f>AtlasReport_3_Table_1[[#This Row],[Current On-hand]]-AtlasReport_3_Table_1[[#This Row],[Trans backwords (Ending)]]</f>
        <v>480</v>
      </c>
    </row>
    <row r="69" spans="1:8" x14ac:dyDescent="0.15">
      <c r="A69" s="8" t="s">
        <v>111</v>
      </c>
      <c r="B69" s="8" t="s">
        <v>160</v>
      </c>
      <c r="C69" s="8" t="s">
        <v>81</v>
      </c>
      <c r="D69" s="10">
        <v>0</v>
      </c>
      <c r="E69" s="10">
        <v>0</v>
      </c>
      <c r="F69" s="10">
        <v>0</v>
      </c>
      <c r="G69" s="10">
        <f>AtlasReport_3_Table_1[[#This Row],[Current On-hand]]-AtlasReport_3_Table_1[[#This Row],[Trans backwords (Beginning)]]</f>
        <v>0</v>
      </c>
      <c r="H69" s="10">
        <f>AtlasReport_3_Table_1[[#This Row],[Current On-hand]]-AtlasReport_3_Table_1[[#This Row],[Trans backwords (Ending)]]</f>
        <v>0</v>
      </c>
    </row>
    <row r="70" spans="1:8" x14ac:dyDescent="0.15">
      <c r="A70" s="8" t="s">
        <v>111</v>
      </c>
      <c r="B70" s="8" t="s">
        <v>160</v>
      </c>
      <c r="C70" s="8" t="s">
        <v>161</v>
      </c>
      <c r="D70" s="10">
        <v>301</v>
      </c>
      <c r="E70" s="10">
        <v>-1216</v>
      </c>
      <c r="F70" s="10">
        <v>0</v>
      </c>
      <c r="G70" s="10">
        <f>AtlasReport_3_Table_1[[#This Row],[Current On-hand]]-AtlasReport_3_Table_1[[#This Row],[Trans backwords (Beginning)]]</f>
        <v>1517</v>
      </c>
      <c r="H70" s="10">
        <f>AtlasReport_3_Table_1[[#This Row],[Current On-hand]]-AtlasReport_3_Table_1[[#This Row],[Trans backwords (Ending)]]</f>
        <v>301</v>
      </c>
    </row>
    <row r="71" spans="1:8" x14ac:dyDescent="0.15">
      <c r="A71" s="8" t="s">
        <v>56</v>
      </c>
      <c r="B71" s="8" t="s">
        <v>160</v>
      </c>
      <c r="C71" s="8" t="s">
        <v>81</v>
      </c>
      <c r="D71" s="10">
        <v>0</v>
      </c>
      <c r="E71" s="10">
        <v>0</v>
      </c>
      <c r="F71" s="10">
        <v>0</v>
      </c>
      <c r="G71" s="10">
        <f>AtlasReport_3_Table_1[[#This Row],[Current On-hand]]-AtlasReport_3_Table_1[[#This Row],[Trans backwords (Beginning)]]</f>
        <v>0</v>
      </c>
      <c r="H71" s="10">
        <f>AtlasReport_3_Table_1[[#This Row],[Current On-hand]]-AtlasReport_3_Table_1[[#This Row],[Trans backwords (Ending)]]</f>
        <v>0</v>
      </c>
    </row>
    <row r="72" spans="1:8" x14ac:dyDescent="0.15">
      <c r="A72" s="8" t="s">
        <v>56</v>
      </c>
      <c r="B72" s="8" t="s">
        <v>160</v>
      </c>
      <c r="C72" s="8" t="s">
        <v>161</v>
      </c>
      <c r="D72" s="10">
        <v>1028.8</v>
      </c>
      <c r="E72" s="10">
        <v>-1110</v>
      </c>
      <c r="F72" s="10">
        <v>0</v>
      </c>
      <c r="G72" s="10">
        <f>AtlasReport_3_Table_1[[#This Row],[Current On-hand]]-AtlasReport_3_Table_1[[#This Row],[Trans backwords (Beginning)]]</f>
        <v>2138.8000000000002</v>
      </c>
      <c r="H72" s="10">
        <f>AtlasReport_3_Table_1[[#This Row],[Current On-hand]]-AtlasReport_3_Table_1[[#This Row],[Trans backwords (Ending)]]</f>
        <v>1028.8</v>
      </c>
    </row>
    <row r="73" spans="1:8" x14ac:dyDescent="0.15">
      <c r="A73" s="8" t="s">
        <v>57</v>
      </c>
      <c r="B73" s="8" t="s">
        <v>160</v>
      </c>
      <c r="C73" s="8" t="s">
        <v>81</v>
      </c>
      <c r="D73" s="10">
        <v>0</v>
      </c>
      <c r="E73" s="10">
        <v>0</v>
      </c>
      <c r="F73" s="10">
        <v>0</v>
      </c>
      <c r="G73" s="10">
        <f>AtlasReport_3_Table_1[[#This Row],[Current On-hand]]-AtlasReport_3_Table_1[[#This Row],[Trans backwords (Beginning)]]</f>
        <v>0</v>
      </c>
      <c r="H73" s="10">
        <f>AtlasReport_3_Table_1[[#This Row],[Current On-hand]]-AtlasReport_3_Table_1[[#This Row],[Trans backwords (Ending)]]</f>
        <v>0</v>
      </c>
    </row>
    <row r="74" spans="1:8" x14ac:dyDescent="0.15">
      <c r="A74" s="8" t="s">
        <v>57</v>
      </c>
      <c r="B74" s="8" t="s">
        <v>160</v>
      </c>
      <c r="C74" s="8" t="s">
        <v>161</v>
      </c>
      <c r="D74" s="10">
        <v>659</v>
      </c>
      <c r="E74" s="10">
        <v>-448</v>
      </c>
      <c r="F74" s="10">
        <v>0</v>
      </c>
      <c r="G74" s="10">
        <f>AtlasReport_3_Table_1[[#This Row],[Current On-hand]]-AtlasReport_3_Table_1[[#This Row],[Trans backwords (Beginning)]]</f>
        <v>1107</v>
      </c>
      <c r="H74" s="10">
        <f>AtlasReport_3_Table_1[[#This Row],[Current On-hand]]-AtlasReport_3_Table_1[[#This Row],[Trans backwords (Ending)]]</f>
        <v>659</v>
      </c>
    </row>
    <row r="75" spans="1:8" x14ac:dyDescent="0.15">
      <c r="A75" s="8" t="s">
        <v>97</v>
      </c>
      <c r="B75" s="8" t="s">
        <v>160</v>
      </c>
      <c r="C75" s="8" t="s">
        <v>81</v>
      </c>
      <c r="D75" s="10">
        <v>0</v>
      </c>
      <c r="E75" s="10">
        <v>0</v>
      </c>
      <c r="F75" s="10">
        <v>0</v>
      </c>
      <c r="G75" s="10">
        <f>AtlasReport_3_Table_1[[#This Row],[Current On-hand]]-AtlasReport_3_Table_1[[#This Row],[Trans backwords (Beginning)]]</f>
        <v>0</v>
      </c>
      <c r="H75" s="10">
        <f>AtlasReport_3_Table_1[[#This Row],[Current On-hand]]-AtlasReport_3_Table_1[[#This Row],[Trans backwords (Ending)]]</f>
        <v>0</v>
      </c>
    </row>
    <row r="76" spans="1:8" x14ac:dyDescent="0.15">
      <c r="A76" s="8" t="s">
        <v>97</v>
      </c>
      <c r="B76" s="8" t="s">
        <v>160</v>
      </c>
      <c r="C76" s="8" t="s">
        <v>161</v>
      </c>
      <c r="D76" s="10">
        <v>173</v>
      </c>
      <c r="E76" s="10">
        <v>-150</v>
      </c>
      <c r="F76" s="10">
        <v>0</v>
      </c>
      <c r="G76" s="10">
        <f>AtlasReport_3_Table_1[[#This Row],[Current On-hand]]-AtlasReport_3_Table_1[[#This Row],[Trans backwords (Beginning)]]</f>
        <v>323</v>
      </c>
      <c r="H76" s="10">
        <f>AtlasReport_3_Table_1[[#This Row],[Current On-hand]]-AtlasReport_3_Table_1[[#This Row],[Trans backwords (Ending)]]</f>
        <v>173</v>
      </c>
    </row>
    <row r="77" spans="1:8" x14ac:dyDescent="0.15">
      <c r="A77" s="8" t="s">
        <v>29</v>
      </c>
      <c r="B77" s="8" t="s">
        <v>160</v>
      </c>
      <c r="C77" s="8" t="s">
        <v>81</v>
      </c>
      <c r="D77" s="10">
        <v>0</v>
      </c>
      <c r="E77" s="10">
        <v>0</v>
      </c>
      <c r="F77" s="10">
        <v>0</v>
      </c>
      <c r="G77" s="10">
        <f>AtlasReport_3_Table_1[[#This Row],[Current On-hand]]-AtlasReport_3_Table_1[[#This Row],[Trans backwords (Beginning)]]</f>
        <v>0</v>
      </c>
      <c r="H77" s="10">
        <f>AtlasReport_3_Table_1[[#This Row],[Current On-hand]]-AtlasReport_3_Table_1[[#This Row],[Trans backwords (Ending)]]</f>
        <v>0</v>
      </c>
    </row>
    <row r="78" spans="1:8" x14ac:dyDescent="0.15">
      <c r="A78" s="8" t="s">
        <v>29</v>
      </c>
      <c r="B78" s="8" t="s">
        <v>160</v>
      </c>
      <c r="C78" s="8" t="s">
        <v>161</v>
      </c>
      <c r="D78" s="10">
        <v>866.5</v>
      </c>
      <c r="E78" s="10">
        <v>116</v>
      </c>
      <c r="F78" s="10">
        <v>0</v>
      </c>
      <c r="G78" s="10">
        <f>AtlasReport_3_Table_1[[#This Row],[Current On-hand]]-AtlasReport_3_Table_1[[#This Row],[Trans backwords (Beginning)]]</f>
        <v>750.5</v>
      </c>
      <c r="H78" s="10">
        <f>AtlasReport_3_Table_1[[#This Row],[Current On-hand]]-AtlasReport_3_Table_1[[#This Row],[Trans backwords (Ending)]]</f>
        <v>866.5</v>
      </c>
    </row>
    <row r="79" spans="1:8" x14ac:dyDescent="0.15">
      <c r="A79" s="8" t="s">
        <v>121</v>
      </c>
      <c r="B79" s="8" t="s">
        <v>160</v>
      </c>
      <c r="C79" s="8" t="s">
        <v>81</v>
      </c>
      <c r="D79" s="10">
        <v>0</v>
      </c>
      <c r="E79" s="10">
        <v>0</v>
      </c>
      <c r="F79" s="10">
        <v>0</v>
      </c>
      <c r="G79" s="10">
        <f>AtlasReport_3_Table_1[[#This Row],[Current On-hand]]-AtlasReport_3_Table_1[[#This Row],[Trans backwords (Beginning)]]</f>
        <v>0</v>
      </c>
      <c r="H79" s="10">
        <f>AtlasReport_3_Table_1[[#This Row],[Current On-hand]]-AtlasReport_3_Table_1[[#This Row],[Trans backwords (Ending)]]</f>
        <v>0</v>
      </c>
    </row>
    <row r="80" spans="1:8" x14ac:dyDescent="0.15">
      <c r="A80" s="8" t="s">
        <v>121</v>
      </c>
      <c r="B80" s="8" t="s">
        <v>160</v>
      </c>
      <c r="C80" s="8" t="s">
        <v>161</v>
      </c>
      <c r="D80" s="10">
        <v>600</v>
      </c>
      <c r="E80" s="10">
        <v>85</v>
      </c>
      <c r="F80" s="10">
        <v>0</v>
      </c>
      <c r="G80" s="10">
        <f>AtlasReport_3_Table_1[[#This Row],[Current On-hand]]-AtlasReport_3_Table_1[[#This Row],[Trans backwords (Beginning)]]</f>
        <v>515</v>
      </c>
      <c r="H80" s="10">
        <f>AtlasReport_3_Table_1[[#This Row],[Current On-hand]]-AtlasReport_3_Table_1[[#This Row],[Trans backwords (Ending)]]</f>
        <v>600</v>
      </c>
    </row>
    <row r="81" spans="1:8" x14ac:dyDescent="0.15">
      <c r="A81" s="8" t="s">
        <v>106</v>
      </c>
      <c r="B81" s="8" t="s">
        <v>160</v>
      </c>
      <c r="C81" s="8" t="s">
        <v>81</v>
      </c>
      <c r="D81" s="10">
        <v>0</v>
      </c>
      <c r="E81" s="10">
        <v>0</v>
      </c>
      <c r="F81" s="10">
        <v>0</v>
      </c>
      <c r="G81" s="10">
        <f>AtlasReport_3_Table_1[[#This Row],[Current On-hand]]-AtlasReport_3_Table_1[[#This Row],[Trans backwords (Beginning)]]</f>
        <v>0</v>
      </c>
      <c r="H81" s="10">
        <f>AtlasReport_3_Table_1[[#This Row],[Current On-hand]]-AtlasReport_3_Table_1[[#This Row],[Trans backwords (Ending)]]</f>
        <v>0</v>
      </c>
    </row>
    <row r="82" spans="1:8" x14ac:dyDescent="0.15">
      <c r="A82" s="8" t="s">
        <v>106</v>
      </c>
      <c r="B82" s="8" t="s">
        <v>160</v>
      </c>
      <c r="C82" s="8" t="s">
        <v>161</v>
      </c>
      <c r="D82" s="10">
        <v>400</v>
      </c>
      <c r="E82" s="10">
        <v>-289</v>
      </c>
      <c r="F82" s="10">
        <v>0</v>
      </c>
      <c r="G82" s="10">
        <f>AtlasReport_3_Table_1[[#This Row],[Current On-hand]]-AtlasReport_3_Table_1[[#This Row],[Trans backwords (Beginning)]]</f>
        <v>689</v>
      </c>
      <c r="H82" s="10">
        <f>AtlasReport_3_Table_1[[#This Row],[Current On-hand]]-AtlasReport_3_Table_1[[#This Row],[Trans backwords (Ending)]]</f>
        <v>400</v>
      </c>
    </row>
    <row r="83" spans="1:8" x14ac:dyDescent="0.15">
      <c r="A83" s="8" t="s">
        <v>58</v>
      </c>
      <c r="B83" s="8" t="s">
        <v>160</v>
      </c>
      <c r="C83" s="8" t="s">
        <v>81</v>
      </c>
      <c r="D83" s="10">
        <v>0</v>
      </c>
      <c r="E83" s="10">
        <v>0</v>
      </c>
      <c r="F83" s="10">
        <v>0</v>
      </c>
      <c r="G83" s="10">
        <f>AtlasReport_3_Table_1[[#This Row],[Current On-hand]]-AtlasReport_3_Table_1[[#This Row],[Trans backwords (Beginning)]]</f>
        <v>0</v>
      </c>
      <c r="H83" s="10">
        <f>AtlasReport_3_Table_1[[#This Row],[Current On-hand]]-AtlasReport_3_Table_1[[#This Row],[Trans backwords (Ending)]]</f>
        <v>0</v>
      </c>
    </row>
    <row r="84" spans="1:8" x14ac:dyDescent="0.15">
      <c r="A84" s="8" t="s">
        <v>58</v>
      </c>
      <c r="B84" s="8" t="s">
        <v>160</v>
      </c>
      <c r="C84" s="8" t="s">
        <v>161</v>
      </c>
      <c r="D84" s="10">
        <v>684</v>
      </c>
      <c r="E84" s="10">
        <v>-570.1</v>
      </c>
      <c r="F84" s="10">
        <v>0</v>
      </c>
      <c r="G84" s="10">
        <f>AtlasReport_3_Table_1[[#This Row],[Current On-hand]]-AtlasReport_3_Table_1[[#This Row],[Trans backwords (Beginning)]]</f>
        <v>1254.0999999999999</v>
      </c>
      <c r="H84" s="10">
        <f>AtlasReport_3_Table_1[[#This Row],[Current On-hand]]-AtlasReport_3_Table_1[[#This Row],[Trans backwords (Ending)]]</f>
        <v>684</v>
      </c>
    </row>
    <row r="85" spans="1:8" x14ac:dyDescent="0.15">
      <c r="A85" s="8" t="s">
        <v>99</v>
      </c>
      <c r="B85" s="8" t="s">
        <v>160</v>
      </c>
      <c r="C85" s="8" t="s">
        <v>81</v>
      </c>
      <c r="D85" s="10">
        <v>0</v>
      </c>
      <c r="E85" s="10">
        <v>0</v>
      </c>
      <c r="F85" s="10">
        <v>0</v>
      </c>
      <c r="G85" s="10">
        <f>AtlasReport_3_Table_1[[#This Row],[Current On-hand]]-AtlasReport_3_Table_1[[#This Row],[Trans backwords (Beginning)]]</f>
        <v>0</v>
      </c>
      <c r="H85" s="10">
        <f>AtlasReport_3_Table_1[[#This Row],[Current On-hand]]-AtlasReport_3_Table_1[[#This Row],[Trans backwords (Ending)]]</f>
        <v>0</v>
      </c>
    </row>
    <row r="86" spans="1:8" x14ac:dyDescent="0.15">
      <c r="A86" s="8" t="s">
        <v>99</v>
      </c>
      <c r="B86" s="8" t="s">
        <v>160</v>
      </c>
      <c r="C86" s="8" t="s">
        <v>161</v>
      </c>
      <c r="D86" s="10">
        <v>50</v>
      </c>
      <c r="E86" s="10">
        <v>-459</v>
      </c>
      <c r="F86" s="10">
        <v>0</v>
      </c>
      <c r="G86" s="10">
        <f>AtlasReport_3_Table_1[[#This Row],[Current On-hand]]-AtlasReport_3_Table_1[[#This Row],[Trans backwords (Beginning)]]</f>
        <v>509</v>
      </c>
      <c r="H86" s="10">
        <f>AtlasReport_3_Table_1[[#This Row],[Current On-hand]]-AtlasReport_3_Table_1[[#This Row],[Trans backwords (Ending)]]</f>
        <v>50</v>
      </c>
    </row>
    <row r="87" spans="1:8" x14ac:dyDescent="0.15">
      <c r="A87" s="8" t="s">
        <v>59</v>
      </c>
      <c r="B87" s="8" t="s">
        <v>160</v>
      </c>
      <c r="C87" s="8" t="s">
        <v>81</v>
      </c>
      <c r="D87" s="10">
        <v>0</v>
      </c>
      <c r="E87" s="10">
        <v>0</v>
      </c>
      <c r="F87" s="10">
        <v>0</v>
      </c>
      <c r="G87" s="10">
        <f>AtlasReport_3_Table_1[[#This Row],[Current On-hand]]-AtlasReport_3_Table_1[[#This Row],[Trans backwords (Beginning)]]</f>
        <v>0</v>
      </c>
      <c r="H87" s="10">
        <f>AtlasReport_3_Table_1[[#This Row],[Current On-hand]]-AtlasReport_3_Table_1[[#This Row],[Trans backwords (Ending)]]</f>
        <v>0</v>
      </c>
    </row>
    <row r="88" spans="1:8" x14ac:dyDescent="0.15">
      <c r="A88" s="8" t="s">
        <v>59</v>
      </c>
      <c r="B88" s="8" t="s">
        <v>160</v>
      </c>
      <c r="C88" s="8" t="s">
        <v>161</v>
      </c>
      <c r="D88" s="10">
        <v>780.28</v>
      </c>
      <c r="E88" s="10">
        <v>69</v>
      </c>
      <c r="F88" s="10">
        <v>0</v>
      </c>
      <c r="G88" s="10">
        <f>AtlasReport_3_Table_1[[#This Row],[Current On-hand]]-AtlasReport_3_Table_1[[#This Row],[Trans backwords (Beginning)]]</f>
        <v>711.28</v>
      </c>
      <c r="H88" s="10">
        <f>AtlasReport_3_Table_1[[#This Row],[Current On-hand]]-AtlasReport_3_Table_1[[#This Row],[Trans backwords (Ending)]]</f>
        <v>780.28</v>
      </c>
    </row>
    <row r="89" spans="1:8" x14ac:dyDescent="0.15">
      <c r="A89" s="8" t="s">
        <v>123</v>
      </c>
      <c r="B89" s="8" t="s">
        <v>160</v>
      </c>
      <c r="C89" s="8" t="s">
        <v>81</v>
      </c>
      <c r="D89" s="10">
        <v>0</v>
      </c>
      <c r="E89" s="10">
        <v>0</v>
      </c>
      <c r="F89" s="10">
        <v>0</v>
      </c>
      <c r="G89" s="10">
        <f>AtlasReport_3_Table_1[[#This Row],[Current On-hand]]-AtlasReport_3_Table_1[[#This Row],[Trans backwords (Beginning)]]</f>
        <v>0</v>
      </c>
      <c r="H89" s="10">
        <f>AtlasReport_3_Table_1[[#This Row],[Current On-hand]]-AtlasReport_3_Table_1[[#This Row],[Trans backwords (Ending)]]</f>
        <v>0</v>
      </c>
    </row>
    <row r="90" spans="1:8" x14ac:dyDescent="0.15">
      <c r="A90" s="8" t="s">
        <v>123</v>
      </c>
      <c r="B90" s="8" t="s">
        <v>160</v>
      </c>
      <c r="C90" s="8" t="s">
        <v>161</v>
      </c>
      <c r="D90" s="10">
        <v>686</v>
      </c>
      <c r="E90" s="10">
        <v>463</v>
      </c>
      <c r="F90" s="10">
        <v>0</v>
      </c>
      <c r="G90" s="10">
        <f>AtlasReport_3_Table_1[[#This Row],[Current On-hand]]-AtlasReport_3_Table_1[[#This Row],[Trans backwords (Beginning)]]</f>
        <v>223</v>
      </c>
      <c r="H90" s="10">
        <f>AtlasReport_3_Table_1[[#This Row],[Current On-hand]]-AtlasReport_3_Table_1[[#This Row],[Trans backwords (Ending)]]</f>
        <v>686</v>
      </c>
    </row>
    <row r="91" spans="1:8" x14ac:dyDescent="0.15">
      <c r="A91" s="8" t="s">
        <v>76</v>
      </c>
      <c r="B91" s="8" t="s">
        <v>160</v>
      </c>
      <c r="C91" s="8" t="s">
        <v>81</v>
      </c>
      <c r="D91" s="10">
        <v>0</v>
      </c>
      <c r="E91" s="10">
        <v>0</v>
      </c>
      <c r="F91" s="10">
        <v>0</v>
      </c>
      <c r="G91" s="10">
        <f>AtlasReport_3_Table_1[[#This Row],[Current On-hand]]-AtlasReport_3_Table_1[[#This Row],[Trans backwords (Beginning)]]</f>
        <v>0</v>
      </c>
      <c r="H91" s="10">
        <f>AtlasReport_3_Table_1[[#This Row],[Current On-hand]]-AtlasReport_3_Table_1[[#This Row],[Trans backwords (Ending)]]</f>
        <v>0</v>
      </c>
    </row>
    <row r="92" spans="1:8" x14ac:dyDescent="0.15">
      <c r="A92" s="8" t="s">
        <v>76</v>
      </c>
      <c r="B92" s="8" t="s">
        <v>160</v>
      </c>
      <c r="C92" s="8" t="s">
        <v>161</v>
      </c>
      <c r="D92" s="10">
        <v>523</v>
      </c>
      <c r="E92" s="10">
        <v>260</v>
      </c>
      <c r="F92" s="10">
        <v>0</v>
      </c>
      <c r="G92" s="10">
        <f>AtlasReport_3_Table_1[[#This Row],[Current On-hand]]-AtlasReport_3_Table_1[[#This Row],[Trans backwords (Beginning)]]</f>
        <v>263</v>
      </c>
      <c r="H92" s="10">
        <f>AtlasReport_3_Table_1[[#This Row],[Current On-hand]]-AtlasReport_3_Table_1[[#This Row],[Trans backwords (Ending)]]</f>
        <v>523</v>
      </c>
    </row>
    <row r="93" spans="1:8" x14ac:dyDescent="0.15">
      <c r="A93" s="8" t="s">
        <v>60</v>
      </c>
      <c r="B93" s="8" t="s">
        <v>160</v>
      </c>
      <c r="C93" s="8" t="s">
        <v>81</v>
      </c>
      <c r="D93" s="10">
        <v>0</v>
      </c>
      <c r="E93" s="10">
        <v>0</v>
      </c>
      <c r="F93" s="10">
        <v>0</v>
      </c>
      <c r="G93" s="10">
        <f>AtlasReport_3_Table_1[[#This Row],[Current On-hand]]-AtlasReport_3_Table_1[[#This Row],[Trans backwords (Beginning)]]</f>
        <v>0</v>
      </c>
      <c r="H93" s="10">
        <f>AtlasReport_3_Table_1[[#This Row],[Current On-hand]]-AtlasReport_3_Table_1[[#This Row],[Trans backwords (Ending)]]</f>
        <v>0</v>
      </c>
    </row>
    <row r="94" spans="1:8" x14ac:dyDescent="0.15">
      <c r="A94" s="8" t="s">
        <v>60</v>
      </c>
      <c r="B94" s="8" t="s">
        <v>160</v>
      </c>
      <c r="C94" s="8" t="s">
        <v>161</v>
      </c>
      <c r="D94" s="10">
        <v>29</v>
      </c>
      <c r="E94" s="10">
        <v>0</v>
      </c>
      <c r="F94" s="10">
        <v>0</v>
      </c>
      <c r="G94" s="10">
        <f>AtlasReport_3_Table_1[[#This Row],[Current On-hand]]-AtlasReport_3_Table_1[[#This Row],[Trans backwords (Beginning)]]</f>
        <v>29</v>
      </c>
      <c r="H94" s="10">
        <f>AtlasReport_3_Table_1[[#This Row],[Current On-hand]]-AtlasReport_3_Table_1[[#This Row],[Trans backwords (Ending)]]</f>
        <v>29</v>
      </c>
    </row>
    <row r="95" spans="1:8" x14ac:dyDescent="0.15">
      <c r="A95" s="8" t="s">
        <v>61</v>
      </c>
      <c r="B95" s="8" t="s">
        <v>160</v>
      </c>
      <c r="C95" s="8" t="s">
        <v>81</v>
      </c>
      <c r="D95" s="10">
        <v>0</v>
      </c>
      <c r="E95" s="10">
        <v>0</v>
      </c>
      <c r="F95" s="10">
        <v>0</v>
      </c>
      <c r="G95" s="10">
        <f>AtlasReport_3_Table_1[[#This Row],[Current On-hand]]-AtlasReport_3_Table_1[[#This Row],[Trans backwords (Beginning)]]</f>
        <v>0</v>
      </c>
      <c r="H95" s="10">
        <f>AtlasReport_3_Table_1[[#This Row],[Current On-hand]]-AtlasReport_3_Table_1[[#This Row],[Trans backwords (Ending)]]</f>
        <v>0</v>
      </c>
    </row>
    <row r="96" spans="1:8" x14ac:dyDescent="0.15">
      <c r="A96" s="8" t="s">
        <v>61</v>
      </c>
      <c r="B96" s="8" t="s">
        <v>160</v>
      </c>
      <c r="C96" s="8" t="s">
        <v>161</v>
      </c>
      <c r="D96" s="10">
        <v>294.95</v>
      </c>
      <c r="E96" s="10">
        <v>0</v>
      </c>
      <c r="F96" s="10">
        <v>0</v>
      </c>
      <c r="G96" s="10">
        <f>AtlasReport_3_Table_1[[#This Row],[Current On-hand]]-AtlasReport_3_Table_1[[#This Row],[Trans backwords (Beginning)]]</f>
        <v>294.95</v>
      </c>
      <c r="H96" s="10">
        <f>AtlasReport_3_Table_1[[#This Row],[Current On-hand]]-AtlasReport_3_Table_1[[#This Row],[Trans backwords (Ending)]]</f>
        <v>294.95</v>
      </c>
    </row>
    <row r="97" spans="1:8" x14ac:dyDescent="0.15">
      <c r="A97" s="8" t="s">
        <v>24</v>
      </c>
      <c r="B97" s="8" t="s">
        <v>160</v>
      </c>
      <c r="C97" s="8" t="s">
        <v>81</v>
      </c>
      <c r="D97" s="10">
        <v>0</v>
      </c>
      <c r="E97" s="10">
        <v>0</v>
      </c>
      <c r="F97" s="10">
        <v>0</v>
      </c>
      <c r="G97" s="10">
        <f>AtlasReport_3_Table_1[[#This Row],[Current On-hand]]-AtlasReport_3_Table_1[[#This Row],[Trans backwords (Beginning)]]</f>
        <v>0</v>
      </c>
      <c r="H97" s="10">
        <f>AtlasReport_3_Table_1[[#This Row],[Current On-hand]]-AtlasReport_3_Table_1[[#This Row],[Trans backwords (Ending)]]</f>
        <v>0</v>
      </c>
    </row>
    <row r="98" spans="1:8" x14ac:dyDescent="0.15">
      <c r="A98" s="8" t="s">
        <v>24</v>
      </c>
      <c r="B98" s="8" t="s">
        <v>160</v>
      </c>
      <c r="C98" s="8" t="s">
        <v>161</v>
      </c>
      <c r="D98" s="10">
        <v>420.6</v>
      </c>
      <c r="E98" s="10">
        <v>336.2</v>
      </c>
      <c r="F98" s="10">
        <v>0</v>
      </c>
      <c r="G98" s="10">
        <f>AtlasReport_3_Table_1[[#This Row],[Current On-hand]]-AtlasReport_3_Table_1[[#This Row],[Trans backwords (Beginning)]]</f>
        <v>84.400000000000034</v>
      </c>
      <c r="H98" s="10">
        <f>AtlasReport_3_Table_1[[#This Row],[Current On-hand]]-AtlasReport_3_Table_1[[#This Row],[Trans backwords (Ending)]]</f>
        <v>420.6</v>
      </c>
    </row>
    <row r="99" spans="1:8" x14ac:dyDescent="0.15">
      <c r="A99" s="8" t="s">
        <v>77</v>
      </c>
      <c r="B99" s="8" t="s">
        <v>160</v>
      </c>
      <c r="C99" s="8" t="s">
        <v>81</v>
      </c>
      <c r="D99" s="10">
        <v>0</v>
      </c>
      <c r="E99" s="10">
        <v>0</v>
      </c>
      <c r="F99" s="10">
        <v>0</v>
      </c>
      <c r="G99" s="10">
        <f>AtlasReport_3_Table_1[[#This Row],[Current On-hand]]-AtlasReport_3_Table_1[[#This Row],[Trans backwords (Beginning)]]</f>
        <v>0</v>
      </c>
      <c r="H99" s="10">
        <f>AtlasReport_3_Table_1[[#This Row],[Current On-hand]]-AtlasReport_3_Table_1[[#This Row],[Trans backwords (Ending)]]</f>
        <v>0</v>
      </c>
    </row>
    <row r="100" spans="1:8" x14ac:dyDescent="0.15">
      <c r="A100" s="8" t="s">
        <v>77</v>
      </c>
      <c r="B100" s="8" t="s">
        <v>160</v>
      </c>
      <c r="C100" s="8" t="s">
        <v>161</v>
      </c>
      <c r="D100" s="10">
        <v>325</v>
      </c>
      <c r="E100" s="10">
        <v>-332</v>
      </c>
      <c r="F100" s="10">
        <v>0</v>
      </c>
      <c r="G100" s="10">
        <f>AtlasReport_3_Table_1[[#This Row],[Current On-hand]]-AtlasReport_3_Table_1[[#This Row],[Trans backwords (Beginning)]]</f>
        <v>657</v>
      </c>
      <c r="H100" s="10">
        <f>AtlasReport_3_Table_1[[#This Row],[Current On-hand]]-AtlasReport_3_Table_1[[#This Row],[Trans backwords (Ending)]]</f>
        <v>325</v>
      </c>
    </row>
    <row r="101" spans="1:8" x14ac:dyDescent="0.15">
      <c r="A101" s="8" t="s">
        <v>78</v>
      </c>
      <c r="B101" s="8" t="s">
        <v>160</v>
      </c>
      <c r="C101" s="8" t="s">
        <v>81</v>
      </c>
      <c r="D101" s="10">
        <v>0</v>
      </c>
      <c r="E101" s="10">
        <v>0</v>
      </c>
      <c r="F101" s="10">
        <v>0</v>
      </c>
      <c r="G101" s="10">
        <f>AtlasReport_3_Table_1[[#This Row],[Current On-hand]]-AtlasReport_3_Table_1[[#This Row],[Trans backwords (Beginning)]]</f>
        <v>0</v>
      </c>
      <c r="H101" s="10">
        <f>AtlasReport_3_Table_1[[#This Row],[Current On-hand]]-AtlasReport_3_Table_1[[#This Row],[Trans backwords (Ending)]]</f>
        <v>0</v>
      </c>
    </row>
    <row r="102" spans="1:8" x14ac:dyDescent="0.15">
      <c r="A102" s="8" t="s">
        <v>78</v>
      </c>
      <c r="B102" s="8" t="s">
        <v>160</v>
      </c>
      <c r="C102" s="8" t="s">
        <v>161</v>
      </c>
      <c r="D102" s="10">
        <v>478.5</v>
      </c>
      <c r="E102" s="10">
        <v>-165</v>
      </c>
      <c r="F102" s="10">
        <v>0</v>
      </c>
      <c r="G102" s="10">
        <f>AtlasReport_3_Table_1[[#This Row],[Current On-hand]]-AtlasReport_3_Table_1[[#This Row],[Trans backwords (Beginning)]]</f>
        <v>643.5</v>
      </c>
      <c r="H102" s="10">
        <f>AtlasReport_3_Table_1[[#This Row],[Current On-hand]]-AtlasReport_3_Table_1[[#This Row],[Trans backwords (Ending)]]</f>
        <v>478.5</v>
      </c>
    </row>
    <row r="103" spans="1:8" x14ac:dyDescent="0.15">
      <c r="A103" s="8" t="s">
        <v>62</v>
      </c>
      <c r="B103" s="8" t="s">
        <v>160</v>
      </c>
      <c r="C103" s="8" t="s">
        <v>81</v>
      </c>
      <c r="D103" s="10">
        <v>0</v>
      </c>
      <c r="E103" s="10">
        <v>0</v>
      </c>
      <c r="F103" s="10">
        <v>0</v>
      </c>
      <c r="G103" s="10">
        <f>AtlasReport_3_Table_1[[#This Row],[Current On-hand]]-AtlasReport_3_Table_1[[#This Row],[Trans backwords (Beginning)]]</f>
        <v>0</v>
      </c>
      <c r="H103" s="10">
        <f>AtlasReport_3_Table_1[[#This Row],[Current On-hand]]-AtlasReport_3_Table_1[[#This Row],[Trans backwords (Ending)]]</f>
        <v>0</v>
      </c>
    </row>
    <row r="104" spans="1:8" x14ac:dyDescent="0.15">
      <c r="A104" s="8" t="s">
        <v>62</v>
      </c>
      <c r="B104" s="8" t="s">
        <v>160</v>
      </c>
      <c r="C104" s="8" t="s">
        <v>161</v>
      </c>
      <c r="D104" s="10">
        <v>550</v>
      </c>
      <c r="E104" s="10">
        <v>-500.4</v>
      </c>
      <c r="F104" s="10">
        <v>0</v>
      </c>
      <c r="G104" s="10">
        <f>AtlasReport_3_Table_1[[#This Row],[Current On-hand]]-AtlasReport_3_Table_1[[#This Row],[Trans backwords (Beginning)]]</f>
        <v>1050.4000000000001</v>
      </c>
      <c r="H104" s="10">
        <f>AtlasReport_3_Table_1[[#This Row],[Current On-hand]]-AtlasReport_3_Table_1[[#This Row],[Trans backwords (Ending)]]</f>
        <v>550</v>
      </c>
    </row>
    <row r="105" spans="1:8" x14ac:dyDescent="0.15">
      <c r="A105" s="8" t="s">
        <v>63</v>
      </c>
      <c r="B105" s="8" t="s">
        <v>160</v>
      </c>
      <c r="C105" s="8" t="s">
        <v>81</v>
      </c>
      <c r="D105" s="10">
        <v>0</v>
      </c>
      <c r="E105" s="10">
        <v>0</v>
      </c>
      <c r="F105" s="10">
        <v>0</v>
      </c>
      <c r="G105" s="10">
        <f>AtlasReport_3_Table_1[[#This Row],[Current On-hand]]-AtlasReport_3_Table_1[[#This Row],[Trans backwords (Beginning)]]</f>
        <v>0</v>
      </c>
      <c r="H105" s="10">
        <f>AtlasReport_3_Table_1[[#This Row],[Current On-hand]]-AtlasReport_3_Table_1[[#This Row],[Trans backwords (Ending)]]</f>
        <v>0</v>
      </c>
    </row>
    <row r="106" spans="1:8" x14ac:dyDescent="0.15">
      <c r="A106" s="8" t="s">
        <v>63</v>
      </c>
      <c r="B106" s="8" t="s">
        <v>160</v>
      </c>
      <c r="C106" s="8" t="s">
        <v>161</v>
      </c>
      <c r="D106" s="10">
        <v>156</v>
      </c>
      <c r="E106" s="10">
        <v>-899</v>
      </c>
      <c r="F106" s="10">
        <v>0</v>
      </c>
      <c r="G106" s="10">
        <f>AtlasReport_3_Table_1[[#This Row],[Current On-hand]]-AtlasReport_3_Table_1[[#This Row],[Trans backwords (Beginning)]]</f>
        <v>1055</v>
      </c>
      <c r="H106" s="10">
        <f>AtlasReport_3_Table_1[[#This Row],[Current On-hand]]-AtlasReport_3_Table_1[[#This Row],[Trans backwords (Ending)]]</f>
        <v>156</v>
      </c>
    </row>
    <row r="107" spans="1:8" x14ac:dyDescent="0.15">
      <c r="A107" s="8" t="s">
        <v>103</v>
      </c>
      <c r="B107" s="8" t="s">
        <v>160</v>
      </c>
      <c r="C107" s="8" t="s">
        <v>81</v>
      </c>
      <c r="D107" s="10">
        <v>0</v>
      </c>
      <c r="E107" s="10">
        <v>0</v>
      </c>
      <c r="F107" s="10">
        <v>0</v>
      </c>
      <c r="G107" s="10">
        <f>AtlasReport_3_Table_1[[#This Row],[Current On-hand]]-AtlasReport_3_Table_1[[#This Row],[Trans backwords (Beginning)]]</f>
        <v>0</v>
      </c>
      <c r="H107" s="10">
        <f>AtlasReport_3_Table_1[[#This Row],[Current On-hand]]-AtlasReport_3_Table_1[[#This Row],[Trans backwords (Ending)]]</f>
        <v>0</v>
      </c>
    </row>
    <row r="108" spans="1:8" x14ac:dyDescent="0.15">
      <c r="A108" s="8" t="s">
        <v>103</v>
      </c>
      <c r="B108" s="8" t="s">
        <v>160</v>
      </c>
      <c r="C108" s="8" t="s">
        <v>161</v>
      </c>
      <c r="D108" s="10">
        <v>0</v>
      </c>
      <c r="E108" s="10">
        <v>-16</v>
      </c>
      <c r="F108" s="10">
        <v>0</v>
      </c>
      <c r="G108" s="10">
        <f>AtlasReport_3_Table_1[[#This Row],[Current On-hand]]-AtlasReport_3_Table_1[[#This Row],[Trans backwords (Beginning)]]</f>
        <v>16</v>
      </c>
      <c r="H108" s="10">
        <f>AtlasReport_3_Table_1[[#This Row],[Current On-hand]]-AtlasReport_3_Table_1[[#This Row],[Trans backwords (Ending)]]</f>
        <v>0</v>
      </c>
    </row>
    <row r="109" spans="1:8" x14ac:dyDescent="0.15">
      <c r="A109" s="8" t="s">
        <v>129</v>
      </c>
      <c r="B109" s="8" t="s">
        <v>160</v>
      </c>
      <c r="C109" s="8" t="s">
        <v>81</v>
      </c>
      <c r="D109" s="10">
        <v>0</v>
      </c>
      <c r="E109" s="10">
        <v>0</v>
      </c>
      <c r="F109" s="10">
        <v>0</v>
      </c>
      <c r="G109" s="10">
        <f>AtlasReport_3_Table_1[[#This Row],[Current On-hand]]-AtlasReport_3_Table_1[[#This Row],[Trans backwords (Beginning)]]</f>
        <v>0</v>
      </c>
      <c r="H109" s="10">
        <f>AtlasReport_3_Table_1[[#This Row],[Current On-hand]]-AtlasReport_3_Table_1[[#This Row],[Trans backwords (Ending)]]</f>
        <v>0</v>
      </c>
    </row>
    <row r="110" spans="1:8" x14ac:dyDescent="0.15">
      <c r="A110" s="8" t="s">
        <v>129</v>
      </c>
      <c r="B110" s="8" t="s">
        <v>160</v>
      </c>
      <c r="C110" s="8" t="s">
        <v>161</v>
      </c>
      <c r="D110" s="10">
        <v>-37</v>
      </c>
      <c r="E110" s="10">
        <v>-21</v>
      </c>
      <c r="F110" s="10">
        <v>0</v>
      </c>
      <c r="G110" s="10">
        <f>AtlasReport_3_Table_1[[#This Row],[Current On-hand]]-AtlasReport_3_Table_1[[#This Row],[Trans backwords (Beginning)]]</f>
        <v>-16</v>
      </c>
      <c r="H110" s="10">
        <f>AtlasReport_3_Table_1[[#This Row],[Current On-hand]]-AtlasReport_3_Table_1[[#This Row],[Trans backwords (Ending)]]</f>
        <v>-37</v>
      </c>
    </row>
    <row r="111" spans="1:8" x14ac:dyDescent="0.15">
      <c r="A111" s="8" t="s">
        <v>175</v>
      </c>
      <c r="B111" s="8" t="s">
        <v>160</v>
      </c>
      <c r="C111" s="8" t="s">
        <v>81</v>
      </c>
      <c r="D111" s="10">
        <v>0</v>
      </c>
      <c r="E111" s="10">
        <v>0</v>
      </c>
      <c r="F111" s="10">
        <v>0</v>
      </c>
      <c r="G111" s="10">
        <f>AtlasReport_3_Table_1[[#This Row],[Current On-hand]]-AtlasReport_3_Table_1[[#This Row],[Trans backwords (Beginning)]]</f>
        <v>0</v>
      </c>
      <c r="H111" s="10">
        <f>AtlasReport_3_Table_1[[#This Row],[Current On-hand]]-AtlasReport_3_Table_1[[#This Row],[Trans backwords (Ending)]]</f>
        <v>0</v>
      </c>
    </row>
    <row r="112" spans="1:8" x14ac:dyDescent="0.15">
      <c r="A112" s="8" t="s">
        <v>175</v>
      </c>
      <c r="B112" s="8" t="s">
        <v>160</v>
      </c>
      <c r="C112" s="8" t="s">
        <v>161</v>
      </c>
      <c r="D112" s="10">
        <v>0</v>
      </c>
      <c r="E112" s="10">
        <v>0</v>
      </c>
      <c r="F112" s="10">
        <v>0</v>
      </c>
      <c r="G112" s="10">
        <f>AtlasReport_3_Table_1[[#This Row],[Current On-hand]]-AtlasReport_3_Table_1[[#This Row],[Trans backwords (Beginning)]]</f>
        <v>0</v>
      </c>
      <c r="H112" s="10">
        <f>AtlasReport_3_Table_1[[#This Row],[Current On-hand]]-AtlasReport_3_Table_1[[#This Row],[Trans backwords (Ending)]]</f>
        <v>0</v>
      </c>
    </row>
    <row r="113" spans="1:8" x14ac:dyDescent="0.15">
      <c r="A113" s="8" t="s">
        <v>131</v>
      </c>
      <c r="B113" s="8" t="s">
        <v>160</v>
      </c>
      <c r="C113" s="8" t="s">
        <v>81</v>
      </c>
      <c r="D113" s="10">
        <v>0</v>
      </c>
      <c r="E113" s="10">
        <v>0</v>
      </c>
      <c r="F113" s="10">
        <v>0</v>
      </c>
      <c r="G113" s="10">
        <f>AtlasReport_3_Table_1[[#This Row],[Current On-hand]]-AtlasReport_3_Table_1[[#This Row],[Trans backwords (Beginning)]]</f>
        <v>0</v>
      </c>
      <c r="H113" s="10">
        <f>AtlasReport_3_Table_1[[#This Row],[Current On-hand]]-AtlasReport_3_Table_1[[#This Row],[Trans backwords (Ending)]]</f>
        <v>0</v>
      </c>
    </row>
    <row r="114" spans="1:8" x14ac:dyDescent="0.15">
      <c r="A114" s="8" t="s">
        <v>131</v>
      </c>
      <c r="B114" s="8" t="s">
        <v>160</v>
      </c>
      <c r="C114" s="8" t="s">
        <v>161</v>
      </c>
      <c r="D114" s="10">
        <v>8</v>
      </c>
      <c r="E114" s="10">
        <v>-10</v>
      </c>
      <c r="F114" s="10">
        <v>0</v>
      </c>
      <c r="G114" s="10">
        <f>AtlasReport_3_Table_1[[#This Row],[Current On-hand]]-AtlasReport_3_Table_1[[#This Row],[Trans backwords (Beginning)]]</f>
        <v>18</v>
      </c>
      <c r="H114" s="10">
        <f>AtlasReport_3_Table_1[[#This Row],[Current On-hand]]-AtlasReport_3_Table_1[[#This Row],[Trans backwords (Ending)]]</f>
        <v>8</v>
      </c>
    </row>
    <row r="115" spans="1:8" x14ac:dyDescent="0.15">
      <c r="A115" s="8" t="s">
        <v>179</v>
      </c>
      <c r="B115" s="8" t="s">
        <v>160</v>
      </c>
      <c r="C115" s="8" t="s">
        <v>81</v>
      </c>
      <c r="D115" s="10">
        <v>0</v>
      </c>
      <c r="E115" s="10">
        <v>0</v>
      </c>
      <c r="F115" s="10">
        <v>0</v>
      </c>
      <c r="G115" s="10">
        <f>AtlasReport_3_Table_1[[#This Row],[Current On-hand]]-AtlasReport_3_Table_1[[#This Row],[Trans backwords (Beginning)]]</f>
        <v>0</v>
      </c>
      <c r="H115" s="10">
        <f>AtlasReport_3_Table_1[[#This Row],[Current On-hand]]-AtlasReport_3_Table_1[[#This Row],[Trans backwords (Ending)]]</f>
        <v>0</v>
      </c>
    </row>
    <row r="116" spans="1:8" x14ac:dyDescent="0.15">
      <c r="A116" s="8" t="s">
        <v>179</v>
      </c>
      <c r="B116" s="8" t="s">
        <v>160</v>
      </c>
      <c r="C116" s="8" t="s">
        <v>161</v>
      </c>
      <c r="D116" s="10">
        <v>40</v>
      </c>
      <c r="E116" s="10">
        <v>-12</v>
      </c>
      <c r="F116" s="10">
        <v>0</v>
      </c>
      <c r="G116" s="10">
        <f>AtlasReport_3_Table_1[[#This Row],[Current On-hand]]-AtlasReport_3_Table_1[[#This Row],[Trans backwords (Beginning)]]</f>
        <v>52</v>
      </c>
      <c r="H116" s="10">
        <f>AtlasReport_3_Table_1[[#This Row],[Current On-hand]]-AtlasReport_3_Table_1[[#This Row],[Trans backwords (Ending)]]</f>
        <v>40</v>
      </c>
    </row>
    <row r="117" spans="1:8" x14ac:dyDescent="0.15">
      <c r="A117" s="8" t="s">
        <v>134</v>
      </c>
      <c r="B117" s="8" t="s">
        <v>160</v>
      </c>
      <c r="C117" s="8" t="s">
        <v>81</v>
      </c>
      <c r="D117" s="10">
        <v>0</v>
      </c>
      <c r="E117" s="10">
        <v>0</v>
      </c>
      <c r="F117" s="10">
        <v>0</v>
      </c>
      <c r="G117" s="10">
        <f>AtlasReport_3_Table_1[[#This Row],[Current On-hand]]-AtlasReport_3_Table_1[[#This Row],[Trans backwords (Beginning)]]</f>
        <v>0</v>
      </c>
      <c r="H117" s="10">
        <f>AtlasReport_3_Table_1[[#This Row],[Current On-hand]]-AtlasReport_3_Table_1[[#This Row],[Trans backwords (Ending)]]</f>
        <v>0</v>
      </c>
    </row>
    <row r="118" spans="1:8" x14ac:dyDescent="0.15">
      <c r="A118" s="8" t="s">
        <v>134</v>
      </c>
      <c r="B118" s="8" t="s">
        <v>160</v>
      </c>
      <c r="C118" s="8" t="s">
        <v>161</v>
      </c>
      <c r="D118" s="10">
        <v>41</v>
      </c>
      <c r="E118" s="10">
        <v>7</v>
      </c>
      <c r="F118" s="10">
        <v>0</v>
      </c>
      <c r="G118" s="10">
        <f>AtlasReport_3_Table_1[[#This Row],[Current On-hand]]-AtlasReport_3_Table_1[[#This Row],[Trans backwords (Beginning)]]</f>
        <v>34</v>
      </c>
      <c r="H118" s="10">
        <f>AtlasReport_3_Table_1[[#This Row],[Current On-hand]]-AtlasReport_3_Table_1[[#This Row],[Trans backwords (Ending)]]</f>
        <v>41</v>
      </c>
    </row>
    <row r="119" spans="1:8" x14ac:dyDescent="0.15">
      <c r="A119" s="8" t="s">
        <v>79</v>
      </c>
      <c r="B119" s="8" t="s">
        <v>160</v>
      </c>
      <c r="C119" s="8" t="s">
        <v>81</v>
      </c>
      <c r="D119" s="10">
        <v>0</v>
      </c>
      <c r="E119" s="10">
        <v>0</v>
      </c>
      <c r="F119" s="10">
        <v>0</v>
      </c>
      <c r="G119" s="10">
        <f>AtlasReport_3_Table_1[[#This Row],[Current On-hand]]-AtlasReport_3_Table_1[[#This Row],[Trans backwords (Beginning)]]</f>
        <v>0</v>
      </c>
      <c r="H119" s="10">
        <f>AtlasReport_3_Table_1[[#This Row],[Current On-hand]]-AtlasReport_3_Table_1[[#This Row],[Trans backwords (Ending)]]</f>
        <v>0</v>
      </c>
    </row>
    <row r="120" spans="1:8" x14ac:dyDescent="0.15">
      <c r="A120" s="8" t="s">
        <v>79</v>
      </c>
      <c r="B120" s="8" t="s">
        <v>160</v>
      </c>
      <c r="C120" s="8" t="s">
        <v>161</v>
      </c>
      <c r="D120" s="10">
        <v>1</v>
      </c>
      <c r="E120" s="10">
        <v>1</v>
      </c>
      <c r="F120" s="10">
        <v>0</v>
      </c>
      <c r="G120" s="10">
        <f>AtlasReport_3_Table_1[[#This Row],[Current On-hand]]-AtlasReport_3_Table_1[[#This Row],[Trans backwords (Beginning)]]</f>
        <v>0</v>
      </c>
      <c r="H120" s="10">
        <f>AtlasReport_3_Table_1[[#This Row],[Current On-hand]]-AtlasReport_3_Table_1[[#This Row],[Trans backwords (Ending)]]</f>
        <v>1</v>
      </c>
    </row>
    <row r="121" spans="1:8" x14ac:dyDescent="0.15">
      <c r="A121" s="8" t="s">
        <v>164</v>
      </c>
      <c r="B121" s="8" t="s">
        <v>160</v>
      </c>
      <c r="C121" s="8" t="s">
        <v>81</v>
      </c>
      <c r="D121" s="10">
        <v>0</v>
      </c>
      <c r="E121" s="10">
        <v>0</v>
      </c>
      <c r="F121" s="10">
        <v>0</v>
      </c>
      <c r="G121" s="10">
        <f>AtlasReport_3_Table_1[[#This Row],[Current On-hand]]-AtlasReport_3_Table_1[[#This Row],[Trans backwords (Beginning)]]</f>
        <v>0</v>
      </c>
      <c r="H121" s="10">
        <f>AtlasReport_3_Table_1[[#This Row],[Current On-hand]]-AtlasReport_3_Table_1[[#This Row],[Trans backwords (Ending)]]</f>
        <v>0</v>
      </c>
    </row>
    <row r="122" spans="1:8" x14ac:dyDescent="0.15">
      <c r="A122" s="8" t="s">
        <v>164</v>
      </c>
      <c r="B122" s="8" t="s">
        <v>160</v>
      </c>
      <c r="C122" s="8" t="s">
        <v>161</v>
      </c>
      <c r="D122" s="10">
        <v>0</v>
      </c>
      <c r="E122" s="10">
        <v>0</v>
      </c>
      <c r="F122" s="10">
        <v>0</v>
      </c>
      <c r="G122" s="10">
        <f>AtlasReport_3_Table_1[[#This Row],[Current On-hand]]-AtlasReport_3_Table_1[[#This Row],[Trans backwords (Beginning)]]</f>
        <v>0</v>
      </c>
      <c r="H122" s="10">
        <f>AtlasReport_3_Table_1[[#This Row],[Current On-hand]]-AtlasReport_3_Table_1[[#This Row],[Trans backwords (Ending)]]</f>
        <v>0</v>
      </c>
    </row>
    <row r="123" spans="1:8" x14ac:dyDescent="0.15">
      <c r="A123" s="8" t="s">
        <v>108</v>
      </c>
      <c r="B123" s="8" t="s">
        <v>160</v>
      </c>
      <c r="C123" s="8" t="s">
        <v>81</v>
      </c>
      <c r="D123" s="10">
        <v>0</v>
      </c>
      <c r="E123" s="10">
        <v>0</v>
      </c>
      <c r="F123" s="10">
        <v>0</v>
      </c>
      <c r="G123" s="10">
        <f>AtlasReport_3_Table_1[[#This Row],[Current On-hand]]-AtlasReport_3_Table_1[[#This Row],[Trans backwords (Beginning)]]</f>
        <v>0</v>
      </c>
      <c r="H123" s="10">
        <f>AtlasReport_3_Table_1[[#This Row],[Current On-hand]]-AtlasReport_3_Table_1[[#This Row],[Trans backwords (Ending)]]</f>
        <v>0</v>
      </c>
    </row>
    <row r="124" spans="1:8" x14ac:dyDescent="0.15">
      <c r="A124" s="8" t="s">
        <v>108</v>
      </c>
      <c r="B124" s="8" t="s">
        <v>160</v>
      </c>
      <c r="C124" s="8" t="s">
        <v>161</v>
      </c>
      <c r="D124" s="10">
        <v>0</v>
      </c>
      <c r="E124" s="10">
        <v>0</v>
      </c>
      <c r="F124" s="10">
        <v>0</v>
      </c>
      <c r="G124" s="10">
        <f>AtlasReport_3_Table_1[[#This Row],[Current On-hand]]-AtlasReport_3_Table_1[[#This Row],[Trans backwords (Beginning)]]</f>
        <v>0</v>
      </c>
      <c r="H124" s="10">
        <f>AtlasReport_3_Table_1[[#This Row],[Current On-hand]]-AtlasReport_3_Table_1[[#This Row],[Trans backwords (Ending)]]</f>
        <v>0</v>
      </c>
    </row>
    <row r="125" spans="1:8" x14ac:dyDescent="0.15">
      <c r="A125" s="8" t="s">
        <v>181</v>
      </c>
      <c r="B125" s="8" t="s">
        <v>160</v>
      </c>
      <c r="C125" s="8" t="s">
        <v>81</v>
      </c>
      <c r="D125" s="10">
        <v>0</v>
      </c>
      <c r="E125" s="10">
        <v>0</v>
      </c>
      <c r="F125" s="10">
        <v>0</v>
      </c>
      <c r="G125" s="10">
        <f>AtlasReport_3_Table_1[[#This Row],[Current On-hand]]-AtlasReport_3_Table_1[[#This Row],[Trans backwords (Beginning)]]</f>
        <v>0</v>
      </c>
      <c r="H125" s="10">
        <f>AtlasReport_3_Table_1[[#This Row],[Current On-hand]]-AtlasReport_3_Table_1[[#This Row],[Trans backwords (Ending)]]</f>
        <v>0</v>
      </c>
    </row>
    <row r="126" spans="1:8" x14ac:dyDescent="0.15">
      <c r="A126" s="8" t="s">
        <v>181</v>
      </c>
      <c r="B126" s="8" t="s">
        <v>160</v>
      </c>
      <c r="C126" s="8" t="s">
        <v>161</v>
      </c>
      <c r="D126" s="10">
        <v>17.649999999999999</v>
      </c>
      <c r="E126" s="10">
        <v>-30.67</v>
      </c>
      <c r="F126" s="10">
        <v>0</v>
      </c>
      <c r="G126" s="10">
        <f>AtlasReport_3_Table_1[[#This Row],[Current On-hand]]-AtlasReport_3_Table_1[[#This Row],[Trans backwords (Beginning)]]</f>
        <v>48.32</v>
      </c>
      <c r="H126" s="10">
        <f>AtlasReport_3_Table_1[[#This Row],[Current On-hand]]-AtlasReport_3_Table_1[[#This Row],[Trans backwords (Ending)]]</f>
        <v>17.649999999999999</v>
      </c>
    </row>
    <row r="127" spans="1:8" x14ac:dyDescent="0.15">
      <c r="A127" s="8" t="s">
        <v>64</v>
      </c>
      <c r="B127" s="8" t="s">
        <v>160</v>
      </c>
      <c r="C127" s="8" t="s">
        <v>81</v>
      </c>
      <c r="D127" s="10">
        <v>0</v>
      </c>
      <c r="E127" s="10">
        <v>0</v>
      </c>
      <c r="F127" s="10">
        <v>0</v>
      </c>
      <c r="G127" s="10">
        <f>AtlasReport_3_Table_1[[#This Row],[Current On-hand]]-AtlasReport_3_Table_1[[#This Row],[Trans backwords (Beginning)]]</f>
        <v>0</v>
      </c>
      <c r="H127" s="10">
        <f>AtlasReport_3_Table_1[[#This Row],[Current On-hand]]-AtlasReport_3_Table_1[[#This Row],[Trans backwords (Ending)]]</f>
        <v>0</v>
      </c>
    </row>
    <row r="128" spans="1:8" x14ac:dyDescent="0.15">
      <c r="A128" s="8" t="s">
        <v>64</v>
      </c>
      <c r="B128" s="8" t="s">
        <v>160</v>
      </c>
      <c r="C128" s="8" t="s">
        <v>161</v>
      </c>
      <c r="D128" s="10">
        <v>0</v>
      </c>
      <c r="E128" s="10">
        <v>0</v>
      </c>
      <c r="F128" s="10">
        <v>0</v>
      </c>
      <c r="G128" s="10">
        <f>AtlasReport_3_Table_1[[#This Row],[Current On-hand]]-AtlasReport_3_Table_1[[#This Row],[Trans backwords (Beginning)]]</f>
        <v>0</v>
      </c>
      <c r="H128" s="10">
        <f>AtlasReport_3_Table_1[[#This Row],[Current On-hand]]-AtlasReport_3_Table_1[[#This Row],[Trans backwords (Ending)]]</f>
        <v>0</v>
      </c>
    </row>
    <row r="129" spans="1:8" x14ac:dyDescent="0.15">
      <c r="A129" s="8" t="s">
        <v>146</v>
      </c>
      <c r="B129" s="8" t="s">
        <v>160</v>
      </c>
      <c r="C129" s="8" t="s">
        <v>81</v>
      </c>
      <c r="D129" s="10">
        <v>0</v>
      </c>
      <c r="E129" s="10">
        <v>0</v>
      </c>
      <c r="F129" s="10">
        <v>0</v>
      </c>
      <c r="G129" s="10">
        <f>AtlasReport_3_Table_1[[#This Row],[Current On-hand]]-AtlasReport_3_Table_1[[#This Row],[Trans backwords (Beginning)]]</f>
        <v>0</v>
      </c>
      <c r="H129" s="10">
        <f>AtlasReport_3_Table_1[[#This Row],[Current On-hand]]-AtlasReport_3_Table_1[[#This Row],[Trans backwords (Ending)]]</f>
        <v>0</v>
      </c>
    </row>
    <row r="130" spans="1:8" x14ac:dyDescent="0.15">
      <c r="A130" s="8" t="s">
        <v>146</v>
      </c>
      <c r="B130" s="8" t="s">
        <v>160</v>
      </c>
      <c r="C130" s="8" t="s">
        <v>161</v>
      </c>
      <c r="D130" s="10">
        <v>4</v>
      </c>
      <c r="E130" s="10">
        <v>0</v>
      </c>
      <c r="F130" s="10">
        <v>0</v>
      </c>
      <c r="G130" s="10">
        <f>AtlasReport_3_Table_1[[#This Row],[Current On-hand]]-AtlasReport_3_Table_1[[#This Row],[Trans backwords (Beginning)]]</f>
        <v>4</v>
      </c>
      <c r="H130" s="10">
        <f>AtlasReport_3_Table_1[[#This Row],[Current On-hand]]-AtlasReport_3_Table_1[[#This Row],[Trans backwords (Ending)]]</f>
        <v>4</v>
      </c>
    </row>
    <row r="131" spans="1:8" x14ac:dyDescent="0.15">
      <c r="A131" s="8" t="s">
        <v>128</v>
      </c>
      <c r="B131" s="8" t="s">
        <v>160</v>
      </c>
      <c r="C131" s="8" t="s">
        <v>81</v>
      </c>
      <c r="D131" s="10">
        <v>0</v>
      </c>
      <c r="E131" s="10">
        <v>0</v>
      </c>
      <c r="F131" s="10">
        <v>0</v>
      </c>
      <c r="G131" s="10">
        <f>AtlasReport_3_Table_1[[#This Row],[Current On-hand]]-AtlasReport_3_Table_1[[#This Row],[Trans backwords (Beginning)]]</f>
        <v>0</v>
      </c>
      <c r="H131" s="10">
        <f>AtlasReport_3_Table_1[[#This Row],[Current On-hand]]-AtlasReport_3_Table_1[[#This Row],[Trans backwords (Ending)]]</f>
        <v>0</v>
      </c>
    </row>
    <row r="132" spans="1:8" x14ac:dyDescent="0.15">
      <c r="A132" s="8" t="s">
        <v>128</v>
      </c>
      <c r="B132" s="8" t="s">
        <v>160</v>
      </c>
      <c r="C132" s="8" t="s">
        <v>161</v>
      </c>
      <c r="D132" s="10">
        <v>8</v>
      </c>
      <c r="E132" s="10">
        <v>-8</v>
      </c>
      <c r="F132" s="10">
        <v>0</v>
      </c>
      <c r="G132" s="10">
        <f>AtlasReport_3_Table_1[[#This Row],[Current On-hand]]-AtlasReport_3_Table_1[[#This Row],[Trans backwords (Beginning)]]</f>
        <v>16</v>
      </c>
      <c r="H132" s="10">
        <f>AtlasReport_3_Table_1[[#This Row],[Current On-hand]]-AtlasReport_3_Table_1[[#This Row],[Trans backwords (Ending)]]</f>
        <v>8</v>
      </c>
    </row>
    <row r="133" spans="1:8" x14ac:dyDescent="0.15">
      <c r="A133" s="8" t="s">
        <v>147</v>
      </c>
      <c r="B133" s="8" t="s">
        <v>160</v>
      </c>
      <c r="C133" s="8" t="s">
        <v>161</v>
      </c>
      <c r="D133" s="10">
        <v>9</v>
      </c>
      <c r="E133" s="10">
        <v>0</v>
      </c>
      <c r="F133" s="10">
        <v>0</v>
      </c>
      <c r="G133" s="10">
        <f>AtlasReport_3_Table_1[[#This Row],[Current On-hand]]-AtlasReport_3_Table_1[[#This Row],[Trans backwords (Beginning)]]</f>
        <v>9</v>
      </c>
      <c r="H133" s="10">
        <f>AtlasReport_3_Table_1[[#This Row],[Current On-hand]]-AtlasReport_3_Table_1[[#This Row],[Trans backwords (Ending)]]</f>
        <v>9</v>
      </c>
    </row>
    <row r="134" spans="1:8" x14ac:dyDescent="0.15">
      <c r="A134" s="8" t="s">
        <v>80</v>
      </c>
      <c r="B134" s="8" t="s">
        <v>160</v>
      </c>
      <c r="C134" s="8" t="s">
        <v>81</v>
      </c>
      <c r="D134" s="10">
        <v>0</v>
      </c>
      <c r="E134" s="10">
        <v>0</v>
      </c>
      <c r="F134" s="10">
        <v>0</v>
      </c>
      <c r="G134" s="10">
        <f>AtlasReport_3_Table_1[[#This Row],[Current On-hand]]-AtlasReport_3_Table_1[[#This Row],[Trans backwords (Beginning)]]</f>
        <v>0</v>
      </c>
      <c r="H134" s="10">
        <f>AtlasReport_3_Table_1[[#This Row],[Current On-hand]]-AtlasReport_3_Table_1[[#This Row],[Trans backwords (Ending)]]</f>
        <v>0</v>
      </c>
    </row>
    <row r="135" spans="1:8" x14ac:dyDescent="0.15">
      <c r="A135" s="8" t="s">
        <v>80</v>
      </c>
      <c r="B135" s="8" t="s">
        <v>160</v>
      </c>
      <c r="C135" s="8" t="s">
        <v>161</v>
      </c>
      <c r="D135" s="10">
        <v>31</v>
      </c>
      <c r="E135" s="10">
        <v>-37</v>
      </c>
      <c r="F135" s="10">
        <v>0</v>
      </c>
      <c r="G135" s="10">
        <f>AtlasReport_3_Table_1[[#This Row],[Current On-hand]]-AtlasReport_3_Table_1[[#This Row],[Trans backwords (Beginning)]]</f>
        <v>68</v>
      </c>
      <c r="H135" s="10">
        <f>AtlasReport_3_Table_1[[#This Row],[Current On-hand]]-AtlasReport_3_Table_1[[#This Row],[Trans backwords (Ending)]]</f>
        <v>31</v>
      </c>
    </row>
    <row r="136" spans="1:8" x14ac:dyDescent="0.15">
      <c r="A136" s="8" t="s">
        <v>148</v>
      </c>
      <c r="B136" s="8" t="s">
        <v>160</v>
      </c>
      <c r="C136" s="8" t="s">
        <v>81</v>
      </c>
      <c r="D136" s="10">
        <v>0</v>
      </c>
      <c r="E136" s="10">
        <v>0</v>
      </c>
      <c r="F136" s="10">
        <v>0</v>
      </c>
      <c r="G136" s="10">
        <f>AtlasReport_3_Table_1[[#This Row],[Current On-hand]]-AtlasReport_3_Table_1[[#This Row],[Trans backwords (Beginning)]]</f>
        <v>0</v>
      </c>
      <c r="H136" s="10">
        <f>AtlasReport_3_Table_1[[#This Row],[Current On-hand]]-AtlasReport_3_Table_1[[#This Row],[Trans backwords (Ending)]]</f>
        <v>0</v>
      </c>
    </row>
    <row r="137" spans="1:8" x14ac:dyDescent="0.15">
      <c r="A137" s="8" t="s">
        <v>148</v>
      </c>
      <c r="B137" s="8" t="s">
        <v>160</v>
      </c>
      <c r="C137" s="8" t="s">
        <v>161</v>
      </c>
      <c r="D137" s="10">
        <v>55</v>
      </c>
      <c r="E137" s="10">
        <v>-34</v>
      </c>
      <c r="F137" s="10">
        <v>0</v>
      </c>
      <c r="G137" s="10">
        <f>AtlasReport_3_Table_1[[#This Row],[Current On-hand]]-AtlasReport_3_Table_1[[#This Row],[Trans backwords (Beginning)]]</f>
        <v>89</v>
      </c>
      <c r="H137" s="10">
        <f>AtlasReport_3_Table_1[[#This Row],[Current On-hand]]-AtlasReport_3_Table_1[[#This Row],[Trans backwords (Ending)]]</f>
        <v>55</v>
      </c>
    </row>
    <row r="138" spans="1:8" x14ac:dyDescent="0.15">
      <c r="A138" s="8" t="s">
        <v>65</v>
      </c>
      <c r="B138" s="8" t="s">
        <v>160</v>
      </c>
      <c r="C138" s="8" t="s">
        <v>81</v>
      </c>
      <c r="D138" s="10">
        <v>0</v>
      </c>
      <c r="E138" s="10">
        <v>0</v>
      </c>
      <c r="F138" s="10">
        <v>0</v>
      </c>
      <c r="G138" s="10">
        <f>AtlasReport_3_Table_1[[#This Row],[Current On-hand]]-AtlasReport_3_Table_1[[#This Row],[Trans backwords (Beginning)]]</f>
        <v>0</v>
      </c>
      <c r="H138" s="10">
        <f>AtlasReport_3_Table_1[[#This Row],[Current On-hand]]-AtlasReport_3_Table_1[[#This Row],[Trans backwords (Ending)]]</f>
        <v>0</v>
      </c>
    </row>
    <row r="139" spans="1:8" x14ac:dyDescent="0.15">
      <c r="A139" s="8" t="s">
        <v>65</v>
      </c>
      <c r="B139" s="8" t="s">
        <v>160</v>
      </c>
      <c r="C139" s="8" t="s">
        <v>161</v>
      </c>
      <c r="D139" s="10">
        <v>1</v>
      </c>
      <c r="E139" s="10">
        <v>0</v>
      </c>
      <c r="F139" s="10">
        <v>0</v>
      </c>
      <c r="G139" s="10">
        <f>AtlasReport_3_Table_1[[#This Row],[Current On-hand]]-AtlasReport_3_Table_1[[#This Row],[Trans backwords (Beginning)]]</f>
        <v>1</v>
      </c>
      <c r="H139" s="10">
        <f>AtlasReport_3_Table_1[[#This Row],[Current On-hand]]-AtlasReport_3_Table_1[[#This Row],[Trans backwords (Ending)]]</f>
        <v>1</v>
      </c>
    </row>
    <row r="140" spans="1:8" x14ac:dyDescent="0.15">
      <c r="A140" s="8" t="s">
        <v>66</v>
      </c>
      <c r="B140" s="8" t="s">
        <v>160</v>
      </c>
      <c r="C140" s="8" t="s">
        <v>81</v>
      </c>
      <c r="D140" s="10">
        <v>0</v>
      </c>
      <c r="E140" s="10">
        <v>0</v>
      </c>
      <c r="F140" s="10">
        <v>0</v>
      </c>
      <c r="G140" s="10">
        <f>AtlasReport_3_Table_1[[#This Row],[Current On-hand]]-AtlasReport_3_Table_1[[#This Row],[Trans backwords (Beginning)]]</f>
        <v>0</v>
      </c>
      <c r="H140" s="10">
        <f>AtlasReport_3_Table_1[[#This Row],[Current On-hand]]-AtlasReport_3_Table_1[[#This Row],[Trans backwords (Ending)]]</f>
        <v>0</v>
      </c>
    </row>
    <row r="141" spans="1:8" x14ac:dyDescent="0.15">
      <c r="A141" s="8" t="s">
        <v>66</v>
      </c>
      <c r="B141" s="8" t="s">
        <v>160</v>
      </c>
      <c r="C141" s="8" t="s">
        <v>161</v>
      </c>
      <c r="D141" s="10">
        <v>4</v>
      </c>
      <c r="E141" s="10">
        <v>1</v>
      </c>
      <c r="F141" s="10">
        <v>0</v>
      </c>
      <c r="G141" s="10">
        <f>AtlasReport_3_Table_1[[#This Row],[Current On-hand]]-AtlasReport_3_Table_1[[#This Row],[Trans backwords (Beginning)]]</f>
        <v>3</v>
      </c>
      <c r="H141" s="10">
        <f>AtlasReport_3_Table_1[[#This Row],[Current On-hand]]-AtlasReport_3_Table_1[[#This Row],[Trans backwords (Ending)]]</f>
        <v>4</v>
      </c>
    </row>
    <row r="142" spans="1:8" x14ac:dyDescent="0.15">
      <c r="A142" s="8" t="s">
        <v>167</v>
      </c>
      <c r="B142" s="8" t="s">
        <v>160</v>
      </c>
      <c r="C142" s="8" t="s">
        <v>81</v>
      </c>
      <c r="D142" s="10">
        <v>0</v>
      </c>
      <c r="E142" s="10">
        <v>0</v>
      </c>
      <c r="F142" s="10">
        <v>0</v>
      </c>
      <c r="G142" s="10">
        <f>AtlasReport_3_Table_1[[#This Row],[Current On-hand]]-AtlasReport_3_Table_1[[#This Row],[Trans backwords (Beginning)]]</f>
        <v>0</v>
      </c>
      <c r="H142" s="10">
        <f>AtlasReport_3_Table_1[[#This Row],[Current On-hand]]-AtlasReport_3_Table_1[[#This Row],[Trans backwords (Ending)]]</f>
        <v>0</v>
      </c>
    </row>
    <row r="143" spans="1:8" x14ac:dyDescent="0.15">
      <c r="A143" s="8" t="s">
        <v>167</v>
      </c>
      <c r="B143" s="8" t="s">
        <v>160</v>
      </c>
      <c r="C143" s="8" t="s">
        <v>161</v>
      </c>
      <c r="D143" s="10">
        <v>6600</v>
      </c>
      <c r="E143" s="10">
        <v>1950</v>
      </c>
      <c r="F143" s="10">
        <v>0</v>
      </c>
      <c r="G143" s="10">
        <f>AtlasReport_3_Table_1[[#This Row],[Current On-hand]]-AtlasReport_3_Table_1[[#This Row],[Trans backwords (Beginning)]]</f>
        <v>4650</v>
      </c>
      <c r="H143" s="10">
        <f>AtlasReport_3_Table_1[[#This Row],[Current On-hand]]-AtlasReport_3_Table_1[[#This Row],[Trans backwords (Ending)]]</f>
        <v>6600</v>
      </c>
    </row>
    <row r="144" spans="1:8" x14ac:dyDescent="0.15">
      <c r="A144" s="8" t="s">
        <v>149</v>
      </c>
      <c r="B144" s="8" t="s">
        <v>160</v>
      </c>
      <c r="C144" s="8" t="s">
        <v>161</v>
      </c>
      <c r="D144" s="10">
        <v>5</v>
      </c>
      <c r="E144" s="10">
        <v>0</v>
      </c>
      <c r="F144" s="10">
        <v>0</v>
      </c>
      <c r="G144" s="10">
        <f>AtlasReport_3_Table_1[[#This Row],[Current On-hand]]-AtlasReport_3_Table_1[[#This Row],[Trans backwords (Beginning)]]</f>
        <v>5</v>
      </c>
      <c r="H144" s="10">
        <f>AtlasReport_3_Table_1[[#This Row],[Current On-hand]]-AtlasReport_3_Table_1[[#This Row],[Trans backwords (Ending)]]</f>
        <v>5</v>
      </c>
    </row>
    <row r="145" spans="1:8" x14ac:dyDescent="0.15">
      <c r="A145" s="8" t="s">
        <v>114</v>
      </c>
      <c r="B145" s="8" t="s">
        <v>160</v>
      </c>
      <c r="C145" s="8" t="s">
        <v>81</v>
      </c>
      <c r="D145" s="10">
        <v>0</v>
      </c>
      <c r="E145" s="10">
        <v>0</v>
      </c>
      <c r="F145" s="10">
        <v>0</v>
      </c>
      <c r="G145" s="10">
        <f>AtlasReport_3_Table_1[[#This Row],[Current On-hand]]-AtlasReport_3_Table_1[[#This Row],[Trans backwords (Beginning)]]</f>
        <v>0</v>
      </c>
      <c r="H145" s="10">
        <f>AtlasReport_3_Table_1[[#This Row],[Current On-hand]]-AtlasReport_3_Table_1[[#This Row],[Trans backwords (Ending)]]</f>
        <v>0</v>
      </c>
    </row>
    <row r="146" spans="1:8" x14ac:dyDescent="0.15">
      <c r="A146" s="8" t="s">
        <v>114</v>
      </c>
      <c r="B146" s="8" t="s">
        <v>160</v>
      </c>
      <c r="C146" s="8" t="s">
        <v>161</v>
      </c>
      <c r="D146" s="10">
        <v>5</v>
      </c>
      <c r="E146" s="10">
        <v>1</v>
      </c>
      <c r="F146" s="10">
        <v>0</v>
      </c>
      <c r="G146" s="10">
        <f>AtlasReport_3_Table_1[[#This Row],[Current On-hand]]-AtlasReport_3_Table_1[[#This Row],[Trans backwords (Beginning)]]</f>
        <v>4</v>
      </c>
      <c r="H146" s="10">
        <f>AtlasReport_3_Table_1[[#This Row],[Current On-hand]]-AtlasReport_3_Table_1[[#This Row],[Trans backwords (Ending)]]</f>
        <v>5</v>
      </c>
    </row>
    <row r="147" spans="1:8" x14ac:dyDescent="0.15">
      <c r="A147" s="8" t="s">
        <v>23</v>
      </c>
      <c r="B147" s="8" t="s">
        <v>160</v>
      </c>
      <c r="C147" s="8" t="s">
        <v>81</v>
      </c>
      <c r="D147" s="10">
        <v>0</v>
      </c>
      <c r="E147" s="10">
        <v>0</v>
      </c>
      <c r="F147" s="10">
        <v>0</v>
      </c>
      <c r="G147" s="10">
        <f>AtlasReport_3_Table_1[[#This Row],[Current On-hand]]-AtlasReport_3_Table_1[[#This Row],[Trans backwords (Beginning)]]</f>
        <v>0</v>
      </c>
      <c r="H147" s="10">
        <f>AtlasReport_3_Table_1[[#This Row],[Current On-hand]]-AtlasReport_3_Table_1[[#This Row],[Trans backwords (Ending)]]</f>
        <v>0</v>
      </c>
    </row>
    <row r="148" spans="1:8" x14ac:dyDescent="0.15">
      <c r="A148" s="8" t="s">
        <v>23</v>
      </c>
      <c r="B148" s="8" t="s">
        <v>160</v>
      </c>
      <c r="C148" s="8" t="s">
        <v>161</v>
      </c>
      <c r="D148" s="10">
        <v>0</v>
      </c>
      <c r="E148" s="10">
        <v>0</v>
      </c>
      <c r="F148" s="10">
        <v>0</v>
      </c>
      <c r="G148" s="10">
        <f>AtlasReport_3_Table_1[[#This Row],[Current On-hand]]-AtlasReport_3_Table_1[[#This Row],[Trans backwords (Beginning)]]</f>
        <v>0</v>
      </c>
      <c r="H148" s="10">
        <f>AtlasReport_3_Table_1[[#This Row],[Current On-hand]]-AtlasReport_3_Table_1[[#This Row],[Trans backwords (Ending)]]</f>
        <v>0</v>
      </c>
    </row>
    <row r="149" spans="1:8" x14ac:dyDescent="0.15">
      <c r="A149" s="8" t="s">
        <v>67</v>
      </c>
      <c r="B149" s="8" t="s">
        <v>160</v>
      </c>
      <c r="C149" s="8" t="s">
        <v>81</v>
      </c>
      <c r="D149" s="10">
        <v>0</v>
      </c>
      <c r="E149" s="10">
        <v>0</v>
      </c>
      <c r="F149" s="10">
        <v>0</v>
      </c>
      <c r="G149" s="10">
        <f>AtlasReport_3_Table_1[[#This Row],[Current On-hand]]-AtlasReport_3_Table_1[[#This Row],[Trans backwords (Beginning)]]</f>
        <v>0</v>
      </c>
      <c r="H149" s="10">
        <f>AtlasReport_3_Table_1[[#This Row],[Current On-hand]]-AtlasReport_3_Table_1[[#This Row],[Trans backwords (Ending)]]</f>
        <v>0</v>
      </c>
    </row>
    <row r="150" spans="1:8" x14ac:dyDescent="0.15">
      <c r="A150" s="8" t="s">
        <v>67</v>
      </c>
      <c r="B150" s="8" t="s">
        <v>160</v>
      </c>
      <c r="C150" s="8" t="s">
        <v>161</v>
      </c>
      <c r="D150" s="10">
        <v>20</v>
      </c>
      <c r="E150" s="10">
        <v>-48</v>
      </c>
      <c r="F150" s="10">
        <v>0</v>
      </c>
      <c r="G150" s="10">
        <f>AtlasReport_3_Table_1[[#This Row],[Current On-hand]]-AtlasReport_3_Table_1[[#This Row],[Trans backwords (Beginning)]]</f>
        <v>68</v>
      </c>
      <c r="H150" s="10">
        <f>AtlasReport_3_Table_1[[#This Row],[Current On-hand]]-AtlasReport_3_Table_1[[#This Row],[Trans backwords (Ending)]]</f>
        <v>20</v>
      </c>
    </row>
    <row r="151" spans="1:8" x14ac:dyDescent="0.15">
      <c r="A151" s="8" t="s">
        <v>28</v>
      </c>
      <c r="B151" s="8" t="s">
        <v>160</v>
      </c>
      <c r="C151" s="8" t="s">
        <v>81</v>
      </c>
      <c r="D151" s="10">
        <v>0</v>
      </c>
      <c r="E151" s="10">
        <v>0</v>
      </c>
      <c r="F151" s="10">
        <v>0</v>
      </c>
      <c r="G151" s="10">
        <f>AtlasReport_3_Table_1[[#This Row],[Current On-hand]]-AtlasReport_3_Table_1[[#This Row],[Trans backwords (Beginning)]]</f>
        <v>0</v>
      </c>
      <c r="H151" s="10">
        <f>AtlasReport_3_Table_1[[#This Row],[Current On-hand]]-AtlasReport_3_Table_1[[#This Row],[Trans backwords (Ending)]]</f>
        <v>0</v>
      </c>
    </row>
    <row r="152" spans="1:8" x14ac:dyDescent="0.15">
      <c r="A152" s="8" t="s">
        <v>28</v>
      </c>
      <c r="B152" s="8" t="s">
        <v>160</v>
      </c>
      <c r="C152" s="8" t="s">
        <v>161</v>
      </c>
      <c r="D152" s="10">
        <v>1</v>
      </c>
      <c r="E152" s="10">
        <v>-2</v>
      </c>
      <c r="F152" s="10">
        <v>0</v>
      </c>
      <c r="G152" s="10">
        <f>AtlasReport_3_Table_1[[#This Row],[Current On-hand]]-AtlasReport_3_Table_1[[#This Row],[Trans backwords (Beginning)]]</f>
        <v>3</v>
      </c>
      <c r="H152" s="10">
        <f>AtlasReport_3_Table_1[[#This Row],[Current On-hand]]-AtlasReport_3_Table_1[[#This Row],[Trans backwords (Ending)]]</f>
        <v>1</v>
      </c>
    </row>
    <row r="153" spans="1:8" x14ac:dyDescent="0.15">
      <c r="A153" s="8" t="s">
        <v>198</v>
      </c>
      <c r="B153" s="8" t="s">
        <v>160</v>
      </c>
      <c r="C153" s="8" t="s">
        <v>81</v>
      </c>
      <c r="D153" s="10">
        <v>0</v>
      </c>
      <c r="E153" s="10">
        <v>0</v>
      </c>
      <c r="F153" s="10">
        <v>0</v>
      </c>
      <c r="G153" s="10">
        <f>AtlasReport_3_Table_1[[#This Row],[Current On-hand]]-AtlasReport_3_Table_1[[#This Row],[Trans backwords (Beginning)]]</f>
        <v>0</v>
      </c>
      <c r="H153" s="10">
        <f>AtlasReport_3_Table_1[[#This Row],[Current On-hand]]-AtlasReport_3_Table_1[[#This Row],[Trans backwords (Ending)]]</f>
        <v>0</v>
      </c>
    </row>
    <row r="154" spans="1:8" x14ac:dyDescent="0.15">
      <c r="A154" s="8" t="s">
        <v>198</v>
      </c>
      <c r="B154" s="8" t="s">
        <v>160</v>
      </c>
      <c r="C154" s="8" t="s">
        <v>161</v>
      </c>
      <c r="D154" s="10">
        <v>0</v>
      </c>
      <c r="E154" s="10">
        <v>-20</v>
      </c>
      <c r="F154" s="10">
        <v>0</v>
      </c>
      <c r="G154" s="10">
        <f>AtlasReport_3_Table_1[[#This Row],[Current On-hand]]-AtlasReport_3_Table_1[[#This Row],[Trans backwords (Beginning)]]</f>
        <v>20</v>
      </c>
      <c r="H154" s="10">
        <f>AtlasReport_3_Table_1[[#This Row],[Current On-hand]]-AtlasReport_3_Table_1[[#This Row],[Trans backwords (Ending)]]</f>
        <v>0</v>
      </c>
    </row>
    <row r="155" spans="1:8" x14ac:dyDescent="0.15">
      <c r="A155" s="8" t="s">
        <v>150</v>
      </c>
      <c r="B155" s="8" t="s">
        <v>160</v>
      </c>
      <c r="C155" s="8" t="s">
        <v>161</v>
      </c>
      <c r="D155" s="10">
        <v>0</v>
      </c>
      <c r="E155" s="10">
        <v>0</v>
      </c>
      <c r="F155" s="10">
        <v>0</v>
      </c>
      <c r="G155" s="10">
        <f>AtlasReport_3_Table_1[[#This Row],[Current On-hand]]-AtlasReport_3_Table_1[[#This Row],[Trans backwords (Beginning)]]</f>
        <v>0</v>
      </c>
      <c r="H155" s="10">
        <f>AtlasReport_3_Table_1[[#This Row],[Current On-hand]]-AtlasReport_3_Table_1[[#This Row],[Trans backwords (Ending)]]</f>
        <v>0</v>
      </c>
    </row>
    <row r="156" spans="1:8" x14ac:dyDescent="0.15">
      <c r="A156" s="8" t="s">
        <v>151</v>
      </c>
      <c r="B156" s="8" t="s">
        <v>160</v>
      </c>
      <c r="C156" s="8" t="s">
        <v>161</v>
      </c>
      <c r="D156" s="10">
        <v>0</v>
      </c>
      <c r="E156" s="10">
        <v>0</v>
      </c>
      <c r="F156" s="10">
        <v>0</v>
      </c>
      <c r="G156" s="10">
        <f>AtlasReport_3_Table_1[[#This Row],[Current On-hand]]-AtlasReport_3_Table_1[[#This Row],[Trans backwords (Beginning)]]</f>
        <v>0</v>
      </c>
      <c r="H156" s="10">
        <f>AtlasReport_3_Table_1[[#This Row],[Current On-hand]]-AtlasReport_3_Table_1[[#This Row],[Trans backwords (Ending)]]</f>
        <v>0</v>
      </c>
    </row>
    <row r="157" spans="1:8" x14ac:dyDescent="0.15">
      <c r="A157" s="8" t="s">
        <v>199</v>
      </c>
      <c r="B157" s="8" t="s">
        <v>160</v>
      </c>
      <c r="C157" s="8" t="s">
        <v>81</v>
      </c>
      <c r="D157" s="10">
        <v>0</v>
      </c>
      <c r="E157" s="10">
        <v>0</v>
      </c>
      <c r="F157" s="10">
        <v>0</v>
      </c>
      <c r="G157" s="10">
        <f>AtlasReport_3_Table_1[[#This Row],[Current On-hand]]-AtlasReport_3_Table_1[[#This Row],[Trans backwords (Beginning)]]</f>
        <v>0</v>
      </c>
      <c r="H157" s="10">
        <f>AtlasReport_3_Table_1[[#This Row],[Current On-hand]]-AtlasReport_3_Table_1[[#This Row],[Trans backwords (Ending)]]</f>
        <v>0</v>
      </c>
    </row>
    <row r="158" spans="1:8" x14ac:dyDescent="0.15">
      <c r="A158" s="8" t="s">
        <v>199</v>
      </c>
      <c r="B158" s="8" t="s">
        <v>160</v>
      </c>
      <c r="C158" s="8" t="s">
        <v>161</v>
      </c>
      <c r="D158" s="10">
        <v>0</v>
      </c>
      <c r="E158" s="10">
        <v>0</v>
      </c>
      <c r="F158" s="10">
        <v>0</v>
      </c>
      <c r="G158" s="10">
        <f>AtlasReport_3_Table_1[[#This Row],[Current On-hand]]-AtlasReport_3_Table_1[[#This Row],[Trans backwords (Beginning)]]</f>
        <v>0</v>
      </c>
      <c r="H158" s="10">
        <f>AtlasReport_3_Table_1[[#This Row],[Current On-hand]]-AtlasReport_3_Table_1[[#This Row],[Trans backwords (Ending)]]</f>
        <v>0</v>
      </c>
    </row>
    <row r="159" spans="1:8" x14ac:dyDescent="0.15">
      <c r="A159" s="8" t="s">
        <v>68</v>
      </c>
      <c r="B159" s="8" t="s">
        <v>160</v>
      </c>
      <c r="C159" s="8" t="s">
        <v>81</v>
      </c>
      <c r="D159" s="10">
        <v>0</v>
      </c>
      <c r="E159" s="10">
        <v>0</v>
      </c>
      <c r="F159" s="10">
        <v>0</v>
      </c>
      <c r="G159" s="10">
        <f>AtlasReport_3_Table_1[[#This Row],[Current On-hand]]-AtlasReport_3_Table_1[[#This Row],[Trans backwords (Beginning)]]</f>
        <v>0</v>
      </c>
      <c r="H159" s="10">
        <f>AtlasReport_3_Table_1[[#This Row],[Current On-hand]]-AtlasReport_3_Table_1[[#This Row],[Trans backwords (Ending)]]</f>
        <v>0</v>
      </c>
    </row>
    <row r="160" spans="1:8" x14ac:dyDescent="0.15">
      <c r="A160" s="8" t="s">
        <v>68</v>
      </c>
      <c r="B160" s="8" t="s">
        <v>160</v>
      </c>
      <c r="C160" s="8" t="s">
        <v>161</v>
      </c>
      <c r="D160" s="10">
        <v>29</v>
      </c>
      <c r="E160" s="10">
        <v>-27</v>
      </c>
      <c r="F160" s="10">
        <v>0</v>
      </c>
      <c r="G160" s="10">
        <f>AtlasReport_3_Table_1[[#This Row],[Current On-hand]]-AtlasReport_3_Table_1[[#This Row],[Trans backwords (Beginning)]]</f>
        <v>56</v>
      </c>
      <c r="H160" s="10">
        <f>AtlasReport_3_Table_1[[#This Row],[Current On-hand]]-AtlasReport_3_Table_1[[#This Row],[Trans backwords (Ending)]]</f>
        <v>29</v>
      </c>
    </row>
    <row r="161" spans="1:8" x14ac:dyDescent="0.15">
      <c r="A161" s="8" t="s">
        <v>370</v>
      </c>
      <c r="B161" s="8" t="s">
        <v>160</v>
      </c>
      <c r="C161" s="8" t="s">
        <v>161</v>
      </c>
      <c r="D161" s="10">
        <v>42</v>
      </c>
      <c r="E161" s="10">
        <v>42</v>
      </c>
      <c r="F161" s="10">
        <v>0</v>
      </c>
      <c r="G161" s="10">
        <f>AtlasReport_3_Table_1[[#This Row],[Current On-hand]]-AtlasReport_3_Table_1[[#This Row],[Trans backwords (Beginning)]]</f>
        <v>0</v>
      </c>
      <c r="H161" s="10">
        <f>AtlasReport_3_Table_1[[#This Row],[Current On-hand]]-AtlasReport_3_Table_1[[#This Row],[Trans backwords (Ending)]]</f>
        <v>42</v>
      </c>
    </row>
    <row r="162" spans="1:8" x14ac:dyDescent="0.15">
      <c r="A162" s="8" t="s">
        <v>117</v>
      </c>
      <c r="B162" s="8" t="s">
        <v>160</v>
      </c>
      <c r="C162" s="8" t="s">
        <v>81</v>
      </c>
      <c r="D162" s="10">
        <v>0</v>
      </c>
      <c r="E162" s="10">
        <v>0</v>
      </c>
      <c r="F162" s="10">
        <v>0</v>
      </c>
      <c r="G162" s="10">
        <f>AtlasReport_3_Table_1[[#This Row],[Current On-hand]]-AtlasReport_3_Table_1[[#This Row],[Trans backwords (Beginning)]]</f>
        <v>0</v>
      </c>
      <c r="H162" s="10">
        <f>AtlasReport_3_Table_1[[#This Row],[Current On-hand]]-AtlasReport_3_Table_1[[#This Row],[Trans backwords (Ending)]]</f>
        <v>0</v>
      </c>
    </row>
    <row r="163" spans="1:8" x14ac:dyDescent="0.15">
      <c r="A163" s="8" t="s">
        <v>117</v>
      </c>
      <c r="B163" s="8" t="s">
        <v>160</v>
      </c>
      <c r="C163" s="8" t="s">
        <v>161</v>
      </c>
      <c r="D163" s="10">
        <v>85</v>
      </c>
      <c r="E163" s="10">
        <v>-58</v>
      </c>
      <c r="F163" s="10">
        <v>0</v>
      </c>
      <c r="G163" s="10">
        <f>AtlasReport_3_Table_1[[#This Row],[Current On-hand]]-AtlasReport_3_Table_1[[#This Row],[Trans backwords (Beginning)]]</f>
        <v>143</v>
      </c>
      <c r="H163" s="10">
        <f>AtlasReport_3_Table_1[[#This Row],[Current On-hand]]-AtlasReport_3_Table_1[[#This Row],[Trans backwords (Ending)]]</f>
        <v>85</v>
      </c>
    </row>
    <row r="164" spans="1:8" x14ac:dyDescent="0.15">
      <c r="A164" s="8" t="s">
        <v>200</v>
      </c>
      <c r="B164" s="8" t="s">
        <v>160</v>
      </c>
      <c r="C164" s="8" t="s">
        <v>81</v>
      </c>
      <c r="D164" s="10">
        <v>0</v>
      </c>
      <c r="E164" s="10">
        <v>0</v>
      </c>
      <c r="F164" s="10">
        <v>0</v>
      </c>
      <c r="G164" s="10">
        <f>AtlasReport_3_Table_1[[#This Row],[Current On-hand]]-AtlasReport_3_Table_1[[#This Row],[Trans backwords (Beginning)]]</f>
        <v>0</v>
      </c>
      <c r="H164" s="10">
        <f>AtlasReport_3_Table_1[[#This Row],[Current On-hand]]-AtlasReport_3_Table_1[[#This Row],[Trans backwords (Ending)]]</f>
        <v>0</v>
      </c>
    </row>
    <row r="165" spans="1:8" x14ac:dyDescent="0.15">
      <c r="A165" s="8" t="s">
        <v>200</v>
      </c>
      <c r="B165" s="8" t="s">
        <v>160</v>
      </c>
      <c r="C165" s="8" t="s">
        <v>161</v>
      </c>
      <c r="D165" s="10">
        <v>3</v>
      </c>
      <c r="E165" s="10">
        <v>-2</v>
      </c>
      <c r="F165" s="10">
        <v>0</v>
      </c>
      <c r="G165" s="10">
        <f>AtlasReport_3_Table_1[[#This Row],[Current On-hand]]-AtlasReport_3_Table_1[[#This Row],[Trans backwords (Beginning)]]</f>
        <v>5</v>
      </c>
      <c r="H165" s="10">
        <f>AtlasReport_3_Table_1[[#This Row],[Current On-hand]]-AtlasReport_3_Table_1[[#This Row],[Trans backwords (Ending)]]</f>
        <v>3</v>
      </c>
    </row>
    <row r="166" spans="1:8" x14ac:dyDescent="0.15">
      <c r="A166" s="8" t="s">
        <v>105</v>
      </c>
      <c r="B166" s="8" t="s">
        <v>160</v>
      </c>
      <c r="C166" s="8" t="s">
        <v>81</v>
      </c>
      <c r="D166" s="10">
        <v>0</v>
      </c>
      <c r="E166" s="10">
        <v>0</v>
      </c>
      <c r="F166" s="10">
        <v>0</v>
      </c>
      <c r="G166" s="10">
        <f>AtlasReport_3_Table_1[[#This Row],[Current On-hand]]-AtlasReport_3_Table_1[[#This Row],[Trans backwords (Beginning)]]</f>
        <v>0</v>
      </c>
      <c r="H166" s="10">
        <f>AtlasReport_3_Table_1[[#This Row],[Current On-hand]]-AtlasReport_3_Table_1[[#This Row],[Trans backwords (Ending)]]</f>
        <v>0</v>
      </c>
    </row>
    <row r="167" spans="1:8" x14ac:dyDescent="0.15">
      <c r="A167" s="8" t="s">
        <v>105</v>
      </c>
      <c r="B167" s="8" t="s">
        <v>160</v>
      </c>
      <c r="C167" s="8" t="s">
        <v>161</v>
      </c>
      <c r="D167" s="10">
        <v>0</v>
      </c>
      <c r="E167" s="10">
        <v>-2</v>
      </c>
      <c r="F167" s="10">
        <v>0</v>
      </c>
      <c r="G167" s="10">
        <f>AtlasReport_3_Table_1[[#This Row],[Current On-hand]]-AtlasReport_3_Table_1[[#This Row],[Trans backwords (Beginning)]]</f>
        <v>2</v>
      </c>
      <c r="H167" s="10">
        <f>AtlasReport_3_Table_1[[#This Row],[Current On-hand]]-AtlasReport_3_Table_1[[#This Row],[Trans backwords (Ending)]]</f>
        <v>0</v>
      </c>
    </row>
    <row r="168" spans="1:8" x14ac:dyDescent="0.15">
      <c r="A168" s="8" t="s">
        <v>201</v>
      </c>
      <c r="B168" s="8" t="s">
        <v>160</v>
      </c>
      <c r="C168" s="8" t="s">
        <v>161</v>
      </c>
      <c r="D168" s="10">
        <v>0</v>
      </c>
      <c r="E168" s="10">
        <v>-2</v>
      </c>
      <c r="F168" s="10">
        <v>0</v>
      </c>
      <c r="G168" s="10">
        <f>AtlasReport_3_Table_1[[#This Row],[Current On-hand]]-AtlasReport_3_Table_1[[#This Row],[Trans backwords (Beginning)]]</f>
        <v>2</v>
      </c>
      <c r="H168" s="10">
        <f>AtlasReport_3_Table_1[[#This Row],[Current On-hand]]-AtlasReport_3_Table_1[[#This Row],[Trans backwords (Ending)]]</f>
        <v>0</v>
      </c>
    </row>
    <row r="169" spans="1:8" x14ac:dyDescent="0.15">
      <c r="A169" s="8" t="s">
        <v>69</v>
      </c>
      <c r="B169" s="8" t="s">
        <v>160</v>
      </c>
      <c r="C169" s="8" t="s">
        <v>161</v>
      </c>
      <c r="D169" s="10">
        <v>0</v>
      </c>
      <c r="E169" s="10">
        <v>0</v>
      </c>
      <c r="F169" s="10">
        <v>0</v>
      </c>
      <c r="G169" s="10">
        <f>AtlasReport_3_Table_1[[#This Row],[Current On-hand]]-AtlasReport_3_Table_1[[#This Row],[Trans backwords (Beginning)]]</f>
        <v>0</v>
      </c>
      <c r="H169" s="10">
        <f>AtlasReport_3_Table_1[[#This Row],[Current On-hand]]-AtlasReport_3_Table_1[[#This Row],[Trans backwords (Ending)]]</f>
        <v>0</v>
      </c>
    </row>
    <row r="170" spans="1:8" x14ac:dyDescent="0.15">
      <c r="A170" s="3" t="s">
        <v>13</v>
      </c>
      <c r="B170" s="7"/>
      <c r="C170" s="7"/>
      <c r="D170" s="9">
        <f>SUBTOTAL(109,AtlasReport_3_Table_1[Current On-hand])</f>
        <v>27592.739999999998</v>
      </c>
      <c r="E170" s="9">
        <f>SUBTOTAL(109,AtlasReport_3_Table_1[Trans backwords (Beginning)])</f>
        <v>-5350.77</v>
      </c>
      <c r="F170" s="9">
        <f>SUBTOTAL(109,AtlasReport_3_Table_1[Trans backwords (Ending)])</f>
        <v>0</v>
      </c>
      <c r="G170" s="9">
        <f>SUBTOTAL(109,AtlasReport_3_Table_1[Beginning On-hand])</f>
        <v>32943.51</v>
      </c>
      <c r="H170" s="9">
        <f>SUBTOTAL(109,AtlasReport_3_Table_1[Ending On-hand])</f>
        <v>27592.739999999998</v>
      </c>
    </row>
    <row r="171" spans="1:8" x14ac:dyDescent="0.15">
      <c r="A171" s="3"/>
      <c r="B171" s="3"/>
      <c r="C171" s="3"/>
      <c r="D171" s="9"/>
      <c r="E171" s="9"/>
      <c r="F171" s="9"/>
      <c r="G171" s="9"/>
      <c r="H171" s="9"/>
    </row>
    <row r="172" spans="1:8" x14ac:dyDescent="0.15">
      <c r="A172" s="3"/>
      <c r="B172" s="3"/>
      <c r="C172" s="3"/>
      <c r="D172" s="9"/>
      <c r="E172" s="9"/>
      <c r="F172" s="9"/>
      <c r="G172" s="9"/>
      <c r="H172" s="9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82"/>
  <sheetViews>
    <sheetView workbookViewId="0">
      <selection activeCell="G27" sqref="G27"/>
    </sheetView>
  </sheetViews>
  <sheetFormatPr defaultRowHeight="13.5" x14ac:dyDescent="0.15"/>
  <cols>
    <col min="1" max="1" width="15.375" customWidth="1"/>
    <col min="2" max="2" width="6.75" customWidth="1"/>
    <col min="3" max="3" width="13.625" customWidth="1"/>
    <col min="4" max="4" width="11" customWidth="1"/>
    <col min="5" max="5" width="18" customWidth="1"/>
    <col min="6" max="6" width="32.75" customWidth="1"/>
    <col min="7" max="7" width="29.75" customWidth="1"/>
    <col min="8" max="8" width="25.875" customWidth="1"/>
    <col min="9" max="9" width="22.875" customWidth="1"/>
    <col min="10" max="10" width="40" customWidth="1"/>
    <col min="11" max="11" width="37.125" customWidth="1"/>
    <col min="12" max="12" width="25" customWidth="1"/>
    <col min="13" max="13" width="22" customWidth="1"/>
  </cols>
  <sheetData>
    <row r="1" spans="1:13" ht="22.5" x14ac:dyDescent="0.25">
      <c r="A1" s="2" t="s">
        <v>89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spans="1:13" x14ac:dyDescent="0.15">
      <c r="A2" s="3" t="s">
        <v>6</v>
      </c>
      <c r="B2" s="3" t="s">
        <v>49</v>
      </c>
      <c r="C2" s="3" t="s">
        <v>50</v>
      </c>
      <c r="D2" s="3" t="s">
        <v>12</v>
      </c>
      <c r="E2" s="3" t="s">
        <v>42</v>
      </c>
      <c r="F2" s="3" t="s">
        <v>155</v>
      </c>
      <c r="G2" s="3" t="s">
        <v>156</v>
      </c>
      <c r="H2" s="3" t="s">
        <v>90</v>
      </c>
      <c r="I2" s="3" t="s">
        <v>91</v>
      </c>
      <c r="J2" s="3" t="s">
        <v>157</v>
      </c>
      <c r="K2" s="3" t="s">
        <v>158</v>
      </c>
      <c r="L2" s="3" t="s">
        <v>153</v>
      </c>
      <c r="M2" s="3" t="s">
        <v>154</v>
      </c>
    </row>
    <row r="3" spans="1:13" x14ac:dyDescent="0.15">
      <c r="A3" s="8" t="s">
        <v>137</v>
      </c>
      <c r="B3" s="8" t="s">
        <v>160</v>
      </c>
      <c r="C3" s="8" t="s">
        <v>161</v>
      </c>
      <c r="D3" s="4">
        <v>390</v>
      </c>
      <c r="E3" s="4">
        <v>0</v>
      </c>
      <c r="F3" s="4">
        <v>0</v>
      </c>
      <c r="G3" s="4">
        <v>0</v>
      </c>
      <c r="H3" s="4">
        <f>AtlasReport_4_Table_1[[#This Row],[Quantity]]-AtlasReport_4_Table_1[[#This Row],[TPP trans backwards (Beginning)]]</f>
        <v>390</v>
      </c>
      <c r="I3" s="4">
        <f>AtlasReport_4_Table_1[[#This Row],[Quantity]]-AtlasReport_4_Table_1[[#This Row],[TPP trans backwards (Ending)]]</f>
        <v>390</v>
      </c>
      <c r="J3" s="4">
        <v>0</v>
      </c>
      <c r="K3" s="4">
        <v>0</v>
      </c>
      <c r="L3" s="4">
        <f>AtlasReport_4_Table_1[[#This Row],[TPP cost amount]]-AtlasReport_4_Table_1[[#This Row],[TPP trans backwards balance (Beginning)]]</f>
        <v>0</v>
      </c>
      <c r="M3" s="4">
        <f>AtlasReport_4_Table_1[[#This Row],[TPP cost amount]]-AtlasReport_4_Table_1[[#This Row],[TPP Balance (Beginning)]]</f>
        <v>0</v>
      </c>
    </row>
    <row r="4" spans="1:13" x14ac:dyDescent="0.15">
      <c r="A4" s="8" t="s">
        <v>138</v>
      </c>
      <c r="B4" s="8" t="s">
        <v>160</v>
      </c>
      <c r="C4" s="8" t="s">
        <v>161</v>
      </c>
      <c r="D4" s="4">
        <v>240</v>
      </c>
      <c r="E4" s="4">
        <v>0</v>
      </c>
      <c r="F4" s="4">
        <v>0</v>
      </c>
      <c r="G4" s="4">
        <v>0</v>
      </c>
      <c r="H4" s="4">
        <f>AtlasReport_4_Table_1[[#This Row],[Quantity]]-AtlasReport_4_Table_1[[#This Row],[TPP trans backwards (Beginning)]]</f>
        <v>240</v>
      </c>
      <c r="I4" s="4">
        <f>AtlasReport_4_Table_1[[#This Row],[Quantity]]-AtlasReport_4_Table_1[[#This Row],[TPP trans backwards (Ending)]]</f>
        <v>240</v>
      </c>
      <c r="J4" s="4">
        <v>0</v>
      </c>
      <c r="K4" s="4">
        <v>0</v>
      </c>
      <c r="L4" s="4">
        <f>AtlasReport_4_Table_1[[#This Row],[TPP cost amount]]-AtlasReport_4_Table_1[[#This Row],[TPP trans backwards balance (Beginning)]]</f>
        <v>0</v>
      </c>
      <c r="M4" s="4">
        <f>AtlasReport_4_Table_1[[#This Row],[TPP cost amount]]-AtlasReport_4_Table_1[[#This Row],[TPP Balance (Beginning)]]</f>
        <v>0</v>
      </c>
    </row>
    <row r="5" spans="1:13" x14ac:dyDescent="0.15">
      <c r="A5" s="8" t="s">
        <v>139</v>
      </c>
      <c r="B5" s="8" t="s">
        <v>160</v>
      </c>
      <c r="C5" s="8" t="s">
        <v>161</v>
      </c>
      <c r="D5" s="4">
        <v>1900</v>
      </c>
      <c r="E5" s="4">
        <v>0</v>
      </c>
      <c r="F5" s="4">
        <v>0</v>
      </c>
      <c r="G5" s="4">
        <v>0</v>
      </c>
      <c r="H5" s="4">
        <f>AtlasReport_4_Table_1[[#This Row],[Quantity]]-AtlasReport_4_Table_1[[#This Row],[TPP trans backwards (Beginning)]]</f>
        <v>1900</v>
      </c>
      <c r="I5" s="4">
        <f>AtlasReport_4_Table_1[[#This Row],[Quantity]]-AtlasReport_4_Table_1[[#This Row],[TPP trans backwards (Ending)]]</f>
        <v>1900</v>
      </c>
      <c r="J5" s="4">
        <v>0</v>
      </c>
      <c r="K5" s="4">
        <v>0</v>
      </c>
      <c r="L5" s="4">
        <f>AtlasReport_4_Table_1[[#This Row],[TPP cost amount]]-AtlasReport_4_Table_1[[#This Row],[TPP trans backwards balance (Beginning)]]</f>
        <v>0</v>
      </c>
      <c r="M5" s="4">
        <f>AtlasReport_4_Table_1[[#This Row],[TPP cost amount]]-AtlasReport_4_Table_1[[#This Row],[TPP Balance (Beginning)]]</f>
        <v>0</v>
      </c>
    </row>
    <row r="6" spans="1:13" x14ac:dyDescent="0.15">
      <c r="A6" s="8" t="s">
        <v>140</v>
      </c>
      <c r="B6" s="8" t="s">
        <v>160</v>
      </c>
      <c r="C6" s="8" t="s">
        <v>161</v>
      </c>
      <c r="D6" s="4">
        <v>28</v>
      </c>
      <c r="E6" s="4">
        <v>0</v>
      </c>
      <c r="F6" s="4">
        <v>0</v>
      </c>
      <c r="G6" s="4">
        <v>0</v>
      </c>
      <c r="H6" s="4">
        <f>AtlasReport_4_Table_1[[#This Row],[Quantity]]-AtlasReport_4_Table_1[[#This Row],[TPP trans backwards (Beginning)]]</f>
        <v>28</v>
      </c>
      <c r="I6" s="4">
        <f>AtlasReport_4_Table_1[[#This Row],[Quantity]]-AtlasReport_4_Table_1[[#This Row],[TPP trans backwards (Ending)]]</f>
        <v>28</v>
      </c>
      <c r="J6" s="4">
        <v>0</v>
      </c>
      <c r="K6" s="4">
        <v>0</v>
      </c>
      <c r="L6" s="4">
        <f>AtlasReport_4_Table_1[[#This Row],[TPP cost amount]]-AtlasReport_4_Table_1[[#This Row],[TPP trans backwards balance (Beginning)]]</f>
        <v>0</v>
      </c>
      <c r="M6" s="4">
        <f>AtlasReport_4_Table_1[[#This Row],[TPP cost amount]]-AtlasReport_4_Table_1[[#This Row],[TPP Balance (Beginning)]]</f>
        <v>0</v>
      </c>
    </row>
    <row r="7" spans="1:13" x14ac:dyDescent="0.15">
      <c r="A7" s="8" t="s">
        <v>119</v>
      </c>
      <c r="B7" s="8" t="s">
        <v>160</v>
      </c>
      <c r="C7" s="8" t="s">
        <v>161</v>
      </c>
      <c r="D7" s="4">
        <v>19</v>
      </c>
      <c r="E7" s="4">
        <v>0</v>
      </c>
      <c r="F7" s="4">
        <v>0</v>
      </c>
      <c r="G7" s="4">
        <v>0</v>
      </c>
      <c r="H7" s="4">
        <f>AtlasReport_4_Table_1[[#This Row],[Quantity]]-AtlasReport_4_Table_1[[#This Row],[TPP trans backwards (Beginning)]]</f>
        <v>19</v>
      </c>
      <c r="I7" s="4">
        <f>AtlasReport_4_Table_1[[#This Row],[Quantity]]-AtlasReport_4_Table_1[[#This Row],[TPP trans backwards (Ending)]]</f>
        <v>19</v>
      </c>
      <c r="J7" s="4">
        <v>0</v>
      </c>
      <c r="K7" s="4">
        <v>0</v>
      </c>
      <c r="L7" s="4">
        <f>AtlasReport_4_Table_1[[#This Row],[TPP cost amount]]-AtlasReport_4_Table_1[[#This Row],[TPP trans backwards balance (Beginning)]]</f>
        <v>0</v>
      </c>
      <c r="M7" s="4">
        <f>AtlasReport_4_Table_1[[#This Row],[TPP cost amount]]-AtlasReport_4_Table_1[[#This Row],[TPP Balance (Beginning)]]</f>
        <v>0</v>
      </c>
    </row>
    <row r="8" spans="1:13" x14ac:dyDescent="0.15">
      <c r="A8" s="8" t="s">
        <v>20</v>
      </c>
      <c r="B8" s="8" t="s">
        <v>160</v>
      </c>
      <c r="C8" s="8" t="s">
        <v>161</v>
      </c>
      <c r="D8" s="4">
        <v>970</v>
      </c>
      <c r="E8" s="4">
        <v>0</v>
      </c>
      <c r="F8" s="4">
        <v>0</v>
      </c>
      <c r="G8" s="4">
        <v>0</v>
      </c>
      <c r="H8" s="4">
        <f>AtlasReport_4_Table_1[[#This Row],[Quantity]]-AtlasReport_4_Table_1[[#This Row],[TPP trans backwards (Beginning)]]</f>
        <v>970</v>
      </c>
      <c r="I8" s="4">
        <f>AtlasReport_4_Table_1[[#This Row],[Quantity]]-AtlasReport_4_Table_1[[#This Row],[TPP trans backwards (Ending)]]</f>
        <v>970</v>
      </c>
      <c r="J8" s="4">
        <v>0</v>
      </c>
      <c r="K8" s="4">
        <v>0</v>
      </c>
      <c r="L8" s="4">
        <f>AtlasReport_4_Table_1[[#This Row],[TPP cost amount]]-AtlasReport_4_Table_1[[#This Row],[TPP trans backwards balance (Beginning)]]</f>
        <v>0</v>
      </c>
      <c r="M8" s="4">
        <f>AtlasReport_4_Table_1[[#This Row],[TPP cost amount]]-AtlasReport_4_Table_1[[#This Row],[TPP Balance (Beginning)]]</f>
        <v>0</v>
      </c>
    </row>
    <row r="9" spans="1:13" x14ac:dyDescent="0.15">
      <c r="A9" s="8" t="s">
        <v>71</v>
      </c>
      <c r="B9" s="8" t="s">
        <v>160</v>
      </c>
      <c r="C9" s="8" t="s">
        <v>161</v>
      </c>
      <c r="D9" s="4">
        <v>300</v>
      </c>
      <c r="E9" s="4">
        <v>0</v>
      </c>
      <c r="F9" s="4">
        <v>0</v>
      </c>
      <c r="G9" s="4">
        <v>0</v>
      </c>
      <c r="H9" s="4">
        <f>AtlasReport_4_Table_1[[#This Row],[Quantity]]-AtlasReport_4_Table_1[[#This Row],[TPP trans backwards (Beginning)]]</f>
        <v>300</v>
      </c>
      <c r="I9" s="4">
        <f>AtlasReport_4_Table_1[[#This Row],[Quantity]]-AtlasReport_4_Table_1[[#This Row],[TPP trans backwards (Ending)]]</f>
        <v>300</v>
      </c>
      <c r="J9" s="4">
        <v>0</v>
      </c>
      <c r="K9" s="4">
        <v>0</v>
      </c>
      <c r="L9" s="4">
        <f>AtlasReport_4_Table_1[[#This Row],[TPP cost amount]]-AtlasReport_4_Table_1[[#This Row],[TPP trans backwards balance (Beginning)]]</f>
        <v>0</v>
      </c>
      <c r="M9" s="4">
        <f>AtlasReport_4_Table_1[[#This Row],[TPP cost amount]]-AtlasReport_4_Table_1[[#This Row],[TPP Balance (Beginning)]]</f>
        <v>0</v>
      </c>
    </row>
    <row r="10" spans="1:13" x14ac:dyDescent="0.15">
      <c r="A10" s="8" t="s">
        <v>18</v>
      </c>
      <c r="B10" s="8" t="s">
        <v>160</v>
      </c>
      <c r="C10" s="8" t="s">
        <v>161</v>
      </c>
      <c r="D10" s="4">
        <v>390</v>
      </c>
      <c r="E10" s="4">
        <v>0</v>
      </c>
      <c r="F10" s="4">
        <v>0</v>
      </c>
      <c r="G10" s="4">
        <v>0</v>
      </c>
      <c r="H10" s="4">
        <f>AtlasReport_4_Table_1[[#This Row],[Quantity]]-AtlasReport_4_Table_1[[#This Row],[TPP trans backwards (Beginning)]]</f>
        <v>390</v>
      </c>
      <c r="I10" s="4">
        <f>AtlasReport_4_Table_1[[#This Row],[Quantity]]-AtlasReport_4_Table_1[[#This Row],[TPP trans backwards (Ending)]]</f>
        <v>390</v>
      </c>
      <c r="J10" s="4">
        <v>0</v>
      </c>
      <c r="K10" s="4">
        <v>0</v>
      </c>
      <c r="L10" s="4">
        <f>AtlasReport_4_Table_1[[#This Row],[TPP cost amount]]-AtlasReport_4_Table_1[[#This Row],[TPP trans backwards balance (Beginning)]]</f>
        <v>0</v>
      </c>
      <c r="M10" s="4">
        <f>AtlasReport_4_Table_1[[#This Row],[TPP cost amount]]-AtlasReport_4_Table_1[[#This Row],[TPP Balance (Beginning)]]</f>
        <v>0</v>
      </c>
    </row>
    <row r="11" spans="1:13" x14ac:dyDescent="0.15">
      <c r="A11" s="8" t="s">
        <v>191</v>
      </c>
      <c r="B11" s="8" t="s">
        <v>160</v>
      </c>
      <c r="C11" s="8" t="s">
        <v>161</v>
      </c>
      <c r="D11" s="4">
        <v>135</v>
      </c>
      <c r="E11" s="4">
        <v>0</v>
      </c>
      <c r="F11" s="4">
        <v>0</v>
      </c>
      <c r="G11" s="4">
        <v>0</v>
      </c>
      <c r="H11" s="4">
        <f>AtlasReport_4_Table_1[[#This Row],[Quantity]]-AtlasReport_4_Table_1[[#This Row],[TPP trans backwards (Beginning)]]</f>
        <v>135</v>
      </c>
      <c r="I11" s="4">
        <f>AtlasReport_4_Table_1[[#This Row],[Quantity]]-AtlasReport_4_Table_1[[#This Row],[TPP trans backwards (Ending)]]</f>
        <v>135</v>
      </c>
      <c r="J11" s="4">
        <v>0</v>
      </c>
      <c r="K11" s="4">
        <v>0</v>
      </c>
      <c r="L11" s="4">
        <f>AtlasReport_4_Table_1[[#This Row],[TPP cost amount]]-AtlasReport_4_Table_1[[#This Row],[TPP trans backwards balance (Beginning)]]</f>
        <v>0</v>
      </c>
      <c r="M11" s="4">
        <f>AtlasReport_4_Table_1[[#This Row],[TPP cost amount]]-AtlasReport_4_Table_1[[#This Row],[TPP Balance (Beginning)]]</f>
        <v>0</v>
      </c>
    </row>
    <row r="12" spans="1:13" x14ac:dyDescent="0.15">
      <c r="A12" s="8" t="s">
        <v>54</v>
      </c>
      <c r="B12" s="8" t="s">
        <v>160</v>
      </c>
      <c r="C12" s="8" t="s">
        <v>161</v>
      </c>
      <c r="D12" s="4">
        <v>170</v>
      </c>
      <c r="E12" s="4">
        <v>0</v>
      </c>
      <c r="F12" s="4">
        <v>0</v>
      </c>
      <c r="G12" s="4">
        <v>0</v>
      </c>
      <c r="H12" s="4">
        <f>AtlasReport_4_Table_1[[#This Row],[Quantity]]-AtlasReport_4_Table_1[[#This Row],[TPP trans backwards (Beginning)]]</f>
        <v>170</v>
      </c>
      <c r="I12" s="4">
        <f>AtlasReport_4_Table_1[[#This Row],[Quantity]]-AtlasReport_4_Table_1[[#This Row],[TPP trans backwards (Ending)]]</f>
        <v>170</v>
      </c>
      <c r="J12" s="4">
        <v>0</v>
      </c>
      <c r="K12" s="4">
        <v>0</v>
      </c>
      <c r="L12" s="4">
        <f>AtlasReport_4_Table_1[[#This Row],[TPP cost amount]]-AtlasReport_4_Table_1[[#This Row],[TPP trans backwards balance (Beginning)]]</f>
        <v>0</v>
      </c>
      <c r="M12" s="4">
        <f>AtlasReport_4_Table_1[[#This Row],[TPP cost amount]]-AtlasReport_4_Table_1[[#This Row],[TPP Balance (Beginning)]]</f>
        <v>0</v>
      </c>
    </row>
    <row r="13" spans="1:13" x14ac:dyDescent="0.15">
      <c r="A13" s="8" t="s">
        <v>141</v>
      </c>
      <c r="B13" s="8" t="s">
        <v>160</v>
      </c>
      <c r="C13" s="8" t="s">
        <v>161</v>
      </c>
      <c r="D13" s="4">
        <v>249.6</v>
      </c>
      <c r="E13" s="4">
        <v>0</v>
      </c>
      <c r="F13" s="4">
        <v>0</v>
      </c>
      <c r="G13" s="4">
        <v>0</v>
      </c>
      <c r="H13" s="4">
        <f>AtlasReport_4_Table_1[[#This Row],[Quantity]]-AtlasReport_4_Table_1[[#This Row],[TPP trans backwards (Beginning)]]</f>
        <v>249.6</v>
      </c>
      <c r="I13" s="4">
        <f>AtlasReport_4_Table_1[[#This Row],[Quantity]]-AtlasReport_4_Table_1[[#This Row],[TPP trans backwards (Ending)]]</f>
        <v>249.6</v>
      </c>
      <c r="J13" s="4">
        <v>0</v>
      </c>
      <c r="K13" s="4">
        <v>0</v>
      </c>
      <c r="L13" s="4">
        <f>AtlasReport_4_Table_1[[#This Row],[TPP cost amount]]-AtlasReport_4_Table_1[[#This Row],[TPP trans backwards balance (Beginning)]]</f>
        <v>0</v>
      </c>
      <c r="M13" s="4">
        <f>AtlasReport_4_Table_1[[#This Row],[TPP cost amount]]-AtlasReport_4_Table_1[[#This Row],[TPP Balance (Beginning)]]</f>
        <v>0</v>
      </c>
    </row>
    <row r="14" spans="1:13" x14ac:dyDescent="0.15">
      <c r="A14" s="8" t="s">
        <v>192</v>
      </c>
      <c r="B14" s="8" t="s">
        <v>160</v>
      </c>
      <c r="C14" s="8" t="s">
        <v>161</v>
      </c>
      <c r="D14" s="4">
        <v>12</v>
      </c>
      <c r="E14" s="4">
        <v>0</v>
      </c>
      <c r="F14" s="4">
        <v>0</v>
      </c>
      <c r="G14" s="4">
        <v>0</v>
      </c>
      <c r="H14" s="4">
        <f>AtlasReport_4_Table_1[[#This Row],[Quantity]]-AtlasReport_4_Table_1[[#This Row],[TPP trans backwards (Beginning)]]</f>
        <v>12</v>
      </c>
      <c r="I14" s="4">
        <f>AtlasReport_4_Table_1[[#This Row],[Quantity]]-AtlasReport_4_Table_1[[#This Row],[TPP trans backwards (Ending)]]</f>
        <v>12</v>
      </c>
      <c r="J14" s="4">
        <v>0</v>
      </c>
      <c r="K14" s="4">
        <v>0</v>
      </c>
      <c r="L14" s="4">
        <f>AtlasReport_4_Table_1[[#This Row],[TPP cost amount]]-AtlasReport_4_Table_1[[#This Row],[TPP trans backwards balance (Beginning)]]</f>
        <v>0</v>
      </c>
      <c r="M14" s="4">
        <f>AtlasReport_4_Table_1[[#This Row],[TPP cost amount]]-AtlasReport_4_Table_1[[#This Row],[TPP Balance (Beginning)]]</f>
        <v>0</v>
      </c>
    </row>
    <row r="15" spans="1:13" x14ac:dyDescent="0.15">
      <c r="A15" s="8" t="s">
        <v>25</v>
      </c>
      <c r="B15" s="8" t="s">
        <v>160</v>
      </c>
      <c r="C15" s="8" t="s">
        <v>161</v>
      </c>
      <c r="D15" s="4">
        <v>255.6</v>
      </c>
      <c r="E15" s="4">
        <v>0</v>
      </c>
      <c r="F15" s="4">
        <v>0</v>
      </c>
      <c r="G15" s="4">
        <v>0</v>
      </c>
      <c r="H15" s="4">
        <f>AtlasReport_4_Table_1[[#This Row],[Quantity]]-AtlasReport_4_Table_1[[#This Row],[TPP trans backwards (Beginning)]]</f>
        <v>255.6</v>
      </c>
      <c r="I15" s="4">
        <f>AtlasReport_4_Table_1[[#This Row],[Quantity]]-AtlasReport_4_Table_1[[#This Row],[TPP trans backwards (Ending)]]</f>
        <v>255.6</v>
      </c>
      <c r="J15" s="4">
        <v>0</v>
      </c>
      <c r="K15" s="4">
        <v>0</v>
      </c>
      <c r="L15" s="4">
        <f>AtlasReport_4_Table_1[[#This Row],[TPP cost amount]]-AtlasReport_4_Table_1[[#This Row],[TPP trans backwards balance (Beginning)]]</f>
        <v>0</v>
      </c>
      <c r="M15" s="4">
        <f>AtlasReport_4_Table_1[[#This Row],[TPP cost amount]]-AtlasReport_4_Table_1[[#This Row],[TPP Balance (Beginning)]]</f>
        <v>0</v>
      </c>
    </row>
    <row r="16" spans="1:13" x14ac:dyDescent="0.15">
      <c r="A16" s="8" t="s">
        <v>193</v>
      </c>
      <c r="B16" s="8" t="s">
        <v>160</v>
      </c>
      <c r="C16" s="8" t="s">
        <v>161</v>
      </c>
      <c r="D16" s="4">
        <v>93.51</v>
      </c>
      <c r="E16" s="4">
        <v>0</v>
      </c>
      <c r="F16" s="4">
        <v>0</v>
      </c>
      <c r="G16" s="4">
        <v>0</v>
      </c>
      <c r="H16" s="4">
        <f>AtlasReport_4_Table_1[[#This Row],[Quantity]]-AtlasReport_4_Table_1[[#This Row],[TPP trans backwards (Beginning)]]</f>
        <v>93.51</v>
      </c>
      <c r="I16" s="4">
        <f>AtlasReport_4_Table_1[[#This Row],[Quantity]]-AtlasReport_4_Table_1[[#This Row],[TPP trans backwards (Ending)]]</f>
        <v>93.51</v>
      </c>
      <c r="J16" s="4">
        <v>0</v>
      </c>
      <c r="K16" s="4">
        <v>0</v>
      </c>
      <c r="L16" s="4">
        <f>AtlasReport_4_Table_1[[#This Row],[TPP cost amount]]-AtlasReport_4_Table_1[[#This Row],[TPP trans backwards balance (Beginning)]]</f>
        <v>0</v>
      </c>
      <c r="M16" s="4">
        <f>AtlasReport_4_Table_1[[#This Row],[TPP cost amount]]-AtlasReport_4_Table_1[[#This Row],[TPP Balance (Beginning)]]</f>
        <v>0</v>
      </c>
    </row>
    <row r="17" spans="1:13" x14ac:dyDescent="0.15">
      <c r="A17" s="8" t="s">
        <v>72</v>
      </c>
      <c r="B17" s="8" t="s">
        <v>160</v>
      </c>
      <c r="C17" s="8" t="s">
        <v>161</v>
      </c>
      <c r="D17" s="4">
        <v>120</v>
      </c>
      <c r="E17" s="4">
        <v>0</v>
      </c>
      <c r="F17" s="4">
        <v>0</v>
      </c>
      <c r="G17" s="4">
        <v>0</v>
      </c>
      <c r="H17" s="4">
        <f>AtlasReport_4_Table_1[[#This Row],[Quantity]]-AtlasReport_4_Table_1[[#This Row],[TPP trans backwards (Beginning)]]</f>
        <v>120</v>
      </c>
      <c r="I17" s="4">
        <f>AtlasReport_4_Table_1[[#This Row],[Quantity]]-AtlasReport_4_Table_1[[#This Row],[TPP trans backwards (Ending)]]</f>
        <v>120</v>
      </c>
      <c r="J17" s="4">
        <v>0</v>
      </c>
      <c r="K17" s="4">
        <v>0</v>
      </c>
      <c r="L17" s="4">
        <f>AtlasReport_4_Table_1[[#This Row],[TPP cost amount]]-AtlasReport_4_Table_1[[#This Row],[TPP trans backwards balance (Beginning)]]</f>
        <v>0</v>
      </c>
      <c r="M17" s="4">
        <f>AtlasReport_4_Table_1[[#This Row],[TPP cost amount]]-AtlasReport_4_Table_1[[#This Row],[TPP Balance (Beginning)]]</f>
        <v>0</v>
      </c>
    </row>
    <row r="18" spans="1:13" x14ac:dyDescent="0.15">
      <c r="A18" s="8" t="s">
        <v>194</v>
      </c>
      <c r="B18" s="8" t="s">
        <v>160</v>
      </c>
      <c r="C18" s="8" t="s">
        <v>161</v>
      </c>
      <c r="D18" s="4">
        <v>30</v>
      </c>
      <c r="E18" s="4">
        <v>0</v>
      </c>
      <c r="F18" s="4">
        <v>0</v>
      </c>
      <c r="G18" s="4">
        <v>0</v>
      </c>
      <c r="H18" s="4">
        <f>AtlasReport_4_Table_1[[#This Row],[Quantity]]-AtlasReport_4_Table_1[[#This Row],[TPP trans backwards (Beginning)]]</f>
        <v>30</v>
      </c>
      <c r="I18" s="4">
        <f>AtlasReport_4_Table_1[[#This Row],[Quantity]]-AtlasReport_4_Table_1[[#This Row],[TPP trans backwards (Ending)]]</f>
        <v>30</v>
      </c>
      <c r="J18" s="4">
        <v>0</v>
      </c>
      <c r="K18" s="4">
        <v>0</v>
      </c>
      <c r="L18" s="4">
        <f>AtlasReport_4_Table_1[[#This Row],[TPP cost amount]]-AtlasReport_4_Table_1[[#This Row],[TPP trans backwards balance (Beginning)]]</f>
        <v>0</v>
      </c>
      <c r="M18" s="4">
        <f>AtlasReport_4_Table_1[[#This Row],[TPP cost amount]]-AtlasReport_4_Table_1[[#This Row],[TPP Balance (Beginning)]]</f>
        <v>0</v>
      </c>
    </row>
    <row r="19" spans="1:13" x14ac:dyDescent="0.15">
      <c r="A19" s="8" t="s">
        <v>73</v>
      </c>
      <c r="B19" s="8" t="s">
        <v>160</v>
      </c>
      <c r="C19" s="8" t="s">
        <v>161</v>
      </c>
      <c r="D19" s="4">
        <v>391.6</v>
      </c>
      <c r="E19" s="4">
        <v>0</v>
      </c>
      <c r="F19" s="4">
        <v>0</v>
      </c>
      <c r="G19" s="4">
        <v>0</v>
      </c>
      <c r="H19" s="4">
        <f>AtlasReport_4_Table_1[[#This Row],[Quantity]]-AtlasReport_4_Table_1[[#This Row],[TPP trans backwards (Beginning)]]</f>
        <v>391.6</v>
      </c>
      <c r="I19" s="4">
        <f>AtlasReport_4_Table_1[[#This Row],[Quantity]]-AtlasReport_4_Table_1[[#This Row],[TPP trans backwards (Ending)]]</f>
        <v>391.6</v>
      </c>
      <c r="J19" s="4">
        <v>0</v>
      </c>
      <c r="K19" s="4">
        <v>0</v>
      </c>
      <c r="L19" s="4">
        <f>AtlasReport_4_Table_1[[#This Row],[TPP cost amount]]-AtlasReport_4_Table_1[[#This Row],[TPP trans backwards balance (Beginning)]]</f>
        <v>0</v>
      </c>
      <c r="M19" s="4">
        <f>AtlasReport_4_Table_1[[#This Row],[TPP cost amount]]-AtlasReport_4_Table_1[[#This Row],[TPP Balance (Beginning)]]</f>
        <v>0</v>
      </c>
    </row>
    <row r="20" spans="1:13" x14ac:dyDescent="0.15">
      <c r="A20" s="8" t="s">
        <v>142</v>
      </c>
      <c r="B20" s="8" t="s">
        <v>160</v>
      </c>
      <c r="C20" s="8" t="s">
        <v>161</v>
      </c>
      <c r="D20" s="4">
        <v>8.1</v>
      </c>
      <c r="E20" s="4">
        <v>0</v>
      </c>
      <c r="F20" s="4">
        <v>0</v>
      </c>
      <c r="G20" s="4">
        <v>0</v>
      </c>
      <c r="H20" s="4">
        <f>AtlasReport_4_Table_1[[#This Row],[Quantity]]-AtlasReport_4_Table_1[[#This Row],[TPP trans backwards (Beginning)]]</f>
        <v>8.1</v>
      </c>
      <c r="I20" s="4">
        <f>AtlasReport_4_Table_1[[#This Row],[Quantity]]-AtlasReport_4_Table_1[[#This Row],[TPP trans backwards (Ending)]]</f>
        <v>8.1</v>
      </c>
      <c r="J20" s="4">
        <v>0</v>
      </c>
      <c r="K20" s="4">
        <v>0</v>
      </c>
      <c r="L20" s="4">
        <f>AtlasReport_4_Table_1[[#This Row],[TPP cost amount]]-AtlasReport_4_Table_1[[#This Row],[TPP trans backwards balance (Beginning)]]</f>
        <v>0</v>
      </c>
      <c r="M20" s="4">
        <f>AtlasReport_4_Table_1[[#This Row],[TPP cost amount]]-AtlasReport_4_Table_1[[#This Row],[TPP Balance (Beginning)]]</f>
        <v>0</v>
      </c>
    </row>
    <row r="21" spans="1:13" x14ac:dyDescent="0.15">
      <c r="A21" s="8" t="s">
        <v>26</v>
      </c>
      <c r="B21" s="8" t="s">
        <v>160</v>
      </c>
      <c r="C21" s="8" t="s">
        <v>161</v>
      </c>
      <c r="D21" s="4">
        <v>25.2</v>
      </c>
      <c r="E21" s="4">
        <v>0</v>
      </c>
      <c r="F21" s="4">
        <v>0</v>
      </c>
      <c r="G21" s="4">
        <v>0</v>
      </c>
      <c r="H21" s="4">
        <f>AtlasReport_4_Table_1[[#This Row],[Quantity]]-AtlasReport_4_Table_1[[#This Row],[TPP trans backwards (Beginning)]]</f>
        <v>25.2</v>
      </c>
      <c r="I21" s="4">
        <f>AtlasReport_4_Table_1[[#This Row],[Quantity]]-AtlasReport_4_Table_1[[#This Row],[TPP trans backwards (Ending)]]</f>
        <v>25.2</v>
      </c>
      <c r="J21" s="4">
        <v>0</v>
      </c>
      <c r="K21" s="4">
        <v>0</v>
      </c>
      <c r="L21" s="4">
        <f>AtlasReport_4_Table_1[[#This Row],[TPP cost amount]]-AtlasReport_4_Table_1[[#This Row],[TPP trans backwards balance (Beginning)]]</f>
        <v>0</v>
      </c>
      <c r="M21" s="4">
        <f>AtlasReport_4_Table_1[[#This Row],[TPP cost amount]]-AtlasReport_4_Table_1[[#This Row],[TPP Balance (Beginning)]]</f>
        <v>0</v>
      </c>
    </row>
    <row r="22" spans="1:13" x14ac:dyDescent="0.15">
      <c r="A22" s="8" t="s">
        <v>15</v>
      </c>
      <c r="B22" s="8" t="s">
        <v>160</v>
      </c>
      <c r="C22" s="8" t="s">
        <v>161</v>
      </c>
      <c r="D22" s="4">
        <v>436.5</v>
      </c>
      <c r="E22" s="4">
        <v>0</v>
      </c>
      <c r="F22" s="4">
        <v>0</v>
      </c>
      <c r="G22" s="4">
        <v>0</v>
      </c>
      <c r="H22" s="4">
        <f>AtlasReport_4_Table_1[[#This Row],[Quantity]]-AtlasReport_4_Table_1[[#This Row],[TPP trans backwards (Beginning)]]</f>
        <v>436.5</v>
      </c>
      <c r="I22" s="4">
        <f>AtlasReport_4_Table_1[[#This Row],[Quantity]]-AtlasReport_4_Table_1[[#This Row],[TPP trans backwards (Ending)]]</f>
        <v>436.5</v>
      </c>
      <c r="J22" s="4">
        <v>0</v>
      </c>
      <c r="K22" s="4">
        <v>0</v>
      </c>
      <c r="L22" s="4">
        <f>AtlasReport_4_Table_1[[#This Row],[TPP cost amount]]-AtlasReport_4_Table_1[[#This Row],[TPP trans backwards balance (Beginning)]]</f>
        <v>0</v>
      </c>
      <c r="M22" s="4">
        <f>AtlasReport_4_Table_1[[#This Row],[TPP cost amount]]-AtlasReport_4_Table_1[[#This Row],[TPP Balance (Beginning)]]</f>
        <v>0</v>
      </c>
    </row>
    <row r="23" spans="1:13" x14ac:dyDescent="0.15">
      <c r="A23" s="8" t="s">
        <v>27</v>
      </c>
      <c r="B23" s="8" t="s">
        <v>160</v>
      </c>
      <c r="C23" s="8" t="s">
        <v>161</v>
      </c>
      <c r="D23" s="4">
        <v>2025</v>
      </c>
      <c r="E23" s="4">
        <v>0</v>
      </c>
      <c r="F23" s="4">
        <v>0</v>
      </c>
      <c r="G23" s="4">
        <v>0</v>
      </c>
      <c r="H23" s="4">
        <f>AtlasReport_4_Table_1[[#This Row],[Quantity]]-AtlasReport_4_Table_1[[#This Row],[TPP trans backwards (Beginning)]]</f>
        <v>2025</v>
      </c>
      <c r="I23" s="4">
        <f>AtlasReport_4_Table_1[[#This Row],[Quantity]]-AtlasReport_4_Table_1[[#This Row],[TPP trans backwards (Ending)]]</f>
        <v>2025</v>
      </c>
      <c r="J23" s="4">
        <v>0</v>
      </c>
      <c r="K23" s="4">
        <v>0</v>
      </c>
      <c r="L23" s="4">
        <f>AtlasReport_4_Table_1[[#This Row],[TPP cost amount]]-AtlasReport_4_Table_1[[#This Row],[TPP trans backwards balance (Beginning)]]</f>
        <v>0</v>
      </c>
      <c r="M23" s="4">
        <f>AtlasReport_4_Table_1[[#This Row],[TPP cost amount]]-AtlasReport_4_Table_1[[#This Row],[TPP Balance (Beginning)]]</f>
        <v>0</v>
      </c>
    </row>
    <row r="24" spans="1:13" x14ac:dyDescent="0.15">
      <c r="A24" s="8" t="s">
        <v>16</v>
      </c>
      <c r="B24" s="8" t="s">
        <v>160</v>
      </c>
      <c r="C24" s="8" t="s">
        <v>161</v>
      </c>
      <c r="D24" s="4">
        <v>3900</v>
      </c>
      <c r="E24" s="4">
        <v>0</v>
      </c>
      <c r="F24" s="4">
        <v>0</v>
      </c>
      <c r="G24" s="4">
        <v>0</v>
      </c>
      <c r="H24" s="4">
        <f>AtlasReport_4_Table_1[[#This Row],[Quantity]]-AtlasReport_4_Table_1[[#This Row],[TPP trans backwards (Beginning)]]</f>
        <v>3900</v>
      </c>
      <c r="I24" s="4">
        <f>AtlasReport_4_Table_1[[#This Row],[Quantity]]-AtlasReport_4_Table_1[[#This Row],[TPP trans backwards (Ending)]]</f>
        <v>3900</v>
      </c>
      <c r="J24" s="4">
        <v>0</v>
      </c>
      <c r="K24" s="4">
        <v>0</v>
      </c>
      <c r="L24" s="4">
        <f>AtlasReport_4_Table_1[[#This Row],[TPP cost amount]]-AtlasReport_4_Table_1[[#This Row],[TPP trans backwards balance (Beginning)]]</f>
        <v>0</v>
      </c>
      <c r="M24" s="4">
        <f>AtlasReport_4_Table_1[[#This Row],[TPP cost amount]]-AtlasReport_4_Table_1[[#This Row],[TPP Balance (Beginning)]]</f>
        <v>0</v>
      </c>
    </row>
    <row r="25" spans="1:13" x14ac:dyDescent="0.15">
      <c r="A25" s="8" t="s">
        <v>143</v>
      </c>
      <c r="B25" s="8" t="s">
        <v>160</v>
      </c>
      <c r="C25" s="8" t="s">
        <v>161</v>
      </c>
      <c r="D25" s="4">
        <v>33.5</v>
      </c>
      <c r="E25" s="4">
        <v>0</v>
      </c>
      <c r="F25" s="4">
        <v>0</v>
      </c>
      <c r="G25" s="4">
        <v>0</v>
      </c>
      <c r="H25" s="4">
        <f>AtlasReport_4_Table_1[[#This Row],[Quantity]]-AtlasReport_4_Table_1[[#This Row],[TPP trans backwards (Beginning)]]</f>
        <v>33.5</v>
      </c>
      <c r="I25" s="4">
        <f>AtlasReport_4_Table_1[[#This Row],[Quantity]]-AtlasReport_4_Table_1[[#This Row],[TPP trans backwards (Ending)]]</f>
        <v>33.5</v>
      </c>
      <c r="J25" s="4">
        <v>0</v>
      </c>
      <c r="K25" s="4">
        <v>0</v>
      </c>
      <c r="L25" s="4">
        <f>AtlasReport_4_Table_1[[#This Row],[TPP cost amount]]-AtlasReport_4_Table_1[[#This Row],[TPP trans backwards balance (Beginning)]]</f>
        <v>0</v>
      </c>
      <c r="M25" s="4">
        <f>AtlasReport_4_Table_1[[#This Row],[TPP cost amount]]-AtlasReport_4_Table_1[[#This Row],[TPP Balance (Beginning)]]</f>
        <v>0</v>
      </c>
    </row>
    <row r="26" spans="1:13" x14ac:dyDescent="0.15">
      <c r="A26" s="8" t="s">
        <v>144</v>
      </c>
      <c r="B26" s="8" t="s">
        <v>160</v>
      </c>
      <c r="C26" s="8" t="s">
        <v>161</v>
      </c>
      <c r="D26" s="4">
        <v>64.650000000000006</v>
      </c>
      <c r="E26" s="4">
        <v>0</v>
      </c>
      <c r="F26" s="4">
        <v>0</v>
      </c>
      <c r="G26" s="4">
        <v>0</v>
      </c>
      <c r="H26" s="4">
        <f>AtlasReport_4_Table_1[[#This Row],[Quantity]]-AtlasReport_4_Table_1[[#This Row],[TPP trans backwards (Beginning)]]</f>
        <v>64.650000000000006</v>
      </c>
      <c r="I26" s="4">
        <f>AtlasReport_4_Table_1[[#This Row],[Quantity]]-AtlasReport_4_Table_1[[#This Row],[TPP trans backwards (Ending)]]</f>
        <v>64.650000000000006</v>
      </c>
      <c r="J26" s="4">
        <v>0</v>
      </c>
      <c r="K26" s="4">
        <v>0</v>
      </c>
      <c r="L26" s="4">
        <f>AtlasReport_4_Table_1[[#This Row],[TPP cost amount]]-AtlasReport_4_Table_1[[#This Row],[TPP trans backwards balance (Beginning)]]</f>
        <v>0</v>
      </c>
      <c r="M26" s="4">
        <f>AtlasReport_4_Table_1[[#This Row],[TPP cost amount]]-AtlasReport_4_Table_1[[#This Row],[TPP Balance (Beginning)]]</f>
        <v>0</v>
      </c>
    </row>
    <row r="27" spans="1:13" x14ac:dyDescent="0.15">
      <c r="A27" s="8" t="s">
        <v>145</v>
      </c>
      <c r="B27" s="8" t="s">
        <v>160</v>
      </c>
      <c r="C27" s="8" t="s">
        <v>161</v>
      </c>
      <c r="D27" s="4">
        <v>67</v>
      </c>
      <c r="E27" s="4">
        <v>0</v>
      </c>
      <c r="F27" s="4">
        <v>0</v>
      </c>
      <c r="G27" s="4">
        <v>0</v>
      </c>
      <c r="H27" s="4">
        <f>AtlasReport_4_Table_1[[#This Row],[Quantity]]-AtlasReport_4_Table_1[[#This Row],[TPP trans backwards (Beginning)]]</f>
        <v>67</v>
      </c>
      <c r="I27" s="4">
        <f>AtlasReport_4_Table_1[[#This Row],[Quantity]]-AtlasReport_4_Table_1[[#This Row],[TPP trans backwards (Ending)]]</f>
        <v>67</v>
      </c>
      <c r="J27" s="4">
        <v>0</v>
      </c>
      <c r="K27" s="4">
        <v>0</v>
      </c>
      <c r="L27" s="4">
        <f>AtlasReport_4_Table_1[[#This Row],[TPP cost amount]]-AtlasReport_4_Table_1[[#This Row],[TPP trans backwards balance (Beginning)]]</f>
        <v>0</v>
      </c>
      <c r="M27" s="4">
        <f>AtlasReport_4_Table_1[[#This Row],[TPP cost amount]]-AtlasReport_4_Table_1[[#This Row],[TPP Balance (Beginning)]]</f>
        <v>0</v>
      </c>
    </row>
    <row r="28" spans="1:13" x14ac:dyDescent="0.15">
      <c r="A28" s="8" t="s">
        <v>195</v>
      </c>
      <c r="B28" s="8" t="s">
        <v>160</v>
      </c>
      <c r="C28" s="8" t="s">
        <v>161</v>
      </c>
      <c r="D28" s="4">
        <v>1</v>
      </c>
      <c r="E28" s="4">
        <v>0</v>
      </c>
      <c r="F28" s="4">
        <v>0</v>
      </c>
      <c r="G28" s="4">
        <v>0</v>
      </c>
      <c r="H28" s="4">
        <f>AtlasReport_4_Table_1[[#This Row],[Quantity]]-AtlasReport_4_Table_1[[#This Row],[TPP trans backwards (Beginning)]]</f>
        <v>1</v>
      </c>
      <c r="I28" s="4">
        <f>AtlasReport_4_Table_1[[#This Row],[Quantity]]-AtlasReport_4_Table_1[[#This Row],[TPP trans backwards (Ending)]]</f>
        <v>1</v>
      </c>
      <c r="J28" s="4">
        <v>0</v>
      </c>
      <c r="K28" s="4">
        <v>0</v>
      </c>
      <c r="L28" s="4">
        <f>AtlasReport_4_Table_1[[#This Row],[TPP cost amount]]-AtlasReport_4_Table_1[[#This Row],[TPP trans backwards balance (Beginning)]]</f>
        <v>0</v>
      </c>
      <c r="M28" s="4">
        <f>AtlasReport_4_Table_1[[#This Row],[TPP cost amount]]-AtlasReport_4_Table_1[[#This Row],[TPP Balance (Beginning)]]</f>
        <v>0</v>
      </c>
    </row>
    <row r="29" spans="1:13" x14ac:dyDescent="0.15">
      <c r="A29" s="8" t="s">
        <v>196</v>
      </c>
      <c r="B29" s="8" t="s">
        <v>160</v>
      </c>
      <c r="C29" s="8" t="s">
        <v>161</v>
      </c>
      <c r="D29" s="4">
        <v>-17</v>
      </c>
      <c r="E29" s="4">
        <v>0</v>
      </c>
      <c r="F29" s="4">
        <v>0</v>
      </c>
      <c r="G29" s="4">
        <v>0</v>
      </c>
      <c r="H29" s="4">
        <f>AtlasReport_4_Table_1[[#This Row],[Quantity]]-AtlasReport_4_Table_1[[#This Row],[TPP trans backwards (Beginning)]]</f>
        <v>-17</v>
      </c>
      <c r="I29" s="4">
        <f>AtlasReport_4_Table_1[[#This Row],[Quantity]]-AtlasReport_4_Table_1[[#This Row],[TPP trans backwards (Ending)]]</f>
        <v>-17</v>
      </c>
      <c r="J29" s="4">
        <v>0</v>
      </c>
      <c r="K29" s="4">
        <v>0</v>
      </c>
      <c r="L29" s="4">
        <f>AtlasReport_4_Table_1[[#This Row],[TPP cost amount]]-AtlasReport_4_Table_1[[#This Row],[TPP trans backwards balance (Beginning)]]</f>
        <v>0</v>
      </c>
      <c r="M29" s="4">
        <f>AtlasReport_4_Table_1[[#This Row],[TPP cost amount]]-AtlasReport_4_Table_1[[#This Row],[TPP Balance (Beginning)]]</f>
        <v>0</v>
      </c>
    </row>
    <row r="30" spans="1:13" x14ac:dyDescent="0.15">
      <c r="A30" s="8" t="s">
        <v>74</v>
      </c>
      <c r="B30" s="8" t="s">
        <v>160</v>
      </c>
      <c r="C30" s="8" t="s">
        <v>161</v>
      </c>
      <c r="D30" s="4">
        <v>150</v>
      </c>
      <c r="E30" s="4">
        <v>0</v>
      </c>
      <c r="F30" s="4">
        <v>0</v>
      </c>
      <c r="G30" s="4">
        <v>0</v>
      </c>
      <c r="H30" s="4">
        <f>AtlasReport_4_Table_1[[#This Row],[Quantity]]-AtlasReport_4_Table_1[[#This Row],[TPP trans backwards (Beginning)]]</f>
        <v>150</v>
      </c>
      <c r="I30" s="4">
        <f>AtlasReport_4_Table_1[[#This Row],[Quantity]]-AtlasReport_4_Table_1[[#This Row],[TPP trans backwards (Ending)]]</f>
        <v>150</v>
      </c>
      <c r="J30" s="4">
        <v>0</v>
      </c>
      <c r="K30" s="4">
        <v>0</v>
      </c>
      <c r="L30" s="4">
        <f>AtlasReport_4_Table_1[[#This Row],[TPP cost amount]]-AtlasReport_4_Table_1[[#This Row],[TPP trans backwards balance (Beginning)]]</f>
        <v>0</v>
      </c>
      <c r="M30" s="4">
        <f>AtlasReport_4_Table_1[[#This Row],[TPP cost amount]]-AtlasReport_4_Table_1[[#This Row],[TPP Balance (Beginning)]]</f>
        <v>0</v>
      </c>
    </row>
    <row r="31" spans="1:13" x14ac:dyDescent="0.15">
      <c r="A31" s="8" t="s">
        <v>101</v>
      </c>
      <c r="B31" s="8" t="s">
        <v>160</v>
      </c>
      <c r="C31" s="8" t="s">
        <v>161</v>
      </c>
      <c r="D31" s="4">
        <v>800</v>
      </c>
      <c r="E31" s="4">
        <v>0</v>
      </c>
      <c r="F31" s="4">
        <v>0</v>
      </c>
      <c r="G31" s="4">
        <v>0</v>
      </c>
      <c r="H31" s="4">
        <f>AtlasReport_4_Table_1[[#This Row],[Quantity]]-AtlasReport_4_Table_1[[#This Row],[TPP trans backwards (Beginning)]]</f>
        <v>800</v>
      </c>
      <c r="I31" s="4">
        <f>AtlasReport_4_Table_1[[#This Row],[Quantity]]-AtlasReport_4_Table_1[[#This Row],[TPP trans backwards (Ending)]]</f>
        <v>800</v>
      </c>
      <c r="J31" s="4">
        <v>0</v>
      </c>
      <c r="K31" s="4">
        <v>0</v>
      </c>
      <c r="L31" s="4">
        <f>AtlasReport_4_Table_1[[#This Row],[TPP cost amount]]-AtlasReport_4_Table_1[[#This Row],[TPP trans backwards balance (Beginning)]]</f>
        <v>0</v>
      </c>
      <c r="M31" s="4">
        <f>AtlasReport_4_Table_1[[#This Row],[TPP cost amount]]-AtlasReport_4_Table_1[[#This Row],[TPP Balance (Beginning)]]</f>
        <v>0</v>
      </c>
    </row>
    <row r="32" spans="1:13" x14ac:dyDescent="0.15">
      <c r="A32" s="8" t="s">
        <v>197</v>
      </c>
      <c r="B32" s="8" t="s">
        <v>160</v>
      </c>
      <c r="C32" s="8" t="s">
        <v>161</v>
      </c>
      <c r="D32" s="4">
        <v>207.5</v>
      </c>
      <c r="E32" s="4">
        <v>0</v>
      </c>
      <c r="F32" s="4">
        <v>0</v>
      </c>
      <c r="G32" s="4">
        <v>0</v>
      </c>
      <c r="H32" s="4">
        <f>AtlasReport_4_Table_1[[#This Row],[Quantity]]-AtlasReport_4_Table_1[[#This Row],[TPP trans backwards (Beginning)]]</f>
        <v>207.5</v>
      </c>
      <c r="I32" s="4">
        <f>AtlasReport_4_Table_1[[#This Row],[Quantity]]-AtlasReport_4_Table_1[[#This Row],[TPP trans backwards (Ending)]]</f>
        <v>207.5</v>
      </c>
      <c r="J32" s="4">
        <v>0</v>
      </c>
      <c r="K32" s="4">
        <v>0</v>
      </c>
      <c r="L32" s="4">
        <f>AtlasReport_4_Table_1[[#This Row],[TPP cost amount]]-AtlasReport_4_Table_1[[#This Row],[TPP trans backwards balance (Beginning)]]</f>
        <v>0</v>
      </c>
      <c r="M32" s="4">
        <f>AtlasReport_4_Table_1[[#This Row],[TPP cost amount]]-AtlasReport_4_Table_1[[#This Row],[TPP Balance (Beginning)]]</f>
        <v>0</v>
      </c>
    </row>
    <row r="33" spans="1:13" x14ac:dyDescent="0.15">
      <c r="A33" s="8" t="s">
        <v>75</v>
      </c>
      <c r="B33" s="8" t="s">
        <v>160</v>
      </c>
      <c r="C33" s="8" t="s">
        <v>161</v>
      </c>
      <c r="D33" s="4">
        <v>231</v>
      </c>
      <c r="E33" s="4">
        <v>0</v>
      </c>
      <c r="F33" s="4">
        <v>0</v>
      </c>
      <c r="G33" s="4">
        <v>0</v>
      </c>
      <c r="H33" s="4">
        <f>AtlasReport_4_Table_1[[#This Row],[Quantity]]-AtlasReport_4_Table_1[[#This Row],[TPP trans backwards (Beginning)]]</f>
        <v>231</v>
      </c>
      <c r="I33" s="4">
        <f>AtlasReport_4_Table_1[[#This Row],[Quantity]]-AtlasReport_4_Table_1[[#This Row],[TPP trans backwards (Ending)]]</f>
        <v>231</v>
      </c>
      <c r="J33" s="4">
        <v>0</v>
      </c>
      <c r="K33" s="4">
        <v>0</v>
      </c>
      <c r="L33" s="4">
        <f>AtlasReport_4_Table_1[[#This Row],[TPP cost amount]]-AtlasReport_4_Table_1[[#This Row],[TPP trans backwards balance (Beginning)]]</f>
        <v>0</v>
      </c>
      <c r="M33" s="4">
        <f>AtlasReport_4_Table_1[[#This Row],[TPP cost amount]]-AtlasReport_4_Table_1[[#This Row],[TPP Balance (Beginning)]]</f>
        <v>0</v>
      </c>
    </row>
    <row r="34" spans="1:13" x14ac:dyDescent="0.15">
      <c r="A34" s="8" t="s">
        <v>55</v>
      </c>
      <c r="B34" s="8" t="s">
        <v>160</v>
      </c>
      <c r="C34" s="8" t="s">
        <v>161</v>
      </c>
      <c r="D34" s="4">
        <v>490</v>
      </c>
      <c r="E34" s="4">
        <v>0</v>
      </c>
      <c r="F34" s="4">
        <v>0</v>
      </c>
      <c r="G34" s="4">
        <v>0</v>
      </c>
      <c r="H34" s="4">
        <f>AtlasReport_4_Table_1[[#This Row],[Quantity]]-AtlasReport_4_Table_1[[#This Row],[TPP trans backwards (Beginning)]]</f>
        <v>490</v>
      </c>
      <c r="I34" s="4">
        <f>AtlasReport_4_Table_1[[#This Row],[Quantity]]-AtlasReport_4_Table_1[[#This Row],[TPP trans backwards (Ending)]]</f>
        <v>490</v>
      </c>
      <c r="J34" s="4">
        <v>0</v>
      </c>
      <c r="K34" s="4">
        <v>0</v>
      </c>
      <c r="L34" s="4">
        <f>AtlasReport_4_Table_1[[#This Row],[TPP cost amount]]-AtlasReport_4_Table_1[[#This Row],[TPP trans backwards balance (Beginning)]]</f>
        <v>0</v>
      </c>
      <c r="M34" s="4">
        <f>AtlasReport_4_Table_1[[#This Row],[TPP cost amount]]-AtlasReport_4_Table_1[[#This Row],[TPP Balance (Beginning)]]</f>
        <v>0</v>
      </c>
    </row>
    <row r="35" spans="1:13" x14ac:dyDescent="0.15">
      <c r="A35" s="8" t="s">
        <v>111</v>
      </c>
      <c r="B35" s="8" t="s">
        <v>160</v>
      </c>
      <c r="C35" s="8" t="s">
        <v>161</v>
      </c>
      <c r="D35" s="4">
        <v>1627</v>
      </c>
      <c r="E35" s="4">
        <v>0</v>
      </c>
      <c r="F35" s="4">
        <v>0</v>
      </c>
      <c r="G35" s="4">
        <v>0</v>
      </c>
      <c r="H35" s="4">
        <f>AtlasReport_4_Table_1[[#This Row],[Quantity]]-AtlasReport_4_Table_1[[#This Row],[TPP trans backwards (Beginning)]]</f>
        <v>1627</v>
      </c>
      <c r="I35" s="4">
        <f>AtlasReport_4_Table_1[[#This Row],[Quantity]]-AtlasReport_4_Table_1[[#This Row],[TPP trans backwards (Ending)]]</f>
        <v>1627</v>
      </c>
      <c r="J35" s="4">
        <v>0</v>
      </c>
      <c r="K35" s="4">
        <v>0</v>
      </c>
      <c r="L35" s="4">
        <f>AtlasReport_4_Table_1[[#This Row],[TPP cost amount]]-AtlasReport_4_Table_1[[#This Row],[TPP trans backwards balance (Beginning)]]</f>
        <v>0</v>
      </c>
      <c r="M35" s="4">
        <f>AtlasReport_4_Table_1[[#This Row],[TPP cost amount]]-AtlasReport_4_Table_1[[#This Row],[TPP Balance (Beginning)]]</f>
        <v>0</v>
      </c>
    </row>
    <row r="36" spans="1:13" x14ac:dyDescent="0.15">
      <c r="A36" s="8" t="s">
        <v>56</v>
      </c>
      <c r="B36" s="8" t="s">
        <v>160</v>
      </c>
      <c r="C36" s="8" t="s">
        <v>161</v>
      </c>
      <c r="D36" s="4">
        <v>1288.8</v>
      </c>
      <c r="E36" s="4">
        <v>0</v>
      </c>
      <c r="F36" s="4">
        <v>0</v>
      </c>
      <c r="G36" s="4">
        <v>0</v>
      </c>
      <c r="H36" s="4">
        <f>AtlasReport_4_Table_1[[#This Row],[Quantity]]-AtlasReport_4_Table_1[[#This Row],[TPP trans backwards (Beginning)]]</f>
        <v>1288.8</v>
      </c>
      <c r="I36" s="4">
        <f>AtlasReport_4_Table_1[[#This Row],[Quantity]]-AtlasReport_4_Table_1[[#This Row],[TPP trans backwards (Ending)]]</f>
        <v>1288.8</v>
      </c>
      <c r="J36" s="4">
        <v>0</v>
      </c>
      <c r="K36" s="4">
        <v>0</v>
      </c>
      <c r="L36" s="4">
        <f>AtlasReport_4_Table_1[[#This Row],[TPP cost amount]]-AtlasReport_4_Table_1[[#This Row],[TPP trans backwards balance (Beginning)]]</f>
        <v>0</v>
      </c>
      <c r="M36" s="4">
        <f>AtlasReport_4_Table_1[[#This Row],[TPP cost amount]]-AtlasReport_4_Table_1[[#This Row],[TPP Balance (Beginning)]]</f>
        <v>0</v>
      </c>
    </row>
    <row r="37" spans="1:13" x14ac:dyDescent="0.15">
      <c r="A37" s="8" t="s">
        <v>57</v>
      </c>
      <c r="B37" s="8" t="s">
        <v>160</v>
      </c>
      <c r="C37" s="8" t="s">
        <v>161</v>
      </c>
      <c r="D37" s="4">
        <v>1127</v>
      </c>
      <c r="E37" s="4">
        <v>0</v>
      </c>
      <c r="F37" s="4">
        <v>0</v>
      </c>
      <c r="G37" s="4">
        <v>0</v>
      </c>
      <c r="H37" s="4">
        <f>AtlasReport_4_Table_1[[#This Row],[Quantity]]-AtlasReport_4_Table_1[[#This Row],[TPP trans backwards (Beginning)]]</f>
        <v>1127</v>
      </c>
      <c r="I37" s="4">
        <f>AtlasReport_4_Table_1[[#This Row],[Quantity]]-AtlasReport_4_Table_1[[#This Row],[TPP trans backwards (Ending)]]</f>
        <v>1127</v>
      </c>
      <c r="J37" s="4">
        <v>0</v>
      </c>
      <c r="K37" s="4">
        <v>0</v>
      </c>
      <c r="L37" s="4">
        <f>AtlasReport_4_Table_1[[#This Row],[TPP cost amount]]-AtlasReport_4_Table_1[[#This Row],[TPP trans backwards balance (Beginning)]]</f>
        <v>0</v>
      </c>
      <c r="M37" s="4">
        <f>AtlasReport_4_Table_1[[#This Row],[TPP cost amount]]-AtlasReport_4_Table_1[[#This Row],[TPP Balance (Beginning)]]</f>
        <v>0</v>
      </c>
    </row>
    <row r="38" spans="1:13" x14ac:dyDescent="0.15">
      <c r="A38" s="8" t="s">
        <v>97</v>
      </c>
      <c r="B38" s="8" t="s">
        <v>160</v>
      </c>
      <c r="C38" s="8" t="s">
        <v>161</v>
      </c>
      <c r="D38" s="4">
        <v>323</v>
      </c>
      <c r="E38" s="4">
        <v>0</v>
      </c>
      <c r="F38" s="4">
        <v>0</v>
      </c>
      <c r="G38" s="4">
        <v>0</v>
      </c>
      <c r="H38" s="4">
        <f>AtlasReport_4_Table_1[[#This Row],[Quantity]]-AtlasReport_4_Table_1[[#This Row],[TPP trans backwards (Beginning)]]</f>
        <v>323</v>
      </c>
      <c r="I38" s="4">
        <f>AtlasReport_4_Table_1[[#This Row],[Quantity]]-AtlasReport_4_Table_1[[#This Row],[TPP trans backwards (Ending)]]</f>
        <v>323</v>
      </c>
      <c r="J38" s="4">
        <v>0</v>
      </c>
      <c r="K38" s="4">
        <v>0</v>
      </c>
      <c r="L38" s="4">
        <f>AtlasReport_4_Table_1[[#This Row],[TPP cost amount]]-AtlasReport_4_Table_1[[#This Row],[TPP trans backwards balance (Beginning)]]</f>
        <v>0</v>
      </c>
      <c r="M38" s="4">
        <f>AtlasReport_4_Table_1[[#This Row],[TPP cost amount]]-AtlasReport_4_Table_1[[#This Row],[TPP Balance (Beginning)]]</f>
        <v>0</v>
      </c>
    </row>
    <row r="39" spans="1:13" x14ac:dyDescent="0.15">
      <c r="A39" s="8" t="s">
        <v>29</v>
      </c>
      <c r="B39" s="8" t="s">
        <v>160</v>
      </c>
      <c r="C39" s="8" t="s">
        <v>161</v>
      </c>
      <c r="D39" s="4">
        <v>150.5</v>
      </c>
      <c r="E39" s="4">
        <v>0</v>
      </c>
      <c r="F39" s="4">
        <v>0</v>
      </c>
      <c r="G39" s="4">
        <v>0</v>
      </c>
      <c r="H39" s="4">
        <f>AtlasReport_4_Table_1[[#This Row],[Quantity]]-AtlasReport_4_Table_1[[#This Row],[TPP trans backwards (Beginning)]]</f>
        <v>150.5</v>
      </c>
      <c r="I39" s="4">
        <f>AtlasReport_4_Table_1[[#This Row],[Quantity]]-AtlasReport_4_Table_1[[#This Row],[TPP trans backwards (Ending)]]</f>
        <v>150.5</v>
      </c>
      <c r="J39" s="4">
        <v>0</v>
      </c>
      <c r="K39" s="4">
        <v>0</v>
      </c>
      <c r="L39" s="4">
        <f>AtlasReport_4_Table_1[[#This Row],[TPP cost amount]]-AtlasReport_4_Table_1[[#This Row],[TPP trans backwards balance (Beginning)]]</f>
        <v>0</v>
      </c>
      <c r="M39" s="4">
        <f>AtlasReport_4_Table_1[[#This Row],[TPP cost amount]]-AtlasReport_4_Table_1[[#This Row],[TPP Balance (Beginning)]]</f>
        <v>0</v>
      </c>
    </row>
    <row r="40" spans="1:13" x14ac:dyDescent="0.15">
      <c r="A40" s="8" t="s">
        <v>121</v>
      </c>
      <c r="B40" s="8" t="s">
        <v>160</v>
      </c>
      <c r="C40" s="8" t="s">
        <v>161</v>
      </c>
      <c r="D40" s="4">
        <v>449.8</v>
      </c>
      <c r="E40" s="4">
        <v>0</v>
      </c>
      <c r="F40" s="4">
        <v>0</v>
      </c>
      <c r="G40" s="4">
        <v>0</v>
      </c>
      <c r="H40" s="4">
        <f>AtlasReport_4_Table_1[[#This Row],[Quantity]]-AtlasReport_4_Table_1[[#This Row],[TPP trans backwards (Beginning)]]</f>
        <v>449.8</v>
      </c>
      <c r="I40" s="4">
        <f>AtlasReport_4_Table_1[[#This Row],[Quantity]]-AtlasReport_4_Table_1[[#This Row],[TPP trans backwards (Ending)]]</f>
        <v>449.8</v>
      </c>
      <c r="J40" s="4">
        <v>0</v>
      </c>
      <c r="K40" s="4">
        <v>0</v>
      </c>
      <c r="L40" s="4">
        <f>AtlasReport_4_Table_1[[#This Row],[TPP cost amount]]-AtlasReport_4_Table_1[[#This Row],[TPP trans backwards balance (Beginning)]]</f>
        <v>0</v>
      </c>
      <c r="M40" s="4">
        <f>AtlasReport_4_Table_1[[#This Row],[TPP cost amount]]-AtlasReport_4_Table_1[[#This Row],[TPP Balance (Beginning)]]</f>
        <v>0</v>
      </c>
    </row>
    <row r="41" spans="1:13" x14ac:dyDescent="0.15">
      <c r="A41" s="8" t="s">
        <v>106</v>
      </c>
      <c r="B41" s="8" t="s">
        <v>160</v>
      </c>
      <c r="C41" s="8" t="s">
        <v>161</v>
      </c>
      <c r="D41" s="4">
        <v>775</v>
      </c>
      <c r="E41" s="4">
        <v>0</v>
      </c>
      <c r="F41" s="4">
        <v>0</v>
      </c>
      <c r="G41" s="4">
        <v>0</v>
      </c>
      <c r="H41" s="4">
        <f>AtlasReport_4_Table_1[[#This Row],[Quantity]]-AtlasReport_4_Table_1[[#This Row],[TPP trans backwards (Beginning)]]</f>
        <v>775</v>
      </c>
      <c r="I41" s="4">
        <f>AtlasReport_4_Table_1[[#This Row],[Quantity]]-AtlasReport_4_Table_1[[#This Row],[TPP trans backwards (Ending)]]</f>
        <v>775</v>
      </c>
      <c r="J41" s="4">
        <v>0</v>
      </c>
      <c r="K41" s="4">
        <v>0</v>
      </c>
      <c r="L41" s="4">
        <f>AtlasReport_4_Table_1[[#This Row],[TPP cost amount]]-AtlasReport_4_Table_1[[#This Row],[TPP trans backwards balance (Beginning)]]</f>
        <v>0</v>
      </c>
      <c r="M41" s="4">
        <f>AtlasReport_4_Table_1[[#This Row],[TPP cost amount]]-AtlasReport_4_Table_1[[#This Row],[TPP Balance (Beginning)]]</f>
        <v>0</v>
      </c>
    </row>
    <row r="42" spans="1:13" x14ac:dyDescent="0.15">
      <c r="A42" s="8" t="s">
        <v>58</v>
      </c>
      <c r="B42" s="8" t="s">
        <v>160</v>
      </c>
      <c r="C42" s="8" t="s">
        <v>161</v>
      </c>
      <c r="D42" s="4">
        <v>804.1</v>
      </c>
      <c r="E42" s="4">
        <v>0</v>
      </c>
      <c r="F42" s="4">
        <v>0</v>
      </c>
      <c r="G42" s="4">
        <v>0</v>
      </c>
      <c r="H42" s="4">
        <f>AtlasReport_4_Table_1[[#This Row],[Quantity]]-AtlasReport_4_Table_1[[#This Row],[TPP trans backwards (Beginning)]]</f>
        <v>804.1</v>
      </c>
      <c r="I42" s="4">
        <f>AtlasReport_4_Table_1[[#This Row],[Quantity]]-AtlasReport_4_Table_1[[#This Row],[TPP trans backwards (Ending)]]</f>
        <v>804.1</v>
      </c>
      <c r="J42" s="4">
        <v>0</v>
      </c>
      <c r="K42" s="4">
        <v>0</v>
      </c>
      <c r="L42" s="4">
        <f>AtlasReport_4_Table_1[[#This Row],[TPP cost amount]]-AtlasReport_4_Table_1[[#This Row],[TPP trans backwards balance (Beginning)]]</f>
        <v>0</v>
      </c>
      <c r="M42" s="4">
        <f>AtlasReport_4_Table_1[[#This Row],[TPP cost amount]]-AtlasReport_4_Table_1[[#This Row],[TPP Balance (Beginning)]]</f>
        <v>0</v>
      </c>
    </row>
    <row r="43" spans="1:13" x14ac:dyDescent="0.15">
      <c r="A43" s="8" t="s">
        <v>99</v>
      </c>
      <c r="B43" s="8" t="s">
        <v>160</v>
      </c>
      <c r="C43" s="8" t="s">
        <v>161</v>
      </c>
      <c r="D43" s="4">
        <v>509</v>
      </c>
      <c r="E43" s="4">
        <v>0</v>
      </c>
      <c r="F43" s="4">
        <v>0</v>
      </c>
      <c r="G43" s="4">
        <v>0</v>
      </c>
      <c r="H43" s="4">
        <f>AtlasReport_4_Table_1[[#This Row],[Quantity]]-AtlasReport_4_Table_1[[#This Row],[TPP trans backwards (Beginning)]]</f>
        <v>509</v>
      </c>
      <c r="I43" s="4">
        <f>AtlasReport_4_Table_1[[#This Row],[Quantity]]-AtlasReport_4_Table_1[[#This Row],[TPP trans backwards (Ending)]]</f>
        <v>509</v>
      </c>
      <c r="J43" s="4">
        <v>0</v>
      </c>
      <c r="K43" s="4">
        <v>0</v>
      </c>
      <c r="L43" s="4">
        <f>AtlasReport_4_Table_1[[#This Row],[TPP cost amount]]-AtlasReport_4_Table_1[[#This Row],[TPP trans backwards balance (Beginning)]]</f>
        <v>0</v>
      </c>
      <c r="M43" s="4">
        <f>AtlasReport_4_Table_1[[#This Row],[TPP cost amount]]-AtlasReport_4_Table_1[[#This Row],[TPP Balance (Beginning)]]</f>
        <v>0</v>
      </c>
    </row>
    <row r="44" spans="1:13" x14ac:dyDescent="0.15">
      <c r="A44" s="8" t="s">
        <v>59</v>
      </c>
      <c r="B44" s="8" t="s">
        <v>160</v>
      </c>
      <c r="C44" s="8" t="s">
        <v>161</v>
      </c>
      <c r="D44" s="4">
        <v>611.28</v>
      </c>
      <c r="E44" s="4">
        <v>0</v>
      </c>
      <c r="F44" s="4">
        <v>0</v>
      </c>
      <c r="G44" s="4">
        <v>0</v>
      </c>
      <c r="H44" s="4">
        <f>AtlasReport_4_Table_1[[#This Row],[Quantity]]-AtlasReport_4_Table_1[[#This Row],[TPP trans backwards (Beginning)]]</f>
        <v>611.28</v>
      </c>
      <c r="I44" s="4">
        <f>AtlasReport_4_Table_1[[#This Row],[Quantity]]-AtlasReport_4_Table_1[[#This Row],[TPP trans backwards (Ending)]]</f>
        <v>611.28</v>
      </c>
      <c r="J44" s="4">
        <v>0</v>
      </c>
      <c r="K44" s="4">
        <v>0</v>
      </c>
      <c r="L44" s="4">
        <f>AtlasReport_4_Table_1[[#This Row],[TPP cost amount]]-AtlasReport_4_Table_1[[#This Row],[TPP trans backwards balance (Beginning)]]</f>
        <v>0</v>
      </c>
      <c r="M44" s="4">
        <f>AtlasReport_4_Table_1[[#This Row],[TPP cost amount]]-AtlasReport_4_Table_1[[#This Row],[TPP Balance (Beginning)]]</f>
        <v>0</v>
      </c>
    </row>
    <row r="45" spans="1:13" x14ac:dyDescent="0.15">
      <c r="A45" s="8" t="s">
        <v>123</v>
      </c>
      <c r="B45" s="8" t="s">
        <v>160</v>
      </c>
      <c r="C45" s="8" t="s">
        <v>161</v>
      </c>
      <c r="D45" s="4">
        <v>223</v>
      </c>
      <c r="E45" s="4">
        <v>0</v>
      </c>
      <c r="F45" s="4">
        <v>0</v>
      </c>
      <c r="G45" s="4">
        <v>0</v>
      </c>
      <c r="H45" s="4">
        <f>AtlasReport_4_Table_1[[#This Row],[Quantity]]-AtlasReport_4_Table_1[[#This Row],[TPP trans backwards (Beginning)]]</f>
        <v>223</v>
      </c>
      <c r="I45" s="4">
        <f>AtlasReport_4_Table_1[[#This Row],[Quantity]]-AtlasReport_4_Table_1[[#This Row],[TPP trans backwards (Ending)]]</f>
        <v>223</v>
      </c>
      <c r="J45" s="4">
        <v>0</v>
      </c>
      <c r="K45" s="4">
        <v>0</v>
      </c>
      <c r="L45" s="4">
        <f>AtlasReport_4_Table_1[[#This Row],[TPP cost amount]]-AtlasReport_4_Table_1[[#This Row],[TPP trans backwards balance (Beginning)]]</f>
        <v>0</v>
      </c>
      <c r="M45" s="4">
        <f>AtlasReport_4_Table_1[[#This Row],[TPP cost amount]]-AtlasReport_4_Table_1[[#This Row],[TPP Balance (Beginning)]]</f>
        <v>0</v>
      </c>
    </row>
    <row r="46" spans="1:13" x14ac:dyDescent="0.15">
      <c r="A46" s="8" t="s">
        <v>76</v>
      </c>
      <c r="B46" s="8" t="s">
        <v>160</v>
      </c>
      <c r="C46" s="8" t="s">
        <v>161</v>
      </c>
      <c r="D46" s="4">
        <v>163</v>
      </c>
      <c r="E46" s="4">
        <v>0</v>
      </c>
      <c r="F46" s="4">
        <v>0</v>
      </c>
      <c r="G46" s="4">
        <v>0</v>
      </c>
      <c r="H46" s="4">
        <f>AtlasReport_4_Table_1[[#This Row],[Quantity]]-AtlasReport_4_Table_1[[#This Row],[TPP trans backwards (Beginning)]]</f>
        <v>163</v>
      </c>
      <c r="I46" s="4">
        <f>AtlasReport_4_Table_1[[#This Row],[Quantity]]-AtlasReport_4_Table_1[[#This Row],[TPP trans backwards (Ending)]]</f>
        <v>163</v>
      </c>
      <c r="J46" s="4">
        <v>0</v>
      </c>
      <c r="K46" s="4">
        <v>0</v>
      </c>
      <c r="L46" s="4">
        <f>AtlasReport_4_Table_1[[#This Row],[TPP cost amount]]-AtlasReport_4_Table_1[[#This Row],[TPP trans backwards balance (Beginning)]]</f>
        <v>0</v>
      </c>
      <c r="M46" s="4">
        <f>AtlasReport_4_Table_1[[#This Row],[TPP cost amount]]-AtlasReport_4_Table_1[[#This Row],[TPP Balance (Beginning)]]</f>
        <v>0</v>
      </c>
    </row>
    <row r="47" spans="1:13" x14ac:dyDescent="0.15">
      <c r="A47" s="8" t="s">
        <v>60</v>
      </c>
      <c r="B47" s="8" t="s">
        <v>160</v>
      </c>
      <c r="C47" s="8" t="s">
        <v>161</v>
      </c>
      <c r="D47" s="4">
        <v>29</v>
      </c>
      <c r="E47" s="4">
        <v>0</v>
      </c>
      <c r="F47" s="4">
        <v>0</v>
      </c>
      <c r="G47" s="4">
        <v>0</v>
      </c>
      <c r="H47" s="4">
        <f>AtlasReport_4_Table_1[[#This Row],[Quantity]]-AtlasReport_4_Table_1[[#This Row],[TPP trans backwards (Beginning)]]</f>
        <v>29</v>
      </c>
      <c r="I47" s="4">
        <f>AtlasReport_4_Table_1[[#This Row],[Quantity]]-AtlasReport_4_Table_1[[#This Row],[TPP trans backwards (Ending)]]</f>
        <v>29</v>
      </c>
      <c r="J47" s="4">
        <v>0</v>
      </c>
      <c r="K47" s="4">
        <v>0</v>
      </c>
      <c r="L47" s="4">
        <f>AtlasReport_4_Table_1[[#This Row],[TPP cost amount]]-AtlasReport_4_Table_1[[#This Row],[TPP trans backwards balance (Beginning)]]</f>
        <v>0</v>
      </c>
      <c r="M47" s="4">
        <f>AtlasReport_4_Table_1[[#This Row],[TPP cost amount]]-AtlasReport_4_Table_1[[#This Row],[TPP Balance (Beginning)]]</f>
        <v>0</v>
      </c>
    </row>
    <row r="48" spans="1:13" x14ac:dyDescent="0.15">
      <c r="A48" s="8" t="s">
        <v>61</v>
      </c>
      <c r="B48" s="8" t="s">
        <v>160</v>
      </c>
      <c r="C48" s="8" t="s">
        <v>161</v>
      </c>
      <c r="D48" s="4">
        <v>294.95</v>
      </c>
      <c r="E48" s="4">
        <v>0</v>
      </c>
      <c r="F48" s="4">
        <v>0</v>
      </c>
      <c r="G48" s="4">
        <v>0</v>
      </c>
      <c r="H48" s="4">
        <f>AtlasReport_4_Table_1[[#This Row],[Quantity]]-AtlasReport_4_Table_1[[#This Row],[TPP trans backwards (Beginning)]]</f>
        <v>294.95</v>
      </c>
      <c r="I48" s="4">
        <f>AtlasReport_4_Table_1[[#This Row],[Quantity]]-AtlasReport_4_Table_1[[#This Row],[TPP trans backwards (Ending)]]</f>
        <v>294.95</v>
      </c>
      <c r="J48" s="4">
        <v>0</v>
      </c>
      <c r="K48" s="4">
        <v>0</v>
      </c>
      <c r="L48" s="4">
        <f>AtlasReport_4_Table_1[[#This Row],[TPP cost amount]]-AtlasReport_4_Table_1[[#This Row],[TPP trans backwards balance (Beginning)]]</f>
        <v>0</v>
      </c>
      <c r="M48" s="4">
        <f>AtlasReport_4_Table_1[[#This Row],[TPP cost amount]]-AtlasReport_4_Table_1[[#This Row],[TPP Balance (Beginning)]]</f>
        <v>0</v>
      </c>
    </row>
    <row r="49" spans="1:13" x14ac:dyDescent="0.15">
      <c r="A49" s="8" t="s">
        <v>24</v>
      </c>
      <c r="B49" s="8" t="s">
        <v>160</v>
      </c>
      <c r="C49" s="8" t="s">
        <v>161</v>
      </c>
      <c r="D49" s="4">
        <v>349.9</v>
      </c>
      <c r="E49" s="4">
        <v>0</v>
      </c>
      <c r="F49" s="4">
        <v>0</v>
      </c>
      <c r="G49" s="4">
        <v>0</v>
      </c>
      <c r="H49" s="4">
        <f>AtlasReport_4_Table_1[[#This Row],[Quantity]]-AtlasReport_4_Table_1[[#This Row],[TPP trans backwards (Beginning)]]</f>
        <v>349.9</v>
      </c>
      <c r="I49" s="4">
        <f>AtlasReport_4_Table_1[[#This Row],[Quantity]]-AtlasReport_4_Table_1[[#This Row],[TPP trans backwards (Ending)]]</f>
        <v>349.9</v>
      </c>
      <c r="J49" s="4">
        <v>0</v>
      </c>
      <c r="K49" s="4">
        <v>0</v>
      </c>
      <c r="L49" s="4">
        <f>AtlasReport_4_Table_1[[#This Row],[TPP cost amount]]-AtlasReport_4_Table_1[[#This Row],[TPP trans backwards balance (Beginning)]]</f>
        <v>0</v>
      </c>
      <c r="M49" s="4">
        <f>AtlasReport_4_Table_1[[#This Row],[TPP cost amount]]-AtlasReport_4_Table_1[[#This Row],[TPP Balance (Beginning)]]</f>
        <v>0</v>
      </c>
    </row>
    <row r="50" spans="1:13" x14ac:dyDescent="0.15">
      <c r="A50" s="8" t="s">
        <v>77</v>
      </c>
      <c r="B50" s="8" t="s">
        <v>160</v>
      </c>
      <c r="C50" s="8" t="s">
        <v>161</v>
      </c>
      <c r="D50" s="4">
        <v>657</v>
      </c>
      <c r="E50" s="4">
        <v>0</v>
      </c>
      <c r="F50" s="4">
        <v>0</v>
      </c>
      <c r="G50" s="4">
        <v>0</v>
      </c>
      <c r="H50" s="4">
        <f>AtlasReport_4_Table_1[[#This Row],[Quantity]]-AtlasReport_4_Table_1[[#This Row],[TPP trans backwards (Beginning)]]</f>
        <v>657</v>
      </c>
      <c r="I50" s="4">
        <f>AtlasReport_4_Table_1[[#This Row],[Quantity]]-AtlasReport_4_Table_1[[#This Row],[TPP trans backwards (Ending)]]</f>
        <v>657</v>
      </c>
      <c r="J50" s="4">
        <v>0</v>
      </c>
      <c r="K50" s="4">
        <v>0</v>
      </c>
      <c r="L50" s="4">
        <f>AtlasReport_4_Table_1[[#This Row],[TPP cost amount]]-AtlasReport_4_Table_1[[#This Row],[TPP trans backwards balance (Beginning)]]</f>
        <v>0</v>
      </c>
      <c r="M50" s="4">
        <f>AtlasReport_4_Table_1[[#This Row],[TPP cost amount]]-AtlasReport_4_Table_1[[#This Row],[TPP Balance (Beginning)]]</f>
        <v>0</v>
      </c>
    </row>
    <row r="51" spans="1:13" x14ac:dyDescent="0.15">
      <c r="A51" s="8" t="s">
        <v>78</v>
      </c>
      <c r="B51" s="8" t="s">
        <v>160</v>
      </c>
      <c r="C51" s="8" t="s">
        <v>161</v>
      </c>
      <c r="D51" s="4">
        <v>343.5</v>
      </c>
      <c r="E51" s="4">
        <v>0</v>
      </c>
      <c r="F51" s="4">
        <v>0</v>
      </c>
      <c r="G51" s="4">
        <v>0</v>
      </c>
      <c r="H51" s="4">
        <f>AtlasReport_4_Table_1[[#This Row],[Quantity]]-AtlasReport_4_Table_1[[#This Row],[TPP trans backwards (Beginning)]]</f>
        <v>343.5</v>
      </c>
      <c r="I51" s="4">
        <f>AtlasReport_4_Table_1[[#This Row],[Quantity]]-AtlasReport_4_Table_1[[#This Row],[TPP trans backwards (Ending)]]</f>
        <v>343.5</v>
      </c>
      <c r="J51" s="4">
        <v>0</v>
      </c>
      <c r="K51" s="4">
        <v>0</v>
      </c>
      <c r="L51" s="4">
        <f>AtlasReport_4_Table_1[[#This Row],[TPP cost amount]]-AtlasReport_4_Table_1[[#This Row],[TPP trans backwards balance (Beginning)]]</f>
        <v>0</v>
      </c>
      <c r="M51" s="4">
        <f>AtlasReport_4_Table_1[[#This Row],[TPP cost amount]]-AtlasReport_4_Table_1[[#This Row],[TPP Balance (Beginning)]]</f>
        <v>0</v>
      </c>
    </row>
    <row r="52" spans="1:13" x14ac:dyDescent="0.15">
      <c r="A52" s="8" t="s">
        <v>62</v>
      </c>
      <c r="B52" s="8" t="s">
        <v>160</v>
      </c>
      <c r="C52" s="8" t="s">
        <v>161</v>
      </c>
      <c r="D52" s="4">
        <v>400</v>
      </c>
      <c r="E52" s="4">
        <v>0</v>
      </c>
      <c r="F52" s="4">
        <v>0</v>
      </c>
      <c r="G52" s="4">
        <v>0</v>
      </c>
      <c r="H52" s="4">
        <f>AtlasReport_4_Table_1[[#This Row],[Quantity]]-AtlasReport_4_Table_1[[#This Row],[TPP trans backwards (Beginning)]]</f>
        <v>400</v>
      </c>
      <c r="I52" s="4">
        <f>AtlasReport_4_Table_1[[#This Row],[Quantity]]-AtlasReport_4_Table_1[[#This Row],[TPP trans backwards (Ending)]]</f>
        <v>400</v>
      </c>
      <c r="J52" s="4">
        <v>0</v>
      </c>
      <c r="K52" s="4">
        <v>0</v>
      </c>
      <c r="L52" s="4">
        <f>AtlasReport_4_Table_1[[#This Row],[TPP cost amount]]-AtlasReport_4_Table_1[[#This Row],[TPP trans backwards balance (Beginning)]]</f>
        <v>0</v>
      </c>
      <c r="M52" s="4">
        <f>AtlasReport_4_Table_1[[#This Row],[TPP cost amount]]-AtlasReport_4_Table_1[[#This Row],[TPP Balance (Beginning)]]</f>
        <v>0</v>
      </c>
    </row>
    <row r="53" spans="1:13" x14ac:dyDescent="0.15">
      <c r="A53" s="8" t="s">
        <v>63</v>
      </c>
      <c r="B53" s="8" t="s">
        <v>160</v>
      </c>
      <c r="C53" s="8" t="s">
        <v>161</v>
      </c>
      <c r="D53" s="4">
        <v>455</v>
      </c>
      <c r="E53" s="4">
        <v>0</v>
      </c>
      <c r="F53" s="4">
        <v>0</v>
      </c>
      <c r="G53" s="4">
        <v>0</v>
      </c>
      <c r="H53" s="4">
        <f>AtlasReport_4_Table_1[[#This Row],[Quantity]]-AtlasReport_4_Table_1[[#This Row],[TPP trans backwards (Beginning)]]</f>
        <v>455</v>
      </c>
      <c r="I53" s="4">
        <f>AtlasReport_4_Table_1[[#This Row],[Quantity]]-AtlasReport_4_Table_1[[#This Row],[TPP trans backwards (Ending)]]</f>
        <v>455</v>
      </c>
      <c r="J53" s="4">
        <v>0</v>
      </c>
      <c r="K53" s="4">
        <v>0</v>
      </c>
      <c r="L53" s="4">
        <f>AtlasReport_4_Table_1[[#This Row],[TPP cost amount]]-AtlasReport_4_Table_1[[#This Row],[TPP trans backwards balance (Beginning)]]</f>
        <v>0</v>
      </c>
      <c r="M53" s="4">
        <f>AtlasReport_4_Table_1[[#This Row],[TPP cost amount]]-AtlasReport_4_Table_1[[#This Row],[TPP Balance (Beginning)]]</f>
        <v>0</v>
      </c>
    </row>
    <row r="54" spans="1:13" x14ac:dyDescent="0.15">
      <c r="A54" s="8" t="s">
        <v>131</v>
      </c>
      <c r="B54" s="8" t="s">
        <v>160</v>
      </c>
      <c r="C54" s="8" t="s">
        <v>161</v>
      </c>
      <c r="D54" s="4">
        <v>19</v>
      </c>
      <c r="E54" s="4">
        <v>0</v>
      </c>
      <c r="F54" s="4">
        <v>0</v>
      </c>
      <c r="G54" s="4">
        <v>0</v>
      </c>
      <c r="H54" s="4">
        <f>AtlasReport_4_Table_1[[#This Row],[Quantity]]-AtlasReport_4_Table_1[[#This Row],[TPP trans backwards (Beginning)]]</f>
        <v>19</v>
      </c>
      <c r="I54" s="4">
        <f>AtlasReport_4_Table_1[[#This Row],[Quantity]]-AtlasReport_4_Table_1[[#This Row],[TPP trans backwards (Ending)]]</f>
        <v>19</v>
      </c>
      <c r="J54" s="4">
        <v>0</v>
      </c>
      <c r="K54" s="4">
        <v>0</v>
      </c>
      <c r="L54" s="4">
        <f>AtlasReport_4_Table_1[[#This Row],[TPP cost amount]]-AtlasReport_4_Table_1[[#This Row],[TPP trans backwards balance (Beginning)]]</f>
        <v>0</v>
      </c>
      <c r="M54" s="4">
        <f>AtlasReport_4_Table_1[[#This Row],[TPP cost amount]]-AtlasReport_4_Table_1[[#This Row],[TPP Balance (Beginning)]]</f>
        <v>0</v>
      </c>
    </row>
    <row r="55" spans="1:13" x14ac:dyDescent="0.15">
      <c r="A55" s="8" t="s">
        <v>179</v>
      </c>
      <c r="B55" s="8" t="s">
        <v>160</v>
      </c>
      <c r="C55" s="8" t="s">
        <v>161</v>
      </c>
      <c r="D55" s="4">
        <v>56</v>
      </c>
      <c r="E55" s="4">
        <v>0</v>
      </c>
      <c r="F55" s="4">
        <v>0</v>
      </c>
      <c r="G55" s="4">
        <v>0</v>
      </c>
      <c r="H55" s="4">
        <f>AtlasReport_4_Table_1[[#This Row],[Quantity]]-AtlasReport_4_Table_1[[#This Row],[TPP trans backwards (Beginning)]]</f>
        <v>56</v>
      </c>
      <c r="I55" s="4">
        <f>AtlasReport_4_Table_1[[#This Row],[Quantity]]-AtlasReport_4_Table_1[[#This Row],[TPP trans backwards (Ending)]]</f>
        <v>56</v>
      </c>
      <c r="J55" s="4">
        <v>0</v>
      </c>
      <c r="K55" s="4">
        <v>0</v>
      </c>
      <c r="L55" s="4">
        <f>AtlasReport_4_Table_1[[#This Row],[TPP cost amount]]-AtlasReport_4_Table_1[[#This Row],[TPP trans backwards balance (Beginning)]]</f>
        <v>0</v>
      </c>
      <c r="M55" s="4">
        <f>AtlasReport_4_Table_1[[#This Row],[TPP cost amount]]-AtlasReport_4_Table_1[[#This Row],[TPP Balance (Beginning)]]</f>
        <v>0</v>
      </c>
    </row>
    <row r="56" spans="1:13" x14ac:dyDescent="0.15">
      <c r="A56" s="8" t="s">
        <v>134</v>
      </c>
      <c r="B56" s="8" t="s">
        <v>160</v>
      </c>
      <c r="C56" s="8" t="s">
        <v>161</v>
      </c>
      <c r="D56" s="4">
        <v>34</v>
      </c>
      <c r="E56" s="4">
        <v>0</v>
      </c>
      <c r="F56" s="4">
        <v>0</v>
      </c>
      <c r="G56" s="4">
        <v>0</v>
      </c>
      <c r="H56" s="4">
        <f>AtlasReport_4_Table_1[[#This Row],[Quantity]]-AtlasReport_4_Table_1[[#This Row],[TPP trans backwards (Beginning)]]</f>
        <v>34</v>
      </c>
      <c r="I56" s="4">
        <f>AtlasReport_4_Table_1[[#This Row],[Quantity]]-AtlasReport_4_Table_1[[#This Row],[TPP trans backwards (Ending)]]</f>
        <v>34</v>
      </c>
      <c r="J56" s="4">
        <v>0</v>
      </c>
      <c r="K56" s="4">
        <v>0</v>
      </c>
      <c r="L56" s="4">
        <f>AtlasReport_4_Table_1[[#This Row],[TPP cost amount]]-AtlasReport_4_Table_1[[#This Row],[TPP trans backwards balance (Beginning)]]</f>
        <v>0</v>
      </c>
      <c r="M56" s="4">
        <f>AtlasReport_4_Table_1[[#This Row],[TPP cost amount]]-AtlasReport_4_Table_1[[#This Row],[TPP Balance (Beginning)]]</f>
        <v>0</v>
      </c>
    </row>
    <row r="57" spans="1:13" x14ac:dyDescent="0.15">
      <c r="A57" s="8" t="s">
        <v>79</v>
      </c>
      <c r="B57" s="8" t="s">
        <v>160</v>
      </c>
      <c r="C57" s="8" t="s">
        <v>161</v>
      </c>
      <c r="D57" s="4">
        <v>-1</v>
      </c>
      <c r="E57" s="4">
        <v>0</v>
      </c>
      <c r="F57" s="4">
        <v>0</v>
      </c>
      <c r="G57" s="4">
        <v>0</v>
      </c>
      <c r="H57" s="4">
        <f>AtlasReport_4_Table_1[[#This Row],[Quantity]]-AtlasReport_4_Table_1[[#This Row],[TPP trans backwards (Beginning)]]</f>
        <v>-1</v>
      </c>
      <c r="I57" s="4">
        <f>AtlasReport_4_Table_1[[#This Row],[Quantity]]-AtlasReport_4_Table_1[[#This Row],[TPP trans backwards (Ending)]]</f>
        <v>-1</v>
      </c>
      <c r="J57" s="4">
        <v>0</v>
      </c>
      <c r="K57" s="4">
        <v>0</v>
      </c>
      <c r="L57" s="4">
        <f>AtlasReport_4_Table_1[[#This Row],[TPP cost amount]]-AtlasReport_4_Table_1[[#This Row],[TPP trans backwards balance (Beginning)]]</f>
        <v>0</v>
      </c>
      <c r="M57" s="4">
        <f>AtlasReport_4_Table_1[[#This Row],[TPP cost amount]]-AtlasReport_4_Table_1[[#This Row],[TPP Balance (Beginning)]]</f>
        <v>0</v>
      </c>
    </row>
    <row r="58" spans="1:13" x14ac:dyDescent="0.15">
      <c r="A58" s="8" t="s">
        <v>164</v>
      </c>
      <c r="B58" s="8" t="s">
        <v>160</v>
      </c>
      <c r="C58" s="8" t="s">
        <v>161</v>
      </c>
      <c r="D58" s="4">
        <v>-1</v>
      </c>
      <c r="E58" s="4">
        <v>0</v>
      </c>
      <c r="F58" s="4">
        <v>0</v>
      </c>
      <c r="G58" s="4">
        <v>0</v>
      </c>
      <c r="H58" s="4">
        <f>AtlasReport_4_Table_1[[#This Row],[Quantity]]-AtlasReport_4_Table_1[[#This Row],[TPP trans backwards (Beginning)]]</f>
        <v>-1</v>
      </c>
      <c r="I58" s="4">
        <f>AtlasReport_4_Table_1[[#This Row],[Quantity]]-AtlasReport_4_Table_1[[#This Row],[TPP trans backwards (Ending)]]</f>
        <v>-1</v>
      </c>
      <c r="J58" s="4">
        <v>0</v>
      </c>
      <c r="K58" s="4">
        <v>0</v>
      </c>
      <c r="L58" s="4">
        <f>AtlasReport_4_Table_1[[#This Row],[TPP cost amount]]-AtlasReport_4_Table_1[[#This Row],[TPP trans backwards balance (Beginning)]]</f>
        <v>0</v>
      </c>
      <c r="M58" s="4">
        <f>AtlasReport_4_Table_1[[#This Row],[TPP cost amount]]-AtlasReport_4_Table_1[[#This Row],[TPP Balance (Beginning)]]</f>
        <v>0</v>
      </c>
    </row>
    <row r="59" spans="1:13" x14ac:dyDescent="0.15">
      <c r="A59" s="8" t="s">
        <v>181</v>
      </c>
      <c r="B59" s="8" t="s">
        <v>160</v>
      </c>
      <c r="C59" s="8" t="s">
        <v>161</v>
      </c>
      <c r="D59" s="4">
        <v>67.86</v>
      </c>
      <c r="E59" s="4">
        <v>0</v>
      </c>
      <c r="F59" s="4">
        <v>0</v>
      </c>
      <c r="G59" s="4">
        <v>0</v>
      </c>
      <c r="H59" s="4">
        <f>AtlasReport_4_Table_1[[#This Row],[Quantity]]-AtlasReport_4_Table_1[[#This Row],[TPP trans backwards (Beginning)]]</f>
        <v>67.86</v>
      </c>
      <c r="I59" s="4">
        <f>AtlasReport_4_Table_1[[#This Row],[Quantity]]-AtlasReport_4_Table_1[[#This Row],[TPP trans backwards (Ending)]]</f>
        <v>67.86</v>
      </c>
      <c r="J59" s="4">
        <v>0</v>
      </c>
      <c r="K59" s="4">
        <v>0</v>
      </c>
      <c r="L59" s="4">
        <f>AtlasReport_4_Table_1[[#This Row],[TPP cost amount]]-AtlasReport_4_Table_1[[#This Row],[TPP trans backwards balance (Beginning)]]</f>
        <v>0</v>
      </c>
      <c r="M59" s="4">
        <f>AtlasReport_4_Table_1[[#This Row],[TPP cost amount]]-AtlasReport_4_Table_1[[#This Row],[TPP Balance (Beginning)]]</f>
        <v>0</v>
      </c>
    </row>
    <row r="60" spans="1:13" x14ac:dyDescent="0.15">
      <c r="A60" s="8" t="s">
        <v>146</v>
      </c>
      <c r="B60" s="8" t="s">
        <v>160</v>
      </c>
      <c r="C60" s="8" t="s">
        <v>161</v>
      </c>
      <c r="D60" s="4">
        <v>4</v>
      </c>
      <c r="E60" s="4">
        <v>0</v>
      </c>
      <c r="F60" s="4">
        <v>0</v>
      </c>
      <c r="G60" s="4">
        <v>0</v>
      </c>
      <c r="H60" s="4">
        <f>AtlasReport_4_Table_1[[#This Row],[Quantity]]-AtlasReport_4_Table_1[[#This Row],[TPP trans backwards (Beginning)]]</f>
        <v>4</v>
      </c>
      <c r="I60" s="4">
        <f>AtlasReport_4_Table_1[[#This Row],[Quantity]]-AtlasReport_4_Table_1[[#This Row],[TPP trans backwards (Ending)]]</f>
        <v>4</v>
      </c>
      <c r="J60" s="4">
        <v>0</v>
      </c>
      <c r="K60" s="4">
        <v>0</v>
      </c>
      <c r="L60" s="4">
        <f>AtlasReport_4_Table_1[[#This Row],[TPP cost amount]]-AtlasReport_4_Table_1[[#This Row],[TPP trans backwards balance (Beginning)]]</f>
        <v>0</v>
      </c>
      <c r="M60" s="4">
        <f>AtlasReport_4_Table_1[[#This Row],[TPP cost amount]]-AtlasReport_4_Table_1[[#This Row],[TPP Balance (Beginning)]]</f>
        <v>0</v>
      </c>
    </row>
    <row r="61" spans="1:13" x14ac:dyDescent="0.15">
      <c r="A61" s="8" t="s">
        <v>128</v>
      </c>
      <c r="B61" s="8" t="s">
        <v>160</v>
      </c>
      <c r="C61" s="8" t="s">
        <v>161</v>
      </c>
      <c r="D61" s="4">
        <v>16</v>
      </c>
      <c r="E61" s="4">
        <v>0</v>
      </c>
      <c r="F61" s="4">
        <v>0</v>
      </c>
      <c r="G61" s="4">
        <v>0</v>
      </c>
      <c r="H61" s="4">
        <f>AtlasReport_4_Table_1[[#This Row],[Quantity]]-AtlasReport_4_Table_1[[#This Row],[TPP trans backwards (Beginning)]]</f>
        <v>16</v>
      </c>
      <c r="I61" s="4">
        <f>AtlasReport_4_Table_1[[#This Row],[Quantity]]-AtlasReport_4_Table_1[[#This Row],[TPP trans backwards (Ending)]]</f>
        <v>16</v>
      </c>
      <c r="J61" s="4">
        <v>0</v>
      </c>
      <c r="K61" s="4">
        <v>0</v>
      </c>
      <c r="L61" s="4">
        <f>AtlasReport_4_Table_1[[#This Row],[TPP cost amount]]-AtlasReport_4_Table_1[[#This Row],[TPP trans backwards balance (Beginning)]]</f>
        <v>0</v>
      </c>
      <c r="M61" s="4">
        <f>AtlasReport_4_Table_1[[#This Row],[TPP cost amount]]-AtlasReport_4_Table_1[[#This Row],[TPP Balance (Beginning)]]</f>
        <v>0</v>
      </c>
    </row>
    <row r="62" spans="1:13" x14ac:dyDescent="0.15">
      <c r="A62" s="8" t="s">
        <v>147</v>
      </c>
      <c r="B62" s="8" t="s">
        <v>160</v>
      </c>
      <c r="C62" s="8" t="s">
        <v>161</v>
      </c>
      <c r="D62" s="4">
        <v>9</v>
      </c>
      <c r="E62" s="4">
        <v>0</v>
      </c>
      <c r="F62" s="4">
        <v>0</v>
      </c>
      <c r="G62" s="4">
        <v>0</v>
      </c>
      <c r="H62" s="4">
        <f>AtlasReport_4_Table_1[[#This Row],[Quantity]]-AtlasReport_4_Table_1[[#This Row],[TPP trans backwards (Beginning)]]</f>
        <v>9</v>
      </c>
      <c r="I62" s="4">
        <f>AtlasReport_4_Table_1[[#This Row],[Quantity]]-AtlasReport_4_Table_1[[#This Row],[TPP trans backwards (Ending)]]</f>
        <v>9</v>
      </c>
      <c r="J62" s="4">
        <v>0</v>
      </c>
      <c r="K62" s="4">
        <v>0</v>
      </c>
      <c r="L62" s="4">
        <f>AtlasReport_4_Table_1[[#This Row],[TPP cost amount]]-AtlasReport_4_Table_1[[#This Row],[TPP trans backwards balance (Beginning)]]</f>
        <v>0</v>
      </c>
      <c r="M62" s="4">
        <f>AtlasReport_4_Table_1[[#This Row],[TPP cost amount]]-AtlasReport_4_Table_1[[#This Row],[TPP Balance (Beginning)]]</f>
        <v>0</v>
      </c>
    </row>
    <row r="63" spans="1:13" x14ac:dyDescent="0.15">
      <c r="A63" s="8" t="s">
        <v>80</v>
      </c>
      <c r="B63" s="8" t="s">
        <v>160</v>
      </c>
      <c r="C63" s="8" t="s">
        <v>161</v>
      </c>
      <c r="D63" s="4">
        <v>48</v>
      </c>
      <c r="E63" s="4">
        <v>0</v>
      </c>
      <c r="F63" s="4">
        <v>0</v>
      </c>
      <c r="G63" s="4">
        <v>0</v>
      </c>
      <c r="H63" s="4">
        <f>AtlasReport_4_Table_1[[#This Row],[Quantity]]-AtlasReport_4_Table_1[[#This Row],[TPP trans backwards (Beginning)]]</f>
        <v>48</v>
      </c>
      <c r="I63" s="4">
        <f>AtlasReport_4_Table_1[[#This Row],[Quantity]]-AtlasReport_4_Table_1[[#This Row],[TPP trans backwards (Ending)]]</f>
        <v>48</v>
      </c>
      <c r="J63" s="4">
        <v>0</v>
      </c>
      <c r="K63" s="4">
        <v>0</v>
      </c>
      <c r="L63" s="4">
        <f>AtlasReport_4_Table_1[[#This Row],[TPP cost amount]]-AtlasReport_4_Table_1[[#This Row],[TPP trans backwards balance (Beginning)]]</f>
        <v>0</v>
      </c>
      <c r="M63" s="4">
        <f>AtlasReport_4_Table_1[[#This Row],[TPP cost amount]]-AtlasReport_4_Table_1[[#This Row],[TPP Balance (Beginning)]]</f>
        <v>0</v>
      </c>
    </row>
    <row r="64" spans="1:13" x14ac:dyDescent="0.15">
      <c r="A64" s="8" t="s">
        <v>148</v>
      </c>
      <c r="B64" s="8" t="s">
        <v>160</v>
      </c>
      <c r="C64" s="8" t="s">
        <v>161</v>
      </c>
      <c r="D64" s="4">
        <v>19</v>
      </c>
      <c r="E64" s="4">
        <v>0</v>
      </c>
      <c r="F64" s="4">
        <v>0</v>
      </c>
      <c r="G64" s="4">
        <v>0</v>
      </c>
      <c r="H64" s="4">
        <f>AtlasReport_4_Table_1[[#This Row],[Quantity]]-AtlasReport_4_Table_1[[#This Row],[TPP trans backwards (Beginning)]]</f>
        <v>19</v>
      </c>
      <c r="I64" s="4">
        <f>AtlasReport_4_Table_1[[#This Row],[Quantity]]-AtlasReport_4_Table_1[[#This Row],[TPP trans backwards (Ending)]]</f>
        <v>19</v>
      </c>
      <c r="J64" s="4">
        <v>0</v>
      </c>
      <c r="K64" s="4">
        <v>0</v>
      </c>
      <c r="L64" s="4">
        <f>AtlasReport_4_Table_1[[#This Row],[TPP cost amount]]-AtlasReport_4_Table_1[[#This Row],[TPP trans backwards balance (Beginning)]]</f>
        <v>0</v>
      </c>
      <c r="M64" s="4">
        <f>AtlasReport_4_Table_1[[#This Row],[TPP cost amount]]-AtlasReport_4_Table_1[[#This Row],[TPP Balance (Beginning)]]</f>
        <v>0</v>
      </c>
    </row>
    <row r="65" spans="1:13" x14ac:dyDescent="0.15">
      <c r="A65" s="8" t="s">
        <v>65</v>
      </c>
      <c r="B65" s="8" t="s">
        <v>160</v>
      </c>
      <c r="C65" s="8" t="s">
        <v>161</v>
      </c>
      <c r="D65" s="4">
        <v>1</v>
      </c>
      <c r="E65" s="4">
        <v>0</v>
      </c>
      <c r="F65" s="4">
        <v>0</v>
      </c>
      <c r="G65" s="4">
        <v>0</v>
      </c>
      <c r="H65" s="4">
        <f>AtlasReport_4_Table_1[[#This Row],[Quantity]]-AtlasReport_4_Table_1[[#This Row],[TPP trans backwards (Beginning)]]</f>
        <v>1</v>
      </c>
      <c r="I65" s="4">
        <f>AtlasReport_4_Table_1[[#This Row],[Quantity]]-AtlasReport_4_Table_1[[#This Row],[TPP trans backwards (Ending)]]</f>
        <v>1</v>
      </c>
      <c r="J65" s="4">
        <v>0</v>
      </c>
      <c r="K65" s="4">
        <v>0</v>
      </c>
      <c r="L65" s="4">
        <f>AtlasReport_4_Table_1[[#This Row],[TPP cost amount]]-AtlasReport_4_Table_1[[#This Row],[TPP trans backwards balance (Beginning)]]</f>
        <v>0</v>
      </c>
      <c r="M65" s="4">
        <f>AtlasReport_4_Table_1[[#This Row],[TPP cost amount]]-AtlasReport_4_Table_1[[#This Row],[TPP Balance (Beginning)]]</f>
        <v>0</v>
      </c>
    </row>
    <row r="66" spans="1:13" x14ac:dyDescent="0.15">
      <c r="A66" s="8" t="s">
        <v>66</v>
      </c>
      <c r="B66" s="8" t="s">
        <v>160</v>
      </c>
      <c r="C66" s="8" t="s">
        <v>161</v>
      </c>
      <c r="D66" s="4">
        <v>3</v>
      </c>
      <c r="E66" s="4">
        <v>0</v>
      </c>
      <c r="F66" s="4">
        <v>0</v>
      </c>
      <c r="G66" s="4">
        <v>0</v>
      </c>
      <c r="H66" s="4">
        <f>AtlasReport_4_Table_1[[#This Row],[Quantity]]-AtlasReport_4_Table_1[[#This Row],[TPP trans backwards (Beginning)]]</f>
        <v>3</v>
      </c>
      <c r="I66" s="4">
        <f>AtlasReport_4_Table_1[[#This Row],[Quantity]]-AtlasReport_4_Table_1[[#This Row],[TPP trans backwards (Ending)]]</f>
        <v>3</v>
      </c>
      <c r="J66" s="4">
        <v>0</v>
      </c>
      <c r="K66" s="4">
        <v>0</v>
      </c>
      <c r="L66" s="4">
        <f>AtlasReport_4_Table_1[[#This Row],[TPP cost amount]]-AtlasReport_4_Table_1[[#This Row],[TPP trans backwards balance (Beginning)]]</f>
        <v>0</v>
      </c>
      <c r="M66" s="4">
        <f>AtlasReport_4_Table_1[[#This Row],[TPP cost amount]]-AtlasReport_4_Table_1[[#This Row],[TPP Balance (Beginning)]]</f>
        <v>0</v>
      </c>
    </row>
    <row r="67" spans="1:13" x14ac:dyDescent="0.15">
      <c r="A67" s="8" t="s">
        <v>167</v>
      </c>
      <c r="B67" s="8" t="s">
        <v>160</v>
      </c>
      <c r="C67" s="8" t="s">
        <v>161</v>
      </c>
      <c r="D67" s="4">
        <v>4650</v>
      </c>
      <c r="E67" s="4">
        <v>0</v>
      </c>
      <c r="F67" s="4">
        <v>0</v>
      </c>
      <c r="G67" s="4">
        <v>0</v>
      </c>
      <c r="H67" s="4">
        <f>AtlasReport_4_Table_1[[#This Row],[Quantity]]-AtlasReport_4_Table_1[[#This Row],[TPP trans backwards (Beginning)]]</f>
        <v>4650</v>
      </c>
      <c r="I67" s="4">
        <f>AtlasReport_4_Table_1[[#This Row],[Quantity]]-AtlasReport_4_Table_1[[#This Row],[TPP trans backwards (Ending)]]</f>
        <v>4650</v>
      </c>
      <c r="J67" s="4">
        <v>0</v>
      </c>
      <c r="K67" s="4">
        <v>0</v>
      </c>
      <c r="L67" s="4">
        <f>AtlasReport_4_Table_1[[#This Row],[TPP cost amount]]-AtlasReport_4_Table_1[[#This Row],[TPP trans backwards balance (Beginning)]]</f>
        <v>0</v>
      </c>
      <c r="M67" s="4">
        <f>AtlasReport_4_Table_1[[#This Row],[TPP cost amount]]-AtlasReport_4_Table_1[[#This Row],[TPP Balance (Beginning)]]</f>
        <v>0</v>
      </c>
    </row>
    <row r="68" spans="1:13" x14ac:dyDescent="0.15">
      <c r="A68" s="8" t="s">
        <v>149</v>
      </c>
      <c r="B68" s="8" t="s">
        <v>160</v>
      </c>
      <c r="C68" s="8" t="s">
        <v>161</v>
      </c>
      <c r="D68" s="4">
        <v>5</v>
      </c>
      <c r="E68" s="4">
        <v>0</v>
      </c>
      <c r="F68" s="4">
        <v>0</v>
      </c>
      <c r="G68" s="4">
        <v>0</v>
      </c>
      <c r="H68" s="4">
        <f>AtlasReport_4_Table_1[[#This Row],[Quantity]]-AtlasReport_4_Table_1[[#This Row],[TPP trans backwards (Beginning)]]</f>
        <v>5</v>
      </c>
      <c r="I68" s="4">
        <f>AtlasReport_4_Table_1[[#This Row],[Quantity]]-AtlasReport_4_Table_1[[#This Row],[TPP trans backwards (Ending)]]</f>
        <v>5</v>
      </c>
      <c r="J68" s="4">
        <v>0</v>
      </c>
      <c r="K68" s="4">
        <v>0</v>
      </c>
      <c r="L68" s="4">
        <f>AtlasReport_4_Table_1[[#This Row],[TPP cost amount]]-AtlasReport_4_Table_1[[#This Row],[TPP trans backwards balance (Beginning)]]</f>
        <v>0</v>
      </c>
      <c r="M68" s="4">
        <f>AtlasReport_4_Table_1[[#This Row],[TPP cost amount]]-AtlasReport_4_Table_1[[#This Row],[TPP Balance (Beginning)]]</f>
        <v>0</v>
      </c>
    </row>
    <row r="69" spans="1:13" x14ac:dyDescent="0.15">
      <c r="A69" s="8" t="s">
        <v>114</v>
      </c>
      <c r="B69" s="8" t="s">
        <v>160</v>
      </c>
      <c r="C69" s="8" t="s">
        <v>161</v>
      </c>
      <c r="D69" s="4">
        <v>4</v>
      </c>
      <c r="E69" s="4">
        <v>0</v>
      </c>
      <c r="F69" s="4">
        <v>0</v>
      </c>
      <c r="G69" s="4">
        <v>0</v>
      </c>
      <c r="H69" s="4">
        <f>AtlasReport_4_Table_1[[#This Row],[Quantity]]-AtlasReport_4_Table_1[[#This Row],[TPP trans backwards (Beginning)]]</f>
        <v>4</v>
      </c>
      <c r="I69" s="4">
        <f>AtlasReport_4_Table_1[[#This Row],[Quantity]]-AtlasReport_4_Table_1[[#This Row],[TPP trans backwards (Ending)]]</f>
        <v>4</v>
      </c>
      <c r="J69" s="4">
        <v>0</v>
      </c>
      <c r="K69" s="4">
        <v>0</v>
      </c>
      <c r="L69" s="4">
        <f>AtlasReport_4_Table_1[[#This Row],[TPP cost amount]]-AtlasReport_4_Table_1[[#This Row],[TPP trans backwards balance (Beginning)]]</f>
        <v>0</v>
      </c>
      <c r="M69" s="4">
        <f>AtlasReport_4_Table_1[[#This Row],[TPP cost amount]]-AtlasReport_4_Table_1[[#This Row],[TPP Balance (Beginning)]]</f>
        <v>0</v>
      </c>
    </row>
    <row r="70" spans="1:13" x14ac:dyDescent="0.15">
      <c r="A70" s="8" t="s">
        <v>23</v>
      </c>
      <c r="B70" s="8" t="s">
        <v>160</v>
      </c>
      <c r="C70" s="8" t="s">
        <v>161</v>
      </c>
      <c r="D70" s="4">
        <v>-378</v>
      </c>
      <c r="E70" s="4">
        <v>0</v>
      </c>
      <c r="F70" s="4">
        <v>0</v>
      </c>
      <c r="G70" s="4">
        <v>0</v>
      </c>
      <c r="H70" s="4">
        <f>AtlasReport_4_Table_1[[#This Row],[Quantity]]-AtlasReport_4_Table_1[[#This Row],[TPP trans backwards (Beginning)]]</f>
        <v>-378</v>
      </c>
      <c r="I70" s="4">
        <f>AtlasReport_4_Table_1[[#This Row],[Quantity]]-AtlasReport_4_Table_1[[#This Row],[TPP trans backwards (Ending)]]</f>
        <v>-378</v>
      </c>
      <c r="J70" s="4">
        <v>0</v>
      </c>
      <c r="K70" s="4">
        <v>0</v>
      </c>
      <c r="L70" s="4">
        <f>AtlasReport_4_Table_1[[#This Row],[TPP cost amount]]-AtlasReport_4_Table_1[[#This Row],[TPP trans backwards balance (Beginning)]]</f>
        <v>0</v>
      </c>
      <c r="M70" s="4">
        <f>AtlasReport_4_Table_1[[#This Row],[TPP cost amount]]-AtlasReport_4_Table_1[[#This Row],[TPP Balance (Beginning)]]</f>
        <v>0</v>
      </c>
    </row>
    <row r="71" spans="1:13" x14ac:dyDescent="0.15">
      <c r="A71" s="8" t="s">
        <v>67</v>
      </c>
      <c r="B71" s="8" t="s">
        <v>160</v>
      </c>
      <c r="C71" s="8" t="s">
        <v>161</v>
      </c>
      <c r="D71" s="4">
        <v>67</v>
      </c>
      <c r="E71" s="4">
        <v>0</v>
      </c>
      <c r="F71" s="4">
        <v>0</v>
      </c>
      <c r="G71" s="4">
        <v>0</v>
      </c>
      <c r="H71" s="4">
        <f>AtlasReport_4_Table_1[[#This Row],[Quantity]]-AtlasReport_4_Table_1[[#This Row],[TPP trans backwards (Beginning)]]</f>
        <v>67</v>
      </c>
      <c r="I71" s="4">
        <f>AtlasReport_4_Table_1[[#This Row],[Quantity]]-AtlasReport_4_Table_1[[#This Row],[TPP trans backwards (Ending)]]</f>
        <v>67</v>
      </c>
      <c r="J71" s="4">
        <v>0</v>
      </c>
      <c r="K71" s="4">
        <v>0</v>
      </c>
      <c r="L71" s="4">
        <f>AtlasReport_4_Table_1[[#This Row],[TPP cost amount]]-AtlasReport_4_Table_1[[#This Row],[TPP trans backwards balance (Beginning)]]</f>
        <v>0</v>
      </c>
      <c r="M71" s="4">
        <f>AtlasReport_4_Table_1[[#This Row],[TPP cost amount]]-AtlasReport_4_Table_1[[#This Row],[TPP Balance (Beginning)]]</f>
        <v>0</v>
      </c>
    </row>
    <row r="72" spans="1:13" x14ac:dyDescent="0.15">
      <c r="A72" s="8" t="s">
        <v>28</v>
      </c>
      <c r="B72" s="8" t="s">
        <v>160</v>
      </c>
      <c r="C72" s="8" t="s">
        <v>161</v>
      </c>
      <c r="D72" s="4">
        <v>3</v>
      </c>
      <c r="E72" s="4">
        <v>0</v>
      </c>
      <c r="F72" s="4">
        <v>0</v>
      </c>
      <c r="G72" s="4">
        <v>0</v>
      </c>
      <c r="H72" s="4">
        <f>AtlasReport_4_Table_1[[#This Row],[Quantity]]-AtlasReport_4_Table_1[[#This Row],[TPP trans backwards (Beginning)]]</f>
        <v>3</v>
      </c>
      <c r="I72" s="4">
        <f>AtlasReport_4_Table_1[[#This Row],[Quantity]]-AtlasReport_4_Table_1[[#This Row],[TPP trans backwards (Ending)]]</f>
        <v>3</v>
      </c>
      <c r="J72" s="4">
        <v>0</v>
      </c>
      <c r="K72" s="4">
        <v>0</v>
      </c>
      <c r="L72" s="4">
        <f>AtlasReport_4_Table_1[[#This Row],[TPP cost amount]]-AtlasReport_4_Table_1[[#This Row],[TPP trans backwards balance (Beginning)]]</f>
        <v>0</v>
      </c>
      <c r="M72" s="4">
        <f>AtlasReport_4_Table_1[[#This Row],[TPP cost amount]]-AtlasReport_4_Table_1[[#This Row],[TPP Balance (Beginning)]]</f>
        <v>0</v>
      </c>
    </row>
    <row r="73" spans="1:13" x14ac:dyDescent="0.15">
      <c r="A73" s="8" t="s">
        <v>198</v>
      </c>
      <c r="B73" s="8" t="s">
        <v>160</v>
      </c>
      <c r="C73" s="8" t="s">
        <v>161</v>
      </c>
      <c r="D73" s="4">
        <v>20</v>
      </c>
      <c r="E73" s="4">
        <v>0</v>
      </c>
      <c r="F73" s="4">
        <v>0</v>
      </c>
      <c r="G73" s="4">
        <v>0</v>
      </c>
      <c r="H73" s="4">
        <f>AtlasReport_4_Table_1[[#This Row],[Quantity]]-AtlasReport_4_Table_1[[#This Row],[TPP trans backwards (Beginning)]]</f>
        <v>20</v>
      </c>
      <c r="I73" s="4">
        <f>AtlasReport_4_Table_1[[#This Row],[Quantity]]-AtlasReport_4_Table_1[[#This Row],[TPP trans backwards (Ending)]]</f>
        <v>20</v>
      </c>
      <c r="J73" s="4">
        <v>0</v>
      </c>
      <c r="K73" s="4">
        <v>0</v>
      </c>
      <c r="L73" s="4">
        <f>AtlasReport_4_Table_1[[#This Row],[TPP cost amount]]-AtlasReport_4_Table_1[[#This Row],[TPP trans backwards balance (Beginning)]]</f>
        <v>0</v>
      </c>
      <c r="M73" s="4">
        <f>AtlasReport_4_Table_1[[#This Row],[TPP cost amount]]-AtlasReport_4_Table_1[[#This Row],[TPP Balance (Beginning)]]</f>
        <v>0</v>
      </c>
    </row>
    <row r="74" spans="1:13" x14ac:dyDescent="0.15">
      <c r="A74" s="8" t="s">
        <v>68</v>
      </c>
      <c r="B74" s="8" t="s">
        <v>160</v>
      </c>
      <c r="C74" s="8" t="s">
        <v>161</v>
      </c>
      <c r="D74" s="4">
        <v>68</v>
      </c>
      <c r="E74" s="4">
        <v>0</v>
      </c>
      <c r="F74" s="4">
        <v>0</v>
      </c>
      <c r="G74" s="4">
        <v>0</v>
      </c>
      <c r="H74" s="4">
        <f>AtlasReport_4_Table_1[[#This Row],[Quantity]]-AtlasReport_4_Table_1[[#This Row],[TPP trans backwards (Beginning)]]</f>
        <v>68</v>
      </c>
      <c r="I74" s="4">
        <f>AtlasReport_4_Table_1[[#This Row],[Quantity]]-AtlasReport_4_Table_1[[#This Row],[TPP trans backwards (Ending)]]</f>
        <v>68</v>
      </c>
      <c r="J74" s="4">
        <v>0</v>
      </c>
      <c r="K74" s="4">
        <v>0</v>
      </c>
      <c r="L74" s="4">
        <f>AtlasReport_4_Table_1[[#This Row],[TPP cost amount]]-AtlasReport_4_Table_1[[#This Row],[TPP trans backwards balance (Beginning)]]</f>
        <v>0</v>
      </c>
      <c r="M74" s="4">
        <f>AtlasReport_4_Table_1[[#This Row],[TPP cost amount]]-AtlasReport_4_Table_1[[#This Row],[TPP Balance (Beginning)]]</f>
        <v>0</v>
      </c>
    </row>
    <row r="75" spans="1:13" x14ac:dyDescent="0.15">
      <c r="A75" s="8" t="s">
        <v>117</v>
      </c>
      <c r="B75" s="8" t="s">
        <v>160</v>
      </c>
      <c r="C75" s="8" t="s">
        <v>161</v>
      </c>
      <c r="D75" s="4">
        <v>145</v>
      </c>
      <c r="E75" s="4">
        <v>0</v>
      </c>
      <c r="F75" s="4">
        <v>0</v>
      </c>
      <c r="G75" s="4">
        <v>0</v>
      </c>
      <c r="H75" s="4">
        <f>AtlasReport_4_Table_1[[#This Row],[Quantity]]-AtlasReport_4_Table_1[[#This Row],[TPP trans backwards (Beginning)]]</f>
        <v>145</v>
      </c>
      <c r="I75" s="4">
        <f>AtlasReport_4_Table_1[[#This Row],[Quantity]]-AtlasReport_4_Table_1[[#This Row],[TPP trans backwards (Ending)]]</f>
        <v>145</v>
      </c>
      <c r="J75" s="4">
        <v>0</v>
      </c>
      <c r="K75" s="4">
        <v>0</v>
      </c>
      <c r="L75" s="4">
        <f>AtlasReport_4_Table_1[[#This Row],[TPP cost amount]]-AtlasReport_4_Table_1[[#This Row],[TPP trans backwards balance (Beginning)]]</f>
        <v>0</v>
      </c>
      <c r="M75" s="4">
        <f>AtlasReport_4_Table_1[[#This Row],[TPP cost amount]]-AtlasReport_4_Table_1[[#This Row],[TPP Balance (Beginning)]]</f>
        <v>0</v>
      </c>
    </row>
    <row r="76" spans="1:13" x14ac:dyDescent="0.15">
      <c r="A76" s="8" t="s">
        <v>200</v>
      </c>
      <c r="B76" s="8" t="s">
        <v>160</v>
      </c>
      <c r="C76" s="8" t="s">
        <v>161</v>
      </c>
      <c r="D76" s="4">
        <v>5</v>
      </c>
      <c r="E76" s="4">
        <v>0</v>
      </c>
      <c r="F76" s="4">
        <v>0</v>
      </c>
      <c r="G76" s="4">
        <v>0</v>
      </c>
      <c r="H76" s="4">
        <f>AtlasReport_4_Table_1[[#This Row],[Quantity]]-AtlasReport_4_Table_1[[#This Row],[TPP trans backwards (Beginning)]]</f>
        <v>5</v>
      </c>
      <c r="I76" s="4">
        <f>AtlasReport_4_Table_1[[#This Row],[Quantity]]-AtlasReport_4_Table_1[[#This Row],[TPP trans backwards (Ending)]]</f>
        <v>5</v>
      </c>
      <c r="J76" s="4">
        <v>0</v>
      </c>
      <c r="K76" s="4">
        <v>0</v>
      </c>
      <c r="L76" s="4">
        <f>AtlasReport_4_Table_1[[#This Row],[TPP cost amount]]-AtlasReport_4_Table_1[[#This Row],[TPP trans backwards balance (Beginning)]]</f>
        <v>0</v>
      </c>
      <c r="M76" s="4">
        <f>AtlasReport_4_Table_1[[#This Row],[TPP cost amount]]-AtlasReport_4_Table_1[[#This Row],[TPP Balance (Beginning)]]</f>
        <v>0</v>
      </c>
    </row>
    <row r="77" spans="1:13" x14ac:dyDescent="0.15">
      <c r="A77" s="8" t="s">
        <v>105</v>
      </c>
      <c r="B77" s="8" t="s">
        <v>160</v>
      </c>
      <c r="C77" s="8" t="s">
        <v>161</v>
      </c>
      <c r="D77" s="4">
        <v>2</v>
      </c>
      <c r="E77" s="4">
        <v>0</v>
      </c>
      <c r="F77" s="4">
        <v>0</v>
      </c>
      <c r="G77" s="4">
        <v>0</v>
      </c>
      <c r="H77" s="4">
        <f>AtlasReport_4_Table_1[[#This Row],[Quantity]]-AtlasReport_4_Table_1[[#This Row],[TPP trans backwards (Beginning)]]</f>
        <v>2</v>
      </c>
      <c r="I77" s="4">
        <f>AtlasReport_4_Table_1[[#This Row],[Quantity]]-AtlasReport_4_Table_1[[#This Row],[TPP trans backwards (Ending)]]</f>
        <v>2</v>
      </c>
      <c r="J77" s="4">
        <v>0</v>
      </c>
      <c r="K77" s="4">
        <v>0</v>
      </c>
      <c r="L77" s="4">
        <f>AtlasReport_4_Table_1[[#This Row],[TPP cost amount]]-AtlasReport_4_Table_1[[#This Row],[TPP trans backwards balance (Beginning)]]</f>
        <v>0</v>
      </c>
      <c r="M77" s="4">
        <f>AtlasReport_4_Table_1[[#This Row],[TPP cost amount]]-AtlasReport_4_Table_1[[#This Row],[TPP Balance (Beginning)]]</f>
        <v>0</v>
      </c>
    </row>
    <row r="78" spans="1:13" x14ac:dyDescent="0.15">
      <c r="A78" s="8" t="s">
        <v>201</v>
      </c>
      <c r="B78" s="8" t="s">
        <v>160</v>
      </c>
      <c r="C78" s="8" t="s">
        <v>161</v>
      </c>
      <c r="D78" s="4">
        <v>2</v>
      </c>
      <c r="E78" s="4">
        <v>0</v>
      </c>
      <c r="F78" s="4">
        <v>0</v>
      </c>
      <c r="G78" s="4">
        <v>0</v>
      </c>
      <c r="H78" s="4">
        <f>AtlasReport_4_Table_1[[#This Row],[Quantity]]-AtlasReport_4_Table_1[[#This Row],[TPP trans backwards (Beginning)]]</f>
        <v>2</v>
      </c>
      <c r="I78" s="4">
        <f>AtlasReport_4_Table_1[[#This Row],[Quantity]]-AtlasReport_4_Table_1[[#This Row],[TPP trans backwards (Ending)]]</f>
        <v>2</v>
      </c>
      <c r="J78" s="4">
        <v>0</v>
      </c>
      <c r="K78" s="4">
        <v>0</v>
      </c>
      <c r="L78" s="4">
        <f>AtlasReport_4_Table_1[[#This Row],[TPP cost amount]]-AtlasReport_4_Table_1[[#This Row],[TPP trans backwards balance (Beginning)]]</f>
        <v>0</v>
      </c>
      <c r="M78" s="4">
        <f>AtlasReport_4_Table_1[[#This Row],[TPP cost amount]]-AtlasReport_4_Table_1[[#This Row],[TPP Balance (Beginning)]]</f>
        <v>0</v>
      </c>
    </row>
    <row r="79" spans="1:13" x14ac:dyDescent="0.15">
      <c r="A79" s="8" t="s">
        <v>19</v>
      </c>
      <c r="B79" s="8" t="s">
        <v>160</v>
      </c>
      <c r="C79" s="8" t="s">
        <v>161</v>
      </c>
      <c r="D79" s="4">
        <v>-4</v>
      </c>
      <c r="E79" s="4">
        <v>0</v>
      </c>
      <c r="F79" s="4">
        <v>0</v>
      </c>
      <c r="G79" s="4">
        <v>0</v>
      </c>
      <c r="H79" s="4">
        <f>AtlasReport_4_Table_1[[#This Row],[Quantity]]-AtlasReport_4_Table_1[[#This Row],[TPP trans backwards (Beginning)]]</f>
        <v>-4</v>
      </c>
      <c r="I79" s="4">
        <f>AtlasReport_4_Table_1[[#This Row],[Quantity]]-AtlasReport_4_Table_1[[#This Row],[TPP trans backwards (Ending)]]</f>
        <v>-4</v>
      </c>
      <c r="J79" s="4">
        <v>0</v>
      </c>
      <c r="K79" s="4">
        <v>0</v>
      </c>
      <c r="L79" s="4">
        <f>AtlasReport_4_Table_1[[#This Row],[TPP cost amount]]-AtlasReport_4_Table_1[[#This Row],[TPP trans backwards balance (Beginning)]]</f>
        <v>0</v>
      </c>
      <c r="M79" s="4">
        <f>AtlasReport_4_Table_1[[#This Row],[TPP cost amount]]-AtlasReport_4_Table_1[[#This Row],[TPP Balance (Beginning)]]</f>
        <v>0</v>
      </c>
    </row>
    <row r="80" spans="1:13" x14ac:dyDescent="0.15">
      <c r="A80" s="3" t="s">
        <v>13</v>
      </c>
      <c r="B80" s="7"/>
      <c r="C80" s="7"/>
      <c r="D80" s="3">
        <f>SUBTOTAL(109,AtlasReport_4_Table_1[Quantity])</f>
        <v>29561.45</v>
      </c>
      <c r="E80" s="3">
        <f>SUBTOTAL(109,AtlasReport_4_Table_1[TPP cost amount])</f>
        <v>0</v>
      </c>
      <c r="F80" s="3"/>
      <c r="G80" s="3"/>
      <c r="H80" s="3"/>
      <c r="I80" s="3"/>
      <c r="J80" s="3"/>
      <c r="K80" s="3"/>
      <c r="L80" s="3"/>
      <c r="M80" s="3"/>
    </row>
    <row r="81" spans="1:13" x14ac:dyDescent="0.1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</row>
    <row r="82" spans="1:13" x14ac:dyDescent="0.1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</row>
  </sheetData>
  <phoneticPr fontId="5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61"/>
  <sheetViews>
    <sheetView workbookViewId="0">
      <selection activeCell="A2" sqref="A2:E2"/>
    </sheetView>
  </sheetViews>
  <sheetFormatPr defaultRowHeight="13.5" x14ac:dyDescent="0.15"/>
  <cols>
    <col min="1" max="1" width="21.125" customWidth="1"/>
    <col min="2" max="2" width="56.75" customWidth="1"/>
    <col min="3" max="3" width="13" customWidth="1"/>
    <col min="4" max="4" width="11.875" customWidth="1"/>
    <col min="5" max="5" width="7.125" customWidth="1"/>
  </cols>
  <sheetData>
    <row r="1" spans="1:5" ht="22.5" x14ac:dyDescent="0.25">
      <c r="A1" s="2" t="s">
        <v>248</v>
      </c>
      <c r="B1" s="2"/>
      <c r="C1" s="2"/>
      <c r="D1" s="2"/>
      <c r="E1" s="2"/>
    </row>
    <row r="2" spans="1:5" x14ac:dyDescent="0.15">
      <c r="A2" s="3" t="s">
        <v>6</v>
      </c>
      <c r="B2" s="3" t="s">
        <v>30</v>
      </c>
      <c r="C2" s="3" t="s">
        <v>249</v>
      </c>
      <c r="D2" s="3" t="s">
        <v>250</v>
      </c>
      <c r="E2" s="3" t="s">
        <v>36</v>
      </c>
    </row>
    <row r="3" spans="1:5" x14ac:dyDescent="0.15">
      <c r="A3" s="8" t="s">
        <v>52</v>
      </c>
      <c r="B3" s="8" t="s">
        <v>96</v>
      </c>
      <c r="C3" s="8" t="s">
        <v>251</v>
      </c>
      <c r="D3" s="8" t="s">
        <v>252</v>
      </c>
      <c r="E3" s="8" t="s">
        <v>38</v>
      </c>
    </row>
    <row r="4" spans="1:5" ht="27" x14ac:dyDescent="0.15">
      <c r="A4" s="8" t="s">
        <v>136</v>
      </c>
      <c r="B4" s="11" t="s">
        <v>174</v>
      </c>
      <c r="C4" s="8" t="s">
        <v>251</v>
      </c>
      <c r="D4" s="8" t="s">
        <v>252</v>
      </c>
      <c r="E4" s="8" t="s">
        <v>38</v>
      </c>
    </row>
    <row r="5" spans="1:5" x14ac:dyDescent="0.15">
      <c r="A5" s="8" t="s">
        <v>137</v>
      </c>
      <c r="B5" s="8" t="s">
        <v>253</v>
      </c>
      <c r="C5" s="8" t="s">
        <v>251</v>
      </c>
      <c r="D5" s="8" t="s">
        <v>252</v>
      </c>
      <c r="E5" s="8" t="s">
        <v>38</v>
      </c>
    </row>
    <row r="6" spans="1:5" x14ac:dyDescent="0.15">
      <c r="A6" s="8" t="s">
        <v>53</v>
      </c>
      <c r="B6" s="8" t="s">
        <v>171</v>
      </c>
      <c r="C6" s="8" t="s">
        <v>254</v>
      </c>
      <c r="D6" s="8" t="s">
        <v>252</v>
      </c>
      <c r="E6" s="8" t="s">
        <v>37</v>
      </c>
    </row>
    <row r="7" spans="1:5" x14ac:dyDescent="0.15">
      <c r="A7" s="8" t="s">
        <v>70</v>
      </c>
      <c r="B7" s="8" t="s">
        <v>173</v>
      </c>
      <c r="C7" s="8" t="s">
        <v>254</v>
      </c>
      <c r="D7" s="8" t="s">
        <v>252</v>
      </c>
      <c r="E7" s="8" t="s">
        <v>37</v>
      </c>
    </row>
    <row r="8" spans="1:5" x14ac:dyDescent="0.15">
      <c r="A8" s="8" t="s">
        <v>138</v>
      </c>
      <c r="B8" s="8" t="s">
        <v>255</v>
      </c>
      <c r="C8" s="8" t="s">
        <v>251</v>
      </c>
      <c r="D8" s="8" t="s">
        <v>252</v>
      </c>
      <c r="E8" s="8" t="s">
        <v>37</v>
      </c>
    </row>
    <row r="9" spans="1:5" x14ac:dyDescent="0.15">
      <c r="A9" s="8" t="s">
        <v>366</v>
      </c>
      <c r="B9" s="8" t="s">
        <v>367</v>
      </c>
      <c r="C9" s="8" t="s">
        <v>251</v>
      </c>
      <c r="D9" s="8" t="s">
        <v>252</v>
      </c>
      <c r="E9" s="8" t="s">
        <v>37</v>
      </c>
    </row>
    <row r="10" spans="1:5" x14ac:dyDescent="0.15">
      <c r="A10" s="8" t="s">
        <v>139</v>
      </c>
      <c r="B10" s="8" t="s">
        <v>256</v>
      </c>
      <c r="C10" s="8" t="s">
        <v>251</v>
      </c>
      <c r="D10" s="8" t="s">
        <v>252</v>
      </c>
      <c r="E10" s="8" t="s">
        <v>37</v>
      </c>
    </row>
    <row r="11" spans="1:5" x14ac:dyDescent="0.15">
      <c r="A11" s="8" t="s">
        <v>257</v>
      </c>
      <c r="B11" s="8" t="s">
        <v>258</v>
      </c>
      <c r="C11" s="8" t="s">
        <v>251</v>
      </c>
      <c r="D11" s="8" t="s">
        <v>252</v>
      </c>
      <c r="E11" s="8" t="s">
        <v>37</v>
      </c>
    </row>
    <row r="12" spans="1:5" x14ac:dyDescent="0.15">
      <c r="A12" s="8" t="s">
        <v>22</v>
      </c>
      <c r="B12" s="8" t="s">
        <v>188</v>
      </c>
      <c r="C12" s="8" t="s">
        <v>254</v>
      </c>
      <c r="D12" s="8" t="s">
        <v>252</v>
      </c>
      <c r="E12" s="8" t="s">
        <v>37</v>
      </c>
    </row>
    <row r="13" spans="1:5" x14ac:dyDescent="0.15">
      <c r="A13" s="8" t="s">
        <v>259</v>
      </c>
      <c r="B13" s="8" t="s">
        <v>260</v>
      </c>
      <c r="C13" s="8" t="s">
        <v>261</v>
      </c>
      <c r="D13" s="8" t="s">
        <v>262</v>
      </c>
      <c r="E13" s="8" t="s">
        <v>38</v>
      </c>
    </row>
    <row r="14" spans="1:5" x14ac:dyDescent="0.15">
      <c r="A14" s="8" t="s">
        <v>263</v>
      </c>
      <c r="B14" s="8" t="s">
        <v>264</v>
      </c>
      <c r="C14" s="8" t="s">
        <v>261</v>
      </c>
      <c r="D14" s="8" t="s">
        <v>262</v>
      </c>
      <c r="E14" s="8" t="s">
        <v>265</v>
      </c>
    </row>
    <row r="15" spans="1:5" x14ac:dyDescent="0.15">
      <c r="A15" s="8" t="s">
        <v>266</v>
      </c>
      <c r="B15" s="8" t="s">
        <v>266</v>
      </c>
      <c r="C15" s="8" t="s">
        <v>251</v>
      </c>
      <c r="D15" s="8" t="s">
        <v>252</v>
      </c>
      <c r="E15" s="8" t="s">
        <v>120</v>
      </c>
    </row>
    <row r="16" spans="1:5" x14ac:dyDescent="0.15">
      <c r="A16" s="8" t="s">
        <v>267</v>
      </c>
      <c r="B16" s="8" t="s">
        <v>267</v>
      </c>
      <c r="C16" s="8" t="s">
        <v>251</v>
      </c>
      <c r="D16" s="8" t="s">
        <v>252</v>
      </c>
      <c r="E16" s="8" t="s">
        <v>133</v>
      </c>
    </row>
    <row r="17" spans="1:5" x14ac:dyDescent="0.15">
      <c r="A17" s="8" t="s">
        <v>140</v>
      </c>
      <c r="B17" s="8" t="s">
        <v>268</v>
      </c>
      <c r="C17" s="8" t="s">
        <v>251</v>
      </c>
      <c r="D17" s="8" t="s">
        <v>252</v>
      </c>
      <c r="E17" s="8" t="s">
        <v>37</v>
      </c>
    </row>
    <row r="18" spans="1:5" x14ac:dyDescent="0.15">
      <c r="A18" s="8" t="s">
        <v>119</v>
      </c>
      <c r="B18" s="8" t="s">
        <v>189</v>
      </c>
      <c r="C18" s="8" t="s">
        <v>251</v>
      </c>
      <c r="D18" s="8" t="s">
        <v>252</v>
      </c>
      <c r="E18" s="8" t="s">
        <v>37</v>
      </c>
    </row>
    <row r="19" spans="1:5" x14ac:dyDescent="0.15">
      <c r="A19" s="8" t="s">
        <v>20</v>
      </c>
      <c r="B19" s="8" t="s">
        <v>269</v>
      </c>
      <c r="C19" s="8" t="s">
        <v>251</v>
      </c>
      <c r="D19" s="8" t="s">
        <v>252</v>
      </c>
      <c r="E19" s="8" t="s">
        <v>38</v>
      </c>
    </row>
    <row r="20" spans="1:5" x14ac:dyDescent="0.15">
      <c r="A20" s="8" t="s">
        <v>71</v>
      </c>
      <c r="B20" s="8" t="s">
        <v>269</v>
      </c>
      <c r="C20" s="8" t="s">
        <v>251</v>
      </c>
      <c r="D20" s="8" t="s">
        <v>252</v>
      </c>
      <c r="E20" s="8" t="s">
        <v>38</v>
      </c>
    </row>
    <row r="21" spans="1:5" x14ac:dyDescent="0.15">
      <c r="A21" s="8" t="s">
        <v>270</v>
      </c>
      <c r="B21" s="8" t="s">
        <v>271</v>
      </c>
      <c r="C21" s="8" t="s">
        <v>251</v>
      </c>
      <c r="D21" s="8" t="s">
        <v>252</v>
      </c>
      <c r="E21" s="8" t="s">
        <v>38</v>
      </c>
    </row>
    <row r="22" spans="1:5" x14ac:dyDescent="0.15">
      <c r="A22" s="8" t="s">
        <v>18</v>
      </c>
      <c r="B22" s="8" t="s">
        <v>269</v>
      </c>
      <c r="C22" s="8" t="s">
        <v>251</v>
      </c>
      <c r="D22" s="8" t="s">
        <v>252</v>
      </c>
      <c r="E22" s="8" t="s">
        <v>38</v>
      </c>
    </row>
    <row r="23" spans="1:5" x14ac:dyDescent="0.15">
      <c r="A23" s="8" t="s">
        <v>191</v>
      </c>
      <c r="B23" s="8" t="s">
        <v>272</v>
      </c>
      <c r="C23" s="8" t="s">
        <v>251</v>
      </c>
      <c r="D23" s="8" t="s">
        <v>252</v>
      </c>
      <c r="E23" s="8" t="s">
        <v>120</v>
      </c>
    </row>
    <row r="24" spans="1:5" x14ac:dyDescent="0.15">
      <c r="A24" s="8" t="s">
        <v>54</v>
      </c>
      <c r="B24" s="8" t="s">
        <v>169</v>
      </c>
      <c r="C24" s="8" t="s">
        <v>251</v>
      </c>
      <c r="D24" s="8" t="s">
        <v>252</v>
      </c>
      <c r="E24" s="8" t="s">
        <v>38</v>
      </c>
    </row>
    <row r="25" spans="1:5" x14ac:dyDescent="0.15">
      <c r="A25" s="8" t="s">
        <v>141</v>
      </c>
      <c r="B25" s="8" t="s">
        <v>169</v>
      </c>
      <c r="C25" s="8" t="s">
        <v>251</v>
      </c>
      <c r="D25" s="8" t="s">
        <v>252</v>
      </c>
      <c r="E25" s="8" t="s">
        <v>38</v>
      </c>
    </row>
    <row r="26" spans="1:5" ht="27" x14ac:dyDescent="0.15">
      <c r="A26" s="8" t="s">
        <v>192</v>
      </c>
      <c r="B26" s="11" t="s">
        <v>273</v>
      </c>
      <c r="C26" s="8" t="s">
        <v>251</v>
      </c>
      <c r="D26" s="8" t="s">
        <v>252</v>
      </c>
      <c r="E26" s="8" t="s">
        <v>38</v>
      </c>
    </row>
    <row r="27" spans="1:5" x14ac:dyDescent="0.15">
      <c r="A27" s="8" t="s">
        <v>25</v>
      </c>
      <c r="B27" s="8" t="s">
        <v>31</v>
      </c>
      <c r="C27" s="8" t="s">
        <v>251</v>
      </c>
      <c r="D27" s="8" t="s">
        <v>252</v>
      </c>
      <c r="E27" s="8" t="s">
        <v>38</v>
      </c>
    </row>
    <row r="28" spans="1:5" ht="27" x14ac:dyDescent="0.15">
      <c r="A28" s="8" t="s">
        <v>193</v>
      </c>
      <c r="B28" s="11" t="s">
        <v>274</v>
      </c>
      <c r="C28" s="8" t="s">
        <v>251</v>
      </c>
      <c r="D28" s="8" t="s">
        <v>252</v>
      </c>
      <c r="E28" s="8" t="s">
        <v>38</v>
      </c>
    </row>
    <row r="29" spans="1:5" x14ac:dyDescent="0.15">
      <c r="A29" s="8" t="s">
        <v>72</v>
      </c>
      <c r="B29" s="8" t="s">
        <v>31</v>
      </c>
      <c r="C29" s="8" t="s">
        <v>251</v>
      </c>
      <c r="D29" s="8" t="s">
        <v>252</v>
      </c>
      <c r="E29" s="8" t="s">
        <v>38</v>
      </c>
    </row>
    <row r="30" spans="1:5" x14ac:dyDescent="0.15">
      <c r="A30" s="8" t="s">
        <v>194</v>
      </c>
      <c r="B30" s="8" t="s">
        <v>31</v>
      </c>
      <c r="C30" s="8" t="s">
        <v>251</v>
      </c>
      <c r="D30" s="8" t="s">
        <v>252</v>
      </c>
      <c r="E30" s="8" t="s">
        <v>38</v>
      </c>
    </row>
    <row r="31" spans="1:5" x14ac:dyDescent="0.15">
      <c r="A31" s="8" t="s">
        <v>73</v>
      </c>
      <c r="B31" s="8" t="s">
        <v>125</v>
      </c>
      <c r="C31" s="8" t="s">
        <v>251</v>
      </c>
      <c r="D31" s="8" t="s">
        <v>252</v>
      </c>
      <c r="E31" s="8" t="s">
        <v>38</v>
      </c>
    </row>
    <row r="32" spans="1:5" x14ac:dyDescent="0.15">
      <c r="A32" s="8" t="s">
        <v>275</v>
      </c>
      <c r="B32" s="8" t="s">
        <v>125</v>
      </c>
      <c r="C32" s="8" t="s">
        <v>251</v>
      </c>
      <c r="D32" s="8" t="s">
        <v>252</v>
      </c>
      <c r="E32" s="8" t="s">
        <v>38</v>
      </c>
    </row>
    <row r="33" spans="1:5" x14ac:dyDescent="0.15">
      <c r="A33" s="8" t="s">
        <v>142</v>
      </c>
      <c r="B33" s="8" t="s">
        <v>206</v>
      </c>
      <c r="C33" s="8" t="s">
        <v>251</v>
      </c>
      <c r="D33" s="8" t="s">
        <v>252</v>
      </c>
      <c r="E33" s="8" t="s">
        <v>38</v>
      </c>
    </row>
    <row r="34" spans="1:5" x14ac:dyDescent="0.15">
      <c r="A34" s="8" t="s">
        <v>26</v>
      </c>
      <c r="B34" s="8" t="s">
        <v>276</v>
      </c>
      <c r="C34" s="8" t="s">
        <v>251</v>
      </c>
      <c r="D34" s="8" t="s">
        <v>252</v>
      </c>
      <c r="E34" s="8" t="s">
        <v>38</v>
      </c>
    </row>
    <row r="35" spans="1:5" x14ac:dyDescent="0.15">
      <c r="A35" s="8" t="s">
        <v>214</v>
      </c>
      <c r="B35" s="8" t="s">
        <v>215</v>
      </c>
      <c r="C35" s="8" t="s">
        <v>261</v>
      </c>
      <c r="D35" s="8" t="s">
        <v>262</v>
      </c>
      <c r="E35" s="8" t="s">
        <v>37</v>
      </c>
    </row>
    <row r="36" spans="1:5" x14ac:dyDescent="0.15">
      <c r="A36" s="8" t="s">
        <v>15</v>
      </c>
      <c r="B36" s="8" t="s">
        <v>32</v>
      </c>
      <c r="C36" s="8" t="s">
        <v>251</v>
      </c>
      <c r="D36" s="8" t="s">
        <v>252</v>
      </c>
      <c r="E36" s="8" t="s">
        <v>38</v>
      </c>
    </row>
    <row r="37" spans="1:5" x14ac:dyDescent="0.15">
      <c r="A37" s="8" t="s">
        <v>950</v>
      </c>
      <c r="B37" s="8" t="s">
        <v>951</v>
      </c>
      <c r="C37" s="8" t="s">
        <v>251</v>
      </c>
      <c r="D37" s="8" t="s">
        <v>252</v>
      </c>
      <c r="E37" s="8" t="s">
        <v>38</v>
      </c>
    </row>
    <row r="38" spans="1:5" x14ac:dyDescent="0.15">
      <c r="A38" s="8" t="s">
        <v>27</v>
      </c>
      <c r="B38" s="8" t="s">
        <v>32</v>
      </c>
      <c r="C38" s="8" t="s">
        <v>251</v>
      </c>
      <c r="D38" s="8" t="s">
        <v>252</v>
      </c>
      <c r="E38" s="8" t="s">
        <v>38</v>
      </c>
    </row>
    <row r="39" spans="1:5" x14ac:dyDescent="0.15">
      <c r="A39" s="8" t="s">
        <v>277</v>
      </c>
      <c r="B39" s="8" t="s">
        <v>278</v>
      </c>
      <c r="C39" s="8" t="s">
        <v>251</v>
      </c>
      <c r="D39" s="8" t="s">
        <v>252</v>
      </c>
      <c r="E39" s="8" t="s">
        <v>38</v>
      </c>
    </row>
    <row r="40" spans="1:5" x14ac:dyDescent="0.15">
      <c r="A40" s="8" t="s">
        <v>952</v>
      </c>
      <c r="B40" s="8" t="s">
        <v>951</v>
      </c>
      <c r="C40" s="8" t="s">
        <v>251</v>
      </c>
      <c r="D40" s="8" t="s">
        <v>252</v>
      </c>
      <c r="E40" s="8" t="s">
        <v>38</v>
      </c>
    </row>
    <row r="41" spans="1:5" x14ac:dyDescent="0.15">
      <c r="A41" s="8" t="s">
        <v>16</v>
      </c>
      <c r="B41" s="8" t="s">
        <v>32</v>
      </c>
      <c r="C41" s="8" t="s">
        <v>251</v>
      </c>
      <c r="D41" s="8" t="s">
        <v>252</v>
      </c>
      <c r="E41" s="8" t="s">
        <v>38</v>
      </c>
    </row>
    <row r="42" spans="1:5" x14ac:dyDescent="0.15">
      <c r="A42" s="8" t="s">
        <v>953</v>
      </c>
      <c r="B42" s="8" t="s">
        <v>951</v>
      </c>
      <c r="C42" s="8" t="s">
        <v>251</v>
      </c>
      <c r="D42" s="8" t="s">
        <v>252</v>
      </c>
      <c r="E42" s="8" t="s">
        <v>38</v>
      </c>
    </row>
    <row r="43" spans="1:5" x14ac:dyDescent="0.15">
      <c r="A43" s="8" t="s">
        <v>143</v>
      </c>
      <c r="B43" s="8" t="s">
        <v>279</v>
      </c>
      <c r="C43" s="8" t="s">
        <v>251</v>
      </c>
      <c r="D43" s="8" t="s">
        <v>252</v>
      </c>
      <c r="E43" s="8" t="s">
        <v>38</v>
      </c>
    </row>
    <row r="44" spans="1:5" x14ac:dyDescent="0.15">
      <c r="A44" s="8" t="s">
        <v>144</v>
      </c>
      <c r="B44" s="8" t="s">
        <v>211</v>
      </c>
      <c r="C44" s="8" t="s">
        <v>251</v>
      </c>
      <c r="D44" s="8" t="s">
        <v>252</v>
      </c>
      <c r="E44" s="8" t="s">
        <v>38</v>
      </c>
    </row>
    <row r="45" spans="1:5" x14ac:dyDescent="0.15">
      <c r="A45" s="8" t="s">
        <v>145</v>
      </c>
      <c r="B45" s="8" t="s">
        <v>280</v>
      </c>
      <c r="C45" s="8" t="s">
        <v>251</v>
      </c>
      <c r="D45" s="8" t="s">
        <v>252</v>
      </c>
      <c r="E45" s="8" t="s">
        <v>38</v>
      </c>
    </row>
    <row r="46" spans="1:5" ht="27" x14ac:dyDescent="0.15">
      <c r="A46" s="8" t="s">
        <v>195</v>
      </c>
      <c r="B46" s="11" t="s">
        <v>281</v>
      </c>
      <c r="C46" s="8" t="s">
        <v>251</v>
      </c>
      <c r="D46" s="8" t="s">
        <v>252</v>
      </c>
      <c r="E46" s="8" t="s">
        <v>37</v>
      </c>
    </row>
    <row r="47" spans="1:5" ht="27" x14ac:dyDescent="0.15">
      <c r="A47" s="8" t="s">
        <v>196</v>
      </c>
      <c r="B47" s="11" t="s">
        <v>282</v>
      </c>
      <c r="C47" s="8" t="s">
        <v>251</v>
      </c>
      <c r="D47" s="8" t="s">
        <v>252</v>
      </c>
      <c r="E47" s="8" t="s">
        <v>37</v>
      </c>
    </row>
    <row r="48" spans="1:5" x14ac:dyDescent="0.15">
      <c r="A48" s="8" t="s">
        <v>74</v>
      </c>
      <c r="B48" s="8" t="s">
        <v>283</v>
      </c>
      <c r="C48" s="8" t="s">
        <v>251</v>
      </c>
      <c r="D48" s="8" t="s">
        <v>252</v>
      </c>
      <c r="E48" s="8" t="s">
        <v>39</v>
      </c>
    </row>
    <row r="49" spans="1:5" x14ac:dyDescent="0.15">
      <c r="A49" s="8" t="s">
        <v>101</v>
      </c>
      <c r="B49" s="8" t="s">
        <v>102</v>
      </c>
      <c r="C49" s="8" t="s">
        <v>251</v>
      </c>
      <c r="D49" s="8" t="s">
        <v>252</v>
      </c>
      <c r="E49" s="8" t="s">
        <v>39</v>
      </c>
    </row>
    <row r="50" spans="1:5" ht="27" x14ac:dyDescent="0.15">
      <c r="A50" s="8" t="s">
        <v>197</v>
      </c>
      <c r="B50" s="11" t="s">
        <v>213</v>
      </c>
      <c r="C50" s="8" t="s">
        <v>251</v>
      </c>
      <c r="D50" s="8" t="s">
        <v>252</v>
      </c>
      <c r="E50" s="8" t="s">
        <v>39</v>
      </c>
    </row>
    <row r="51" spans="1:5" x14ac:dyDescent="0.15">
      <c r="A51" s="8" t="s">
        <v>75</v>
      </c>
      <c r="B51" s="8" t="s">
        <v>284</v>
      </c>
      <c r="C51" s="8" t="s">
        <v>251</v>
      </c>
      <c r="D51" s="8" t="s">
        <v>252</v>
      </c>
      <c r="E51" s="8" t="s">
        <v>39</v>
      </c>
    </row>
    <row r="52" spans="1:5" x14ac:dyDescent="0.15">
      <c r="A52" s="8" t="s">
        <v>55</v>
      </c>
      <c r="B52" s="8" t="s">
        <v>204</v>
      </c>
      <c r="C52" s="8" t="s">
        <v>251</v>
      </c>
      <c r="D52" s="8" t="s">
        <v>252</v>
      </c>
      <c r="E52" s="8" t="s">
        <v>39</v>
      </c>
    </row>
    <row r="53" spans="1:5" x14ac:dyDescent="0.15">
      <c r="A53" s="8" t="s">
        <v>111</v>
      </c>
      <c r="B53" s="8" t="s">
        <v>112</v>
      </c>
      <c r="C53" s="8" t="s">
        <v>251</v>
      </c>
      <c r="D53" s="8" t="s">
        <v>252</v>
      </c>
      <c r="E53" s="8" t="s">
        <v>39</v>
      </c>
    </row>
    <row r="54" spans="1:5" x14ac:dyDescent="0.15">
      <c r="A54" s="8" t="s">
        <v>56</v>
      </c>
      <c r="B54" s="8" t="s">
        <v>126</v>
      </c>
      <c r="C54" s="8" t="s">
        <v>251</v>
      </c>
      <c r="D54" s="8" t="s">
        <v>252</v>
      </c>
      <c r="E54" s="8" t="s">
        <v>39</v>
      </c>
    </row>
    <row r="55" spans="1:5" x14ac:dyDescent="0.15">
      <c r="A55" s="8" t="s">
        <v>57</v>
      </c>
      <c r="B55" s="8" t="s">
        <v>113</v>
      </c>
      <c r="C55" s="8" t="s">
        <v>251</v>
      </c>
      <c r="D55" s="8" t="s">
        <v>252</v>
      </c>
      <c r="E55" s="8" t="s">
        <v>39</v>
      </c>
    </row>
    <row r="56" spans="1:5" x14ac:dyDescent="0.15">
      <c r="A56" s="8" t="s">
        <v>97</v>
      </c>
      <c r="B56" s="8" t="s">
        <v>98</v>
      </c>
      <c r="C56" s="8" t="s">
        <v>251</v>
      </c>
      <c r="D56" s="8" t="s">
        <v>252</v>
      </c>
      <c r="E56" s="8" t="s">
        <v>39</v>
      </c>
    </row>
    <row r="57" spans="1:5" x14ac:dyDescent="0.15">
      <c r="A57" s="8" t="s">
        <v>29</v>
      </c>
      <c r="B57" s="8" t="s">
        <v>33</v>
      </c>
      <c r="C57" s="8" t="s">
        <v>251</v>
      </c>
      <c r="D57" s="8" t="s">
        <v>252</v>
      </c>
      <c r="E57" s="8" t="s">
        <v>39</v>
      </c>
    </row>
    <row r="58" spans="1:5" x14ac:dyDescent="0.15">
      <c r="A58" s="8" t="s">
        <v>121</v>
      </c>
      <c r="B58" s="8" t="s">
        <v>122</v>
      </c>
      <c r="C58" s="8" t="s">
        <v>251</v>
      </c>
      <c r="D58" s="8" t="s">
        <v>252</v>
      </c>
      <c r="E58" s="8" t="s">
        <v>39</v>
      </c>
    </row>
    <row r="59" spans="1:5" x14ac:dyDescent="0.15">
      <c r="A59" s="8" t="s">
        <v>106</v>
      </c>
      <c r="B59" s="8" t="s">
        <v>107</v>
      </c>
      <c r="C59" s="8" t="s">
        <v>251</v>
      </c>
      <c r="D59" s="8" t="s">
        <v>252</v>
      </c>
      <c r="E59" s="8" t="s">
        <v>39</v>
      </c>
    </row>
    <row r="60" spans="1:5" x14ac:dyDescent="0.15">
      <c r="A60" s="8" t="s">
        <v>58</v>
      </c>
      <c r="B60" s="8" t="s">
        <v>127</v>
      </c>
      <c r="C60" s="8" t="s">
        <v>251</v>
      </c>
      <c r="D60" s="8" t="s">
        <v>252</v>
      </c>
      <c r="E60" s="8" t="s">
        <v>39</v>
      </c>
    </row>
    <row r="61" spans="1:5" x14ac:dyDescent="0.15">
      <c r="A61" s="8" t="s">
        <v>99</v>
      </c>
      <c r="B61" s="8" t="s">
        <v>100</v>
      </c>
      <c r="C61" s="8" t="s">
        <v>251</v>
      </c>
      <c r="D61" s="8" t="s">
        <v>252</v>
      </c>
      <c r="E61" s="8" t="s">
        <v>39</v>
      </c>
    </row>
    <row r="62" spans="1:5" x14ac:dyDescent="0.15">
      <c r="A62" s="8" t="s">
        <v>59</v>
      </c>
      <c r="B62" s="8" t="s">
        <v>93</v>
      </c>
      <c r="C62" s="8" t="s">
        <v>251</v>
      </c>
      <c r="D62" s="8" t="s">
        <v>252</v>
      </c>
      <c r="E62" s="8" t="s">
        <v>39</v>
      </c>
    </row>
    <row r="63" spans="1:5" x14ac:dyDescent="0.15">
      <c r="A63" s="8" t="s">
        <v>123</v>
      </c>
      <c r="B63" s="8" t="s">
        <v>124</v>
      </c>
      <c r="C63" s="8" t="s">
        <v>251</v>
      </c>
      <c r="D63" s="8" t="s">
        <v>252</v>
      </c>
      <c r="E63" s="8" t="s">
        <v>39</v>
      </c>
    </row>
    <row r="64" spans="1:5" x14ac:dyDescent="0.15">
      <c r="A64" s="8" t="s">
        <v>76</v>
      </c>
      <c r="B64" s="8" t="s">
        <v>110</v>
      </c>
      <c r="C64" s="8" t="s">
        <v>251</v>
      </c>
      <c r="D64" s="8" t="s">
        <v>252</v>
      </c>
      <c r="E64" s="8" t="s">
        <v>39</v>
      </c>
    </row>
    <row r="65" spans="1:5" x14ac:dyDescent="0.15">
      <c r="A65" s="8" t="s">
        <v>60</v>
      </c>
      <c r="B65" s="8" t="s">
        <v>285</v>
      </c>
      <c r="C65" s="8" t="s">
        <v>251</v>
      </c>
      <c r="D65" s="8" t="s">
        <v>252</v>
      </c>
      <c r="E65" s="8" t="s">
        <v>39</v>
      </c>
    </row>
    <row r="66" spans="1:5" x14ac:dyDescent="0.15">
      <c r="A66" s="8" t="s">
        <v>61</v>
      </c>
      <c r="B66" s="8" t="s">
        <v>286</v>
      </c>
      <c r="C66" s="8" t="s">
        <v>251</v>
      </c>
      <c r="D66" s="8" t="s">
        <v>252</v>
      </c>
      <c r="E66" s="8" t="s">
        <v>39</v>
      </c>
    </row>
    <row r="67" spans="1:5" x14ac:dyDescent="0.15">
      <c r="A67" s="8" t="s">
        <v>24</v>
      </c>
      <c r="B67" s="8" t="s">
        <v>34</v>
      </c>
      <c r="C67" s="8" t="s">
        <v>251</v>
      </c>
      <c r="D67" s="8" t="s">
        <v>252</v>
      </c>
      <c r="E67" s="8" t="s">
        <v>39</v>
      </c>
    </row>
    <row r="68" spans="1:5" x14ac:dyDescent="0.15">
      <c r="A68" s="8" t="s">
        <v>77</v>
      </c>
      <c r="B68" s="8" t="s">
        <v>287</v>
      </c>
      <c r="C68" s="8" t="s">
        <v>251</v>
      </c>
      <c r="D68" s="8" t="s">
        <v>252</v>
      </c>
      <c r="E68" s="8" t="s">
        <v>39</v>
      </c>
    </row>
    <row r="69" spans="1:5" x14ac:dyDescent="0.15">
      <c r="A69" s="8" t="s">
        <v>78</v>
      </c>
      <c r="B69" s="8" t="s">
        <v>203</v>
      </c>
      <c r="C69" s="8" t="s">
        <v>251</v>
      </c>
      <c r="D69" s="8" t="s">
        <v>252</v>
      </c>
      <c r="E69" s="8" t="s">
        <v>39</v>
      </c>
    </row>
    <row r="70" spans="1:5" x14ac:dyDescent="0.15">
      <c r="A70" s="8" t="s">
        <v>62</v>
      </c>
      <c r="B70" s="8" t="s">
        <v>94</v>
      </c>
      <c r="C70" s="8" t="s">
        <v>251</v>
      </c>
      <c r="D70" s="8" t="s">
        <v>252</v>
      </c>
      <c r="E70" s="8" t="s">
        <v>39</v>
      </c>
    </row>
    <row r="71" spans="1:5" x14ac:dyDescent="0.15">
      <c r="A71" s="8" t="s">
        <v>63</v>
      </c>
      <c r="B71" s="8" t="s">
        <v>95</v>
      </c>
      <c r="C71" s="8" t="s">
        <v>251</v>
      </c>
      <c r="D71" s="8" t="s">
        <v>252</v>
      </c>
      <c r="E71" s="8" t="s">
        <v>39</v>
      </c>
    </row>
    <row r="72" spans="1:5" x14ac:dyDescent="0.15">
      <c r="A72" s="8" t="s">
        <v>103</v>
      </c>
      <c r="B72" s="8" t="s">
        <v>104</v>
      </c>
      <c r="C72" s="8" t="s">
        <v>251</v>
      </c>
      <c r="D72" s="8" t="s">
        <v>186</v>
      </c>
      <c r="E72" s="8" t="s">
        <v>37</v>
      </c>
    </row>
    <row r="73" spans="1:5" x14ac:dyDescent="0.15">
      <c r="A73" s="8" t="s">
        <v>129</v>
      </c>
      <c r="B73" s="8" t="s">
        <v>130</v>
      </c>
      <c r="C73" s="8" t="s">
        <v>288</v>
      </c>
      <c r="D73" s="8" t="s">
        <v>252</v>
      </c>
      <c r="E73" s="8" t="s">
        <v>37</v>
      </c>
    </row>
    <row r="74" spans="1:5" x14ac:dyDescent="0.15">
      <c r="A74" s="8" t="s">
        <v>175</v>
      </c>
      <c r="B74" s="8" t="s">
        <v>176</v>
      </c>
      <c r="C74" s="8" t="s">
        <v>251</v>
      </c>
      <c r="D74" s="8" t="s">
        <v>252</v>
      </c>
      <c r="E74" s="8" t="s">
        <v>39</v>
      </c>
    </row>
    <row r="75" spans="1:5" x14ac:dyDescent="0.15">
      <c r="A75" s="8" t="s">
        <v>131</v>
      </c>
      <c r="B75" s="8" t="s">
        <v>132</v>
      </c>
      <c r="C75" s="8" t="s">
        <v>288</v>
      </c>
      <c r="D75" s="8" t="s">
        <v>252</v>
      </c>
      <c r="E75" s="8" t="s">
        <v>37</v>
      </c>
    </row>
    <row r="76" spans="1:5" ht="27" x14ac:dyDescent="0.15">
      <c r="A76" s="8" t="s">
        <v>179</v>
      </c>
      <c r="B76" s="11" t="s">
        <v>180</v>
      </c>
      <c r="C76" s="8" t="s">
        <v>288</v>
      </c>
      <c r="D76" s="8" t="s">
        <v>252</v>
      </c>
      <c r="E76" s="8" t="s">
        <v>37</v>
      </c>
    </row>
    <row r="77" spans="1:5" x14ac:dyDescent="0.15">
      <c r="A77" s="8" t="s">
        <v>134</v>
      </c>
      <c r="B77" s="8" t="s">
        <v>135</v>
      </c>
      <c r="C77" s="8" t="s">
        <v>288</v>
      </c>
      <c r="D77" s="8" t="s">
        <v>252</v>
      </c>
      <c r="E77" s="8" t="s">
        <v>37</v>
      </c>
    </row>
    <row r="78" spans="1:5" x14ac:dyDescent="0.15">
      <c r="A78" s="8" t="s">
        <v>79</v>
      </c>
      <c r="B78" s="8" t="s">
        <v>289</v>
      </c>
      <c r="C78" s="8" t="s">
        <v>251</v>
      </c>
      <c r="D78" s="8" t="s">
        <v>186</v>
      </c>
      <c r="E78" s="8" t="s">
        <v>37</v>
      </c>
    </row>
    <row r="79" spans="1:5" ht="27" x14ac:dyDescent="0.15">
      <c r="A79" s="8" t="s">
        <v>164</v>
      </c>
      <c r="B79" s="11" t="s">
        <v>165</v>
      </c>
      <c r="C79" s="8" t="s">
        <v>251</v>
      </c>
      <c r="D79" s="8" t="s">
        <v>186</v>
      </c>
      <c r="E79" s="8" t="s">
        <v>37</v>
      </c>
    </row>
    <row r="80" spans="1:5" x14ac:dyDescent="0.15">
      <c r="A80" s="8" t="s">
        <v>108</v>
      </c>
      <c r="B80" s="8" t="s">
        <v>109</v>
      </c>
      <c r="C80" s="8" t="s">
        <v>251</v>
      </c>
      <c r="D80" s="8" t="s">
        <v>186</v>
      </c>
      <c r="E80" s="8" t="s">
        <v>37</v>
      </c>
    </row>
    <row r="81" spans="1:5" ht="27" x14ac:dyDescent="0.15">
      <c r="A81" s="8" t="s">
        <v>181</v>
      </c>
      <c r="B81" s="11" t="s">
        <v>182</v>
      </c>
      <c r="C81" s="8" t="s">
        <v>288</v>
      </c>
      <c r="D81" s="8" t="s">
        <v>252</v>
      </c>
      <c r="E81" s="8" t="s">
        <v>120</v>
      </c>
    </row>
    <row r="82" spans="1:5" x14ac:dyDescent="0.15">
      <c r="A82" s="8" t="s">
        <v>64</v>
      </c>
      <c r="B82" s="8" t="s">
        <v>290</v>
      </c>
      <c r="C82" s="8" t="s">
        <v>251</v>
      </c>
      <c r="D82" s="8" t="s">
        <v>252</v>
      </c>
      <c r="E82" s="8" t="s">
        <v>37</v>
      </c>
    </row>
    <row r="83" spans="1:5" x14ac:dyDescent="0.15">
      <c r="A83" s="8" t="s">
        <v>146</v>
      </c>
      <c r="B83" s="8" t="s">
        <v>291</v>
      </c>
      <c r="C83" s="8" t="s">
        <v>251</v>
      </c>
      <c r="D83" s="8" t="s">
        <v>252</v>
      </c>
      <c r="E83" s="8" t="s">
        <v>37</v>
      </c>
    </row>
    <row r="84" spans="1:5" x14ac:dyDescent="0.15">
      <c r="A84" s="8" t="s">
        <v>128</v>
      </c>
      <c r="B84" s="8" t="s">
        <v>212</v>
      </c>
      <c r="C84" s="8" t="s">
        <v>251</v>
      </c>
      <c r="D84" s="8" t="s">
        <v>252</v>
      </c>
      <c r="E84" s="8" t="s">
        <v>37</v>
      </c>
    </row>
    <row r="85" spans="1:5" x14ac:dyDescent="0.15">
      <c r="A85" s="8" t="s">
        <v>147</v>
      </c>
      <c r="B85" s="8" t="s">
        <v>292</v>
      </c>
      <c r="C85" s="8" t="s">
        <v>251</v>
      </c>
      <c r="D85" s="8" t="s">
        <v>252</v>
      </c>
      <c r="E85" s="8" t="s">
        <v>37</v>
      </c>
    </row>
    <row r="86" spans="1:5" x14ac:dyDescent="0.15">
      <c r="A86" s="8" t="s">
        <v>80</v>
      </c>
      <c r="B86" s="8" t="s">
        <v>163</v>
      </c>
      <c r="C86" s="8" t="s">
        <v>251</v>
      </c>
      <c r="D86" s="8" t="s">
        <v>252</v>
      </c>
      <c r="E86" s="8" t="s">
        <v>37</v>
      </c>
    </row>
    <row r="87" spans="1:5" x14ac:dyDescent="0.15">
      <c r="A87" s="8" t="s">
        <v>148</v>
      </c>
      <c r="B87" s="8" t="s">
        <v>170</v>
      </c>
      <c r="C87" s="8" t="s">
        <v>251</v>
      </c>
      <c r="D87" s="8" t="s">
        <v>252</v>
      </c>
      <c r="E87" s="8" t="s">
        <v>37</v>
      </c>
    </row>
    <row r="88" spans="1:5" x14ac:dyDescent="0.15">
      <c r="A88" s="8" t="s">
        <v>65</v>
      </c>
      <c r="B88" s="8" t="s">
        <v>172</v>
      </c>
      <c r="C88" s="8" t="s">
        <v>251</v>
      </c>
      <c r="D88" s="8" t="s">
        <v>252</v>
      </c>
      <c r="E88" s="8" t="s">
        <v>37</v>
      </c>
    </row>
    <row r="89" spans="1:5" x14ac:dyDescent="0.15">
      <c r="A89" s="8" t="s">
        <v>66</v>
      </c>
      <c r="B89" s="8" t="s">
        <v>116</v>
      </c>
      <c r="C89" s="8" t="s">
        <v>251</v>
      </c>
      <c r="D89" s="8" t="s">
        <v>252</v>
      </c>
      <c r="E89" s="8" t="s">
        <v>37</v>
      </c>
    </row>
    <row r="90" spans="1:5" x14ac:dyDescent="0.15">
      <c r="A90" s="8" t="s">
        <v>167</v>
      </c>
      <c r="B90" s="8" t="s">
        <v>168</v>
      </c>
      <c r="C90" s="8" t="s">
        <v>288</v>
      </c>
      <c r="D90" s="8" t="s">
        <v>252</v>
      </c>
      <c r="E90" s="8" t="s">
        <v>133</v>
      </c>
    </row>
    <row r="91" spans="1:5" x14ac:dyDescent="0.15">
      <c r="A91" s="8" t="s">
        <v>293</v>
      </c>
      <c r="B91" s="8" t="s">
        <v>294</v>
      </c>
      <c r="C91" s="8" t="s">
        <v>251</v>
      </c>
      <c r="D91" s="8" t="s">
        <v>252</v>
      </c>
      <c r="E91" s="8" t="s">
        <v>37</v>
      </c>
    </row>
    <row r="92" spans="1:5" x14ac:dyDescent="0.15">
      <c r="A92" s="8" t="s">
        <v>149</v>
      </c>
      <c r="B92" s="8" t="s">
        <v>295</v>
      </c>
      <c r="C92" s="8" t="s">
        <v>251</v>
      </c>
      <c r="D92" s="8" t="s">
        <v>252</v>
      </c>
      <c r="E92" s="8" t="s">
        <v>37</v>
      </c>
    </row>
    <row r="93" spans="1:5" x14ac:dyDescent="0.15">
      <c r="A93" s="8" t="s">
        <v>114</v>
      </c>
      <c r="B93" s="8" t="s">
        <v>115</v>
      </c>
      <c r="C93" s="8" t="s">
        <v>251</v>
      </c>
      <c r="D93" s="8" t="s">
        <v>252</v>
      </c>
      <c r="E93" s="8" t="s">
        <v>37</v>
      </c>
    </row>
    <row r="94" spans="1:5" x14ac:dyDescent="0.15">
      <c r="A94" s="8" t="s">
        <v>23</v>
      </c>
      <c r="B94" s="8" t="s">
        <v>159</v>
      </c>
      <c r="C94" s="8" t="s">
        <v>251</v>
      </c>
      <c r="D94" s="8" t="s">
        <v>252</v>
      </c>
      <c r="E94" s="8" t="s">
        <v>37</v>
      </c>
    </row>
    <row r="95" spans="1:5" x14ac:dyDescent="0.15">
      <c r="A95" s="8" t="s">
        <v>67</v>
      </c>
      <c r="B95" s="8" t="s">
        <v>162</v>
      </c>
      <c r="C95" s="8" t="s">
        <v>251</v>
      </c>
      <c r="D95" s="8" t="s">
        <v>252</v>
      </c>
      <c r="E95" s="8" t="s">
        <v>37</v>
      </c>
    </row>
    <row r="96" spans="1:5" x14ac:dyDescent="0.15">
      <c r="A96" s="8" t="s">
        <v>954</v>
      </c>
      <c r="B96" s="8" t="s">
        <v>955</v>
      </c>
      <c r="C96" s="8" t="s">
        <v>251</v>
      </c>
      <c r="D96" s="8" t="s">
        <v>252</v>
      </c>
      <c r="E96" s="8" t="s">
        <v>37</v>
      </c>
    </row>
    <row r="97" spans="1:5" x14ac:dyDescent="0.15">
      <c r="A97" s="8" t="s">
        <v>28</v>
      </c>
      <c r="B97" s="8" t="s">
        <v>202</v>
      </c>
      <c r="C97" s="8" t="s">
        <v>251</v>
      </c>
      <c r="D97" s="8" t="s">
        <v>252</v>
      </c>
      <c r="E97" s="8" t="s">
        <v>37</v>
      </c>
    </row>
    <row r="98" spans="1:5" x14ac:dyDescent="0.15">
      <c r="A98" s="8" t="s">
        <v>296</v>
      </c>
      <c r="B98" s="8" t="s">
        <v>296</v>
      </c>
      <c r="C98" s="8" t="s">
        <v>261</v>
      </c>
      <c r="D98" s="8" t="s">
        <v>262</v>
      </c>
      <c r="E98" s="8" t="s">
        <v>37</v>
      </c>
    </row>
    <row r="99" spans="1:5" x14ac:dyDescent="0.15">
      <c r="A99" s="8" t="s">
        <v>297</v>
      </c>
      <c r="B99" s="8" t="s">
        <v>297</v>
      </c>
      <c r="C99" s="8" t="s">
        <v>261</v>
      </c>
      <c r="D99" s="8" t="s">
        <v>262</v>
      </c>
      <c r="E99" s="8" t="s">
        <v>37</v>
      </c>
    </row>
    <row r="100" spans="1:5" x14ac:dyDescent="0.15">
      <c r="A100" s="8" t="s">
        <v>298</v>
      </c>
      <c r="B100" s="8" t="s">
        <v>298</v>
      </c>
      <c r="C100" s="8" t="s">
        <v>261</v>
      </c>
      <c r="D100" s="8" t="s">
        <v>262</v>
      </c>
      <c r="E100" s="8" t="s">
        <v>37</v>
      </c>
    </row>
    <row r="101" spans="1:5" x14ac:dyDescent="0.15">
      <c r="A101" s="8" t="s">
        <v>299</v>
      </c>
      <c r="B101" s="8" t="s">
        <v>299</v>
      </c>
      <c r="C101" s="8" t="s">
        <v>261</v>
      </c>
      <c r="D101" s="8" t="s">
        <v>262</v>
      </c>
      <c r="E101" s="8" t="s">
        <v>37</v>
      </c>
    </row>
    <row r="102" spans="1:5" x14ac:dyDescent="0.15">
      <c r="A102" s="8" t="s">
        <v>300</v>
      </c>
      <c r="B102" s="8" t="s">
        <v>300</v>
      </c>
      <c r="C102" s="8" t="s">
        <v>261</v>
      </c>
      <c r="D102" s="8" t="s">
        <v>262</v>
      </c>
      <c r="E102" s="8" t="s">
        <v>37</v>
      </c>
    </row>
    <row r="103" spans="1:5" x14ac:dyDescent="0.15">
      <c r="A103" s="8" t="s">
        <v>301</v>
      </c>
      <c r="B103" s="8" t="s">
        <v>301</v>
      </c>
      <c r="C103" s="8" t="s">
        <v>261</v>
      </c>
      <c r="D103" s="8" t="s">
        <v>262</v>
      </c>
      <c r="E103" s="8" t="s">
        <v>37</v>
      </c>
    </row>
    <row r="104" spans="1:5" x14ac:dyDescent="0.15">
      <c r="A104" s="8" t="s">
        <v>302</v>
      </c>
      <c r="B104" s="8" t="s">
        <v>303</v>
      </c>
      <c r="C104" s="8" t="s">
        <v>251</v>
      </c>
      <c r="D104" s="8" t="s">
        <v>252</v>
      </c>
      <c r="E104" s="8" t="s">
        <v>120</v>
      </c>
    </row>
    <row r="105" spans="1:5" x14ac:dyDescent="0.15">
      <c r="A105" s="8" t="s">
        <v>198</v>
      </c>
      <c r="B105" s="8" t="s">
        <v>210</v>
      </c>
      <c r="C105" s="8" t="s">
        <v>251</v>
      </c>
      <c r="D105" s="8" t="s">
        <v>252</v>
      </c>
      <c r="E105" s="8" t="s">
        <v>133</v>
      </c>
    </row>
    <row r="106" spans="1:5" x14ac:dyDescent="0.15">
      <c r="A106" s="8" t="s">
        <v>304</v>
      </c>
      <c r="B106" s="8" t="s">
        <v>304</v>
      </c>
      <c r="C106" s="8" t="s">
        <v>261</v>
      </c>
      <c r="D106" s="8" t="s">
        <v>262</v>
      </c>
      <c r="E106" s="8" t="s">
        <v>37</v>
      </c>
    </row>
    <row r="107" spans="1:5" x14ac:dyDescent="0.15">
      <c r="A107" s="8" t="s">
        <v>305</v>
      </c>
      <c r="B107" s="8" t="s">
        <v>305</v>
      </c>
      <c r="C107" s="8" t="s">
        <v>261</v>
      </c>
      <c r="D107" s="8" t="s">
        <v>262</v>
      </c>
      <c r="E107" s="8" t="s">
        <v>37</v>
      </c>
    </row>
    <row r="108" spans="1:5" x14ac:dyDescent="0.15">
      <c r="A108" s="8" t="s">
        <v>306</v>
      </c>
      <c r="B108" s="8" t="s">
        <v>306</v>
      </c>
      <c r="C108" s="8" t="s">
        <v>261</v>
      </c>
      <c r="D108" s="8" t="s">
        <v>262</v>
      </c>
      <c r="E108" s="8" t="s">
        <v>37</v>
      </c>
    </row>
    <row r="109" spans="1:5" x14ac:dyDescent="0.15">
      <c r="A109" s="8" t="s">
        <v>307</v>
      </c>
      <c r="B109" s="8" t="s">
        <v>307</v>
      </c>
      <c r="C109" s="8" t="s">
        <v>261</v>
      </c>
      <c r="D109" s="8" t="s">
        <v>262</v>
      </c>
      <c r="E109" s="8" t="s">
        <v>37</v>
      </c>
    </row>
    <row r="110" spans="1:5" x14ac:dyDescent="0.15">
      <c r="A110" s="8" t="s">
        <v>308</v>
      </c>
      <c r="B110" s="8" t="s">
        <v>308</v>
      </c>
      <c r="C110" s="8" t="s">
        <v>261</v>
      </c>
      <c r="D110" s="8" t="s">
        <v>262</v>
      </c>
      <c r="E110" s="8" t="s">
        <v>37</v>
      </c>
    </row>
    <row r="111" spans="1:5" x14ac:dyDescent="0.15">
      <c r="A111" s="8" t="s">
        <v>309</v>
      </c>
      <c r="B111" s="8" t="s">
        <v>309</v>
      </c>
      <c r="C111" s="8" t="s">
        <v>261</v>
      </c>
      <c r="D111" s="8" t="s">
        <v>262</v>
      </c>
      <c r="E111" s="8" t="s">
        <v>37</v>
      </c>
    </row>
    <row r="112" spans="1:5" x14ac:dyDescent="0.15">
      <c r="A112" s="8" t="s">
        <v>310</v>
      </c>
      <c r="B112" s="8" t="s">
        <v>310</v>
      </c>
      <c r="C112" s="8" t="s">
        <v>261</v>
      </c>
      <c r="D112" s="8" t="s">
        <v>262</v>
      </c>
      <c r="E112" s="8" t="s">
        <v>37</v>
      </c>
    </row>
    <row r="113" spans="1:5" x14ac:dyDescent="0.15">
      <c r="A113" s="8" t="s">
        <v>311</v>
      </c>
      <c r="B113" s="8" t="s">
        <v>311</v>
      </c>
      <c r="C113" s="8" t="s">
        <v>261</v>
      </c>
      <c r="D113" s="8" t="s">
        <v>262</v>
      </c>
      <c r="E113" s="8" t="s">
        <v>37</v>
      </c>
    </row>
    <row r="114" spans="1:5" x14ac:dyDescent="0.15">
      <c r="A114" s="8" t="s">
        <v>312</v>
      </c>
      <c r="B114" s="8" t="s">
        <v>312</v>
      </c>
      <c r="C114" s="8" t="s">
        <v>261</v>
      </c>
      <c r="D114" s="8" t="s">
        <v>262</v>
      </c>
      <c r="E114" s="8" t="s">
        <v>37</v>
      </c>
    </row>
    <row r="115" spans="1:5" x14ac:dyDescent="0.15">
      <c r="A115" s="8" t="s">
        <v>313</v>
      </c>
      <c r="B115" s="8" t="s">
        <v>313</v>
      </c>
      <c r="C115" s="8" t="s">
        <v>261</v>
      </c>
      <c r="D115" s="8" t="s">
        <v>262</v>
      </c>
      <c r="E115" s="8" t="s">
        <v>37</v>
      </c>
    </row>
    <row r="116" spans="1:5" x14ac:dyDescent="0.15">
      <c r="A116" s="8" t="s">
        <v>314</v>
      </c>
      <c r="B116" s="8" t="s">
        <v>314</v>
      </c>
      <c r="C116" s="8" t="s">
        <v>261</v>
      </c>
      <c r="D116" s="8" t="s">
        <v>262</v>
      </c>
      <c r="E116" s="8" t="s">
        <v>37</v>
      </c>
    </row>
    <row r="117" spans="1:5" x14ac:dyDescent="0.15">
      <c r="A117" s="8" t="s">
        <v>315</v>
      </c>
      <c r="B117" s="8" t="s">
        <v>315</v>
      </c>
      <c r="C117" s="8" t="s">
        <v>261</v>
      </c>
      <c r="D117" s="8" t="s">
        <v>262</v>
      </c>
      <c r="E117" s="8" t="s">
        <v>37</v>
      </c>
    </row>
    <row r="118" spans="1:5" x14ac:dyDescent="0.15">
      <c r="A118" s="8" t="s">
        <v>205</v>
      </c>
      <c r="B118" s="8" t="s">
        <v>205</v>
      </c>
      <c r="C118" s="8" t="s">
        <v>261</v>
      </c>
      <c r="D118" s="8" t="s">
        <v>262</v>
      </c>
      <c r="E118" s="8" t="s">
        <v>37</v>
      </c>
    </row>
    <row r="119" spans="1:5" x14ac:dyDescent="0.15">
      <c r="A119" s="8" t="s">
        <v>316</v>
      </c>
      <c r="B119" s="8" t="s">
        <v>316</v>
      </c>
      <c r="C119" s="8" t="s">
        <v>261</v>
      </c>
      <c r="D119" s="8" t="s">
        <v>262</v>
      </c>
      <c r="E119" s="8" t="s">
        <v>37</v>
      </c>
    </row>
    <row r="120" spans="1:5" x14ac:dyDescent="0.15">
      <c r="A120" s="8" t="s">
        <v>150</v>
      </c>
      <c r="B120" s="8" t="s">
        <v>317</v>
      </c>
      <c r="C120" s="8" t="s">
        <v>251</v>
      </c>
      <c r="D120" s="8" t="s">
        <v>252</v>
      </c>
      <c r="E120" s="8" t="s">
        <v>120</v>
      </c>
    </row>
    <row r="121" spans="1:5" x14ac:dyDescent="0.15">
      <c r="A121" s="8" t="s">
        <v>151</v>
      </c>
      <c r="B121" s="8" t="s">
        <v>318</v>
      </c>
      <c r="C121" s="8" t="s">
        <v>251</v>
      </c>
      <c r="D121" s="8" t="s">
        <v>252</v>
      </c>
      <c r="E121" s="8" t="s">
        <v>120</v>
      </c>
    </row>
    <row r="122" spans="1:5" x14ac:dyDescent="0.15">
      <c r="A122" s="8" t="s">
        <v>199</v>
      </c>
      <c r="B122" s="8" t="s">
        <v>319</v>
      </c>
      <c r="C122" s="8" t="s">
        <v>251</v>
      </c>
      <c r="D122" s="8" t="s">
        <v>252</v>
      </c>
      <c r="E122" s="8" t="s">
        <v>37</v>
      </c>
    </row>
    <row r="123" spans="1:5" x14ac:dyDescent="0.15">
      <c r="A123" s="8" t="s">
        <v>68</v>
      </c>
      <c r="B123" s="8" t="s">
        <v>166</v>
      </c>
      <c r="C123" s="8" t="s">
        <v>251</v>
      </c>
      <c r="D123" s="8" t="s">
        <v>252</v>
      </c>
      <c r="E123" s="8" t="s">
        <v>37</v>
      </c>
    </row>
    <row r="124" spans="1:5" ht="27" x14ac:dyDescent="0.15">
      <c r="A124" s="8" t="s">
        <v>368</v>
      </c>
      <c r="B124" s="11" t="s">
        <v>369</v>
      </c>
      <c r="C124" s="8" t="s">
        <v>251</v>
      </c>
      <c r="D124" s="8" t="s">
        <v>252</v>
      </c>
      <c r="E124" s="8" t="s">
        <v>37</v>
      </c>
    </row>
    <row r="125" spans="1:5" ht="27" x14ac:dyDescent="0.15">
      <c r="A125" s="8" t="s">
        <v>370</v>
      </c>
      <c r="B125" s="11" t="s">
        <v>371</v>
      </c>
      <c r="C125" s="8" t="s">
        <v>251</v>
      </c>
      <c r="D125" s="8" t="s">
        <v>252</v>
      </c>
      <c r="E125" s="8" t="s">
        <v>37</v>
      </c>
    </row>
    <row r="126" spans="1:5" x14ac:dyDescent="0.15">
      <c r="A126" s="8" t="s">
        <v>117</v>
      </c>
      <c r="B126" s="8" t="s">
        <v>118</v>
      </c>
      <c r="C126" s="8" t="s">
        <v>251</v>
      </c>
      <c r="D126" s="8" t="s">
        <v>252</v>
      </c>
      <c r="E126" s="8" t="s">
        <v>37</v>
      </c>
    </row>
    <row r="127" spans="1:5" x14ac:dyDescent="0.15">
      <c r="A127" s="8" t="s">
        <v>372</v>
      </c>
      <c r="B127" s="8" t="s">
        <v>373</v>
      </c>
      <c r="C127" s="8" t="s">
        <v>251</v>
      </c>
      <c r="D127" s="8" t="s">
        <v>252</v>
      </c>
      <c r="E127" s="8" t="s">
        <v>37</v>
      </c>
    </row>
    <row r="128" spans="1:5" x14ac:dyDescent="0.15">
      <c r="A128" s="8" t="s">
        <v>200</v>
      </c>
      <c r="B128" s="8" t="s">
        <v>320</v>
      </c>
      <c r="C128" s="8" t="s">
        <v>251</v>
      </c>
      <c r="D128" s="8" t="s">
        <v>252</v>
      </c>
      <c r="E128" s="8" t="s">
        <v>37</v>
      </c>
    </row>
    <row r="129" spans="1:5" x14ac:dyDescent="0.15">
      <c r="A129" s="8" t="s">
        <v>105</v>
      </c>
      <c r="B129" s="8" t="s">
        <v>321</v>
      </c>
      <c r="C129" s="8" t="s">
        <v>251</v>
      </c>
      <c r="D129" s="8" t="s">
        <v>252</v>
      </c>
      <c r="E129" s="8" t="s">
        <v>37</v>
      </c>
    </row>
    <row r="130" spans="1:5" x14ac:dyDescent="0.15">
      <c r="A130" s="8" t="s">
        <v>201</v>
      </c>
      <c r="B130" s="8" t="s">
        <v>322</v>
      </c>
      <c r="C130" s="8" t="s">
        <v>251</v>
      </c>
      <c r="D130" s="8" t="s">
        <v>252</v>
      </c>
      <c r="E130" s="8" t="s">
        <v>37</v>
      </c>
    </row>
    <row r="131" spans="1:5" x14ac:dyDescent="0.15">
      <c r="A131" s="8" t="s">
        <v>323</v>
      </c>
      <c r="B131" s="8" t="s">
        <v>323</v>
      </c>
      <c r="C131" s="8" t="s">
        <v>254</v>
      </c>
      <c r="D131" s="8" t="s">
        <v>252</v>
      </c>
      <c r="E131" s="8" t="s">
        <v>37</v>
      </c>
    </row>
    <row r="132" spans="1:5" x14ac:dyDescent="0.15">
      <c r="A132" s="8" t="s">
        <v>324</v>
      </c>
      <c r="B132" s="8" t="s">
        <v>324</v>
      </c>
      <c r="C132" s="8" t="s">
        <v>261</v>
      </c>
      <c r="D132" s="8" t="s">
        <v>262</v>
      </c>
      <c r="E132" s="8" t="s">
        <v>37</v>
      </c>
    </row>
    <row r="133" spans="1:5" x14ac:dyDescent="0.15">
      <c r="A133" s="8" t="s">
        <v>325</v>
      </c>
      <c r="B133" s="8" t="s">
        <v>325</v>
      </c>
      <c r="C133" s="8" t="s">
        <v>254</v>
      </c>
      <c r="D133" s="8" t="s">
        <v>252</v>
      </c>
      <c r="E133" s="8" t="s">
        <v>37</v>
      </c>
    </row>
    <row r="134" spans="1:5" x14ac:dyDescent="0.15">
      <c r="A134" s="8" t="s">
        <v>326</v>
      </c>
      <c r="B134" s="8" t="s">
        <v>326</v>
      </c>
      <c r="C134" s="8" t="s">
        <v>254</v>
      </c>
      <c r="D134" s="8" t="s">
        <v>252</v>
      </c>
      <c r="E134" s="8" t="s">
        <v>37</v>
      </c>
    </row>
    <row r="135" spans="1:5" x14ac:dyDescent="0.15">
      <c r="A135" s="8" t="s">
        <v>327</v>
      </c>
      <c r="B135" s="8" t="s">
        <v>327</v>
      </c>
      <c r="C135" s="8" t="s">
        <v>254</v>
      </c>
      <c r="D135" s="8" t="s">
        <v>252</v>
      </c>
      <c r="E135" s="8" t="s">
        <v>37</v>
      </c>
    </row>
    <row r="136" spans="1:5" x14ac:dyDescent="0.15">
      <c r="A136" s="8" t="s">
        <v>328</v>
      </c>
      <c r="B136" s="8" t="s">
        <v>328</v>
      </c>
      <c r="C136" s="8" t="s">
        <v>254</v>
      </c>
      <c r="D136" s="8" t="s">
        <v>252</v>
      </c>
      <c r="E136" s="8" t="s">
        <v>37</v>
      </c>
    </row>
    <row r="137" spans="1:5" x14ac:dyDescent="0.15">
      <c r="A137" s="8" t="s">
        <v>329</v>
      </c>
      <c r="B137" s="8" t="s">
        <v>329</v>
      </c>
      <c r="C137" s="8" t="s">
        <v>254</v>
      </c>
      <c r="D137" s="8" t="s">
        <v>252</v>
      </c>
      <c r="E137" s="8" t="s">
        <v>37</v>
      </c>
    </row>
    <row r="138" spans="1:5" x14ac:dyDescent="0.15">
      <c r="A138" s="8" t="s">
        <v>330</v>
      </c>
      <c r="B138" s="8" t="s">
        <v>330</v>
      </c>
      <c r="C138" s="8" t="s">
        <v>254</v>
      </c>
      <c r="D138" s="8" t="s">
        <v>252</v>
      </c>
      <c r="E138" s="8" t="s">
        <v>37</v>
      </c>
    </row>
    <row r="139" spans="1:5" x14ac:dyDescent="0.15">
      <c r="A139" s="8" t="s">
        <v>331</v>
      </c>
      <c r="B139" s="8" t="s">
        <v>331</v>
      </c>
      <c r="C139" s="8" t="s">
        <v>254</v>
      </c>
      <c r="D139" s="8" t="s">
        <v>252</v>
      </c>
      <c r="E139" s="8" t="s">
        <v>37</v>
      </c>
    </row>
    <row r="140" spans="1:5" x14ac:dyDescent="0.15">
      <c r="A140" s="8" t="s">
        <v>69</v>
      </c>
      <c r="B140" s="8" t="s">
        <v>69</v>
      </c>
      <c r="C140" s="8" t="s">
        <v>254</v>
      </c>
      <c r="D140" s="8" t="s">
        <v>252</v>
      </c>
      <c r="E140" s="8" t="s">
        <v>37</v>
      </c>
    </row>
    <row r="141" spans="1:5" x14ac:dyDescent="0.15">
      <c r="A141" s="8" t="s">
        <v>332</v>
      </c>
      <c r="B141" s="8" t="s">
        <v>332</v>
      </c>
      <c r="C141" s="8" t="s">
        <v>254</v>
      </c>
      <c r="D141" s="8" t="s">
        <v>252</v>
      </c>
      <c r="E141" s="8" t="s">
        <v>37</v>
      </c>
    </row>
    <row r="142" spans="1:5" x14ac:dyDescent="0.15">
      <c r="A142" s="8" t="s">
        <v>333</v>
      </c>
      <c r="B142" s="8" t="s">
        <v>333</v>
      </c>
      <c r="C142" s="8" t="s">
        <v>261</v>
      </c>
      <c r="D142" s="8" t="s">
        <v>262</v>
      </c>
      <c r="E142" s="8" t="s">
        <v>37</v>
      </c>
    </row>
    <row r="143" spans="1:5" ht="27" x14ac:dyDescent="0.15">
      <c r="A143" s="8" t="s">
        <v>207</v>
      </c>
      <c r="B143" s="11" t="s">
        <v>208</v>
      </c>
      <c r="C143" s="8" t="s">
        <v>261</v>
      </c>
      <c r="D143" s="8" t="s">
        <v>262</v>
      </c>
      <c r="E143" s="8" t="s">
        <v>37</v>
      </c>
    </row>
    <row r="144" spans="1:5" x14ac:dyDescent="0.15">
      <c r="A144" s="8" t="s">
        <v>218</v>
      </c>
      <c r="B144" s="8" t="s">
        <v>218</v>
      </c>
      <c r="C144" s="8" t="s">
        <v>261</v>
      </c>
      <c r="D144" s="8" t="s">
        <v>262</v>
      </c>
      <c r="E144" s="8" t="s">
        <v>37</v>
      </c>
    </row>
    <row r="145" spans="1:5" x14ac:dyDescent="0.15">
      <c r="A145" s="8" t="s">
        <v>334</v>
      </c>
      <c r="B145" s="8" t="s">
        <v>334</v>
      </c>
      <c r="C145" s="8" t="s">
        <v>261</v>
      </c>
      <c r="D145" s="8" t="s">
        <v>262</v>
      </c>
      <c r="E145" s="8" t="s">
        <v>37</v>
      </c>
    </row>
    <row r="146" spans="1:5" x14ac:dyDescent="0.15">
      <c r="A146" s="8" t="s">
        <v>335</v>
      </c>
      <c r="B146" s="8" t="s">
        <v>335</v>
      </c>
      <c r="C146" s="8" t="s">
        <v>261</v>
      </c>
      <c r="D146" s="8" t="s">
        <v>262</v>
      </c>
      <c r="E146" s="8" t="s">
        <v>37</v>
      </c>
    </row>
    <row r="147" spans="1:5" x14ac:dyDescent="0.15">
      <c r="A147" s="8" t="s">
        <v>209</v>
      </c>
      <c r="B147" s="8" t="s">
        <v>209</v>
      </c>
      <c r="C147" s="8" t="s">
        <v>261</v>
      </c>
      <c r="D147" s="8" t="s">
        <v>262</v>
      </c>
      <c r="E147" s="8" t="s">
        <v>37</v>
      </c>
    </row>
    <row r="148" spans="1:5" x14ac:dyDescent="0.15">
      <c r="A148" s="8" t="s">
        <v>336</v>
      </c>
      <c r="B148" s="8" t="s">
        <v>336</v>
      </c>
      <c r="C148" s="8" t="s">
        <v>261</v>
      </c>
      <c r="D148" s="8" t="s">
        <v>262</v>
      </c>
      <c r="E148" s="8" t="s">
        <v>37</v>
      </c>
    </row>
    <row r="149" spans="1:5" x14ac:dyDescent="0.15">
      <c r="A149" s="8" t="s">
        <v>19</v>
      </c>
      <c r="B149" s="8" t="s">
        <v>35</v>
      </c>
      <c r="C149" s="8" t="s">
        <v>261</v>
      </c>
      <c r="D149" s="8" t="s">
        <v>262</v>
      </c>
      <c r="E149" s="8" t="s">
        <v>37</v>
      </c>
    </row>
    <row r="150" spans="1:5" x14ac:dyDescent="0.15">
      <c r="A150" s="8" t="s">
        <v>337</v>
      </c>
      <c r="B150" s="8" t="s">
        <v>337</v>
      </c>
      <c r="C150" s="8" t="s">
        <v>261</v>
      </c>
      <c r="D150" s="8" t="s">
        <v>262</v>
      </c>
      <c r="E150" s="8" t="s">
        <v>37</v>
      </c>
    </row>
    <row r="151" spans="1:5" x14ac:dyDescent="0.15">
      <c r="A151" s="8" t="s">
        <v>338</v>
      </c>
      <c r="B151" s="8" t="s">
        <v>338</v>
      </c>
      <c r="C151" s="8" t="s">
        <v>261</v>
      </c>
      <c r="D151" s="8" t="s">
        <v>262</v>
      </c>
      <c r="E151" s="8" t="s">
        <v>37</v>
      </c>
    </row>
    <row r="152" spans="1:5" x14ac:dyDescent="0.15">
      <c r="A152" s="8" t="s">
        <v>339</v>
      </c>
      <c r="B152" s="8" t="s">
        <v>339</v>
      </c>
      <c r="C152" s="8" t="s">
        <v>261</v>
      </c>
      <c r="D152" s="8" t="s">
        <v>262</v>
      </c>
      <c r="E152" s="8" t="s">
        <v>37</v>
      </c>
    </row>
    <row r="153" spans="1:5" x14ac:dyDescent="0.15">
      <c r="A153" s="8" t="s">
        <v>340</v>
      </c>
      <c r="B153" s="8" t="s">
        <v>341</v>
      </c>
      <c r="C153" s="8" t="s">
        <v>261</v>
      </c>
      <c r="D153" s="8" t="s">
        <v>262</v>
      </c>
      <c r="E153" s="8" t="s">
        <v>37</v>
      </c>
    </row>
    <row r="154" spans="1:5" x14ac:dyDescent="0.15">
      <c r="A154" s="8" t="s">
        <v>342</v>
      </c>
      <c r="B154" s="8" t="s">
        <v>343</v>
      </c>
      <c r="C154" s="8" t="s">
        <v>261</v>
      </c>
      <c r="D154" s="8" t="s">
        <v>262</v>
      </c>
      <c r="E154" s="8" t="s">
        <v>37</v>
      </c>
    </row>
    <row r="155" spans="1:5" x14ac:dyDescent="0.15">
      <c r="A155" s="8" t="s">
        <v>344</v>
      </c>
      <c r="B155" s="8" t="s">
        <v>345</v>
      </c>
      <c r="C155" s="8" t="s">
        <v>261</v>
      </c>
      <c r="D155" s="8" t="s">
        <v>262</v>
      </c>
      <c r="E155" s="8" t="s">
        <v>37</v>
      </c>
    </row>
    <row r="156" spans="1:5" x14ac:dyDescent="0.15">
      <c r="A156" s="8" t="s">
        <v>346</v>
      </c>
      <c r="B156" s="8" t="s">
        <v>347</v>
      </c>
      <c r="C156" s="8" t="s">
        <v>261</v>
      </c>
      <c r="D156" s="8" t="s">
        <v>262</v>
      </c>
      <c r="E156" s="8" t="s">
        <v>37</v>
      </c>
    </row>
    <row r="157" spans="1:5" x14ac:dyDescent="0.15">
      <c r="A157" s="8" t="s">
        <v>348</v>
      </c>
      <c r="B157" s="8" t="s">
        <v>349</v>
      </c>
      <c r="C157" s="8" t="s">
        <v>261</v>
      </c>
      <c r="D157" s="8" t="s">
        <v>262</v>
      </c>
      <c r="E157" s="8" t="s">
        <v>37</v>
      </c>
    </row>
    <row r="158" spans="1:5" x14ac:dyDescent="0.15">
      <c r="A158" s="8" t="s">
        <v>350</v>
      </c>
      <c r="B158" s="8" t="s">
        <v>350</v>
      </c>
      <c r="C158" s="8" t="s">
        <v>261</v>
      </c>
      <c r="D158" s="8" t="s">
        <v>262</v>
      </c>
      <c r="E158" s="8" t="s">
        <v>37</v>
      </c>
    </row>
    <row r="159" spans="1:5" x14ac:dyDescent="0.15">
      <c r="A159" s="8" t="s">
        <v>219</v>
      </c>
      <c r="B159" s="8" t="s">
        <v>219</v>
      </c>
      <c r="C159" s="8" t="s">
        <v>261</v>
      </c>
      <c r="D159" s="8" t="s">
        <v>262</v>
      </c>
      <c r="E159" s="8" t="s">
        <v>37</v>
      </c>
    </row>
    <row r="160" spans="1:5" x14ac:dyDescent="0.15">
      <c r="A160" s="8" t="s">
        <v>351</v>
      </c>
      <c r="B160" s="8" t="s">
        <v>351</v>
      </c>
      <c r="C160" s="8" t="s">
        <v>261</v>
      </c>
      <c r="D160" s="8" t="s">
        <v>262</v>
      </c>
      <c r="E160" s="8" t="s">
        <v>37</v>
      </c>
    </row>
    <row r="161" spans="1:5" x14ac:dyDescent="0.15">
      <c r="A161" s="3"/>
      <c r="B161" s="3"/>
      <c r="C161" s="3"/>
      <c r="D161" s="3"/>
      <c r="E161" s="3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67"/>
  <sheetViews>
    <sheetView workbookViewId="0">
      <pane ySplit="10" topLeftCell="A11" activePane="bottomLeft" state="frozen"/>
      <selection pane="bottomLeft" activeCell="B17" sqref="B17"/>
    </sheetView>
  </sheetViews>
  <sheetFormatPr defaultRowHeight="13.5" x14ac:dyDescent="0.15"/>
  <cols>
    <col min="1" max="1" width="11.375" bestFit="1" customWidth="1"/>
    <col min="2" max="3" width="26.875" bestFit="1" customWidth="1"/>
  </cols>
  <sheetData>
    <row r="1" spans="1:3" x14ac:dyDescent="0.15">
      <c r="A1" t="s">
        <v>238</v>
      </c>
    </row>
    <row r="2" spans="1:3" x14ac:dyDescent="0.15">
      <c r="A2" t="s">
        <v>244</v>
      </c>
      <c r="B2" t="s">
        <v>245</v>
      </c>
    </row>
    <row r="3" spans="1:3" x14ac:dyDescent="0.15">
      <c r="A3" t="s">
        <v>239</v>
      </c>
      <c r="B3" t="s">
        <v>239</v>
      </c>
    </row>
    <row r="4" spans="1:3" x14ac:dyDescent="0.15">
      <c r="A4" t="s">
        <v>240</v>
      </c>
      <c r="B4" t="s">
        <v>240</v>
      </c>
    </row>
    <row r="5" spans="1:3" x14ac:dyDescent="0.15">
      <c r="A5" t="s">
        <v>241</v>
      </c>
      <c r="B5" t="s">
        <v>241</v>
      </c>
    </row>
    <row r="6" spans="1:3" x14ac:dyDescent="0.15">
      <c r="A6" t="s">
        <v>242</v>
      </c>
      <c r="B6" t="s">
        <v>242</v>
      </c>
    </row>
    <row r="7" spans="1:3" x14ac:dyDescent="0.15">
      <c r="A7" t="s">
        <v>352</v>
      </c>
      <c r="B7" t="s">
        <v>352</v>
      </c>
    </row>
    <row r="9" spans="1:3" x14ac:dyDescent="0.15">
      <c r="A9" t="s">
        <v>243</v>
      </c>
    </row>
    <row r="10" spans="1:3" x14ac:dyDescent="0.15">
      <c r="A10" t="s">
        <v>244</v>
      </c>
      <c r="B10" t="s">
        <v>246</v>
      </c>
      <c r="C10" t="s">
        <v>247</v>
      </c>
    </row>
    <row r="11" spans="1:3" x14ac:dyDescent="0.15">
      <c r="A11" t="s">
        <v>239</v>
      </c>
      <c r="B11" t="s">
        <v>6</v>
      </c>
      <c r="C11" t="s">
        <v>6</v>
      </c>
    </row>
    <row r="12" spans="1:3" x14ac:dyDescent="0.15">
      <c r="A12" t="s">
        <v>239</v>
      </c>
      <c r="B12" t="s">
        <v>49</v>
      </c>
      <c r="C12" t="s">
        <v>49</v>
      </c>
    </row>
    <row r="13" spans="1:3" x14ac:dyDescent="0.15">
      <c r="A13" t="s">
        <v>239</v>
      </c>
      <c r="B13" t="s">
        <v>50</v>
      </c>
      <c r="C13" t="s">
        <v>50</v>
      </c>
    </row>
    <row r="14" spans="1:3" x14ac:dyDescent="0.15">
      <c r="A14" t="s">
        <v>239</v>
      </c>
      <c r="B14" t="s">
        <v>82</v>
      </c>
      <c r="C14" t="s">
        <v>82</v>
      </c>
    </row>
    <row r="15" spans="1:3" x14ac:dyDescent="0.15">
      <c r="A15" t="s">
        <v>239</v>
      </c>
      <c r="B15" t="s">
        <v>87</v>
      </c>
      <c r="C15" t="s">
        <v>87</v>
      </c>
    </row>
    <row r="16" spans="1:3" x14ac:dyDescent="0.15">
      <c r="A16" t="s">
        <v>239</v>
      </c>
      <c r="B16" t="s">
        <v>88</v>
      </c>
      <c r="C16" t="s">
        <v>88</v>
      </c>
    </row>
    <row r="17" spans="1:3" x14ac:dyDescent="0.15">
      <c r="A17" t="s">
        <v>239</v>
      </c>
      <c r="B17" t="s">
        <v>83</v>
      </c>
      <c r="C17" t="s">
        <v>83</v>
      </c>
    </row>
    <row r="18" spans="1:3" x14ac:dyDescent="0.15">
      <c r="A18" t="s">
        <v>239</v>
      </c>
      <c r="B18" t="s">
        <v>84</v>
      </c>
      <c r="C18" t="s">
        <v>84</v>
      </c>
    </row>
    <row r="19" spans="1:3" x14ac:dyDescent="0.15">
      <c r="A19" s="12" t="s">
        <v>240</v>
      </c>
      <c r="B19" t="s">
        <v>6</v>
      </c>
      <c r="C19" t="s">
        <v>6</v>
      </c>
    </row>
    <row r="20" spans="1:3" x14ac:dyDescent="0.15">
      <c r="A20" s="12" t="s">
        <v>240</v>
      </c>
      <c r="B20" t="s">
        <v>49</v>
      </c>
      <c r="C20" t="s">
        <v>49</v>
      </c>
    </row>
    <row r="21" spans="1:3" x14ac:dyDescent="0.15">
      <c r="A21" s="12" t="s">
        <v>240</v>
      </c>
      <c r="B21" t="s">
        <v>50</v>
      </c>
      <c r="C21" t="s">
        <v>50</v>
      </c>
    </row>
    <row r="22" spans="1:3" x14ac:dyDescent="0.15">
      <c r="A22" s="12" t="s">
        <v>240</v>
      </c>
      <c r="B22" t="s">
        <v>12</v>
      </c>
      <c r="C22" t="s">
        <v>12</v>
      </c>
    </row>
    <row r="23" spans="1:3" x14ac:dyDescent="0.15">
      <c r="A23" s="12" t="s">
        <v>240</v>
      </c>
      <c r="B23" t="s">
        <v>42</v>
      </c>
      <c r="C23" t="s">
        <v>42</v>
      </c>
    </row>
    <row r="24" spans="1:3" x14ac:dyDescent="0.15">
      <c r="A24" s="12" t="s">
        <v>240</v>
      </c>
      <c r="B24" t="s">
        <v>155</v>
      </c>
      <c r="C24" t="s">
        <v>155</v>
      </c>
    </row>
    <row r="25" spans="1:3" x14ac:dyDescent="0.15">
      <c r="A25" s="12" t="s">
        <v>240</v>
      </c>
      <c r="B25" t="s">
        <v>156</v>
      </c>
      <c r="C25" t="s">
        <v>156</v>
      </c>
    </row>
    <row r="26" spans="1:3" x14ac:dyDescent="0.15">
      <c r="A26" s="12" t="s">
        <v>240</v>
      </c>
      <c r="B26" t="s">
        <v>90</v>
      </c>
      <c r="C26" t="s">
        <v>90</v>
      </c>
    </row>
    <row r="27" spans="1:3" x14ac:dyDescent="0.15">
      <c r="A27" s="12" t="s">
        <v>240</v>
      </c>
      <c r="B27" t="s">
        <v>91</v>
      </c>
      <c r="C27" t="s">
        <v>91</v>
      </c>
    </row>
    <row r="28" spans="1:3" x14ac:dyDescent="0.15">
      <c r="A28" s="12" t="s">
        <v>240</v>
      </c>
      <c r="B28" t="s">
        <v>157</v>
      </c>
      <c r="C28" t="s">
        <v>157</v>
      </c>
    </row>
    <row r="29" spans="1:3" x14ac:dyDescent="0.15">
      <c r="A29" s="12" t="s">
        <v>240</v>
      </c>
      <c r="B29" t="s">
        <v>158</v>
      </c>
      <c r="C29" t="s">
        <v>158</v>
      </c>
    </row>
    <row r="30" spans="1:3" x14ac:dyDescent="0.15">
      <c r="A30" s="12" t="s">
        <v>240</v>
      </c>
      <c r="B30" t="s">
        <v>153</v>
      </c>
      <c r="C30" t="s">
        <v>153</v>
      </c>
    </row>
    <row r="31" spans="1:3" x14ac:dyDescent="0.15">
      <c r="A31" s="12" t="s">
        <v>240</v>
      </c>
      <c r="B31" t="s">
        <v>154</v>
      </c>
      <c r="C31" t="s">
        <v>154</v>
      </c>
    </row>
    <row r="32" spans="1:3" x14ac:dyDescent="0.15">
      <c r="A32" s="13" t="s">
        <v>241</v>
      </c>
      <c r="B32" t="s">
        <v>8</v>
      </c>
      <c r="C32" t="s">
        <v>8</v>
      </c>
    </row>
    <row r="33" spans="1:3" x14ac:dyDescent="0.15">
      <c r="A33" s="13" t="s">
        <v>241</v>
      </c>
      <c r="B33" t="s">
        <v>9</v>
      </c>
      <c r="C33" t="s">
        <v>9</v>
      </c>
    </row>
    <row r="34" spans="1:3" x14ac:dyDescent="0.15">
      <c r="A34" s="13" t="s">
        <v>241</v>
      </c>
      <c r="B34" t="s">
        <v>6</v>
      </c>
      <c r="C34" t="s">
        <v>6</v>
      </c>
    </row>
    <row r="35" spans="1:3" x14ac:dyDescent="0.15">
      <c r="A35" s="13" t="s">
        <v>241</v>
      </c>
      <c r="B35" t="s">
        <v>30</v>
      </c>
      <c r="C35" t="s">
        <v>30</v>
      </c>
    </row>
    <row r="36" spans="1:3" x14ac:dyDescent="0.15">
      <c r="A36" s="13" t="s">
        <v>241</v>
      </c>
      <c r="B36" t="s">
        <v>49</v>
      </c>
      <c r="C36" t="s">
        <v>49</v>
      </c>
    </row>
    <row r="37" spans="1:3" x14ac:dyDescent="0.15">
      <c r="A37" s="13" t="s">
        <v>241</v>
      </c>
      <c r="B37" t="s">
        <v>50</v>
      </c>
      <c r="C37" t="s">
        <v>50</v>
      </c>
    </row>
    <row r="38" spans="1:3" x14ac:dyDescent="0.15">
      <c r="A38" s="13" t="s">
        <v>241</v>
      </c>
      <c r="B38" t="s">
        <v>10</v>
      </c>
      <c r="C38" t="s">
        <v>10</v>
      </c>
    </row>
    <row r="39" spans="1:3" x14ac:dyDescent="0.15">
      <c r="A39" s="13" t="s">
        <v>241</v>
      </c>
      <c r="B39" t="s">
        <v>11</v>
      </c>
      <c r="C39" t="s">
        <v>11</v>
      </c>
    </row>
    <row r="40" spans="1:3" x14ac:dyDescent="0.15">
      <c r="A40" s="13" t="s">
        <v>241</v>
      </c>
      <c r="B40" t="s">
        <v>12</v>
      </c>
      <c r="C40" t="s">
        <v>12</v>
      </c>
    </row>
    <row r="41" spans="1:3" x14ac:dyDescent="0.15">
      <c r="A41" s="13" t="s">
        <v>241</v>
      </c>
      <c r="B41" t="s">
        <v>36</v>
      </c>
      <c r="C41" t="s">
        <v>36</v>
      </c>
    </row>
    <row r="42" spans="1:3" x14ac:dyDescent="0.15">
      <c r="A42" s="13" t="s">
        <v>241</v>
      </c>
      <c r="B42" t="s">
        <v>7</v>
      </c>
      <c r="C42" t="s">
        <v>7</v>
      </c>
    </row>
    <row r="43" spans="1:3" x14ac:dyDescent="0.15">
      <c r="A43" s="13" t="s">
        <v>241</v>
      </c>
      <c r="B43" t="s">
        <v>152</v>
      </c>
      <c r="C43" t="s">
        <v>152</v>
      </c>
    </row>
    <row r="44" spans="1:3" x14ac:dyDescent="0.15">
      <c r="A44" s="13" t="s">
        <v>241</v>
      </c>
      <c r="B44" t="s">
        <v>45</v>
      </c>
      <c r="C44" t="s">
        <v>45</v>
      </c>
    </row>
    <row r="45" spans="1:3" x14ac:dyDescent="0.15">
      <c r="A45" s="13" t="s">
        <v>241</v>
      </c>
      <c r="B45" t="s">
        <v>92</v>
      </c>
      <c r="C45" t="s">
        <v>92</v>
      </c>
    </row>
    <row r="46" spans="1:3" x14ac:dyDescent="0.15">
      <c r="A46" s="13" t="s">
        <v>242</v>
      </c>
      <c r="B46" t="s">
        <v>8</v>
      </c>
      <c r="C46" t="s">
        <v>8</v>
      </c>
    </row>
    <row r="47" spans="1:3" x14ac:dyDescent="0.15">
      <c r="A47" s="13" t="s">
        <v>242</v>
      </c>
      <c r="B47" t="s">
        <v>9</v>
      </c>
      <c r="C47" t="s">
        <v>9</v>
      </c>
    </row>
    <row r="48" spans="1:3" x14ac:dyDescent="0.15">
      <c r="A48" s="13" t="s">
        <v>242</v>
      </c>
      <c r="B48" t="s">
        <v>6</v>
      </c>
      <c r="C48" t="s">
        <v>6</v>
      </c>
    </row>
    <row r="49" spans="1:3" x14ac:dyDescent="0.15">
      <c r="A49" s="13" t="s">
        <v>242</v>
      </c>
      <c r="B49" t="s">
        <v>30</v>
      </c>
      <c r="C49" t="s">
        <v>30</v>
      </c>
    </row>
    <row r="50" spans="1:3" x14ac:dyDescent="0.15">
      <c r="A50" s="13" t="s">
        <v>242</v>
      </c>
      <c r="B50" t="s">
        <v>47</v>
      </c>
      <c r="C50" t="s">
        <v>47</v>
      </c>
    </row>
    <row r="51" spans="1:3" x14ac:dyDescent="0.15">
      <c r="A51" s="13" t="s">
        <v>242</v>
      </c>
      <c r="B51" t="s">
        <v>49</v>
      </c>
      <c r="C51" t="s">
        <v>49</v>
      </c>
    </row>
    <row r="52" spans="1:3" x14ac:dyDescent="0.15">
      <c r="A52" s="13" t="s">
        <v>242</v>
      </c>
      <c r="B52" t="s">
        <v>50</v>
      </c>
      <c r="C52" t="s">
        <v>50</v>
      </c>
    </row>
    <row r="53" spans="1:3" x14ac:dyDescent="0.15">
      <c r="A53" s="13" t="s">
        <v>242</v>
      </c>
      <c r="B53" t="s">
        <v>12</v>
      </c>
      <c r="C53" t="s">
        <v>12</v>
      </c>
    </row>
    <row r="54" spans="1:3" x14ac:dyDescent="0.15">
      <c r="A54" s="13" t="s">
        <v>242</v>
      </c>
      <c r="B54" t="s">
        <v>36</v>
      </c>
      <c r="C54" t="s">
        <v>36</v>
      </c>
    </row>
    <row r="55" spans="1:3" x14ac:dyDescent="0.15">
      <c r="A55" s="13" t="s">
        <v>242</v>
      </c>
      <c r="B55" t="s">
        <v>41</v>
      </c>
      <c r="C55" t="s">
        <v>41</v>
      </c>
    </row>
    <row r="56" spans="1:3" x14ac:dyDescent="0.15">
      <c r="A56" s="13" t="s">
        <v>242</v>
      </c>
      <c r="B56" t="s">
        <v>42</v>
      </c>
      <c r="C56" t="s">
        <v>42</v>
      </c>
    </row>
    <row r="57" spans="1:3" x14ac:dyDescent="0.15">
      <c r="A57" s="13" t="s">
        <v>242</v>
      </c>
      <c r="B57" t="s">
        <v>45</v>
      </c>
      <c r="C57" t="s">
        <v>45</v>
      </c>
    </row>
    <row r="58" spans="1:3" x14ac:dyDescent="0.15">
      <c r="A58" s="13" t="s">
        <v>242</v>
      </c>
      <c r="B58" t="s">
        <v>43</v>
      </c>
      <c r="C58" t="s">
        <v>43</v>
      </c>
    </row>
    <row r="59" spans="1:3" x14ac:dyDescent="0.15">
      <c r="A59" s="13" t="s">
        <v>242</v>
      </c>
      <c r="B59" t="s">
        <v>44</v>
      </c>
      <c r="C59" t="s">
        <v>44</v>
      </c>
    </row>
    <row r="60" spans="1:3" x14ac:dyDescent="0.15">
      <c r="A60" s="13" t="s">
        <v>242</v>
      </c>
      <c r="B60" t="s">
        <v>7</v>
      </c>
      <c r="C60" t="s">
        <v>7</v>
      </c>
    </row>
    <row r="61" spans="1:3" x14ac:dyDescent="0.15">
      <c r="A61" s="13" t="s">
        <v>242</v>
      </c>
      <c r="B61" t="s">
        <v>46</v>
      </c>
      <c r="C61" t="s">
        <v>46</v>
      </c>
    </row>
    <row r="62" spans="1:3" x14ac:dyDescent="0.15">
      <c r="A62" s="13" t="s">
        <v>242</v>
      </c>
      <c r="B62" t="s">
        <v>48</v>
      </c>
      <c r="C62" t="s">
        <v>48</v>
      </c>
    </row>
    <row r="63" spans="1:3" x14ac:dyDescent="0.15">
      <c r="A63" s="13" t="s">
        <v>352</v>
      </c>
      <c r="B63" t="s">
        <v>6</v>
      </c>
      <c r="C63" t="s">
        <v>6</v>
      </c>
    </row>
    <row r="64" spans="1:3" x14ac:dyDescent="0.15">
      <c r="A64" s="13" t="s">
        <v>352</v>
      </c>
      <c r="B64" t="s">
        <v>30</v>
      </c>
      <c r="C64" t="s">
        <v>30</v>
      </c>
    </row>
    <row r="65" spans="1:3" x14ac:dyDescent="0.15">
      <c r="A65" s="13" t="s">
        <v>352</v>
      </c>
      <c r="B65" t="s">
        <v>249</v>
      </c>
      <c r="C65" t="s">
        <v>249</v>
      </c>
    </row>
    <row r="66" spans="1:3" x14ac:dyDescent="0.15">
      <c r="A66" s="13" t="s">
        <v>352</v>
      </c>
      <c r="B66" t="s">
        <v>250</v>
      </c>
      <c r="C66" t="s">
        <v>250</v>
      </c>
    </row>
    <row r="67" spans="1:3" x14ac:dyDescent="0.15">
      <c r="A67" s="13" t="s">
        <v>352</v>
      </c>
      <c r="B67" t="s">
        <v>36</v>
      </c>
      <c r="C67" t="s">
        <v>36</v>
      </c>
    </row>
  </sheetData>
  <phoneticPr fontId="5" type="noConversion"/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item1.xml><?xml version="1.0" encoding="utf-8"?>
<Atlas>
  <Query type="ReportList" id="702f2ce4-4eb4-4913-99f3-d2fb38c06e57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Uk9E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EAAAACRIAAAAH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RAAAAEQ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QAAAAJEgAAAAc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Tg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EAAAACRIAAAAH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DFRQUFRyYW5zX3NzdAYeAAAAEFRQUCB0cmFuc2FjdGlvbnMJCAAAAAkIAAAACQgAAAAF4P///zBHbG9iZVNvZnR3YXJlLkF0bGFzNDAuQXRsYXNDb21tb24uRGF0YVNvdXJjZVR5cGUBAAAAB3ZhbHVlX18ACAIAAAAAAAAACSEAAAAJIgAAAATd////C1N5c3RlbS5HdWlkCwAAAAJfYQJfYgJfYwJfZAJfZQJfZgJfZwJfaAJfaQJfagJfawAAAAAAAAAAAAAACAcHAgICAgICAgK/wcpQng6bQqh792V7EvxqCQgAAAAJCAAAAAklAAAABiYAAAASVGFibGUuVFBQVHJhbnNfc3N0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E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B0f///9T///8GMAAAAC5UYWJsZS5UUFBUcmFuc19zc3QuSW52ZW50RGltSWR+VGFibGUuSW52ZW50RGltCTEAAAABzv///9T///8GMwAAADFUYWJsZS5UUFBUcmFuc19zc3QuSXRlbUlkflRhYmxlLkludmVudFRhYmxlTW9kdWxlCTQAAAABy////9T///8GNgAAACtUYWJsZS5UUFBUcmFuc19zc3QuSXRlbUlkflRhYmxlLkludmVudFRhYmxlCTcAAAAHFAAAAAABAAAAIAAAAAQtR2xvYmVTb2Z0d2FyZS5BdGxhczQwLkF0bGFzQ29tbW9uLlR5cGUuQ29sdW1uAgAAAAk4AAAACTkAAAAJOgAAAAk7AAAACTwAAAAJPQAAAAk+AAAACT8AAAAJQAAAAAlBAAAACUIAAAAJQwAAAAlEAAAACUUAAAAJRgAAAAlHAAAACUgAAAANDxEVAAAABAAAAAZJAAAADUF0bGFzUmVwb3J0XzINAwcXAAAAAAEAAAAE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Lb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AbT///+2////Bk0AAAAPVGFibGUuSW52ZW50RGltCTAAAAABsf///7b///8GUAAAABdUYWJsZS5JbnZlbnRUYWJsZU1vZHVsZQkzAAAAAa7///+2////BlMAAAARVGFibGUuSW52ZW50VGFibGUJNg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q/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Wq////Pkdsb2JlU29mdHdhcmUuQXRsYXM0MC5BdGxhc0NvbW1vbi5UeXBlLkF0bGFzUXVlcnlBdHRyaWJ1dGVOYW1lAQAAAAd2YWx1ZV9fAAgCAAAAAgAAAAZXAAAAJDcwMmYyY2U0LTRlYjQtNDkxMy05OWYzLWQyZmIzOGMwNmU1NwGo////q////wGn////qv///wAAAAAGWgAAAAR0cnVlAaX///+r////AaT///+q////CwAAAAZdAAAAEFRQUCB0cmFuc2FjdGlvbnMBov///6v///8Bof///6r///8bAAAABmAAAAAEVHJ1ZQGf////q////wGe////qv///wYAAAAGYwAAAAVGYWxzZQGc////q////wGb////qv///xwAAAAJYAAAAAGZ////q////wGY////qv///x0AAAAJYwAAAAGW////q////wGV////qv///yoAAAAJYAAAAAGT////q////wGS////qv///wEAAAAGbwAAAAMzNjMBkP///6v///8Bj////6r///8nAAAABnIAAAALPURhdGFBcmVhSWQBjf///6v///8BjP///6r///8ZAAAABnUAAAAPQ2VsbHNWZXJ0aWNhbGx5AYr///+r////AYn///+q////CQAAAAoBiP///6v///8Bh////6r///8oAAAABnoAAAACMTcBhf///6v///8BhP///6r///8rAAAABn0AAAARVGFibGVTdHlsZU1lZGl1bTIHHAAAAAABAAAABA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IL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fwAAAAxUUFBUcmFuc19zc3QBAAAAAYD///+C////BoEAAAAJSW52ZW50RGltAQAAAAF+////gv///waDAAAAEUludmVudFRhYmxlTW9kdWxlAQAAAAF8////gv///waFAAAAC0ludmVudFRhYmxl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DQAAAAmGAAAAEQAAAAmH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IAAAAJEgAAAAMAAAAJiQAAAAElAAAABAAAAAMAAAAJhgAAAAMAAAAJiwAAAAQpA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mMAAAAAAAAAAcqAAAAAAEAAAAAAAAABC1HbG9iZVNvZnR3YXJlLkF0bGFzNDAuQXRsYXNDb21tb24uVHlwZS5Db2x1bW4CAAAAATEAAAAOAAAA/////waNAAAACUludmVudERpbQaOAAAAFEludmVudG9yeSBkaW1lbnNpb25zCQgAAAAJCAAAAAkIAAAAAXD////g////AAAAAAmRAAAACZIAAAABbf///93////I6FxcYb88S7AwaKejtuBGCQgAAAAJCAAAAAmVAAAACTAAAAAGlwAAAAxUUFBUcmFuc19zc3QGmAAAABJUYWJsZS5UUFBUcmFuc19zc3QGmQAAAB5UYWJsZS5UUFBUcmFuc19zc3QuSW52ZW50RGltSWQGmgAAAAtJbnZlbnREaW1JZAabAAAAC2ludmVudERpbUlkAQAAAAFk////2f///wAAAAABY////9j///8AAAAAAAmeAAAAATQAAAAOAAAA/////wafAAAAEUludmVudFRhYmxlTW9kdWxlBqAAAAAbSW52ZW50b3J5IG1vZHVsZSBwYXJhbWV0ZXJzCQgAAAAJCAAAAAkIAAAAAV7////g////AAAAAAmjAAAACaQAAAABW////93////6rnnGrj1sSqdX5DvVwSOJCQgAAAAJCAAAAAmnAAAACTMAAAAGqQAAAAxUUFBUcmFuc19zc3QGqgAAABJUYWJsZS5UUFBUcmFuc19zc3QGqwAAABlUYWJsZS5UUFBUcmFuc19zc3QuSXRlbUlkBqwAAAAGSXRlbUlkBq0AAAAGSXRlbUlkAQAAAAFS////2f///wAAAAABUf///9j///8AAAAAAAmwAAAAATcAAAAOAAAA/////waxAAAAC0ludmVudFRhYmxlBrIAAAAFSXRlbXMJCAAAAAkIAAAACQgAAAABTP///+D///8AAAAACbUAAAAJtgAAAAFJ////3f///2hKN7/QZAlCsBF1sAFd8zIJCAAAAAkIAAAACbkAAAAJNgAAAAa7AAAADFRQUFRyYW5zX3NzdAa8AAAAElRhYmxlLlRQUFRyYW5zX3NzdAa9AAAAGVRhYmxlLlRQUFRyYW5zX3NzdC5JdGVtSWQGvgAAAAZJdGVtSWQGvwAAAAZJdGVtSWQBAAAAAUD////Z////AAAAAAE/////2P///wAAAAAACcIAAAAFO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wwAAAAnEAAAACcUAAAAGxgAAAAlUcmFuc1R5cGUGxwAAAAlSZWZlcmVuY2UGyAAAAARFbnVtCQgAAAAGygAAACQ0MjQwZmRkNi0wYWFjLTQ3YWItOGE3My0wZWNlZmVmY2I4ZDYFNf///y1HbG9iZVNvZnR3YXJlLkF0bGFzNDAuQXRsYXNDb21tb24uQWdncmVnYXRpb24BAAAAB3ZhbHVlX18ACAIAAAD/////AAAAAAU0////LEdsb2JlU29mdHdhcmUuQXRsYXM0MC5BdGxhc0NvbW1vbi5Db2x1bW5UeXBlAQAAAAd2YWx1ZV9fAAgCAAAAAAAAAAUz////K0dsb2JlU29mdHdhcmUuQXRsYXM0MC5BdGxhc0NvbW1vbi5Tb3J0T3JkZXIBAAAAB3ZhbHVlX18ACAIAAAACAAAAAAAAAAAFMv///0BHbG9iZVNvZnR3YXJlLkF0bGFzNDAuQXRsYXNDb21tb24uVHlwZS5Db2x1bW4rQ3Jvc3NUYWJDb2x1bW5UeXBlAQAAAAd2YWx1ZV9fAAgCAAAAAAAAAAoBAAAAAAAAAAAAAAAAAAbPAAAAJGQyM2NmY2U3LTBhNTYtNGNlZS1hODdmLTg1YWQ1MDhhODI2MAbQAAAAHFRhYmxlLlRQUFRyYW5zX3NzdC5UcmFuc1R5cGUKCgoKATkAAAA4AAAACdEAAAAJ0gAAAAnTAAAABtQAAAAKVHJhbnNSZWZJZAbVAAAABk51bWJlcgbWAAAABlN0cmluZwkIAAAABtgAAAAkZTc5ZDM5N2UtMGU4MS00ZWI5LWE0MzAtYzI5YzUyMjYyYzAyASf///81/////////wEAAAABJv///zT///8AAAAAASX///8z////AgAAAAAAAAAAAST///8y////AAAAAAoBAAAAAAAAAAABAAAAAAbdAAAAJDdiNWNhZThmLTdkZjEtNGFmMC1iY2JmLTA3ZDIzMTcxYzIyNAbeAAAAHVRhYmxlLlRQUFRyYW5zX3NzdC5UcmFuc1JlZklkCgoKCgE6AAAAOAAAAAnfAAAACeAAAAAJ4QAAAAbiAAAABkl0ZW1JZAbjAAAAC0l0ZW0gbnVtYmVyBuQAAAAGU3RyaW5nCQgAAAAG5gAAACQzZTkyN2FhMi0yZjMzLTRkZjQtOGMwOC1mNDVkMTJiMDQ3YTcBGf///zX/////////AgAAAAEY////NP///wAAAAABF////zP///8CAAAAAAAAAAABFv///zL///8AAAAACgEAAAAAAAAAAAIAAAAABusAAAAkOWJjZjU2YjItMjFhYi00YzJhLTk5NDgtNDA1NWQwZDU1MjQzBuwAAAAZVGFibGUuVFBQVHJhbnNfc3N0Lkl0ZW1JZAoKCgoBOwAAADgAAAAJ7QAAAAnuAAAACe8AAAAG8AAAAAhJdGVtTmFtZQbxAAAACUl0ZW0gbmFtZQbyAAAABlN0cmluZwkIAAAABvQAAAAkZmNjYTkwNDMtNDQ4ZS00OGUzLWFjY2YtMDJjYjg3NGRhNTI5AQv///81/////////wMAAAABCv///zT///8AAAAAAQn///8z////AgAAAAAAAAAAAQj///8y////AAAAAAoBAAAAAAAAAAADAAAAAAb5AAAAJGExOWIyYmM4LWM2YmMtNDc1MS05MGY2LWU4NWJkNjkxOTA4Ywb6AAAANFRhYmxlLlRQUFRyYW5zX3NzdC5JdGVtSWR+VGFibGUuSW52ZW50VGFibGUuSXRlbU5hbWUKCgoKATwAAAA4AAAACfsAAAAJ/AAAAAn9AAAABv4AAAAJVHJhbnNEYXRlBv8AAAAERGF0ZQYAAQAABERhdGUJCAAAAAYCAQAAJDRhZDQ4MDM5LTUzN2QtNDBkZS1hMzZiLTlhNzkwOGZiMjBiOAH9/v//Nf////////8EAAAAAfz+//80////AAAAAAH7/v//M////wIAAAAAAAAAAAH6/v//Mv///wAAAAAKAQAAAAAAAAAABAAAAAAGBwEAACRmNGI4NzQzZS02OTJiLTQyZTMtYmExNS0zNTg5YWU4MDcyYzgGCAEAABxUYWJsZS5UUFBUcmFuc19zc3QuVHJhbnNEYXRlCgoKCgE9AAAAOAAAAAkJAQAACQoBAAAJCwEAAAYMAQAADEludmVudFNpdGVJZAYNAQAABFNpdGUGDgEAAAZTdHJpbmcJCAAAAAYQAQAAJDJjMmUzOGIxLTBjZWItNDAwNy05YzQ2LWQ0OTc0M2FhZjg4YwHv/v//Nf////////8FAAAAAe7+//80////AAAAAAHt/v//M////wIAAAAAAAAAAAHs/v//Mv///wAAAAAKAQAAAAAAAAAABQAAAAAGFQEAACQ1YmE3YjhkYS1jODU0LTQ4OWQtOWE1Yi02NDY0MzVhOTRkOGYGFgEAADtUYWJsZS5UUFBUcmFuc19zc3QuSW52ZW50RGltSWR+VGFibGUuSW52ZW50RGltLkludmVudFNpdGVJZAoKCgoBPgAAADgAAAAJFwEAAAkYAQAACRkBAAAGGgEAABBJbnZlbnRMb2NhdGlvbklkBhsBAAAJV2FyZWhvdXNlBhwBAAAGU3RyaW5nCQgAAAAGHgEAACQ4ZTYxMTViMS05NDQ1LTRmZmEtYmJjOC1mNDJjZjc2OTRhMzUB4f7//zX/////////BgAAAAHg/v//NP///wAAAAAB3/7//zP///8CAAAAAAAAAAAB3v7//zL///8AAAAACgEAAAAAAAAAAAYAAAAABiMBAAAkMDQ0ODFjNWItZTg2OC00YzNhLTlmNzEtNTBjMGZmMmUzMTlkBiQBAAA/VGFibGUuVFBQVHJhbnNfc3N0LkludmVudERpbUlkflRhYmxlLkludmVudERpbS5JbnZlbnRMb2NhdGlvbklkCgoKCgE/AAAAOAAAAAklAQAACSYBAAAJJwEAAAYoAQAAA1F0eQYpAQAACFF1YW50aXR5BioBAAAEUmVhbAkIAAAABiwBAAAkODhiM2JlM2MtMjVlNy00NzAwLTg2NTQtNmE5MDNmOTFmYWQ3AdP+//81////AQAAAAcAAAAB0v7//zT///8AAAAAAdH+//8z////AgAAAAAAAAAAAdD+//8y////AAAAAAoBAAAAAAAAAAAHAAAAAAYxAQAAJDEyYTM5NTc1LWI1NDYtNDViOC1iYjEyLTJiZjRhZTYzY2IzOAYyAQAAFlRhYmxlLlRQUFRyYW5zX3NzdC5RdHkKCgoKAUAAAAA4AAAACTMBAAAJNAEAAAk1AQAABjYBAAAGVW5pdElkBjcBAAAEVW5pdAY4AQAABlN0cmluZwkIAAAABjoBAAAkMGQ5MDZhMDAtOWQ4NS00NDI0LWI5YWMtMTZmZDNmOTdmYzc2AcX+//81/////////wgAAAABxP7//zT///8AAAAAAcP+//8z////AgAAAAAAAAAAAcL+//8y////AAAAAAoBAAAAAAAAAAAIAAAAAAY/AQAAJDlkMjZiMjI1LTkyMmUtNGU4OC1iZGFmLTU4YTMyMWU3ODJmOAZAAQAAOFRhYmxlLlRQUFRyYW5zX3NzdC5JdGVtSWR+VGFibGUuSW52ZW50VGFibGVNb2R1bGUuVW5pdElkCgoKCgFBAAAAOAAAAAlBAQAACUIBAAAJQwEAAAZEAQAACUNvc3RQcmljZQZFAQAADlRQUCBjb3N0IHByaWNlBkYBAAAEUmVhbAkIAAAABkgBAAAkYzBkZWEzYTAtNmJlZC00OGY3LWE5MzgtMmFhYjljOTM1YmJlAbf+//81////AQAAAAkAAAABtv7//zT///8AAAAAAbX+//8z////AgAAAAAAAAAAAbT+//8y////AAAAAAoBAAAAAAAAAAAJAAAAAAZNAQAAJGQ5NGU1NjRjLTlkZTItNDJkYi1hODg5LWRlZDkxMTEwYjBmYwZOAQAAHFRhYmxlLlRQUFRyYW5zX3NzdC5Db3N0UHJpY2UKCgoKAUIAAAA4AAAACU8BAAAJUAEAAAlRAQAABlIBAAAKQ29zdEFtb3VudAZTAQAAD1RQUCBjb3N0IGFtb3VudAZUAQAABFJlYWwJCAAAAAZWAQAAJDlkOWRhOTRmLTI5MmYtNDE2Yi1hZmJkLTQ4ZjRkMzBmYjYzOQGp/v//Nf///wEAAAAKAAAAAaj+//80////AAAAAAGn/v//M////wIAAAAAAAAAAAGm/v//Mv///wAAAAAKAQAAAAAAAAAACgAAAAAGWwEAACQyOGY4MTQ3OS1hNzg5LTRiZmEtODA2Mi03NjI5NWFmMTgxNzcGXAEAAB1UYWJsZS5UUFBUcmFuc19zc3QuQ29zdEFtb3VudAoKCgoBQwAAADgAAAAJXQEAAAleAQAACV8BAAAGYAEAAAxDdXJyZW5jeUNvZGUGYQEAAAhDdXJyZW5jeQZiAQAABlN0cmluZwkIAAAABmQBAAAkMDM4NDhiYmYtODk5ZC00OWUzLWIxNTgtODMwZDNlZTNlNDZhAZv+//81/////////wsAAAABmv7//zT///8AAAAAAZn+//8z////AgAAAAAAAAAAAZj+//8y////AAAAAAoBAAAAAAAAAAALAAAAAAZpAQAAJDBkOGVmMTE1LTJiNzItNDQ2ZC04YjIzLWEyMzE5ODY0YjhkZgZqAQAAH1RhYmxlLlRQUFRyYW5zX3NzdC5DdXJyZW5jeUNvZGUKCgoKAUQAAAA4AAAACWsBAAAJbAEAAAltAQAABm4BAAANQ29zdEFtb3VudEN1cgZvAQAAGFRQUCBjb3N0IGFtb3VudCBjdXJyZW5jeQZwAQAABFJlYWwJCAAAAAZyAQAAJDdkYTJlZmZjLWU3MDQtNGIwYy05NjM0LTg0ZDZkZDhkNmQ4ZAGN/v//Nf///wEAAAAMAAAAAYz+//80////AAAAAAGL/v//M////wIAAAAAAAAAAAGK/v//Mv///wAAAAAKAQAAAAAAAAAADAAAAAAGdwEAACRhMTcyNTRjOS01Y2NkLTQ4NDItOTcwYy1kNjY4MmIxMjA4NmYGeAEAACBUYWJsZS5UUFBUcmFuc19zc3QuQ29zdEFtb3VudEN1cgoKCgoBRQAAADgAAAAJeQEAAAl6AQAACXsBAAAGfAEAAAdWb3VjaGVyBn0BAAARRmluYW5jaWFsIHZvdWNoZXIGfgEAAAZTdHJpbmcJCAAAAAaAAQAAJDA4OTgxOGEzLTI2OGUtNGZmZC1iNDgwLWE5ZDdiOTliMmRiZAF//v//Nf////////8NAAAAAX7+//80////AAAAAAF9/v//M////wIAAAAAAAAAAAF8/v//Mv///wAAAAAKAQAAAAAAAAAADQAAAAAGhQEAACQ3NTc1OGQ1NC0xZDRkLTRhOTctODgwZi1iNjI2MDNlYWQ3YTYGhgEAABpUYWJsZS5UUFBUcmFuc19zc3QuVm91Y2hlcgoKCgoBRgAAADgAAAAJhwEAAAmIAQAACYkBAAAGigEAAA1JbnZlbnRUcmFuc0lkBosBAAAGTG90IElEBowBAAAGU3RyaW5nCQgAAAAGjgEAACQ5ZTE1YjcyZC02NmJhLTRjZDItODY0Zi01NmQ1NzI0OWIyOGEBcf7//zX/////////DgAAAAFw/v//NP///wAAAAABb/7//zP///8CAAAAAAAAAAABbv7//zL///8AAAAACgEAAAAAAAAAAA4AAAAABpMBAAAkOTZkYWU5MmYtYjdiNy00ZDVjLWI3ZDgtMWM4N2NlMDcwZTZiBpQBAAAgVGFibGUuVFBQVHJhbnNfc3N0LkludmVudFRyYW5zSWQKCgoKAUcAAAA4AAAACZUBAAAJlgEAAAmXAQAABpgBAAAGU3RhdHVzBpkBAAAGU3RhdHVzBpoBAAAERW51bQkIAAAABpwBAAAkODVjNWFjNzEtM2RmOC00MTMwLWE5NjUtM2Q3ZGNkZWJjOWQyAWP+//81/////////w8AAAABYv7//zT///8AAAAAAWH+//8z////AgAAAAAAAAAAAWD+//8y////AAAAAAoBAAAAAAAAAAAPAAAAAAahAQAAJGQ3Yjk5MWMzLWM0YzItNGVjMy1hNWFlLWQwMjZmYThmZTc5OQaiAQAAGVRhYmxlLlRQUFRyYW5zX3NzdC5TdGF0dXMKCgoKAUgAAAA4AAAACaMBAAAJpAEAAAmlAQAABqYBAAAQSW52ZW50VHJhbnNSZWNJZAanAQAAEEludmVudFRyYW5zUmVjSWQGqAEAAAVJbnQ2NAkIAAAABqoBAAAkZDhhNmZjMDUtZjZmNC00MDNlLTgzZmEtNWU3ZGY0OGI2ZmNlAVX+//81////AQAAABAAAAABVP7//zT///8AAAAAAVP+//8z////AgAAAAAAAAAAAVL+//8y////AAAAAAoBAAAAAAAAAAAQAAAAAAavAQAAJDFkYTI2ODYxLTA0YzktNGYyYy05N2U4LTVkOGE2NGJhZWI3NQawAQAAI1RhYmxlLlRQUFRyYW5zX3NzdC5JbnZlbnRUcmFuc1JlY0lkCgoKCgGGAAAAEgAAAAeHAAAAAAEAAAAN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P/v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ayAQAAHFRhYmxlLlRQUFRyYW5zX3NzdC5UcmFuc1R5cGUJswEAAAFM/v//T/7//wa1AQAAHVRhYmxlLlRQUFRyYW5zX3NzdC5UcmFuc1JlZklkCbYBAAABSf7//0/+//8GuAEAABlUYWJsZS5UUFBUcmFuc19zc3QuSXRlbUlkCbkBAAABRv7//0/+//8GuwEAABxUYWJsZS5UUFBUcmFuc19zc3QuVHJhbnNEYXRlCbwBAAABQ/7//0/+//8GvgEAABZUYWJsZS5UUFBUcmFuc19zc3QuUXR5Cb8BAAABQP7//0/+//8GwQEAABxUYWJsZS5UUFBUcmFuc19zc3QuQ29zdFByaWNlCcIBAAABPf7//0/+//8GxAEAAB1UYWJsZS5UUFBUcmFuc19zc3QuQ29zdEFtb3VudAnFAQAAATr+//9P/v//BscBAAAfVGFibGUuVFBQVHJhbnNfc3N0LkN1cnJlbmN5Q29kZQnIAQAAATf+//9P/v//BsoBAAAgVGFibGUuVFBQVHJhbnNfc3N0LkNvc3RBbW91bnRDdXIJywEAAAE0/v//T/7//wbNAQAAGlRhYmxlLlRQUFRyYW5zX3NzdC5Wb3VjaGVyCc4BAAABMf7//0/+//8G0AEAACBUYWJsZS5UUFBUcmFuc19zc3QuSW52ZW50VHJhbnNJZAnRAQAAAS7+//9P/v//BtMBAAAZVGFibGUuVFBQVHJhbnNfc3N0LlN0YXR1cwnUAQAAASv+//9P/v//BtYBAAAjVGFibGUuVFBQVHJhbnNfc3N0LkludmVudFRyYW5zUmVjSWQJ1wEAAAeJAAAAAAEAAAAC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KP7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AgAAAAbZAQAAHFRhYmxlLlRQUFRyYW5zX3NzdC5UcmFuc0RhdGUJ2gEAAAEl/v//KP7//wbcAQAAGVRhYmxlLlRQUFRyYW5zX3NzdC5JdGVtSWQJ3QEAAAeLAAAAAAEAAAAD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Ei/v//1P///wkwAAAACTEAAAABH/7//9T///8JMwAAAAk0AAAAARz+///U////CTYAAAAJNwAAAASM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kQAAACEAAAACAAAACecBAAADAAAACegBAAAEk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SV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5wEAAAAAAAABngAAACkAAAAAAAAACesBAAAAAAAAAaMAAAAhAAAAAQAAAAnnAQAAAwAAAAntAQAAAaQAAAAiAAAAAQAAAAkSAAAAAwAAAAnvAQAABKc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nAQAAAAAAAAGwAAAAKQAAAAAAAAAJ6wEAAAAAAAABtQAAACEAAAABAAAACecBAAADAAAACfMBAAAEt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S5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5wEAAAAAAAABwgAAACkAAAAAAAAACesBAAAAAAAABMM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fcBAAABAAAAAQAAAATE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ZEAAAAJ+AEAAAcAAAAJ+QEAAATF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wAAAAJ+gEAAAcAAAAJ+wEAAAHRAAAAwwAAAAn8AQAAAQAAAAEAAAAB0gAAAMQAAACQAAAACfgBAAAHAAAACf4BAAAE0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MAAAACfoBAAAHAAAACQACAAAB3wAAAMMAAAAJAQIAAAEAAAABAAAAAeAAAADEAAAAkAAAAAn4AQAABwAAAAkDAgAABOE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jAAAAAn6AQAABwAAAAkFAgAAAe0AAADDAAAACQYCAAABAAAAAQAAAAHuAAAAxAAAAF4AAAAJBwIAAAcAAAAJCAIAAATv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sAAAAJ5wEAAAcAAAAJCgIAAAH7AAAAwwAAAAkLAgAAAQAAAAEAAAAB/AAAAMQAAACIAAAACfgBAAAHAAAACQ0CAAAE/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FAAAACfoBAAAHAAAACQ8CAAABCQEAAMMAAAAJEAIAAAEAAAABAAAAAQoBAADEAAAAbAAAAAkHAgAABwAAAAkSAgAABA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QAAAAnnAQAABwAAAAkUAgAAARcBAADDAAAACRUCAAABAAAAAQAAAAEYAQAAxAAAAGwAAAAJBwIAAAcAAAAJFwIAAAQZ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kAAAAJ5wEAAAcAAAAJGQIAAAElAQAAwwAAAAkaAgAAAQAAAAEAAAABJgEAAMQAAACQAAAACfgBAAAHAAAACRwCAAAEJ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MAAAACfoBAAAHAAAACR4CAAABMwEAAMMAAAAJHwIAAAEAAAABAAAAATQBAADEAAAAbAAAAAkHAgAABwAAAAkhAgAABDU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QAAAAnnAQAABwAAAAkjAgAAAUEBAADDAAAACSQCAAABAAAAAQAAAAFCAQAAxAAAAJEAAAAJ+AEAAAcAAAAJJgIAAARD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wAAAAJ+gEAAAcAAAAJKAIAAAFPAQAAwwAAAAkpAgAAAQAAAAEAAAABUAEAAMQAAACQAAAACfgBAAAHAAAACSsCAAAEU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MAAAACfoBAAAHAAAACS0CAAABXQEAAMMAAAAJLgIAAAEAAAABAAAAAV4BAADEAAAAkAAAAAn4AQAABwAAAAkwAgAABF8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jAAAAAn6AQAABwAAAAkyAgAAAWsBAADDAAAACTMCAAABAAAAAQAAAAFsAQAAxAAAAJAAAAAJ+AEAAAcAAAAJNQIAAARt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wAAAAJ+gEAAAcAAAAJNwIAAAF5AQAAwwAAAAk4AgAAAQAAAAEAAAABegEAAMQAAACQAAAACfgBAAAHAAAACToCAAAEe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MAAAACfoBAAAHAAAACTwCAAABhwEAAMMAAAAJPQIAAAEAAAABAAAAAYgBAADEAAAAkAAAAAn4AQAABwAAAAk/AgAABIk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jAAAAAn6AQAABwAAAAlBAgAAAZUBAADDAAAACUICAAABAAAAAQAAAAGWAQAAxAAAAJAAAAAJ+AEAAAcAAAAJRAIAAASX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wAAAAJ+gEAAAcAAAAJRgIAAAGjAQAAwwAAAAlHAgAAAQAAAAEAAAABpAEAAMQAAACMAAAACfgBAAAHAAAACUkCAAAEp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FAAAACfoBAAAHAAAACUsCAAAFswE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AgAAAAExR2xvYmVTb2Z0d2FyZS5BdGxhczQwLkF0bGFzQ29tbW9uLlR5cGUuRGF0YVNvdXJjZQIAAAArR2xvYmVTb2Z0d2FyZS5BdGxhczQwLkF0bGFzQ29tbW9uLlNvcnRPcmRlcgIAAAA5R2xvYmVTb2Z0d2FyZS5BdGxhczQwLkF0bGFzQ29tbW9uLk51bWJlclNlcXVlbmNlQ29uZGl0aW9uA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BtP3//zX/////////AAZNAgAABEVudW0GTgIAAAlSZWZlcmVuY2UJTwIAAAGw/f//M////wIAAAAFr/3//zlHbG9iZVNvZnR3YXJlLkF0bGFzNDAuQXRsYXNDb21tb24uTnVtYmVyU2VxdWVuY2VDb25kaXRpb24BAAAAB3ZhbHVlX18ACAIAAAABAAAAAAAGUgIAABJUYWJsZS5UUFBUcmFuc19zc3QJxgAAAAkIAAAACv////8JUgIAAAoJxgAAAAoKCgkIAAAACVgCAAAJCAAAAAG2AQAAswEAAAGm/f//Nf////////8ABlsCAAAGU3RyaW5nBlwCAAAGTnVtYmVyCU8CAAABov3//zP///8CAAAAAaH9//+v/f//AQAAAAAACVICAAAJ1AAAAAkIAAAACv////8JUgIAAAoJ1AAAAAoKCgkIAAAACWYCAAAJCAAAAAG5AQAAswEAAAGY/f//Nf////////8ABmkCAAAGU3RyaW5nBmoCAAALSXRlbSBudW1iZXIJTwIAAAGU/f//M////wIAAAABk/3//6/9//8BAAAAAAAJUgIAAAniAAAACQgAAAAK/////wlSAgAACgniAAAACgoKCQgAAAAJdAIAAAkIAAAAAbwBAACzAQAAAYr9//81/////////wAGdwIAAAREYXRlBngCAAAERGF0ZQl5AgAAAYb9//8z////AgAAAAGF/f//r/3//wEAAAAAAAZ8AgAAElRhYmxlLlRQUFRyYW5zX3NzdAn+AAAACQgAAAAK/////wl8AgAACgn+AAAACgoKCQgAAAAJggIAAAkIAAAAAb8BAACzAQAAAXz9//81/////////wAGhQIAAARSZWFsBoYCAAAIUXVhbnRpdHkJTwIAAAF4/f//M////wIAAAABd/3//6/9//8BAAAAAAAJUgIAAAkoAQAACQgAAAAK/////wlSAgAACgkoAQAACgoKCQgAAAAJkAIAAAkIAAAAAcIBAACzAQAAAW79//81/////////wAGkwIAAARSZWFsBpQCAAAOVFBQIGNvc3QgcHJpY2UJTwIAAAFq/f//M////wIAAAABaf3//6/9//8BAAAAAAAJUgIAAAlEAQAACQgAAAAK/////wlSAgAACglEAQAACgoKCQgAAAAJngIAAAkIAAAAAcUBAACzAQAAAWD9//81/////////wAGoQIAAARSZWFsBqICAAAPVFBQIGNvc3QgYW1vdW50CU8CAAABXP3//zP///8CAAAAAVv9//+v/f//AQAAAAAACVICAAAJUgEAAAkIAAAACv////8JUgIAAAoJUgEAAAoKCgkIAAAACawCAAAJCAAAAAHIAQAAswEAAAFS/f//Nf////////8ABq8CAAAGU3RyaW5nBrACAAAIQ3VycmVuY3kJTwIAAAFO/f//M////wIAAAABTf3//6/9//8BAAAAAAAJUgIAAAlgAQAACQgAAAAK/////wlSAgAACglgAQAACgoKCQgAAAAJugIAAAkIAAAAAcsBAACzAQAAAUT9//81/////////wAGvQIAAARSZWFsBr4CAAAYVFBQIGNvc3QgYW1vdW50IGN1cnJlbmN5CU8CAAABQP3//zP///8CAAAAAT/9//+v/f//AQAAAAAACVICAAAJbgEAAAkIAAAACv////8JUgIAAAoJbgEAAAoKCgkIAAAACcgCAAAJCAAAAAHOAQAAswEAAAE2/f//Nf////////8ABssCAAAGU3RyaW5nBswCAAARRmluYW5jaWFsIHZvdWNoZXIJTwIAAAEy/f//M////wIAAAABMf3//6/9//8BAAAAAAAJUgIAAAl8AQAACQgAAAAK/////wlSAgAACgl8AQAACgoKCQgAAAAJ1gIAAAkIAAAAAdEBAACzAQAAASj9//81/////////wAG2QIAAAZTdHJpbmcG2gIAAAZMb3QgSUQJTwIAAAEk/f//M////wIAAAABI/3//6/9//8BAAAAAAAJUgIAAAmKAQAACQgAAAAK/////wlSAgAACgmKAQAACgoKCQgAAAAJ5AIAAAkIAAAAAdQBAACzAQAAARr9//81/////////wAG5wIAAARFbnVtBugCAAAGU3RhdHVzCU8CAAABFv3//zP///8CAAAAARX9//+v/f//AQAAAAAACVICAAAJmAEAAAkIAAAACv////8JUgIAAAoJmAEAAAoKCgkIAAAACfICAAAJCAAAAAHXAQAAswEAAAEM/f//Nf////////8ABvUCAAAFSW50NjQJTgIAAAl5AgAAAQj9//8z////AgAAAAEH/f//r/3//wEAAAAAAAl8AgAACaYBAAAJCAAAAAr/////CXwCAAAKCaYBAAAKCgoJCAAAAAkAAwAACQgAAAAF2gE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BgIDAAASVGFibGUuVFBQVHJhbnNfc3N0BgMDAAAJVHJhbnNEYXRlCQgAAAAGBQMAABgwNC4wMS4yMDE3IC4uIDEyLjMxLjIwMTf/////CQIDAAAKCQMDAAAKCgoJCAAAAAkJAwAACQgAAAAB3QEAANoBAAAJAgMAAAYMAwAABkl0ZW1JZAkIAAAABg4DAAABKv////8JAgMAAAoJDAMAAAoKCgkIAAAACRIDAAAJCAAAAAHnAQAAEgAAAAfoAQAAAAEAAAAC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s/P//T/7//wYVAwAAO1RhYmxlLlRQUFRyYW5zX3NzdC5JbnZlbnREaW1JZH5UYWJsZS5JbnZlbnREaW0uSW52ZW50U2l0ZUlkCRYDAAAB6fz//0/+//8GGAMAAD9UYWJsZS5UUFBUcmFuc19zc3QuSW52ZW50RGltSWR+VGFibGUuSW52ZW50RGltLkludmVudExvY2F0aW9uSWQJGQMAAAHrAQAAjAAAAAftAQ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m/P//T/7//wYbAwAAOFRhYmxlLlRQUFRyYW5zX3NzdC5JdGVtSWR+VGFibGUuSW52ZW50VGFibGVNb2R1bGUuVW5pdElkCRwDAAAH7wE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eP8//8o/v//Bh4DAAA8VGFibGUuVFBQVHJhbnNfc3N0Lkl0ZW1JZH5UYWJsZS5JbnZlbnRUYWJsZU1vZHVsZS5Nb2R1bGVUeXBlCR8DAAAH8w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4Pz//0/+//8GIQMAADRUYWJsZS5UUFBUcmFuc19zc3QuSXRlbUlkflRhYmxlLkludmVudFRhYmxlLkl0ZW1OYW1lCSIDAAAH9wEAAAABAAAABAAAAAQ3R2xvYmVTb2Z0d2FyZS5BdGxhczQwLkF0bGFzQ29tbW9uLlR5cGUuRmllbGRPdXRwdXRGaWVsZAIAAAAJswEAAA0DBPgB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/kB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Tc/P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CAAAABdv8//8yR2xvYmVTb2Z0d2FyZS5BdGxhczQwLkF0bGFzQ29tbW9uLkNvbHVtbkF0dHJpYnV0ZXMBAAAAB3ZhbHVlX18ACAIAAAAQAAAABiYDAAAETm9uZQHZ/P//3Pz//wHY/P//2/z//wkAAAAJCAAAAAHW/P//3Pz//wHV/P//2/z//wsAAAAGLAMAAAEwAdP8///c/P//AdL8///b/P//BAAAAAYvAwAAB0dlbmVyYWwB0Pz//9z8//8Bz/z//9v8//8CAAAABjIDAAABMQHN/P//3Pz//wHM/P//2/z//wAAAAAGNQMAAAUxMy43MQHK/P//3Pz//wHJ/P//2/z//yQAAAAJxwAAAAH6AQAAEgAAAAf7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Mf8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OgMAAAhGb250Qm9sZAY7AwAABUZhbHNlAcT8///H/P//Bj0DAAAKRm9udEl0YWxpYwk7AwAAAcH8///H/P//BkADAAANRm9udFVuZGVybGluZQZBAwAABS00MTQyAb78///H/P//BkMDAAAIRm9udE5hbWUGRAMAAAdDYWxpYnJpAbv8///H/P//BkYDAAAJRm9udENvbG9yBkcDAAABMAG4/P//x/z//wZJAwAACEZvbnRTaXplBkoDAAACMTEBtfz//8f8//8GTAMAAAlGb250U3R5bGUGTQMAAAdSZWd1bGFyB/wBAAAAAQAAAAQAAAAEN0dsb2JlU29mdHdhcmUuQXRsYXM0MC5BdGxhc0NvbW1vbi5UeXBlLkZpZWxkT3V0cHV0RmllbGQCAAAACbYBAAANAwf+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sfz//9z8//8BsPz//9v8//8QAAAACSYDAAABrvz//9z8//8Brfz//9v8//8JAAAACQgAAAABq/z//9z8//8Bqvz//9v8//8LAAAABlcDAAABMQGo/P//3Pz//wGn/P//2/z//wQAAAAGWgMAAAdHZW5lcmFsAaX8///c/P//AaT8///b/P//AgAAAAZdAwAAATEBovz//9z8//8Bofz//9v8//8AAAAABmADAAAFMTAuODYHAA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f/P//x/z//wk6AwAACTsDAAABnPz//8f8//8JPQMAAAk7AwAAAZn8///H/P//CUADAAAGaQMAAAUtNDE0MgGW/P//x/z//wlDAwAABmwDAAAHQ2FsaWJyaQGT/P//x/z//wlGAwAABm8DAAABMAGQ/P//x/z//wlJAwAABnIDAAACMTEBjfz//8f8//8JTAMAAAZ1AwAAB1JlZ3VsYXIHAQIAAAABAAAABAAAAAQ3R2xvYmVTb2Z0d2FyZS5BdGxhczQwLkF0bGFzQ29tbW9uLlR5cGUuRmllbGRPdXRwdXRGaWVsZAIAAAAJuQEAAA0DBwMC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J/P//3Pz//wGI/P//2/z//xAAAAAJJgMAAAGG/P//3Pz//wGF/P//2/z//wkAAAAJCAAAAAGD/P//3Pz//wGC/P//2/z//wsAAAAGfwMAAAEyAYD8///c/P//AX/8///b/P//BAAAAAaCAwAAB0dlbmVyYWwBffz//9z8//8BfPz//9v8//8CAAAABoUDAAABMQF6/P//3Pz//wF5/P//2/z//wAAAAAGiAMAAAUxNC4xNAcF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f8///H/P//CToDAAAJOwMAAAF0/P//x/z//wk9AwAACTsDAAABcfz//8f8//8JQAMAAAaRAwAABS00MTQyAW78///H/P//CUMDAAAGlAMAAAdDYWxpYnJpAWv8///H/P//CUYDAAAGlwMAAAEwAWj8///H/P//CUkDAAAGmgMAAAIxMQFl/P//x/z//wlMAwAABp0DAAAHUmVndWxhcgcGAgAAAAEAAAAEAAAABDdHbG9iZVNvZnR3YXJlLkF0bGFzNDAuQXRsYXNDb21tb24uVHlwZS5GaWVsZE91dHB1dEZpZWxkAgAAAAkiAwAADQMBBwIAAPgBAAAHCAI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H8///c/P//AWD8///b/P//CQAAAAkIAAAAAV78///c/P//AV38///b/P//CwAAAAakAwAAATMBW/z//9z8//8BWvz//9v8//8EAAAABqcDAAAHR2VuZXJhbAFY/P//3Pz//wFX/P//2/z//wIAAAAGqgMAAAExAVX8///c/P//AVT8///b/P//AAAAAAatAwAABTI1LjQzBwo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vz//8f8//8GrwMAAAhGb250Qm9sZAk7AwAAAU/8///H/P//BrIDAAAKRm9udEl0YWxpYwk7AwAAAUz8///H/P//BrUDAAANRm9udFVuZGVybGluZQa2AwAABS00MTQyAUn8///H/P//BrgDAAAIRm9udE5hbWUGuQMAAAdDYWxpYnJpAUb8///H/P//BrsDAAAJRm9udENvbG9yBrwDAAABMAFD/P//x/z//wa+AwAACEZvbnRTaXplBr8DAAACMTEBQPz//8f8//8GwQMAAAlGb250U3R5bGUGwgMAAAdSZWd1bGFyBwsCAAAAAQAAAAQAAAAEN0dsb2JlU29mdHdhcmUuQXRsYXM0MC5BdGxhc0NvbW1vbi5UeXBlLkZpZWxkT3V0cHV0RmllbGQCAAAACbwBAAANAwcNAg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PPz//9z8//8BO/z//9v8//8JAAAACQgAAAABOfz//9z8//8BOPz//9v8//8LAAAABskDAAABNAE2/P//3Pz//wE1/P//2/z//wQAAAAGzAMAAAhtL2QveXl5eQEz/P//3Pz//wEy/P//2/z//wIAAAAGzwMAAAExATD8///c/P//AS/8///b/P//AAAAAAbSAwAAATkHDw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t/P//x/z//wk6AwAACTsDAAABKvz//8f8//8JPQMAAAk7AwAAASf8///H/P//CUADAAAG2wMAAAUtNDE0MgEk/P//x/z//wlDAwAABt4DAAAHQ2FsaWJyaQEh/P//x/z//wlGAwAABuEDAAABMAEe/P//x/z//wlJAwAABuQDAAACMTEBG/z//8f8//8JTAMAAAbnAwAAB1JlZ3VsYXIHEAIAAAABAAAABAAAAAQ3R2xvYmVTb2Z0d2FyZS5BdGxhczQwLkF0bGFzQ29tbW9uLlR5cGUuRmllbGRPdXRwdXRGaWVsZAIAAAAJFgMAAA0DBxIC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X/P//3Pz//wEW/P//2/z//wkAAAAJCAAAAAEU/P//3Pz//wET/P//2/z//wsAAAAG7gMAAAE1ARH8///c/P//ARD8///b/P//BAAAAAbxAwAAB0dlbmVyYWwBDvz//9z8//8BDfz//9v8//8CAAAABvQDAAABMQEL/P//3Pz//wEK/P//2/z//wAAAAAG9wMAAAE2BxQ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Pz//8f8//8G+QMAAAhGb250Qm9sZAk7AwAAAQX8///H/P//BvwDAAAKRm9udEl0YWxpYwk7AwAAAQL8///H/P//Bv8DAAANRm9udFVuZGVybGluZQYABAAABS00MTQyAf/7///H/P//BgIEAAAIRm9udE5hbWUGAwQAAAdDYWxpYnJpAfz7///H/P//BgUEAAAJRm9udENvbG9yBgYEAAABMAH5+///x/z//wYIBAAACEZvbnRTaXplBgkEAAACMTEB9vv//8f8//8GCwQAAAlGb250U3R5bGUGDAQAAAdSZWd1bGFyBxUCAAAAAQAAAAQAAAAEN0dsb2JlU29mdHdhcmUuQXRsYXM0MC5BdGxhc0NvbW1vbi5UeXBlLkZpZWxkT3V0cHV0RmllbGQCAAAACRkDAAANAwcXAg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8vv//9z8//8B8fv//9v8//8JAAAACQgAAAAB7/v//9z8//8B7vv//9v8//8LAAAABhMEAAABNgHs+///3Pz//wHr+///2/z//wQAAAAGFgQAAAdHZW5lcmFsAen7///c/P//Aej7///b/P//AgAAAAYZBAAAATEB5vv//9z8//8B5fv//9v8//8AAAAABhwEAAAENS4xNAcZ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P7///H/P//CfkDAAAJOwMAAAHg+///x/z//wn8AwAACTsDAAAB3fv//8f8//8J/wMAAAYlBAAABS00MTQyAdr7///H/P//CQIEAAAGKAQAAAdDYWxpYnJpAdf7///H/P//CQUEAAAGKwQAAAEwAdT7///H/P//CQgEAAAGLgQAAAIxMQHR+///x/z//wkLBAAABjEEAAAHUmVndWxhcgcaAgAAAAEAAAAEAAAABDdHbG9iZVNvZnR3YXJlLkF0bGFzNDAuQXRsYXNDb21tb24uVHlwZS5GaWVsZE91dHB1dEZpZWxkAgAAAAm/AQAADQMHHAI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37///c/P//Acz7///b/P//EAAAAAkmAwAAAcr7///c/P//Acn7///b/P//CQAAAAkIAAAAAcf7///c/P//Acb7///b/P//CwAAAAY7BAAAATcBxPv//9z8//8Bw/v//9v8//8EAAAABj4EAAAHR2VuZXJhbAHB+///3Pz//wHA+///2/z//wIAAAAGQQQAAAExAb77///c/P//Ab37///b/P//AAAAAAZEBAAABTEwLjI5Bx4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/v//8f8//8JOgMAAAk7AwAAAbj7///H/P//CT0DAAAJOwMAAAG1+///x/z//wlAAwAABk0EAAAFLTQxNDIBsvv//8f8//8JQwMAAAZQBAAAB0NhbGlicmkBr/v//8f8//8JRgMAAAZTBAAAATABrPv//8f8//8JSQMAAAZWBAAAAjExAan7///H/P//CUwDAAAGWQQAAAdSZWd1bGFyBx8CAAAAAQAAAAQAAAAEN0dsb2JlU29mdHdhcmUuQXRsYXM0MC5BdGxhc0NvbW1vbi5UeXBlLkZpZWxkT3V0cHV0RmllbGQCAAAACRwDAAANAwchAg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pfv//9z8//8BpPv//9v8//8JAAAACQgAAAABovv//9z8//8Bofv//9v8//8LAAAABmAEAAABOAGf+///3Pz//wGe+///2/z//wQAAAAGYwQAAAdHZW5lcmFsAZz7///c/P//AZv7///b/P//AgAAAAZmBAAAATEBmfv//9z8//8BmPv//9v8//8AAAAABmkEAAAENi40Mwcj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b7///H/P//CfkDAAAJOwMAAAGT+///x/z//wn8AwAACTsDAAABkPv//8f8//8J/wMAAAZyBAAABS00MTQyAY37///H/P//CQIEAAAGdQQAAAdDYWxpYnJpAYr7///H/P//CQUEAAAGeAQAAAEwAYf7///H/P//CQgEAAAGewQAAAIxMQGE+///x/z//wkLBAAABn4EAAAHUmVndWxhcgckAgAAAAEAAAAEAAAABDdHbG9iZVNvZnR3YXJlLkF0bGFzNDAuQXRsYXNDb21tb24uVHlwZS5GaWVsZE91dHB1dEZpZWxkAgAAAAnCAQAADQMHJgI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D7///c/P//AX/7///b/P//BgAAAAaCBAAABVRvdGFsAX37///c/P//AXz7///b/P//EAAAAAkmAwAAAXr7///c/P//AXn7///b/P//CQAAAAkIAAAAAXf7///c/P//AXb7///b/P//CwAAAAaLBAAAATkBdPv//9z8//8Bc/v//9v8//8EAAAABo4EAAAHR2VuZXJhbAFx+///3Pz//wFw+///2/z//wIAAAAGkQQAAAExAW77///c/P//AW37///b/P//AAAAAAaUBAAABDkuMjkHKA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r+///x/z//wk6AwAACTsDAAABaPv//8f8//8JPQMAAAk7AwAAAWX7///H/P//CUADAAAGnQQAAAUtNDE0MgFi+///x/z//wlDAwAABqAEAAAHQ2FsaWJyaQFf+///x/z//wlGAwAABqMEAAABMAFc+///x/z//wlJAwAABqYEAAACMTEBWfv//8f8//8JTAMAAAapBAAAB1JlZ3VsYXIHKQIAAAABAAAABAAAAAQ3R2xvYmVTb2Z0d2FyZS5BdGxhczQwLkF0bGFzQ29tbW9uLlR5cGUuRmllbGRPdXRwdXRGaWVsZAIAAAAJxQEAAA0DBysC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V+///3Pz//wFU+///2/z//xAAAAAJJgMAAAFS+///3Pz//wFR+///2/z//wkAAAAJCAAAAAFP+///3Pz//wFO+///2/z//wsAAAAGswQAAAIxMAFM+///3Pz//wFL+///2/z//wQAAAAGtgQAAAdHZW5lcmFsAUn7///c/P//AUj7///b/P//AgAAAAa5BAAAATEBRvv//9z8//8BRfv//9v8//8AAAAABrwEAAAFMTAuNDMHLQ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D+///x/z//wk6AwAACTsDAAABQPv//8f8//8JPQMAAAk7AwAAAT37///H/P//CUADAAAGxQQAAAUtNDE0MgE6+///x/z//wlDAwAABsgEAAAHQ2FsaWJyaQE3+///x/z//wlGAwAABssEAAABMAE0+///x/z//wlJAwAABs4EAAACMTEBMfv//8f8//8JTAMAAAbRBAAAB1JlZ3VsYXIHLgIAAAABAAAABAAAAAQ3R2xvYmVTb2Z0d2FyZS5BdGxhczQwLkF0bGFzQ29tbW9uLlR5cGUuRmllbGRPdXRwdXRGaWVsZAIAAAAJyAEAAA0DBzAC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t+///3Pz//wEs+///2/z//xAAAAAJJgMAAAEq+///3Pz//wEp+///2/z//wkAAAAJCAAAAAEn+///3Pz//wEm+///2/z//wsAAAAG2wQAAAIxMQEk+///3Pz//wEj+///2/z//wQAAAAG3gQAAAdHZW5lcmFsASH7///c/P//ASD7///b/P//AgAAAAbhBAAAATEBHvv//9z8//8BHfv//9v8//8AAAAABuQEAAAFMTAuNDMHMg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b+///x/z//wk6AwAACTsDAAABGPv//8f8//8JPQMAAAk7AwAAARX7///H/P//CUADAAAG7QQAAAUtNDE0MgES+///x/z//wlDAwAABvAEAAAHQ2FsaWJyaQEP+///x/z//wlGAwAABvMEAAABMAEM+///x/z//wlJAwAABvYEAAACMTEBCfv//8f8//8JTAMAAAb5BAAAB1JlZ3VsYXIHMwIAAAABAAAABAAAAAQ3R2xvYmVTb2Z0d2FyZS5BdGxhczQwLkF0bGFzQ29tbW9uLlR5cGUuRmllbGRPdXRwdXRGaWVsZAIAAAAJywEAAA0DBzUC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F+///3Pz//wEE+///2/z//xAAAAAJJgMAAAEC+///3Pz//wEB+///2/z//wkAAAAJCAAAAAH/+v//3Pz//wH++v//2/z//wsAAAAGAwUAAAIxMgH8+v//3Pz//wH7+v//2/z//wQAAAAGBgUAAAdHZW5lcmFsAfn6///c/P//Afj6///b/P//AgAAAAYJBQAAATEB9vr//9z8//8B9fr//9v8//8AAAAABgwFAAABOQc3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P6///H/P//CToDAAAJOwMAAAHw+v//x/z//wk9AwAACTsDAAAB7fr//8f8//8JQAMAAAYVBQAABS00MTQyAer6///H/P//CUMDAAAGGAUAAAdDYWxpYnJpAef6///H/P//CUYDAAAGGwUAAAEwAeT6///H/P//CUkDAAAGHgUAAAIxMQHh+v//x/z//wlMAwAABiEFAAAHUmVndWxhcgc4AgAAAAEAAAAEAAAABDdHbG9iZVNvZnR3YXJlLkF0bGFzNDAuQXRsYXNDb21tb24uVHlwZS5GaWVsZE91dHB1dEZpZWxkAgAAAAnOAQAADQMHOgI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36///c/P//Adz6///b/P//EAAAAAkmAwAAAdr6///c/P//Adn6///b/P//CQAAAAkIAAAAAdf6///c/P//Adb6///b/P//CwAAAAYrBQAAAjEzAdT6///c/P//AdP6///b/P//BAAAAAYuBQAAB0dlbmVyYWwB0fr//9z8//8B0Pr//9v8//8CAAAABjEFAAABMQHO+v//3Pz//wHN+v//2/z//wAAAAAGNAUAAAUxOC4xNAc8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v6///H/P//CToDAAAJOwMAAAHI+v//x/z//wk9AwAACTsDAAABxfr//8f8//8JQAMAAAY9BQAABS00MTQyAcL6///H/P//CUMDAAAGQAUAAAdDYWxpYnJpAb/6///H/P//CUYDAAAGQwUAAAEwAbz6///H/P//CUkDAAAGRgUAAAIxMQG5+v//x/z//wlMAwAABkkFAAAHUmVndWxhcgc9AgAAAAEAAAAEAAAABDdHbG9iZVNvZnR3YXJlLkF0bGFzNDAuQXRsYXNDb21tb24uVHlwZS5GaWVsZE91dHB1dEZpZWxkAgAAAAnRAQAADQMHPwI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X6///c/P//AbT6///b/P//EAAAAAkmAwAAAbL6///c/P//AbH6///b/P//CQAAAAkIAAAAAa/6///c/P//Aa76///b/P//CwAAAAZTBQAAAjE0Aaz6///c/P//Aav6///b/P//BAAAAAZWBQAAB0dlbmVyYWwBqfr//9z8//8BqPr//9v8//8CAAAABlkFAAABMQGm+v//3Pz//wGl+v//2/z//wAAAAAGXAUAAAQ5LjQzB0E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/r//8f8//8JOgMAAAk7AwAAAaD6///H/P//CT0DAAAJOwMAAAGd+v//x/z//wlAAwAABmUFAAAFLTQxNDIBmvr//8f8//8JQwMAAAZoBQAAB0NhbGlicmkBl/r//8f8//8JRgMAAAZrBQAAATABlPr//8f8//8JSQMAAAZuBQAAAjExAZH6///H/P//CUwDAAAGcQUAAAdSZWd1bGFyB0ICAAAAAQAAAAQAAAAEN0dsb2JlU29mdHdhcmUuQXRsYXM0MC5BdGxhc0NvbW1vbi5UeXBlLkZpZWxkT3V0cHV0RmllbGQCAAAACdQBAAANAwdEAg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jfr//9z8//8BjPr//9v8//8QAAAACSYDAAABivr//9z8//8Bifr//9v8//8JAAAACQgAAAABh/r//9z8//8Bhvr//9v8//8LAAAABnsFAAACMTUBhPr//9z8//8Bg/r//9v8//8EAAAABn4FAAAHR2VuZXJhbAGB+v//3Pz//wGA+v//2/z//wIAAAAGgQUAAAExAX76///c/P//AX36///b/P//AAAAAAaEBQAAATgHRg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7+v//x/z//wk6AwAACTsDAAABePr//8f8//8JPQMAAAk7AwAAAXX6///H/P//CUADAAAGjQUAAAUtNDE0MgFy+v//x/z//wlDAwAABpAFAAAHQ2FsaWJyaQFv+v//x/z//wlGAwAABpMFAAABMAFs+v//x/z//wlJAwAABpYFAAACMTEBafr//8f8//8JTAMAAAaZBQAAB1JlZ3VsYXIHRwIAAAABAAAABAAAAAQ3R2xvYmVTb2Z0d2FyZS5BdGxhczQwLkF0bGFzQ29tbW9uLlR5cGUuRmllbGRPdXRwdXRGaWVsZAIAAAAJ1wEAAA0DB0kC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l+v//3Pz//wFk+v//2/z//wkAAAAJCAAAAAFi+v//3Pz//wFh+v//2/z//wsAAAAGoAUAAAIxNgFf+v//3Pz//wFe+v//2/z//wQAAAAGowUAAAdHZW5lcmFsAVz6///c/P//AVv6///b/P//AgAAAAamBQAAATEBWfr//9z8//8BWPr//9v8//8AAAAABqkFAAAFMTIuNzEBVvr//9z8//8BVfr//9v8//8kAAAACacBAAAHSw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T+v//x/z//wk6AwAACTsDAAABUPr//8f8//8JPQMAAAk7AwAAAU36///H/P//CUADAAAGtQUAAAUtNDE0MgFK+v//x/z//wlDAwAABrgFAAAHQ2FsaWJyaQFH+v//x/z//wlGAwAABrsFAAABMAFE+v//x/z//wlJAwAABr4FAAACMTEBQfr//8f8//8JTAMAAAbBBQAAB1JlZ3VsYXIBTwIAAA4AAAAInQAABsIFAAAMVFBQVHJhbnNfc3N0BsMFAAAQVFBQIHRyYW5zYWN0aW9ucwkIAAAACQgAAAAJCAAAAAE7+v//4P///wAAAAAJxgUAAAnHBQAAATj6///d////CMwD4BB7sEu7kDiTuVRi9AkIAAAACQgAAAAJygUAAAlSAgAACgoKCgoBAAAAATT6///Z////AAAAAAEz+v//2P///wAAAAAACc4FAAAEW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NAAAACfoBAAADAAAACdAFAAAEZ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NAAAACfoBAAADAAAACdIFAAAEd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NAAAACfoBAAADAAAACdQFAAABeQIAAA4AAAD/////BtUFAAAMVFBQVHJhbnNfc3N0BtYFAAAQVFBQIHRyYW5zYWN0aW9ucwkIAAAACQgAAAAJCAAAAAEo+v//4P///wAAAAAJ2QUAAAnaBQAAASX6///d////CfP3hxhf70qh4YtroFWDEwkIAAAACQgAAAAJ3QUAAAl8AgAACgoKCgoBAAAAASH6///Z////AAAAAAEg+v//2P///wAAAAAACeEFAAAEg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EAAAACfoBAAADAAAACeMFAAAEk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NAAAACfoBAAADAAAACeUFAAAEn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NAAAACfoBAAADAAAACecFAAAEr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NAAAACfoBAAADAAAACekFAAAEu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NAAAACfoBAAADAAAACesFAAAEy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NAAAACfoBAAADAAAACe0FAAAE1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NAAAACfoBAAADAAAACe8FAAAE5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NAAAACfoBAAADAAAACfEFAAAE8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NAAAACfoBAAADAAAACfMFAAAEAA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EAAAACfoBAAADAAAACfUFAAAECQ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TAAAACRIAAAADAAAACfcFAAAEEg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TAAAACRIAAAADAAAACfkFAAABFgMAALMBAAABBvr//zX/////////AAb7BQAABlN0cmluZwb8BQAABFNpdGUJMQAAAAEC+v//M////wIAAAABAfr//6/9//8BAAAAAAAJMAAAAAkMAQAACQgAAAAK/////wkwAAAACgkMAQAABgUGAAALSW52ZW50RGltSWQGBgYAAAxUUFBUcmFuc19zc3QKCQgAAAAJCAYAAAkIAAAAARkDAACzAQAAAfb5//81/////////wAGCwYAAAZTdHJpbmcGDAYAAAlXYXJlaG91c2UJMQAAAAHy+f//M////wIAAAAB8fn//6/9//8BAAAAAAAJMAAAAAkaAQAACQgAAAAK/////wkwAAAACgkaAQAABhUGAAALSW52ZW50RGltSWQGFgYAAAxUUFBUcmFuc19zc3QKCQgAAAAJGAYAAAkIAAAAARwDAACzAQAAAeb5//81/////////wAGGwYAAAZTdHJpbmcGHAYAAARVbml0CTQAAAAB4vn//zP///8CAAAAAeH5//+v/f//AQAAAAAACTMAAAAJNgEAAAkIAAAACv////8JMwAAAAoJNgEAAAYlBgAABkl0ZW1JZAYmBgAADFRQUFRyYW5zX3NzdAoJCAAAAAkoBgAACQgAAAABHwMAANoBAAAJMwAAAAYrBgAACk1vZHVsZVR5cGUJCAAAAAYtBgAABkludmVudP////8JMwAAAAoJKwYAAAYwBgAABkl0ZW1JZAoKCQgAAAAJMgYAAAkIAAAAASIDAACzAQAAAcz5//81/////////wAGNQYAAAZTdHJpbmcGNgYAAAlJdGVtIG5hbWUJNwAAAAHI+f//M////wIAAAABx/n//6/9//8BAAAAAAAJNgAAAAnwAAAACQgAAAAK/////wk2AAAACgnwAAAABj8GAAAGSXRlbUlkBkAGAAAMVFBQVHJhbnNfc3N0CgkIAAAACUIGAAAJCAAAAAHGBQAAIQAAAAwAAAAJRAYAABEAAAAJRQYAAAHHBQAAIgAAAAoAAAAJRAYAABEAAAAJRwYAAATKBQ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RAYAAAAAAAABzgUAACkAAAAAAAAACUkGAAAAAAAAB9A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vn//8f8//8GSwYAAAhIZWxwVGV4dAZMBgAAMlNwZWNpZnkgdGhlIG1vZHVsZSB0aGF0IGdlbmVyYXRlZCB0aGUgdHJhbnNhY3Rpb24uAbP5///H/P//Bk4GAAAFTGFiZWwJTgIAAAGw+f//x/z//wZRBgAABFR5cGUJTQIAAAfS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35///H/P//CUsGAAAGVQYAADVPcmRlciBudW1iZXIsIHByb2plY3QgbnVtYmVyLCBwcm9kdWN0aW9uIG51bWJlciwgZXRjLgGq+f//x/z//wlOBgAACVwCAAABp/n//8f8//8JUQYAAAlbAgAAB9Q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Pn//8f8//8JSwYAAAZeBgAADklkZW50aWZ5IGl0ZW0uAaH5///H/P//CU4GAAAJagIAAAGe+f//x/z//wlRBgAACWkCAAAB2QUAACEAAAARAAAACWUGAAARAAAACWYGAAAB2gUAACIAAAABAAAACfoBAAADAAAACWgGAAAE3QU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UGAAAAAAAAAeEFAAApAAAAAAAAAAlqBgAAAAAAAAfj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X5///H/P//CU4GAAAJeAIAAAGS+f//x/z//wlRBgAACXcCAAAH5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P+f//x/z//wlLBgAABnMGAAAkUXVhbnRpdHkgYXR0YWNoZWQgdG8gdGhlIHRyYW5zYWN0aW9uAYz5///H/P//CU4GAAAJhgIAAAGJ+f//x/z//wlRBgAACYUCAAAH5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G+f//x/z//wlLBgAABnwGAAAPVFBQIGNvc3QgcHJpY2UuAYP5///H/P//CU4GAAAJlAIAAAGA+f//x/z//wlRBgAACZMCAAAH6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9+f//x/z//wlLBgAABoUGAAAQVFBQIGNvc3QgYW1vdW50LgF6+f//x/z//wlOBgAACaICAAABd/n//8f8//8JUQYAAAmhAgAAB+s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Pn//8f8//8JSwYAAAaOBgAALkN1cnJlbmN5LCBpZiBhbnksIGF0dGFjaGVkIHRvIHRoZSBpdGVtIHJlY2VpcHQBcfn//8f8//8JTgYAAAmwAgAAAW75///H/P//CVEGAAAJrwIAAAft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v5///H/P//CUsGAAAGlwYAABxUUFAgY29zdCBhbW91bnQgaW4gY3VycmVuY3kuAWj5///H/P//CU4GAAAJvgIAAAFl+f//x/z//wlRBgAACb0CAAAH7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i+f//x/z//wlLBgAABqAGAAAzVm91Y2hlciBudW1iZXIgdGhhdCB0aGUgdHJhbnNhY3Rpb24gaXMgYXR0YWNoZWQgdG8uAV/5///H/P//CU4GAAAJzAIAAAFc+f//x/z//wlRBgAACcsCAAAH8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Z+f//x/z//wlLBgAABqkGAABSU3VtbWFyeSBudW1iZXIvTG90IElEIGZvciB0cmFuc2FjdGlvbnMgYXR0YWNoZWQgdG8gdGhlIHNhbWUgaW52ZW50b3J5IHRyYW5zYWN0aW9uLgFW+f//x/z//wlOBgAACdoCAAABU/n//8f8//8JUQYAAAnZAgAAB/M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Pn//8f8//8JSwYAAAayBgAAFlRQUCB0cmFuc2FjdGlvbiBzdGF0dXMBTfn//8f8//8JTgYAAAnoAgAAAUr5///H/P//CVEGAAAJ5wIAAAf1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f5///H/P//CU4GAAAJTgIAAAFE+f//x/z//wlRBgAACfUCAAAH9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B+f//x/z//wbABgAABFR5cGUJdwIAAAE++f//x/z//wbDBgAABUxhYmVsCXgCAAABO/n//8f8//8GxgYAAAhSZWZlcnNUbwbHBgAACz1EYXRlUGVyaW9kB/k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Pn//8f8//8JwAYAAAlpAgAAATX5///H/P//CcMGAAAJagIAAAEy+f//x/z//wnGBgAABtAGAAAPPSdHZW5lcmFsJyEkQyQ3BAgG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LAAAAAnnAQAAAwAAAAnSBgAABBgG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LAAAAAnnAQAAAwAAAAnUBgAABCgG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LAAAAAnnAQAAAwAAAAnWBgAABDIG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gAAAAkSAAAAAwAAAAnYBgAABEIG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AAAAAnnAQAAAwAAAAnaBgAAAUQGAAASAAAAB0UGAAAAAQAAAAw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SX5//9P/v//BtwGAAAcVGFibGUuVFBQVHJhbnNfc3N0LkNvc3RQcmljZQnCAQAAASL5//9P/v//Bt8GAAAdVGFibGUuVFBQVHJhbnNfc3N0LkNvc3RBbW91bnQJxQEAAAEf+f//T/7//wbiBgAAIFRhYmxlLlRQUFRyYW5zX3NzdC5Db3N0QW1vdW50Q3VyCcsBAAABHPn//0/+//8G5QYAABZUYWJsZS5UUFBUcmFuc19zc3QuUXR5Cb8BAAABGfn//0/+//8G6AYAAB5UYWJsZS5UUFBUcmFuc19zc3QuSW52ZW50RGltSWQJ6QYAAAEW+f//T/7//wbrBgAAGlRhYmxlLlRQUFRyYW5zX3NzdC5Wb3VjaGVyCc4BAAABE/n//0/+//8G7gYAACBUYWJsZS5UUFBUcmFuc19zc3QuSW52ZW50VHJhbnNJZAnRAQAAARD5//9P/v//BvEGAAAdVGFibGUuVFBQVHJhbnNfc3N0LlRyYW5zUmVmSWQJtgEAAAEN+f//T/7//wb0BgAAHFRhYmxlLlRQUFRyYW5zX3NzdC5UcmFuc1R5cGUJswEAAAEK+f//T/7//wb3BgAAH1RhYmxlLlRQUFRyYW5zX3NzdC5DdXJyZW5jeUNvZGUJyAEAAAEH+f//T/7//wb6BgAAGVRhYmxlLlRQUFRyYW5zX3NzdC5TdGF0dXMJ1AEAAAEE+f//T/7//wb9BgAAGVRhYmxlLlRQUFRyYW5zX3NzdC5JdGVtSWQJuQEAAAdHBgAAAAEAAAAK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Afn//yj+//8GAAcAAB1UYWJsZS5UUFBUcmFuc19zc3QuRGF0YUFyZWFJZAkBBwAAAf74//8o/v//BgMHAAAfVGFibGUuVFBQVHJhbnNfc3N0LkN1cnJlbmN5Q29kZQkEBwAAAfv4//8o/v//BgYHAAAcVGFibGUuVFBQVHJhbnNfc3N0LlRyYW5zRGF0ZQkHBwAAAfj4//8o/v//BgkHAAAeVGFibGUuVFBQVHJhbnNfc3N0LkludmVudERpbUlkCQoHAAAB9fj//yj+//8GDAcAABpUYWJsZS5UUFBUcmFuc19zc3QuVm91Y2hlcgkNBwAAAfL4//8o/v//Bg8HAAAZVGFibGUuVFBQVHJhbnNfc3N0Lkl0ZW1JZAkQBwAAAe/4//8o/v//BhIHAAAgVGFibGUuVFBQVHJhbnNfc3N0LkludmVudFRyYW5zSWQJEwcAAAHs+P//KP7//wYVBwAAHVRhYmxlLlRQUFRyYW5zX3NzdC5UcmFuc1JlZklkCRYHAAAB6fj//yj+//8GGAcAABxUYWJsZS5UUFBUcmFuc19zc3QuVHJhbnNUeXBlCRkHAAAB5vj//yj+//8GGwcAABlUYWJsZS5UUFBUcmFuc19zc3QuU3RhdHVzCRwHAAABSQYAAIwAAAABZQYAABIAAAAHZgYAAAABAAAAE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4/j//0/+//8GHgcAABxUYWJsZS5UUFBUcmFuc19zc3QuQ29zdFByaWNlCcIBAAAB4Pj//0/+//8GIQcAAB1UYWJsZS5UUFBUcmFuc19zc3QuQ29zdEFtb3VudAnFAQAAAd34//9P/v//BiQHAAAgVGFibGUuVFBQVHJhbnNfc3N0LkNvc3RBbW91bnRDdXIJywEAAAHa+P//T/7//wYnBwAAFlRhYmxlLlRQUFRyYW5zX3NzdC5RdHkJvwEAAAHX+P//T/7//wYqBwAAHlRhYmxlLlRQUFRyYW5zX3NzdC5JbnZlbnREaW1JZAnpBgAAAdT4//9P/v//Bi0HAAAaVGFibGUuVFBQVHJhbnNfc3N0LlZvdWNoZXIJzgEAAAHR+P//T/7//wYwBwAAIFRhYmxlLlRQUFRyYW5zX3NzdC5JbnZlbnRUcmFuc0lkCdEBAAABzvj//0/+//8GMwcAAB1UYWJsZS5UUFBUcmFuc19zc3QuVHJhbnNSZWZJZAm2AQAAAcv4//9P/v//BjYHAAAcVGFibGUuVFBQVHJhbnNfc3N0LlRyYW5zVHlwZQmzAQAAAcj4//9P/v//BjkHAAAfVGFibGUuVFBQVHJhbnNfc3N0LkN1cnJlbmN5Q29kZQnIAQAAAcX4//9P/v//BjwHAAAZVGFibGUuVFBQVHJhbnNfc3N0LlN0YXR1cwnUAQAAAcL4//9P/v//Bj8HAAAZVGFibGUuVFBQVHJhbnNfc3N0Lkl0ZW1JZAm5AQAAAb/4//9P/v//BkIHAAAcVGFibGUuVFBQVHJhbnNfc3N0LlRyYW5zRGF0ZQm8AQAAAbz4//9P/v//BkUHAAAjVGFibGUuVFBQVHJhbnNfc3N0LkludmVudFRyYW5zUmVjSWQJ1wEAAAG5+P//T/7//wZIBwAAKlRhYmxlLlRQUFRyYW5zX3NzdC5JbnZlbnRKb3VybmFsVHJhbnNSZWNJZAlJBwAAAbb4//9P/v//BksHAAAkVGFibGUuVFBQVHJhbnNfc3N0Lkludm9pY2VUcmFuc1JlY0lkCUwHAAABs/j//0/+//8GTgcAAB9UYWJsZS5UUFBUcmFuc19zc3QuUHJvZEJPTVJlY0lkCU8HAAAHaAY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bD4//8o/v//BlEHAAAcVGFibGUuVFBQVHJhbnNfc3N0LlRyYW5zRGF0ZQlSBwAAAWoGAACMAAAAB9IG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fj//8f8//8GVAcAAAVMYWJlbAn8BQAAAar4///H/P//BlcHAAAEVHlwZQn7BQAAB9QG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/j//8f8//8JVAcAAAkMBgAAAaT4///H/P//CVcHAAAJCwYAAAfWB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H4///H/P//CVQHAAAJHAYAAAGe+P//x/z//wlXBwAACRsGAAAH2AY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b+P//x/z//wnABgAABmcHAAAERW51bQGY+P//x/z//wnDBgAABmoHAAALTW9kdWxlIHR5cGUH2gY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V+P//x/z//wlUBwAACTYGAAABkvj//8f8//8JVwcAAAk1BgAAAekGAACzAQAAAY/4//81/////////wAGcgcAAAZTdHJpbmcGcwcAAA1EaW1lbnNpb24gTm8uCU8CAAABi/j//zP///8CAAAAAYr4//+v/f//AQAAAAAACVICAAAGeAcAAAtJbnZlbnREaW1JZAkIAAAACv////8JUgIAAAoJeAcAAAoKCgkIAAAACX0HAAAJCAAAAAEBBwAA2gEAAAlSAgAABoAHAAAKRGF0YUFyZWFJZAkIAAAACQgAAAD/////CVICAAAKCYAHAAAKCgoJCAAAAAmFBwAACQgAAAABBAcAANoBAAAJUgIAAAaIBwAADEN1cnJlbmN5Q29kZQkIAAAACQgAAAD/////CVICAAAKCYgHAAAKCgoJCAAAAAmNBwAACQgAAAABBwcAANoBAAAJUgIAAAkDAwAACQgAAAAJCAAAAP////8JUgIAAAoJAwMAAAoKCgkIAAAACZUHAAAJCAAAAAEKBwAA2gEAAAlSAgAABpgHAAALSW52ZW50RGltSWQJCAAAAAkIAAAA/////wlSAgAACgmYBwAACgoKCQgAAAAJnQcAAAkIAAAAAQ0HAADaAQAACVICAAAGoAcAAAdWb3VjaGVyCQgAAAAJCAAAAP////8JUgIAAAoJoAcAAAoKCgkIAAAACaUHAAAJCAAAAAEQBwAA2gEAAAlSAgAABqgHAAAGSXRlbUlkCQgAAAAJCAAAAP////8JUgIAAAoJqAcAAAoKCgkIAAAACa0HAAAJCAAAAAETBwAA2gEAAAlSAgAABrAHAAANSW52ZW50VHJhbnNJZAkIAAAACQgAAAD/////CVICAAAKCbAHAAAKCgoJCAAAAAm1BwAACQgAAAABFgcAANoBAAAJUgIAAAa4BwAAClRyYW5zUmVmSWQJCAAAAAkIAAAA/////wlSAgAACgm4BwAACgoKCQgAAAAJvQcAAAkIAAAAARkHAADaAQAACVICAAAGwAcAAAlUcmFuc1R5cGUJCAAAAAkIAAAA/////wlSAgAACgnABwAACgoKCQgAAAAJxQcAAAkIAAAAARwHAADaAQAACVICAAAGyAcAAAZTdGF0dXMJCAAAAAkIAAAA/////wlSAgAACgnIBwAACgoKCQgAAAAJzQcAAAkIAAAAAUkHAACzAQAAATH4//81/////////wAG0AcAAAVJbnQ2NAbRBwAACVJlZmVyZW5jZQl5AgAAAS34//8z////AgAAAAEs+P//r/3//wEAAAAAAAl8AgAABtYHAAAXSW52ZW50Sm91cm5hbFRyYW5zUmVjSWQJCAAAAAr/////CXwCAAAKCdYHAAAKCgoJCAAAAAnbBwAACQgAAAABTAcAALMBAAABI/j//zX/////////AAbeBwAABUludDY0CdEHAAAJeQIAAAEf+P//M////wIAAAABHvj//6/9//8BAAAAAAAJfAIAAAbkBwAAEUludm9pY2VUcmFuc1JlY0lkCQgAAAAK/////wl8AgAACgnkBwAACgoKCQgAAAAJ6QcAAAkIAAAAAU8HAACzAQAAARX4//81/////////wAG7AcAAAVJbnQ2NAnRBwAACXkCAAABEfj//zP///8CAAAAARD4//+v/f//AQAAAAAACXwCAAAG8gcAAAxQcm9kQk9NUmVjSWQJCAAAAAr/////CXwCAAAKCfIHAAAKCgoJCAAAAAn3BwAACQgAAAABUgcAANoBAAAJUgIAAAkDAwAACQgAAAAG/AcAABgwNi4wMS4yMDE3IC4uIDA2LjMwLjIwMTf/////CVICAAAKCQMDAAAKCgoJCAAAAAkACAAACQgAAAAEfQc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hAAAACfoBAAADAAAACQMIAAABhQcAABAAAAAAAAAACfoBAAAAAAAAAY0HAAAQAAAAAAAAAAn6AQAAAAAAAAGVBwAAEAAAAAAAAAAJ+gEAAAAAAAABnQcAABAAAAAAAAAACfoBAAAAAAAAAaUHAAAQAAAAAAAAAAn6AQAAAAAAAAGtBwAAEAAAAAAAAAAJ+gEAAAAAAAABtQcAABAAAAAAAAAACfoBAAAAAAAAAb0HAAAQAAAAAAAAAAn6AQAAAAAAAAHFBwAAEAAAAAAAAAAJ+gEAAAAAAAABzQcAABAAAAAAAAAACfoBAAAAAAAABNsH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gAAAAn6AQAAAwAAAAkFCAAABOkH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gAAAAn6AQAAAwAAAAkHCAAABPcH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gAAAAn6AQAAAwAAAAkJCAAABAAI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JQAAAAn6AQAAAwAAAAkLCAAABwMI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9Pf//8f8//8JSwYAAAYOCAAAKklkZW50aWZpY2F0aW9uIG9mIGRpbWVuc2lvbnMgZm9yIHRoZSBpdGVtLgHx9///x/z//wlOBgAACXMHAAAB7vf//8f8//8JUQYAAAlyBwAABwUI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6/f//8f8//8JTgYAAAnRBwAAAej3///H/P//CVEGAAAJ0AcAAAcHC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X3///H/P//CU4GAAAJ0QcAAAHi9///x/z//wlRBgAACd4HAAAHCQg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f9///x/z//wlOBgAACdEHAAAB3Pf//8f8//8JUQYAAAnsBwAABwsI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ff//8f8//8JUQYAAAYpCAAABERhdGUB1vf//8f8//8JTgYAAAYsCAAABERhdGUB0/f//8f8//8GLggAAAhSZWZlcnNUbwnHBgAACw==
    <Output>
      <OutputObject name="AtlasReport_2"/>
    </Output>
  </Query>
</Atlas>
</file>

<file path=customXml/item2.xml><?xml version="1.0" encoding="utf-8"?>
<Atlas>
  <Report name="AtlasReport_2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gAAAAkDAAAACQQAAAAGBQAAAA1BdGxhc1JlcG9ydF8yBgYAAAADMzYz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RAAAAEQ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gAAAABC1HbG9iZVNvZnR3YXJlLkF0bGFzNDAuQXRsYXNDb21tb24uVHlwZS5Db2x1bW4OAAAACRQAAAAJFQAAAAkWAAAACRcAAAAJGAAAAAkZAAAACRoAAAAJGwAAAAkcAAAACR0AAAAJHgAAAAkfAAAACSAAAAAJIQAAAAkiAAAACSMAAAAJJAAAAA0PDCU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JQAAAAgCAAAABiYAAAAVQXRsYXNSZXBvcnRfMl9UYWJsZV8xCSc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SUAAAAICAkoAAAABAAAAAQ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KQAAAAkqAAAACSsAAAAGLAAAAAlUcmFuc1R5cGUGLQAAAAlSZWZlcmVuY2UGLgAAAARFbnVtBi8AAAAABjAAAAAkNDI0MGZkZDYtMGFhYy00N2FiLThhNzMtMGVjZWZlZmNiOGQ2Bc////8tR2xvYmVTb2Z0d2FyZS5BdGxhczQwLkF0bGFzQ29tbW9uLkFnZ3JlZ2F0aW9uAQAAAAd2YWx1ZV9fAAgOAAAA/////wAAAAAFzv///yxHbG9iZVNvZnR3YXJlLkF0bGFzNDAuQXRsYXNDb21tb24uQ29sdW1uVHlwZQEAAAAHdmFsdWVfXwAIDgAAAAAAAAAFzf///ytHbG9iZVNvZnR3YXJlLkF0bGFzNDAuQXRsYXNDb21tb24uU29ydE9yZGVyAQAAAAd2YWx1ZV9fAAgOAAAAAgAAAAAAAAAABcz///9AR2xvYmVTb2Z0d2FyZS5BdGxhczQwLkF0bGFzQ29tbW9uLlR5cGUuQ29sdW1uK0Nyb3NzVGFiQ29sdW1uVHlwZQEAAAAHdmFsdWVfXwAIDgAAAAAAAAAKAQAAAAAAAAAAAAAAAAAGNQAAACRkMjNjZmNlNy0wYTU2LTRjZWUtYTg3Zi04NWFkNTA4YTgyNjAGNgAAABxUYWJsZS5UUFBUcmFuc19zc3QuVHJhbnNUeXBlCgoKCgEVAAAAFAAAAAk3AAAACTgAAAAJOQAAAAY6AAAAClRyYW5zUmVmSWQGOwAAAAZOdW1iZXIGPAAAAAZTdHJpbmcJLwAAAAY+AAAAJGU3OWQzOTdlLTBlODEtNGViOS1hNDMwLWMyOWM1MjI2MmMwMgHB////z/////////8BAAAAAcD////O////AAAAAAG/////zf///wIAAAAAAAAAAAG+////zP///wAAAAAKAQAAAAAAAAAAAQAAAAAGQwAAACQ3YjVjYWU4Zi03ZGYxLTRhZjAtYmNiZi0wN2QyMzE3MWMyMjQGRAAAAB1UYWJsZS5UUFBUcmFuc19zc3QuVHJhbnNSZWZJZAoKCgoBFgAAABQAAAAJRQAAAAlGAAAACUcAAAAGSAAAAAZJdGVtSWQGSQAAAAtJdGVtIG51bWJlcgZKAAAABlN0cmluZwkvAAAABkwAAAAkM2U5MjdhYTItMmYzMy00ZGY0LThjMDgtZjQ1ZDEyYjA0N2E3AbP////P/////////wIAAAABsv///87///8AAAAAAbH////N////AgAAAAAAAAAAAbD////M////AAAAAAoBAAAAAAAAAAACAAAAAAZRAAAAJDliY2Y1NmIyLTIxYWItNGMyYS05OTQ4LTQwNTVkMGQ1NTI0MwZSAAAAGVRhYmxlLlRQUFRyYW5zX3NzdC5JdGVtSWQKCgoKARcAAAAUAAAACVMAAAAJVAAAAAlVAAAABlYAAAAISXRlbU5hbWUGVwAAAAlJdGVtIG5hbWUGWAAAAAZTdHJpbmcJLwAAAAZaAAAAJGZjY2E5MDQzLTQ0OGUtNDhlMy1hY2NmLTAyY2I4NzRkYTUyOQGl////z/////////8DAAAAAaT////O////AAAAAAGj////zf///wIAAAAAAAAAAAGi////zP///wAAAAAKAQAAAAAAAAAAAwAAAAAGXwAAACRhMTliMmJjOC1jNmJjLTQ3NTEtOTBmNi1lODViZDY5MTkwOGMGYAAAADRUYWJsZS5UUFBUcmFuc19zc3QuSXRlbUlkflRhYmxlLkludmVudFRhYmxlLkl0ZW1OYW1lCgoKCgEYAAAAFAAAAAlhAAAACWIAAAAJYwAAAAZkAAAACVRyYW5zRGF0ZQZlAAAABERhdGUGZgAAAAREYXRlCS8AAAAGaAAAACQ0YWQ0ODAzOS01MzdkLTQwZGUtYTM2Yi05YTc5MDhmYjIwYjgBl////8//////////BAAAAAGW////zv///wAAAAABlf///83///8CAAAAAAAAAAABlP///8z///8AAAAACgEAAAAAAAAAAAQAAAAABm0AAAAkZjRiODc0M2UtNjkyYi00MmUzLWJhMTUtMzU4OWFlODA3MmM4Bm4AAAAcVGFibGUuVFBQVHJhbnNfc3N0LlRyYW5zRGF0ZQoKCgoBGQAAABQAAAAJbwAAAAlwAAAACXEAAAAGcgAAAAxJbnZlbnRTaXRlSWQGcwAAAARTaXRlBnQAAAAGU3RyaW5nCS8AAAAGdgAAACQyYzJlMzhiMS0wY2ViLTQwMDctOWM0Ni1kNDk3NDNhYWY4OGMBif///8//////////BQAAAAGI////zv///wAAAAABh////83///8CAAAAAAAAAAABhv///8z///8AAAAACgEAAAAAAAAAAAUAAAAABnsAAAAkNWJhN2I4ZGEtYzg1NC00ODlkLTlhNWItNjQ2NDM1YTk0ZDhmBnwAAAA7VGFibGUuVFBQVHJhbnNfc3N0LkludmVudERpbUlkflRhYmxlLkludmVudERpbS5JbnZlbnRTaXRlSWQKCgoKARoAAAAUAAAACX0AAAAJfgAAAAl/AAAABoAAAAAQSW52ZW50TG9jYXRpb25JZAaBAAAACVdhcmVob3VzZQaCAAAABlN0cmluZwkvAAAABoQAAAAkOGU2MTE1YjEtOTQ0NS00ZmZhLWJiYzgtZjQyY2Y3Njk0YTM1AXv////P/////////wYAAAABev///87///8AAAAAAXn////N////AgAAAAAAAAAAAXj////M////AAAAAAoBAAAAAAAAAAAGAAAAAAaJAAAAJDA0NDgxYzViLWU4NjgtNGMzYS05ZjcxLTUwYzBmZjJlMzE5ZAaKAAAAP1RhYmxlLlRQUFRyYW5zX3NzdC5JbnZlbnREaW1JZH5UYWJsZS5JbnZlbnREaW0uSW52ZW50TG9jYXRpb25JZAoKCgoBGwAAABQAAAAJiwAAAAmMAAAACY0AAAAGjgAAAANRdHkGjwAAAAhRdWFudGl0eQaQAAAABFJlYWwJLwAAAAaSAAAAJDg4YjNiZTNjLTI1ZTctNDcwMC04NjU0LTZhOTAzZjkxZmFkNwFt////z////wEAAAAHAAAAAWz////O////AAAAAAFr////zf///wIAAAAAAAAAAAFq////zP///wAAAAAKAQAAAAAAAAAABwAAAAAGlwAAACQxMmEzOTU3NS1iNTQ2LTQ1YjgtYmIxMi0yYmY0YWU2M2NiMzgGmAAAABZUYWJsZS5UUFBUcmFuc19zc3QuUXR5CgoKCgEcAAAAFAAAAAmZAAAACZoAAAAJmwAAAAacAAAABlVuaXRJZAadAAAABFVuaXQGngAAAAZTdHJpbmcJLwAAAAagAAAAJDBkOTA2YTAwLTlkODUtNDQyNC1iOWFjLTE2ZmQzZjk3ZmM3NgFf////z/////////8IAAAAAV7////O////AAAAAAFd////zf///wIAAAAAAAAAAAFc////zP///wAAAAAKAQAAAAAAAAAACAAAAAAGpQAAACQ5ZDI2YjIyNS05MjJlLTRlODgtYmRhZi01OGEzMjFlNzgyZjgGpgAAADhUYWJsZS5UUFBUcmFuc19zc3QuSXRlbUlkflRhYmxlLkludmVudFRhYmxlTW9kdWxlLlVuaXRJZAoKCgoBHQAAABQAAAAJpwAAAAmoAAAACakAAAAGqgAAAAlDb3N0UHJpY2UGqwAAAA5UUFAgY29zdCBwcmljZQasAAAABFJlYWwJLwAAAAauAAAAJGMwZGVhM2EwLTZiZWQtNDhmNy1hOTM4LTJhYWI5YzkzNWJiZQFR////z////wEAAAAJAAAAAVD////O////AAAAAAFP////zf///wIAAAAAAAAAAAFO////zP///wAAAAAKAQAAAAAAAAAACQAAAAAGswAAACRkOTRlNTY0Yy05ZGUyLTQyZGItYTg4OS1kZWQ5MTExMGIwZmMGtAAAABxUYWJsZS5UUFBUcmFuc19zc3QuQ29zdFByaWNlCgoKCgEeAAAAFAAAAAm1AAAACbYAAAAJtwAAAAa4AAAACkNvc3RBbW91bnQGuQAAAA9UUFAgY29zdCBhbW91bnQGugAAAARSZWFsCS8AAAAGvAAAACQ5ZDlkYTk0Zi0yOTJmLTQxNmItYWZiZC00OGY0ZDMwZmI2MzkBQ////8////8BAAAACgAAAAFC////zv///wAAAAABQf///83///8CAAAAAAAAAAABQP///8z///8AAAAACgEAAAAAAAAAAAoAAAAABsEAAAAkMjhmODE0NzktYTc4OS00YmZhLTgwNjItNzYyOTVhZjE4MTc3BsIAAAAdVGFibGUuVFBQVHJhbnNfc3N0LkNvc3RBbW91bnQKCgoKAR8AAAAUAAAACcMAAAAJxAAAAAnFAAAABsYAAAAMQ3VycmVuY3lDb2RlBscAAAAIQ3VycmVuY3kGyAAAAAZTdHJpbmcJLwAAAAbKAAAAJDAzODQ4YmJmLTg5OWQtNDllMy1iMTU4LTgzMGQzZWUzZTQ2YQE1////z/////////8LAAAAATT////O////AAAAAAEz////zf///wIAAAAAAAAAAAEy////zP///wAAAAAKAQAAAAAAAAAACwAAAAAGzwAAACQwZDhlZjExNS0yYjcyLTQ0NmQtOGIyMy1hMjMxOTg2NGI4ZGYG0AAAAB9UYWJsZS5UUFBUcmFuc19zc3QuQ3VycmVuY3lDb2RlCgoKCgEgAAAAFAAAAAnRAAAACdIAAAAJ0wAAAAbUAAAADUNvc3RBbW91bnRDdXIG1QAAABhUUFAgY29zdCBhbW91bnQgY3VycmVuY3kG1gAAAARSZWFsCS8AAAAG2AAAACQ3ZGEyZWZmYy1lNzA0LTRiMGMtOTYzNC04NGQ2ZGQ4ZDZkOGQBJ////8////8BAAAADAAAAAEm////zv///wAAAAABJf///83///8CAAAAAAAAAAABJP///8z///8AAAAACgEAAAAAAAAAAAwAAAAABt0AAAAkYTE3MjU0YzktNWNjZC00ODQyLTk3MGMtZDY2ODJiMTIwODZmBt4AAAAgVGFibGUuVFBQVHJhbnNfc3N0LkNvc3RBbW91bnRDdXIKCgoKASEAAAAUAAAACd8AAAAJ4AAAAAnhAAAABuIAAAAHVm91Y2hlcgbjAAAAEUZpbmFuY2lhbCB2b3VjaGVyBuQAAAAGU3RyaW5nCS8AAAAG5gAAACQwODk4MThhMy0yNjhlLTRmZmQtYjQ4MC1hOWQ3Yjk5YjJkYmQBGf///8//////////DQAAAAEY////zv///wAAAAABF////83///8CAAAAAAAAAAABFv///8z///8AAAAACgEAAAAAAAAAAA0AAAAABusAAAAkNzU3NThkNTQtMWQ0ZC00YTk3LTg4MGYtYjYyNjAzZWFkN2E2BuwAAAAaVGFibGUuVFBQVHJhbnNfc3N0LlZvdWNoZXIKCgoKASIAAAAUAAAACe0AAAAJ7gAAAAnvAAAABvAAAAANSW52ZW50VHJhbnNJZAbxAAAABkxvdCBJRAbyAAAABlN0cmluZwkvAAAABvQAAAAkOWUxNWI3MmQtNjZiYS00Y2QyLTg2NGYtNTZkNTcyNDliMjhhAQv////P/////////w4AAAABCv///87///8AAAAAAQn////N////AgAAAAAAAAAAAQj////M////AAAAAAoBAAAAAAAAAAAOAAAAAAb5AAAAJDk2ZGFlOTJmLWI3YjctNGQ1Yy1iN2Q4LTFjODdjZTA3MGU2Ygb6AAAAIFRhYmxlLlRQUFRyYW5zX3NzdC5JbnZlbnRUcmFuc0lkCgoKCgEjAAAAFAAAAAn7AAAACfwAAAAJ/QAAAAb+AAAABlN0YXR1cwb/AAAABlN0YXR1cwYAAQAABEVudW0JLwAAAAYCAQAAJDg1YzVhYzcxLTNkZjgtNDEzMC1hOTY1LTNkN2RjZGViYzlkMgH9/v//z/////////8PAAAAAfz+///O////AAAAAAH7/v//zf///wIAAAAAAAAAAAH6/v//zP///wAAAAAKAQAAAAAAAAAADwAAAAAGBwEAACRkN2I5OTFjMy1jNGMyLTRlYzMtYTVhZS1kMDI2ZmE4ZmU3OTkGCAEAABlUYWJsZS5UUFBUcmFuc19zc3QuU3RhdHVzCgoKCgEkAAAAFAAAAAkJAQAACQoBAAAJCwEAAAYMAQAAEEludmVudFRyYW5zUmVjSWQGDQEAABBJbnZlbnRUcmFuc1JlY0lkBg4BAAAFSW50NjQJLwAAAAYQAQAAJGQ4YTZmYzA1LWY2ZjQtNDAzZS04M2ZhLTVlN2RmNDhiNmZjZQHv/v//z////wEAAAAQAAAAAe7+///O////AAAAAAHt/v//zf///wIAAAAAAAAAAAHs/v//zP///wAAAAAKAQAAAAAAAAAAEAAAAAAGFQEAACQxZGEyNjg2MS0wNGM5LTRmMmMtOTdlOC01ZDhhNjRiYWViNzUGFgEAACNUYWJsZS5UUFBUcmFuc19zc3QuSW52ZW50VHJhbnNSZWNJZAoKCgoFJwAAADhHbG9iZVNvZnR3YXJlLkF0bGFzNDAuQXRsYXNDb21tb25DbGllbnQuUmVwb3J0LlJlZmVyZW5jZQEAAAAKX3JlZmVyZW5jZQcIJQAAAAkXAQAABygAAAAAAQAAAAQAAAAEPEdsb2JlU29mdHdhcmUuQXRsYXM0MC5BdGxhc0NvbW1vbkNsaWVudC5EYXRhU291cmNlRmllbGRWYWx1ZSUAAAAJGAEAAAkZAQAACRoBAAAJGwEAAAQp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kcAQAAAQAAAAEAAAAEKg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12RAAAACR0BAAAHAAAACR4BAAAEK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MAAAACR8BAAAHAAAACSABAAABNwAAACkAAAAJIQEAAAEAAAABAAAAATgAAAAqAAAAkAAAAAkdAQAABwAAAAkjAQAAATkAAAArAAAAjAAAAAkfAQAABwAAAAklAQAAAUUAAAApAAAACSYBAAABAAAAAQAAAAFGAAAAKgAAAJAAAAAJHQEAAAcAAAAJKAEAAAFHAAAAKwAAAIwAAAAJHwEAAAcAAAAJKgEAAAFTAAAAKQAAAAkrAQAAAQAAAAEAAAABVAAAACoAAABeAAAACSwBAAAHAAAACS0BAAABVQAAACsAAABbAAAACS4BAAAHAAAACS8BAAABYQAAACkAAAAJMAEAAAEAAAABAAAAAWIAAAAqAAAAiAAAAAkdAQAABwAAAAkyAQAAAWMAAAArAAAAhQAAAAkfAQAABwAAAAk0AQAAAW8AAAApAAAACTUBAAABAAAAAQAAAAFwAAAAKgAAAGwAAAAJLAEAAAcAAAAJNwEAAAFxAAAAKwAAAGkAAAAJLgEAAAcAAAAJOQEAAAF9AAAAKQAAAAk6AQAAAQAAAAEAAAABfgAAACoAAABsAAAACSwBAAAHAAAACTwBAAABfwAAACsAAABpAAAACS4BAAAHAAAACT4BAAABiwAAACkAAAAJPwEAAAEAAAABAAAAAYwAAAAqAAAAkAAAAAkdAQAABwAAAAlBAQAAAY0AAAArAAAAjAAAAAkfAQAABwAAAAlDAQAAAZkAAAApAAAACUQBAAABAAAAAQAAAAGaAAAAKgAAAGwAAAAJLAEAAAcAAAAJRgEAAAGbAAAAKwAAAGkAAAAJLgEAAAcAAAAJSAEAAAGnAAAAKQAAAAlJAQAAAQAAAAEAAAABqAAAACoAAACRAAAACR0BAAAHAAAACUsBAAABqQAAACsAAACMAAAACR8BAAAHAAAACU0BAAABtQAAACkAAAAJTgEAAAEAAAABAAAAAbYAAAAqAAAAkAAAAAkdAQAABwAAAAlQAQAAAbcAAAArAAAAjAAAAAkfAQAABwAAAAlSAQAAAcMAAAApAAAACVMBAAABAAAAAQAAAAHEAAAAKgAAAJAAAAAJHQEAAAcAAAAJVQEAAAHFAAAAKwAAAIwAAAAJHwEAAAcAAAAJVwEAAAHRAAAAKQAAAAlYAQAAAQAAAAEAAAAB0gAAACoAAACQAAAACR0BAAAHAAAACVoBAAAB0wAAACsAAACMAAAACR8BAAAHAAAACVwBAAAB3wAAACkAAAAJXQEAAAEAAAABAAAAAeAAAAAqAAAAkAAAAAkdAQAABwAAAAlfAQAAAeEAAAArAAAAjAAAAAkfAQAABwAAAAlhAQAAAe0AAAApAAAACWIBAAABAAAAAQAAAAHuAAAAKgAAAJAAAAAJHQEAAAcAAAAJZAEAAAHvAAAAKwAAAIwAAAAJHwEAAAcAAAAJZgEAAAH7AAAAKQAAAAlnAQAAAQAAAAEAAAAB/AAAACoAAACQAAAACR0BAAAHAAAACWkBAAAB/QAAACsAAACMAAAACR8BAAAHAAAACWsBAAABCQEAACkAAAAJbAEAAAEAAAABAAAAAQoBAAAqAAAAjAAAAAkdAQAABwAAAAluAQAAAQsBAAArAAAAhQAAAAkfAQAABwAAAAlwAQAADxcBAAABAAAACAEAAAAFGAEAADxHbG9iZVNvZnR3YXJlLkF0bGFzNDAuQXRsYXNDb21tb25DbGllbnQuRGF0YVNvdXJjZUZpZWxkVmFsdWUEAAAAEl9pc0RyaWxsRG93bkZpbHRlcgZfZHNLZXkKX2ZpZWxkbmFtZQtfZmllbGRWYWx1ZQABAQEBJQAAAAAGcQEAABJUYWJsZS5UUFBUcmFuc19zc3QGcgEAAApEYXRhQXJlYUlkCQYAAAABGQEAABgBAAAACXEBAAAGdQEAAAlUcmFuc0RhdGUGdgEAABgwNC4wMS4yMDE3IC4uIDEyLjMxLjIwMTcBGgEAABgBAAAACXEBAAAGeAEAAAZJdGVtSWQGeQEAAAEqARsBAAAYAQAAAAZ6AQAAMVRhYmxlLlRQUFRyYW5zX3NzdC5JdGVtSWR+VGFibGUuSW52ZW50VGFibGVNb2R1bGUGewEAAApNb2R1bGVUeXBlBnwBAAAGSW52ZW50BxwBAAAAAQAAAAQAAAAEN0dsb2JlU29mdHdhcmUuQXRsYXM0MC5BdGxhc0NvbW1vbi5UeXBlLkZpZWxkT3V0cHV0RmllbGQOAAAACX0BAAANAwQd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ce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gv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WB/v//Mkdsb2JlU29mdHdhcmUuQXRsYXM0MC5BdGxhc0NvbW1vbi5Db2x1bW5BdHRyaWJ1dGVzAQAAAAd2YWx1ZV9fAAgOAAAAEAAAAAaAAQAABE5vbmUBf/7//4L+//8Bfv7//4H+//8JAAAACS8AAAABfP7//4L+//8Be/7//4H+//8LAAAABoYBAAABMAF5/v//gv7//wF4/v//gf7//wQAAAAGiQEAAAdHZW5lcmFsAXb+//+C/v//AXX+//+B/v//AgAAAAaMAQAAATEBc/7//4L+//8Bcv7//4H+//8AAAAABo8BAAAFMTMuNzEBcP7//4L+//8Bb/7//4H+//8kAAAACS0AAAABHwEAAAwAAAAHI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Rt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pQBAAAIRm9udEJvbGQGlQEAAAVGYWxzZQFq/v//bf7//waXAQAACkZvbnRJdGFsaWMJlQEAAAFn/v//bf7//waaAQAADUZvbnRVbmRlcmxpbmUGmwEAAAUtNDE0MgFk/v//bf7//wadAQAACEZvbnROYW1lBp4BAAAHQ2FsaWJyaQFh/v//bf7//wagAQAACUZvbnRDb2xvcgahAQAAATABXv7//23+//8GowEAAAhGb250U2l6ZQakAQAAAjExAVv+//9t/v//BqYBAAAJRm9udFN0eWxlBqcBAAAHUmVndWxhcgchAQAAAAEAAAAEAAAABDdHbG9iZVNvZnR3YXJlLkF0bGFzNDAuQXRsYXNDb21tb24uVHlwZS5GaWVsZE91dHB1dEZpZWxkDgAAAAmoAQAADQMHI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f+//+C/v//AVb+//+B/v//EAAAAAmAAQAAAVT+//+C/v//AVP+//+B/v//CQAAAAkvAAAAAVH+//+C/v//AVD+//+B/v//CwAAAAaxAQAAATEBTv7//4L+//8BTf7//4H+//8EAAAABrQBAAAHR2VuZXJhbAFL/v//gv7//wFK/v//gf7//wIAAAAGtwEAAAExAUj+//+C/v//AUf+//+B/v//AAAAAAa6AQAABTEwLjg2ByU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f7//23+//8JlAEAAAmVAQAAAUL+//9t/v//CZcBAAAJlQEAAAE//v//bf7//wmaAQAABsMBAAAFLTQxNDIBPP7//23+//8JnQEAAAbGAQAAB0NhbGlicmkBOf7//23+//8JoAEAAAbJAQAAATABNv7//23+//8JowEAAAbMAQAAAjExATP+//9t/v//CaYBAAAGzwEAAAdSZWd1bGFyByYBAAAAAQAAAAQAAAAEN0dsb2JlU29mdHdhcmUuQXRsYXM0MC5BdGxhc0NvbW1vbi5UeXBlLkZpZWxkT3V0cHV0RmllbGQOAAAACdABAAANAwco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L/7//4L+//8BLv7//4H+//8QAAAACYABAAABLP7//4L+//8BK/7//4H+//8JAAAACS8AAAABKf7//4L+//8BKP7//4H+//8LAAAABtkBAAABMgEm/v//gv7//wEl/v//gf7//wQAAAAG3AEAAAdHZW5lcmFsASP+//+C/v//ASL+//+B/v//AgAAAAbfAQAAATEBIP7//4L+//8BH/7//4H+//8AAAAABuIBAAAFMTQuMTQHK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d/v//bf7//wmUAQAACZUBAAABGv7//23+//8JlwEAAAmVAQAAARf+//9t/v//CZoBAAAG6wEAAAUtNDE0MgEU/v//bf7//wmdAQAABu4BAAAHQ2FsaWJyaQER/v//bf7//wmgAQAABvEBAAABMAEO/v//bf7//wmjAQAABvQBAAACMTEBC/7//23+//8JpgEAAAb3AQAAB1JlZ3VsYXIHKwEAAAABAAAABAAAAAQ3R2xvYmVTb2Z0d2FyZS5BdGxhczQwLkF0bGFzQ29tbW9uLlR5cGUuRmllbGRPdXRwdXRGaWVsZA4AAAAJ+AEAAA0DASwBAAAdAQAABy0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H/v//gv7//wEG/v//gf7//wkAAAAJLwAAAAEE/v//gv7//wED/v//gf7//wsAAAAG/gEAAAEzAQH+//+C/v//AQD+//+B/v//BAAAAAYBAgAAB0dlbmVyYWwB/v3//4L+//8B/f3//4H+//8CAAAABgQCAAABMQH7/f//gv7//wH6/f//gf7//wAAAAAGBwIAAAUyNS40MwEuAQAADAAAAAcv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j9//9t/v//BgkCAAAIRm9udEJvbGQJlQEAAAH1/f//bf7//wYMAgAACkZvbnRJdGFsaWMJlQEAAAHy/f//bf7//wYPAgAADUZvbnRVbmRlcmxpbmUGEAIAAAUtNDE0MgHv/f//bf7//wYSAgAACEZvbnROYW1lBhMCAAAHQ2FsaWJyaQHs/f//bf7//wYVAgAACUZvbnRDb2xvcgYWAgAAATAB6f3//23+//8GGAIAAAhGb250U2l6ZQYZAgAAAjExAeb9//9t/v//BhsCAAAJRm9udFN0eWxlBhwCAAAHUmVndWxhcgcwAQAAAAEAAAAEAAAABDdHbG9iZVNvZnR3YXJlLkF0bGFzNDAuQXRsYXNDb21tb24uVHlwZS5GaWVsZE91dHB1dEZpZWxkDgAAAAkdAgAADQMHMg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eL9//+C/v//AeH9//+B/v//CQAAAAkvAAAAAd/9//+C/v//Ad79//+B/v//CwAAAAYjAgAAATQB3P3//4L+//8B2/3//4H+//8EAAAABiYCAAAIbS9kL3l5eXkB2f3//4L+//8B2P3//4H+//8CAAAABikCAAABMQHW/f//gv7//wHV/f//gf7//wAAAAAGLAIAAAE5BzQ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0/3//23+//8JlAEAAAmVAQAAAdD9//9t/v//CZcBAAAJlQEAAAHN/f//bf7//wmaAQAABjUCAAAFLTQxNDIByv3//23+//8JnQEAAAY4AgAAB0NhbGlicmkBx/3//23+//8JoAEAAAY7AgAAATABxP3//23+//8JowEAAAY+AgAAAjExAcH9//9t/v//CaYBAAAGQQIAAAdSZWd1bGFyBzUBAAAAAQAAAAQAAAAEN0dsb2JlU29mdHdhcmUuQXRsYXM0MC5BdGxhc0NvbW1vbi5UeXBlLkZpZWxkT3V0cHV0RmllbGQOAAAACUICAAANAwc3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vf3//4L+//8BvP3//4H+//8JAAAACS8AAAABuv3//4L+//8Buf3//4H+//8LAAAABkgCAAABNQG3/f//gv7//wG2/f//gf7//wQAAAAGSwIAAAdHZW5lcmFsAbT9//+C/v//AbP9//+B/v//AgAAAAZOAgAAATEBsf3//4L+//8BsP3//4H+//8AAAAABlECAAABNgc5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79//9t/v//BlMCAAAIRm9udEJvbGQJlQEAAAGr/f//bf7//wZWAgAACkZvbnRJdGFsaWMJlQEAAAGo/f//bf7//wZZAgAADUZvbnRVbmRlcmxpbmUGWgIAAAUtNDE0MgGl/f//bf7//wZcAgAACEZvbnROYW1lBl0CAAAHQ2FsaWJyaQGi/f//bf7//wZfAgAACUZvbnRDb2xvcgZgAgAAATABn/3//23+//8GYgIAAAhGb250U2l6ZQZjAgAAAjExAZz9//9t/v//BmUCAAAJRm9udFN0eWxlBmYCAAAHUmVndWxhcgc6AQAAAAEAAAAEAAAABDdHbG9iZVNvZnR3YXJlLkF0bGFzNDAuQXRsYXNDb21tb24uVHlwZS5GaWVsZE91dHB1dEZpZWxkDgAAAAlnAgAADQMHP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j9//+C/v//AZf9//+B/v//CQAAAAkvAAAAAZX9//+C/v//AZT9//+B/v//CwAAAAZtAgAAATYBkv3//4L+//8Bkf3//4H+//8EAAAABnACAAAHR2VuZXJhbAGP/f//gv7//wGO/f//gf7//wIAAAAGcwIAAAExAYz9//+C/v//AYv9//+B/v//AAAAAAZ2AgAABDUuMTQHP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J/f//bf7//wlTAgAACZUBAAABhv3//23+//8JVgIAAAmVAQAAAYP9//9t/v//CVkCAAAGfwIAAAUtNDE0MgGA/f//bf7//wlcAgAABoICAAAHQ2FsaWJyaQF9/f//bf7//wlfAgAABoUCAAABMAF6/f//bf7//wliAgAABogCAAACMTEBd/3//23+//8JZQIAAAaLAgAAB1JlZ3VsYXIHPwEAAAABAAAABAAAAAQ3R2xvYmVTb2Z0d2FyZS5BdGxhczQwLkF0bGFzQ29tbW9uLlR5cGUuRmllbGRPdXRwdXRGaWVsZA4AAAAJjAIAAA0DB0E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z/f//gv7//wFy/f//gf7//xAAAAAJgAEAAAFw/f//gv7//wFv/f//gf7//wkAAAAJLwAAAAFt/f//gv7//wFs/f//gf7//wsAAAAGlQIAAAE3AWr9//+C/v//AWn9//+B/v//BAAAAAaYAgAAB0dlbmVyYWwBZ/3//4L+//8BZv3//4H+//8CAAAABpsCAAABMQFk/f//gv7//wFj/f//gf7//wAAAAAGngIAAAUxMC4yOQdD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H9//9t/v//CZQBAAAJlQEAAAFe/f//bf7//wmXAQAACZUBAAABW/3//23+//8JmgEAAAanAgAABS00MTQyAVj9//9t/v//CZ0BAAAGqgIAAAdDYWxpYnJpAVX9//9t/v//CaABAAAGrQIAAAEwAVL9//9t/v//CaMBAAAGsAIAAAIxMQFP/f//bf7//wmmAQAABrMCAAAHUmVndWxhcgdEAQAAAAEAAAAEAAAABDdHbG9iZVNvZnR3YXJlLkF0bGFzNDAuQXRsYXNDb21tb24uVHlwZS5GaWVsZE91dHB1dEZpZWxkDgAAAAm0AgAADQMHRg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v9//+C/v//AUr9//+B/v//CQAAAAkvAAAAAUj9//+C/v//AUf9//+B/v//CwAAAAa6AgAAATgBRf3//4L+//8BRP3//4H+//8EAAAABr0CAAAHR2VuZXJhbAFC/f//gv7//wFB/f//gf7//wIAAAAGwAIAAAExAT/9//+C/v//AT79//+B/v//AAAAAAbDAgAABDYuNDMHS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8/f//bf7//wlTAgAACZUBAAABOf3//23+//8JVgIAAAmVAQAAATb9//9t/v//CVkCAAAGzAIAAAUtNDE0MgEz/f//bf7//wlcAgAABs8CAAAHQ2FsaWJyaQEw/f//bf7//wlfAgAABtICAAABMAEt/f//bf7//wliAgAABtUCAAACMTEBKv3//23+//8JZQIAAAbYAgAAB1JlZ3VsYXIHSQEAAAABAAAABAAAAAQ3R2xvYmVTb2Z0d2FyZS5BdGxhczQwLkF0bGFzQ29tbW9uLlR5cGUuRmllbGRPdXRwdXRGaWVsZA4AAAAJ2QIAAA0DB0sB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m/f//gv7//wEl/f//gf7//wYAAAAG3AIAAAVUb3RhbAEj/f//gv7//wEi/f//gf7//xAAAAAJgAEAAAEg/f//gv7//wEf/f//gf7//wkAAAAJLwAAAAEd/f//gv7//wEc/f//gf7//wsAAAAG5QIAAAE5ARr9//+C/v//ARn9//+B/v//BAAAAAboAgAAB0dlbmVyYWwBF/3//4L+//8BFv3//4H+//8CAAAABusCAAABMQEU/f//gv7//wET/f//gf7//wAAAAAG7gIAAAQ5LjI5B00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f3//23+//8JlAEAAAmVAQAAAQ79//9t/v//CZcBAAAJlQEAAAEL/f//bf7//wmaAQAABvcCAAAFLTQxNDIBCP3//23+//8JnQEAAAb6AgAAB0NhbGlicmkBBf3//23+//8JoAEAAAb9AgAAATABAv3//23+//8JowEAAAYAAwAAAjExAf/8//9t/v//CaYBAAAGAwMAAAdSZWd1bGFyB04BAAAAAQAAAAQAAAAEN0dsb2JlU29mdHdhcmUuQXRsYXM0MC5BdGxhc0NvbW1vbi5UeXBlLkZpZWxkT3V0cHV0RmllbGQOAAAACQQDAAANAwdQ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+/z//4L+//8B+vz//4H+//8QAAAACYABAAAB+Pz//4L+//8B9/z//4H+//8JAAAACS8AAAAB9fz//4L+//8B9Pz//4H+//8LAAAABg0DAAACMTAB8vz//4L+//8B8fz//4H+//8EAAAABhADAAAHR2VuZXJhbAHv/P//gv7//wHu/P//gf7//wIAAAAGEwMAAAExAez8//+C/v//Aev8//+B/v//AAAAAAYWAwAABTEwLjQzB1I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6fz//23+//8JlAEAAAmVAQAAAeb8//9t/v//CZcBAAAJlQEAAAHj/P//bf7//wmaAQAABh8DAAAFLTQxNDIB4Pz//23+//8JnQEAAAYiAwAAB0NhbGlicmkB3fz//23+//8JoAEAAAYlAwAAATAB2vz//23+//8JowEAAAYoAwAAAjExAdf8//9t/v//CaYBAAAGKwMAAAdSZWd1bGFyB1MBAAAAAQAAAAQAAAAEN0dsb2JlU29mdHdhcmUuQXRsYXM0MC5BdGxhc0NvbW1vbi5UeXBlLkZpZWxkT3V0cHV0RmllbGQOAAAACSwDAAANAwdV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0/z//4L+//8B0vz//4H+//8QAAAACYABAAAB0Pz//4L+//8Bz/z//4H+//8JAAAACS8AAAABzfz//4L+//8BzPz//4H+//8LAAAABjUDAAACMTEByvz//4L+//8Byfz//4H+//8EAAAABjgDAAAHR2VuZXJhbAHH/P//gv7//wHG/P//gf7//wIAAAAGOwMAAAExAcT8//+C/v//AcP8//+B/v//AAAAAAY+AwAABTEwLjQzB1c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fz//23+//8JlAEAAAmVAQAAAb78//9t/v//CZcBAAAJlQEAAAG7/P//bf7//wmaAQAABkcDAAAFLTQxNDIBuPz//23+//8JnQEAAAZKAwAAB0NhbGlicmkBtfz//23+//8JoAEAAAZNAwAAATABsvz//23+//8JowEAAAZQAwAAAjExAa/8//9t/v//CaYBAAAGUwMAAAdSZWd1bGFyB1gBAAAAAQAAAAQAAAAEN0dsb2JlU29mdHdhcmUuQXRsYXM0MC5BdGxhc0NvbW1vbi5UeXBlLkZpZWxkT3V0cHV0RmllbGQOAAAACVQDAAANAwda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q/z//4L+//8Bqvz//4H+//8QAAAACYABAAABqPz//4L+//8Bp/z//4H+//8JAAAACS8AAAABpfz//4L+//8BpPz//4H+//8LAAAABl0DAAACMTIBovz//4L+//8Bofz//4H+//8EAAAABmADAAAHR2VuZXJhbAGf/P//gv7//wGe/P//gf7//wIAAAAGYwMAAAExAZz8//+C/v//AZv8//+B/v//AAAAAAZmAwAAATkHX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Z/P//bf7//wmUAQAACZUBAAABlvz//23+//8JlwEAAAmVAQAAAZP8//9t/v//CZoBAAAGbwMAAAUtNDE0MgGQ/P//bf7//wmdAQAABnIDAAAHQ2FsaWJyaQGN/P//bf7//wmgAQAABnUDAAABMAGK/P//bf7//wmjAQAABngDAAACMTEBh/z//23+//8JpgEAAAZ7AwAAB1JlZ3VsYXIHXQEAAAABAAAABAAAAAQ3R2xvYmVTb2Z0d2FyZS5BdGxhczQwLkF0bGFzQ29tbW9uLlR5cGUuRmllbGRPdXRwdXRGaWVsZA4AAAAJfAMAAA0DB18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D/P//gv7//wGC/P//gf7//xAAAAAJgAEAAAGA/P//gv7//wF//P//gf7//wkAAAAJLwAAAAF9/P//gv7//wF8/P//gf7//wsAAAAGhQMAAAIxMwF6/P//gv7//wF5/P//gf7//wQAAAAGiAMAAAdHZW5lcmFsAXf8//+C/v//AXb8//+B/v//AgAAAAaLAwAAATEBdPz//4L+//8Bc/z//4H+//8AAAAABo4DAAAFMTguMTQHY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x/P//bf7//wmUAQAACZUBAAABbvz//23+//8JlwEAAAmVAQAAAWv8//9t/v//CZoBAAAGlwMAAAUtNDE0MgFo/P//bf7//wmdAQAABpoDAAAHQ2FsaWJyaQFl/P//bf7//wmgAQAABp0DAAABMAFi/P//bf7//wmjAQAABqADAAACMTEBX/z//23+//8JpgEAAAajAwAAB1JlZ3VsYXIHYgEAAAABAAAABAAAAAQ3R2xvYmVTb2Z0d2FyZS5BdGxhczQwLkF0bGFzQ29tbW9uLlR5cGUuRmllbGRPdXRwdXRGaWVsZA4AAAAJpAMAAA0DB2Q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b/P//gv7//wFa/P//gf7//xAAAAAJgAEAAAFY/P//gv7//wFX/P//gf7//wkAAAAJLwAAAAFV/P//gv7//wFU/P//gf7//wsAAAAGrQMAAAIxNAFS/P//gv7//wFR/P//gf7//wQAAAAGsAMAAAdHZW5lcmFsAU/8//+C/v//AU78//+B/v//AgAAAAazAwAAATEBTPz//4L+//8BS/z//4H+//8AAAAABrYDAAAEOS40Mwdm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n8//9t/v//CZQBAAAJlQEAAAFG/P//bf7//wmXAQAACZUBAAABQ/z//23+//8JmgEAAAa/AwAABS00MTQyAUD8//9t/v//CZ0BAAAGwgMAAAdDYWxpYnJpAT38//9t/v//CaABAAAGxQMAAAEwATr8//9t/v//CaMBAAAGyAMAAAIxMQE3/P//bf7//wmmAQAABssDAAAHUmVndWxhcgdnAQAAAAEAAAAEAAAABDdHbG9iZVNvZnR3YXJlLkF0bGFzNDAuQXRsYXNDb21tb24uVHlwZS5GaWVsZE91dHB1dEZpZWxkDgAAAAnMAwAADQMHa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TP8//+C/v//ATL8//+B/v//EAAAAAmAAQAAATD8//+C/v//AS/8//+B/v//CQAAAAkvAAAAAS38//+C/v//ASz8//+B/v//CwAAAAbVAwAAAjE1ASr8//+C/v//ASn8//+B/v//BAAAAAbYAwAAB0dlbmVyYWwBJ/z//4L+//8BJvz//4H+//8CAAAABtsDAAABMQEk/P//gv7//wEj/P//gf7//wAAAAAG3gMAAAE4B2s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fz//23+//8JlAEAAAmVAQAAAR78//9t/v//CZcBAAAJlQEAAAEb/P//bf7//wmaAQAABucDAAAFLTQxNDIBGPz//23+//8JnQEAAAbqAwAAB0NhbGlicmkBFfz//23+//8JoAEAAAbtAwAAATABEvz//23+//8JowEAAAbwAwAAAjExAQ/8//9t/v//CaYBAAAG8wMAAAdSZWd1bGFyB2wBAAAAAQAAAAQAAAAEN0dsb2JlU29mdHdhcmUuQXRsYXM0MC5BdGxhc0NvbW1vbi5UeXBlLkZpZWxkT3V0cHV0RmllbGQOAAAACfQDAAANAwdu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C/z//4L+//8BCvz//4H+//8JAAAACS8AAAABCPz//4L+//8BB/z//4H+//8LAAAABvoDAAACMTYBBfz//4L+//8BBPz//4H+//8EAAAABv0DAAAHR2VuZXJhbAEC/P//gv7//wEB/P//gf7//wIAAAAGAAQAAAExAf/7//+C/v//Af77//+B/v//AAAAAAYDBAAABTEyLjcxAfz7//+C/v//Afv7//+B/v//JAAAAAkNAQAAB3A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+fv//23+//8JlAEAAAmVAQAAAfb7//9t/v//CZcBAAAJlQEAAAHz+///bf7//wmaAQAABg8EAAAFLTQxNDIB8Pv//23+//8JnQEAAAYSBAAAB0NhbGlicmkB7fv//23+//8JoAEAAAYVBAAAATAB6vv//23+//8JowEAAAYYBAAAAjExAef7//9t/v//CaYBAAAGGwQAAAdSZWd1bGFyBX0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4AAAABMUdsb2JlU29mdHdhcmUuQXRsYXM0MC5BdGxhc0NvbW1vbi5UeXBlLkRhdGFTb3VyY2UOAAAAK0dsb2JlU29mdHdhcmUuQXRsYXM0MC5BdGxhc0NvbW1vbi5Tb3J0T3JkZXIOAAAAOUdsb2JlU29mdHdhcmUuQXRsYXM0MC5BdGxhc0NvbW1vbi5OdW1iZXJTZXF1ZW5jZUNvbmRpdGlvbg4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AeT7///P/////////wAGHQQAAARFbnVtBh4EAAAJUmVmZXJlbmNlCR8EAAAB4Pv//83///8CAAAABd/7//85R2xvYmVTb2Z0d2FyZS5BdGxhczQwLkF0bGFzQ29tbW9uLk51bWJlclNlcXVlbmNlQ29uZGl0aW9uAQAAAAd2YWx1ZV9fAAgOAAAAAQAAAAAABiIEAAASVGFibGUuVFBQVHJhbnNfc3N0CSwAAAAJLwAAAAr/////CSIEAAAKCSwAAAAKCgoJLwAAAAkoBAAACS8AAAABqAEAAH0BAAAB1vv//8//////////AAYrBAAABlN0cmluZwYsBAAABk51bWJlcgkfBAAAAdL7///N////AgAAAAHR+///3/v//wEAAAAAAAkiBAAACToAAAAJLwAAAAr/////CSIEAAAKCToAAAAKCgoJLwAAAAk2BAAACS8AAAAB0AEAAH0BAAAByPv//8//////////AAY5BAAABlN0cmluZwY6BAAAC0l0ZW0gbnVtYmVyCR8EAAABxPv//83///8CAAAAAcP7///f+///AQAAAAAACSIEAAAJSAAAAAkvAAAACv////8JIgQAAAoJSAAAAAoKCgkvAAAACUQEAAAJLwAAAAH4AQAAfQEAAAG6+///z/////////8ABkcEAAAGU3RyaW5nBkgEAAAJSXRlbSBuYW1lCUkEAAABtvv//83///8CAAAAAbX7///f+///AQAAAAAABkwEAAArVGFibGUuVFBQVHJhbnNfc3N0Lkl0ZW1JZH5UYWJsZS5JbnZlbnRUYWJsZQlWAAAACS8AAAAK/////wlMBAAACglWAAAABlEEAAAGSXRlbUlkBlIEAAAMVFBQVHJhbnNfc3N0CgkvAAAACVQEAAAJLwAAAAEdAgAAfQEAAAGq+///z/////////8ABlcEAAAERGF0ZQZYBAAABERhdGUJWQQAAAGm+///zf///wIAAAABpfv//9/7//8BAAAAAAAGXAQAABJUYWJsZS5UUFBUcmFuc19zc3QJZAAAAAkvAAAACv////8JXAQAAAoJZAAAAAoKCgkvAAAACWIEAAAJLwAAAAFCAgAAfQEAAAGc+///z/////////8ABmUEAAAGU3RyaW5nBmYEAAAEU2l0ZQlnBAAAAZj7///N////AgAAAAGX+///3/v//wEAAAAAAAZqBAAALlRhYmxlLlRQUFRyYW5zX3NzdC5JbnZlbnREaW1JZH5UYWJsZS5JbnZlbnREaW0JcgAAAAkvAAAACv////8JagQAAAoJcgAAAAZvBAAAC0ludmVudERpbUlkBnAEAAAMVFBQVHJhbnNfc3N0CgkvAAAACXIEAAAJLwAAAAFnAgAAfQEAAAGM+///z/////////8ABnUEAAAGU3RyaW5nBnYEAAAJV2FyZWhvdXNlCWcEAAABiPv//83///8CAAAAAYf7///f+///AQAAAAAACWoEAAAJgAAAAAkvAAAACv////8JagQAAAoJgAAAAAZ/BAAAC0ludmVudERpbUlkBoAEAAAMVFBQVHJhbnNfc3N0CgkvAAAACYIEAAAJLwAAAAGMAgAAfQEAAAF8+///z/////////8ABoUEAAAEUmVhbAaGBAAACFF1YW50aXR5CR8EAAABePv//83///8CAAAAAXf7///f+///AQAAAAAACSIEAAAJjgAAAAkvAAAACv////8JIgQAAAoJjgAAAAoKCgkvAAAACZAEAAAJLwAAAAG0AgAAfQEAAAFu+///z/////////8ABpMEAAAGU3RyaW5nBpQEAAAEVW5pdAmVBAAAAWr7///N////AgAAAAFp+///3/v//wEAAAAAAAl6AQAACZwAAAAJLwAAAAr/////CXoBAAAKCZwAAAAGnQQAAAZJdGVtSWQGngQAAAxUUFBUcmFuc19zc3QKCS8AAAAJoAQAAAkvAAAAAdkCAAB9AQAAAV77///P/////////wAGowQAAARSZWFsBqQEAAAOVFBQIGNvc3QgcHJpY2UJHwQAAAFa+///zf///wIAAAABWfv//9/7//8BAAAAAAAJIgQAAAmqAAAACS8AAAAK/////wkiBAAACgmqAAAACgoKCS8AAAAJrgQAAAkvAAAAAQQDAAB9AQAAAVD7///P/////////wAGsQQAAARSZWFsBrIEAAAPVFBQIGNvc3QgYW1vdW50CR8EAAABTPv//83///8CAAAAAUv7///f+///AQAAAAAACSIEAAAJuAAAAAkvAAAACv////8JIgQAAAoJuAAAAAoKCgkvAAAACbwEAAAJLwAAAAEsAwAAfQEAAAFC+///z/////////8ABr8EAAAGU3RyaW5nBsAEAAAIQ3VycmVuY3kJHwQAAAE++///zf///wIAAAABPfv//9/7//8BAAAAAAAJIgQAAAnGAAAACS8AAAAK/////wkiBAAACgnGAAAACgoKCS8AAAAJygQAAAkvAAAAAVQDAAB9AQAAATT7///P/////////wAGzQQAAARSZWFsBs4EAAAYVFBQIGNvc3QgYW1vdW50IGN1cnJlbmN5CR8EAAABMPv//83///8CAAAAAS/7///f+///AQAAAAAACSIEAAAJ1AAAAAkvAAAACv////8JIgQAAAoJ1AAAAAoKCgkvAAAACdgEAAAJLwAAAAF8AwAAfQEAAAEm+///z/////////8ABtsEAAAGU3RyaW5nBtwEAAARRmluYW5jaWFsIHZvdWNoZXIJHwQAAAEi+///zf///wIAAAABIfv//9/7//8BAAAAAAAJIgQAAAniAAAACS8AAAAK/////wkiBAAACgniAAAACgoKCS8AAAAJ5gQAAAkvAAAAAaQDAAB9AQAAARj7///P/////////wAG6QQAAAZTdHJpbmcG6gQAAAZMb3QgSUQJHwQAAAEU+///zf///wIAAAABE/v//9/7//8BAAAAAAAJIgQAAAnwAAAACS8AAAAK/////wkiBAAACgnwAAAACgoKCS8AAAAJ9AQAAAkvAAAAAcwDAAB9AQAAAQr7///P/////////wAG9wQAAARFbnVtBvgEAAAGU3RhdHVzCR8EAAABBvv//83///8CAAAAAQX7///f+///AQAAAAAACSIEAAAJ/gAAAAkvAAAACv////8JIgQAAAoJ/gAAAAoKCgkvAAAACQIFAAAJLwAAAAH0AwAAfQEAAAH8+v//z/////////8ABgUFAAAFSW50NjQJHgQAAAlZBAAAAfj6///N////AgAAAAH3+v//3/v//wEAAAAAAAlcBAAACQwBAAAJLwAAAAr/////CVwEAAAKCQwBAAAKCgoJLwAAAAkQBQAACS8AAAAFHwQ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CJ0AAAYSBQAADFRQUFRyYW5zX3NzdAYTBQAAEFRQUCB0cmFuc2FjdGlvbnMJLwAAAAkvAAAACS8AAAAF6/r//zBHbG9iZVNvZnR3YXJlLkF0bGFzNDAuQXRsYXNDb21tb24uRGF0YVNvdXJjZVR5cGUBAAAAB3ZhbHVlX18ACA4AAAAAAAAACRYFAAAJFwUAAATo+v//C1N5c3RlbS5HdWlkCwAAAAJfYQJfYgJfYwJfZAJfZQJfZgJfZwJfaAJfaQJfagJfawAAAAAAAAAAAAAACAcHAgICAgICAgIIzAPgEHuwS7uQOJO5VGL0CS8AAAAJLwAAAAkaBQAACSIEAAAKCgoKCgEAAAAF5Pr//zRHbG9iZVNvZnR3YXJlLkF0bGFzNDAuQXRsYXNDb21tb24uRGF0YVNvdXJjZUpvaW5Nb2RlAQAAAAd2YWx1ZV9fAAgOAAAAAAAAAAXj+v//NUdsb2JlU29mdHdhcmUuQXRsYXM0MC5BdGxhc0NvbW1vbi5EYXRhU291cmNlRmV0Y2hNb2RlAQAAAAd2YWx1ZV9fAAgOAAAAAAAAAAAJHgUAAAEoBAAAKwAAAE0AAAAJHwEAAAMAAAAJIAUAAAE2BAAAKwAAAE0AAAAJHwEAAAMAAAAJIgUAAAFEBAAAKwAAAE0AAAAJHwEAAAMAAAAJJAUAAAFJBAAAHwQAAP////8GJQUAAAtJbnZlbnRUYWJsZQYmBQAABUl0ZW1zCS8AAAAJLwAAAAkvAAAAAdj6///r+v//AAAAAAkpBQAACSoFAAAB1fr//+j6//9oSje/0GQJQrARdbABXfMyCS8AAAAJLwAAAAktBQAACUwEAAAGLwUAAAxUUFBUcmFuc19zc3QGMAUAABJUYWJsZS5UUFBUcmFuc19zc3QGMQUAABlUYWJsZS5UUFBUcmFuc19zc3QuSXRlbUlkBjIFAAAGSXRlbUlkBjMFAAAGSXRlbUlkAQAAAAHM+v//5Pr//wAAAAABy/r//+P6//8AAAAAAAk2BQAAAVQEAAArAAAAIAAAAAkuAQAAAwAAAAk4BQAAAVkEAAAfBAAA/////wY5BQAADFRQUFRyYW5zX3NzdAY6BQAAEFRQUCB0cmFuc2FjdGlvbnMJLwAAAAkvAAAACS8AAAABxPr//+v6//8AAAAACT0FAAAJPgUAAAHB+v//6Pr//wnz94cYX+9KoeGLa6BVgxMJLwAAAAkvAAAACUEFAAAJXAQAAAoKCgoKAQAAAAG9+v//5Pr//wAAAAABvPr//+P6//8AAAAAAAlFBQAAAWIEAAArAAAARAAAAAkfAQAAAwAAAAlHBQAAAWcEAAAfBAAA/////wZIBQAACUludmVudERpbQZJBQAAFEludmVudG9yeSBkaW1lbnNpb25zCS8AAAAJLwAAAAkvAAAAAbX6///r+v//AAAAAAlMBQAACU0FAAABsvr//+j6///I6FxcYb88S7AwaKejtuBGCS8AAAAJLwAAAAlQBQAACWoEAAAGUgUAAAxUUFBUcmFuc19zc3QGUwUAABJUYWJsZS5UUFBUcmFuc19zc3QGVAUAAB5UYWJsZS5UUFBUcmFuc19zc3QuSW52ZW50RGltSWQGVQUAAAtJbnZlbnREaW1JZAZWBQAAC2ludmVudERpbUlkAQAAAAGp+v//5Pr//wAAAAABqPr//+P6//8AAAAAAAlZBQAAAXIEAAArAAAALAAAAAkuAQAAAwAAAAlbBQAAAYIEAAArAAAALAAAAAkuAQAAAwAAAAldBQAAAZAEAAArAAAATQAAAAkfAQAAAwAAAAlfBQAAAZUEAAAfBAAA/////wZgBQAAEUludmVudFRhYmxlTW9kdWxlBmEFAAAbSW52ZW50b3J5IG1vZHVsZSBwYXJhbWV0ZXJzCS8AAAAJLwAAAAkvAAAAAZ36///r+v//AAAAAAlkBQAACWUFAAABmvr//+j6///6rnnGrj1sSqdX5DvVwSOJCS8AAAAJLwAAAAloBQAACXoBAAAGagUAAAxUUFBUcmFuc19zc3QGawUAABJUYWJsZS5UUFBUcmFuc19zc3QGbAUAABlUYWJsZS5UUFBUcmFuc19zc3QuSXRlbUlkBm0FAAAGSXRlbUlkBm4FAAAGSXRlbUlkAQAAAAGR+v//5Pr//wAAAAABkPr//+P6//8AAAAAAAlxBQAAAaAEAAArAAAALAAAAAkuAQAAAwAAAAlzBQAAAa4EAAArAAAATQAAAAkfAQAAAwAAAAl1BQAAAbwEAAArAAAATQAAAAkfAQAAAwAAAAl3BQAAAcoEAAArAAAATQAAAAkfAQAAAwAAAAl5BQAAAdgEAAArAAAATQAAAAkfAQAAAwAAAAl7BQAAAeYEAAArAAAATQAAAAkfAQAAAwAAAAl9BQAAAfQEAAArAAAATQAAAAkfAQAAAwAAAAl/BQAAAQIFAAArAAAATQAAAAkfAQAAAwAAAAmBBQAAARAFAAArAAAARAAAAAkfAQAAAwAAAAmDBQAABBYF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MAAAACYQFAAARAAAACYUFAAAEFwU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CgAAAAmEBQAAEQAAAAmHBQAABBoF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EBQAAAAAAAAQeBQ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mJBQAAAAAAAAcg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b6//9t/v//BosFAAAISGVscFRleHQGjAUAADJTcGVjaWZ5IHRoZSBtb2R1bGUgdGhhdCBnZW5lcmF0ZWQgdGhlIHRyYW5zYWN0aW9uLgFz+v//bf7//waOBQAABUxhYmVsCR4EAAABcPr//23+//8GkQUAAARUeXBlCR0EAAAHIg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t+v//bf7//wmLBQAABpUFAAA1T3JkZXIgbnVtYmVyLCBwcm9qZWN0IG51bWJlciwgcHJvZHVjdGlvbiBudW1iZXIsIGV0Yy4Bavr//23+//8JjgUAAAksBAAAAWf6//9t/v//CZEFAAAJKwQAAAck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T6//9t/v//CYsFAAAGngUAAA5JZGVudGlmeSBpdGVtLgFh+v//bf7//wmOBQAACToEAAABXvr//23+//8JkQUAAAk5BAAAASkFAAAWBQAAAQAAAAkuAQAAAwAAAAmmBQAABCoF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pwUAAAAAAAABLQUAABoFAAAAAAAACS4BAAAAAAAAATYFAAAeBQAAAAAAAAmpBQAAAAAAAAc4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b6//9t/v//BqsFAAAFTGFiZWwJSAQAAAFT+v//bf7//wauBQAABFR5cGUJRwQAAAE9BQAAFgUAABEAAAAJsAUAABEAAAAJsQUAAAE+BQAAFwUAAAEAAAAJHwEAAAMAAAAJswUAAAFBBQAAGgUAAAAAAAAJsAUAAAAAAAABRQUAAB4FAAAAAAAACbUFAAAAAAAAB0c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vr//23+//8JjgUAAAlYBAAAAUf6//9t/v//CZEFAAAJVwQAAAFMBQAAFgUAAAIAAAAJLgEAAAMAAAAJvQUAAARNB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acFAAAAAAAAAVAFAAAaBQAAAAAAAAkuAQAAAAAAAAFZBQAAHgUAAAAAAAAJqQUAAAAAAAAHWw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/+v//bf7//wmrBQAACWYEAAABPPr//23+//8JrgUAAAllBAAAB10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fr//23+//8JqwUAAAl2BAAAATb6//9t/v//Ca4FAAAJdQQAAAdf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P6//9t/v//CYsFAAAGzwUAACRRdWFudGl0eSBhdHRhY2hlZCB0byB0aGUgdHJhbnNhY3Rpb24BMPr//23+//8JjgUAAAmGBAAAAS36//9t/v//CZEFAAAJhQQAAAFkBQAAFgUAAAEAAAAJLgEAAAMAAAAJ1wUAAAFlBQAAFwUAAAEAAAAJpwUAAAMAAAAJ2QUAAAFoBQAAGgUAAAAAAAAJLgEAAAAAAAABcQUAAB4FAAAAAAAACakFAAAAAAAAB3M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Pr//23+//8JqwUAAAmUBAAAASH6//9t/v//Ca4FAAAJkwQAAAd1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76//9t/v//CYsFAAAG5AUAAA9UUFAgY29zdCBwcmljZS4BG/r//23+//8JjgUAAAmkBAAAARj6//9t/v//CZEFAAAJowQAAAd3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X6//9t/v//CYsFAAAG7QUAABBUUFAgY29zdCBhbW91bnQuARL6//9t/v//CY4FAAAJsgQAAAEP+v//bf7//wmRBQAACbEEAAAHe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M+v//bf7//wmLBQAABvYFAAAuQ3VycmVuY3ksIGlmIGFueSwgYXR0YWNoZWQgdG8gdGhlIGl0ZW0gcmVjZWlwdAEJ+v//bf7//wmOBQAACcAEAAABBvr//23+//8JkQUAAAm/BAAAB3s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A/r//23+//8JiwUAAAb/BQAAHFRQUCBjb3N0IGFtb3VudCBpbiBjdXJyZW5jeS4BAPr//23+//8JjgUAAAnOBAAAAf35//9t/v//CZEFAAAJzQQAAAd9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r5//9t/v//CYsFAAAGCAYAADNWb3VjaGVyIG51bWJlciB0aGF0IHRoZSB0cmFuc2FjdGlvbiBpcyBhdHRhY2hlZCB0by4B9/n//23+//8JjgUAAAncBAAAAfT5//9t/v//CZEFAAAJ2wQAAAd/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H5//9t/v//CYsFAAAGEQYAAFJTdW1tYXJ5IG51bWJlci9Mb3QgSUQgZm9yIHRyYW5zYWN0aW9ucyBhdHRhY2hlZCB0byB0aGUgc2FtZSBpbnZlbnRvcnkgdHJhbnNhY3Rpb24uAe75//9t/v//CY4FAAAJ6gQAAAHr+f//bf7//wmRBQAACekEAAAHg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o+f//bf7//wmLBQAABhoGAAAWVFBQIHRyYW5zYWN0aW9uIHN0YXR1cwHl+f//bf7//wmOBQAACfgEAAAB4vn//23+//8JkQUAAAn3BAAAB4M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/n//23+//8JjgUAAAkeBAAAAdz5//9t/v//CZEFAAAJBQUAAAGEBQAADAAAAAeFBQAAAAEAAAAM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TZ+f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YoBgAAHFRhYmxlLlRQUFRyYW5zX3NzdC5Db3N0UHJpY2UJ2QIAAAHW+f//2fn//wYrBgAAHVRhYmxlLlRQUFRyYW5zX3NzdC5Db3N0QW1vdW50CQQDAAAB0/n//9n5//8GLgYAACBUYWJsZS5UUFBUcmFuc19zc3QuQ29zdEFtb3VudEN1cglUAwAAAdD5///Z+f//BjEGAAAWVGFibGUuVFBQVHJhbnNfc3N0LlF0eQmMAgAAAc35///Z+f//BjQGAAAeVGFibGUuVFBQVHJhbnNfc3N0LkludmVudERpbUlkCTUGAAAByvn//9n5//8GNwYAABpUYWJsZS5UUFBUcmFuc19zc3QuVm91Y2hlcgl8AwAAAcf5///Z+f//BjoGAAAgVGFibGUuVFBQVHJhbnNfc3N0LkludmVudFRyYW5zSWQJpAMAAAHE+f//2fn//wY9BgAAHVRhYmxlLlRQUFRyYW5zX3NzdC5UcmFuc1JlZklkCagBAAABwfn//9n5//8GQAYAABxUYWJsZS5UUFBUcmFuc19zc3QuVHJhbnNUeXBlCX0BAAABvvn//9n5//8GQwYAAB9UYWJsZS5UUFBUcmFuc19zc3QuQ3VycmVuY3lDb2RlCSwDAAABu/n//9n5//8GRgYAABlUYWJsZS5UUFBUcmFuc19zc3QuU3RhdHVzCcwDAAABuPn//9n5//8GSQYAABlUYWJsZS5UUFBUcmFuc19zc3QuSXRlbUlkCdABAAAHhwUAAAABAAAAC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LX5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4AAAAGTAYAAB1UYWJsZS5UUFBUcmFuc19zc3QuRGF0YUFyZWFJZAlNBgAAAbL5//+1+f//Bk8GAAAfVGFibGUuVFBQVHJhbnNfc3N0LkN1cnJlbmN5Q29kZQlQBgAAAa/5//+1+f//BlIGAAAcVGFibGUuVFBQVHJhbnNfc3N0LlRyYW5zRGF0ZQlTBgAAAaz5//+1+f//BlUGAAAeVGFibGUuVFBQVHJhbnNfc3N0LkludmVudERpbUlkCVYGAAABqfn//7X5//8GWAYAABpUYWJsZS5UUFBUcmFuc19zc3QuVm91Y2hlcglZBgAAAab5//+1+f//BlsGAAAZVGFibGUuVFBQVHJhbnNfc3N0Lkl0ZW1JZAlcBgAAAaP5//+1+f//Bl4GAAAgVGFibGUuVFBQVHJhbnNfc3N0LkludmVudFRyYW5zSWQJXwYAAAGg+f//tfn//wZhBgAAHVRhYmxlLlRQUFRyYW5zX3NzdC5UcmFuc1JlZklkCWIGAAABnfn//7X5//8GZAYAABxUYWJsZS5UUFBUcmFuc19zc3QuVHJhbnNUeXBlCWUGAAABmvn//7X5//8GZwYAABlUYWJsZS5UUFBUcmFuc19zc3QuU3RhdHVzCWgGAAAEiQU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6YF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Zf5///Z+f//BmoGAAA0VGFibGUuVFBQVHJhbnNfc3N0Lkl0ZW1JZH5UYWJsZS5JbnZlbnRUYWJsZS5JdGVtTmFtZQn4AQAAAacFAAAMAAAAAakFAACJBQAAAbAFAAAMAAAAB7EFAAAAAQAAAB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ZT5///Z+f//Bm0GAAAcVGFibGUuVFBQVHJhbnNfc3N0LkNvc3RQcmljZQnZAgAAAZH5///Z+f//BnAGAAAdVGFibGUuVFBQVHJhbnNfc3N0LkNvc3RBbW91bnQJBAMAAAGO+f//2fn//wZzBgAAIFRhYmxlLlRQUFRyYW5zX3NzdC5Db3N0QW1vdW50Q3VyCVQDAAABi/n//9n5//8GdgYAABZUYWJsZS5UUFBUcmFuc19zc3QuUXR5CYwCAAABiPn//9n5//8GeQYAAB5UYWJsZS5UUFBUcmFuc19zc3QuSW52ZW50RGltSWQJNQYAAAGF+f//2fn//wZ8BgAAGlRhYmxlLlRQUFRyYW5zX3NzdC5Wb3VjaGVyCXwDAAABgvn//9n5//8GfwYAACBUYWJsZS5UUFBUcmFuc19zc3QuSW52ZW50VHJhbnNJZAmkAwAAAX/5///Z+f//BoIGAAAdVGFibGUuVFBQVHJhbnNfc3N0LlRyYW5zUmVmSWQJqAEAAAF8+f//2fn//waFBgAAHFRhYmxlLlRQUFRyYW5zX3NzdC5UcmFuc1R5cGUJfQEAAAF5+f//2fn//waIBgAAH1RhYmxlLlRQUFRyYW5zX3NzdC5DdXJyZW5jeUNvZGUJLAMAAAF2+f//2fn//waLBgAAGVRhYmxlLlRQUFRyYW5zX3NzdC5TdGF0dXMJzAMAAAFz+f//2fn//waOBgAAGVRhYmxlLlRQUFRyYW5zX3NzdC5JdGVtSWQJ0AEAAAFw+f//2fn//waRBgAAHFRhYmxlLlRQUFRyYW5zX3NzdC5UcmFuc0RhdGUJHQIAAAFt+f//2fn//waUBgAAI1RhYmxlLlRQUFRyYW5zX3NzdC5JbnZlbnRUcmFuc1JlY0lkCfQDAAABavn//9n5//8GlwYAACpUYWJsZS5UUFBUcmFuc19zc3QuSW52ZW50Sm91cm5hbFRyYW5zUmVjSWQJmAYAAAFn+f//2fn//waaBgAAJFRhYmxlLlRQUFRyYW5zX3NzdC5JbnZvaWNlVHJhbnNSZWNJZAmbBgAAAWT5///Z+f//Bp0GAAAfVGFibGUuVFBQVHJhbnNfc3N0LlByb2RCT01SZWNJZAmeBgAAB7MF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Fh+f//tfn//wagBgAAHFRhYmxlLlRQUFRyYW5zX3NzdC5UcmFuc0RhdGUJoQYAAAG1BQAAiQUAAAe9BQAAAAEAAAAC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Fe+f//2fn//wajBgAAO1RhYmxlLlRQUFRyYW5zX3NzdC5JbnZlbnREaW1JZH5UYWJsZS5JbnZlbnREaW0uSW52ZW50U2l0ZUlkCUICAAABW/n//9n5//8GpgYAAD9UYWJsZS5UUFBUcmFuc19zc3QuSW52ZW50RGltSWR+VGFibGUuSW52ZW50RGltLkludmVudExvY2F0aW9uSWQJZwIAAAfXBQ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FY+f//2fn//wapBgAAOFRhYmxlLlRQUFRyYW5zX3NzdC5JdGVtSWR+VGFibGUuSW52ZW50VGFibGVNb2R1bGUuVW5pdElkCbQCAAAH2QU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VX5//+1+f//BqwGAAA8VGFibGUuVFBQVHJhbnNfc3N0Lkl0ZW1JZH5UYWJsZS5JbnZlbnRUYWJsZU1vZHVsZS5Nb2R1bGVUeXBlCa0GAAABNQYAAH0BAAABUvn//8//////////AAavBgAABlN0cmluZwawBgAADURpbWVuc2lvbiBOby4JHwQAAAFO+f//zf///wIAAAABTfn//9/7//8BAAAAAAAJIgQAAAa1BgAAC0ludmVudERpbUlkCS8AAAAK/////wkiBAAACgm1BgAACgoKCS8AAAAJugYAAAkvAAAABU0G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kiBAAABr0GAAAKRGF0YUFyZWFJZAkvAAAACS8AAAD/////CSIEAAAKCb0GAAAKCgoJLwAAAAnCBgAACS8AAAABUAYAAE0GAAAJIgQAAAbFBgAADEN1cnJlbmN5Q29kZQkvAAAACS8AAAD/////CSIEAAAKCcUGAAAKCgoJLwAAAAnKBgAACS8AAAABUwYAAE0GAAAJIgQAAAl1AQAACS8AAAAJLwAAAP////8JIgQAAAoJdQEAAAoKCgkvAAAACdIGAAAJLwAAAAFWBgAATQYAAAkiBAAABtUGAAALSW52ZW50RGltSWQJLwAAAAkvAAAA/////wkiBAAACgnVBgAACgoKCS8AAAAJ2gYAAAkvAAAAAVkGAABNBgAACSIEAAAG3QYAAAdWb3VjaGVyCS8AAAAJLwAAAP////8JIgQAAAoJ3QYAAAoKCgkvAAAACeIGAAAJLwAAAAFcBgAATQYAAAkiBAAABuUGAAAGSXRlbUlkCS8AAAAJLwAAAP////8JIgQAAAoJ5QYAAAoKCgkvAAAACeoGAAAJLwAAAAFfBgAATQYAAAkiBAAABu0GAAANSW52ZW50VHJhbnNJZAkvAAAACS8AAAD/////CSIEAAAKCe0GAAAKCgoJLwAAAAnyBgAACS8AAAABYgYAAE0GAAAJIgQAAAb1BgAAClRyYW5zUmVmSWQJLwAAAAkvAAAA/////wkiBAAACgn1BgAACgoKCS8AAAAJ+gYAAAkvAAAAAWUGAABNBgAACSIEAAAG/QYAAAlUcmFuc1R5cGUJLwAAAAkvAAAA/////wkiBAAACgn9BgAACgoKCS8AAAAJAgcAAAkvAAAAAWgGAABNBgAACSIEAAAGBQcAAAZTdGF0dXMJLwAAAAkvAAAA/////wkiBAAACgkFBwAACgoKCS8AAAAJCgcAAAkvAAAAAZgGAAB9AQAAAfT4///P/////////wAGDQcAAAVJbnQ2NAYOBwAACVJlZmVyZW5jZQlZBAAAAfD4///N////AgAAAAHv+P//3/v//wEAAAAAAAlcBAAABhMHAAAXSW52ZW50Sm91cm5hbFRyYW5zUmVjSWQJLwAAAAr/////CVwEAAAKCRMHAAAKCgoJLwAAAAkYBwAACS8AAAABmwYAAH0BAAAB5vj//8//////////AAYbBwAABUludDY0CQ4HAAAJWQQAAAHi+P//zf///wIAAAAB4fj//9/7//8BAAAAAAAJXAQAAAYhBwAAEUludm9pY2VUcmFuc1JlY0lkCS8AAAAK/////wlcBAAACgkhBwAACgoKCS8AAAAJJgcAAAkvAAAAAZ4GAAB9AQAAAdj4///P/////////wAGKQcAAAVJbnQ2NAkOBwAACVkEAAAB1Pj//83///8CAAAAAdP4///f+///AQAAAAAACVwEAAAGLwcAAAxQcm9kQk9NUmVjSWQJLwAAAAr/////CVwEAAAKCS8HAAAKCgoJLwAAAAk0BwAACS8AAAABoQYAAE0GAAAJIgQAAAl1AQAACS8AAAAGOQcAABgwNi4wMS4yMDE3IC4uIDA2LjMwLjIwMTf/////CSIEAAAKCXUBAAAKCgoJLwAAAAk9BwAACS8AAAABrQYAAE0GAAAJegEAAAl7AQAACS8AAAAJfAEAAP////8JegEAAAoJewEAAAZFBwAABkl0ZW1JZAoKCS8AAAAJRwcAAAkvAAAAAboGAAArAAAAIQAAAAkfAQAAAwAAAAlKBwAABMIG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8BAAAAAAAABMoG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8BAAAAAAAABNIG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8BAAAAAAAABNoG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8BAAAAAAAABOIG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8BAAAAAAAABOoG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8BAAAAAAAABPIG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8BAAAAAAAABPoG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8BAAAAAAAABAIH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8BAAAAAAAABAoH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8BAAAAAAAAARgHAAArAAAAEgAAAAkfAQAAAwAAAAlMBwAAASYHAAArAAAAEgAAAAkfAQAAAwAAAAlOBwAAATQHAAArAAAAEgAAAAkfAQAAAwAAAAlQBwAAAT0HAAArAAAAJQAAAAkfAQAAAwAAAAlSBwAAAUcHAAArAAAAEgAAAAmnBQAAAwAAAAlUBwAAB0oH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/j//23+//8JiwUAAAZXBwAAKklkZW50aWZpY2F0aW9uIG9mIGRpbWVuc2lvbnMgZm9yIHRoZSBpdGVtLgGo+P//bf7//wmOBQAACbAGAAABpfj//23+//8JkQUAAAmvBgAAB0wH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vj//23+//8JjgUAAAkOBwAAAZ/4//9t/v//CZEFAAAJDQcAAAdOB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z4//9t/v//CY4FAAAJDgcAAAGZ+P//bf7//wmRBQAACRsHAAAHUAc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W+P//bf7//wmOBQAACQ4HAAABk/j//23+//8JkQUAAAkpBwAAB1IH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Pj//23+//8JkQUAAAZyBwAABERhdGUBjfj//23+//8JjgUAAAZ1BwAABERhdGUBivj//23+//8GdwcAAAhSZWZlcnNUbwZ4BwAACz1EYXRlUGVyaW9kB1QH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/j//23+//8GegcAAARUeXBlBnsHAAAERW51bQGE+P//bf7//wZ9BwAABUxhYmVsBn4HAAALTW9kdWxlIHR5cGUL</Report>
</Atlas>
</file>

<file path=customXml/item3.xml><?xml version="1.0" encoding="utf-8"?>
<Atlas>
  <Report name="AtlasReport_5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QAAAAkDAAAACQQAAAAGBQAAAA1BdGxhc1JlcG9ydF81BgYAAAADMzYz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FAAAABQ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0DDBk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GQAAAAgCAAAABhoAAAAVQXRsYXNSZXBvcnRfNV9UYWJsZV8xCRs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kAAAAICAkcAAAAAgAAAAI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HQAAAAkeAAAACR8AAAAGIAAAAAZJdGVtSWQGIQAAAAtJdGVtIG51bWJlcgYiAAAABlN0cmluZwYjAAAAAAYkAAAAJDI1NGIxN2FhLTFlY2YtNDI1YS05OGFiLWIyZGU2MmFlNzM0ZgXb////LUdsb2JlU29mdHdhcmUuQXRsYXM0MC5BdGxhc0NvbW1vbi5BZ2dyZWdhdGlvbgEAAAAHdmFsdWVfXwAIDgAAAP////8AAAAABdr///8sR2xvYmVTb2Z0d2FyZS5BdGxhczQwLkF0bGFzQ29tbW9uLkNvbHVtblR5cGUBAAAAB3ZhbHVlX18ACA4AAAAAAAAABdn///8rR2xvYmVTb2Z0d2FyZS5BdGxhczQwLkF0bGFzQ29tbW9uLlNvcnRPcmRlcgEAAAAHdmFsdWVfXwAIDgAAAAIAAAAAAAAAAAXY////QEdsb2JlU29mdHdhcmUuQXRsYXM0MC5BdGxhc0NvbW1vbi5UeXBlLkNvbHVtbitDcm9zc1RhYkNvbHVtblR5cGUBAAAAB3ZhbHVlX18ACA4AAAAAAAAACgEAAAAAAAAAAAAAAAAABikAAAAkYmM4ZWZlNzktODczOC00YTkyLTliYjEtN2E3ZDY4OTdhYmQyBioAAAAYVGFibGUuSW52ZW50VGFibGUuSXRlbUlkCgoKCgEVAAAAFAAAAAkrAAAACSwAAAAJLQAAAAYuAAAACEl0ZW1OYW1lBi8AAAAJSXRlbSBuYW1lBjAAAAAGU3RyaW5nCSMAAAAGMgAAACQxYjczOTQxZi01YWExLTQxMTQtOTRmOC0xMjkzZWM4OWJjODUBzf///9v/////////AQAAAAHM////2v///wAAAAABy////9n///8CAAAAAAAAAAAByv///9j///8AAAAACgEAAAAAAAAAAAEAAAAABjcAAAAkODg5NmM1N2MtZTYwNi00ZDFhLWE2ZmYtMWY0YmNmZDhjNzA2BjgAAAAaVGFibGUuSW52ZW50VGFibGUuSXRlbU5hbWUKCgoKARYAAAAUAAAACTkAAAAJOgAAAAk7AAAABjwAAAALSXRlbUdyb3VwSWQGPQAAAApJdGVtIGdyb3VwBj4AAAAGU3RyaW5nCSMAAAAGQAAAACQ4NTkzMzI2Ny0xOWRiLTRlNzEtYmRiNS1mNzA2MDAwMmFjMzcBv////9v/////////AgAAAAG+////2v///wAAAAABvf///9n///8CAAAAAAAAAAABvP///9j///8AAAAACgEAAAAAAAAAAAIAAAAABkUAAAAkOTA2MDJkYWItYzA0OS00ODQyLTkyM2ItMWIyMTYxNzZjZTFjBkYAAAAdVGFibGUuSW52ZW50VGFibGUuSXRlbUdyb3VwSWQKCgoKARcAAAAUAAAACUcAAAAJSAAAAAlJAAAABkoAAAAISXRlbVR5cGUGSwAAAAlJdGVtIHR5cGUGTAAAAARFbnVtCSMAAAAGTgAAACQ0OWY1MGRiNS03YTkzLTQ3OTgtOWQ4Ny04YjY5OGEzOWZlMTQBsf///9v/////////AwAAAAGw////2v///wAAAAABr////9n///8CAAAAAAAAAAABrv///9j///8AAAAACgEAAAAAAAAAAAMAAAAABlMAAAAkZmVmMjU3OWUtNjVkNS00ZTM1LTljODUtOTdmNjQ4YWNmYWQxBlQAAAAaVGFibGUuSW52ZW50VGFibGUuSXRlbVR5cGUKCgoKARgAAAAUAAAACVUAAAAJVgAAAAlXAAAABlgAAAAGVW5pdElkBlkAAAAEVW5pdAZaAAAABlN0cmluZwkjAAAABlwAAAAkZmI3N2ZkOTEtOGQ2Ny00Y2EzLWE4MDgtOTQ2N2EyYjYwZmZjAaP////b/////////wQAAAABov///9r///8AAAAAAaH////Z////AgAAAAAAAAAAAaD////Y////AAAAAAoBAAAAAAAAAAAEAAAAAAZhAAAAJGIyOTFhOGEzLTNjNWMtNGY1YS1iZDAyLTAzNTgwNjNlNDc4MQZiAAAAN1RhYmxlLkludmVudFRhYmxlLkl0ZW1JZH5UYWJsZS5JbnZlbnRUYWJsZU1vZHVsZS5Vbml0SWQKCgoKBRsAAAA4R2xvYmVTb2Z0d2FyZS5BdGxhczQwLkF0bGFzQ29tbW9uQ2xpZW50LlJlcG9ydC5SZWZlcmVuY2UBAAAACl9yZWZlcmVuY2UHCBkAAAAJYwAAAAccAAAAAAEAAAAEAAAABDxHbG9iZVNvZnR3YXJlLkF0bGFzNDAuQXRsYXNDb21tb25DbGllbnQuRGF0YVNvdXJjZUZpZWxkVmFsdWUZAAAACWQAAAAJZQAAAA0CBB0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DgAAAAgICWYAAAABAAAAAQAAAAQe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UQAAAAJZwAAAAcAAAAJaAAAAAQf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8AAAAJaQAAAAcAAAAJagAAAAErAAAAHQAAAAlrAAAAAQAAAAEAAAABLAAAAB4AAABDAAAACWcAAAAHAAAACW0AAAABLQAAAB8AAAA/AAAACWkAAAAHAAAACW8AAAABOQAAAB0AAAAJcAAAAAEAAAABAAAAAToAAAAeAAAAQwAAAAlnAAAABwAAAAlyAAAAATsAAAAfAAAAPwAAAAlpAAAABwAAAAl0AAAAAUcAAAAdAAAACXUAAAABAAAAAQAAAAFIAAAAHgAAAEMAAAAJZwAAAAcAAAAJdwAAAAFJAAAAHwAAAD8AAAAJaQAAAAcAAAAJeQAAAAFVAAAAHQAAAAl6AAAAAQAAAAEAAAABVgAAAB4AAABCAAAACWcAAAAHAAAACXwAAAABVwAAAB8AAAA/AAAACWkAAAAHAAAACX4AAAAPYwAAAAEAAAAIAQAAAAVkAAAAPEdsb2JlU29mdHdhcmUuQXRsYXM0MC5BdGxhc0NvbW1vbkNsaWVudC5EYXRhU291cmNlRmllbGRWYWx1ZQQAAAASX2lzRHJpbGxEb3duRmlsdGVyBl9kc0tleQpfZmllbGRuYW1lC19maWVsZFZhbHVlAAEBAQEZAAAAAAZ/AAAAEVRhYmxlLkludmVudFRhYmxlBoAAAAAKRGF0YUFyZWFJZAkGAAAAAWUAAABkAAAAAAaCAAAAMFRhYmxlLkludmVudFRhYmxlLkl0ZW1JZH5UYWJsZS5JbnZlbnRUYWJsZU1vZHVsZQaDAAAACk1vZHVsZVR5cGUGhAAAAAZJbnZlbnQHZgAAAAABAAAABAAAAAQ3R2xvYmVTb2Z0d2FyZS5BdGxhczQwLkF0bGFzQ29tbW9uLlR5cGUuRmllbGRPdXRwdXRGaWVsZA4AAAAJhQAAAA0DBGc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2g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R6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Xn///8yR2xvYmVTb2Z0d2FyZS5BdGxhczQwLkF0bGFzQ29tbW9uLkNvbHVtbkF0dHJpYnV0ZXMBAAAAB3ZhbHVlX18ACA4AAAAGAAAABogAAAAFVG90YWwBd////3r///8Bdv///3n///8QAAAABosAAAAETm9uZQF0////ev///wFz////ef///wkAAAAJIwAAAAFx////ev///wFw////ef///wsAAAAGkQAAAAEwAW7///96////AW3///95////BAAAAAaUAAAAB0dlbmVyYWwBa////3r///8Bav///3n///8CAAAABpcAAAABMQFo////ev///wFn////ef///wAAAAAGmgAAAAUyMC40MwFpAAAADAAAAAdq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GX/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nAAAAAhGb250Qm9sZAadAAAABUZhbHNlAWL///9l////Bp8AAAAKRm9udEl0YWxpYwmdAAAAAV////9l////BqIAAAANRm9udFVuZGVybGluZQajAAAABS00MTQyAVz///9l////BqUAAAAIRm9udE5hbWUGpgAAAAdDYWxpYnJpAVn///9l////BqgAAAAJRm9udENvbG9yBqkAAAABMAFW////Zf///warAAAACEZvbnRTaXplBqwAAAACMTEBU////2X///8GrgAAAAlGb250U3R5bGUGrwAAAAdSZWd1bGFyB2sAAAAAAQAAAAQAAAAEN0dsb2JlU29mdHdhcmUuQXRsYXM0MC5BdGxhc0NvbW1vbi5UeXBlLkZpZWxkT3V0cHV0RmllbGQOAAAACbAAAAANAwdt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////3r///8BTv///3n///8QAAAACYsAAAABTP///3r///8BS////3n///8JAAAACSMAAAABSf///3r///8BSP///3n///8LAAAABrkAAAABMQFG////ev///wFF////ef///wQAAAAGvAAAAAdHZW5lcmFsAUP///96////AUL///95////AgAAAAa/AAAAATEBQP///3r///8BP////3n///8AAAAABsIAAAACNTYHb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9////Zf///wmcAAAACZ0AAAABOv///2X///8JnwAAAAmdAAAAATf///9l////CaIAAAAGywAAAAUtNDE0MgE0////Zf///wmlAAAABs4AAAAHQ2FsaWJyaQEx////Zf///wmoAAAABtEAAAABMAEu////Zf///wmrAAAABtQAAAACMTEBK////2X///8JrgAAAAbXAAAAB1JlZ3VsYXIHcAAAAAABAAAABAAAAAQ3R2xvYmVTb2Z0d2FyZS5BdGxhczQwLkF0bGFzQ29tbW9uLlR5cGUuRmllbGRPdXRwdXRGaWVsZA4AAAAJ2AAAAA0DB3I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n////ev///wEm////ef///xAAAAAJiwAAAAEk////ev///wEj////ef///wkAAAAJIwAAAAEh////ev///wEg////ef///wsAAAAG4QAAAAEyAR7///96////AR3///95////BAAAAAbkAAAAB0dlbmVyYWwBG////3r///8BGv///3n///8CAAAABucAAAABMQEY////ev///wEX////ef///wAAAAAG6gAAAAUxMi4yOQd0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X///9l////CZwAAAAJnQAAAAES////Zf///wmfAAAACZ0AAAABD////2X///8JogAAAAbzAAAABS00MTQyAQz///9l////CaUAAAAG9gAAAAdDYWxpYnJpAQn///9l////CagAAAAG+QAAAAEwAQb///9l////CasAAAAG/AAAAAIxMQED////Zf///wmuAAAABv8AAAAHUmVndWxhcgd1AAAAAAEAAAAEAAAABDdHbG9iZVNvZnR3YXJlLkF0bGFzNDAuQXRsYXNDb21tb24uVHlwZS5GaWVsZE91dHB1dEZpZWxkDgAAAAkAAQAADQMHd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/+//96////Af7+//95////EAAAAAmLAAAAAfz+//96////Afv+//95////CQAAAAkjAAAAAfn+//96////Afj+//95////CwAAAAYJAQAAATMB9v7//3r///8B9f7//3n///8EAAAABgwBAAAHR2VuZXJhbAHz/v//ev///wHy/v//ef///wIAAAAGDwEAAAExAfD+//96////Ae/+//95////AAAAAAYSAQAABTExLjE0B3k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7f7//2X///8JnAAAAAmdAAAAAer+//9l////CZ8AAAAJnQAAAAHn/v//Zf///wmiAAAABhsBAAAFLTQxNDIB5P7//2X///8JpQAAAAYeAQAAB0NhbGlicmkB4f7//2X///8JqAAAAAYhAQAAATAB3v7//2X///8JqwAAAAYkAQAAAjExAdv+//9l////Ca4AAAAGJwEAAAdSZWd1bGFyB3oAAAAAAQAAAAQAAAAEN0dsb2JlU29mdHdhcmUuQXRsYXM0MC5BdGxhc0NvbW1vbi5UeXBlLkZpZWxkT3V0cHV0RmllbGQOAAAACSgBAAANAwd8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1/7//3r///8B1v7//3n///8JAAAACSMAAAAB1P7//3r///8B0/7//3n///8LAAAABi4BAAABNAHR/v//ev///wHQ/v//ef///wQAAAAGMQEAAAdHZW5lcmFsAc7+//96////Ac3+//95////AgAAAAY0AQAAATEBy/7//3r///8Byv7//3n///8AAAAABjcBAAAENi40Mwd+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j+//9l////CZwAAAAJnQAAAAHF/v//Zf///wmfAAAACZ0AAAABwv7//2X///8JogAAAAZAAQAABS00MTQyAb/+//9l////CaUAAAAGQwEAAAdDYWxpYnJpAbz+//9l////CagAAAAGRgEAAAEwAbn+//9l////CasAAAAGSQEAAAIxMQG2/v//Zf///wmuAAAABkwBAAAHUmVndWxhcgWF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Gz/v//2/////////8ABk4BAAAGU3RyaW5nBk8BAAALSXRlbSBudW1iZXIJUAEAAAGv/v//2f///wIAAAAFrv7//zlHbG9iZVNvZnR3YXJlLkF0bGFzNDAuQXRsYXNDb21tb24uTnVtYmVyU2VxdWVuY2VDb25kaXRpb24BAAAAB3ZhbHVlX18ACA4AAAABAAAAAAAGUwEAABFUYWJsZS5JbnZlbnRUYWJsZQkgAAAACSMAAAAK/////wlTAQAACgkgAAAACgoKCSMAAAAJWQEAAAkjAAAAAbAAAACFAAAAAaX+///b/////////wAGXAEAAAZTdHJpbmcGXQEAAAlJdGVtIG5hbWUJUAEAAAGh/v//2f///wIAAAABoP7//67+//8BAAAAAAAJUwEAAAkuAAAACSMAAAAK/////wlTAQAACgkuAAAACgoKCSMAAAAJZwEAAAkjAAAAAdgAAACFAAAAAZf+///b/////////wAGagEAAAZTdHJpbmcGawEAAApJdGVtIGdyb3VwCVABAAABk/7//9n///8CAAAAAZL+//+u/v//AQAAAAAACVMBAAAJPAAAAAkjAAAACv////8JUwEAAAoJPAAAAAoKCgkjAAAACXUBAAAJIwAAAAEAAQAAhQAAAAGJ/v//2/////////8ABngBAAAERW51bQZ5AQAACUl0ZW0gdHlwZQlQAQAAAYX+///Z////AgAAAAGE/v//rv7//wEAAAAAAAlTAQAACUoAAAAJIwAAAAr/////CVMBAAAKCUoAAAAKCgoJIwAAAAmDAQAACSMAAAABKAEAAIUAAAABe/7//9v/////////AAaGAQAABlN0cmluZwaHAQAABFVuaXQJiAEAAAF3/v//2f///wIAAAABdv7//67+//8BAAAAAAAJggAAAAlYAAAACSMAAAAK/////wmCAAAACglYAAAABpABAAAGSXRlbUlkBpEBAAALSW52ZW50VGFibGUKCSMAAAAJkwEAAAkjAAAABVAB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K8AAAAGlQEAAAtJbnZlbnRUYWJsZQaWAQAABUl0ZW1zCSMAAAAJIwAAAAkjAAAABWj+//8wR2xvYmVTb2Z0d2FyZS5BdGxhczQwLkF0bGFzQ29tbW9uLkRhdGFTb3VyY2VUeXBlAQAAAAd2YWx1ZV9fAAgOAAAAAAAAAAmZAQAACZoBAAAEZf7//wtTeXN0ZW0uR3VpZAsAAAACX2ECX2ICX2MCX2QCX2UCX2YCX2cCX2gCX2kCX2oCX2sAAAAAAAAAAAAAAAgHBwICAgICAgIC4kGfOgXEU0iC0ewZNyouAwkjAAAACSMAAAAJnQEAAAlTAQAACgoKCgoBAAAABWH+//80R2xvYmVTb2Z0d2FyZS5BdGxhczQwLkF0bGFzQ29tbW9uLkRhdGFTb3VyY2VKb2luTW9kZQEAAAAHdmFsdWVfXwAIDgAAAAAAAAAFYP7//zVHbG9iZVNvZnR3YXJlLkF0bGFzNDAuQXRsYXNDb21tb24uRGF0YVNvdXJjZUZldGNoTW9kZQEAAAAHdmFsdWVfXwAIDgAAAAAAAAAACaEBAAABWQEAAB8AAAAbAAAACWkAAAADAAAACaMBAAABZwEAAB8AAAAbAAAACWkAAAADAAAACaUBAAABdQEAAB8AAAAbAAAACWkAAAADAAAACacBAAABgwEAAB8AAAAbAAAACWkAAAADAAAACakBAAABiAEAAFABAAD/////BqoBAAARSW52ZW50VGFibGVNb2R1bGUGqwEAABtJbnZlbnRvcnkgbW9kdWxlIHBhcmFtZXRlcnMJIwAAAAkjAAAACSMAAAABU/7//2j+//8AAAAACa4BAAAJrwEAAAFQ/v//Zf7//2wVa4zKQdlBvioWqRmwJ7UJIwAAAAkjAAAACbIBAAAJggAAAAa0AQAAC0ludmVudFRhYmxlBrUBAAARVGFibGUuSW52ZW50VGFibGUGtgEAABhUYWJsZS5JbnZlbnRUYWJsZS5JdGVtSWQGtwEAAAZJdGVtSWQGuAEAAAZJdGVtSWQBAAAAAUf+//9h/v//AAAAAAFG/v//YP7//wAAAAAACbsBAAABkwEAAB8AAAAYAAAACWkAAAADAAAACb0BAAAEmQE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gAAAAJvgEAAAcAAAAJvwEAAASaA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b4BAAAAAAAABJ0B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BAAAACb4BAAADAAAACcEBAAAEoQE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wgEAAAAAAAAHow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9/v//Zf///wbEAQAACEhlbHBUZXh0BsUBAAAOSWRlbnRpZnkgaXRlbS4BOv7//2X///8GxwEAAAVMYWJlbAlPAQAAATf+//9l////BsoBAAAEVHlwZQlOAQAAB6U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P7//2X///8JxAEAAAbOAQAAGERlc2NyaXB0aW9uIG9mIHRoZSBpdGVtLgEx/v//Zf///wnHAQAACV0BAAABLv7//2X///8JygEAAAlcAQAAB6c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/7//2X///8JxAEAAAbXAQAAKEl0ZW0gZ3JvdXAgdGhhdCB0aGUgaXRlbSBpcyBhdHRhY2hlZCB0by4BKP7//2X///8JxwEAAAlrAQAAASX+//9l////CcoBAAAJagEAAAep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L+//9l////CcQBAAAG4AEAAC5UeXBlIGRldGVybWluaW5nIGhvdyB0aGUgaXRlbSBpcyBhZG1pbmlzdGVyZWQuAR/+//9l////CccBAAAJeQEAAAEc/v//Zf///wnKAQAACXgBAAABrgEAAJkBAAABAAAACWkAAAADAAAACegBAAAErwE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QAAAAlpAAAAAwAAAAnqAQAABLIB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pAAAAAAAAAAG7AQAAoQEAAAAAAAAJ7AEAAAAAAAAHvQE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T/v//Zf///wnHAQAACYcBAAABEP7//2X///8JygEAAAmGAQAAAb4BAAAMAAAAB78BAAAAAQAAAAQ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3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vQBAAAYVGFibGUuSW52ZW50VGFibGUuSXRlbUlkCYUAAAABCv7//w3+//8G9wEAABpUYWJsZS5JbnZlbnRUYWJsZS5JdGVtTmFtZQmwAAAAAQf+//8N/v//BvoBAAAdVGFibGUuSW52ZW50VGFibGUuSXRlbUdyb3VwSWQJ2AAAAAEE/v//Df7//wb9AQAAGlRhYmxlLkludmVudFRhYmxlLkl0ZW1UeXBlCQABAAAHwQE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f7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4AAAAJggAAAAmIAQAABMIB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foAQ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+/f//Df7//wYDAgAAN1RhYmxlLkludmVudFRhYmxlLkl0ZW1JZH5UYWJsZS5JbnZlbnRUYWJsZU1vZHVsZS5Vbml0SWQJKAEAAAfqA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+/3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DgAAAAYGAgAAO1RhYmxlLkludmVudFRhYmxlLkl0ZW1JZH5UYWJsZS5JbnZlbnRUYWJsZU1vZHVsZS5Nb2R1bGVUeXBlCQcCAAAB7AEAAMIBAAAFBwI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CYIAAAAJgwAAAAkjAAAACYQAAAD/////CYIAAAAGDQIAABFJbnZlbnRUYWJsZU1vZHVsZQmDAAAABg8CAAAGSXRlbUlkCgoJIwAAAAkRAgAACSMAAAABEQIAAB8AAAAUAAAACWkAAAADAAAACRQCAAAHFA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r/f//Zf///wnKAQAABhcCAAAERW51bQHo/f//Zf///wnHAQAABhoCAAALTW9kdWxlIHR5cGUL</Report>
</Atlas>
</file>

<file path=customXml/item4.xml><?xml version="1.0" encoding="utf-8"?>
<Atlas>
  <Report name="AtlasReport_3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wAAAAkDAAAACQQAAAAGBQAAAA1BdGxhc1JlcG9ydF8zBgYAAAADMzYz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IAAAACA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CRoAAAAJGwAAAAwc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wAAAAIAgAAAAYdAAAAFUF0bGFzUmVwb3J0XzNfVGFibGVfMQke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cAAAACAgJHwAAAAIAAAAC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AAAAAJIQAAAAkiAAAABiMAAAAGSXRlbUlkBiQAAAALSXRlbSBudW1iZXIGJQAAAAZTdHJpbmcGJgAAAAAGJwAAACRjYmUwNTllMS01NjgzLTQ2MTMtYjM4Ny1hZDY4NDllM2UyY2YF2P///y1HbG9iZVNvZnR3YXJlLkF0bGFzNDAuQXRsYXNDb21tb24uQWdncmVnYXRpb24BAAAAB3ZhbHVlX18ACA4AAAD/////AAAAAAXX////LEdsb2JlU29mdHdhcmUuQXRsYXM0MC5BdGxhc0NvbW1vbi5Db2x1bW5UeXBlAQAAAAd2YWx1ZV9fAAgOAAAAAAAAAAXW////K0dsb2JlU29mdHdhcmUuQXRsYXM0MC5BdGxhc0NvbW1vbi5Tb3J0T3JkZXIBAAAAB3ZhbHVlX18ACA4AAAACAAAAAAAAAAAF1f///0BHbG9iZVNvZnR3YXJlLkF0bGFzNDAuQXRsYXNDb21tb24uVHlwZS5Db2x1bW4rQ3Jvc3NUYWJDb2x1bW5UeXBlAQAAAAd2YWx1ZV9fAAgOAAAAAAAAAAoBAAAAAAAAAAAAAAAAAAYsAAAAJDZhNmQ3OTg2LTk5ZjctNDRkYy04OWI0LTc2NGNkMDNkYzZjNAYtAAAAFlRhYmxlLkludmVudFN1bS5JdGVtSWQKCgoKARUAAAAUAAAACS4AAAAJLwAAAAkwAAAABjEAAAAMSW52ZW50U2l0ZUlkBjIAAAAEU2l0ZQYzAAAABlN0cmluZwkmAAAABjUAAAAkNDk1Njk2MTYtY2MyZC00ZTIyLThlMDQtYjM5MTU3ZDBmYzQ3Acr////Y/////////wEAAAAByf///9f///8AAAAAAcj////W////AgAAAAAAAAAAAcf////V////AAAAAAoBAAAAAAAAAAABAAAAAAY6AAAAJDE3M2MwY2IwLTE1MWItNGJhNS04ZWU1LTdlMGFjMzBmOTY2NAY7AAAAOFRhYmxlLkludmVudFN1bS5JbnZlbnREaW1JZH5UYWJsZS5JbnZlbnREaW0uSW52ZW50U2l0ZUlkCgoKCgEWAAAAFAAAAAk8AAAACT0AAAAJPgAAAAY/AAAAEEludmVudExvY2F0aW9uSWQGQAAAAAlXYXJlaG91c2UGQQAAAAZTdHJpbmcJJgAAAAZDAAAAJDU4YTRjMmYzLWYzMWMtNDY3MC1hOTZhLWM1YWE0M2YwMmNmMgG8////2P////////8CAAAAAbv////X////AAAAAAG6////1v///wIAAAAAAAAAAAG5////1f///wAAAAAKAQAAAAAAAAAAAgAAAAAGSAAAACRkMDE2MzRlYi03ZjMxLTQwMzktYjc1My1jYWZiZDBkMTc4MzUGSQAAADxUYWJsZS5JbnZlbnRTdW0uSW52ZW50RGltSWR+VGFibGUuSW52ZW50RGltLkludmVudExvY2F0aW9uSWQKCgoKARcAAAAUAAAACUoAAAAJSwAAAAlMAAAABk0AAAAJUG9zdGVkUXR5Bk4AAAAPQ3VycmVudCBPbi1oYW5kBk8AAAAEUmVhbAkmAAAABlEAAAAkMjk2ODdhODUtMzdiYy00OTA2LThiOTktNjI4Mzc4N2VhMGU3Aa7////Y////AQAAAAMAAAABrf///9f///8AAAAAAaz////W////AgAAAAAAAAAAAav////V////AAAAAAoBAAAAAAAAAAADAAAAAAZWAAAAJDgyODliZTYxLTUzZDItNDY4My1hYjRjLWFkZTZkNzhkNTdkZgZXAAAAGVRhYmxlLkludmVudFN1bS5Qb3N0ZWRRdHkKCgoKARgAAAAUAAAACVgAAAAJWQAAAAlaAAAABlsAAAA3QXRsYXNNYW5hZ2VkQ29sdW1uX2M5NTk1NDRmLTBkNzQtNGM3MS1iZDc4LWIxNWM4ZmYyMjI1OQZcAAAAG1RyYW5zIGJhY2t3b3JkcyAoQmVnaW5uaW5nKQkmAAAACSYAAAAGXgAAACQ4NjY3ZGQ0OC00YjZmLTQyZDgtOWJiYy1iMDIwNDIzZmM1MzEBof///9j///8BAAAABAAAAAGg////1////wIAAAABn////9b///8CAAAAAAAAAAABnv///9X///8AAAAACgEAAAAAAAAAAAQAAAAABmMAAAAkZTBjZWNjNGUtNzFlOS00ODNkLTlkODAtY2QxYzdhMTBiNmJlCSYAAAAKCgoKARkAAAAUAAAACWUAAAAJZgAAAAlnAAAABmgAAAA3QXRsYXNNYW5hZ2VkQ29sdW1uXzFiZGVlNDNkLWM2MmItNGRhOC05MzA2LWE2MmZhOWQzZWJlOQZpAAAAGFRyYW5zIGJhY2t3b3JkcyAoRW5kaW5nKQkmAAAACSYAAAAGawAAACQ1MGEzNjVkMi02ZWIzLTQzZTQtOTA1NC0xZDg5ZWM2YzUxZjQBlP///9j///8BAAAABQAAAAGT////1////wIAAAABkv///9b///8CAAAAAAAAAAABkf///9X///8AAAAACgEAAAAAAAAAAAUAAAAABnAAAAAkNDE3ZTkzYmMtYTAyMy00MDA2LTg4MjUtMGE4ZjhmMTgxZDFiCSYAAAAKCgoKARoAAAAUAAAACXIAAAAJcwAAAAl0AAAABnUAAAA3QXRsYXNNYW5hZ2VkQ29sdW1uXzVmZDA3MmJkLTI5OGUtNGQ2My1iZmJhLWE4NzJkOTg5M2IyZgZ2AAAAEUJlZ2lubmluZyBPbi1oYW5kCSYAAAAJJgAAAAZ4AAAAJDgyMTM0MDAzLTdjMDgtNGI1My04MGUyLWI5N2YyYmJlMTg1NQGH////2P///wEAAAAGAAAAAYb////X////AgAAAAGF////1v///wIAAAAAAAAAAAGE////1f///wAAAAAKAQAAAAAAAAAABgAAAAAGfQAAACRkOWNiM2QwMS1jNTBhLTQ4N2YtYjA1OC1iNWVhZjg1YTQ3ZmQJJgAAAAoKCgoBGwAAABQAAAAJfwAAAAmAAAAACYEAAAAGggAAADdBdGxhc01hbmFnZWRDb2x1bW5fZGZhZmQ3MWItYWM5ZC00MWY1LWE2YWMtNDAzMjQzNmE0YzhjBoMAAAAORW5kaW5nIE9uLWhhbmQJJgAAAAkmAAAABoUAAAAkZGM2M2M0ODYtMDU5Yi00N2E1LWJmYWUtMzRjOTFiYWQ1MTgyAXr////Y////AQAAAAcAAAABef///9f///8CAAAAAXj////W////AgAAAAAAAAAAAXf////V////AAAAAAoBAAAAAAAAAAAHAAAAAAaKAAAAJDhmMWYxNTdmLTAzNmQtNGRmMi05ODUwLTE3NGRhZWM2NjcxZgkmAAAACgoKCgUeAAAAOEdsb2JlU29mdHdhcmUuQXRsYXM0MC5BdGxhc0NvbW1vbkNsaWVudC5SZXBvcnQuUmVmZXJlbmNlAQAAAApfcmVmZXJlbmNlBwgcAAAACYwAAAAHHwAAAAABAAAABAAAAAQ8R2xvYmVTb2Z0d2FyZS5BdGxhczQwLkF0bGFzQ29tbW9uQ2xpZW50LkRhdGFTb3VyY2VGaWVsZFZhbHVlHAAAAAmNAAAACY4AAAANAgQg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mPAAAAAQAAAAEAAAAEIQ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12KAAAACZAAAAAHAAAACZEAAAAEI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FAAAACZIAAAAHAAAACZMAAAABLgAAACAAAAAJlAAAAAEAAAABAAAAAS8AAAAhAAAAgQAAAAmVAAAABwAAAAmWAAAAATAAAAAiAAAAfgAAAAmXAAAABwAAAAmYAAAAATwAAAAgAAAACZkAAAABAAAAAQAAAAE9AAAAIQAAAIEAAAAJlQAAAAcAAAAJmwAAAAE+AAAAIgAAAH4AAAAJlwAAAAcAAAAJnQAAAAFKAAAAIAAAAAmeAAAAAQAAAAEAAAABSwAAACEAAACNAAAACZAAAAAHAAAACaAAAAABTAAAACIAAACFAAAACZIAAAAHAAAACaIAAAABWAAAACAAAAAJowAAAAAAAAAAAAAAAVkAAAAhAAAAewAAAAmVAAAABwAAAAmlAAAAAVoAAAAiAAAAcAAAAAmXAAAABwAAAAmnAAAAAWUAAAAgAAAACaMAAAAAAAAAAAAAAAFmAAAAIQAAAHkAAAAJlQAAAAcAAAAJqgAAAAFnAAAAIgAAAHAAAAAJlwAAAAcAAAAJrAAAAAFyAAAAIAAAAAmtAAAAAAAAAAAAAAABcwAAACEAAABoAAAACa4AAAAHAAAACa8AAAABdAAAACIAAABiAAAACbAAAAAHAAAACbEAAAABfwAAACAAAAAJrQAAAAAAAAAAAAAAAYAAAAAhAAAAaAAAAAmuAAAABwAAAAm0AAAAAYEAAAAiAAAAYgAAAAmwAAAABwAAAAm2AAAAD4wAAAABAAAACAEAAAAFjQAAADxHbG9iZVNvZnR3YXJlLkF0bGFzNDAuQXRsYXNDb21tb25DbGllbnQuRGF0YVNvdXJjZUZpZWxkVmFsdWUEAAAAEl9pc0RyaWxsRG93bkZpbHRlcgZfZHNLZXkKX2ZpZWxkbmFtZQtfZmllbGRWYWx1ZQABAQEBHAAAAAAGtwAAAA9UYWJsZS5JbnZlbnRTdW0GuAAAAApEYXRhQXJlYUlkCQYAAAABjgAAAI0AAAAACbcAAAAGuwAAAAZJdGVtSWQGvAAAAAEqB48AAAAAAQAAAAQAAAAEN0dsb2JlU29mdHdhcmUuQXRsYXM0MC5BdGxhc0NvbW1vbi5UeXBlLkZpZWxkT3V0cHV0RmllbGQOAAAACb0AAAANAwSQ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eR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Qv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VB////Mkdsb2JlU29mdHdhcmUuQXRsYXM0MC5BdGxhc0NvbW1vbi5Db2x1bW5BdHRyaWJ1dGVzAQAAAAd2YWx1ZV9fAAgOAAAABgAAAAbAAAAABVRvdGFsAT////9C////AT7///9B////EAAAAAbDAAAABE5vbmUBPP///0L///8BO////0H///8JAAAACSYAAAABOf///0L///8BOP///0H///8LAAAABskAAAABMAE2////Qv///wE1////Qf///wQAAAAGzAAAAAdHZW5lcmFsATP///9C////ATL///9B////AgAAAAbPAAAAATEBMP///0L///8BL////0H///8AAAAABtIAAAAFMzEuMjkBkgAAAAwAAAAHk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t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tQAAAAIRm9udEJvbGQG1QAAAAVGYWxzZQEq////Lf///wbXAAAACkZvbnRJdGFsaWMJ1QAAAAEn////Lf///wbaAAAADUZvbnRVbmRlcmxpbmUG2wAAAAUtNDE0MgEk////Lf///wbdAAAACEZvbnROYW1lBt4AAAAHQ2FsaWJyaQEh////Lf///wbgAAAACUZvbnRDb2xvcgbhAAAAATABHv///y3///8G4wAAAAhGb250U2l6ZQbkAAAAAjExARv///8t////BuYAAAAJRm9udFN0eWxlBucAAAAHUmVndWxhcgeUAAAAAAEAAAAEAAAABDdHbG9iZVNvZnR3YXJlLkF0bGFzNDAuQXRsYXNDb21tb24uVHlwZS5GaWVsZE91dHB1dEZpZWxkDgAAAAnoAAAADQMBlQAAAJAAAAAHlg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f///9C////ARb///9B////CQAAAAkmAAAAART///9C////ARP///9B////CwAAAAbuAAAAATEBEf///0L///8BEP///0H///8EAAAABvEAAAAHR2VuZXJhbAEO////Qv///wEN////Qf///wIAAAAG9AAAAAExAQv///9C////AQr///9B////AAAAAAb3AAAAATYBlwAAAAwAAAAHm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I////Lf///wnUAAAACdUAAAABBf///y3///8J1wAAAAnVAAAAAQL///8t////CdoAAAAGAAEAAAUtNDE0MgH//v//Lf///wndAAAABgMBAAAHQ2FsaWJyaQH8/v//Lf///wngAAAABgYBAAABMAH5/v//Lf///wnjAAAABgkBAAACMTEB9v7//y3///8J5gAAAAYMAQAAB1JlZ3VsYXIHmQAAAAABAAAABAAAAAQ3R2xvYmVTb2Z0d2FyZS5BdGxhczQwLkF0bGFzQ29tbW9uLlR5cGUuRmllbGRPdXRwdXRGaWVsZA4AAAAJDQEAAA0DB5s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y/v//Qv///wHx/v//Qf///wkAAAAJJgAAAAHv/v//Qv///wHu/v//Qf///wsAAAAGEwEAAAEyAez+//9C////Aev+//9B////BAAAAAYWAQAAB0dlbmVyYWwB6f7//0L///8B6P7//0H///8CAAAABhkBAAABMQHm/v//Qv///wHl/v//Qf///wAAAAAGHAEAAAUxMi44Nged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P+//8t////CdQAAAAJ1QAAAAHg/v//Lf///wnXAAAACdUAAAAB3f7//y3///8J2gAAAAYlAQAABS00MTQyAdr+//8t////Cd0AAAAGKAEAAAdDYWxpYnJpAdf+//8t////CeAAAAAGKwEAAAEwAdT+//8t////CeMAAAAGLgEAAAIxMQHR/v//Lf///wnmAAAABjEBAAAHUmVndWxhcgeeAAAAAAEAAAAEAAAABDdHbG9iZVNvZnR3YXJlLkF0bGFzNDAuQXRsYXNDb21tb24uVHlwZS5GaWVsZE91dHB1dEZpZWxkDgAAAAkyAQAADQMHoA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3+//9C////Acz+//9B////EAAAAAnDAAAAAcr+//9C////Acn+//9B////CQAAAAkmAAAAAcf+//9C////Acb+//9B////CwAAAAY7AQAAATMBxP7//0L///8Bw/7//0H///8EAAAABj4BAAAvXygqICMsIyMwLjAwXyk7XygqICgjLCMjMC4wMCk7XygqICItIj8/Xyk7XyhAXykBwf7//0L///8BwP7//0H///8CAAAABkEBAAABMQG+/v//Qv///wG9/v//Qf///wAAAAAGRAEAAAUxNi43MQG7/v//Qv///wG6/v//Qf///yQAAAAJTgAAAAei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j+//8t////CdQAAAAJ1QAAAAG1/v//Lf///wnXAAAACdUAAAABsv7//y3///8J2gAAAAZQAQAABS00MTQyAa/+//8t////Cd0AAAAGUwEAAAdDYWxpYnJpAaz+//8t////CeAAAAAGVgEAAAEwAan+//8t////CeMAAAAGWQEAAAIxMQGm/v//Lf///wnmAAAABlwBAAAHUmVndWxhcgejAAAAAAEAAAAAAAAABDdHbG9iZVNvZnR3YXJlLkF0bGFzNDAuQXRsYXNDb21tb24uVHlwZS5GaWVsZE91dHB1dEZpZWxkDgAAAAel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o/7//0L///8Bov7//0H///8kAAAACVwAAAABoP7//0L///8Bn/7//0H///8LAAAABmIBAAABNAGd/v//Qv///wGc/v//Qf///wQAAAAGZQEAAC9fKCogIywjIzAuMDBfKTtfKCogKCMsIyMwLjAwKTtfKCogIi0iPz9fKTtfKEBfKQGa/v//Qv///wGZ/v//Qf///wIAAAAGaAEAAAExAZf+//9C////AZb+//9B////AAAAAAZrAQAABTE5Ljg2AZT+//9C////AZP+//9B////AwAAAAZuAQAAyQE9QXRsYXNCYWxhbmNlKCJQUk9EIixEYXRhQXJlYUlkLCJULkludmVudFRyYW5zfGludmVudERpbUlkfmludmVudERpbUlkQFQuSW52ZW50RGltIiwiU3VtfFF0eXwwIiwiIiwiIiwiIiwiIiwiIiwiIiwiRGF0ZUZpbmFuY2lhbHxJdGVtSWR8VDIuSW52ZW50U2l0ZUlkfFQyLkludmVudExvY2F0aW9uSWQiLFBlcmlvZEJlZ2lubmluZywkQTMsJEIzLCRDMykHp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R/v//Lf///wZwAQAACEZvbnRCb2xkCdUAAAABjv7//y3///8GcwEAAApGb250SXRhbGljCdUAAAABi/7//y3///8GdgEAAA1Gb250VW5kZXJsaW5lBncBAAAFLTQxNDIBiP7//y3///8GeQEAAAhGb250TmFtZQZ6AQAAB0NhbGlicmkBhf7//y3///8GfAEAAAlGb250Q29sb3IGfQEAAAEwAYL+//8t////Bn8BAAAIRm9udFNpemUGgAEAAAIxMQF//v//Lf///waCAQAACUZvbnRTdHlsZQaDAQAAB1JlZ3VsYXIHq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z+//9C////AXv+//9B////JAAAAAlpAAAAAXn+//9C////AXj+//9B////CwAAAAaJAQAAATUBdv7//0L///8Bdf7//0H///8EAAAABowBAAAvXygqICMsIyMwLjAwXyk7XygqICgjLCMjMC4wMCk7XygqICItIj8/Xyk7XyhAXykBc/7//0L///8Bcv7//0H///8CAAAABo8BAAABMQFw/v//Qv///wFv/v//Qf///wAAAAAGkgEAAAUxNi44NgFt/v//Qv///wFs/v//Qf///wMAAAAGlQEAAMYBPUF0bGFzQmFsYW5jZSgiUFJPRCIsRGF0YUFyZWFJZCwiVC5JbnZlbnRUcmFuc3xpbnZlbnREaW1JZH5pbnZlbnREaW1JZEBULkludmVudERpbSIsIlN1bXxRdHl8MCIsIiIsIiIsIiIsIiIsIiIsIiIsIkRhdGVGaW5hbmNpYWx8SXRlbUlkfFQyLkludmVudFNpdGVJZHxUMi5JbnZlbnRMb2NhdGlvbklkIixQZXJpb2RFbmRpbmcsJEEzLCRCMywkQzMpB6w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av7//y3///8JcAEAAAnVAAAAAWf+//8t////CXMBAAAJ1QAAAAFk/v//Lf///wl2AQAABp4BAAAFLTQxNDIBYf7//y3///8JeQEAAAahAQAAB0NhbGlicmkBXv7//y3///8JfAEAAAakAQAAATABW/7//y3///8JfwEAAAanAQAAAjExAVj+//8t////CYIBAAAGqgEAAAdSZWd1bGFyB60AAAAAAQAAAAAAAAAEN0dsb2JlU29mdHdhcmUuQXRsYXM0MC5BdGxhc0NvbW1vbi5UeXBlLkZpZWxkT3V0cHV0RmllbGQOAAAAAa4AAACQAAAAB68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V/v//Qv///wFU/v//Qf///yQAAAAJdgAAAAFS/v//Qv///wFR/v//Qf///wsAAAAGsAEAAAE2AU/+//9C////AU7+//9B////BAAAAAazAQAAL18oKiAjLCMjMC4wMF8pO18oKiAoIywjIzAuMDApO18oKiAiLSI/P18pO18oQF8pAUz+//9C////AUv+//9B////AgAAAAa2AQAAATEBSf7//0L///8BSP7//0H///8AAAAABrkBAAAFMTkuODYBRv7//0L///8BRf7//0H///8DAAAABrwBAAA2PVtAW0N1cnJlbnQgT24taGFuZF1dLVtAW1RyYW5zIGJhY2t3b3JkcyAoQmVnaW5uaW5nKV1dAbAAAAAMAAAAB7E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/7//y3///8GvgEAAAhGb250Qm9sZAnVAAAAAUD+//8t////BsEBAAAKRm9udEl0YWxpYwnVAAAAAT3+//8t////BsQBAAANRm9udFVuZGVybGluZQbFAQAABS00MTQyATr+//8t////BscBAAAIRm9udE5hbWUGyAEAAAdDYWxpYnJpATf+//8t////BsoBAAAJRm9udENvbG9yBssBAAABMAE0/v//Lf///wbNAQAACEZvbnRTaXplBs4BAAACMTEBMf7//y3///8G0AEAAAlGb250U3R5bGUG0QEAAAdSZWd1bGFyB7Q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u/v//Qv///wEt/v//Qf///yQAAAAJgwAAAAEr/v//Qv///wEq/v//Qf///wsAAAAG1wEAAAE3ASj+//9C////ASf+//9B////BAAAAAbaAQAAL18oKiAjLCMjMC4wMF8pO18oKiAoIywjIzAuMDApO18oKiAiLSI/P18pO18oQF8pASX+//9C////AST+//9B////AgAAAAbdAQAAATEBIv7//0L///8BIf7//0H///8AAAAABuABAAAFMTYuODYBH/7//0L///8BHv7//0H///8DAAAABuMBAAAzPVtAW0N1cnJlbnQgT24taGFuZF1dLVtAW1RyYW5zIGJhY2t3b3JkcyAoRW5kaW5nKV1dB7Y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P7//y3///8JvgEAAAnVAAAAARn+//8t////CcEBAAAJ1QAAAAEW/v//Lf///wnEAQAABuwBAAAFLTQxNDIBE/7//y3///8JxwEAAAbvAQAAB0NhbGlicmkBEP7//y3///8JygEAAAbyAQAAATABDf7//y3///8JzQEAAAb1AQAAAjExAQr+//8t////CdABAAAG+AEAAAdSZWd1bGFyBb0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4AAAABMUdsb2JlU29mdHdhcmUuQXRsYXM0MC5BdGxhc0NvbW1vbi5UeXBlLkRhdGFTb3VyY2UOAAAAK0dsb2JlU29mdHdhcmUuQXRsYXM0MC5BdGxhc0NvbW1vbi5Tb3J0T3JkZXIOAAAAOUdsb2JlU29mdHdhcmUuQXRsYXM0MC5BdGxhc0NvbW1vbi5OdW1iZXJTZXF1ZW5jZUNvbmRpdGlvbg4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AQf+///Y/////////wAG+gEAAAZTdHJpbmcG+wEAAAtJdGVtIG51bWJlcgn8AQAAAQP+///W////AgAAAAUC/v//OUdsb2JlU29mdHdhcmUuQXRsYXM0MC5BdGxhc0NvbW1vbi5OdW1iZXJTZXF1ZW5jZUNvbmRpdGlvbgEAAAAHdmFsdWVfXwAIDgAAAAEAAAAAAAb/AQAAD1RhYmxlLkludmVudFN1bQkjAAAACSYAAAAK/////wn/AQAACgkjAAAACgoKCSYAAAAJBQIAAAkmAAAAAegAAAC9AAAAAfn9///Y/////////wAGCAIAAAZTdHJpbmcGCQIAAARTaXRlCQoCAAAB9f3//9b///8CAAAAAfT9//8C/v//AQAAAAAABg0CAAArVGFibGUuSW52ZW50U3VtLkludmVudERpbUlkflRhYmxlLkludmVudERpbQkxAAAACSYAAAAK/////wkNAgAACgkxAAAABhICAAALSW52ZW50RGltSWQGEwIAAAlJbnZlbnRTdW0KCSYAAAAJFQIAAAkmAAAAAQ0BAAC9AAAAAen9///Y/////////wAGGAIAAAZTdHJpbmcGGQIAAAlXYXJlaG91c2UJCgIAAAHl/f//1v///wIAAAAB5P3//wL+//8BAAAAAAAJDQIAAAk/AAAACSYAAAAK/////wkNAgAACgk/AAAABiICAAALSW52ZW50RGltSWQGIwIAAAlJbnZlbnRTdW0KCSYAAAAJJQIAAAkmAAAAATIBAAC9AAAAAdn9///Y////AQAAAAAGKAIAAARSZWFsBikCAAAPUG9zdGVkIHF1YW50aXR5CfwBAAAB1f3//9b///8CAAAAAdT9//8C/v//AQAAAAAACf8BAAAJTQAAAAkmAAAACv////8J/wEAAAoJTQAAAAoKCgkmAAAACTMCAAAJJgAAAAX8AQ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CuAAAABjUCAAAJSW52ZW50U3VtBjYCAAART24taGFuZCBpbnZlbnRvcnkJJgAAAAkmAAAACSYAAAAFyP3//zBHbG9iZVNvZnR3YXJlLkF0bGFzNDAuQXRsYXNDb21tb24uRGF0YVNvdXJjZVR5cGUBAAAAB3ZhbHVlX18ACA4AAAAAAAAACTkCAAAJOgIAAATF/f//C1N5c3RlbS5HdWlkCwAAAAJfYQJfYgJfYwJfZAJfZQJfZgJfZwJfaAJfaQJfagJfawAAAAAAAAAAAAAACAcHAgICAgICAgLhxyIP7XY2T46vgTZM2figCSYAAAAJJgAAAAk9AgAACf8BAAAKCgoKCgEAAAAFwf3//zRHbG9iZVNvZnR3YXJlLkF0bGFzNDAuQXRsYXNDb21tb24uRGF0YVNvdXJjZUpvaW5Nb2RlAQAAAAd2YWx1ZV9fAAgOAAAAAAAAAAXA/f//NUdsb2JlU29mdHdhcmUuQXRsYXM0MC5BdGxhc0NvbW1vbi5EYXRhU291cmNlRmV0Y2hNb2RlAQAAAAd2YWx1ZV9fAAgOAAAAAAAAAAAJQQIAAAEFAgAAIgAAAEcAAAAJkgAAAAMAAAAJQwIAAAEKAgAA/AEAAP////8GRAIAAAlJbnZlbnREaW0GRQIAABRJbnZlbnRvcnkgZGltZW5zaW9ucwkmAAAACSYAAAAJJgAAAAG5/f//yP3//wAAAAAJSAIAAAlJAgAAAbb9///F/f//T3UhPLuUB0GUEYDWU0ziagkmAAAACSYAAAAJTAIAAAkNAgAABk4CAAAJSW52ZW50U3VtBk8CAAAPVGFibGUuSW52ZW50U3VtBlACAAAbVGFibGUuSW52ZW50U3VtLkludmVudERpbUlkBlECAAALSW52ZW50RGltSWQGUgIAAAtpbnZlbnREaW1JZAEAAAABrf3//8H9//8AAAAAAaz9///A/f//AAAAAAAJVQIAAAEVAgAAIgAAAD4AAAAJlwAAAAMAAAAJVwIAAAElAgAAIgAAAD4AAAAJlwAAAAMAAAAJWQIAAAEzAgAAIgAAAEcAAAAJkgAAAAMAAAAJWwIAAAQ5Ag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CQAAAAlcAgAAEQAAAAldAgAABDoC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XAIAAAAAAAAEPQ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VwCAAAAAAAABEEC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V8CAAAAAAAAB0M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P3//y3///8GYQIAAAhIZWxwVGV4dAZiAgAADklkZW50aWZ5IGl0ZW0uAZ39//8t////BmQCAAAFTGFiZWwJ+wEAAAGa/f//Lf///wZnAgAABFR5cGUJ+gEAAAFIAgAAOQIAAAIAAAAJlwAAAAMAAAAJagIAAAFJAgAAOgIAAAAAAAAJawIAAAAAAAABTAIAAD0CAAAAAAAACZcAAAAAAAAAAVUCAABBAgAAAAAAAAltAgAAAAAAAAdX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L9//8t////Bm8CAAAFTGFiZWwJCQIAAAGP/f//Lf///wZyAgAABFR5cGUJCAIAAAdZ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z9//8t////CW8CAAAJGQIAAAGJ/f//Lf///wlyAgAACRgCAAAHWw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G/f//Lf///wlhAgAABnwCAAAcRmluYW5jaWFsbHkgZW50ZXJlZCBxdWFudGl0eQGD/f//Lf///wlkAgAACSkCAAABgP3//y3///8JZwIAAAkoAgAAAVwCAAAMAAAAB10CAAAAAQAAAAk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H39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oQCAAAWVGFibGUuSW52ZW50U3VtLkl0ZW1JZAm9AAAAAXr9//99/f//BocCAAAbVGFibGUuSW52ZW50U3VtLlBvc3RlZFZhbHVlCYgCAAABd/3//339//8GigIAABlUYWJsZS5JbnZlbnRTdW0uUG9zdGVkUXR5CTIBAAABdP3//339//8GjQIAABhUYWJsZS5JbnZlbnRTdW0uRGVkdWN0ZWQJjgIAAAFx/f//ff3//waQAgAAGFRhYmxlLkludmVudFN1bS5SZWNlaXZlZAmRAgAAAW79//99/f//BpMCAAAdVGFibGUuSW52ZW50U3VtLlJlc2Vydk9yZGVyZWQJlAIAAAFr/f//ff3//waWAgAAHlRhYmxlLkludmVudFN1bS5SZXNlcnZQaHlzaWNhbAmXAgAAAWj9//99/f//BpkCAAAXVGFibGUuSW52ZW50U3VtLk9uT3JkZXIJmgIAAAFl/f//ff3//wacAgAAF1RhYmxlLkludmVudFN1bS5PcmRlcmVkCZ0CAAAEXwI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2oCAAAAAQAAAAI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WL9//99/f//Bp8CAAA4VGFibGUuSW52ZW50U3VtLkludmVudERpbUlkflRhYmxlLkludmVudERpbS5JbnZlbnRTaXRlSWQJ6AAAAAFf/f//ff3//waiAgAAPFRhYmxlLkludmVudFN1bS5JbnZlbnREaW1JZH5UYWJsZS5JbnZlbnREaW0uSW52ZW50TG9jYXRpb25JZAkNAQAAAWsCAAAMAAAAAW0CAABfAgAAAYgCAAC9AAAAAVz9///Y/////////wAGpQIAAARSZWFsBqYCAAAVRmluYW5jaWFsIGNvc3QgYW1vdW50CfwBAAABWP3//9b///8CAAAAAVf9//8C/v//AQAAAAAACf8BAAAGqwIAAAtQb3N0ZWRWYWx1ZQkmAAAACv////8J/wEAAAoJqwIAAAoKCgkmAAAACbACAAAJJgAAAAGOAgAAvQAAAAFO/f//2P////////8ABrMCAAAEUmVhbAa0AgAACERlZHVjdGVkCfwBAAABSv3//9b///8CAAAAAUn9//8C/v//AQAAAAAACf8BAAAGuQIAAAhEZWR1Y3RlZAkmAAAACv////8J/wEAAAoJuQIAAAoKCgkmAAAACb4CAAAJJgAAAAGRAgAAvQAAAAFA/f//2P////////8ABsECAAAEUmVhbAbCAgAACFJlY2VpdmVkCfwBAAABPP3//9b///8CAAAAATv9//8C/v//AQAAAAAACf8BAAAGxwIAAAhSZWNlaXZlZAkmAAAACv////8J/wEAAAoJxwIAAAoKCgkmAAAACcwCAAAJJgAAAAGUAgAAvQAAAAEy/f//2P////////8ABs8CAAAEUmVhbAbQAgAAEE9yZGVyZWQgcmVzZXJ2ZWQJ/AEAAAEu/f//1v///wIAAAABLf3//wL+//8BAAAAAAAJ/wEAAAbVAgAADVJlc2Vydk9yZGVyZWQJJgAAAAr/////Cf8BAAAKCdUCAAAKCgoJJgAAAAnaAgAACSYAAAABlwIAAL0AAAABJP3//9j/////////AAbdAgAABFJlYWwG3gIAABFQaHlzaWNhbCByZXNlcnZlZAn8AQAAASD9///W////AgAAAAEf/f//Av7//wEAAAAAAAn/AQAABuMCAAAOUmVzZXJ2UGh5c2ljYWwJJgAAAAr/////Cf8BAAAKCeMCAAAKCgoJJgAAAAnoAgAACSYAAAABmgIAAL0AAAABFv3//9j/////////AAbrAgAABFJlYWwG7AIAAAhPbiBvcmRlcgn8AQAAARL9///W////AgAAAAER/f//Av7//wEAAAAAAAn/AQAABvECAAAHT25PcmRlcgkmAAAACv////8J/wEAAAoJ8QIAAAoKCgkmAAAACfYCAAAJJgAAAAGdAgAAvQAAAAEI/f//2P////////8ABvkCAAAEUmVhbAb6AgAAB09yZGVyZWQJ/AEAAAEE/f//1v///wIAAAABA/3//wL+//8BAAAAAAAJ/wEAAAb/AgAAB09yZGVyZWQJJgAAAAr/////Cf8BAAAKCf8CAAAKCgoJJgAAAAkEAwAACSYAAAABsAIAACIAAAAJAAAACZIAAAADAAAACQcDAAABvgIAACIAAAAJAAAACZIAAAADAAAACQkDAAABzAIAACIAAAAJAAAACZIAAAADAAAACQsDAAAB2gIAACIAAAAJAAAACZIAAAADAAAACQ0DAAAB6AIAACIAAAAJAAAACZIAAAADAAAACQ8DAAAB9gIAACIAAAAJAAAACZIAAAADAAAACREDAAABBAMAACIAAAAJAAAACZIAAAADAAAACRMDAAAHB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s/P//Lf///wlhAgAABhYDAAA1SW52ZW50b3J5IHZhbHVlIGZvciB0aGUgZmluYW5jaWFsbHkgdXBkYXRlZCBxdWFudGl0eS4B6fz//y3///8JZAIAAAmmAgAAAeb8//8t////CWcCAAAJpQIAAAcJ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P8//8t////CWECAAAGHwMAADtRdWFudGl0eSB0aGF0IGhhcyBiZWVuIHBoeXNpY2FsbHkgZGVkdWN0ZWQsIGJ1dCBub3QgcG9zdGVkLgHg/P//Lf///wlkAgAACbQCAAAB3fz//y3///8JZwIAAAmzAgAABws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vz//y3///8JYQIAAAYoAwAAKlBoeXNpY2FsIHF1YW50aXR5IHJlY2VpdmVkLCBidXQgbm90IHBvc3RlZAHX/P//Lf///wlkAgAACcICAAAB1Pz//y3///8JZwIAAAnBAgAABw0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0fz//y3///8JYQIAAAYxAwAAJVF1YW50aXR5IHJlc2VydmVkIG9uIHF1YW50aXR5IG9yZGVyZWQBzvz//y3///8JZAIAAAnQAgAAAcv8//8t////CWcCAAAJzwIAAAcP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j8//8t////CWECAAAGOgMAACpRdWFudGl0eSByZXNlcnZlZCBvZiB0aGUgcGh5c2ljYWwgcXVhbnRpdHkBxfz//y3///8JZAIAAAneAgAAAcL8//8t////CWcCAAAJ3QIAAAcR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/8//8t////CWECAAAGQwMAABFRdWFudGl0eSBvbiBvcmRlcgG8/P//Lf///wlkAgAACewCAAABufz//y3///8JZwIAAAnrAgAABxM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vz//y3///8JYQIAAAZMAwAAEFF1YW50aXR5IG9yZGVyZWQBs/z//y3///8JZAIAAAn6AgAAAbD8//8t////CWcCAAAJ+QIAAAs=</Report>
</Atlas>
</file>

<file path=customXml/item5.xml><?xml version="1.0" encoding="utf-8"?>
<Atlas>
  <Query type="ReportList" id="56bc7a71-7e5a-45aa-a1de-52bc7de8e022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Uk9E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C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FAAAABQ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I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To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C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0ludmVudFRhYmxlBh4AAAAFSXRlbXMJCAAAAAkIAAAACQgAAAAF4P///zBHbG9iZVNvZnR3YXJlLkF0bGFzNDAuQXRsYXNDb21tb24uRGF0YVNvdXJjZVR5cGUBAAAAB3ZhbHVlX18ACAIAAAAAAAAACSEAAAAJIgAAAATd////C1N5c3RlbS5HdWlkCwAAAAJfYQJfYgJfYwJfZAJfZQJfZgJfZwJfaAJfaQJfagJfawAAAAAAAAAAAAAACAcHAgICAgICAgJVc4OGjAg7SL16pRN1IsKXCQgAAAAJCAAAAAklAAAABiYAAAARVGFibGUuSW52ZW50VGFibGU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HR////1P///wYwAAAAMFRhYmxlLkludmVudFRhYmxlLkl0ZW1JZH5UYWJsZS5JbnZlbnRUYWJsZU1vZHVsZQkxAAAABxQAAAAAAQAAAAgAAAAELUdsb2JlU29mdHdhcmUuQXRsYXM0MC5BdGxhc0NvbW1vbi5UeXBlLkNvbHVtbgIAAAAJMgAAAAkzAAAACTQAAAAJNQAAAAk2AAAADQMRFQAAAAQAAAAGNwAAAA1BdGxhc1JlcG9ydF81DQMHFwAAAAABAAAAAg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TI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HG////yP///wY7AAAAF1RhYmxlLkludmVudFRhYmxlTW9kdWxlCTA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MP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wv///z5HbG9iZVNvZnR3YXJlLkF0bGFzNDAuQXRsYXNDb21tb24uVHlwZS5BdGxhc1F1ZXJ5QXR0cmlidXRlTmFtZQEAAAAHdmFsdWVfXwAIAgAAAAIAAAAGPwAAACQ1NmJjN2E3MS03ZTVhLTQ1YWEtYTFkZS01MmJjN2RlOGUwMjIBwP///8P///8Bv////8L///8AAAAABkIAAAAEdHJ1ZQG9////w////wG8////wv///wsAAAAGRQAAAAVJdGVtcwG6////w////wG5////wv///xsAAAAGSAAAAARUcnVlAbf////D////Abb////C////BgAAAAZLAAAABUZhbHNlAbT////D////AbP////C////HAAAAAlIAAAAAbH////D////AbD////C////HQAAAAlLAAAAAa7////D////Aa3////C////KgAAAAlIAAAAAav////D////Aar////C////AQAAAAZXAAAAAzM2MwGo////w////wGn////wv///ycAAAAGWgAAAAs9RGF0YUFyZWFJZAGl////w////wGk////wv///xkAAAAGXQAAAA9DZWxsc1ZlcnRpY2FsbHkBov///8P///8Bof///8L///8JAAAACgGg////w////wGf////wv///ygAAAAGYgAAAAE1AZ3////D////AZz////C////KwAAAAZlAAAAEVRhYmxlU3R5bGVNZWRpdW0yBxwAAAAAAQAAAAI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a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mcAAAALSW52ZW50VGFibGUBAAAAAZj///+a////BmkAAAARSW52ZW50VGFibGVNb2R1bGU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EAAAACWoAAAAHAAAACWs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ElAAAABAAAAAEAAAAJagAAAAMAAAAJbgAAAAQpA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vAAAAAAAAAAcqAAAAAAEAAAAAAAAABC1HbG9iZVNvZnR3YXJlLkF0bGFzNDAuQXRsYXNDb21tb24uVHlwZS5Db2x1bW4CAAAAATEAAAAOAAAA/////wZwAAAAEUludmVudFRhYmxlTW9kdWxlBnEAAAAbSW52ZW50b3J5IG1vZHVsZSBwYXJhbWV0ZXJzCQgAAAAJCAAAAAkIAAAAAY3////g////AAAAAAl0AAAACXUAAAABiv///93///9sFWuMykHZQb4qFqkZsCe1CQgAAAAJCAAAAAl4AAAACTAAAAAGegAAAAtJbnZlbnRUYWJsZQZ7AAAAEVRhYmxlLkludmVudFRhYmxlBnwAAAAYVGFibGUuSW52ZW50VGFibGUuSXRlbUlkBn0AAAAGSXRlbUlkBn4AAAAGSXRlbUlkAQAAAAGB////2f///wAAAAABgP///9j///8AAAAAAAmBAAAABTI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YIAAAAJgwAAAAmEAAAABoUAAAAGSXRlbUlkBoYAAAALSXRlbSBudW1iZXIGhwAAAAZTdHJpbmcJCAAAAAaJAAAAJDI1NGIxN2FhLTFlY2YtNDI1YS05OGFiLWIyZGU2MmFlNzM0ZgV2////LUdsb2JlU29mdHdhcmUuQXRsYXM0MC5BdGxhc0NvbW1vbi5BZ2dyZWdhdGlvbgEAAAAHdmFsdWVfXwAIAgAAAP////8AAAAABXX///8sR2xvYmVTb2Z0d2FyZS5BdGxhczQwLkF0bGFzQ29tbW9uLkNvbHVtblR5cGUBAAAAB3ZhbHVlX18ACAIAAAAAAAAABXT///8rR2xvYmVTb2Z0d2FyZS5BdGxhczQwLkF0bGFzQ29tbW9uLlNvcnRPcmRlcgEAAAAHdmFsdWVfXwAIAgAAAAIAAAAAAAAAAAVz////QEdsb2JlU29mdHdhcmUuQXRsYXM0MC5BdGxhc0NvbW1vbi5UeXBlLkNvbHVtbitDcm9zc1RhYkNvbHVtblR5cGUBAAAAB3ZhbHVlX18ACAIAAAAAAAAACgEAAAAAAAAAAAAAAAAABo4AAAAkYmM4ZWZlNzktODczOC00YTkyLTliYjEtN2E3ZDY4OTdhYmQyBo8AAAAYVGFibGUuSW52ZW50VGFibGUuSXRlbUlkCgoKCgEzAAAAMgAAAAmQAAAACZEAAAAJkgAAAAaTAAAACEl0ZW1OYW1lBpQAAAAJSXRlbSBuYW1lBpUAAAAGU3RyaW5nCQgAAAAGlwAAACQxYjczOTQxZi01YWExLTQxMTQtOTRmOC0xMjkzZWM4OWJjODUBaP///3b/////////AQAAAAFn////df///wAAAAABZv///3T///8CAAAAAAAAAAABZf///3P///8AAAAACgEAAAAAAAAAAAEAAAAABpwAAAAkODg5NmM1N2MtZTYwNi00ZDFhLWE2ZmYtMWY0YmNmZDhjNzA2Bp0AAAAaVGFibGUuSW52ZW50VGFibGUuSXRlbU5hbWUKCgoKATQAAAAyAAAACZ4AAAAJnwAAAAmgAAAABqEAAAALSXRlbUdyb3VwSWQGogAAAApJdGVtIGdyb3VwBqMAAAAGU3RyaW5nCQgAAAAGpQAAACQ4NTkzMzI2Ny0xOWRiLTRlNzEtYmRiNS1mNzA2MDAwMmFjMzcBWv///3b/////////AgAAAAFZ////df///wAAAAABWP///3T///8CAAAAAAAAAAABV////3P///8AAAAACgEAAAAAAAAAAAIAAAAABqoAAAAkOTA2MDJkYWItYzA0OS00ODQyLTkyM2ItMWIyMTYxNzZjZTFjBqsAAAAdVGFibGUuSW52ZW50VGFibGUuSXRlbUdyb3VwSWQKCgoKATUAAAAyAAAACawAAAAJrQAAAAmuAAAABq8AAAAISXRlbVR5cGUGsAAAAAlJdGVtIHR5cGUGsQAAAARFbnVtCQgAAAAGswAAACQ0OWY1MGRiNS03YTkzLTQ3OTgtOWQ4Ny04YjY5OGEzOWZlMTQBTP///3b/////////AwAAAAFL////df///wAAAAABSv///3T///8CAAAAAAAAAAABSf///3P///8AAAAACgEAAAAAAAAAAAMAAAAABrgAAAAkZmVmMjU3OWUtNjVkNS00ZTM1LTljODUtOTdmNjQ4YWNmYWQxBrkAAAAaVGFibGUuSW52ZW50VGFibGUuSXRlbVR5cGUKCgoKATYAAAAyAAAACboAAAAJuwAAAAm8AAAABr0AAAAGVW5pdElkBr4AAAAEVW5pdAa/AAAABlN0cmluZwkIAAAABsEAAAAkZmI3N2ZkOTEtOGQ2Ny00Y2EzLWE4MDgtOTQ2N2EyYjYwZmZjAT7///92/////////wQAAAABPf///3X///8AAAAAATz///90////AgAAAAAAAAAAATv///9z////AAAAAAoBAAAAAAAAAAAEAAAAAAbGAAAAJGIyOTFhOGEzLTNjNWMtNGY1YS1iZDAyLTAzNTgwNjNlNDc4MQbHAAAAN1RhYmxlLkludmVudFRhYmxlLkl0ZW1JZH5UYWJsZS5JbnZlbnRUYWJsZU1vZHVsZS5Vbml0SWQKCgoKAWoAAAASAAAAB2sAAAAAAQAAAAQ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Dj/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skAAAAYVGFibGUuSW52ZW50VGFibGUuSXRlbUlkCcoAAAABNf///zj///8GzAAAABpUYWJsZS5JbnZlbnRUYWJsZS5JdGVtTmFtZQnNAAAAATL///84////Bs8AAAAdVGFibGUuSW52ZW50VGFibGUuSXRlbUdyb3VwSWQJ0AAAAAEv////OP///wbSAAAAGlRhYmxlLkludmVudFRhYmxlLkl0ZW1UeXBlCdMAAAAHbgA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LP///9T///8JMAAAAAkxAAAABG8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F0AAAAIQAAAAEAAAAJEgAAAAMAAAAJ2AAAAAR1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BAAAACRIAAAADAAAACdoAAAAEe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AYEAAAApAAAAAAAAAAncAAAAAAAAAASC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ndAAAAAQAAAAEAAAAEgw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11EAAAACd4AAAAHAAAACd8AAAAEh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/AAAACRIAAAAHAAAACeEAAAABkAAAAIIAAAAJ4gAAAAEAAAABAAAAAZEAAACDAAAAQwAAAAneAAAABwAAAAnkAAAABJI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PwAAAAkSAAAABwAAAAnmAAAAAZ4AAACCAAAACecAAAABAAAAAQAAAAGfAAAAgwAAAEMAAAAJ3gAAAAcAAAAJ6QAAAASg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8AAAAJEgAAAAcAAAAJ6wAAAAGsAAAAggAAAAnsAAAAAQAAAAEAAAABrQAAAIMAAABDAAAACd4AAAAHAAAACe4AAAAEr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/AAAACRIAAAAHAAAACfAAAAABugAAAIIAAAAJ8QAAAAEAAAABAAAAAbsAAACDAAAAQgAAAAneAAAABwAAAAnzAAAABLw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PwAAAAkSAAAABwAAAAn1AAAABco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Qr///92/////////wAG9wAAAAZTdHJpbmcG+AAAAAtJdGVtIG51bWJlcgn5AAAAAQb///90////AgAAAAUF////OUdsb2JlU29mdHdhcmUuQXRsYXM0MC5BdGxhc0NvbW1vbi5OdW1iZXJTZXF1ZW5jZUNvbmRpdGlvbgEAAAAHdmFsdWVfXwAIAgAAAAEAAAAAAAb8AAAAEVRhYmxlLkludmVudFRhYmxlCYUAAAAJCAAAAAr/////CfwAAAAKCYUAAAAKCgoJCAAAAAkCAQAACQgAAAABzQAAAMoAAAAB/P7//3b/////////AAYFAQAABlN0cmluZwYGAQAACUl0ZW0gbmFtZQn5AAAAAfj+//90////AgAAAAH3/v//Bf///wEAAAAAAAn8AAAACZMAAAAJCAAAAAr/////CfwAAAAKCZMAAAAKCgoJCAAAAAkQAQAACQgAAAAB0AAAAMoAAAAB7v7//3b/////////AAYTAQAABlN0cmluZwYUAQAACkl0ZW0gZ3JvdXAJ+QAAAAHq/v//dP///wIAAAAB6f7//wX///8BAAAAAAAJ/AAAAAmhAAAACQgAAAAK/////wn8AAAACgmhAAAACgoKCQgAAAAJHgEAAAkIAAAAAdMAAADKAAAAAeD+//92/////////wAGIQEAAARFbnVtBiIBAAAJSXRlbSB0eXBlCfkAAAAB3P7//3T///8CAAAAAdv+//8F////AQAAAAAACfwAAAAJrwAAAAkIAAAACv////8J/AAAAAoJrwAAAAoKCgkIAAAACSwBAAAJCAAAAAfYAA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S/v//OP///wYvAQAAN1RhYmxlLkludmVudFRhYmxlLkl0ZW1JZH5UYWJsZS5JbnZlbnRUYWJsZU1vZHVsZS5Vbml0SWQJMAEAAAfaAA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z/7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AgAAAAYyAQAAO1RhYmxlLkludmVudFRhYmxlLkl0ZW1JZH5UYWJsZS5JbnZlbnRUYWJsZU1vZHVsZS5Nb2R1bGVUeXBlCTMBAAAB3AAAAG8AAAAH3QAAAAABAAAABAAAAAQ3R2xvYmVTb2Z0d2FyZS5BdGxhczQwLkF0bGFzQ29tbW9uLlR5cGUuRmllbGRPdXRwdXRGaWVsZAIAAAAJygAAAA0DBN4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98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TL/v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CAAAABcr+//8yR2xvYmVTb2Z0d2FyZS5BdGxhczQwLkF0bGFzQ29tbW9uLkNvbHVtbkF0dHJpYnV0ZXMBAAAAB3ZhbHVlX18ACAIAAAAGAAAABjcBAAAFVG90YWwByP7//8v+//8Bx/7//8r+//8QAAAABjoBAAAETm9uZQHF/v//y/7//wHE/v//yv7//wkAAAAJCAAAAAHC/v//y/7//wHB/v//yv7//wsAAAAGQAEAAAEwAb/+///L/v//Ab7+///K/v//BAAAAAZDAQAAB0dlbmVyYWwBvP7//8v+//8Bu/7//8r+//8CAAAABkYBAAABMQG5/v//y/7//wG4/v//yv7//wAAAAAGSQEAAAUyMC40Mwfh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Lb+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SwEAAAhGb250Qm9sZAZMAQAABUZhbHNlAbP+//+2/v//Bk4BAAAKRm9udEl0YWxpYwlMAQAAAbD+//+2/v//BlEBAAANRm9udFVuZGVybGluZQZSAQAABS00MTQyAa3+//+2/v//BlQBAAAIRm9udE5hbWUGVQEAAAdDYWxpYnJpAar+//+2/v//BlcBAAAJRm9udENvbG9yBlgBAAABMAGn/v//tv7//wZaAQAACEZvbnRTaXplBlsBAAACMTEBpP7//7b+//8GXQEAAAlGb250U3R5bGUGXgEAAAdSZWd1bGFyB+IAAAAAAQAAAAQAAAAEN0dsb2JlU29mdHdhcmUuQXRsYXM0MC5BdGxhc0NvbW1vbi5UeXBlLkZpZWxkT3V0cHV0RmllbGQCAAAACc0AAAANAwfk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oP7//8v+//8Bn/7//8r+//8QAAAACToBAAABnf7//8v+//8BnP7//8r+//8JAAAACQgAAAABmv7//8v+//8Bmf7//8r+//8LAAAABmgBAAABMQGX/v//y/7//wGW/v//yv7//wQAAAAGawEAAAdHZW5lcmFsAZT+///L/v//AZP+///K/v//AgAAAAZuAQAAATEBkf7//8v+//8BkP7//8r+//8AAAAABnEBAAACNTYH5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O/v//tv7//wlLAQAACUwBAAABi/7//7b+//8JTgEAAAlMAQAAAYj+//+2/v//CVEBAAAGegEAAAUtNDE0MgGF/v//tv7//wlUAQAABn0BAAAHQ2FsaWJyaQGC/v//tv7//wlXAQAABoABAAABMAF//v//tv7//wlaAQAABoMBAAACMTEBfP7//7b+//8JXQEAAAaGAQAAB1JlZ3VsYXIH5wAAAAABAAAABAAAAAQ3R2xvYmVTb2Z0d2FyZS5BdGxhczQwLkF0bGFzQ29tbW9uLlR5cGUuRmllbGRPdXRwdXRGaWVsZAIAAAAJ0AAAAA0DB+k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4/v//y/7//wF3/v//yv7//xAAAAAJOgEAAAF1/v//y/7//wF0/v//yv7//wkAAAAJCAAAAAFy/v//y/7//wFx/v//yv7//wsAAAAGkAEAAAEyAW/+///L/v//AW7+///K/v//BAAAAAaTAQAAB0dlbmVyYWwBbP7//8v+//8Ba/7//8r+//8CAAAABpYBAAABMQFp/v//y/7//wFo/v//yv7//wAAAAAGmQEAAAUxMi4yOQfr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b+//+2/v//CUsBAAAJTAEAAAFj/v//tv7//wlOAQAACUwBAAABYP7//7b+//8JUQEAAAaiAQAABS00MTQyAV3+//+2/v//CVQBAAAGpQEAAAdDYWxpYnJpAVr+//+2/v//CVcBAAAGqAEAAAEwAVf+//+2/v//CVoBAAAGqwEAAAIxMQFU/v//tv7//wldAQAABq4BAAAHUmVndWxhcgfsAAAAAAEAAAAEAAAABDdHbG9iZVNvZnR3YXJlLkF0bGFzNDAuQXRsYXNDb21tb24uVHlwZS5GaWVsZE91dHB1dEZpZWxkAgAAAAnTAAAADQMH7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D+///L/v//AU/+///K/v//EAAAAAk6AQAAAU3+///L/v//AUz+///K/v//CQAAAAkIAAAAAUr+///L/v//AUn+///K/v//CwAAAAa4AQAAATMBR/7//8v+//8BRv7//8r+//8EAAAABrsBAAAHR2VuZXJhbAFE/v//y/7//wFD/v//yv7//wIAAAAGvgEAAAExAUH+///L/v//AUD+///K/v//AAAAAAbBAQAABTExLjE0B/A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v7//7b+//8JSwEAAAlMAQAAATv+//+2/v//CU4BAAAJTAEAAAE4/v//tv7//wlRAQAABsoBAAAFLTQxNDIBNf7//7b+//8JVAEAAAbNAQAAB0NhbGlicmkBMv7//7b+//8JVwEAAAbQAQAAATABL/7//7b+//8JWgEAAAbTAQAAAjExASz+//+2/v//CV0BAAAG1gEAAAdSZWd1bGFyB/EAAAAAAQAAAAQAAAAEN0dsb2JlU29mdHdhcmUuQXRsYXM0MC5BdGxhc0NvbW1vbi5UeXBlLkZpZWxkT3V0cHV0RmllbGQCAAAACTABAAANAwfz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KP7//8v+//8BJ/7//8r+//8JAAAACQgAAAABJf7//8v+//8BJP7//8r+//8LAAAABt0BAAABNAEi/v//y/7//wEh/v//yv7//wQAAAAG4AEAAAdHZW5lcmFsAR/+///L/v//AR7+///K/v//AgAAAAbjAQAAATEBHP7//8v+//8BG/7//8r+//8AAAAABuYBAAAENi40Mwf1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n+//+2/v//CUsBAAAJTAEAAAEW/v//tv7//wlOAQAACUwBAAABE/7//7b+//8JUQEAAAbvAQAABS00MTQyARD+//+2/v//CVQBAAAG8gEAAAdDYWxpYnJpAQ3+//+2/v//CVcBAAAG9QEAAAEwAQr+//+2/v//CVoBAAAG+AEAAAIxMQEH/v//tv7//wldAQAABvsBAAAHUmVndWxhcgH5AAAADgAAAK8AAAAG/AEAAAtJbnZlbnRUYWJsZQb9AQAABUl0ZW1zCQgAAAAJCAAAAAkIAAAAAQH+///g////AAAAAAkAAgAACQECAAAB/v3//93////iQZ86BcRTSILR7Bk3Ki4DCQgAAAAJCAAAAAkEAgAACfwAAAAKCgoKCgEAAAAB+v3//9n///8AAAAAAfn9///Y////AAAAAAAJCAIAAAQC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sAAAAJEgAAAAMAAAAJCgIAAAQQ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sAAAAJEgAAAAMAAAAJDAIAAAQe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sAAAAJEgAAAAMAAAAJDgIAAAQs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sAAAAJEgAAAAMAAAAJEAIAAAEwAQAAygAAAAHv/f//dv////////8ABhICAAAGU3RyaW5nBhMCAAAEVW5pdAkxAAAAAev9//90////AgAAAAHq/f//Bf///wEAAAAAAAkwAAAACb0AAAAJCAAAAAr/////CTAAAAAKCb0AAAAGHAIAAAZJdGVtSWQGHQIAAAtJbnZlbnRUYWJsZQoJCAAAAAkfAgAACQgAAAAFMwE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TAAAAAGIgIAAApNb2R1bGVUeXBlCQgAAAAGJAIAAAZJbnZlbnT/////CTAAAAAGJgIAABFJbnZlbnRUYWJsZU1vZHVsZQkiAgAABigCAAAGSXRlbUlkCgoJCAAAAAkqAgAACQgAAAABAAIAACEAAAAIAAAACSwCAAAHAAAACS0CAAABAQIAACIAAAAAAAAACSwCAAAAAAAAAQQCAAAEAAAAAQAAAAksAgAAAwAAAAkvAgAAAQgCAAApAAAAAAAAAAkwAgAAAAAAAAcK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/9//+2/v//BjICAAAISGVscFRleHQGMwIAAA5JZGVudGlmeSBpdGVtLgHM/f//tv7//wY1AgAABUxhYmVsCfgAAAAByf3//7b+//8GOAIAAARUeXBlCfcAAAAHD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G/f//tv7//wkyAgAABjwCAAAYRGVzY3JpcHRpb24gb2YgdGhlIGl0ZW0uAcP9//+2/v//CTUCAAAJBgEAAAHA/f//tv7//wk4AgAACQUBAAAHD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9/f//tv7//wkyAgAABkUCAAAoSXRlbSBncm91cCB0aGF0IHRoZSBpdGVtIGlzIGF0dGFjaGVkIHRvLgG6/f//tv7//wk1AgAACRQBAAABt/3//7b+//8JOAIAAAkTAQAABxA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P3//7b+//8JMgIAAAZOAgAALlR5cGUgZGV0ZXJtaW5pbmcgaG93IHRoZSBpdGVtIGlzIGFkbWluaXN0ZXJlZC4Bsf3//7b+//8JNQIAAAkiAQAAAa79//+2/v//CTgCAAAJIQEAAAQf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gAAAAJEgAAAAMAAAAJVgIAAAQq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QAAAAJEgAAAAMAAAAJWAIAAAEsAgAAEgAAAActAgAAAAEAAAAE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n/f//OP///wZaAgAAGFRhYmxlLkludmVudFRhYmxlLkl0ZW1JZAnKAAAAAaT9//84////Bl0CAAAaVGFibGUuSW52ZW50VGFibGUuSXRlbU5hbWUJzQAAAAGh/f//OP///wZgAgAAHVRhYmxlLkludmVudFRhYmxlLkl0ZW1Hcm91cElkCdAAAAABnv3//zj///8GYwIAABpUYWJsZS5JbnZlbnRUYWJsZS5JdGVtVHlwZQnTAAAABy8C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Zv9///U////CTAAAAAJMQAAAAEwAgAAbwAAAAdW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j9//+2/v//CTUCAAAJEwIAAAGV/f//tv7//wk4AgAACRICAAAHWA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S/f//tv7//wk4AgAABnACAAAERW51bQGP/f//tv7//wk1AgAABnMCAAALTW9kdWxlIHR5cGUL
    <Output>
      <OutputObject name="AtlasReport_5"/>
    </Output>
  </Query>
</Atlas>
</file>

<file path=customXml/item6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Yz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OAAAAD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JHgAAAAkfAAAACSAAAAAJIQAAAA0CDCI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IgAAAAgCAAAABiMAAAAVQXRsYXNSZXBvcnRfMV9UYWJsZV8xCSQ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SIAAAAICAklAAAABAAAAAQ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JgAAAAknAAAACSgAAAAGKQAAAAlUcmFuc1R5cGUGKgAAAAlSZWZlcmVuY2UGKwAAAARFbnVtBiwAAAAABi0AAAAkMTJiNTM3NTktOTVlMS00MTBiLTk3YzgtNjNjMmQ0MDgwMDBiBdL///8tR2xvYmVTb2Z0d2FyZS5BdGxhczQwLkF0bGFzQ29tbW9uLkFnZ3JlZ2F0aW9uAQAAAAd2YWx1ZV9fAAgOAAAA/////wAAAAAF0f///yxHbG9iZVNvZnR3YXJlLkF0bGFzNDAuQXRsYXNDb21tb24uQ29sdW1uVHlwZQEAAAAHdmFsdWVfXwAIDgAAAAAAAAAF0P///ytHbG9iZVNvZnR3YXJlLkF0bGFzNDAuQXRsYXNDb21tb24uU29ydE9yZGVyAQAAAAd2YWx1ZV9fAAgOAAAAAgAAAAAAAAAABc////9AR2xvYmVTb2Z0d2FyZS5BdGxhczQwLkF0bGFzQ29tbW9uLlR5cGUuQ29sdW1uK0Nyb3NzVGFiQ29sdW1uVHlwZQEAAAAHdmFsdWVfXwAIDgAAAAAAAAAKAQAAAAAAAAAAAAAAAAAGMgAAACQwZTg1ZTYyYS1iMzNhLTRjZjktODA1MS0xNGE2YWRjNTQzYTYGMwAAABtUYWJsZS5JbnZlbnRUcmFucy5UcmFuc1R5cGUKCgoKARUAAAAUAAAACTQAAAAJNQAAAAk2AAAABjcAAAAKVHJhbnNSZWZJZAY4AAAABk51bWJlcgY5AAAABlN0cmluZwksAAAABjsAAAAkNDQ3ZTYxZjEtNTJlYy00ZjkxLWJkN2EtZTNkYWE1NjAyZjdlAcT////S/////////wEAAAABw////9H///8AAAAAAcL////Q////AgAAAAAAAAAAAcH////P////AAAAAAoBAAAAAAAAAAABAAAAAAZAAAAAJDdkNjQ0YTkzLTkwYmMtNGYxYi04ZGI0LTlmNjdhMTAzYjk4YQZBAAAAHFRhYmxlLkludmVudFRyYW5zLlRyYW5zUmVmSWQKCgoKARYAAAAUAAAACUIAAAAJQwAAAAlEAAAABkUAAAAGSXRlbUlkBkYAAAALSXRlbSBudW1iZXIGRwAAAAZTdHJpbmcJLAAAAAZJAAAAJDY2Yjk4Nzg3LWU1YjUtNGYwMy1iNzMzLTJiYjdkZmU2YjAzNgG2////0v////////8CAAAAAbX////R////AAAAAAG0////0P///wIAAAAAAAAAAAGz////z////wAAAAAKAQAAAAAAAAAAAgAAAAAGTgAAACQ3ZmVkOGQyYS02ZjlkLTQ1MzYtODM5Mi0yNTYyOWY2YjEyMzQGTwAAABhUYWJsZS5JbnZlbnRUcmFucy5JdGVtSWQKCgoKARcAAAAUAAAACVAAAAAJUQAAAAlSAAAABlMAAAAISXRlbU5hbWUGVAAAAAlJdGVtIG5hbWUGVQAAAAZTdHJpbmcJLAAAAAZXAAAAJGYwZDYwODc4LWFiNmEtNGIwZC1iYjBmLTljOGY1M2RiYjdlOQGo////0v////////8DAAAAAaf////R////AAAAAAGm////0P///wIAAAAAAAAAAAGl////z////wAAAAAKAQAAAAAAAAAAAwAAAAAGXAAAACRhMDIxZDczYy1hZTY1LTQ5ODYtYmYzZC0wNmM0Mzc5YmRjOTMGXQAAADNUYWJsZS5JbnZlbnRUcmFucy5JdGVtSWR+VGFibGUuSW52ZW50VGFibGUuSXRlbU5hbWUKCgoKARgAAAAUAAAACV4AAAAJXwAAAAlgAAAABmEAAAAMSW52ZW50U2l0ZUlkBmIAAAAEU2l0ZQZjAAAABlN0cmluZwksAAAABmUAAAAkOTNmN2M5ODAtMjJjYy00Njg3LTg4ODUtNTU2NzhjNTZjZTVkAZr////S/////////wQAAAABmf///9H///8AAAAAAZj////Q////AgAAAAAAAAAAAZf////P////AAAAAAoBAAAAAAAAAAAEAAAAAAZqAAAAJDRiZjMyOThkLWY3YjUtNGE0Yi05NWZmLTc0NDdlZmE3Zjg5NAZrAAAAOlRhYmxlLkludmVudFRyYW5zLmludmVudERpbUlkflRhYmxlLkludmVudERpbS5JbnZlbnRTaXRlSWQKCgoKARkAAAAUAAAACWwAAAAJbQAAAAluAAAABm8AAAAQSW52ZW50TG9jYXRpb25JZAZwAAAACVdhcmVob3VzZQZxAAAABlN0cmluZwksAAAABnMAAAAkZmNjNWE5YTEtZmYyOS00OGRmLWIxNmQtOTQ5ZWRlMDYxY2Q4AYz////S/////////wUAAAABi////9H///8AAAAAAYr////Q////AgAAAAAAAAAAAYn////P////AAAAAAoBAAAAAAAAAAAFAAAAAAZ4AAAAJDQwNDk1ZjM0LTM4MTAtNDFlYy1hOWIyLWExN2Y5YzdlODE0YwZ5AAAAPlRhYmxlLkludmVudFRyYW5zLmludmVudERpbUlkflRhYmxlLkludmVudERpbS5JbnZlbnRMb2NhdGlvbklkCgoKCgEaAAAAFAAAAAl6AAAACXsAAAAJfAAAAAZ9AAAADERhdGVQaHlzaWNhbAZ+AAAADVBoeXNpY2FsIGRhdGUGfwAAAAREYXRlCSwAAAAGgQAAACQ5OTE4MWM0Yi05YWZhLTRmNDEtYmQzNC1jNzk5MDZlOTY1MDcBfv///9L/////////BgAAAAF9////0f///wAAAAABfP///9D///8CAAAAAAAAAAABe////8////8AAAAACgEAAAAAAAAAAAYAAAAABoYAAAAkYWM2ODFlN2EtNmJkYy00NTUxLWI0MjQtOTY5ZjE1OGMwOThjBocAAAAeVGFibGUuSW52ZW50VHJhbnMuRGF0ZVBoeXNpY2FsCgoKCgEbAAAAFAAAAAmIAAAACYkAAAAJigAAAAaLAAAADURhdGVGaW5hbmNpYWwGjAAAAA5GaW5hbmNpYWwgZGF0ZQaNAAAABERhdGUJLAAAAAaPAAAAJDkxMzNkNmVhLTk2OTAtNDk0YS05YWI0LTFjZDAwNTM5MjVlMQFw////0v////////8HAAAAAW/////R////AAAAAAFu////0P///wIAAAAAAAAAAAFt////z////wAAAAAKAQAAAAAAAAAABwAAAAAGlAAAACQ4NDA0YTk5OS1hZDFmLTRkYjQtODIwMy1mMTZlZjk2YWQwMDcGlQAAAB9UYWJsZS5JbnZlbnRUcmFucy5EYXRlRmluYW5jaWFsCgoKCgEcAAAAFAAAAAmWAAAACZcAAAAJmAAAAAaZAAAAA1F0eQaaAAAACFF1YW50aXR5BpsAAAAEUmVhbAksAAAABp0AAAAkNzMwMzQ0MjItM2ZiZS00MjdlLWE1ZjAtNDFlOTJmMGYyNzJlAWL////S////AQAAAAgAAAABYf///9H///8AAAAAAWD////Q////AgAAAAAAAAAAAV/////P////AAAAAAoBAAAAAAAAAAAIAAAAAAaiAAAAJDU1MDBkYzM2LWY3MzgtNDFiNC1iMTU1LTY3YTc5MjhjNTc1NAajAAAAFVRhYmxlLkludmVudFRyYW5zLlF0eQoKCgoBHQAAABQAAAAJpAAAAAmlAAAACaYAAAAGpwAAAAZVbml0SWQGqAAAAARVbml0BqkAAAAGU3RyaW5nCSwAAAAGqwAAACQ3NjE1NmNmMy00YmQ3LTQyZjgtYmU0Yy1jOTFiMjgxMmI0MWMBVP///9L/////////CQAAAAFT////0f///wAAAAABUv///9D///8CAAAAAAAAAAABUf///8////8AAAAACgEAAAAAAAAAAAkAAAAABrAAAAAkNjgxODgzYjEtZDZhNS00NGRhLTgwOGUtYjlhZDI2OWNiOGY2BrEAAABQVGFibGUuSW52ZW50VHJhbnMuSXRlbUlkflRhYmxlLkludmVudFRhYmxlLkl0ZW1JZH5UYWJsZS5JbnZlbnRUYWJsZU1vZHVsZS5Vbml0SWQKCgoKAR4AAAAUAAAACbIAAAAJswAAAAm0AAAABrUAAAANSW52ZW50VHJhbnNJZAa2AAAABkxvdCBJRAa3AAAABlN0cmluZwksAAAABrkAAAAkM2ZhMmE0MWYtNTRlZS00NjY3LThjNmYtZTBjM2EzNjg3MWFiAUb////S/////////woAAAABRf///9H///8AAAAAAUT////Q////AgAAAAAAAAAAAUP////P////AAAAAAoBAAAAAAAAAAAKAAAAAAa+AAAAJGZjMDMyZmNlLTgzZGYtNDI0YS05OTJlLTBlMDQzM2FjZWI2ZAa/AAAAH1RhYmxlLkludmVudFRyYW5zLkludmVudFRyYW5zSWQKCgoKAR8AAAAUAAAACcAAAAAJwQAAAAnCAAAABsMAAAA3QXRsYXNNYW5hZ2VkQ29sdW1uXzVkZTU5YjEzLTI4YTAtNDJhZC1iOGM2LTE5ZDIzNTY3NjIzYQbEAAAAElZlbmRJbnZvaWNlVHJhbnNJZAksAAAACSwAAAAGxgAAACRlNDk2MjA2Zi05YzhhLTRhMzMtYjc3Mi0wZGJhZmZhY2M1ZDUBOf///9L/////////CwAAAAE4////0f///wIAAAABN////9D///8CAAAAAAAAAAABNv///8////8AAAAACgEAAAAAAAAAAAsAAAAABssAAAAkMjI4ZTE0MTAtMDc4NC00NDljLTg4NTEtOTNkOWE3YzNkODFiCSwAAAAKCgoKASAAAAAUAAAACc0AAAAJzgAAAAnPAAAABtAAAAA3QXRsYXNNYW5hZ2VkQ29sdW1uX2RiOWQ0N2U1LTJhYTItNGVlNy04Yzg1LTVlNTkyOTg4NjlkMQbRAAAACEN1cnJlbmN5CSwAAAAJLAAAAAbTAAAAJGVmZmVkYzZhLWZhMTgtNDAyZi05NGQ1LWIxMzM5NDhmZmUyMwEs////0v////////8MAAAAASv////R////AgAAAAEq////0P///wIAAAAAAAAAAAEp////z////wAAAAAKAQAAAAAAAAAADAAAAAAG2AAAACQ3MDAwMmQ2NS0wODk5LTQ1MGMtODBkOC00NzJlNjQ5YzQwMzIJLAAAAAoKCgoBIQAAABQAAAAJ2gAAAAnbAAAACdwAAAAG3QAAADdBdGxhc01hbmFnZWRDb2x1bW5fYzZlZjdiMWQtYjg2YS00NTFjLWE4NDUtM2Y5OGQ4ZWZhYTIwBt4AAAAcVFBQIChQdXJjaGFzZSBpbnZvaWNlIHRyYW5zKQksAAAACSwAAAAG4AAAACQxZDRiZTkxZC0zY2Q5LTQ2MzQtOGY0Zi03NjJkYTI1NWFlZTgBH////9L/////////DQAAAAEe////0f///wIAAAABHf///9D///8CAAAAAAAAAAABHP///8////8AAAAACgEAAAAAAAAAAA0AAAAABuUAAAAkNjI5NTA3YjktMzlhYy00MTZkLWIwOGEtZTdiM2UyZjEwZWYzCSwAAAAKCgoKBSQAAAA4R2xvYmVTb2Z0d2FyZS5BdGxhczQwLkF0bGFzQ29tbW9uQ2xpZW50LlJlcG9ydC5SZWZlcmVuY2UBAAAACl9yZWZlcmVuY2UHCCIAAAAJ5wAAAAclAAAAAAEAAAAEAAAABDxHbG9iZVNvZnR3YXJlLkF0bGFzNDAuQXRsYXNDb21tb25DbGllbnQuRGF0YVNvdXJjZUZpZWxkVmFsdWUiAAAACegAAAAJ6QAAAAnqAAAACesAAAAEJg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7AAAAAEAAAABAAAABCc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lwAAAAntAAAABwAAAAnuAAAABCg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wAAAAnvAAAABwAAAAnwAAAAATQAAAAmAAAACfEAAAABAAAAAQAAAAE1AAAAJwAAAJcAAAAJ7QAAAAcAAAAJ8wAAAAE2AAAAKAAAAJMAAAAJ7wAAAAcAAAAJ9QAAAAFCAAAAJgAAAAn2AAAAAQAAAAEAAAABQwAAACcAAACYAAAACe0AAAAHAAAACfgAAAABRAAAACgAAACTAAAACe8AAAAHAAAACfoAAAABUAAAACYAAAAJ+wAAAAEAAAABAAAAAVEAAAAnAAAAjwAAAAn8AAAABwAAAAn9AAAAAVIAAAAoAAAAjAAAAAn+AAAABwAAAAn/AAAAAV4AAAAmAAAACQABAAABAAAAAQAAAAFfAAAAJwAAAI8AAAAJ/AAAAAcAAAAJAgEAAAFgAAAAKAAAAIwAAAAJ/gAAAAcAAAAJBAEAAAFsAAAAJgAAAAkFAQAAAQAAAAEAAAABbQAAACcAAACPAAAACfwAAAAHAAAACQcBAAABbgAAACgAAACMAAAACf4AAAAHAAAACQkBAAABegAAACYAAAAJCgEAAAEAAAABAAAAAXsAAAAnAAAAlwAAAAntAAAABwAAAAkMAQAAAXwAAAAoAAAAkwAAAAnvAAAABwAAAAkOAQAAAYgAAAAmAAAACQ8BAAABAAAAAQAAAAGJAAAAJwAAAJcAAAAJ7QAAAAcAAAAJEQEAAAGKAAAAKAAAAJMAAAAJ7wAAAAcAAAAJEwEAAAGWAAAAJgAAAAkUAQAAAQAAAAEAAAABlwAAACcAAACXAAAACe0AAAAHAAAACRYBAAABmAAAACgAAACTAAAACe8AAAAHAAAACRgBAAABpAAAACYAAAAJGQEAAAEAAAABAAAAAaUAAAAnAAAAjwAAAAn8AAAABwAAAAkbAQAAAaYAAAAoAAAAjAAAAAn+AAAABwAAAAkdAQAAAbIAAAAmAAAACR4BAAABAAAAAQAAAAGzAAAAJwAAAJcAAAAJ7QAAAAcAAAAJIAEAAAG0AAAAKAAAAJMAAAAJ7wAAAAcAAAAJIgEAAAHAAAAAJgAAAAkjAQAAAAAAAAAAAAABwQAAACcAAABZAAAACSQBAAAHAAAACSUBAAABwgAAACgAAABUAAAACSYBAAAHAAAACScBAAABzQAAACYAAAAJKAEAAAAAAAAAAAAAAc4AAAAnAAAAgAAAAAkpAQAABwAAAAkqAQAAAc8AAAAoAAAAdwAAAAkrAQAABwAAAAksAQAAAdoAAAAmAAAACSgBAAAAAAAAAAAAAAHbAAAAJwAAAIAAAAAJKQEAAAcAAAAJLwEAAAHcAAAAKAAAAHcAAAAJKwEAAAcAAAAJMQEAAA/nAAAAAQAAAAgBAAAABegAAAA8R2xvYmVTb2Z0d2FyZS5BdGxhczQwLkF0bGFzQ29tbW9uQ2xpZW50LkRhdGFTb3VyY2VGaWVsZFZhbHVlBAAAABJfaXNEcmlsbERvd25GaWx0ZXIGX2RzS2V5Cl9maWVsZG5hbWULX2ZpZWxkVmFsdWUAAQEBASIAAAAABjIBAAARVGFibGUuSW52ZW50VHJhbnMGMwEAAApEYXRhQXJlYUlkCQYAAAAB6QAAAOgAAAAACTIBAAAGNgEAAA1EYXRlRmluYW5jaWFsBjcBAAAYMDQuMDEuMjAxNyAuLiAxMi4zMS4yMDE3AeoAAADoAAAAAAkyAQAABjkBAAAGSXRlbUlkBjoBAAABKgHrAAAA6AAAAAAGOwEAAElUYWJsZS5JbnZlbnRUcmFucy5JdGVtSWR+VGFibGUuSW52ZW50VGFibGUuSXRlbUlkflRhYmxlLkludmVudFRhYmxlTW9kdWxlBjwBAAAKTW9kdWxlVHlwZQY9AQAABkludmVudAfsAAAAAAEAAAAEAAAABDdHbG9iZVNvZnR3YXJlLkF0bGFzNDAuQXRsYXNDb21tb24uVHlwZS5GaWVsZE91dHB1dEZpZWxkDgAAAAk+AQAADQME7Q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7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MH+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wP7//zJHbG9iZVNvZnR3YXJlLkF0bGFzNDAuQXRsYXNDb21tb24uQ29sdW1uQXR0cmlidXRlcwEAAAAHdmFsdWVfXwAIDgAAABAAAAAGQQEAAAROb25lAb7+///B/v//Ab3+///A/v//CQAAAAksAAAAAbv+///B/v//Abr+///A/v//CwAAAAZHAQAAATABuP7//8H+//8Bt/7//8D+//8EAAAABkoBAAAHR2VuZXJhbAG1/v//wf7//wG0/v//wP7//wIAAAAGTQEAAAExAbL+///B/v//AbH+///A/v//AAAAAAZQAQAABTEzLjcxAe8AAAAMAAAAB/A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r/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ZSAQAACEZvbnRCb2xkBlMBAAAFRmFsc2UBrP7//6/+//8GVQEAAApGb250SXRhbGljCVMBAAABqf7//6/+//8GWAEAAA1Gb250VW5kZXJsaW5lBlkBAAAFLTQxNDIBpv7//6/+//8GWwEAAAhGb250TmFtZQZcAQAAB0NhbGlicmkBo/7//6/+//8GXgEAAAlGb250Q29sb3IGXwEAAAEwAaD+//+v/v//BmEBAAAIRm9udFNpemUGYgEAAAIxMQGd/v//r/7//wZkAQAACUZvbnRTdHlsZQZlAQAAB1JlZ3VsYXIH8QAAAAABAAAABAAAAAQ3R2xvYmVTb2Z0d2FyZS5BdGxhczQwLkF0bGFzQ29tbW9uLlR5cGUuRmllbGRPdXRwdXRGaWVsZA4AAAAJZgEAAA0DB/M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Z/v//wf7//wGY/v//wP7//xAAAAAJQQEAAAGW/v//wf7//wGV/v//wP7//wkAAAAJLAAAAAGT/v//wf7//wGS/v//wP7//wsAAAAGbwEAAAExAZD+///B/v//AY/+///A/v//BAAAAAZyAQAAB0dlbmVyYWwBjf7//8H+//8BjP7//8D+//8CAAAABnUBAAABMQGK/v//wf7//wGJ/v//wP7//wAAAAAGeAEAAAUxMC44Ngf1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f+//+v/v//CVIBAAAJUwEAAAGE/v//r/7//wlVAQAACVMBAAABgf7//6/+//8JWAEAAAaBAQAABS00MTQyAX7+//+v/v//CVsBAAAGhAEAAAdDYWxpYnJpAXv+//+v/v//CV4BAAAGhwEAAAEwAXj+//+v/v//CWEBAAAGigEAAAIxMQF1/v//r/7//wlkAQAABo0BAAAHUmVndWxhcgf2AAAAAAEAAAAEAAAABDdHbG9iZVNvZnR3YXJlLkF0bGFzNDAuQXRsYXNDb21tb24uVHlwZS5GaWVsZE91dHB1dEZpZWxkDgAAAAmOAQAADQMH+A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H+///B/v//AXD+///A/v//BgAAAAaRAQAABVRvdGFsAW7+///B/v//AW3+///A/v//EAAAAAlBAQAAAWv+///B/v//AWr+///A/v//CQAAAAksAAAAAWj+///B/v//AWf+///A/v//CwAAAAaaAQAAATIBZf7//8H+//8BZP7//8D+//8EAAAABp0BAAAHR2VuZXJhbAFi/v//wf7//wFh/v//wP7//wIAAAAGoAEAAAExAV/+///B/v//AV7+///A/v//AAAAAAajAQAABTEzLjcxB/o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P7//6/+//8JUgEAAAlTAQAAAVn+//+v/v//CVUBAAAJUwEAAAFW/v//r/7//wlYAQAABqwBAAAFLTQxNDIBU/7//6/+//8JWwEAAAavAQAAB0NhbGlicmkBUP7//6/+//8JXgEAAAayAQAAATABTf7//6/+//8JYQEAAAa1AQAAAjExAUr+//+v/v//CWQBAAAGuAEAAAdSZWd1bGFyB/sAAAAAAQAAAAQAAAAEN0dsb2JlU29mdHdhcmUuQXRsYXM0MC5BdGxhc0NvbW1vbi5UeXBlLkZpZWxkT3V0cHV0RmllbGQOAAAACbkBAAANAwH8AAAA7QAAAAf9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Rv7//8H+//8BRf7//8D+//8JAAAACSwAAAABQ/7//8H+//8BQv7//8D+//8LAAAABr8BAAABMwFA/v//wf7//wE//v//wP7//wQAAAAGwgEAAAdHZW5lcmFsAT3+///B/v//ATz+///A/v//AgAAAAbFAQAAATEBOv7//8H+//8BOf7//8D+//8AAAAABsgBAAAFMzQuMTQB/gAAAAwAAAAH/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3/v//r/7//wlSAQAACVMBAAABNP7//6/+//8JVQEAAAlTAQAAATH+//+v/v//CVgBAAAG0QEAAAUtNDE0MgEu/v//r/7//wlbAQAABtQBAAAHQ2FsaWJyaQEr/v//r/7//wleAQAABtcBAAABMAEo/v//r/7//wlhAQAABtoBAAACMTEBJf7//6/+//8JZAEAAAbdAQAAB1JlZ3VsYXIHAAEAAAABAAAABAAAAAQ3R2xvYmVTb2Z0d2FyZS5BdGxhczQwLkF0bGFzQ29tbW9uLlR5cGUuRmllbGRPdXRwdXRGaWVsZA4AAAAJ3gEAAA0DBwI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h/v//wf7//wEg/v//wP7//wkAAAAJLAAAAAEe/v//wf7//wEd/v//wP7//wsAAAAG5AEAAAE0ARv+///B/v//ARr+///A/v//BAAAAAbnAQAAB0dlbmVyYWwBGP7//8H+//8BF/7//8D+//8CAAAABuoBAAABMQEV/v//wf7//wEU/v//wP7//wAAAAAG7QEAAAE2BwQ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v7//6/+//8JUgEAAAlTAQAAAQ/+//+v/v//CVUBAAAJUwEAAAEM/v//r/7//wlYAQAABvYBAAAFLTQxNDIBCf7//6/+//8JWwEAAAb5AQAAB0NhbGlicmkBBv7//6/+//8JXgEAAAb8AQAAATABA/7//6/+//8JYQEAAAb/AQAAAjExAQD+//+v/v//CWQBAAAGAgIAAAdSZWd1bGFyBwUBAAAAAQAAAAQAAAAEN0dsb2JlU29mdHdhcmUuQXRsYXM0MC5BdGxhc0NvbW1vbi5UeXBlLkZpZWxkT3V0cHV0RmllbGQOAAAACQMCAAANAwcH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/P3//8H+//8B+/3//8D+//8JAAAACSwAAAAB+f3//8H+//8B+P3//8D+//8LAAAABgkCAAABNQH2/f//wf7//wH1/f//wP7//wQAAAAGDAIAAAdHZW5lcmFsAfP9///B/v//AfL9///A/v//AgAAAAYPAgAAATEB8P3//8H+//8B7/3//8D+//8AAAAABhICAAAFMTIuODYHC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t/f//r/7//wlSAQAACVMBAAAB6v3//6/+//8JVQEAAAlTAQAAAef9//+v/v//CVgBAAAGGwIAAAUtNDE0MgHk/f//r/7//wlbAQAABh4CAAAHQ2FsaWJyaQHh/f//r/7//wleAQAABiECAAABMAHe/f//r/7//wlhAQAABiQCAAACMTEB2/3//6/+//8JZAEAAAYnAgAAB1JlZ3VsYXIHCgEAAAABAAAABAAAAAQ3R2xvYmVTb2Z0d2FyZS5BdGxhczQwLkF0bGFzQ29tbW9uLlR5cGUuRmllbGRPdXRwdXRGaWVsZA4AAAAJKAIAAA0DBww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X/f//wf7//wHW/f//wP7//xAAAAAJQQEAAAHU/f//wf7//wHT/f//wP7//wkAAAAJLAAAAAHR/f//wf7//wHQ/f//wP7//wsAAAAGMQIAAAE2Ac79///B/v//Ac39///A/v//BAAAAAY0AgAACG0vZC95eXl5Acv9///B/v//Acr9///A/v//AgAAAAY3AgAAATEByP3//8H+//8Bx/3//8D+//8AAAAABjoCAAAFMTQuMTQHD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F/f//r/7//wlSAQAACVMBAAABwv3//6/+//8JVQEAAAlTAQAAAb/9//+v/v//CVgBAAAGQwIAAAUtNDE0MgG8/f//r/7//wlbAQAABkYCAAAHQ2FsaWJyaQG5/f//r/7//wleAQAABkkCAAABMAG2/f//r/7//wlhAQAABkwCAAACMTEBs/3//6/+//8JZAEAAAZPAgAAB1JlZ3VsYXIHDwEAAAABAAAABAAAAAQ3R2xvYmVTb2Z0d2FyZS5BdGxhczQwLkF0bGFzQ29tbW9uLlR5cGUuRmllbGRPdXRwdXRGaWVsZA4AAAAJUAIAAA0DBxE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v/f//wf7//wGu/f//wP7//xAAAAAJQQEAAAGs/f//wf7//wGr/f//wP7//wkAAAAJLAAAAAGp/f//wf7//wGo/f//wP7//wsAAAAGWQIAAAE3Aab9///B/v//AaX9///A/v//BAAAAAZcAgAACG0vZC95eXl5AaP9///B/v//AaL9///A/v//AgAAAAZfAgAAATEBoP3//8H+//8Bn/3//8D+//8AAAAABmICAAACMTUHE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d/f//r/7//wlSAQAACVMBAAABmv3//6/+//8JVQEAAAlTAQAAAZf9//+v/v//CVgBAAAGawIAAAUtNDE0MgGU/f//r/7//wlbAQAABm4CAAAHQ2FsaWJyaQGR/f//r/7//wleAQAABnECAAABMAGO/f//r/7//wlhAQAABnQCAAACMTEBi/3//6/+//8JZAEAAAZ3AgAAB1JlZ3VsYXIHFAEAAAABAAAABAAAAAQ3R2xvYmVTb2Z0d2FyZS5BdGxhczQwLkF0bGFzQ29tbW9uLlR5cGUuRmllbGRPdXRwdXRGaWVsZA4AAAAJeAIAAA0DBxY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H/f//wf7//wGG/f//wP7//xAAAAAJQQEAAAGE/f//wf7//wGD/f//wP7//wkAAAAJLAAAAAGB/f//wf7//wGA/f//wP7//wsAAAAGgQIAAAE4AX79///B/v//AX39///A/v//BAAAAAaEAgAAB0dlbmVyYWwBe/3//8H+//8Bev3//8D+//8CAAAABocCAAABMQF4/f//wf7//wF3/f//wP7//wAAAAAGigIAAAUxMC4yOQcY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X9//+v/v//CVIBAAAJUwEAAAFy/f//r/7//wlVAQAACVMBAAABb/3//6/+//8JWAEAAAaTAgAABS00MTQyAWz9//+v/v//CVsBAAAGlgIAAAdDYWxpYnJpAWn9//+v/v//CV4BAAAGmQIAAAEwAWb9//+v/v//CWEBAAAGnAIAAAIxMQFj/f//r/7//wlkAQAABp8CAAAHUmVndWxhcgcZAQAAAAEAAAAEAAAABDdHbG9iZVNvZnR3YXJlLkF0bGFzNDAuQXRsYXNDb21tb24uVHlwZS5GaWVsZE91dHB1dEZpZWxkDgAAAAmgAgAADQMHG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/9///B/v//AV79///A/v//CQAAAAksAAAAAVz9///B/v//AVv9///A/v//CwAAAAamAgAAATkBWf3//8H+//8BWP3//8D+//8EAAAABqkCAAAHR2VuZXJhbAFW/f//wf7//wFV/f//wP7//wIAAAAGrAIAAAExAVP9///B/v//AVL9///A/v//AAAAAAavAgAABDYuNDMHH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Q/f//r/7//wlSAQAACVMBAAABTf3//6/+//8JVQEAAAlTAQAAAUr9//+v/v//CVgBAAAGuAIAAAUtNDE0MgFH/f//r/7//wlbAQAABrsCAAAHQ2FsaWJyaQFE/f//r/7//wleAQAABr4CAAABMAFB/f//r/7//wlhAQAABsECAAACMTEBPv3//6/+//8JZAEAAAbEAgAAB1JlZ3VsYXIHHgEAAAABAAAABAAAAAQ3R2xvYmVTb2Z0d2FyZS5BdGxhczQwLkF0bGFzQ29tbW9uLlR5cGUuRmllbGRPdXRwdXRGaWVsZA4AAAAJxQIAAA0DByA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6/f//wf7//wE5/f//wP7//xAAAAAJQQEAAAE3/f//wf7//wE2/f//wP7//wkAAAAJLAAAAAE0/f//wf7//wEz/f//wP7//wsAAAAGzgIAAAIxMAEx/f//wf7//wEw/f//wP7//wQAAAAG0QIAAAdHZW5lcmFsAS79///B/v//AS39///A/v//AgAAAAbUAgAAATEBK/3//8H+//8BKv3//8D+//8AAAAABtcCAAAEOS40Mwci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j9//+v/v//CVIBAAAJUwEAAAEl/f//r/7//wlVAQAACVMBAAABIv3//6/+//8JWAEAAAbgAgAABS00MTQyAR/9//+v/v//CVsBAAAG4wIAAAdDYWxpYnJpARz9//+v/v//CV4BAAAG5gIAAAEwARn9//+v/v//CWEBAAAG6QIAAAIxMQEW/f//r/7//wlkAQAABuwCAAAHUmVndWxhcgcjAQAAAAEAAAAAAAAABDdHbG9iZVNvZnR3YXJlLkF0bGFzNDAuQXRsYXNDb21tb24uVHlwZS5GaWVsZE91dHB1dEZpZWxkDgAAAAEkAQAA7QAAAAcl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E/3//8H+//8BEv3//8D+//8kAAAACcQAAAABEP3//8H+//8BD/3//8D+//8LAAAABvICAAACMTEBDf3//8H+//8BDP3//8D+//8EAAAABvUCAAAHR2VuZXJhbAEK/f//wf7//wEJ/f//wP7//wIAAAAG+AIAAAExAQf9///B/v//AQb9///A/v//AAAAAAb7AgAABTIwLjQzAQT9///B/v//AQP9///A/v//AwAAAAb+AgAAnQE9SUYoW0BSZWZlcmVuY2VdPSJQdXJjaGFzZSBvcmRlciIsQXRsYXNUYWJsZSgiVUFUIixEYXRhQXJlYUlkLCJULlZlbmRJbnZvaWNlVHJhbnMiLCIlUmVjSWQiLCIiLCIiLCIiLCIiLCIiLCIiLCJJdGVtSWR8UHVyY2hJRHxJbnZlbnRUcmFuc0lkIiwkQzMsJEIzLCRLMyksIiIpASYBAAAMAAAAByc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Af3//6/+//8GAAMAAAhGb250Qm9sZAlTAQAAAf78//+v/v//BgMDAAAKRm9udEl0YWxpYwlTAQAAAfv8//+v/v//BgYDAAANRm9udFVuZGVybGluZQYHAwAABS00MTQyAfj8//+v/v//BgkDAAAIRm9udE5hbWUGCgMAAAdDYWxpYnJpAfX8//+v/v//BgwDAAAJRm9udENvbG9yBg0DAAABMAHy/P//r/7//wYPAwAACEZvbnRTaXplBhADAAACMTEB7/z//6/+//8GEgMAAAlGb250U3R5bGUGEwMAAAdSZWd1bGFyBygBAAAAAQAAAAAAAAAEN0dsb2JlU29mdHdhcmUuQXRsYXM0MC5BdGxhc0NvbW1vbi5UeXBlLkZpZWxkT3V0cHV0RmllbGQOAAAAASkBAADtAAAAByo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s/P//wf7//wHr/P//wP7//yQAAAAJ0QAAAAHp/P//wf7//wHo/P//wP7//wsAAAAGGQMAAAIxMgHm/P//wf7//wHl/P//wP7//wQAAAAGHAMAAAdHZW5lcmFsAeP8///B/v//AeL8///A/v//AgAAAAYfAwAAATEB4Pz//8H+//8B3/z//8D+//8AAAAABiIDAAAFMTAuNDMB3fz//8H+//8B3Pz//8D+//8DAAAABiUDAACpAT1JRihbQFJlZmVyZW5jZV09IlB1cmNoYXNlIG9yZGVyIixBdGxhc1RhYmxlKCJVQVQiLERhdGFBcmVhSWQsIlQuTWFya3VwVHJhbnMiLCIlQ3VycmVuY3lDb2RlIiwiIiwiIiwiIiwiIiwiIiwiIiwiTWFya3VwQ29kZXxUcmFuc1JlY0lkfFRyYW5zVGFibGVJZCIsIlRQUCIsJEwzLCI0OTIiKSwiIikBKwEAAAwAAAAHL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a/P//r/7//wYnAwAACEZvbnRCb2xkCVMBAAAB1/z//6/+//8GKgMAAApGb250SXRhbGljCVMBAAAB1Pz//6/+//8GLQMAAA1Gb250VW5kZXJsaW5lBi4DAAAFLTQxNDIB0fz//6/+//8GMAMAAAhGb250TmFtZQYxAwAAB0NhbGlicmkBzvz//6/+//8GMwMAAAlGb250Q29sb3IGNAMAAAEwAcv8//+v/v//BjYDAAAIRm9udFNpemUGNwMAAAIxMQHI/P//r/7//wY5AwAACUZvbnRTdHlsZQY6AwAAB1JlZ3VsYXIHL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X8///B/v//AcT8///A/v//JAAAAAneAAAAAcL8///B/v//AcH8///A/v//CwAAAAZAAwAAAjEzAb/8///B/v//Ab78///A/v//BAAAAAZDAwAAB0dlbmVyYWwBvPz//8H+//8Bu/z//8D+//8CAAAABkYDAAABMQG5/P//wf7//wG4/P//wP7//wAAAAAGSQMAAAIyOAG2/P//wf7//wG1/P//wP7//wMAAAAGTAMAAKoBPUlGKFtAUmVmZXJlbmNlXT0iUHVyY2hhc2Ugb3JkZXIiLEF0bGFzQmFsYW5jZSgiVUFUIixEYXRhQXJlYUlkLCJULk1hcmt1cFRyYW5zIiwiU3VtfFBvc3RlZHwwIiwiIiwiIiwiIiwiIiwiIiwiIiwiTWFya3VwQ29kZXxUcmFuc1RhYmxlSWR8VHJhbnNSZWNJZCIsIlRQUCIsIjQ5MiIsJEwzKSwiIikHM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z/P//r/7//wknAwAACVMBAAABsPz//6/+//8JKgMAAAlTAQAAAa38//+v/v//CS0DAAAGVQMAAAUtNDE0MgGq/P//r/7//wkwAwAABlgDAAAHQ2FsaWJyaQGn/P//r/7//wkzAwAABlsDAAABMAGk/P//r/7//wk2AwAABl4DAAACMTEBofz//6/+//8JOQMAAAZhAwAAB1JlZ3VsYXIFPgE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nvz//9L/////////AAZjAwAABEVudW0GZAMAAAlSZWZlcmVuY2UJZQMAAAGa/P//0P///wIAAAAFmfz//zlHbG9iZVNvZnR3YXJlLkF0bGFzNDAuQXRsYXNDb21tb24uTnVtYmVyU2VxdWVuY2VDb25kaXRpb24BAAAAB3ZhbHVlX18ACA4AAAABAAAAAAAGaAMAABFUYWJsZS5JbnZlbnRUcmFucwkpAAAACSwAAAAK/////wloAwAACgkpAAAACgoKCSwAAAAJbgMAAAksAAAAAWYBAAA+AQAAAZD8///S/////////wAGcQMAAAZTdHJpbmcGcgMAAAZOdW1iZXIJZQMAAAGM/P//0P///wIAAAABi/z//5n8//8BAAAAAAAJaAMAAAk3AAAACSwAAAAK/////wloAwAACgk3AAAACgoKCSwAAAAJfAMAAAksAAAAAY4BAAA+AQAAAYL8///S/////////wAGfwMAAAZTdHJpbmcGgAMAAAtJdGVtIG51bWJlcgllAwAAAX78///Q////AgAAAAF9/P//mfz//wEAAAAAAAloAwAACUUAAAAJLAAAAAr/////CWgDAAAKCUUAAAAKCgoJLAAAAAmKAwAACSwAAAABuQEAAD4BAAABdPz//9L/////////AAaNAwAABlN0cmluZwaOAwAACUl0ZW0gbmFtZQmPAwAAAXD8///Q////AgAAAAFv/P//mfz//wEAAAAAAAaSAwAAKlRhYmxlLkludmVudFRyYW5zLkl0ZW1JZH5UYWJsZS5JbnZlbnRUYWJsZQlTAAAACSwAAAAK/////wmSAwAACglTAAAABpcDAAAGSXRlbUlkBpgDAAALSW52ZW50VHJhbnMKCSwAAAAJmgMAAAksAAAAAd4BAAA+AQAAAWT8///S/////////wAGnQMAAAZTdHJpbmcGngMAAARTaXRlCZ8DAAABYPz//9D///8CAAAAAV/8//+Z/P//AQAAAAAABqIDAAAtVGFibGUuSW52ZW50VHJhbnMuaW52ZW50RGltSWR+VGFibGUuSW52ZW50RGltCWEAAAAJLAAAAAr/////CaIDAAAKCWEAAAAGpwMAAAtpbnZlbnREaW1JZAaoAwAAC0ludmVudFRyYW5zCgksAAAACaoDAAAJLAAAAAEDAgAAPgEAAAFU/P//0v////////8ABq0DAAAGU3RyaW5nBq4DAAAJV2FyZWhvdXNlCZ8DAAABUPz//9D///8CAAAAAU/8//+Z/P//AQAAAAAACaIDAAAJbwAAAAksAAAACv////8JogMAAAoJbwAAAAa3AwAAC2ludmVudERpbUlkBrgDAAALSW52ZW50VHJhbnMKCSwAAAAJugMAAAksAAAAASgCAAA+AQAAAUT8///S/////////wAGvQMAAAREYXRlBr4DAAANUGh5c2ljYWwgZGF0ZQllAwAAAUD8///Q////AgAAAAE//P//mfz//wEAAAAAAAloAwAACX0AAAAJLAAAAAr/////CWgDAAAKCX0AAAAKCgoJLAAAAAnIAwAACSwAAAABUAIAAD4BAAABNvz//9L/////////AAbLAwAABERhdGUGzAMAAA5GaW5hbmNpYWwgZGF0ZQllAwAAATL8///Q////AgAAAAEx/P//mfz//wEAAAAAAAloAwAACYsAAAAJLAAAAAr/////CWgDAAAKCYsAAAAKCgoJLAAAAAnWAwAACSwAAAABeAIAAD4BAAABKPz//9L///8BAAAAAAbZAwAABFJlYWwG2gMAAAhRdWFudGl0eQllAwAAAST8///Q////AgAAAAEj/P//mfz//wEAAAAAAAloAwAACZkAAAAJLAAAAAr/////CWgDAAAKCZkAAAAKCgoJLAAAAAnkAwAACSwAAAABoAIAAD4BAAABGvz//9L/////////AAbnAwAABlN0cmluZwboAwAABFVuaXQJ6QMAAAEW/P//0P///wIAAAABFfz//5n8//8BAAAAAAAJOwEAAAmnAAAACSwAAAAK/////wk7AQAACgmnAAAABvEDAAAGSXRlbUlkBvIDAAALSW52ZW50VGFibGUKCSwAAAAJ9AMAAAksAAAAAcUCAAA+AQAAAQr8///S/////////wAG9wMAAAZTdHJpbmcG+AMAAAZMb3QgSUQJZQMAAAEG/P//0P///wIAAAABBfz//5n8//8BAAAAAAAJaAMAAAm1AAAACSwAAAAK/////wloAwAACgm1AAAACgoKCSwAAAAJAgQAAAksAAAABWUD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LEAAAAGBAQAAAtJbnZlbnRUcmFucwYFBAAAFkludmVudG9yeSB0cmFuc2FjdGlvbnMJLAAAAAksAAAACSwAAAAF+fv//zBHbG9iZVNvZnR3YXJlLkF0bGFzNDAuQXRsYXNDb21tb24uRGF0YVNvdXJjZVR5cGUBAAAAB3ZhbHVlX18ACA4AAAAAAAAACQgEAAAJCQQAAAT2+///C1N5c3RlbS5HdWlkCwAAAAJfYQJfYgJfYwJfZAJfZQJfZgJfZwJfaAJfaQJfagJfawAAAAAAAAAAAAAACAcHAgICAgICAgL+2hPNUKGMR7xQeVAaoNHPCSwAAAAJLAAAAAkMBAAACWgDAAAKCgoKCgEAAAAF8vv//zRHbG9iZVNvZnR3YXJlLkF0bGFzNDAuQXRsYXNDb21tb24uRGF0YVNvdXJjZUpvaW5Nb2RlAQAAAAd2YWx1ZV9fAAgOAAAAAAAAAAXx+///NUdsb2JlU29mdHdhcmUuQXRsYXM0MC5BdGxhc0NvbW1vbi5EYXRhU291cmNlRmV0Y2hNb2RlAQAAAAd2YWx1ZV9fAAgOAAAAAAAAAAAJEAQAAAFuAwAAKAAAAE8AAAAJ7wAAAAMAAAAJEgQAAAF8AwAAKAAAAE8AAAAJ7wAAAAMAAAAJFAQAAAGKAwAAKAAAAE8AAAAJ7wAAAAMAAAAJFgQAAAGPAwAAZQMAAP////8GFwQAAAtJbnZlbnRUYWJsZQYYBAAABUl0ZW1zCSwAAAAJLAAAAAksAAAAAeb7///5+///AAAAAAkbBAAACRwEAAAB4/v///b7//8KjloMsiNMQZhRecc1NEMcCSwAAAAJLAAAAAkfBAAACZIDAAAGIQQAAAtJbnZlbnRUcmFucwYiBAAAEVRhYmxlLkludmVudFRyYW5zBiMEAAAYVGFibGUuSW52ZW50VHJhbnMuSXRlbUlkBiQEAAAGSXRlbUlkBiUEAAAGSXRlbUlkAQAAAAHa+///8vv//wAAAAAB2fv///H7//8AAAAAAAkoBAAAAZoDAAAoAAAARgAAAAn+AAAAAwAAAAkqBAAAAZ8DAABlAwAA/////wYrBAAACUludmVudERpbQYsBAAAFEludmVudG9yeSBkaW1lbnNpb25zCSwAAAAJLAAAAAksAAAAAdL7///5+///AAAAAAkvBAAACTAEAAABz/v///b7//+V85fOxn/PQIPyuKnHlYT2CSwAAAAJLAAAAAkzBAAACaIDAAAGNQQAAAtJbnZlbnRUcmFucwY2BAAAEVRhYmxlLkludmVudFRyYW5zBjcEAAAdVGFibGUuSW52ZW50VHJhbnMuaW52ZW50RGltSWQGOAQAAAtpbnZlbnREaW1JZAY5BAAAC2ludmVudERpbUlkAQAAAAHG+///8vv//wAAAAABxfv///H7//8AAAAAAAk8BAAAAaoDAAAoAAAARgAAAAn+AAAAAwAAAAk+BAAAAboDAAAoAAAARgAAAAn+AAAAAwAAAAlABAAAAcgDAAAoAAAATwAAAAnvAAAAAwAAAAlCBAAAAdYDAAAoAAAATwAAAAnvAAAAAwAAAAlEBAAAAeQDAAAoAAAATwAAAAnvAAAAAwAAAAlGBAAAAekDAABlAwAA/////wZHBAAAEUludmVudFRhYmxlTW9kdWxlBkgEAAAbSW52ZW50b3J5IG1vZHVsZSBwYXJhbWV0ZXJzCSwAAAAJLAAAAAksAAAAAbb7///5+///AAAAAAlLBAAACUwEAAABs/v///b7//+MNjtujSOgQJv41ZSXJAakCSwAAAAJLAAAAAlPBAAACTsBAAAGUQQAAAtJbnZlbnRUYWJsZQZSBAAAKlRhYmxlLkludmVudFRyYW5zLkl0ZW1JZH5UYWJsZS5JbnZlbnRUYWJsZQZTBAAAMVRhYmxlLkludmVudFRyYW5zLkl0ZW1JZH5UYWJsZS5JbnZlbnRUYWJsZS5JdGVtSWQGVAQAAAZJdGVtSWQGVQQAAAZJdGVtSWQBAAAAAar7///y+///AAAAAAGp+///8fv//wAAAAAACVgEAAAB9AMAACgAAABGAAAACf4AAAADAAAACVoEAAABAgQAACgAAABPAAAACe8AAAADAAAACVwEAAAECAQ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oAAAAJXQQAABEAAAAJXgQAAAQJB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V0EAAAAAAAABAwE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dBAAAAAAAAAQQB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gBAAAAAAAAAcS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/7//+v/v//BmIEAAAISGVscFRleHQGYwQAADJTcGVjaWZ5IHRoZSBtb2R1bGUgdGhhdCBnZW5lcmF0ZWQgdGhlIHRyYW5zYWN0aW9uLgGc+///r/7//wZlBAAABUxhYmVsCWQDAAABmfv//6/+//8GaAQAAARUeXBlCWMDAAAHFA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W+///r/7//wliBAAABmwEAAA1T3JkZXIgbnVtYmVyLCBwcm9qZWN0IG51bWJlciwgcHJvZHVjdGlvbiBudW1iZXIsIGV0Yy4Bk/v//6/+//8JZQQAAAlyAwAAAZD7//+v/v//CWgEAAAJcQMAAAcW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37//+v/v//CWIEAAAGdQQAAA5JZGVudGlmeSBpdGVtLgGK+///r/7//wllBAAACYADAAABh/v//6/+//8JaAQAAAl/AwAAARsEAAAIBAAAAQAAAAn+AAAAAwAAAAl9BAAAARwEAAAJBAAAAAAAAAl+BAAAAAAAAAQfB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M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VtdAQAAAAn+AAAAAwAAAAmABAAAASgEAAAQBAAAAAAAAAmBBAAAAAAAAAcq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77//+v/v//BoMEAAAFTGFiZWwJjgMAAAF7+///r/7//waGBAAABFR5cGUJjQMAAAEvBAAACAQAAAIAAAAJ/gAAAAMAAAAJiQQAAAEwBAAACQQAAAAAAAAJfgQAAAAAAAABMwQAAAwEAAAAAAAACf4AAAAAAAAAATwEAAAQBAAAAAAAAAmBBAAAAAAAAAc+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P7//+v/v//CYMEAAAJngMAAAFw+///r/7//wmGBAAACZ0DAAAHQA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t+///r/7//wmDBAAACa4DAAABavv//6/+//8JhgQAAAmtAwAAB0I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/v//6/+//8JYgQAAAabBAAAHERhdGUgb2YgcGh5c2ljYWwgdHJhbnNhY3Rpb24BZPv//6/+//8JZQQAAAm+AwAAAWH7//+v/v//CWgEAAAJvQMAAAdE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77//+v/v//CWIEAAAGpAQAAB1EYXRlIG9mIGZpbmFuY2lhbCB0cmFuc2FjdGlvbgFb+///r/7//wllBAAACcwDAAABWPv//6/+//8JaAQAAAnLAwAAB0Y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fv//6/+//8JYgQAAAatBAAAJFF1YW50aXR5IGF0dGFjaGVkIHRvIHRoZSB0cmFuc2FjdGlvbgFS+///r/7//wllBAAACdoDAAABT/v//6/+//8JaAQAAAnZAwAAAUsEAAAIBAAAAQAAAAn+AAAAAwAAAAm1BAAABEwE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EAAAAJfgQAAAMAAAAJtwQAAAFPBAAADAQAAAAAAAAJ/gAAAAAAAAABWAQAABAEAAAAAAAACYEEAAAAAAAAB1o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vv//6/+//8JgwQAAAnoAwAAAUP7//+v/v//CYYEAAAJ5wMAAAdc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D7//+v/v//CWIEAAAGwgQAAFJTdW1tYXJ5IG51bWJlci9Mb3QgSUQgZm9yIHRyYW5zYWN0aW9ucyBhdHRhY2hlZCB0byB0aGUgc2FtZSBpbnZlbnRvcnkgdHJhbnNhY3Rpb24uAT37//+v/v//CWUEAAAJ+AMAAAE6+///r/7//wloBAAACfcDAAABXQQAAAwAAAAHXgQAAAABAAAAC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N/v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ygQAABhUYWJsZS5JbnZlbnRUcmFucy5JdGVtSWQJjgEAAAE0+///N/v//wbNBAAAH1RhYmxlLkludmVudFRyYW5zLkludmVudFRyYW5zSWQJxQIAAAEx+///N/v//wbQBAAAG1RhYmxlLkludmVudFRyYW5zLlRyYW5zVHlwZQk+AQAAAS77//83+///BtMEAAAcVGFibGUuSW52ZW50VHJhbnMuVHJhbnNSZWZJZAlmAQAAASv7//83+///BtYEAAAeVGFibGUuSW52ZW50VHJhbnMuRGF0ZVBoeXNpY2FsCSgCAAABKPv//zf7//8G2QQAAB9UYWJsZS5JbnZlbnRUcmFucy5EYXRlRmluYW5jaWFsCVACAAABJfv//zf7//8G3AQAAB9UYWJsZS5JbnZlbnRUcmFucy5TdGF0dXNSZWNlaXB0Cd0EAAABIvv//zf7//8G3wQAAB1UYWJsZS5JbnZlbnRUcmFucy5TdGF0dXNJc3N1ZQngBAAAAR/7//83+///BuIEAAAVVGFibGUuSW52ZW50VHJhbnMuUXR5CXgCAAABHPv//zf7//8G5QQAACJUYWJsZS5JbnZlbnRUcmFucy5Db3N0QW1vdW50UG9zdGVkCeYEAAAEYAQ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30E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Rn7//83+///BugEAAAzVGFibGUuSW52ZW50VHJhbnMuSXRlbUlkflRhYmxlLkludmVudFRhYmxlLkl0ZW1OYW1lCbkBAAABfgQAAAwAAAAHgAQ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Fvv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4AAAAJOwEAAAnpAwAAAYEEAABgBAAAB4kEAAAAAQAAAAI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RP7//83+///Bu4EAAA6VGFibGUuSW52ZW50VHJhbnMuaW52ZW50RGltSWR+VGFibGUuSW52ZW50RGltLkludmVudFNpdGVJZAneAQAAARD7//83+///BvEEAAA+VGFibGUuSW52ZW50VHJhbnMuaW52ZW50RGltSWR+VGFibGUuSW52ZW50RGltLkludmVudExvY2F0aW9uSWQJAwIAAAe1BA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N+///N/v//wb0BAAAUFRhYmxlLkludmVudFRyYW5zLkl0ZW1JZH5UYWJsZS5JbnZlbnRUYWJsZS5JdGVtSWR+VGFibGUuSW52ZW50VGFibGVNb2R1bGUuVW5pdElkCaACAAAHtwQ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r7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4AAAAG9wQAAFRUYWJsZS5JbnZlbnRUcmFucy5JdGVtSWR+VGFibGUuSW52ZW50VGFibGUuSXRlbUlkflRhYmxlLkludmVudFRhYmxlTW9kdWxlLk1vZHVsZVR5cGUJ+AQAAAHdBAAAPgEAAAEH+///0v////////8ABvoEAAAERW51bQb7BAAADlJlY2VpcHQgc3RhdHVzCWUDAAABA/v//9D///8CAAAAAQL7//+Z/P//AQAAAAAACWgDAAAGAAUAAA1TdGF0dXNSZWNlaXB0CSwAAAAK/////wloAwAACgkABQAACgoKCSwAAAAJBQUAAAksAAAAAeAEAAA+AQAAAfn6///S/////////wAGCAUAAARFbnVtBgkFAAAMSXNzdWUgc3RhdHVzCWUDAAAB9fr//9D///8CAAAAAfT6//+Z/P//AQAAAAAACWgDAAAGDgUAAAtTdGF0dXNJc3N1ZQksAAAACv////8JaAMAAAoJDgUAAAoKCgksAAAACRMFAAAJLAAAAAHmBAAAPgEAAAHr+v//0v////////8ABhYFAAAEUmVhbAYXBQAAFUZpbmFuY2lhbCBjb3N0IGFtb3VudAllAwAAAef6///Q////AgAAAAHm+v//mfz//wEAAAAAAAloAwAABhwFAAAQQ29zdEFtb3VudFBvc3RlZAksAAAACv////8JaAMAAAoJHAUAAAoKCgksAAAACSEFAAAJLAAAAAX4BA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JOwEAAAk8AQAACSwAAAAJPQEAAP////8JOwEAAAoJPAEAAAYpBQAABkl0ZW1JZAoKCSwAAAAJKwUAAAksAAAAAQUFAAAoAAAADwAAAAnvAAAAAwAAAAkuBQAAARMFAAAoAAAADwAAAAnvAAAAAwAAAAkwBQAAASEFAAAoAAAADwAAAAnvAAAAAwAAAAkyBQAAASsFAAAoAAAAFAAAAAl+BAAAAwAAAAk0BQAABy4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/r//6/+//8JYgQAAAY3BQAAKVN0YXR1cyBvZiBxdWFudGl0eSBpbiByZWxhdGlvbiB0byByZWNlaXB0Acj6//+v/v//CWUEAAAJ+wQAAAHF+v//r/7//wloBAAACfoEAAAHMA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C+v//r/7//wliBAAABkAFAAApU3RhdHVzIGZvciBxdWFudGl0eSBpbiByZWxhdGlvbiB0byBpc3N1ZXMBv/r//6/+//8JZQQAAAkJBQAAAbz6//+v/v//CWgEAAAJCAUAAAcy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n6//+v/v//CWIEAAAGSQUAADVJbnZlbnRvcnkgdmFsdWUgZm9yIHRoZSBmaW5hbmNpYWxseSB1cGRhdGVkIHF1YW50aXR5LgG2+v//r/7//wllBAAACRcFAAABs/r//6/+//8JaAQAAAkWBQAABzQ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Pr//6/+//8GUQUAAARUeXBlBlIFAAAERW51bQGt+v//r/7//wZUBQAABUxhYmVsBlUFAAALTW9kdWxlIHR5cGUL</Report>
</Atlas>
</file>

<file path=customXml/item7.xml><?xml version="1.0" encoding="utf-8"?>
<Atlas>
  <Query type="ReportSummary" id="32e2f28b-5bf4-404d-bdfd-5ee4deac4d8d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w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Uk9E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C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NAAAADQ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I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Tg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C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lRQUFN1bV9zc3QGHgAAAAtUUFAgc3VtbWFyeQkIAAAACQgAAAAJCAAAAAXg////MEdsb2JlU29mdHdhcmUuQXRsYXM0MC5BdGxhc0NvbW1vbi5EYXRhU291cmNlVHlwZQEAAAAHdmFsdWVfXwAIAgAAAAAAAAAJIQAAAAkiAAAABN3///8LU3lzdGVtLkd1aWQLAAAAAl9hAl9iAl9jAl9kAl9lAl9mAl9nAl9oAl9pAl9qAl9rAAAAAAAAAAAAAAAIBwcCAgICAgICAop6NASWneFOvNI5+MNxYVcJCAAAAAkIAAAACSUAAAAGJgAAABBUYWJsZS5UUFBTdW1fc3N0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B0f///9T///8GMAAAACxUYWJsZS5UUFBTdW1fc3N0LkludmVudERpbUlkflRhYmxlLkludmVudERpbQkxAAAABxQAAAAAAQAAABAAAAAELUdsb2JlU29mdHdhcmUuQXRsYXM0MC5BdGxhc0NvbW1vbi5UeXBlLkNvbHVtbgIAAAAJMgAAAAkzAAAACTQAAAAJNQAAAAk2AAAACTcAAAAJOAAAAAk5AAAACToAAAAJOwAAAAk8AAAACT0AAAAJPgAAAA0DERUAAAAEAAAABj8AAAANQXRsYXNSZXBvcnRfNA0DBxcAAAAAAQAAAAI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wP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Bvv///8D///8GQwAAAA9UYWJsZS5JbnZlbnREaW0JMA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u/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W6////Pkdsb2JlU29mdHdhcmUuQXRsYXM0MC5BdGxhc0NvbW1vbi5UeXBlLkF0bGFzUXVlcnlBdHRyaWJ1dGVOYW1lAQAAAAd2YWx1ZV9fAAgCAAAAAgAAAAZHAAAAJDMyZTJmMjhiLTViZjQtNDA0ZC1iZGZkLTVlZTRkZWFjNGQ4ZAG4////u////wG3////uv///wAAAAAGSgAAAAR0cnVlAbX///+7////AbT///+6////CwAAAAZNAAAAC1RQUCBzdW1tYXJ5AbL///+7////AbH///+6////GwAAAAZQAAAABFRydWUBr////7v///8Brv///7r///8GAAAABlMAAAAFRmFsc2UBrP///7v///8Bq////7r///8cAAAACVAAAAABqf///7v///8BqP///7r///8dAAAACVMAAAABpv///7v///8Bpf///7r///8qAAAACVAAAAABo////7v///8Bov///7r///8BAAAABl8AAAADMzYzAaD///+7////AZ////+6////JwAAAAZiAAAACz1EYXRhQXJlYUlkAZ3///+7////AZz///+6////GQAAAAZlAAAAD0NlbGxzVmVydGljYWxseQGa////u////wGZ////uv///wkAAAAKAZj///+7////AZf///+6////KAAAAAZqAAAAAjEzAZX///+7////AZT///+6////KwAAAAZtAAAAEVRhYmxlU3R5bGVNZWRpdW0yBxwAAAAAAQAAAAI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S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m8AAAAKVFBQU3VtX3NzdAEAAAABkP///5L///8GcQAAAAlJbnZlbnREaW0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DAAAACXIAAAADAAAACXM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QAAAAkSAAAAAwAAAAl1AAAAASUAAAAEAAAAAQAAAAlyAAAAAwAAAAl3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XgAAAAAAAAAByoAAAAAAQAAAAAAAAAELUdsb2JlU29mdHdhcmUuQXRsYXM0MC5BdGxhc0NvbW1vbi5UeXBlLkNvbHVtbgIAAAABMQAAAA4AAAD/////BnkAAAAJSW52ZW50RGltBnoAAAAUSW52ZW50b3J5IGRpbWVuc2lvbnMJCAAAAAkIAAAACQgAAAABhP///+D///8AAAAACX0AAAAJfgAAAAGB////3f///zmm71GP5hlLlOw3SiiiaJUJCAAAAAkIAAAACYEAAAAJMAAAAAaDAAAAClRQUFN1bV9zc3QGhAAAABBUYWJsZS5UUFBTdW1fc3N0BoUAAAAcVGFibGUuVFBQU3VtX3NzdC5JbnZlbnREaW1JZAaGAAAAC0ludmVudERpbUlkBocAAAALaW52ZW50RGltSWQBAAAAAXj////Z////AAAAAAF3////2P///wAAAAAACYoAAAAFMg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iwAAAAmMAAAACY0AAAAGjgAAAAZJdGVtSWQGjwAAAAtJdGVtIG51bWJlcgaQAAAABlN0cmluZwkIAAAABpIAAAAkODMxYmViODEtNGY0MS00MzBhLTljNDctZTA2MDFkMzkxNGZkBW3///8tR2xvYmVTb2Z0d2FyZS5BdGxhczQwLkF0bGFzQ29tbW9uLkFnZ3JlZ2F0aW9uAQAAAAd2YWx1ZV9fAAgCAAAA/////wAAAAAFbP///yxHbG9iZVNvZnR3YXJlLkF0bGFzNDAuQXRsYXNDb21tb24uQ29sdW1uVHlwZQEAAAAHdmFsdWVfXwAIAgAAAAAAAAAFa////ytHbG9iZVNvZnR3YXJlLkF0bGFzNDAuQXRsYXNDb21tb24uU29ydE9yZGVyAQAAAAd2YWx1ZV9fAAgCAAAAAgAAAAAAAAAABWr///9AR2xvYmVTb2Z0d2FyZS5BdGxhczQwLkF0bGFzQ29tbW9uLlR5cGUuQ29sdW1uK0Nyb3NzVGFiQ29sdW1uVHlwZQEAAAAHdmFsdWVfXwAIAgAAAAAAAAAKAQAAAAAAAAAAAAAAAAAGlwAAACRkN2UyY2EzMS00NjlhLTQyZDctOWJlNi05NDFmZjlhMTFjZmQGmAAAABdUYWJsZS5UUFBTdW1fc3N0Lkl0ZW1JZAoKCgoBMwAAADIAAAAJmQAAAAmaAAAACZsAAAAGnAAAAAxJbnZlbnRTaXRlSWQGnQAAAARTaXRlBp4AAAAGU3RyaW5nCQgAAAAGoAAAACQwNjMwMTdkZi1mYmM2LTQ1YTQtYTk4My04ZjA3ZTZkNTFiNmMBX////23/////////AQAAAAFe////bP///wAAAAABXf///2v///8CAAAAAAAAAAABXP///2r///8AAAAACgEAAAAAAAAAAAEAAAAABqUAAAAkZTQ3ODJiNDctMTA4ZC00NDc3LTljOTMtMmIwNGJhZTUzYzc2BqYAAAA5VGFibGUuVFBQU3VtX3NzdC5JbnZlbnREaW1JZH5UYWJsZS5JbnZlbnREaW0uSW52ZW50U2l0ZUlkCgoKCgE0AAAAMgAAAAmnAAAACagAAAAJqQAAAAaqAAAAEEludmVudExvY2F0aW9uSWQGqwAAAAlXYXJlaG91c2UGrAAAAAZTdHJpbmcJCAAAAAauAAAAJDA4ZTQyZWExLTZkZjUtNDQ5My04MmQ0LTAyMjFmNTc1YzNmOAFR////bf////////8CAAAAAVD///9s////AAAAAAFP////a////wIAAAAAAAAAAAFO////av///wAAAAAKAQAAAAAAAAAAAgAAAAAGswAAACQ5Mzk5YzA3YS1jZjA4LTQ5ZGQtYmY2OS1kODEwYjRmZjI2YmIGtAAAAD1UYWJsZS5UUFBTdW1fc3N0LkludmVudERpbUlkflRhYmxlLkludmVudERpbS5JbnZlbnRMb2NhdGlvbklkCgoKCgE1AAAAMgAAAAm1AAAACbYAAAAJtwAAAAa4AAAAA1F0eQa5AAAACFF1YW50aXR5BroAAAAEUmVhbAkIAAAABrwAAAAkZjUzMGE3ZjAtN2RlNS00ZWMyLThiMGItMmRiOWUxMTVhMTk3AUP///9t////AQAAAAMAAAABQv///2z///8AAAAAAUH///9r////AgAAAAAAAAAAAUD///9q////AAAAAAoBAAAAAAAAAAADAAAAAAbBAAAAJDJiYzI3YTg5LWNkNTYtNDU4ZC1iMzAwLWMxODI2ODVmOGFhMgbCAAAAFFRhYmxlLlRQUFN1bV9zc3QuUXR5CgoKCgE2AAAAMgAAAAnDAAAACcQAAAAJxQAAAAbGAAAACkNvc3RBbW91bnQGxwAAAA9UUFAgY29zdCBhbW91bnQGyAAAAARSZWFsCQgAAAAGygAAACQ1MjMxZmY1OC0wOWUxLTRkMGUtOTVjMC05N2YxN2E4ZDllYzYBNf///23///8BAAAABAAAAAE0////bP///wAAAAABM////2v///8CAAAAAAAAAAABMv///2r///8AAAAACgEAAAAAAAAAAAQAAAAABs8AAAAkMzA1OTdhM2YtNDM3NS00NjM3LTk4ZDMtYTMzOWY5Nzk2OGNlBtAAAAAbVGFibGUuVFBQU3VtX3NzdC5Db3N0QW1vdW50CgoKCgE3AAAAMgAAAAnRAAAACdIAAAAJ0wAAAAbUAAAAN0F0bGFzTWFuYWdlZENvbHVtbl81ZmNlMmEyMi1hYTBiLTQ1Y2YtYjAzNy1jZDIzNjRmODRkMGIG1QAAAB9UUFAgdHJhbnMgYmFja3dhcmRzIChCZWdpbm5pbmcpCQgAAAAJCAAAAAbXAAAAJDI1OGZhNmVlLTc0NmEtNDI3Zi05YTllLThjMDRjNDVhNDBkYgEo////bf////////8FAAAAASf///9s////AgAAAAEm////a////wIAAAAAAAAAAAEl////av///wAAAAAKAQAAAAAAAAAABQAAAAAG3AAAACRiOGIzMWJjZS04YjMwLTQzYzItYWFiMC04OTBjOTc3MzVjOWMJCAAAAAoKCgoBOAAAADIAAAAJ3gAAAAnfAAAACeAAAAAG4QAAADdBdGxhc01hbmFnZWRDb2x1bW5fYjczZmU4NzctZDI5NC00NThjLWI1ZTYtY2FmOTU0NjliYTRiBuIAAAAcVFBQIHRyYW5zIGJhY2t3YXJkcyAoRW5kaW5nKQkIAAAACQgAAAAG5AAAACRjZGRiMWQ3NC00YmFkLTRhNDMtYjAwYy05ZGU3NTJhOTZhNTkBG////23/////////BgAAAAEa////bP///wIAAAABGf///2v///8CAAAAAAAAAAABGP///2r///8AAAAACgEAAAAAAAAAAAYAAAAABukAAAAkNTNhYjI2ODktMmU2Mi00NzdhLTkyYjktZDE2Y2JkZGU2Nzk3CQgAAAAKCgoKATkAAAAyAAAACesAAAAJ7AAAAAntAAAABu4AAAA3QXRsYXNNYW5hZ2VkQ29sdW1uXzA2YWNiM2EyLTI4MmUtNDc2OC05YzI0LWIzYzhhZWY5ZTJiYgbvAAAAF1RQUCBPbi1oYW5kIChCZWdpbm5pbmcpCQgAAAAJCAAAAAbxAAAAJGVlYmI5NDRmLWEzNGEtNDM2OS05MTBjLTU0Y2RkYzkyNDNlYwEO////bf////////8HAAAAAQ3///9s////AgAAAAEM////a////wIAAAAAAAAAAAEL////av///wAAAAAKAQAAAAAAAAAABwAAAAAG9gAAACRkNDM5NzQ5Zi03MGY2LTQwZTAtOTdkYy02MzEwZjgyZjNiNjcJCAAAAAoKCgoBOgAAADIAAAAJ+AAAAAn5AAAACfoAAAAG+wAAADdBdGxhc01hbmFnZWRDb2x1bW5fNWVlYjJhNjctOTk4ZC00YzkyLWE4MmQtODAwYzgzZDM4MGVkBvwAAAAUVFBQIE9uLWhhbmQgKEVuZGluZykJCAAAAAkIAAAABv4AAAAkNmMzOGQ3OWItYmZlZS00ODUxLTlkZDEtYzBkNTc2OGY5ZjBhAQH///9t/////////wgAAAABAP///2z///8CAAAAAf/+//9r////AgAAAAAAAAAAAf7+//9q////AAAAAAoBAAAAAAAAAAAIAAAAAAYDAQAAJDk2ODEzODUyLWNkYWUtNGRhNC1iZDRhLWRlZTA4Njc5ZDlhNwkIAAAACgoKCgE7AAAAMgAAAAkFAQAACQYBAAAJBwEAAAYIAQAAN0F0bGFzTWFuYWdlZENvbHVtbl83OGUxYWNiMC00MjgxLTRmMjQtYjAwYi1mMmJiNmIyYjA1ZjkGCQEAACdUUFAgdHJhbnMgYmFja3dhcmRzIGJhbGFuY2UgKEJlZ2lubmluZykJCAAAAAkIAAAABgsBAAAkYTYxZmMyOTAtY2MwMS00ZTQ2LWE0YTYtMDA4YTBiMjk5NWQ1AfT+//9t/////////wkAAAAB8/7//2z///8CAAAAAfL+//9r////AgAAAAAAAAAAAfH+//9q////AAAAAAoBAAAAAAAAAAAJAAAAAAYQAQAAJDYxNjBmNzA4LTE4NmUtNDBjZC1iY2Q3LTUxMjNhNzBlZmNlMgkIAAAACgoKCgE8AAAAMgAAAAkSAQAACRMBAAAJFAEAAAYVAQAAN0F0bGFzTWFuYWdlZENvbHVtbl9hMjM3ODZlOS00NmI3LTRlN2EtYmZjYS00MzJlYjYxMDRlN2UGFgEAACRUUFAgdHJhbnMgYmFja3dhcmRzIGJhbGFuY2UgKEVuZGluZykJCAAAAAkIAAAABhgBAAAkYTE5YzQyNTgtNDc2Yy00NTM1LWFkYWYtYzMzNTI2YjNjMzY4Aef+//9t/////////woAAAAB5v7//2z///8CAAAAAeX+//9r////AgAAAAAAAAAAAeT+//9q////AAAAAAoBAAAAAAAAAAAKAAAAAAYdAQAAJGZmMWY2ZjIzLTI1ZTEtNGQ3Yi1iYWFiLWE1MzQ2MmJjZGRjNAkIAAAACgoKCgE9AAAAMgAAAAkfAQAACSABAAAJIQEAAAYiAQAAN0F0bGFzTWFuYWdlZENvbHVtbl9lOGJkZDc2Ny00NmJhLTQ4MzMtYjIzYi1kODUyMjY4NTEzYmEGIwEAABdUUFAgQmFsYW5jZSAoQmVnaW5uaW5nKQkIAAAACQgAAAAGJQEAACQ4MDgyZTY3Yi1iMWZlLTRlNjAtOGYwMC0wMDFiNGRiNGQyZjMB2v7//23/////////CwAAAAHZ/v//bP///wIAAAAB2P7//2v///8CAAAAAAAAAAAB1/7//2r///8AAAAACgEAAAAAAAAAAAsAAAAABioBAAAkZjczNmViMmEtOTVmZS00NjBlLTk1ZmUtNmJkNDgwZDAwM2UyCQgAAAAKCgoKAT4AAAAyAAAACSwBAAAJLQEAAAkuAQAABi8BAAA3QXRsYXNNYW5hZ2VkQ29sdW1uXzNlNWI5NDNjLTk0MmUtNDA3MC1iNzEzLTQ1YThlZWE3Y2Q5MQYwAQAAFFRQUCBCYWxhbmNlIChFbmRpbmcpCQgAAAAJCAAAAAYyAQAAJDFiOTAyMDFmLWUwNzctNDYwNC1iYTU3LTBmZjFkYmFiNzI3MQHN/v//bf////////8MAAAAAcz+//9s////AgAAAAHL/v//a////wIAAAAAAAAAAAHK/v//av///wAAAAAKAQAAAAAAAAAADAAAAAAGNwEAACQwNmQ5ZjQ0Yi02MzNjLTQ4NzItYTdkNi03YTI4MDgyOTE2NTcJCAAAAAoKCgoBcgAAABIAAAAHcwAAAAABAAAAA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x/7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OgEAABdUYWJsZS5UUFBTdW1fc3N0Lkl0ZW1JZAk7AQAAAcT+///H/v//Bj0BAAAUVGFibGUuVFBQU3VtX3NzdC5RdHkJPgEAAAHB/v//x/7//wZAAQAAG1RhYmxlLlRQUFN1bV9zc3QuQ29zdEFtb3VudAlBAQAAB3UA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S+/v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CAAAABkMBAAAXVGFibGUuVFBQU3VtX3NzdC5JdGVtSWQJRAEAAAd3A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7/v//1P///wkwAAAACTEAAAAEeA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X0AAAAhAAAAAgAAAAlIAQAAAwAAAAlJAQAABH4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EgQ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UgBAAAAAAAAAYoAAAApAAAAAAAAAAlMAQAAAAAAAASL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lNAQAAAQAAAAEAAAAEjA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12CAAAACU4BAAAHAAAACU8BAAAEj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+AAAACUgBAAAHAAAACVEBAAABmQAAAIsAAAAJUgEAAAEAAAABAAAAAZoAAACMAAAAegAAAAlOAQAABwAAAAlUAQAABJs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lIAQAABwAAAAlWAQAAAacAAACLAAAACVcBAAABAAAAAQAAAAGoAAAAjAAAAHoAAAAJTgEAAAcAAAAJWQEAAASp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cAAAAJSAEAAAcAAAAJWwEAAAG1AAAAiwAAAAlcAQAAAQAAAAEAAAABtgAAAIwAAACCAAAACU4BAAAHAAAACV4BAAAEt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+AAAACUgBAAAHAAAACWABAAABwwAAAIsAAAAJYQEAAAEAAAABAAAAAcQAAACMAAAAggAAAAlOAQAABwAAAAljAQAABMU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gAAAAlIAQAABwAAAAllAQAAAdEAAACLAAAACWYBAAAAAAAAAAAAAAHSAAAAjAAAAHkAAAAJTgEAAAcAAAAJaAEAAATT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AAAAAJSAEAAAcAAAAJagEAAAHeAAAAiwAAAAlmAQAAAAAAAAAAAAAB3wAAAIwAAAB5AAAACU4BAAAHAAAACW0BAAAE4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wAAAACUgBAAAHAAAACW8BAAAB6wAAAIsAAAAJZgEAAAAAAAAAAAAAAewAAACMAAAAeAAAAAlOAQAABwAAAAlyAQAABO0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AAAAAlIAQAABwAAAAl0AQAAAfgAAACLAAAACWYBAAAAAAAAAAAAAAH5AAAAjAAAAHgAAAAJTgEAAAcAAAAJdwEAAAT6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AAAAAJSAEAAAcAAAAJeQEAAAEFAQAAiwAAAAl6AQAAAAAAAAAAAAABBgEAAIwAAABaAAAACXsBAAAHAAAACXwBAAAEB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UAAAACX0BAAAHAAAACX4BAAABEgEAAIsAAAAJegEAAAAAAAAAAAAAARMBAACMAAAAWgAAAAl7AQAABwAAAAmBAQAABBQ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AAAAAl9AQAABwAAAAmDAQAAAR8BAACLAAAACXoBAAAAAAAAAAAAAAEgAQAAjAAAAGIAAAAJewEAAAcAAAAJhgEAAAQh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sAAAAJfQEAAAcAAAAJiAEAAAEsAQAAiwAAAAl6AQAAAAAAAAAAAAABLQEAAIwAAABiAAAACXsBAAAHAAAACYsBAAAEL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bAAAACX0BAAAHAAAACY0BAAAFOwE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AgAAAAExR2xvYmVTb2Z0d2FyZS5BdGxhczQwLkF0bGFzQ29tbW9uLlR5cGUuRGF0YVNvdXJjZQIAAAArR2xvYmVTb2Z0d2FyZS5BdGxhczQwLkF0bGFzQ29tbW9uLlNvcnRPcmRlcgIAAAA5R2xvYmVTb2Z0d2FyZS5BdGxhczQwLkF0bGFzQ29tbW9uLk51bWJlclNlcXVlbmNlQ29uZGl0aW9uA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Bcv7//23/////////AAaPAQAABlN0cmluZwaQAQAAC0l0ZW0gbnVtYmVyCZEBAAABbv7//2v///8CAAAABW3+//85R2xvYmVTb2Z0d2FyZS5BdGxhczQwLkF0bGFzQ29tbW9uLk51bWJlclNlcXVlbmNlQ29uZGl0aW9uAQAAAAd2YWx1ZV9fAAgCAAAAAQAAAAAABpQBAAAQVGFibGUuVFBQU3VtX3NzdAmOAAAACQgAAAAK/////wmUAQAACgmOAAAACgoKCQgAAAAJmgEAAAkIAAAAAT4BAAA7AQAAAWT+//9t////AQAAAAAGnQEAAARSZWFsBp4BAAAIUXVhbnRpdHkJkQEAAAFg/v//a////wIAAAABX/7//23+//8BAAAAAAAJlAEAAAm4AAAACQgAAAAK/////wmUAQAACgm4AAAACgoKCQgAAAAJqAEAAAkIAAAAAUEBAAA7AQAAAVb+//9t////AQAAAAAGqwEAAARSZWFsBqwBAAAPVFBQIGNvc3QgYW1vdW50CZEBAAABUv7//2v///8CAAAAAVH+//9t/v//AQAAAAAACZQBAAAJxgAAAAkIAAAACv////8JlAEAAAoJxgAAAAoKCgkIAAAACbYBAAAJCAAAAAVEAQ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GuAEAABBUYWJsZS5UUFBTdW1fc3N0BrkBAAAGSXRlbUlkCQgAAAAGuwEAAAEq/////wm4AQAACgm5AQAACgoKCQgAAAAJvwEAAAkIAAAAAUgBAAASAAAAB0kBAAAAAQAAAAI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T/+///H/v//BsIBAAA5VGFibGUuVFBQU3VtX3NzdC5JbnZlbnREaW1JZH5UYWJsZS5JbnZlbnREaW0uSW52ZW50U2l0ZUlkCcMBAAABPP7//8f+//8GxQEAAD1UYWJsZS5UUFBTdW1fc3N0LkludmVudERpbUlkflRhYmxlLkludmVudERpbS5JbnZlbnRMb2NhdGlvbklkCcYBAAABTAEAAHgAAAAHTQEAAAABAAAABAAAAAQ3R2xvYmVTb2Z0d2FyZS5BdGxhczQwLkF0bGFzQ29tbW9uLlR5cGUuRmllbGRPdXRwdXRGaWVsZAIAAAAJOwEAAA0DBE4B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08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4/v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CAAAABTf+//8yR2xvYmVTb2Z0d2FyZS5BdGxhczQwLkF0bGFzQ29tbW9uLkNvbHVtbkF0dHJpYnV0ZXMBAAAAB3ZhbHVlX18ACAIAAAAQAAAABsoBAAAETm9uZQE1/v//OP7//wE0/v//N/7//wkAAAAJCAAAAAEy/v//OP7//wEx/v//N/7//wsAAAAG0AEAAAEwAS/+//84/v//AS7+//83/v//BAAAAAbTAQAAB0dlbmVyYWwBLP7//zj+//8BK/7//zf+//8CAAAABtYBAAABMQEp/v//OP7//wEo/v//N/7//wAAAAAG2QEAAAUxNC43MQdR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Cb+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2wEAAAhGb250Qm9sZAbcAQAABUZhbHNlASP+//8m/v//Bt4BAAAKRm9udEl0YWxpYwncAQAAASD+//8m/v//BuEBAAANRm9udFVuZGVybGluZQbiAQAABS00MTQyAR3+//8m/v//BuQBAAAIRm9udE5hbWUG5QEAAAdDYWxpYnJpARr+//8m/v//BucBAAAJRm9udENvbG9yBugBAAABMAEX/v//Jv7//wbqAQAACEZvbnRTaXplBusBAAACMTEBFP7//yb+//8G7QEAAAlGb250U3R5bGUG7gEAAAdSZWd1bGFyB1IBAAAAAQAAAAQAAAAEN0dsb2JlU29mdHdhcmUuQXRsYXM0MC5BdGxhc0NvbW1vbi5UeXBlLkZpZWxkT3V0cHV0RmllbGQCAAAACcMBAAANAwdU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EP7//zj+//8BD/7//zf+//8JAAAACQgAAAABDf7//zj+//8BDP7//zf+//8LAAAABvUBAAABMQEK/v//OP7//wEJ/v//N/7//wQAAAAG+AEAAAdHZW5lcmFsAQf+//84/v//AQb+//83/v//AgAAAAb7AQAAATEBBP7//zj+//8BA/7//zf+//8AAAAABv4BAAABNgdW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H+//8m/v//CdsBAAAJ3AEAAAH+/f//Jv7//wneAQAACdwBAAAB+/3//yb+//8J4QEAAAYHAgAABS00MTQyAfj9//8m/v//CeQBAAAGCgIAAAdDYWxpYnJpAfX9//8m/v//CecBAAAGDQIAAAEwAfL9//8m/v//CeoBAAAGEAIAAAIxMQHv/f//Jv7//wntAQAABhMCAAAHUmVndWxhcgdXAQAAAAEAAAAEAAAABDdHbG9iZVNvZnR3YXJlLkF0bGFzNDAuQXRsYXNDb21tb24uVHlwZS5GaWVsZE91dHB1dEZpZWxkAgAAAAnGAQAADQMHWQ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ev9//84/v//Aer9//83/v//CQAAAAkIAAAAAej9//84/v//Aef9//83/v//CwAAAAYaAgAAATIB5f3//zj+//8B5P3//zf+//8EAAAABh0CAAAHR2VuZXJhbAHi/f//OP7//wHh/f//N/7//wIAAAAGIAIAAAExAd/9//84/v//Ad79//83/v//AAAAAAYjAgAABTEyLjg2B1s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P3//yb+//8J2wEAAAncAQAAAdn9//8m/v//Cd4BAAAJ3AEAAAHW/f//Jv7//wnhAQAABiwCAAAFLTQxNDIB0/3//yb+//8J5AEAAAYvAgAAB0NhbGlicmkB0P3//yb+//8J5wEAAAYyAgAAATABzf3//yb+//8J6gEAAAY1AgAAAjExAcr9//8m/v//Ce0BAAAGOAIAAAdSZWd1bGFyB1wBAAAAAQAAAAQAAAAEN0dsb2JlU29mdHdhcmUuQXRsYXM0MC5BdGxhc0NvbW1vbi5UeXBlLkZpZWxkT3V0cHV0RmllbGQCAAAACT4BAAANAwde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xv3//zj+//8Bxf3//zf+//8QAAAACcoBAAABw/3//zj+//8Bwv3//zf+//8JAAAACQgAAAABwP3//zj+//8Bv/3//zf+//8LAAAABkICAAABMwG9/f//OP7//wG8/f//N/7//wQAAAAGRQIAAAdHZW5lcmFsAbr9//84/v//Abn9//83/v//AgAAAAZIAgAAATEBt/3//zj+//8Btv3//zf+//8AAAAABksCAAAFMTAuMjkHY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0/f//Jv7//wnbAQAACdwBAAABsf3//yb+//8J3gEAAAncAQAAAa79//8m/v//CeEBAAAGVAIAAAUtNDE0MgGr/f//Jv7//wnkAQAABlcCAAAHQ2FsaWJyaQGo/f//Jv7//wnnAQAABloCAAABMAGl/f//Jv7//wnqAQAABl0CAAACMTEBov3//yb+//8J7QEAAAZgAgAAB1JlZ3VsYXIHYQEAAAABAAAABAAAAAQ3R2xvYmVTb2Z0d2FyZS5BdGxhczQwLkF0bGFzQ29tbW9uLlR5cGUuRmllbGRPdXRwdXRGaWVsZAIAAAAJQQEAAA0DB2M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e/f//OP7//wGd/f//N/7//xAAAAAJygEAAAGb/f//OP7//wGa/f//N/7//wkAAAAJCAAAAAGY/f//OP7//wGX/f//N/7//wsAAAAGagIAAAE0AZX9//84/v//AZT9//83/v//BAAAAAZtAgAAB0dlbmVyYWwBkv3//zj+//8Bkf3//zf+//8CAAAABnACAAABMQGP/f//OP7//wGO/f//N/7//wAAAAAGcwIAAAUxNy4yOQdl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z9//8m/v//CdsBAAAJ3AEAAAGJ/f//Jv7//wneAQAACdwBAAABhv3//yb+//8J4QEAAAZ8AgAABS00MTQyAYP9//8m/v//CeQBAAAGfwIAAAdDYWxpYnJpAYD9//8m/v//CecBAAAGggIAAAEwAX39//8m/v//CeoBAAAGhQIAAAIxMQF6/f//Jv7//wntAQAABogCAAAHUmVndWxhcgdmAQAAAAEAAAAAAAAABDdHbG9iZVNvZnR3YXJlLkF0bGFzNDAuQXRsYXNDb21tb24uVHlwZS5GaWVsZE91dHB1dEZpZWxkAgAAAAdo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d/3//zj+//8Bdv3//zf+//8kAAAACdUAAAABdP3//zj+//8Bc/3//zf+//8LAAAABo4CAAABNQFx/f//OP7//wFw/f//N/7//wQAAAAGkQIAAAdHZW5lcmFsAW79//84/v//AW39//83/v//AgAAAAaUAgAAATEBa/3//zj+//8Bav3//zf+//8AAAAABpcCAAACMzIBaP3//zj+//8BZ/3//zf+//8DAAAABpoCAADGAT1BdGxhc0JhbGFuY2UoIlBST0QiLERhdGFBcmVhSWQsIlQuVFBQVHJhbnNfc3N0fEludmVudERpbUlkfmludmVudERpbUlkQFQuSW52ZW50RGltIiwiU3VtfFF0eXwwIiwiIiwiIiwiIiwiIiwiIiwiIiwiSXRlbUlkfFRyYW5zRGF0ZXxUMi5JbnZlbnRTaXRlSWR8VDIuSW52ZW50TG9jYXRpb25JZCIsJEEzLFBlcmlvZEJlZ2lubmluZywkQjMsJEMzKQdq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X9//8m/v//BpwCAAAIRm9udEJvbGQJ3AEAAAFi/f//Jv7//wafAgAACkZvbnRJdGFsaWMJ3AEAAAFf/f//Jv7//waiAgAADUZvbnRVbmRlcmxpbmUGowIAAAUtNDE0MgFc/f//Jv7//walAgAACEZvbnROYW1lBqYCAAAHQ2FsaWJyaQFZ/f//Jv7//waoAgAACUZvbnRDb2xvcgapAgAAATABVv3//yb+//8GqwIAAAhGb250U2l6ZQasAgAAAjExAVP9//8m/v//Bq4CAAAJRm9udFN0eWxlBq8CAAAHUmVndWxhcgdt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UP3//zj+//8BT/3//zf+//8kAAAACeIAAAABTf3//zj+//8BTP3//zf+//8LAAAABrUCAAABNgFK/f//OP7//wFJ/f//N/7//wQAAAAGuAIAAAdHZW5lcmFsAUf9//84/v//AUb9//83/v//AgAAAAa7AgAAATEBRP3//zj+//8BQ/3//zf+//8AAAAABr4CAAACMjkBQf3//zj+//8BQP3//zf+//8DAAAABsECAADDAT1BdGxhc0JhbGFuY2UoIlBST0QiLERhdGFBcmVhSWQsIlQuVFBQVHJhbnNfc3N0fEludmVudERpbUlkfmludmVudERpbUlkQFQuSW52ZW50RGltIiwiU3VtfFF0eXwwIiwiIiwiIiwiIiwiIiwiIiwiIiwiSXRlbUlkfFRyYW5zRGF0ZXxUMi5JbnZlbnRTaXRlSWR8VDIuSW52ZW50TG9jYXRpb25JZCIsJEEzLFBlcmlvZEVuZGluZywkQjMsJEMzKQdv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79//8m/v//CZwCAAAJ3AEAAAE7/f//Jv7//wmfAgAACdwBAAABOP3//yb+//8JogIAAAbKAgAABS00MTQyATX9//8m/v//CaUCAAAGzQIAAAdDYWxpYnJpATL9//8m/v//CagCAAAG0AIAAAEwAS/9//8m/v//CasCAAAG0wIAAAIxMQEs/f//Jv7//wmuAgAABtYCAAAHUmVndWxhcgdy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Kf3//zj+//8BKP3//zf+//8kAAAACe8AAAABJv3//zj+//8BJf3//zf+//8LAAAABtwCAAABNwEj/f//OP7//wEi/f//N/7//wQAAAAG3wIAAAdHZW5lcmFsASD9//84/v//AR/9//83/v//AgAAAAbiAgAAATEBHf3//zj+//8BHP3//zf+//8AAAAABuUCAAAFMjUuMTQBGv3//zj+//8BGf3//zf+//8DAAAABugCAAAxPVtAUXVhbnRpdHldLVtAW1RQUCB0cmFucyBiYWNrd2FyZHMgKEJlZ2lubmluZyldXQd0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f9//8m/v//CZwCAAAJ3AEAAAEU/f//Jv7//wmfAgAACdwBAAABEf3//yb+//8JogIAAAbxAgAABS00MTQyAQ79//8m/v//CaUCAAAG9AIAAAdDYWxpYnJpAQv9//8m/v//CagCAAAG9wIAAAEwAQj9//8m/v//CasCAAAG+gIAAAIxMQEF/f//Jv7//wmuAgAABv0CAAAHUmVndWxhcgd3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Av3//zj+//8BAf3//zf+//8kAAAACfwAAAAB//z//zj+//8B/vz//zf+//8LAAAABgMDAAABOAH8/P//OP7//wH7/P//N/7//wQAAAAGBgMAAAdHZW5lcmFsAfn8//84/v//Afj8//83/v//AgAAAAYJAwAAATEB9vz//zj+//8B9fz//zf+//8AAAAABgwDAAAFMjIuMTQB8/z//zj+//8B8vz//zf+//8DAAAABg8DAAAuPVtAUXVhbnRpdHldLVtAW1RQUCB0cmFucyBiYWNrd2FyZHMgKEVuZGluZyldXQd5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D8//8m/v//CZwCAAAJ3AEAAAHt/P//Jv7//wmfAgAACdwBAAAB6vz//yb+//8JogIAAAYYAwAABS00MTQyAef8//8m/v//CaUCAAAGGwMAAAdDYWxpYnJpAeT8//8m/v//CagCAAAGHgMAAAEwAeH8//8m/v//CasCAAAGIQMAAAIxMQHe/P//Jv7//wmuAgAABiQDAAAHUmVndWxhcgd6AQAAAAEAAAAAAAAABDdHbG9iZVNvZnR3YXJlLkF0bGFzNDAuQXRsYXNDb21tb24uVHlwZS5GaWVsZE91dHB1dEZpZWxkAgAAAAF7AQAATgEAAAd8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2/z//zj+//8B2vz//zf+//8kAAAACQkBAAAB2Pz//zj+//8B1/z//zf+//8LAAAABioDAAABOQHV/P//OP7//wHU/P//N/7//wQAAAAGLQMAAAdHZW5lcmFsAdL8//84/v//AdH8//83/v//AgAAAAYwAwAAATEBz/z//zj+//8Bzvz//zf+//8AAAAABjMDAAAFMzkuMjkBzPz//zj+//8By/z//zf+//8DAAAABjYDAADNAT1BdGxhc0JhbGFuY2UoIlBST0QiLERhdGFBcmVhSWQsIlQuVFBQVHJhbnNfc3N0fEludmVudERpbUlkfmludmVudERpbUlkQFQuSW52ZW50RGltIiwiU3VtfENvc3RBbW91bnR8MCIsIiIsIiIsIiIsIiIsIiIsIiIsIkl0ZW1JZHxUcmFuc0RhdGV8VDIuSW52ZW50U2l0ZUlkfFQyLkludmVudExvY2F0aW9uSWQiLCRBMyxQZXJpb2RCZWdpbm5pbmcsJEIzLCRDMykBfQEAABIAAAAHf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J/P//Jv7//wY4AwAACEZvbnRCb2xkCdwBAAABxvz//yb+//8GOwMAAApGb250SXRhbGljCdwBAAABw/z//yb+//8GPgMAAA1Gb250VW5kZXJsaW5lBj8DAAAFLTQxNDIBwPz//yb+//8GQQMAAAhGb250TmFtZQZCAwAAB0NhbGlicmkBvfz//yb+//8GRAMAAAlGb250Q29sb3IGRQMAAAEwAbr8//8m/v//BkcDAAAIRm9udFNpemUGSAMAAAIxMQG3/P//Jv7//wZKAwAACUZvbnRTdHlsZQZLAwAAB1JlZ3VsYXIHg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T8//84/v//AbP8//83/v//JAAAAAkWAQAAAbH8//84/v//AbD8//83/v//CwAAAAZRAwAAAjEwAa78//84/v//Aa38//83/v//BAAAAAZUAwAAB0dlbmVyYWwBq/z//zj+//8Bqvz//zf+//8CAAAABlcDAAABMQGo/P//OP7//wGn/P//N/7//wAAAAAGWgMAAAUzNi40MwGl/P//OP7//wGk/P//N/7//wMAAAAGXQMAAMoBPUF0bGFzQmFsYW5jZSgiUFJPRCIsRGF0YUFyZWFJZCwiVC5UUFBUcmFuc19zc3R8SW52ZW50RGltSWR+aW52ZW50RGltSWRAVC5JbnZlbnREaW0iLCJTdW18Q29zdEFtb3VudHwwIiwiIiwiIiwiIiwiIiwiIiwiIiwiSXRlbUlkfFRyYW5zRGF0ZXxUMi5JbnZlbnRTaXRlSWR8VDIuSW52ZW50TG9jYXRpb25JZCIsJEEzLFBlcmlvZEVuZGluZywkQjMsJEMzKQeD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L8//8m/v//CTgDAAAJ3AEAAAGf/P//Jv7//wk7AwAACdwBAAABnPz//yb+//8JPgMAAAZmAwAABS00MTQyAZn8//8m/v//CUEDAAAGaQMAAAdDYWxpYnJpAZb8//8m/v//CUQDAAAGbAMAAAEwAZP8//8m/v//CUcDAAAGbwMAAAIxMQGQ/P//Jv7//wlKAwAABnIDAAAHUmVndWxhcgeG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jfz//zj+//8BjPz//zf+//8kAAAACSMBAAABivz//zj+//8Bifz//zf+//8LAAAABngDAAACMTEBh/z//zj+//8Bhvz//zf+//8EAAAABnsDAAAHR2VuZXJhbAGE/P//OP7//wGD/P//N/7//wIAAAAGfgMAAAExAYH8//84/v//AYD8//83/v//AAAAAAaBAwAABTI0LjI5AX78//84/v//AX38//83/v//AwAAAAaEAwAAQj1bQFtUUFAgY29zdCBhbW91bnRdXS1bQFtUUFAgdHJhbnMgYmFja3dhcmRzIGJhbGFuY2UgKEJlZ2lubmluZyldXQeI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v8//8m/v//CTgDAAAJ3AEAAAF4/P//Jv7//wk7AwAACdwBAAABdfz//yb+//8JPgMAAAaNAwAABS00MTQyAXL8//8m/v//CUEDAAAGkAMAAAdDYWxpYnJpAW/8//8m/v//CUQDAAAGkwMAAAEwAWz8//8m/v//CUcDAAAGlgMAAAIxMQFp/P//Jv7//wlKAwAABpkDAAAHUmVndWxhcgeL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Zvz//zj+//8BZfz//zf+//8kAAAACTABAAABY/z//zj+//8BYvz//zf+//8LAAAABp8DAAACMTIBYPz//zj+//8BX/z//zf+//8EAAAABqIDAAAHR2VuZXJhbAFd/P//OP7//wFc/P//N/7//wIAAAAGpQMAAAExAVr8//84/v//AVn8//83/v//AAAAAAaoAwAABTIxLjI5AVf8//84/v//AVb8//83/v//AwAAAAarAwAAMj1bQFtUUFAgY29zdCBhbW91bnRdXS1bQFtUUFAgQmFsYW5jZSAoQmVnaW5uaW5nKV1dB40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Pz//yb+//8JOAMAAAncAQAAAVH8//8m/v//CTsDAAAJ3AEAAAFO/P//Jv7//wk+AwAABrQDAAAFLTQxNDIBS/z//yb+//8JQQMAAAa3AwAAB0NhbGlicmkBSPz//yb+//8JRAMAAAa6AwAAATABRfz//yb+//8JRwMAAAa9AwAAAjExAUL8//8m/v//CUoDAAAGwAMAAAdSZWd1bGFyAZEBAAAOAAAABZ0AAAbBAwAAClRQUFN1bV9zc3QGwgMAAAtUUFAgc3VtbWFyeQkIAAAACQgAAAAJCAAAAAE8/P//4P///wAAAAAJxQMAAAnGAwAAATn8///d////eO+LeShBiESS7nQ436bVVgkIAAAACQgAAAAJyQMAAAmUAQAACgoKCgoBAAAAATX8///Z////AAAAAAE0/P//2P///wAAAAAACc0DAAAEm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BAAAACUgBAAADAAAACc8DAAAEq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BAAAACUgBAAADAAAACdEDAAAEt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BAAAACUgBAAADAAAACdMDAAAEv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TAAAACRIAAAADAAAACdUDAAABwwEAADsBAAABKvz//23/////////AAbXAwAABlN0cmluZwbYAwAABFNpdGUJMQAAAAEm/P//a////wIAAAABJfz//23+//8BAAAAAAAJMAAAAAmcAAAACQgAAAAK/////wkwAAAACgmcAAAABuEDAAALSW52ZW50RGltSWQG4gMAAApUUFBTdW1fc3N0CgkIAAAACeQDAAAJCAAAAAHGAQAAOwEAAAEa/P//bf////////8ABucDAAAGU3RyaW5nBugDAAAJV2FyZWhvdXNlCTEAAAABFvz//2v///8CAAAAARX8//9t/v//AQAAAAAACTAAAAAJqgAAAAkIAAAACv////8JMAAAAAoJqgAAAAbxAwAAC0ludmVudERpbUlkBvIDAAAKVFBQU3VtX3NzdAoJCAAAAAn0AwAACQgAAAABxQMAACEAAAAEAAAACfYDAAAHAAAACfcDAAAExgM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2AwAAAAAAAATJAw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9gMAAAAAAAABzQMAACkAAAAAAAAACfkDAAAAAAAAB88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vz//yb+//8G+wMAAAhIZWxwVGV4dAb8AwAADklkZW50aWZ5IGl0ZW0uAQP8//8m/v//Bv4DAAAFTGFiZWwJkAEAAAEA/P//Jv7//wYBBAAABFR5cGUJjwEAAAfR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37//8m/v//CfsDAAAGBQQAACRRdWFudGl0eSBhdHRhY2hlZCB0byB0aGUgdHJhbnNhY3Rpb24B+vv//yb+//8J/gMAAAmeAQAAAff7//8m/v//CQEEAAAJnQEAAAfT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T7//8m/v//CfsDAAAGDgQAABBUUFAgY29zdCBhbW91bnQuAfH7//8m/v//Cf4DAAAJrAEAAAHu+///Jv7//wkBBAAACasBAAAH1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r+///Jv7//wYWBAAABFR5cGUJjwEAAAHo+///Jv7//wYZBAAABUxhYmVsCZABAAAB5fv//yb+//8GHAQAAAhSZWZlcnNUbwYdBAAADz0nR2VuZXJhbCchJEMkNwTk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gAAAAJSAEAAAMAAAAJHwQAAAT0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gAAAAJSAEAAAMAAAAJIQQAAAH2AwAAEgAAAAf3AwAAAAEAAAAE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e+///x/7//wYjBAAAHFRhYmxlLlRQUFN1bV9zc3QuSW52ZW50RGltSWQJJAQAAAHb+///x/7//wYmBAAAF1RhYmxlLlRQUFN1bV9zc3QuSXRlbUlkCTsBAAAB2Pv//8f+//8GKQQAABRUYWJsZS5UUFBTdW1fc3N0LlF0eQk+AQAAAdX7///H/v//BiwEAAAbVGFibGUuVFBQU3VtX3NzdC5Db3N0QW1vdW50CUEBAAAB+QMAAHgAAAAHHw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S+///Jv7//wn+AwAACdgDAAABz/v//yb+//8JAQQAAAnXAwAAByE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Pv//yb+//8J/gMAAAnoAwAAAcn7//8m/v//CQEEAAAJ5wMAAAEkBAAAOwEAAAHG+///bf////////8ABjsEAAAGU3RyaW5nBjwEAAANRGltZW5zaW9uIE5vLgmRAQAAAcL7//9r////AgAAAAHB+///bf7//wEAAAAAAAmUAQAABkEEAAALSW52ZW50RGltSWQJCAAAAAr/////CZQBAAAKCUEEAAAKCgoJCAAAAAlGBAAACQgAAAAERg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JAAAACUgBAAADAAAACUkEAAAHS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2+///Jv7//wn7AwAABkwEAAAqSWRlbnRpZmljYXRpb24gb2YgZGltZW5zaW9ucyBmb3IgdGhlIGl0ZW0uAbP7//8m/v//Cf4DAAAJPAQAAAGw+///Jv7//wkBBAAACTsEAAAL
    <Output>
      <OutputObject name="AtlasReport_4"/>
    </Output>
  </Query>
</Atlas>
</file>

<file path=customXml/item8.xml><?xml version="1.0" encoding="utf-8"?>
<Atlas>
  <Query type="ReportSummary" id="f44aa689-7c56-4186-8219-8f2dafe6a2af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w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Uk9E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EAAAACRIAAAAH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OAAAADg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QAAAAJEgAAAAc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Tw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EAAAACRIAAAAH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0ludmVudFRyYW5zBh4AAAAWSW52ZW50b3J5IHRyYW5zYWN0aW9ucwkIAAAACQgAAAAJCAAAAAXg////MEdsb2JlU29mdHdhcmUuQXRsYXM0MC5BdGxhc0NvbW1vbi5EYXRhU291cmNlVHlwZQEAAAAHdmFsdWVfXwAIAgAAAAAAAAAJIQAAAAkiAAAABN3///8LU3lzdGVtLkd1aWQLAAAAAl9hAl9iAl9jAl9kAl9lAl9mAl9nAl9oAl9pAl9qAl9rAAAAAAAAAAAAAAAIBwcCAgICAgICAjcifS3BswRIlSpvTjDR9rwJCAAAAAkIAAAACSUAAAAGJgAAABFUYWJsZS5JbnZlbnRUcmFucw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BA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AdH////U////BjAAAAAqVGFibGUuSW52ZW50VHJhbnMuSXRlbUlkflRhYmxlLkludmVudFRhYmxlCTEAAAABzv///9T///8GMwAAAElUYWJsZS5JbnZlbnRUcmFucy5JdGVtSWR+VGFibGUuSW52ZW50VGFibGUuSXRlbUlkflRhYmxlLkludmVudFRhYmxlTW9kdWxlCTQAAAABy////9T///8GNgAAAC1UYWJsZS5JbnZlbnRUcmFucy5pbnZlbnREaW1JZH5UYWJsZS5JbnZlbnREaW0JNwAAAAcUAAAAAAEAAAAQAAAABC1HbG9iZVNvZnR3YXJlLkF0bGFzNDAuQXRsYXNDb21tb24uVHlwZS5Db2x1bW4CAAAACTgAAAAJOQAAAAk6AAAACTsAAAAJPAAAAAk9AAAACT4AAAAJPwAAAAlAAAAACUEAAAAJQgAAAAlDAAAACUQAAAAJRQAAAA0CERUAAAAEAAAABkYAAAANQXRsYXNSZXBvcnRfMQ0DBxcAAAAAAQAAAAQ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uf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Bt////7n///8GSgAAABFUYWJsZS5JbnZlbnRUYWJsZQkwAAAAAbT///+5////Bk0AAAAwVGFibGUuSW52ZW50VGFibGUuSXRlbUlkflRhYmxlLkludmVudFRhYmxlTW9kdWxlCTMAAAABsf///7n///8GUAAAAA9UYWJsZS5JbnZlbnREaW0JNg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rv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Wt////Pkdsb2JlU29mdHdhcmUuQXRsYXM0MC5BdGxhc0NvbW1vbi5UeXBlLkF0bGFzUXVlcnlBdHRyaWJ1dGVOYW1lAQAAAAd2YWx1ZV9fAAgCAAAAAgAAAAZUAAAAJGY0NGFhNjg5LTdjNTYtNDE4Ni04MjE5LThmMmRhZmU2YTJhZgGr////rv///wGq////rf///wAAAAAGVwAAAAR0cnVlAaj///+u////Aaf///+t////CwAAAAZaAAAAFkludmVudG9yeSB0cmFuc2FjdGlvbnMBpf///67///8BpP///63///8bAAAABl0AAAAEVHJ1ZQGi////rv///wGh////rf///wYAAAAGYAAAAAVGYWxzZQGf////rv///wGe////rf///xwAAAAJXQAAAAGc////rv///wGb////rf///x0AAAAJYAAAAAGZ////rv///wGY////rf///yoAAAAJXQAAAAGW////rv///wGV////rf///wEAAAAGbAAAAAMzNjMBk////67///8Bkv///63///8nAAAABm8AAAALPURhdGFBcmVhSWQBkP///67///8Bj////63///8ZAAAABnIAAAAPQ2VsbHNWZXJ0aWNhbGx5AY3///+u////AYz///+t////CQAAAAoBi////67///8Biv///63///8oAAAABncAAAACMTQBiP///67///8Bh////63///8rAAAABnoAAAARVGFibGVTdHlsZU1lZGl1bTIHHAAAAAABAAAABA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IX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fAAAAAtJbnZlbnRUcmFucwEAAAABg////4X///8GfgAAAAtJbnZlbnRUYWJsZQEAAAABgf///4X///8GgAAAABFJbnZlbnRUYWJsZU1vZHVsZQEAAAABf////4X///8GggAAAAlJbnZlbnREaW0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HAAAACYMAAAAHAAAACYQ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gAAAAkSAAAAAwAAAAmGAAAAASUAAAAEAAAAAgAAAAmDAAAAAwAAAAmI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YkAAAAAAAAAByoAAAAAAQAAAAAAAAAELUdsb2JlU29mdHdhcmUuQXRsYXM0MC5BdGxhc0NvbW1vbi5UeXBlLkNvbHVtbgIAAAABMQAAAA4AAAD/////BooAAAALSW52ZW50VGFibGUGiwAAAAVJdGVtcwkIAAAACQgAAAAJCAAAAAFz////4P///wAAAAAJjgAAAAmPAAAAAXD////d////Co5aDLIjTEGYUXnHNTRDHAkIAAAACQgAAAAJkgAAAAkwAAAABpQAAAALSW52ZW50VHJhbnMGlQAAABFUYWJsZS5JbnZlbnRUcmFucwaWAAAAGFRhYmxlLkludmVudFRyYW5zLkl0ZW1JZAaXAAAABkl0ZW1JZAaYAAAABkl0ZW1JZAEAAAABZ////9n///8AAAAAAWb////Y////AAAAAAAJmwAAAAE0AAAADgAAAP////8GnAAAABFJbnZlbnRUYWJsZU1vZHVsZQadAAAAG0ludmVudG9yeSBtb2R1bGUgcGFyYW1ldGVycwkIAAAACQgAAAAJCAAAAAFh////4P///wAAAAAJoAAAAAmhAAAAAV7////d////jDY7bo0joECb+NWUlyQGpAkIAAAACQgAAAAJpAAAAAkzAAAABqYAAAALSW52ZW50VGFibGUGpwAAACpUYWJsZS5JbnZlbnRUcmFucy5JdGVtSWR+VGFibGUuSW52ZW50VGFibGUGqAAAADFUYWJsZS5JbnZlbnRUcmFucy5JdGVtSWR+VGFibGUuSW52ZW50VGFibGUuSXRlbUlkBqkAAAAGSXRlbUlkBqoAAAAGSXRlbUlkAQAAAAFV////2f///wAAAAABVP///9j///8AAAAAAAmtAAAAATcAAAAOAAAA/////wauAAAACUludmVudERpbQavAAAAFEludmVudG9yeSBkaW1lbnNpb25zCQgAAAAJCAAAAAkIAAAAAU/////g////AAAAAAmyAAAACbMAAAABTP///93///+V85fOxn/PQIPyuKnHlYT2CQgAAAAJCAAAAAm2AAAACTYAAAAGuAAAAAtJbnZlbnRUcmFucwa5AAAAEVRhYmxlLkludmVudFRyYW5zBroAAAAdVGFibGUuSW52ZW50VHJhbnMuaW52ZW50RGltSWQGuwAAAAtpbnZlbnREaW1JZAa8AAAAC2ludmVudERpbUlkAQAAAAFD////2f///wAAAAABQv///9j///8AAAAAAAm/AAAABTg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cAAAAAJwQAAAAnCAAAABsMAAAAJVHJhbnNUeXBlBsQAAAAJUmVmZXJlbmNlBsUAAAAERW51bQkIAAAABscAAAAkMTJiNTM3NTktOTVlMS00MTBiLTk3YzgtNjNjMmQ0MDgwMDBiBTj///8tR2xvYmVTb2Z0d2FyZS5BdGxhczQwLkF0bGFzQ29tbW9uLkFnZ3JlZ2F0aW9uAQAAAAd2YWx1ZV9fAAgCAAAA/////wAAAAAFN////yxHbG9iZVNvZnR3YXJlLkF0bGFzNDAuQXRsYXNDb21tb24uQ29sdW1uVHlwZQEAAAAHdmFsdWVfXwAIAgAAAAAAAAAFNv///ytHbG9iZVNvZnR3YXJlLkF0bGFzNDAuQXRsYXNDb21tb24uU29ydE9yZGVyAQAAAAd2YWx1ZV9fAAgCAAAAAgAAAAAAAAAABTX///9AR2xvYmVTb2Z0d2FyZS5BdGxhczQwLkF0bGFzQ29tbW9uLlR5cGUuQ29sdW1uK0Nyb3NzVGFiQ29sdW1uVHlwZQEAAAAHdmFsdWVfXwAIAgAAAAAAAAAKAQAAAAAAAAAAAAAAAAAGzAAAACQwZTg1ZTYyYS1iMzNhLTRjZjktODA1MS0xNGE2YWRjNTQzYTYGzQAAABtUYWJsZS5JbnZlbnRUcmFucy5UcmFuc1R5cGUKCgoKATkAAAA4AAAACc4AAAAJzwAAAAnQAAAABtEAAAAKVHJhbnNSZWZJZAbSAAAABk51bWJlcgbTAAAABlN0cmluZwkIAAAABtUAAAAkNDQ3ZTYxZjEtNTJlYy00ZjkxLWJkN2EtZTNkYWE1NjAyZjdlASr///84/////////wEAAAABKf///zf///8AAAAAASj///82////AgAAAAAAAAAAASf///81////AAAAAAoBAAAAAAAAAAABAAAAAAbaAAAAJDdkNjQ0YTkzLTkwYmMtNGYxYi04ZGI0LTlmNjdhMTAzYjk4YQbbAAAAHFRhYmxlLkludmVudFRyYW5zLlRyYW5zUmVmSWQKCgoKAToAAAA4AAAACdwAAAAJ3QAAAAneAAAABt8AAAAGSXRlbUlkBuAAAAALSXRlbSBudW1iZXIG4QAAAAZTdHJpbmcJCAAAAAbjAAAAJDY2Yjk4Nzg3LWU1YjUtNGYwMy1iNzMzLTJiYjdkZmU2YjAzNgEc////OP////////8CAAAAARv///83////AAAAAAEa////Nv///wIAAAAAAAAAAAEZ////Nf///wAAAAAKAQAAAAAAAAAAAgAAAAAG6AAAACQ3ZmVkOGQyYS02ZjlkLTQ1MzYtODM5Mi0yNTYyOWY2YjEyMzQG6QAAABhUYWJsZS5JbnZlbnRUcmFucy5JdGVtSWQKCgoKATsAAAA4AAAACeoAAAAJ6wAAAAnsAAAABu0AAAAISXRlbU5hbWUG7gAAAAlJdGVtIG5hbWUG7wAAAAZTdHJpbmcJCAAAAAbxAAAAJGYwZDYwODc4LWFiNmEtNGIwZC1iYjBmLTljOGY1M2RiYjdlOQEO////OP////////8DAAAAAQ3///83////AAAAAAEM////Nv///wIAAAAAAAAAAAEL////Nf///wAAAAAKAQAAAAAAAAAAAwAAAAAG9gAAACRhMDIxZDczYy1hZTY1LTQ5ODYtYmYzZC0wNmM0Mzc5YmRjOTMG9wAAADNUYWJsZS5JbnZlbnRUcmFucy5JdGVtSWR+VGFibGUuSW52ZW50VGFibGUuSXRlbU5hbWUKCgoKATwAAAA4AAAACfgAAAAJ+QAAAAn6AAAABvsAAAAMSW52ZW50U2l0ZUlkBvwAAAAEU2l0ZQb9AAAABlN0cmluZwkIAAAABv8AAAAkOTNmN2M5ODAtMjJjYy00Njg3LTg4ODUtNTU2NzhjNTZjZTVkAQD///84/////////wQAAAAB//7//zf///8AAAAAAf7+//82////AgAAAAAAAAAAAf3+//81////AAAAAAoBAAAAAAAAAAAEAAAAAAYEAQAAJDRiZjMyOThkLWY3YjUtNGE0Yi05NWZmLTc0NDdlZmE3Zjg5NAYFAQAAOlRhYmxlLkludmVudFRyYW5zLmludmVudERpbUlkflRhYmxlLkludmVudERpbS5JbnZlbnRTaXRlSWQKCgoKAT0AAAA4AAAACQYBAAAJBwEAAAkIAQAABgkBAAAQSW52ZW50TG9jYXRpb25JZAYKAQAACVdhcmVob3VzZQYLAQAABlN0cmluZwkIAAAABg0BAAAkZmNjNWE5YTEtZmYyOS00OGRmLWIxNmQtOTQ5ZWRlMDYxY2Q4AfL+//84/////////wUAAAAB8f7//zf///8AAAAAAfD+//82////AgAAAAAAAAAAAe/+//81////AAAAAAoBAAAAAAAAAAAFAAAAAAYSAQAAJDQwNDk1ZjM0LTM4MTAtNDFlYy1hOWIyLWExN2Y5YzdlODE0YwYTAQAAPlRhYmxlLkludmVudFRyYW5zLmludmVudERpbUlkflRhYmxlLkludmVudERpbS5JbnZlbnRMb2NhdGlvbklkCgoKCgE+AAAAOAAAAAkUAQAACRUBAAAJFgEAAAYXAQAADERhdGVQaHlzaWNhbAYYAQAADVBoeXNpY2FsIGRhdGUGGQEAAAREYXRlCQgAAAAGGwEAACQ5OTE4MWM0Yi05YWZhLTRmNDEtYmQzNC1jNzk5MDZlOTY1MDcB5P7//zj/////////BgAAAAHj/v//N////wAAAAAB4v7//zb///8CAAAAAAAAAAAB4f7//zX///8AAAAACgEAAAAAAAAAAAYAAAAABiABAAAkYWM2ODFlN2EtNmJkYy00NTUxLWI0MjQtOTY5ZjE1OGMwOThjBiEBAAAeVGFibGUuSW52ZW50VHJhbnMuRGF0ZVBoeXNpY2FsCgoKCgE/AAAAOAAAAAkiAQAACSMBAAAJJAEAAAYlAQAADURhdGVGaW5hbmNpYWwGJgEAAA5GaW5hbmNpYWwgZGF0ZQYnAQAABERhdGUJCAAAAAYpAQAAJDkxMzNkNmVhLTk2OTAtNDk0YS05YWI0LTFjZDAwNTM5MjVlMQHW/v//OP////////8HAAAAAdX+//83////AAAAAAHU/v//Nv///wIAAAAAAAAAAAHT/v//Nf///wAAAAAKAQAAAAAAAAAABwAAAAAGLgEAACQ4NDA0YTk5OS1hZDFmLTRkYjQtODIwMy1mMTZlZjk2YWQwMDcGLwEAAB9UYWJsZS5JbnZlbnRUcmFucy5EYXRlRmluYW5jaWFsCgoKCgFAAAAAOAAAAAkwAQAACTEBAAAJMgEAAAYzAQAAA1F0eQY0AQAACFF1YW50aXR5BjUBAAAEUmVhbAkIAAAABjcBAAAkNzMwMzQ0MjItM2ZiZS00MjdlLWE1ZjAtNDFlOTJmMGYyNzJlAcj+//84////AQAAAAgAAAABx/7//zf///8AAAAAAcb+//82////AgAAAAAAAAAAAcX+//81////AAAAAAoBAAAAAAAAAAAIAAAAAAY8AQAAJDU1MDBkYzM2LWY3MzgtNDFiNC1iMTU1LTY3YTc5MjhjNTc1NAY9AQAAFVRhYmxlLkludmVudFRyYW5zLlF0eQoKCgoBQQAAADgAAAAJPgEAAAk/AQAACUABAAAGQQEAAAZVbml0SWQGQgEAAARVbml0BkMBAAAGU3RyaW5nCQgAAAAGRQEAACQ3NjE1NmNmMy00YmQ3LTQyZjgtYmU0Yy1jOTFiMjgxMmI0MWMBuv7//zj/////////CQAAAAG5/v//N////wAAAAABuP7//zb///8CAAAAAAAAAAABt/7//zX///8AAAAACgEAAAAAAAAAAAkAAAAABkoBAAAkNjgxODgzYjEtZDZhNS00NGRhLTgwOGUtYjlhZDI2OWNiOGY2BksBAABQVGFibGUuSW52ZW50VHJhbnMuSXRlbUlkflRhYmxlLkludmVudFRhYmxlLkl0ZW1JZH5UYWJsZS5JbnZlbnRUYWJsZU1vZHVsZS5Vbml0SWQKCgoKAUIAAAA4AAAACUwBAAAJTQEAAAlOAQAABk8BAAANSW52ZW50VHJhbnNJZAZQAQAABkxvdCBJRAZRAQAABlN0cmluZwkIAAAABlMBAAAkM2ZhMmE0MWYtNTRlZS00NjY3LThjNmYtZTBjM2EzNjg3MWFiAaz+//84/////////woAAAABq/7//zf///8AAAAAAar+//82////AgAAAAAAAAAAAan+//81////AAAAAAoBAAAAAAAAAAAKAAAAAAZYAQAAJGZjMDMyZmNlLTgzZGYtNDI0YS05OTJlLTBlMDQzM2FjZWI2ZAZZAQAAH1RhYmxlLkludmVudFRyYW5zLkludmVudFRyYW5zSWQKCgoKAUMAAAA4AAAACVoBAAAJWwEAAAlcAQAABl0BAAA3QXRsYXNNYW5hZ2VkQ29sdW1uXzVkZTU5YjEzLTI4YTAtNDJhZC1iOGM2LTE5ZDIzNTY3NjIzYQZeAQAAElZlbmRJbnZvaWNlVHJhbnNJZAkIAAAACQgAAAAGYAEAACRlNDk2MjA2Zi05YzhhLTRhMzMtYjc3Mi0wZGJhZmZhY2M1ZDUBn/7//zj/////////CwAAAAGe/v//N////wIAAAABnf7//zb///8CAAAAAAAAAAABnP7//zX///8AAAAACgEAAAAAAAAAAAsAAAAABmUBAAAkMjI4ZTE0MTAtMDc4NC00NDljLTg4NTEtOTNkOWE3YzNkODFiCQgAAAAKCgoKAUQAAAA4AAAACWcBAAAJaAEAAAlpAQAABmoBAAA3QXRsYXNNYW5hZ2VkQ29sdW1uX2RiOWQ0N2U1LTJhYTItNGVlNy04Yzg1LTVlNTkyOTg4NjlkMQZrAQAACEN1cnJlbmN5CQgAAAAJCAAAAAZtAQAAJGVmZmVkYzZhLWZhMTgtNDAyZi05NGQ1LWIxMzM5NDhmZmUyMwGS/v//OP////////8MAAAAAZH+//83////AgAAAAGQ/v//Nv///wIAAAAAAAAAAAGP/v//Nf///wAAAAAKAQAAAAAAAAAADAAAAAAGcgEAACQ3MDAwMmQ2NS0wODk5LTQ1MGMtODBkOC00NzJlNjQ5YzQwMzIJCAAAAAoKCgoBRQAAADgAAAAJdAEAAAl1AQAACXYBAAAGdwEAADdBdGxhc01hbmFnZWRDb2x1bW5fYzZlZjdiMWQtYjg2YS00NTFjLWE4NDUtM2Y5OGQ4ZWZhYTIwBngBAAAcVFBQIChQdXJjaGFzZSBpbnZvaWNlIHRyYW5zKQkIAAAACQgAAAAGegEAACQxZDRiZTkxZC0zY2Q5LTQ2MzQtOGY0Zi03NjJkYTI1NWFlZTgBhf7//zj/////////DQAAAAGE/v//N////wIAAAABg/7//zb///8CAAAAAAAAAAABgv7//zX///8AAAAACgEAAAAAAAAAAA0AAAAABn8BAAAkNjI5NTA3YjktMzlhYy00MTZkLWIwOGEtZTdiM2UyZjEwZWYzCQgAAAAKCgoKAYMAAAASAAAAB4QAAAAAAQAAAAc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H/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oIBAAAbVGFibGUuSW52ZW50VHJhbnMuVHJhbnNUeXBlCYMBAAABfP7//3/+//8GhQEAABxUYWJsZS5JbnZlbnRUcmFucy5UcmFuc1JlZklkCYYBAAABef7//3/+//8GiAEAABhUYWJsZS5JbnZlbnRUcmFucy5JdGVtSWQJiQEAAAF2/v//f/7//waLAQAAHlRhYmxlLkludmVudFRyYW5zLkRhdGVQaHlzaWNhbAmMAQAAAXP+//9//v//Bo4BAAAfVGFibGUuSW52ZW50VHJhbnMuRGF0ZUZpbmFuY2lhbAmPAQAAAXD+//9//v//BpEBAAAVVGFibGUuSW52ZW50VHJhbnMuUXR5CZIBAAABbf7//3/+//8GlAEAAB9UYWJsZS5JbnZlbnRUcmFucy5JbnZlbnRUcmFuc0lkCZUBAAAHhgAAAAABAAAAA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Gr+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IAAAAGlwEAAB9UYWJsZS5JbnZlbnRUcmFucy5EYXRlRmluYW5jaWFsCZgBAAABZ/7//2r+//8GmgEAABhUYWJsZS5JbnZlbnRUcmFucy5JdGVtSWQJmwEAAAeIAA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Fk/v//1P///wkwAAAACTEAAAABYf7//9T///8JNgAAAAk3AAAABIk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GOAAAAIQAAAAEAAAAJogEAAAMAAAAJowEAAASP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AZIAAAAEAAAAAQAAAAmiAQAAAwAAAAmmAQAAAZsAAAApAAAAAAAAAAmnAQAAAAAAAAGgAAAAIQAAAAEAAAAJogEAAAMAAAAJqQEAAAGhAAAAIgAAAAEAAAAJEgAAAAMAAAAJqwEAAASk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ogEAAAAAAAABrQAAACkAAAAAAAAACacBAAAAAAAAAbIAAAAhAAAAAgAAAAmiAQAAAwAAAAmvAQAABLM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Et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aIBAAAAAAAAAb8AAAApAAAAAAAAAAmnAQAAAAAAAATA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mzAQAAAQAAAAEAAAAEwQ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12XAAAACbQBAAAHAAAACbUBAAAEw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TAAAACbYBAAAHAAAACbcBAAABzgAAAMAAAAAJuAEAAAEAAAABAAAAAc8AAADBAAAAlwAAAAm0AQAABwAAAAm6AQAABN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wAAAAm2AQAABwAAAAm8AQAAAdwAAADAAAAACb0BAAABAAAAAQAAAAHdAAAAwQAAAJgAAAAJtAEAAAcAAAAJvwEAAATe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ZMAAAAJtgEAAAcAAAAJwQEAAAHqAAAAwAAAAAnCAQAAAQAAAAEAAAAB6wAAAMEAAACPAAAACcMBAAAHAAAACcQBAAAE7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MAAAACaIBAAAHAAAACcYBAAAB+AAAAMAAAAAJxwEAAAEAAAABAAAAAfkAAADBAAAAjwAAAAnDAQAABwAAAAnJAQAABPo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jAAAAAmiAQAABwAAAAnLAQAAAQYBAADAAAAACcwBAAABAAAAAQAAAAEHAQAAwQAAAI8AAAAJwwEAAAcAAAAJzgEAAAQI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wAAAAJogEAAAcAAAAJ0AEAAAEUAQAAwAAAAAnRAQAAAQAAAAEAAAABFQEAAMEAAACXAAAACbQBAAAHAAAACdMBAAAEF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TAAAACbYBAAAHAAAACdUBAAABIgEAAMAAAAAJ1gEAAAEAAAABAAAAASMBAADBAAAAlwAAAAm0AQAABwAAAAnYAQAABCQ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wAAAAm2AQAABwAAAAnaAQAAATABAADAAAAACdsBAAABAAAAAQAAAAExAQAAwQAAAJcAAAAJtAEAAAcAAAAJ3QEAAAQy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ZMAAAAJtgEAAAcAAAAJ3wEAAAE+AQAAwAAAAAngAQAAAQAAAAEAAAABPwEAAMEAAACPAAAACcMBAAAHAAAACeIBAAAEQ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MAAAACaIBAAAHAAAACeQBAAABTAEAAMAAAAAJ5QEAAAEAAAABAAAAAU0BAADBAAAAlwAAAAm0AQAABwAAAAnnAQAABE4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wAAAAm2AQAABwAAAAnpAQAAAVoBAADAAAAACeoBAAAAAAAAAAAAAAFbAQAAwQAAAFkAAAAJ6wEAAAcAAAAJ7AEAAARc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QAAAAJ7QEAAAcAAAAJ7gEAAAFnAQAAwAAAAAnvAQAAAAAAAAAAAAABaAEAAMEAAACAAAAACfABAAAHAAAACfEBAAAEa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113AAAACfIBAAAHAAAACfMBAAABdAEAAMAAAAAJ7wEAAAAAAAAAAAAAAXUBAADBAAAAgAAAAAnwAQAABwAAAAn2AQAABHY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nyAQAABwAAAAn4AQAABYM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Qf+//84/////////wAG+gEAAARFbnVtBvsBAAAJUmVmZXJlbmNlCfwBAAABA/7//zb///8CAAAABQL+//85R2xvYmVTb2Z0d2FyZS5BdGxhczQwLkF0bGFzQ29tbW9uLk51bWJlclNlcXVlbmNlQ29uZGl0aW9uAQAAAAd2YWx1ZV9fAAgCAAAAAQAAAAAABv8BAAARVGFibGUuSW52ZW50VHJhbnMJwwAAAAkIAAAACv////8J/wEAAAoJwwAAAAoKCgkIAAAACQUCAAAJCAAAAAGGAQAAgwEAAAH5/f//OP////////8ABggCAAAGU3RyaW5nBgkCAAAGTnVtYmVyCfwBAAAB9f3//zb///8CAAAAAfT9//8C/v//AQAAAAAACf8BAAAJ0QAAAAkIAAAACv////8J/wEAAAoJ0QAAAAoKCgkIAAAACRMCAAAJCAAAAAGJAQAAgwEAAAHr/f//OP////////8ABhYCAAAGU3RyaW5nBhcCAAALSXRlbSBudW1iZXIJ/AEAAAHn/f//Nv///wIAAAAB5v3//wL+//8BAAAAAAAJ/wEAAAnfAAAACQgAAAAK/////wn/AQAACgnfAAAACgoKCQgAAAAJIQIAAAkIAAAAAYwBAACDAQAAAd39//84/////////wAGJAIAAAREYXRlBiUCAAANUGh5c2ljYWwgZGF0ZQn8AQAAAdn9//82////AgAAAAHY/f//Av7//wEAAAAAAAn/AQAACRcBAAAJCAAAAAr/////Cf8BAAAKCRcBAAAKCgoJCAAAAAkvAgAACQgAAAABjwEAAIMBAAABz/3//zj/////////AAYyAgAABERhdGUGMwIAAA5GaW5hbmNpYWwgZGF0ZQn8AQAAAcv9//82////AgAAAAHK/f//Av7//wEAAAAAAAn/AQAACSUBAAAJCAAAAAr/////Cf8BAAAKCSUBAAAKCgoJCAAAAAk9AgAACQgAAAABkgEAAIMBAAABwf3//zj///8BAAAAAAZAAgAABFJlYWwGQQIAAAhRdWFudGl0eQn8AQAAAb39//82////AgAAAAG8/f//Av7//wEAAAAAAAn/AQAACTMBAAAJCAAAAAr/////Cf8BAAAKCTMBAAAKCgoJCAAAAAlLAgAACQgAAAABlQEAAIMBAAABs/3//zj/////////AAZOAgAABlN0cmluZwZPAgAABkxvdCBJRAn8AQAAAa/9//82////AgAAAAGu/f//Av7//wEAAAAAAAn/AQAACU8BAAAJCAAAAAr/////Cf8BAAAKCU8BAAAKCgoJCAAAAAlZAgAACQgAAAAFmAE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BlsCAAARVGFibGUuSW52ZW50VHJhbnMGXAIAAA1EYXRlRmluYW5jaWFsCQgAAAAGXgIAABgwNC4wMS4yMDE3IC4uIDEyLjMxLjIwMTf/////CVsCAAAKCVwCAAAKCgoJCAAAAAliAgAACQgAAAABmwEAAJgBAAAJWwIAAAZlAgAABkl0ZW1JZAkIAAAABmcCAAABKv////8JWwIAAAoJZQIAAAoKCgkIAAAACWsCAAAJCAAAAAGiAQAAEgAAAAejAQ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T/f//f/7//wZuAgAAM1RhYmxlLkludmVudFRyYW5zLkl0ZW1JZH5UYWJsZS5JbnZlbnRUYWJsZS5JdGVtTmFtZQlvAgAAB6YB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ZD9///U////CTMAAAAJNAAAAAGnAQAAiQAAAAepAQ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N/f//f/7//wZ0AgAAUFRhYmxlLkludmVudFRyYW5zLkl0ZW1JZH5UYWJsZS5JbnZlbnRUYWJsZS5JdGVtSWR+VGFibGUuSW52ZW50VGFibGVNb2R1bGUuVW5pdElkCXUCAAAHqwE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Yr9//9q/v//BncCAABUVGFibGUuSW52ZW50VHJhbnMuSXRlbUlkflRhYmxlLkludmVudFRhYmxlLkl0ZW1JZH5UYWJsZS5JbnZlbnRUYWJsZU1vZHVsZS5Nb2R1bGVUeXBlCXgCAAAHrwE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h/3//3/+//8GegIAADpUYWJsZS5JbnZlbnRUcmFucy5pbnZlbnREaW1JZH5UYWJsZS5JbnZlbnREaW0uSW52ZW50U2l0ZUlkCXsCAAABhP3//3/+//8GfQIAAD5UYWJsZS5JbnZlbnRUcmFucy5pbnZlbnREaW1JZH5UYWJsZS5JbnZlbnREaW0uSW52ZW50TG9jYXRpb25JZAl+AgAAB7MBAAAAAQAAAAQAAAAEN0dsb2JlU29mdHdhcmUuQXRsYXM0MC5BdGxhc0NvbW1vbi5UeXBlLkZpZWxkT3V0cHV0RmllbGQCAAAACYMBAAANAwS0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e1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gP3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V//f//Mkdsb2JlU29mdHdhcmUuQXRsYXM0MC5BdGxhc0NvbW1vbi5Db2x1bW5BdHRyaWJ1dGVzAQAAAAd2YWx1ZV9fAAgCAAAAEAAAAAaCAgAABE5vbmUBff3//4D9//8BfP3//3/9//8JAAAACQgAAAABev3//4D9//8Bef3//3/9//8LAAAABogCAAABMAF3/f//gP3//wF2/f//f/3//wQAAAAGiwIAAAdHZW5lcmFsAXT9//+A/f//AXP9//9//f//AgAAAAaOAgAAATEBcf3//4D9//8BcP3//3/9//8AAAAABpECAAAFMTMuNzEBtgEAABIAAAAHt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Ru/f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pMCAAAIRm9udEJvbGQGlAIAAAVGYWxzZQFr/f//bv3//waWAgAACkZvbnRJdGFsaWMJlAIAAAFo/f//bv3//waZAgAADUZvbnRVbmRlcmxpbmUGmgIAAAUtNDE0MgFl/f//bv3//wacAgAACEZvbnROYW1lBp0CAAAHQ2FsaWJyaQFi/f//bv3//wafAgAACUZvbnRDb2xvcgagAgAAATABX/3//279//8GogIAAAhGb250U2l6ZQajAgAAAjExAVz9//9u/f//BqUCAAAJRm9udFN0eWxlBqYCAAAHUmVndWxhcge4AQAAAAEAAAAEAAAABDdHbG9iZVNvZnR3YXJlLkF0bGFzNDAuQXRsYXNDb21tb24uVHlwZS5GaWVsZE91dHB1dEZpZWxkAgAAAAmGAQAADQMHu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j9//+A/f//AVf9//9//f//EAAAAAmCAgAAAVX9//+A/f//AVT9//9//f//CQAAAAkIAAAAAVL9//+A/f//AVH9//9//f//CwAAAAawAgAAATEBT/3//4D9//8BTv3//3/9//8EAAAABrMCAAAHR2VuZXJhbAFM/f//gP3//wFL/f//f/3//wIAAAAGtgIAAAExAUn9//+A/f//AUj9//9//f//AAAAAAa5AgAABTEwLjg2B7w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v3//279//8JkwIAAAmUAgAAAUP9//9u/f//CZYCAAAJlAIAAAFA/f//bv3//wmZAgAABsICAAAFLTQxNDIBPf3//279//8JnAIAAAbFAgAAB0NhbGlicmkBOv3//279//8JnwIAAAbIAgAAATABN/3//279//8JogIAAAbLAgAAAjExATT9//9u/f//CaUCAAAGzgIAAAdSZWd1bGFyB70BAAAAAQAAAAQAAAAEN0dsb2JlU29mdHdhcmUuQXRsYXM0MC5BdGxhc0NvbW1vbi5UeXBlLkZpZWxkT3V0cHV0RmllbGQCAAAACYkBAAANAwe/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MP3//4D9//8BL/3//3/9//8GAAAABtICAAAFVG90YWwBLf3//4D9//8BLP3//3/9//8QAAAACYICAAABKv3//4D9//8BKf3//3/9//8JAAAACQgAAAABJ/3//4D9//8BJv3//3/9//8LAAAABtsCAAABMgEk/f//gP3//wEj/f//f/3//wQAAAAG3gIAAAdHZW5lcmFsASH9//+A/f//ASD9//9//f//AgAAAAbhAgAAATEBHv3//4D9//8BHf3//3/9//8AAAAABuQCAAAFMTMuNzEHw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b/f//bv3//wmTAgAACZQCAAABGP3//279//8JlgIAAAmUAgAAARX9//9u/f//CZkCAAAG7QIAAAUtNDE0MgES/f//bv3//wmcAgAABvACAAAHQ2FsaWJyaQEP/f//bv3//wmfAgAABvMCAAABMAEM/f//bv3//wmiAgAABvYCAAACMTEBCf3//279//8JpQIAAAb5AgAAB1JlZ3VsYXIHwgEAAAABAAAABAAAAAQ3R2xvYmVTb2Z0d2FyZS5BdGxhczQwLkF0bGFzQ29tbW9uLlR5cGUuRmllbGRPdXRwdXRGaWVsZAIAAAAJbwIAAA0DAcMBAAC0AQAAB8Q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F/f//gP3//wEE/f//f/3//wkAAAAJCAAAAAEC/f//gP3//wEB/f//f/3//wsAAAAGAAMAAAEzAf/8//+A/f//Af78//9//f//BAAAAAYDAwAAB0dlbmVyYWwB/Pz//4D9//8B+/z//3/9//8CAAAABgYDAAABMQH5/P//gP3//wH4/P//f/3//wAAAAAGCQMAAAUzNC4xNAfG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b8//9u/f//CZMCAAAJlAIAAAHz/P//bv3//wmWAgAACZQCAAAB8Pz//279//8JmQIAAAYSAwAABS00MTQyAe38//9u/f//CZwCAAAGFQMAAAdDYWxpYnJpAer8//9u/f//CZ8CAAAGGAMAAAEwAef8//9u/f//CaICAAAGGwMAAAIxMQHk/P//bv3//wmlAgAABh4DAAAHUmVndWxhcgfHAQAAAAEAAAAEAAAABDdHbG9iZVNvZnR3YXJlLkF0bGFzNDAuQXRsYXNDb21tb24uVHlwZS5GaWVsZE91dHB1dEZpZWxkAgAAAAl7AgAADQMHyQ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eD8//+A/f//Ad/8//9//f//CQAAAAkIAAAAAd38//+A/f//Adz8//9//f//CwAAAAYlAwAAATQB2vz//4D9//8B2fz//3/9//8EAAAABigDAAAHR2VuZXJhbAHX/P//gP3//wHW/P//f/3//wIAAAAGKwMAAAExAdT8//+A/f//AdP8//9//f//AAAAAAYuAwAAATYHy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R/P//bv3//wmTAgAACZQCAAABzvz//279//8JlgIAAAmUAgAAAcv8//9u/f//CZkCAAAGNwMAAAUtNDE0MgHI/P//bv3//wmcAgAABjoDAAAHQ2FsaWJyaQHF/P//bv3//wmfAgAABj0DAAABMAHC/P//bv3//wmiAgAABkADAAACMTEBv/z//279//8JpQIAAAZDAwAAB1JlZ3VsYXIHzAEAAAABAAAABAAAAAQ3R2xvYmVTb2Z0d2FyZS5BdGxhczQwLkF0bGFzQ29tbW9uLlR5cGUuRmllbGRPdXRwdXRGaWVsZAIAAAAJfgIAAA0DB84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7/P//gP3//wG6/P//f/3//wkAAAAJCAAAAAG4/P//gP3//wG3/P//f/3//wsAAAAGSgMAAAE1AbX8//+A/f//AbT8//9//f//BAAAAAZNAwAAB0dlbmVyYWwBsvz//4D9//8Bsfz//3/9//8CAAAABlADAAABMQGv/P//gP3//wGu/P//f/3//wAAAAAGUwMAAAUxMi44NgfQ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z8//9u/f//CZMCAAAJlAIAAAGp/P//bv3//wmWAgAACZQCAAABpvz//279//8JmQIAAAZcAwAABS00MTQyAaP8//9u/f//CZwCAAAGXwMAAAdDYWxpYnJpAaD8//9u/f//CZ8CAAAGYgMAAAEwAZ38//9u/f//CaICAAAGZQMAAAIxMQGa/P//bv3//wmlAgAABmgDAAAHUmVndWxhcgfRAQAAAAEAAAAEAAAABDdHbG9iZVNvZnR3YXJlLkF0bGFzNDAuQXRsYXNDb21tb24uVHlwZS5GaWVsZE91dHB1dEZpZWxkAgAAAAmMAQAADQMH0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b8//+A/f//AZX8//9//f//EAAAAAmCAgAAAZP8//+A/f//AZL8//9//f//CQAAAAkIAAAAAZD8//+A/f//AY/8//9//f//CwAAAAZyAwAAATYBjfz//4D9//8BjPz//3/9//8EAAAABnUDAAAIbS9kL3l5eXkBivz//4D9//8Bifz//3/9//8CAAAABngDAAABMQGH/P//gP3//wGG/P//f/3//wAAAAAGewMAAAUxNC4xNAfV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T8//9u/f//CZMCAAAJlAIAAAGB/P//bv3//wmWAgAACZQCAAABfvz//279//8JmQIAAAaEAwAABS00MTQyAXv8//9u/f//CZwCAAAGhwMAAAdDYWxpYnJpAXj8//9u/f//CZ8CAAAGigMAAAEwAXX8//9u/f//CaICAAAGjQMAAAIxMQFy/P//bv3//wmlAgAABpADAAAHUmVndWxhcgfWAQAAAAEAAAAEAAAABDdHbG9iZVNvZnR3YXJlLkF0bGFzNDAuQXRsYXNDb21tb24uVHlwZS5GaWVsZE91dHB1dEZpZWxkAgAAAAmPAQAADQMH2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78//+A/f//AW38//9//f//EAAAAAmCAgAAAWv8//+A/f//AWr8//9//f//CQAAAAkIAAAAAWj8//+A/f//AWf8//9//f//CwAAAAaaAwAAATcBZfz//4D9//8BZPz//3/9//8EAAAABp0DAAAIbS9kL3l5eXkBYvz//4D9//8BYfz//3/9//8CAAAABqADAAABMQFf/P//gP3//wFe/P//f/3//wAAAAAGowMAAAIxNQfa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z8//9u/f//CZMCAAAJlAIAAAFZ/P//bv3//wmWAgAACZQCAAABVvz//279//8JmQIAAAasAwAABS00MTQyAVP8//9u/f//CZwCAAAGrwMAAAdDYWxpYnJpAVD8//9u/f//CZ8CAAAGsgMAAAEwAU38//9u/f//CaICAAAGtQMAAAIxMQFK/P//bv3//wmlAgAABrgDAAAHUmVndWxhcgfbAQAAAAEAAAAEAAAABDdHbG9iZVNvZnR3YXJlLkF0bGFzNDAuQXRsYXNDb21tb24uVHlwZS5GaWVsZE91dHB1dEZpZWxkAgAAAAmSAQAADQMH3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b8//+A/f//AUX8//9//f//EAAAAAmCAgAAAUP8//+A/f//AUL8//9//f//CQAAAAkIAAAAAUD8//+A/f//AT/8//9//f//CwAAAAbCAwAAATgBPfz//4D9//8BPPz//3/9//8EAAAABsUDAAAHR2VuZXJhbAE6/P//gP3//wE5/P//f/3//wIAAAAGyAMAAAExATf8//+A/f//ATb8//9//f//AAAAAAbLAwAABTEwLjI5B98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Pz//279//8JkwIAAAmUAgAAATH8//9u/f//CZYCAAAJlAIAAAEu/P//bv3//wmZAgAABtQDAAAFLTQxNDIBK/z//279//8JnAIAAAbXAwAAB0NhbGlicmkBKPz//279//8JnwIAAAbaAwAAATABJfz//279//8JogIAAAbdAwAAAjExASL8//9u/f//CaUCAAAG4AMAAAdSZWd1bGFyB+ABAAAAAQAAAAQAAAAEN0dsb2JlU29mdHdhcmUuQXRsYXM0MC5BdGxhc0NvbW1vbi5UeXBlLkZpZWxkT3V0cHV0RmllbGQCAAAACXUCAAANAwfi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Hvz//4D9//8BHfz//3/9//8JAAAACQgAAAABG/z//4D9//8BGvz//3/9//8LAAAABucDAAABOQEY/P//gP3//wEX/P//f/3//wQAAAAG6gMAAAdHZW5lcmFsARX8//+A/f//ART8//9//f//AgAAAAbtAwAAATEBEvz//4D9//8BEfz//3/9//8AAAAABvADAAAENi40Mwfk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/8//9u/f//CZMCAAAJlAIAAAEM/P//bv3//wmWAgAACZQCAAABCfz//279//8JmQIAAAb5AwAABS00MTQyAQb8//9u/f//CZwCAAAG/AMAAAdDYWxpYnJpAQP8//9u/f//CZ8CAAAG/wMAAAEwAQD8//9u/f//CaICAAAGAgQAAAIxMQH9+///bv3//wmlAgAABgUEAAAHUmVndWxhcgflAQAAAAEAAAAEAAAABDdHbG9iZVNvZnR3YXJlLkF0bGFzNDAuQXRsYXNDb21tb24uVHlwZS5GaWVsZE91dHB1dEZpZWxkAgAAAAmVAQAADQMH5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n7//+A/f//Afj7//9//f//EAAAAAmCAgAAAfb7//+A/f//AfX7//9//f//CQAAAAkIAAAAAfP7//+A/f//AfL7//9//f//CwAAAAYPBAAAAjEwAfD7//+A/f//Ae/7//9//f//BAAAAAYSBAAAB0dlbmVyYWwB7fv//4D9//8B7Pv//3/9//8CAAAABhUEAAABMQHq+///gP3//wHp+///f/3//wAAAAAGGAQAAAQ5LjQzB+k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5/v//279//8JkwIAAAmUAgAAAeT7//9u/f//CZYCAAAJlAIAAAHh+///bv3//wmZAgAABiEEAAAFLTQxNDIB3vv//279//8JnAIAAAYkBAAAB0NhbGlicmkB2/v//279//8JnwIAAAYnBAAAATAB2Pv//279//8JogIAAAYqBAAAAjExAdX7//9u/f//CaUCAAAGLQQAAAdSZWd1bGFyB+oBAAAAAQAAAAAAAAAEN0dsb2JlU29mdHdhcmUuQXRsYXM0MC5BdGxhc0NvbW1vbi5UeXBlLkZpZWxkT3V0cHV0RmllbGQCAAAAAesBAAC0AQAAB+w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S+///gP3//wHR+///f/3//yQAAAAJXgEAAAHP+///gP3//wHO+///f/3//wsAAAAGMwQAAAIxMQHM+///gP3//wHL+///f/3//wQAAAAGNgQAAAdHZW5lcmFsAcn7//+A/f//Acj7//9//f//AgAAAAY5BAAAATEBxvv//4D9//8Bxfv//3/9//8AAAAABjwEAAAFMjAuNDMBw/v//4D9//8Bwvv//3/9//8DAAAABj8EAACdAT1JRihbQFJlZmVyZW5jZV09IlB1cmNoYXNlIG9yZGVyIixBdGxhc1RhYmxlKCJVQVQiLERhdGFBcmVhSWQsIlQuVmVuZEludm9pY2VUcmFucyIsIiVSZWNJZCIsIiIsIiIsIiIsIiIsIiIsIiIsIkl0ZW1JZHxQdXJjaElEfEludmVudFRyYW5zSWQiLCRDMywkQjMsJEszKSwiIikB7QEAABIAAAAH7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A+///bv3//wZBBAAACEZvbnRCb2xkCZQCAAABvfv//279//8GRAQAAApGb250SXRhbGljCZQCAAABuvv//279//8GRwQAAA1Gb250VW5kZXJsaW5lBkgEAAAFLTQxNDIBt/v//279//8GSgQAAAhGb250TmFtZQZLBAAAB0NhbGlicmkBtPv//279//8GTQQAAAlGb250Q29sb3IGTgQAAAEwAbH7//9u/f//BlAEAAAIRm9udFNpemUGUQQAAAIxMQGu+///bv3//wZTBAAACUZvbnRTdHlsZQZUBAAAB1JlZ3VsYXIH7wEAAAABAAAAAAAAAAQ3R2xvYmVTb2Z0d2FyZS5BdGxhczQwLkF0bGFzQ29tbW9uLlR5cGUuRmllbGRPdXRwdXRGaWVsZAIAAAAB8AEAALQBAAAH8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v7//+A/f//Aar7//9//f//JAAAAAlrAQAAAaj7//+A/f//Aaf7//9//f//CwAAAAZaBAAAAjEyAaX7//+A/f//AaT7//9//f//BAAAAAZdBAAAB0dlbmVyYWwBovv//4D9//8Bofv//3/9//8CAAAABmAEAAABMQGf+///gP3//wGe+///f/3//wAAAAAGYwQAAAUxMC40MwGc+///gP3//wGb+///f/3//wMAAAAGZgQAAKkBPUlGKFtAUmVmZXJlbmNlXT0iUHVyY2hhc2Ugb3JkZXIiLEF0bGFzVGFibGUoIlVBVCIsRGF0YUFyZWFJZCwiVC5NYXJrdXBUcmFucyIsIiVDdXJyZW5jeUNvZGUiLCIiLCIiLCIiLCIiLCIiLCIiLCJNYXJrdXBDb2RlfFRyYW5zUmVjSWR8VHJhbnNUYWJsZUlkIiwiVFBQIiwkTDMsIjQ5MiIpLCIiKQHyAQAAEgAAAAfz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n7//9u/f//BmgEAAAIRm9udEJvbGQJlAIAAAGW+///bv3//wZrBAAACkZvbnRJdGFsaWMJlAIAAAGT+///bv3//wZuBAAADUZvbnRVbmRlcmxpbmUGbwQAAAUtNDE0MgGQ+///bv3//wZxBAAACEZvbnROYW1lBnIEAAAHQ2FsaWJyaQGN+///bv3//wZ0BAAACUZvbnRDb2xvcgZ1BAAAATABivv//279//8GdwQAAAhGb250U2l6ZQZ4BAAAAjExAYf7//9u/f//BnoEAAAJRm9udFN0eWxlBnsEAAAHUmVndWxhcgf2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hPv//4D9//8Bg/v//3/9//8kAAAACXgBAAABgfv//4D9//8BgPv//3/9//8LAAAABoEEAAACMTMBfvv//4D9//8Bffv//3/9//8EAAAABoQEAAAHR2VuZXJhbAF7+///gP3//wF6+///f/3//wIAAAAGhwQAAAExAXj7//+A/f//AXf7//9//f//AAAAAAaKBAAAAjI4AXX7//+A/f//AXT7//9//f//AwAAAAaNBAAAqgE9SUYoW0BSZWZlcmVuY2VdPSJQdXJjaGFzZSBvcmRlciIsQXRsYXNCYWxhbmNlKCJVQVQiLERhdGFBcmVhSWQsIlQuTWFya3VwVHJhbnMiLCJTdW18UG9zdGVkfDAiLCIiLCIiLCIiLCIiLCIiLCIiLCJNYXJrdXBDb2RlfFRyYW5zVGFibGVJZHxUcmFuc1JlY0lkIiwiVFBQIiwiNDkyIiwkTDMpLCIiKQf4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L7//9u/f//CWgEAAAJlAIAAAFv+///bv3//wlrBAAACZQCAAABbPv//279//8JbgQAAAaWBAAABS00MTQyAWn7//9u/f//CXEEAAAGmQQAAAdDYWxpYnJpAWb7//9u/f//CXQEAAAGnAQAAAEwAWP7//9u/f//CXcEAAAGnwQAAAIxMQFg+///bv3//wl6BAAABqIEAAAHUmVndWxhcgH8AQAADgAAALEAAAAGowQAAAtJbnZlbnRUcmFucwakBAAAFkludmVudG9yeSB0cmFuc2FjdGlvbnMJCAAAAAkIAAAACQgAAAABWvv//+D///8AAAAACacEAAAJqAQAAAFX+///3f////7aE81QoYxHvFB5UBqg0c8JCAAAAAkIAAAACasEAAAJ/wEAAAoKCgoKAQAAAAFT+///2f///wAAAAABUvv//9j///8AAAAAAAmvBAAABAU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TwAAAAm2AQAAAwAAAAmxBAAABBM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TwAAAAm2AQAAAwAAAAmzBAAABCE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TwAAAAm2AQAAAwAAAAm1BAAABC8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TwAAAAm2AQAAAwAAAAm3BAAABD0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TwAAAAm2AQAAAwAAAAm5BAAABEs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TwAAAAm2AQAAAwAAAAm7BAAABFk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TwAAAAm2AQAAAwAAAAm9BAAABGI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AAAAwAAAAm/BAAABGs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AAAAwAAAAnBBAAAAW8CAACDAQAAAT77//84/////////wAGwwQAAAZTdHJpbmcGxAQAAAlJdGVtIG5hbWUJMQAAAAE6+///Nv///wIAAAABOfv//wL+//8BAAAAAAAJMAAAAAntAAAACQgAAAAK/////wkwAAAACgntAAAABs0EAAAGSXRlbUlkBs4EAAALSW52ZW50VHJhbnMKCQgAAAAJ0AQAAAkIAAAAAXUCAACDAQAAAS77//84/////////wAG0wQAAAZTdHJpbmcG1AQAAARVbml0CTQAAAABKvv//zb///8CAAAAASn7//8C/v//AQAAAAAACTMAAAAJQQEAAAkIAAAACv////8JMwAAAAoJQQEAAAbdBAAABkl0ZW1JZAbeBAAAC0ludmVudFRhYmxlCgkIAAAACeAEAAAJCAAAAAF4AgAAmAEAAAkzAAAABuMEAAAKTW9kdWxlVHlwZQkIAAAABuUEAAAGSW52ZW50/////wkzAAAACgnjBAAABugEAAAGSXRlbUlkCgoJCAAAAAnqBAAACQgAAAABewIAAIMBAAABFPv//zj/////////AAbtBAAABlN0cmluZwbuBAAABFNpdGUJNwAAAAEQ+///Nv///wIAAAABD/v//wL+//8BAAAAAAAJNgAAAAn7AAAACQgAAAAK/////wk2AAAACgn7AAAABvcEAAALaW52ZW50RGltSWQG+AQAAAtJbnZlbnRUcmFucwoJCAAAAAn6BAAACQgAAAABfgIAAIMBAAABBPv//zj/////////AAb9BAAABlN0cmluZwb+BAAACVdhcmVob3VzZQk3AAAAAQD7//82////AgAAAAH/+v//Av7//wEAAAAAAAk2AAAACQkBAAAJCAAAAAr/////CTYAAAAKCQkBAAAGBwUAAAtpbnZlbnREaW1JZAYIBQAAC0ludmVudFRyYW5zCgkIAAAACQoFAAAJCAAAAAGnBAAAIQAAAAoAAAAJDAUAABEAAAAJDQUAAASoB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QwFAAAAAAAABKsE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MBQAAAAAAAAGvBAAAKQAAAAAAAAAJDwUAAAAAAAAHs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w+v//bv3//wYRBQAACEhlbHBUZXh0BhIFAAAyU3BlY2lmeSB0aGUgbW9kdWxlIHRoYXQgZ2VuZXJhdGVkIHRoZSB0cmFuc2FjdGlvbi4B7fr//279//8GFAUAAAVMYWJlbAn7AQAAAer6//9u/f//BhcFAAAEVHlwZQn6AQAAB7M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5/r//279//8JEQUAAAYbBQAANU9yZGVyIG51bWJlciwgcHJvamVjdCBudW1iZXIsIHByb2R1Y3Rpb24gbnVtYmVyLCBldGMuAeT6//9u/f//CRQFAAAJCQIAAAHh+v//bv3//wkXBQAACQgCAAAHt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e+v//bv3//wkRBQAABiQFAAAOSWRlbnRpZnkgaXRlbS4B2/r//279//8JFAUAAAkXAgAAAdj6//9u/f//CRcFAAAJFgIAAAe3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X6//9u/f//CREFAAAGLQUAABxEYXRlIG9mIHBoeXNpY2FsIHRyYW5zYWN0aW9uAdL6//9u/f//CRQFAAAJJQIAAAHP+v//bv3//wkXBQAACSQCAAAHu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M+v//bv3//wkRBQAABjYFAAAdRGF0ZSBvZiBmaW5hbmNpYWwgdHJhbnNhY3Rpb24Byfr//279//8JFAUAAAkzAgAAAcb6//9u/f//CRcFAAAJMgIAAAe7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P6//9u/f//CREFAAAGPwUAACRRdWFudGl0eSBhdHRhY2hlZCB0byB0aGUgdHJhbnNhY3Rpb24BwPr//279//8JFAUAAAlBAgAAAb36//9u/f//CRcFAAAJQAIAAAe9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r6//9u/f//CREFAAAGSAUAAFJTdW1tYXJ5IG51bWJlci9Mb3QgSUQgZm9yIHRyYW5zYWN0aW9ucyBhdHRhY2hlZCB0byB0aGUgc2FtZSBpbnZlbnRvcnkgdHJhbnNhY3Rpb24uAbf6//9u/f//CRQFAAAJTwIAAAG0+v//bv3//wkXBQAACU4CAAAHvw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x+v//bv3//wZQBQAABFR5cGUJMgIAAAGu+v//bv3//wZTBQAABUxhYmVsCTMCAAABq/r//279//8GVgUAAAhSZWZlcnNUbwZXBQAACz1EYXRlUGVyaW9kB8E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Pr//279//8JUAUAAAkWAgAAAaX6//9u/f//CVMFAAAJFwIAAAGi+v//bv3//wlWBQAABmAFAAAPPSdHZW5lcmFsJyEkQyQ3BNA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RgAAAAmiAQAAAwAAAAliBQAABOA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RgAAAAmiAQAAAwAAAAlkBQAABOo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AAAAAkSAAAAAwAAAAlmBQAABPo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RgAAAAmiAQAAAwAAAAloBQAABAoF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RgAAAAmiAQAAAwAAAAlqBQAAAQwFAAASAAAABw0FAAAAAQAAAAo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ZX6//9//v//BmwFAAAYVGFibGUuSW52ZW50VHJhbnMuSXRlbUlkCYkBAAABkvr//3/+//8GbwUAAB9UYWJsZS5JbnZlbnRUcmFucy5JbnZlbnRUcmFuc0lkCZUBAAABj/r//3/+//8GcgUAABtUYWJsZS5JbnZlbnRUcmFucy5UcmFuc1R5cGUJgwEAAAGM+v//f/7//wZ1BQAAHFRhYmxlLkludmVudFRyYW5zLlRyYW5zUmVmSWQJhgEAAAGJ+v//f/7//wZ4BQAAHlRhYmxlLkludmVudFRyYW5zLkRhdGVQaHlzaWNhbAmMAQAAAYb6//9//v//BnsFAAAfVGFibGUuSW52ZW50VHJhbnMuRGF0ZUZpbmFuY2lhbAmPAQAAAYP6//9//v//Bn4FAAAfVGFibGUuSW52ZW50VHJhbnMuU3RhdHVzUmVjZWlwdAl/BQAAAYD6//9//v//BoEFAAAdVGFibGUuSW52ZW50VHJhbnMuU3RhdHVzSXNzdWUJggUAAAF9+v//f/7//waEBQAAFVRhYmxlLkludmVudFRyYW5zLlF0eQmSAQAAAXr6//9//v//BocFAAAiVGFibGUuSW52ZW50VHJhbnMuQ29zdEFtb3VudFBvc3RlZAmIBQAAAQ8FAACJAAAAB2I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/r//279//8GigUAAAVMYWJlbAnEBAAAAXT6//9u/f//Bo0FAAAEVHlwZQnDBAAAB2Q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fr//279//8JigUAAAnUBAAAAW76//9u/f//CY0FAAAJ0wQAAAdm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v6//9u/f//CVAFAAAGlwUAAARFbnVtAWj6//9u/f//CVMFAAAGmgUAAAtNb2R1bGUgdHlwZQdo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X6//9u/f//CYoFAAAJ7gQAAAFi+v//bv3//wmNBQAACe0EAAAHag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f+v//bv3//wmKBQAACf4EAAABXPr//279//8JjQUAAAn9BAAAAX8FAACDAQAAAVn6//84/////////wAGqAUAAARFbnVtBqkFAAAOUmVjZWlwdCBzdGF0dXMJ/AEAAAFV+v//Nv///wIAAAABVPr//wL+//8BAAAAAAAJ/wEAAAauBQAADVN0YXR1c1JlY2VpcHQJCAAAAAr/////Cf8BAAAKCa4FAAAKCgoJCAAAAAmzBQAACQgAAAABggUAAIMBAAABS/r//zj/////////AAa2BQAABEVudW0GtwUAAAxJc3N1ZSBzdGF0dXMJ/AEAAAFH+v//Nv///wIAAAABRvr//wL+//8BAAAAAAAJ/wEAAAa8BQAAC1N0YXR1c0lzc3VlCQgAAAAK/////wn/AQAACgm8BQAACgoKCQgAAAAJwQUAAAkIAAAAAYgFAACDAQAAAT36//84/////////wAGxAUAAARSZWFsBsUFAAAVRmluYW5jaWFsIGNvc3QgYW1vdW50CfwBAAABOfr//zb///8CAAAAATj6//8C/v//AQAAAAAACf8BAAAGygUAABBDb3N0QW1vdW50UG9zdGVkCQgAAAAK/////wn/AQAACgnKBQAACgoKCQgAAAAJzwUAAAkIAAAABLMF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m2AQAAAwAAAAnSBQAABMEF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m2AQAAAwAAAAnUBQAABM8F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m2AQAAAwAAAAnWBQAAB9I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fr//279//8JEQUAAAbZBQAAKVN0YXR1cyBvZiBxdWFudGl0eSBpbiByZWxhdGlvbiB0byByZWNlaXB0ASb6//9u/f//CRQFAAAJqQUAAAEj+v//bv3//wkXBQAACagFAAAH1A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g+v//bv3//wkRBQAABuIFAAApU3RhdHVzIGZvciBxdWFudGl0eSBpbiByZWxhdGlvbiB0byBpc3N1ZXMBHfr//279//8JFAUAAAm3BQAAARr6//9u/f//CRcFAAAJtgUAAAfW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f6//9u/f//CREFAAAG6wUAADVJbnZlbnRvcnkgdmFsdWUgZm9yIHRoZSBmaW5hbmNpYWxseSB1cGRhdGVkIHF1YW50aXR5LgEU+v//bv3//wkUBQAACcUFAAABEfr//279//8JFwUAAAnEBQAACw==
    <Output>
      <OutputObject name="AtlasReport_1"/>
    </Output>
  </Query>
</Atlas>
</file>

<file path=customXml/item9.xml><?xml version="1.0" encoding="utf-8"?>
<Atlas>
  <Query type="ReportSummary" id="b72ac29a-f821-4157-bbd5-f80a6e6da0c1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w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Uk9E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C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IAAAACA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I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Tg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C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UludmVudFN1bQYeAAAAEU9uLWhhbmQgaW52ZW50b3J5CQgAAAAJCAAAAAkIAAAABeD///8wR2xvYmVTb2Z0d2FyZS5BdGxhczQwLkF0bGFzQ29tbW9uLkRhdGFTb3VyY2VUeXBlAQAAAAd2YWx1ZV9fAAgCAAAAAAAAAAkhAAAACSIAAAAE3f///wtTeXN0ZW0uR3VpZAsAAAACX2ECX2ICX2MCX2QCX2UCX2YCX2cCX2gCX2kCX2oCX2sAAAAAAAAAAAAAAAgHBwICAgICAgIC2Bhk1/oLdUOOxD4jN50ongkIAAAACQgAAAAJJQAAAAYmAAAAD1RhYmxlLkludmVudFN1bQ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g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AdH////U////BjAAAAArVGFibGUuSW52ZW50U3VtLkludmVudERpbUlkflRhYmxlLkludmVudERpbQkxAAAABxQAAAAAAQAAAAgAAAAELUdsb2JlU29mdHdhcmUuQXRsYXM0MC5BdGxhc0NvbW1vbi5UeXBlLkNvbHVtbgIAAAAJMgAAAAkzAAAACTQAAAAJNQAAAAk2AAAACTcAAAAJOAAAAAk5AAAAERUAAAAEAAAABjoAAAANQXRsYXNSZXBvcnRfMw0DBxcAAAAAAQAAAAI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xf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Bw////8X///8GPgAAAA9UYWJsZS5JbnZlbnREaW0JMA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wP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W/////Pkdsb2JlU29mdHdhcmUuQXRsYXM0MC5BdGxhc0NvbW1vbi5UeXBlLkF0bGFzUXVlcnlBdHRyaWJ1dGVOYW1lAQAAAAd2YWx1ZV9fAAgCAAAAAgAAAAZCAAAAJGI3MmFjMjlhLWY4MjEtNDE1Ny1iYmQ1LWY4MGE2ZTZkYTBjMQG9////wP///wG8////v////wAAAAAGRQAAAAR0cnVlAbr////A////Abn///+/////CwAAAAZIAAAAEU9uLWhhbmQgaW52ZW50b3J5Abf////A////Abb///+/////GwAAAAZLAAAABFRydWUBtP///8D///8Bs////7////8GAAAABk4AAAAFRmFsc2UBsf///8D///8BsP///7////8cAAAACUsAAAABrv///8D///8Brf///7////8dAAAACU4AAAABq////8D///8Bqv///7////8qAAAACUsAAAABqP///8D///8Bp////7////8BAAAABloAAAADMzYzAaX////A////AaT///+/////JwAAAAZdAAAACz1EYXRhQXJlYUlkAaL////A////AaH///+/////GQAAAAZgAAAAD0NlbGxzVmVydGljYWxseQGf////wP///wGe////v////wkAAAAKAZ3////A////AZz///+/////KAAAAAZlAAAAATgBmv///8D///8Bmf///7////8rAAAABmgAAAARVGFibGVTdHlsZU1lZGl1bTIHHAAAAAABAAAAAg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Jf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agAAAAlJbnZlbnRTdW0BAAAAAZX///+X////BmwAAAAJSW52ZW50RGlt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AgAAAAltAAAAAwAAAAlu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EAAAAJEgAAAAMAAAAJcAAAAAElAAAABAAAAAEAAAAJbQAAAAMAAAAJcgAAAAQpA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zAAAAAAAAAAcqAAAAAAEAAAAAAAAABC1HbG9iZVNvZnR3YXJlLkF0bGFzNDAuQXRsYXNDb21tb24uVHlwZS5Db2x1bW4CAAAAATEAAAAOAAAA/////wZ0AAAACUludmVudERpbQZ1AAAAFEludmVudG9yeSBkaW1lbnNpb25zCQgAAAAJCAAAAAkIAAAAAYn////g////AAAAAAl4AAAACXkAAAABhv///93///9PdSE8u5QHQZQRgNZTTOJqCQgAAAAJCAAAAAl8AAAACTAAAAAGfgAAAAlJbnZlbnRTdW0GfwAAAA9UYWJsZS5JbnZlbnRTdW0GgAAAABtUYWJsZS5JbnZlbnRTdW0uSW52ZW50RGltSWQGgQAAAAtJbnZlbnREaW1JZAaCAAAAC2ludmVudERpbUlkAQAAAAF9////2f///wAAAAABfP///9j///8AAAAAAAmFAAAABTI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YYAAAAJhwAAAAmIAAAABokAAAAGSXRlbUlkBooAAAALSXRlbSBudW1iZXIGiwAAAAZTdHJpbmcJCAAAAAaNAAAAJGNiZTA1OWUxLTU2ODMtNDYxMy1iMzg3LWFkNjg0OWUzZTJjZgVy////LUdsb2JlU29mdHdhcmUuQXRsYXM0MC5BdGxhc0NvbW1vbi5BZ2dyZWdhdGlvbgEAAAAHdmFsdWVfXwAIAgAAAP////8AAAAABXH///8sR2xvYmVTb2Z0d2FyZS5BdGxhczQwLkF0bGFzQ29tbW9uLkNvbHVtblR5cGUBAAAAB3ZhbHVlX18ACAIAAAAAAAAABXD///8rR2xvYmVTb2Z0d2FyZS5BdGxhczQwLkF0bGFzQ29tbW9uLlNvcnRPcmRlcgEAAAAHdmFsdWVfXwAIAgAAAAIAAAAAAAAAAAVv////QEdsb2JlU29mdHdhcmUuQXRsYXM0MC5BdGxhc0NvbW1vbi5UeXBlLkNvbHVtbitDcm9zc1RhYkNvbHVtblR5cGUBAAAAB3ZhbHVlX18ACAIAAAAAAAAACgEAAAAAAAAAAAAAAAAABpIAAAAkNmE2ZDc5ODYtOTlmNy00NGRjLTg5YjQtNzY0Y2QwM2RjNmM0BpMAAAAWVGFibGUuSW52ZW50U3VtLkl0ZW1JZAoKCgoBMwAAADIAAAAJlAAAAAmVAAAACZYAAAAGlwAAAAxJbnZlbnRTaXRlSWQGmAAAAARTaXRlBpkAAAAGU3RyaW5nCQgAAAAGmwAAACQ0OTU2OTYxNi1jYzJkLTRlMjItOGUwNC1iMzkxNTdkMGZjNDcBZP///3L/////////AQAAAAFj////cf///wAAAAABYv///3D///8CAAAAAAAAAAABYf///2////8AAAAACgEAAAAAAAAAAAEAAAAABqAAAAAkMTczYzBjYjAtMTUxYi00YmE1LThlZTUtN2UwYWMzMGY5NjY0BqEAAAA4VGFibGUuSW52ZW50U3VtLkludmVudERpbUlkflRhYmxlLkludmVudERpbS5JbnZlbnRTaXRlSWQKCgoKATQAAAAyAAAACaIAAAAJowAAAAmkAAAABqUAAAAQSW52ZW50TG9jYXRpb25JZAamAAAACVdhcmVob3VzZQanAAAABlN0cmluZwkIAAAABqkAAAAkNThhNGMyZjMtZjMxYy00NjcwLWE5NmEtYzVhYTQzZjAyY2YyAVb///9y/////////wIAAAABVf///3H///8AAAAAAVT///9w////AgAAAAAAAAAAAVP///9v////AAAAAAoBAAAAAAAAAAACAAAAAAauAAAAJGQwMTYzNGViLTdmMzEtNDAzOS1iNzUzLWNhZmJkMGQxNzgzNQavAAAAPFRhYmxlLkludmVudFN1bS5JbnZlbnREaW1JZH5UYWJsZS5JbnZlbnREaW0uSW52ZW50TG9jYXRpb25JZAoKCgoBNQAAADIAAAAJsAAAAAmxAAAACbIAAAAGswAAAAlQb3N0ZWRRdHkGtAAAAA9DdXJyZW50IE9uLWhhbmQGtQAAAARSZWFsCQgAAAAGtwAAACQyOTY4N2E4NS0zN2JjLTQ5MDYtOGI5OS02MjgzNzg3ZWEwZTcBSP///3L///8BAAAAAwAAAAFH////cf///wAAAAABRv///3D///8CAAAAAAAAAAABRf///2////8AAAAACgEAAAAAAAAAAAMAAAAABrwAAAAkODI4OWJlNjEtNTNkMi00NjgzLWFiNGMtYWRlNmQ3OGQ1N2RmBr0AAAAZVGFibGUuSW52ZW50U3VtLlBvc3RlZFF0eQoKCgoBNgAAADIAAAAJvgAAAAm/AAAACcAAAAAGwQAAADdBdGxhc01hbmFnZWRDb2x1bW5fYzk1OTU0NGYtMGQ3NC00YzcxLWJkNzgtYjE1YzhmZjIyMjU5BsIAAAAbVHJhbnMgYmFja3dvcmRzIChCZWdpbm5pbmcpCQgAAAAJCAAAAAbEAAAAJDg2NjdkZDQ4LTRiNmYtNDJkOC05YmJjLWIwMjA0MjNmYzUzMQE7////cv///wEAAAAEAAAAATr///9x////AgAAAAE5////cP///wIAAAAAAAAAAAE4////b////wAAAAAKAQAAAAAAAAAABAAAAAAGyQAAACRlMGNlY2M0ZS03MWU5LTQ4M2QtOWQ4MC1jZDFjN2ExMGI2YmUJCAAAAAoKCgoBNwAAADIAAAAJywAAAAnMAAAACc0AAAAGzgAAADdBdGxhc01hbmFnZWRDb2x1bW5fMWJkZWU0M2QtYzYyYi00ZGE4LTkzMDYtYTYyZmE5ZDNlYmU5Bs8AAAAYVHJhbnMgYmFja3dvcmRzIChFbmRpbmcpCQgAAAAJCAAAAAbRAAAAJDUwYTM2NWQyLTZlYjMtNDNlNC05MDU0LTFkODllYzZjNTFmNAEu////cv///wEAAAAFAAAAAS3///9x////AgAAAAEs////cP///wIAAAAAAAAAAAEr////b////wAAAAAKAQAAAAAAAAAABQAAAAAG1gAAACQ0MTdlOTNiYy1hMDIzLTQwMDYtODgyNS0wYThmOGYxODFkMWIJCAAAAAoKCgoBOAAAADIAAAAJ2AAAAAnZAAAACdoAAAAG2wAAADdBdGxhc01hbmFnZWRDb2x1bW5fNWZkMDcyYmQtMjk4ZS00ZDYzLWJmYmEtYTg3MmQ5ODkzYjJmBtwAAAARQmVnaW5uaW5nIE9uLWhhbmQJCAAAAAkIAAAABt4AAAAkODIxMzQwMDMtN2MwOC00YjUzLTgwZTItYjk3ZjJiYmUxODU1ASH///9y////AQAAAAYAAAABIP///3H///8CAAAAAR////9w////AgAAAAAAAAAAAR7///9v////AAAAAAoBAAAAAAAAAAAGAAAAAAbjAAAAJGQ5Y2IzZDAxLWM1MGEtNDg3Zi1iMDU4LWI1ZWFmODVhNDdmZAkIAAAACgoKCgE5AAAAMgAAAAnlAAAACeYAAAAJ5wAAAAboAAAAN0F0bGFzTWFuYWdlZENvbHVtbl9kZmFmZDcxYi1hYzlkLTQxZjUtYTZhYy00MDMyNDM2YTRjOGMG6QAAAA5FbmRpbmcgT24taGFuZAkIAAAACQgAAAAG6wAAACRkYzYzYzQ4Ni0wNTliLTQ3YTUtYmZhZS0zNGM5MWJhZDUxODIBFP///3L///8BAAAABwAAAAET////cf///wIAAAABEv///3D///8CAAAAAAAAAAABEf///2////8AAAAACgEAAAAAAAAAAAcAAAAABvAAAAAkOGYxZjE1N2YtMDM2ZC00ZGYyLTk4NTAtMTc0ZGFlYzY2NzFmCQgAAAAKCgoKAW0AAAASAAAAB24AAAAAAQAAAAI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7/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vMAAAAWVGFibGUuSW52ZW50U3VtLkl0ZW1JZAn0AAAAAQv///8O////BvYAAAAZVGFibGUuSW52ZW50U3VtLlBvc3RlZFF0eQn3AAAAB3AA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I//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CAAAABvkAAAAWVGFibGUuSW52ZW50U3VtLkl0ZW1JZAn6AAAAB3IA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QX////U////CTAAAAAJMQAAAARz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eAAAACEAAAACAAAACf4AAAADAAAACf8AAAAEeQ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R8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/gAAAAAAAAABhQAAACkAAAAAAAAACQIBAAAAAAAABIY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QMBAAABAAAAAQAAAASH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YoAAAAJBAEAAAcAAAAJBQEAAASI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UAAAAJBgEAAAcAAAAJBwEAAAGUAAAAhgAAAAkIAQAAAQAAAAEAAAABlQAAAIcAAACBAAAACQkBAAAHAAAACQoBAAAEl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+AAAACf4AAAAHAAAACQwBAAABogAAAIYAAAAJDQEAAAEAAAABAAAAAaMAAACHAAAAgQAAAAkJAQAABwAAAAkPAQAABKQ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gAAAAn+AAAABwAAAAkRAQAAAbAAAACGAAAACRIBAAABAAAAAQAAAAGxAAAAhwAAAI0AAAAJBAEAAAcAAAAJFAEAAASy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UAAAAJBgEAAAcAAAAJFgEAAAG+AAAAhgAAAAkXAQAAAAAAAAAAAAABvwAAAIcAAAB7AAAACQkBAAAHAAAACRkBAAAEw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wAAAACf4AAAAHAAAACRsBAAABywAAAIYAAAAJFwEAAAAAAAAAAAAAAcwAAACHAAAAeQAAAAkJAQAABwAAAAkeAQAABM0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AAAAAn+AAAABwAAAAkgAQAAAdgAAACGAAAACSEBAAAAAAAAAAAAAAHZAAAAhwAAAGgAAAAJIgEAAAcAAAAJIwEAAATa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IAAAAJJAEAAAcAAAAJJQEAAAHlAAAAhgAAAAkhAQAAAAAAAAAAAAAB5gAAAIcAAABoAAAACSIBAAAHAAAACSgBAAAE5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iAAAACSQBAAAHAAAACSoBAAAF9A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AgAAAAExR2xvYmVTb2Z0d2FyZS5BdGxhczQwLkF0bGFzQ29tbW9uLlR5cGUuRGF0YVNvdXJjZQIAAAArR2xvYmVTb2Z0d2FyZS5BdGxhczQwLkF0bGFzQ29tbW9uLlNvcnRPcmRlcgIAAAA5R2xvYmVTb2Z0d2FyZS5BdGxhczQwLkF0bGFzQ29tbW9uLk51bWJlclNlcXVlbmNlQ29uZGl0aW9uA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B1f7//3L/////////AAYsAQAABlN0cmluZwYtAQAAC0l0ZW0gbnVtYmVyCS4BAAAB0f7//3D///8CAAAABdD+//85R2xvYmVTb2Z0d2FyZS5BdGxhczQwLkF0bGFzQ29tbW9uLk51bWJlclNlcXVlbmNlQ29uZGl0aW9uAQAAAAd2YWx1ZV9fAAgCAAAAAQAAAAAABjEBAAAPVGFibGUuSW52ZW50U3VtCYkAAAAJCAAAAAr/////CTEBAAAKCYkAAAAKCgoJCAAAAAk3AQAACQgAAAAB9wAAAPQAAAABx/7//3L///8BAAAAAAY6AQAABFJlYWwGOwEAAA9Qb3N0ZWQgcXVhbnRpdHkJLgEAAAHD/v//cP///wIAAAABwv7//9D+//8BAAAAAAAJMQEAAAmzAAAACQgAAAAK/////wkxAQAACgmzAAAACgoKCQgAAAAJRQEAAAkIAAAABfoA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ZHAQAAD1RhYmxlLkludmVudFN1bQZIAQAABkl0ZW1JZAkIAAAABkoBAAABKv////8JRwEAAAoJSAEAAAoKCgkIAAAACU4BAAAJCAAAAAH+AAAAEgAAAAf/AAAAAAEAAAAC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w/v//Dv///wZRAQAAOFRhYmxlLkludmVudFN1bS5JbnZlbnREaW1JZH5UYWJsZS5JbnZlbnREaW0uSW52ZW50U2l0ZUlkCVIBAAABrf7//w7///8GVAEAADxUYWJsZS5JbnZlbnRTdW0uSW52ZW50RGltSWR+VGFibGUuSW52ZW50RGltLkludmVudExvY2F0aW9uSWQJVQEAAAECAQAAcwAAAAcDAQAAAAEAAAAEAAAABDdHbG9iZVNvZnR3YXJlLkF0bGFzNDAuQXRsYXNDb21tb24uVHlwZS5GaWVsZE91dHB1dEZpZWxkAgAAAAn0AAAADQMEBAE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BQ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Kn+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qP7//zJHbG9iZVNvZnR3YXJlLkF0bGFzNDAuQXRsYXNDb21tb24uQ29sdW1uQXR0cmlidXRlcwEAAAAHdmFsdWVfXwAIAgAAAAYAAAAGWQEAAAVUb3RhbAGm/v//qf7//wGl/v//qP7//xAAAAAGXAEAAAROb25lAaP+//+p/v//AaL+//+o/v//CQAAAAkIAAAAAaD+//+p/v//AZ/+//+o/v//CwAAAAZiAQAAATABnf7//6n+//8BnP7//6j+//8EAAAABmUBAAAHR2VuZXJhbAGa/v//qf7//wGZ/v//qP7//wIAAAAGaAEAAAExAZf+//+p/v//AZb+//+o/v//AAAAAAZrAQAABTMxLjI5AQYBAAASAAAABwc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lP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ZtAQAACEZvbnRCb2xkBm4BAAAFRmFsc2UBkf7//5T+//8GcAEAAApGb250SXRhbGljCW4BAAABjv7//5T+//8GcwEAAA1Gb250VW5kZXJsaW5lBnQBAAAFLTQxNDIBi/7//5T+//8GdgEAAAhGb250TmFtZQZ3AQAAB0NhbGlicmkBiP7//5T+//8GeQEAAAlGb250Q29sb3IGegEAAAEwAYX+//+U/v//BnwBAAAIRm9udFNpemUGfQEAAAIxMQGC/v//lP7//wZ/AQAACUZvbnRTdHlsZQaAAQAAB1JlZ3VsYXIHCAEAAAABAAAABAAAAAQ3R2xvYmVTb2Z0d2FyZS5BdGxhczQwLkF0bGFzQ29tbW9uLlR5cGUuRmllbGRPdXRwdXRGaWVsZAIAAAAJUgEAAA0DAQkBAAAEAQAABwo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+/v//qf7//wF9/v//qP7//wkAAAAJCAAAAAF7/v//qf7//wF6/v//qP7//wsAAAAGhwEAAAExAXj+//+p/v//AXf+//+o/v//BAAAAAaKAQAAB0dlbmVyYWwBdf7//6n+//8BdP7//6j+//8CAAAABo0BAAABMQFy/v//qf7//wFx/v//qP7//wAAAAAGkAEAAAE2Bww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/7//5T+//8JbQEAAAluAQAAAWz+//+U/v//CXABAAAJbgEAAAFp/v//lP7//wlzAQAABpkBAAAFLTQxNDIBZv7//5T+//8JdgEAAAacAQAAB0NhbGlicmkBY/7//5T+//8JeQEAAAafAQAAATABYP7//5T+//8JfAEAAAaiAQAAAjExAV3+//+U/v//CX8BAAAGpQEAAAdSZWd1bGFyBw0BAAAAAQAAAAQAAAAEN0dsb2JlU29mdHdhcmUuQXRsYXM0MC5BdGxhc0NvbW1vbi5UeXBlLkZpZWxkT3V0cHV0RmllbGQCAAAACVUBAAANAwcP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Wf7//6n+//8BWP7//6j+//8JAAAACQgAAAABVv7//6n+//8BVf7//6j+//8LAAAABqwBAAABMgFT/v//qf7//wFS/v//qP7//wQAAAAGrwEAAAdHZW5lcmFsAVD+//+p/v//AU/+//+o/v//AgAAAAayAQAAATEBTf7//6n+//8BTP7//6j+//8AAAAABrUBAAAFMTIuODYHE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K/v//lP7//wltAQAACW4BAAABR/7//5T+//8JcAEAAAluAQAAAUT+//+U/v//CXMBAAAGvgEAAAUtNDE0MgFB/v//lP7//wl2AQAABsEBAAAHQ2FsaWJyaQE+/v//lP7//wl5AQAABsQBAAABMAE7/v//lP7//wl8AQAABscBAAACMTEBOP7//5T+//8JfwEAAAbKAQAAB1JlZ3VsYXIHEgEAAAABAAAABAAAAAQ3R2xvYmVTb2Z0d2FyZS5BdGxhczQwLkF0bGFzQ29tbW9uLlR5cGUuRmllbGRPdXRwdXRGaWVsZAIAAAAJ9wAAAA0DBxQB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0/v//qf7//wEz/v//qP7//xAAAAAJXAEAAAEx/v//qf7//wEw/v//qP7//wkAAAAJCAAAAAEu/v//qf7//wEt/v//qP7//wsAAAAG1AEAAAEzASv+//+p/v//ASr+//+o/v//BAAAAAbXAQAAL18oKiAjLCMjMC4wMF8pO18oKiAoIywjIzAuMDApO18oKiAiLSI/P18pO18oQF8pASj+//+p/v//ASf+//+o/v//AgAAAAbaAQAAATEBJf7//6n+//8BJP7//6j+//8AAAAABt0BAAAFMTYuNzEBIv7//6n+//8BIf7//6j+//8kAAAACbQAAAAHF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f/v//lP7//wltAQAACW4BAAABHP7//5T+//8JcAEAAAluAQAAARn+//+U/v//CXMBAAAG6QEAAAUtNDE0MgEW/v//lP7//wl2AQAABuwBAAAHQ2FsaWJyaQET/v//lP7//wl5AQAABu8BAAABMAEQ/v//lP7//wl8AQAABvIBAAACMTEBDf7//5T+//8JfwEAAAb1AQAAB1JlZ3VsYXIHFwEAAAABAAAAAAAAAAQ3R2xvYmVTb2Z0d2FyZS5BdGxhczQwLkF0bGFzQ29tbW9uLlR5cGUuRmllbGRPdXRwdXRGaWVsZAIAAAAHG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r+//+p/v//AQn+//+o/v//JAAAAAnCAAAAAQf+//+p/v//AQb+//+o/v//CwAAAAb7AQAAATQBBP7//6n+//8BA/7//6j+//8EAAAABv4BAAAvXygqICMsIyMwLjAwXyk7XygqICgjLCMjMC4wMCk7XygqICItIj8/Xyk7XyhAXykBAf7//6n+//8BAP7//6j+//8CAAAABgECAAABMQH+/f//qf7//wH9/f//qP7//wAAAAAGBAIAAAUxOS44NgH7/f//qf7//wH6/f//qP7//wMAAAAGBwIAAMkBPUF0bGFzQmFsYW5jZSgiUFJPRCIsRGF0YUFyZWFJZCwiVC5JbnZlbnRUcmFuc3xpbnZlbnREaW1JZH5pbnZlbnREaW1JZEBULkludmVudERpbSIsIlN1bXxRdHl8MCIsIiIsIiIsIiIsIiIsIiIsIiIsIkRhdGVGaW5hbmNpYWx8SXRlbUlkfFQyLkludmVudFNpdGVJZHxUMi5JbnZlbnRMb2NhdGlvbklkIixQZXJpb2RCZWdpbm5pbmcsJEEzLCRCMywkQzMpBxs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+P3//5T+//8GCQIAAAhGb250Qm9sZAluAQAAAfX9//+U/v//BgwCAAAKRm9udEl0YWxpYwluAQAAAfL9//+U/v//Bg8CAAANRm9udFVuZGVybGluZQYQAgAABS00MTQyAe/9//+U/v//BhICAAAIRm9udE5hbWUGEwIAAAdDYWxpYnJpAez9//+U/v//BhUCAAAJRm9udENvbG9yBhYCAAABMAHp/f//lP7//wYYAgAACEZvbnRTaXplBhkCAAACMTEB5v3//5T+//8GGwIAAAlGb250U3R5bGUGHAIAAAdSZWd1bGFyBx4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j/f//qf7//wHi/f//qP7//yQAAAAJzwAAAAHg/f//qf7//wHf/f//qP7//wsAAAAGIgIAAAE1Ad39//+p/v//Adz9//+o/v//BAAAAAYlAgAAL18oKiAjLCMjMC4wMF8pO18oKiAoIywjIzAuMDApO18oKiAiLSI/P18pO18oQF8pAdr9//+p/v//Adn9//+o/v//AgAAAAYoAgAAATEB1/3//6n+//8B1v3//6j+//8AAAAABisCAAAFMTYuODYB1P3//6n+//8B0/3//6j+//8DAAAABi4CAADGAT1BdGxhc0JhbGFuY2UoIlBST0QiLERhdGFBcmVhSWQsIlQuSW52ZW50VHJhbnN8aW52ZW50RGltSWR+aW52ZW50RGltSWRAVC5JbnZlbnREaW0iLCJTdW18UXR5fDAiLCIiLCIiLCIiLCIiLCIiLCIiLCJEYXRlRmluYW5jaWFsfEl0ZW1JZHxUMi5JbnZlbnRTaXRlSWR8VDIuSW52ZW50TG9jYXRpb25JZCIsUGVyaW9kRW5kaW5nLCRBMywkQjMsJEMzKQcg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H9//+U/v//CQkCAAAJbgEAAAHO/f//lP7//wkMAgAACW4BAAABy/3//5T+//8JDwIAAAY3AgAABS00MTQyAcj9//+U/v//CRICAAAGOgIAAAdDYWxpYnJpAcX9//+U/v//CRUCAAAGPQIAAAEwAcL9//+U/v//CRgCAAAGQAIAAAIxMQG//f//lP7//wkbAgAABkMCAAAHUmVndWxhcgchAQAAAAEAAAAAAAAABDdHbG9iZVNvZnR3YXJlLkF0bGFzNDAuQXRsYXNDb21tb24uVHlwZS5GaWVsZE91dHB1dEZpZWxkAgAAAAEiAQAABAEAAAcj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vP3//6n+//8Bu/3//6j+//8kAAAACdwAAAABuf3//6n+//8BuP3//6j+//8LAAAABkkCAAABNgG2/f//qf7//wG1/f//qP7//wQAAAAGTAIAAC9fKCogIywjIzAuMDBfKTtfKCogKCMsIyMwLjAwKTtfKCogIi0iPz9fKTtfKEBfKQGz/f//qf7//wGy/f//qP7//wIAAAAGTwIAAAExAbD9//+p/v//Aa/9//+o/v//AAAAAAZSAgAABTE5Ljg2Aa39//+p/v//Aaz9//+o/v//AwAAAAZVAgAANj1bQFtDdXJyZW50IE9uLWhhbmRdXS1bQFtUcmFucyBiYWNrd29yZHMgKEJlZ2lubmluZyldXQEkAQAAEgAAAAcl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r9//+U/v//BlcCAAAIRm9udEJvbGQJbgEAAAGn/f//lP7//wZaAgAACkZvbnRJdGFsaWMJbgEAAAGk/f//lP7//wZdAgAADUZvbnRVbmRlcmxpbmUGXgIAAAUtNDE0MgGh/f//lP7//wZgAgAACEZvbnROYW1lBmECAAAHQ2FsaWJyaQGe/f//lP7//wZjAgAACUZvbnRDb2xvcgZkAgAAATABm/3//5T+//8GZgIAAAhGb250U2l6ZQZnAgAAAjExAZj9//+U/v//BmkCAAAJRm9udFN0eWxlBmoCAAAHUmVndWxhcgco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lf3//6n+//8BlP3//6j+//8kAAAACekAAAABkv3//6n+//8Bkf3//6j+//8LAAAABnACAAABNwGP/f//qf7//wGO/f//qP7//wQAAAAGcwIAAC9fKCogIywjIzAuMDBfKTtfKCogKCMsIyMwLjAwKTtfKCogIi0iPz9fKTtfKEBfKQGM/f//qf7//wGL/f//qP7//wIAAAAGdgIAAAExAYn9//+p/v//AYj9//+o/v//AAAAAAZ5AgAABTE2Ljg2AYb9//+p/v//AYX9//+o/v//AwAAAAZ8AgAAMz1bQFtDdXJyZW50IE9uLWhhbmRdXS1bQFtUcmFucyBiYWNrd29yZHMgKEVuZGluZyldXQcq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P9//+U/v//CVcCAAAJbgEAAAGA/f//lP7//wlaAgAACW4BAAABff3//5T+//8JXQIAAAaFAgAABS00MTQyAXr9//+U/v//CWACAAAGiAIAAAdDYWxpYnJpAXf9//+U/v//CWMCAAAGiwIAAAEwAXT9//+U/v//CWYCAAAGjgIAAAIxMQFx/f//lP7//wlpAgAABpECAAAHUmVndWxhcgEuAQAADgAAAK4AAAAGkgIAAAlJbnZlbnRTdW0GkwIAABFPbi1oYW5kIGludmVudG9yeQkIAAAACQgAAAAJCAAAAAFr/f//4P///wAAAAAJlgIAAAmXAgAAAWj9///d////4cciD+12Nk+Or4E2TNn4oAkIAAAACQgAAAAJmgIAAAkxAQAACgoKCgoBAAAAAWT9///Z////AAAAAAFj/f//2P///wAAAAAACZ4CAAAEN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HAAAACQYBAAADAAAACaACAAAER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HAAAACQYBAAADAAAACaICAAAET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TAAAACRIAAAADAAAACaQCAAABUgEAAPQAAAABW/3//3L/////////AAamAgAABlN0cmluZwanAgAABFNpdGUJMQAAAAFX/f//cP///wIAAAABVv3//9D+//8BAAAAAAAJMAAAAAmXAAAACQgAAAAK/////wkwAAAACgmXAAAABrACAAALSW52ZW50RGltSWQGsQIAAAlJbnZlbnRTdW0KCQgAAAAJswIAAAkIAAAAAVUBAAD0AAAAAUv9//9y/////////wAGtgIAAAZTdHJpbmcGtwIAAAlXYXJlaG91c2UJMQAAAAFH/f//cP///wIAAAABRv3//9D+//8BAAAAAAAJMAAAAAmlAAAACQgAAAAK/////wkwAAAACgmlAAAABsACAAALSW52ZW50RGltSWQGwQIAAAlJbnZlbnRTdW0KCQgAAAAJwwIAAAkIAAAAAZYCAAAhAAAACQAAAAnFAgAAEQAAAAnGAgAABJcC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xQIAAAAAAAAEmg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cUCAAAAAAAAAZ4CAAApAAAAAAAAAAnIAgAAAAAAAAeg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f9//+U/v//BsoCAAAISGVscFRleHQGywIAAA5JZGVudGlmeSBpdGVtLgE0/f//lP7//wbNAgAABUxhYmVsCS0BAAABMf3//5T+//8G0AIAAARUeXBlCSwBAAAHo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u/f//lP7//wnKAgAABtQCAAAcRmluYW5jaWFsbHkgZW50ZXJlZCBxdWFudGl0eQEr/f//lP7//wnNAgAACTsBAAABKP3//5T+//8J0AIAAAk6AQAAB6Q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f3//5T+//8G3AIAAARUeXBlCSwBAAABIv3//5T+//8G3wIAAAVMYWJlbAktAQAAAR/9//+U/v//BuICAAAIUmVmZXJzVG8G4wIAAA89J0dlbmVyYWwnISRDJDcEsw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+AAAACf4AAAADAAAACeUCAAAEww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+AAAACf4AAAADAAAACecCAAABxQIAABIAAAAHxgIAAAABAAAAC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GP3//w7///8G6QIAABZUYWJsZS5JbnZlbnRTdW0uSXRlbUlkCfQAAAABFf3//w7///8G7AIAABtUYWJsZS5JbnZlbnRTdW0uUG9zdGVkVmFsdWUJ7QIAAAES/f//Dv///wbvAgAAGVRhYmxlLkludmVudFN1bS5Qb3N0ZWRRdHkJ9wAAAAEP/f//Dv///wbyAgAAGFRhYmxlLkludmVudFN1bS5EZWR1Y3RlZAnzAgAAAQz9//8O////BvUCAAAYVGFibGUuSW52ZW50U3VtLlJlY2VpdmVkCfYCAAABCf3//w7///8G+AIAAB1UYWJsZS5JbnZlbnRTdW0uUmVzZXJ2T3JkZXJlZAn5AgAAAQb9//8O////BvsCAAAeVGFibGUuSW52ZW50U3VtLlJlc2VydlBoeXNpY2FsCfwCAAABA/3//w7///8G/gIAABdUYWJsZS5JbnZlbnRTdW0uT25PcmRlcgn/AgAAAQD9//8O////BgEDAAAXVGFibGUuSW52ZW50U3VtLk9yZGVyZWQJAgMAAAHIAgAAcwAAAAfl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38//+U/v//BgQDAAAFTGFiZWwJpwIAAAH6/P//lP7//wYHAwAABFR5cGUJpgIAAAfn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f8//+U/v//CQQDAAAJtwIAAAH0/P//lP7//wkHAwAACbYCAAAB7QIAAPQAAAAB8fz//3L/////////AAYQAwAABFJlYWwGEQMAABVGaW5hbmNpYWwgY29zdCBhbW91bnQJLgEAAAHt/P//cP///wIAAAAB7Pz//9D+//8BAAAAAAAJMQEAAAYWAwAAC1Bvc3RlZFZhbHVlCQgAAAAK/////wkxAQAACgkWAwAACgoKCQgAAAAJGwMAAAkIAAAAAfMCAAD0AAAAAeP8//9y/////////wAGHgMAAARSZWFsBh8DAAAIRGVkdWN0ZWQJLgEAAAHf/P//cP///wIAAAAB3vz//9D+//8BAAAAAAAJMQEAAAYkAwAACERlZHVjdGVkCQgAAAAK/////wkxAQAACgkkAwAACgoKCQgAAAAJKQMAAAkIAAAAAfYCAAD0AAAAAdX8//9y/////////wAGLAMAAARSZWFsBi0DAAAIUmVjZWl2ZWQJLgEAAAHR/P//cP///wIAAAAB0Pz//9D+//8BAAAAAAAJMQEAAAYyAwAACFJlY2VpdmVkCQgAAAAK/////wkxAQAACgkyAwAACgoKCQgAAAAJNwMAAAkIAAAAAfkCAAD0AAAAAcf8//9y/////////wAGOgMAAARSZWFsBjsDAAAQT3JkZXJlZCByZXNlcnZlZAkuAQAAAcP8//9w////AgAAAAHC/P//0P7//wEAAAAAAAkxAQAABkADAAANUmVzZXJ2T3JkZXJlZAkIAAAACv////8JMQEAAAoJQAMAAAoKCgkIAAAACUUDAAAJCAAAAAH8AgAA9AAAAAG5/P//cv////////8ABkgDAAAEUmVhbAZJAwAAEVBoeXNpY2FsIHJlc2VydmVkCS4BAAABtfz//3D///8CAAAAAbT8///Q/v//AQAAAAAACTEBAAAGTgMAAA5SZXNlcnZQaHlzaWNhbAkIAAAACv////8JMQEAAAoJTgMAAAoKCgkIAAAACVMDAAAJCAAAAAH/AgAA9AAAAAGr/P//cv////////8ABlYDAAAEUmVhbAZXAwAACE9uIG9yZGVyCS4BAAABp/z//3D///8CAAAAAab8///Q/v//AQAAAAAACTEBAAAGXAMAAAdPbk9yZGVyCQgAAAAK/////wkxAQAACglcAwAACgoKCQgAAAAJYQMAAAkIAAAAAQIDAAD0AAAAAZ38//9y/////////wAGZAMAAARSZWFsBmUDAAAHT3JkZXJlZAkuAQAAAZn8//9w////AgAAAAGY/P//0P7//wEAAAAAAAkxAQAABmoDAAAHT3JkZXJlZAkIAAAACv////8JMQEAAAoJagMAAAoKCgkIAAAACW8DAAAJCAAAAAQb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kAAAAJBgEAAAMAAAAJcgMAAAQp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kAAAAJBgEAAAMAAAAJdAMAAAQ3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kAAAAJBgEAAAMAAAAJdgMAAARF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kAAAAJBgEAAAMAAAAJeAMAAART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kAAAAJBgEAAAMAAAAJegMAAARh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kAAAAJBgEAAAMAAAAJfAMAAARv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kAAAAJBgEAAAMAAAAJfgMAAAdy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H8//+U/v//CcoCAAAGgQMAADVJbnZlbnRvcnkgdmFsdWUgZm9yIHRoZSBmaW5hbmNpYWxseSB1cGRhdGVkIHF1YW50aXR5LgF+/P//lP7//wnNAgAACREDAAABe/z//5T+//8J0AIAAAkQAwAAB3Q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Pz//5T+//8JygIAAAaKAwAAO1F1YW50aXR5IHRoYXQgaGFzIGJlZW4gcGh5c2ljYWxseSBkZWR1Y3RlZCwgYnV0IG5vdCBwb3N0ZWQuAXX8//+U/v//Cc0CAAAJHwMAAAFy/P//lP7//wnQAgAACR4DAAAHd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v/P//lP7//wnKAgAABpMDAAAqUGh5c2ljYWwgcXVhbnRpdHkgcmVjZWl2ZWQsIGJ1dCBub3QgcG9zdGVkAWz8//+U/v//Cc0CAAAJLQMAAAFp/P//lP7//wnQAgAACSwDAAAHe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m/P//lP7//wnKAgAABpwDAAAlUXVhbnRpdHkgcmVzZXJ2ZWQgb24gcXVhbnRpdHkgb3JkZXJlZAFj/P//lP7//wnNAgAACTsDAAABYPz//5T+//8J0AIAAAk6AwAAB3o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fz//5T+//8JygIAAAalAwAAKlF1YW50aXR5IHJlc2VydmVkIG9mIHRoZSBwaHlzaWNhbCBxdWFudGl0eQFa/P//lP7//wnNAgAACUkDAAABV/z//5T+//8J0AIAAAlIAwAAB3w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Pz//5T+//8JygIAAAauAwAAEVF1YW50aXR5IG9uIG9yZGVyAVH8//+U/v//Cc0CAAAJVwMAAAFO/P//lP7//wnQAgAACVYDAAAHf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L/P//lP7//wnKAgAABrcDAAAQUXVhbnRpdHkgb3JkZXJlZAFI/P//lP7//wnNAgAACWUDAAABRfz//5T+//8J0AIAAAlkAwAACw==
    <Output>
      <OutputObject name="AtlasReport_3"/>
    </Output>
  </Query>
</Atlas>
</file>

<file path=customXml/item10.xml><?xml version="1.0" encoding="utf-8"?>
<Atlas>
  <Report name="AtlasReport_4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AAAAAkDAAAACQQAAAAGBQAAAA1BdGxhc1JlcG9ydF80BgYAAAADMzYz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NAAAADQ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JHgAAAAkfAAAACSAAAAANAwwh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SEAAAAIAgAAAAYiAAAAFUF0bGFzUmVwb3J0XzRfVGFibGVfMQkj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hAAAACAgJJAAAAAIAAAAC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UAAAAJJgAAAAknAAAABigAAAAGSXRlbUlkBikAAAALSXRlbSBudW1iZXIGKgAAAAZTdHJpbmcGKwAAAAAGLAAAACQ4MzFiZWI4MS00ZjQxLTQzMGEtOWM0Ny1lMDYwMWQzOTE0ZmQF0////y1HbG9iZVNvZnR3YXJlLkF0bGFzNDAuQXRsYXNDb21tb24uQWdncmVnYXRpb24BAAAAB3ZhbHVlX18ACA4AAAD/////AAAAAAXS////LEdsb2JlU29mdHdhcmUuQXRsYXM0MC5BdGxhc0NvbW1vbi5Db2x1bW5UeXBlAQAAAAd2YWx1ZV9fAAgOAAAAAAAAAAXR////K0dsb2JlU29mdHdhcmUuQXRsYXM0MC5BdGxhc0NvbW1vbi5Tb3J0T3JkZXIBAAAAB3ZhbHVlX18ACA4AAAACAAAAAAAAAAAF0P///0BHbG9iZVNvZnR3YXJlLkF0bGFzNDAuQXRsYXNDb21tb24uVHlwZS5Db2x1bW4rQ3Jvc3NUYWJDb2x1bW5UeXBlAQAAAAd2YWx1ZV9fAAgOAAAAAAAAAAoBAAAAAAAAAAAAAAAAAAYxAAAAJGQ3ZTJjYTMxLTQ2OWEtNDJkNy05YmU2LTk0MWZmOWExMWNmZAYyAAAAF1RhYmxlLlRQUFN1bV9zc3QuSXRlbUlkCgoKCgEVAAAAFAAAAAkzAAAACTQAAAAJNQAAAAY2AAAADEludmVudFNpdGVJZAY3AAAABFNpdGUGOAAAAAZTdHJpbmcJKwAAAAY6AAAAJDA2MzAxN2RmLWZiYzYtNDVhNC1hOTgzLThmMDdlNmQ1MWI2YwHF////0/////////8BAAAAAcT////S////AAAAAAHD////0f///wIAAAAAAAAAAAHC////0P///wAAAAAKAQAAAAAAAAAAAQAAAAAGPwAAACRlNDc4MmI0Ny0xMDhkLTQ0NzctOWM5My0yYjA0YmFlNTNjNzYGQAAAADlUYWJsZS5UUFBTdW1fc3N0LkludmVudERpbUlkflRhYmxlLkludmVudERpbS5JbnZlbnRTaXRlSWQKCgoKARYAAAAUAAAACUEAAAAJQgAAAAlDAAAABkQAAAAQSW52ZW50TG9jYXRpb25JZAZFAAAACVdhcmVob3VzZQZGAAAABlN0cmluZwkrAAAABkgAAAAkMDhlNDJlYTEtNmRmNS00NDkzLTgyZDQtMDIyMWY1NzVjM2Y4Abf////T/////////wIAAAABtv///9L///8AAAAAAbX////R////AgAAAAAAAAAAAbT////Q////AAAAAAoBAAAAAAAAAAACAAAAAAZNAAAAJDkzOTljMDdhLWNmMDgtNDlkZC1iZjY5LWQ4MTBiNGZmMjZiYgZOAAAAPVRhYmxlLlRQUFN1bV9zc3QuSW52ZW50RGltSWR+VGFibGUuSW52ZW50RGltLkludmVudExvY2F0aW9uSWQKCgoKARcAAAAUAAAACU8AAAAJUAAAAAlRAAAABlIAAAADUXR5BlMAAAAIUXVhbnRpdHkGVAAAAARSZWFsCSsAAAAGVgAAACRmNTMwYTdmMC03ZGU1LTRlYzItOGIwYi0yZGI5ZTExNWExOTcBqf///9P///8BAAAAAwAAAAGo////0v///wAAAAABp////9H///8CAAAAAAAAAAABpv///9D///8AAAAACgEAAAAAAAAAAAMAAAAABlsAAAAkMmJjMjdhODktY2Q1Ni00NThkLWIzMDAtYzE4MjY4NWY4YWEyBlwAAAAUVGFibGUuVFBQU3VtX3NzdC5RdHkKCgoKARgAAAAUAAAACV0AAAAJXgAAAAlfAAAABmAAAAAKQ29zdEFtb3VudAZhAAAAD1RQUCBjb3N0IGFtb3VudAZiAAAABFJlYWwJKwAAAAZkAAAAJDUyMzFmZjU4LTA5ZTEtNGQwZS05NWMwLTk3ZjE3YThkOWVjNgGb////0////wEAAAAEAAAAAZr////S////AAAAAAGZ////0f///wIAAAAAAAAAAAGY////0P///wAAAAAKAQAAAAAAAAAABAAAAAAGaQAAACQzMDU5N2EzZi00Mzc1LTQ2MzctOThkMy1hMzM5Zjk3OTY4Y2UGagAAABtUYWJsZS5UUFBTdW1fc3N0LkNvc3RBbW91bnQKCgoKARkAAAAUAAAACWsAAAAJbAAAAAltAAAABm4AAAA3QXRsYXNNYW5hZ2VkQ29sdW1uXzVmY2UyYTIyLWFhMGItNDVjZi1iMDM3LWNkMjM2NGY4NGQwYgZvAAAAH1RQUCB0cmFucyBiYWNrd2FyZHMgKEJlZ2lubmluZykJKwAAAAkrAAAABnEAAAAkMjU4ZmE2ZWUtNzQ2YS00MjdmLTlhOWUtOGMwNGM0NWE0MGRiAY7////T/////////wUAAAABjf///9L///8CAAAAAYz////R////AgAAAAAAAAAAAYv////Q////AAAAAAoBAAAAAAAAAAAFAAAAAAZ2AAAAJGI4YjMxYmNlLThiMzAtNDNjMi1hYWIwLTg5MGM5NzczNWM5YwkrAAAACgoKCgEaAAAAFAAAAAl4AAAACXkAAAAJegAAAAZ7AAAAN0F0bGFzTWFuYWdlZENvbHVtbl9iNzNmZTg3Ny1kMjk0LTQ1OGMtYjVlNi1jYWY5NTQ2OWJhNGIGfAAAABxUUFAgdHJhbnMgYmFja3dhcmRzIChFbmRpbmcpCSsAAAAJKwAAAAZ+AAAAJGNkZGIxZDc0LTRiYWQtNGE0My1iMDBjLTlkZTc1MmE5NmE1OQGB////0/////////8GAAAAAYD////S////AgAAAAF/////0f///wIAAAAAAAAAAAF+////0P///wAAAAAKAQAAAAAAAAAABgAAAAAGgwAAACQ1M2FiMjY4OS0yZTYyLTQ3N2EtOTJiOS1kMTZjYmRkZTY3OTcJKwAAAAoKCgoBGwAAABQAAAAJhQAAAAmGAAAACYcAAAAGiAAAADdBdGxhc01hbmFnZWRDb2x1bW5fMDZhY2IzYTItMjgyZS00NzY4LTljMjQtYjNjOGFlZjllMmJiBokAAAAXVFBQIE9uLWhhbmQgKEJlZ2lubmluZykJKwAAAAkrAAAABosAAAAkZWViYjk0NGYtYTM0YS00MzY5LTkxMGMtNTRjZGRjOTI0M2VjAXT////T/////////wcAAAABc////9L///8CAAAAAXL////R////AgAAAAAAAAAAAXH////Q////AAAAAAoBAAAAAAAAAAAHAAAAAAaQAAAAJGQ0Mzk3NDlmLTcwZjYtNDBlMC05N2RjLTYzMTBmODJmM2I2NwkrAAAACgoKCgEcAAAAFAAAAAmSAAAACZMAAAAJlAAAAAaVAAAAN0F0bGFzTWFuYWdlZENvbHVtbl81ZWViMmE2Ny05OThkLTRjOTItYTgyZC04MDBjODNkMzgwZWQGlgAAABRUUFAgT24taGFuZCAoRW5kaW5nKQkrAAAACSsAAAAGmAAAACQ2YzM4ZDc5Yi1iZmVlLTQ4NTEtOWRkMS1jMGQ1NzY4ZjlmMGEBZ////9P/////////CAAAAAFm////0v///wIAAAABZf///9H///8CAAAAAAAAAAABZP///9D///8AAAAACgEAAAAAAAAAAAgAAAAABp0AAAAkOTY4MTM4NTItY2RhZS00ZGE0LWJkNGEtZGVlMDg2NzlkOWE3CSsAAAAKCgoKAR0AAAAUAAAACZ8AAAAJoAAAAAmhAAAABqIAAAA3QXRsYXNNYW5hZ2VkQ29sdW1uXzc4ZTFhY2IwLTQyODEtNGYyNC1iMDBiLWYyYmI2YjJiMDVmOQajAAAAJ1RQUCB0cmFucyBiYWNrd2FyZHMgYmFsYW5jZSAoQmVnaW5uaW5nKQkrAAAACSsAAAAGpQAAACRhNjFmYzI5MC1jYzAxLTRlNDYtYTRhNi0wMDhhMGIyOTk1ZDUBWv///9P/////////CQAAAAFZ////0v///wIAAAABWP///9H///8CAAAAAAAAAAABV////9D///8AAAAACgEAAAAAAAAAAAkAAAAABqoAAAAkNjE2MGY3MDgtMTg2ZS00MGNkLWJjZDctNTEyM2E3MGVmY2UyCSsAAAAKCgoKAR4AAAAUAAAACawAAAAJrQAAAAmuAAAABq8AAAA3QXRsYXNNYW5hZ2VkQ29sdW1uX2EyMzc4NmU5LTQ2YjctNGU3YS1iZmNhLTQzMmViNjEwNGU3ZQawAAAAJFRQUCB0cmFucyBiYWNrd2FyZHMgYmFsYW5jZSAoRW5kaW5nKQkrAAAACSsAAAAGsgAAACRhMTljNDI1OC00NzZjLTQ1MzUtYWRhZi1jMzM1MjZiM2MzNjgBTf///9P/////////CgAAAAFM////0v///wIAAAABS////9H///8CAAAAAAAAAAABSv///9D///8AAAAACgEAAAAAAAAAAAoAAAAABrcAAAAkZmYxZjZmMjMtMjVlMS00ZDdiLWJhYWItYTUzNDYyYmNkZGM0CSsAAAAKCgoKAR8AAAAUAAAACbkAAAAJugAAAAm7AAAABrwAAAA3QXRsYXNNYW5hZ2VkQ29sdW1uX2U4YmRkNzY3LTQ2YmEtNDgzMy1iMjNiLWQ4NTIyNjg1MTNiYQa9AAAAF1RQUCBCYWxhbmNlIChCZWdpbm5pbmcpCSsAAAAJKwAAAAa/AAAAJDgwODJlNjdiLWIxZmUtNGU2MC04ZjAwLTAwMWI0ZGI0ZDJmMwFA////0/////////8LAAAAAT/////S////AgAAAAE+////0f///wIAAAAAAAAAAAE9////0P///wAAAAAKAQAAAAAAAAAACwAAAAAGxAAAACRmNzM2ZWIyYS05NWZlLTQ2MGUtOTVmZS02YmQ0ODBkMDAzZTIJKwAAAAoKCgoBIAAAABQAAAAJxgAAAAnHAAAACcgAAAAGyQAAADdBdGxhc01hbmFnZWRDb2x1bW5fM2U1Yjk0M2MtOTQyZS00MDcwLWI3MTMtNDVhOGVlYTdjZDkxBsoAAAAUVFBQIEJhbGFuY2UgKEVuZGluZykJKwAAAAkrAAAABswAAAAkMWI5MDIwMWYtZTA3Ny00NjA0LWJhNTctMGZmMWRiYWI3MjcxATP////T/////////wwAAAABMv///9L///8CAAAAATH////R////AgAAAAAAAAAAATD////Q////AAAAAAoBAAAAAAAAAAAMAAAAAAbRAAAAJDA2ZDlmNDRiLTYzM2MtNDg3Mi1hN2Q2LTdhMjgwODI5MTY1NwkrAAAACgoKCgUjAAAAOEdsb2JlU29mdHdhcmUuQXRsYXM0MC5BdGxhc0NvbW1vbkNsaWVudC5SZXBvcnQuUmVmZXJlbmNlAQAAAApfcmVmZXJlbmNlBwghAAAACdMAAAAHJAAAAAABAAAABAAAAAQ8R2xvYmVTb2Z0d2FyZS5BdGxhczQwLkF0bGFzQ29tbW9uQ2xpZW50LkRhdGFTb3VyY2VGaWVsZFZhbHVlIQAAAAnUAAAACdUAAAANAgQl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nWAAAAAQAAAAEAAAAEJg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12CAAAACdcAAAAHAAAACdgAAAAEJ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+AAAACdkAAAAHAAAACdoAAAABMwAAACUAAAAJ2wAAAAEAAAABAAAAATQAAAAmAAAAegAAAAnXAAAABwAAAAndAAAAATUAAAAnAAAAdwAAAAnZAAAABwAAAAnfAAAAAUEAAAAlAAAACeAAAAABAAAAAQAAAAFCAAAAJgAAAHoAAAAJ1wAAAAcAAAAJ4gAAAAFDAAAAJwAAAHcAAAAJ2QAAAAcAAAAJ5AAAAAFPAAAAJQAAAAnlAAAAAQAAAAEAAAABUAAAACYAAACCAAAACdcAAAAHAAAACecAAAABUQAAACcAAAB+AAAACdkAAAAHAAAACekAAAABXQAAACUAAAAJ6gAAAAEAAAABAAAAAV4AAAAmAAAAggAAAAnXAAAABwAAAAnsAAAAAV8AAAAnAAAAfgAAAAnZAAAABwAAAAnuAAAAAWsAAAAlAAAACe8AAAAAAAAAAAAAAAFsAAAAJgAAAHkAAAAJ1wAAAAcAAAAJ8QAAAAFtAAAAJwAAAHAAAAAJ2QAAAAcAAAAJ8wAAAAF4AAAAJQAAAAnvAAAAAAAAAAAAAAABeQAAACYAAAB5AAAACdcAAAAHAAAACfYAAAABegAAACcAAABwAAAACdkAAAAHAAAACfgAAAABhQAAACUAAAAJ7wAAAAAAAAAAAAAAAYYAAAAmAAAAeAAAAAnXAAAABwAAAAn7AAAAAYcAAAAnAAAAcAAAAAnZAAAABwAAAAn9AAAAAZIAAAAlAAAACe8AAAAAAAAAAAAAAAGTAAAAJgAAAHgAAAAJ1wAAAAcAAAAJAAEAAAGUAAAAJwAAAHAAAAAJ2QAAAAcAAAAJAgEAAAGfAAAAJQAAAAkDAQAAAAAAAAAAAAABoAAAACYAAABaAAAACQQBAAAHAAAACQUBAAABoQAAACcAAABUAAAACQYBAAAHAAAACQcBAAABrAAAACUAAAAJAwEAAAAAAAAAAAAAAa0AAAAmAAAAWgAAAAkEAQAABwAAAAkKAQAAAa4AAAAnAAAAVAAAAAkGAQAABwAAAAkMAQAAAbkAAAAlAAAACQMBAAAAAAAAAAAAAAG6AAAAJgAAAGIAAAAJBAEAAAcAAAAJDwEAAAG7AAAAJwAAAFsAAAAJBgEAAAcAAAAJEQEAAAHGAAAAJQAAAAkDAQAAAAAAAAAAAAABxwAAACYAAABiAAAACQQBAAAHAAAACRQBAAAByAAAACcAAABbAAAACQYBAAAHAAAACRYBAAAP0wAAAAEAAAAIAQAAAAXUAAAAPEdsb2JlU29mdHdhcmUuQXRsYXM0MC5BdGxhc0NvbW1vbkNsaWVudC5EYXRhU291cmNlRmllbGRWYWx1ZQQAAAASX2lzRHJpbGxEb3duRmlsdGVyBl9kc0tleQpfZmllbGRuYW1lC19maWVsZFZhbHVlAAEBAQEhAAAAAAYXAQAAEFRhYmxlLlRQUFN1bV9zc3QGGAEAAApEYXRhQXJlYUlkCQYAAAAB1QAAANQAAAAACRcBAAAGGwEAAAZJdGVtSWQGHAEAAAEqB9YAAAAAAQAAAAQAAAAEN0dsb2JlU29mdHdhcmUuQXRsYXM0MC5BdGxhc0NvbW1vbi5UeXBlLkZpZWxkT3V0cHV0RmllbGQOAAAACR0BAAANAwTX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fY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4v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Xh/v//Mkdsb2JlU29mdHdhcmUuQXRsYXM0MC5BdGxhc0NvbW1vbi5Db2x1bW5BdHRyaWJ1dGVzAQAAAAd2YWx1ZV9fAAgOAAAAEAAAAAYgAQAABE5vbmUB3/7//+L+//8B3v7//+H+//8JAAAACSsAAAAB3P7//+L+//8B2/7//+H+//8LAAAABiYBAAABMAHZ/v//4v7//wHY/v//4f7//wQAAAAGKQEAAAdHZW5lcmFsAdb+///i/v//AdX+///h/v//AgAAAAYsAQAAATEB0/7//+L+//8B0v7//+H+//8AAAAABi8BAAAFMTQuNzEB2QAAAAwAAAAH2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TQ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jEBAAAIRm9udEJvbGQGMgEAAAVGYWxzZQHN/v//0P7//wY0AQAACkZvbnRJdGFsaWMJMgEAAAHK/v//0P7//wY3AQAADUZvbnRVbmRlcmxpbmUGOAEAAAUtNDE0MgHH/v//0P7//wY6AQAACEZvbnROYW1lBjsBAAAHQ2FsaWJyaQHE/v//0P7//wY9AQAACUZvbnRDb2xvcgY+AQAAATABwf7//9D+//8GQAEAAAhGb250U2l6ZQZBAQAAAjExAb7+///Q/v//BkMBAAAJRm9udFN0eWxlBkQBAAAHUmVndWxhcgfbAAAAAAEAAAAEAAAABDdHbG9iZVNvZnR3YXJlLkF0bGFzNDAuQXRsYXNDb21tb24uVHlwZS5GaWVsZE91dHB1dEZpZWxkDgAAAAlFAQAADQMH3Q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r+///i/v//Abn+///h/v//CQAAAAkrAAAAAbf+///i/v//Abb+///h/v//CwAAAAZLAQAAATEBtP7//+L+//8Bs/7//+H+//8EAAAABk4BAAAHR2VuZXJhbAGx/v//4v7//wGw/v//4f7//wIAAAAGUQEAAAExAa7+///i/v//Aa3+///h/v//AAAAAAZUAQAAATYH3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r/v//0P7//wkxAQAACTIBAAABqP7//9D+//8JNAEAAAkyAQAAAaX+///Q/v//CTcBAAAGXQEAAAUtNDE0MgGi/v//0P7//wk6AQAABmABAAAHQ2FsaWJyaQGf/v//0P7//wk9AQAABmMBAAABMAGc/v//0P7//wlAAQAABmYBAAACMTEBmf7//9D+//8JQwEAAAZpAQAAB1JlZ3VsYXIH4AAAAAABAAAABAAAAAQ3R2xvYmVTb2Z0d2FyZS5BdGxhczQwLkF0bGFzQ29tbW9uLlR5cGUuRmllbGRPdXRwdXRGaWVsZA4AAAAJagEAAA0DB+I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V/v//4v7//wGU/v//4f7//wkAAAAJKwAAAAGS/v//4v7//wGR/v//4f7//wsAAAAGcAEAAAEyAY/+///i/v//AY7+///h/v//BAAAAAZzAQAAB0dlbmVyYWwBjP7//+L+//8Bi/7//+H+//8CAAAABnYBAAABMQGJ/v//4v7//wGI/v//4f7//wAAAAAGeQEAAAUxMi44Ngfk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b+///Q/v//CTEBAAAJMgEAAAGD/v//0P7//wk0AQAACTIBAAABgP7//9D+//8JNwEAAAaCAQAABS00MTQyAX3+///Q/v//CToBAAAGhQEAAAdDYWxpYnJpAXr+///Q/v//CT0BAAAGiAEAAAEwAXf+///Q/v//CUABAAAGiwEAAAIxMQF0/v//0P7//wlDAQAABo4BAAAHUmVndWxhcgflAAAAAAEAAAAEAAAABDdHbG9iZVNvZnR3YXJlLkF0bGFzNDAuQXRsYXNDb21tb24uVHlwZS5GaWVsZE91dHB1dEZpZWxkDgAAAAmPAQAADQMH5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D+///i/v//AW/+///h/v//EAAAAAkgAQAAAW3+///i/v//AWz+///h/v//CQAAAAkrAAAAAWr+///i/v//AWn+///h/v//CwAAAAaYAQAAATMBZ/7//+L+//8BZv7//+H+//8EAAAABpsBAAAHR2VuZXJhbAFk/v//4v7//wFj/v//4f7//wIAAAAGngEAAAExAWH+///i/v//AWD+///h/v//AAAAAAahAQAABTEwLjI5B+k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v7//9D+//8JMQEAAAkyAQAAAVv+///Q/v//CTQBAAAJMgEAAAFY/v//0P7//wk3AQAABqoBAAAFLTQxNDIBVf7//9D+//8JOgEAAAatAQAAB0NhbGlicmkBUv7//9D+//8JPQEAAAawAQAAATABT/7//9D+//8JQAEAAAazAQAAAjExAUz+///Q/v//CUMBAAAGtgEAAAdSZWd1bGFyB+oAAAAAAQAAAAQAAAAEN0dsb2JlU29mdHdhcmUuQXRsYXM0MC5BdGxhc0NvbW1vbi5UeXBlLkZpZWxkT3V0cHV0RmllbGQOAAAACbcBAAANAwfs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SP7//+L+//8BR/7//+H+//8QAAAACSABAAABRf7//+L+//8BRP7//+H+//8JAAAACSsAAAABQv7//+L+//8BQf7//+H+//8LAAAABsABAAABNAE//v//4v7//wE+/v//4f7//wQAAAAGwwEAAAdHZW5lcmFsATz+///i/v//ATv+///h/v//AgAAAAbGAQAAATEBOf7//+L+//8BOP7//+H+//8AAAAABskBAAAFMTcuMjkH7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2/v//0P7//wkxAQAACTIBAAABM/7//9D+//8JNAEAAAkyAQAAATD+///Q/v//CTcBAAAG0gEAAAUtNDE0MgEt/v//0P7//wk6AQAABtUBAAAHQ2FsaWJyaQEq/v//0P7//wk9AQAABtgBAAABMAEn/v//0P7//wlAAQAABtsBAAACMTEBJP7//9D+//8JQwEAAAbeAQAAB1JlZ3VsYXIH7wAAAAABAAAAAAAAAAQ3R2xvYmVTb2Z0d2FyZS5BdGxhczQwLkF0bGFzQ29tbW9uLlR5cGUuRmllbGRPdXRwdXRGaWVsZA4AAAAH8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H+///i/v//ASD+///h/v//JAAAAAlvAAAAAR7+///i/v//AR3+///h/v//CwAAAAbkAQAAATUBG/7//+L+//8BGv7//+H+//8EAAAABucBAAAHR2VuZXJhbAEY/v//4v7//wEX/v//4f7//wIAAAAG6gEAAAExARX+///i/v//ART+///h/v//AAAAAAbtAQAAAjMyARL+///i/v//ARH+///h/v//AwAAAAbwAQAAxgE9QXRsYXNCYWxhbmNlKCJQUk9EIixEYXRhQXJlYUlkLCJULlRQUFRyYW5zX3NzdHxJbnZlbnREaW1JZH5pbnZlbnREaW1JZEBULkludmVudERpbSIsIlN1bXxRdHl8MCIsIiIsIiIsIiIsIiIsIiIsIiIsIkl0ZW1JZHxUcmFuc0RhdGV8VDIuSW52ZW50U2l0ZUlkfFQyLkludmVudExvY2F0aW9uSWQiLCRBMyxQZXJpb2RCZWdpbm5pbmcsJEIzLCRDMykH8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P/v//0P7//wbyAQAACEZvbnRCb2xkCTIBAAABDP7//9D+//8G9QEAAApGb250SXRhbGljCTIBAAABCf7//9D+//8G+AEAAA1Gb250VW5kZXJsaW5lBvkBAAAFLTQxNDIBBv7//9D+//8G+wEAAAhGb250TmFtZQb8AQAAB0NhbGlicmkBA/7//9D+//8G/gEAAAlGb250Q29sb3IG/wEAAAEwAQD+///Q/v//BgECAAAIRm9udFNpemUGAgIAAAIxMQH9/f//0P7//wYEAgAACUZvbnRTdHlsZQYFAgAAB1JlZ3VsYXIH9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r9///i/v//Afn9///h/v//JAAAAAl8AAAAAff9///i/v//Afb9///h/v//CwAAAAYLAgAAATYB9P3//+L+//8B8/3//+H+//8EAAAABg4CAAAHR2VuZXJhbAHx/f//4v7//wHw/f//4f7//wIAAAAGEQIAAAExAe79///i/v//Ae39///h/v//AAAAAAYUAgAAAjI5Aev9///i/v//Aer9///h/v//AwAAAAYXAgAAwwE9QXRsYXNCYWxhbmNlKCJQUk9EIixEYXRhQXJlYUlkLCJULlRQUFRyYW5zX3NzdHxJbnZlbnREaW1JZH5pbnZlbnREaW1JZEBULkludmVudERpbSIsIlN1bXxRdHl8MCIsIiIsIiIsIiIsIiIsIiIsIiIsIkl0ZW1JZHxUcmFuc0RhdGV8VDIuSW52ZW50U2l0ZUlkfFQyLkludmVudExvY2F0aW9uSWQiLCRBMyxQZXJpb2RFbmRpbmcsJEIzLCRDMykH+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o/f//0P7//wnyAQAACTIBAAAB5f3//9D+//8J9QEAAAkyAQAAAeL9///Q/v//CfgBAAAGIAIAAAUtNDE0MgHf/f//0P7//wn7AQAABiMCAAAHQ2FsaWJyaQHc/f//0P7//wn+AQAABiYCAAABMAHZ/f//0P7//wkBAgAABikCAAACMTEB1v3//9D+//8JBAIAAAYsAgAAB1JlZ3VsYXIH+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P9///i/v//AdL9///h/v//JAAAAAmJAAAAAdD9///i/v//Ac/9///h/v//CwAAAAYyAgAAATcBzf3//+L+//8BzP3//+H+//8EAAAABjUCAAAHR2VuZXJhbAHK/f//4v7//wHJ/f//4f7//wIAAAAGOAIAAAExAcf9///i/v//Acb9///h/v//AAAAAAY7AgAABTI1LjE0AcT9///i/v//AcP9///h/v//AwAAAAY+AgAAMT1bQFF1YW50aXR5XS1bQFtUUFAgdHJhbnMgYmFja3dhcmRzIChCZWdpbm5pbmcpXV0H/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B/f//0P7//wnyAQAACTIBAAABvv3//9D+//8J9QEAAAkyAQAAAbv9///Q/v//CfgBAAAGRwIAAAUtNDE0MgG4/f//0P7//wn7AQAABkoCAAAHQ2FsaWJyaQG1/f//0P7//wn+AQAABk0CAAABMAGy/f//0P7//wkBAgAABlACAAACMTEBr/3//9D+//8JBAIAAAZTAgAAB1JlZ3VsYXIHA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z9///i/v//Aav9///h/v//JAAAAAmWAAAAAan9///i/v//Aaj9///h/v//CwAAAAZZAgAAATgBpv3//+L+//8Bpf3//+H+//8EAAAABlwCAAAHR2VuZXJhbAGj/f//4v7//wGi/f//4f7//wIAAAAGXwIAAAExAaD9///i/v//AZ/9///h/v//AAAAAAZiAgAABTIyLjE0AZ39///i/v//AZz9///h/v//AwAAAAZlAgAALj1bQFF1YW50aXR5XS1bQFtUUFAgdHJhbnMgYmFja3dhcmRzIChFbmRpbmcpXV0HA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a/f//0P7//wnyAQAACTIBAAABl/3//9D+//8J9QEAAAkyAQAAAZT9///Q/v//CfgBAAAGbgIAAAUtNDE0MgGR/f//0P7//wn7AQAABnECAAAHQ2FsaWJyaQGO/f//0P7//wn+AQAABnQCAAABMAGL/f//0P7//wkBAgAABncCAAACMTEBiP3//9D+//8JBAIAAAZ6AgAAB1JlZ3VsYXIHAwEAAAABAAAAAAAAAAQ3R2xvYmVTb2Z0d2FyZS5BdGxhczQwLkF0bGFzQ29tbW9uLlR5cGUuRmllbGRPdXRwdXRGaWVsZA4AAAABBAEAANcAAAAHB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X9///i/v//AYT9///h/v//JAAAAAmjAAAAAYL9///i/v//AYH9///h/v//CwAAAAaAAgAAATkBf/3//+L+//8Bfv3//+H+//8EAAAABoMCAAAHR2VuZXJhbAF8/f//4v7//wF7/f//4f7//wIAAAAGhgIAAAExAXn9///i/v//AXj9///h/v//AAAAAAaJAgAABTM5LjI5AXb9///i/v//AXX9///h/v//AwAAAAaMAgAAzQE9QXRsYXNCYWxhbmNlKCJQUk9EIixEYXRhQXJlYUlkLCJULlRQUFRyYW5zX3NzdHxJbnZlbnREaW1JZH5pbnZlbnREaW1JZEBULkludmVudERpbSIsIlN1bXxDb3N0QW1vdW50fDAiLCIiLCIiLCIiLCIiLCIiLCIiLCJJdGVtSWR8VHJhbnNEYXRlfFQyLkludmVudFNpdGVJZHxUMi5JbnZlbnRMb2NhdGlvbklkIiwkQTMsUGVyaW9kQmVnaW5uaW5nLCRCMywkQzMpAQYBAAAMAAAABwc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/3//9D+//8GjgIAAAhGb250Qm9sZAkyAQAAAXD9///Q/v//BpECAAAKRm9udEl0YWxpYwkyAQAAAW39///Q/v//BpQCAAANRm9udFVuZGVybGluZQaVAgAABS00MTQyAWr9///Q/v//BpcCAAAIRm9udE5hbWUGmAIAAAdDYWxpYnJpAWf9///Q/v//BpoCAAAJRm9udENvbG9yBpsCAAABMAFk/f//0P7//wadAgAACEZvbnRTaXplBp4CAAACMTEBYf3//9D+//8GoAIAAAlGb250U3R5bGUGoQIAAAdSZWd1bGFyBwo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e/f//4v7//wFd/f//4f7//yQAAAAJsAAAAAFb/f//4v7//wFa/f//4f7//wsAAAAGpwIAAAIxMAFY/f//4v7//wFX/f//4f7//wQAAAAGqgIAAAdHZW5lcmFsAVX9///i/v//AVT9///h/v//AgAAAAatAgAAATEBUv3//+L+//8BUf3//+H+//8AAAAABrACAAAFMzYuNDMBT/3//+L+//8BTv3//+H+//8DAAAABrMCAADKAT1BdGxhc0JhbGFuY2UoIlBST0QiLERhdGFBcmVhSWQsIlQuVFBQVHJhbnNfc3N0fEludmVudERpbUlkfmludmVudERpbUlkQFQuSW52ZW50RGltIiwiU3VtfENvc3RBbW91bnR8MCIsIiIsIiIsIiIsIiIsIiIsIiIsIkl0ZW1JZHxUcmFuc0RhdGV8VDIuSW52ZW50U2l0ZUlkfFQyLkludmVudExvY2F0aW9uSWQiLCRBMyxQZXJpb2RFbmRpbmcsJEIzLCRDMykHD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M/f//0P7//wmOAgAACTIBAAABSf3//9D+//8JkQIAAAkyAQAAAUb9///Q/v//CZQCAAAGvAIAAAUtNDE0MgFD/f//0P7//wmXAgAABr8CAAAHQ2FsaWJyaQFA/f//0P7//wmaAgAABsICAAABMAE9/f//0P7//wmdAgAABsUCAAACMTEBOv3//9D+//8JoAIAAAbIAgAAB1JlZ3VsYXIHD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Tf9///i/v//ATb9///h/v//JAAAAAm9AAAAATT9///i/v//ATP9///h/v//CwAAAAbOAgAAAjExATH9///i/v//ATD9///h/v//BAAAAAbRAgAAB0dlbmVyYWwBLv3//+L+//8BLf3//+H+//8CAAAABtQCAAABMQEr/f//4v7//wEq/f//4f7//wAAAAAG1wIAAAUyNC4yOQEo/f//4v7//wEn/f//4f7//wMAAAAG2gIAAEI9W0BbVFBQIGNvc3QgYW1vdW50XV0tW0BbVFBQIHRyYW5zIGJhY2t3YXJkcyBiYWxhbmNlIChCZWdpbm5pbmcpXV0HE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l/f//0P7//wmOAgAACTIBAAABIv3//9D+//8JkQIAAAkyAQAAAR/9///Q/v//CZQCAAAG4wIAAAUtNDE0MgEc/f//0P7//wmXAgAABuYCAAAHQ2FsaWJyaQEZ/f//0P7//wmaAgAABukCAAABMAEW/f//0P7//wmdAgAABuwCAAACMTEBE/3//9D+//8JoAIAAAbvAgAAB1JlZ3VsYXIHF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D9///i/v//AQ/9///h/v//JAAAAAnKAAAAAQ39///i/v//AQz9///h/v//CwAAAAb1AgAAAjEyAQr9///i/v//AQn9///h/v//BAAAAAb4AgAAB0dlbmVyYWwBB/3//+L+//8BBv3//+H+//8CAAAABvsCAAABMQEE/f//4v7//wED/f//4f7//wAAAAAG/gIAAAUyMS4yOQEB/f//4v7//wEA/f//4f7//wMAAAAGAQMAADI9W0BbVFBQIGNvc3QgYW1vdW50XV0tW0BbVFBQIEJhbGFuY2UgKEJlZ2lubmluZyldXQcW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78///Q/v//CY4CAAAJMgEAAAH7/P//0P7//wmRAgAACTIBAAAB+Pz//9D+//8JlAIAAAYKAwAABS00MTQyAfX8///Q/v//CZcCAAAGDQMAAAdDYWxpYnJpAfL8///Q/v//CZoCAAAGEAMAAAEwAe/8///Q/v//CZ0CAAAGEwMAAAIxMQHs/P//0P7//wmgAgAABhYDAAAHUmVndWxhcgUd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Hp/P//0/////////8ABhgDAAAGU3RyaW5nBhkDAAALSXRlbSBudW1iZXIJGgMAAAHl/P//0f///wIAAAAF5Pz//zlHbG9iZVNvZnR3YXJlLkF0bGFzNDAuQXRsYXNDb21tb24uTnVtYmVyU2VxdWVuY2VDb25kaXRpb24BAAAAB3ZhbHVlX18ACA4AAAABAAAAAAAGHQMAABBUYWJsZS5UUFBTdW1fc3N0CSgAAAAJKwAAAAr/////CR0DAAAKCSgAAAAKCgoJKwAAAAkjAwAACSsAAAABRQEAAB0BAAAB2/z//9P/////////AAYmAwAABlN0cmluZwYnAwAABFNpdGUJKAMAAAHX/P//0f///wIAAAAB1vz//+T8//8BAAAAAAAGKwMAACxUYWJsZS5UUFBTdW1fc3N0LkludmVudERpbUlkflRhYmxlLkludmVudERpbQk2AAAACSsAAAAK/////wkrAwAACgk2AAAABjADAAALSW52ZW50RGltSWQGMQMAAApUUFBTdW1fc3N0CgkrAAAACTMDAAAJKwAAAAFqAQAAHQEAAAHL/P//0/////////8ABjYDAAAGU3RyaW5nBjcDAAAJV2FyZWhvdXNlCSgDAAABx/z//9H///8CAAAAAcb8///k/P//AQAAAAAACSsDAAAJRAAAAAkrAAAACv////8JKwMAAAoJRAAAAAZAAwAAC0ludmVudERpbUlkBkEDAAAKVFBQU3VtX3NzdAoJKwAAAAlDAwAACSsAAAABjwEAAB0BAAABu/z//9P///8BAAAAAAZGAwAABFJlYWwGRwMAAAhRdWFudGl0eQkaAwAAAbf8///R////AgAAAAG2/P//5Pz//wEAAAAAAAkdAwAACVIAAAAJKwAAAAr/////CR0DAAAKCVIAAAAKCgoJKwAAAAlRAwAACSsAAAABtwEAAB0BAAABrfz//9P///8BAAAAAAZUAwAABFJlYWwGVQMAAA9UUFAgY29zdCBhbW91bnQJGgMAAAGp/P//0f///wIAAAABqPz//+T8//8BAAAAAAAJHQMAAAlgAAAACSsAAAAK/////wkdAwAACglgAAAACgoKCSsAAAAJXwMAAAkrAAAABRoD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AWdAAAGYQMAAApUUFBTdW1fc3N0BmIDAAALVFBQIHN1bW1hcnkJKwAAAAkrAAAACSsAAAAFnPz//zBHbG9iZVNvZnR3YXJlLkF0bGFzNDAuQXRsYXNDb21tb24uRGF0YVNvdXJjZVR5cGUBAAAAB3ZhbHVlX18ACA4AAAAAAAAACWUDAAAJZgMAAASZ/P//C1N5c3RlbS5HdWlkCwAAAAJfYQJfYgJfYwJfZAJfZQJfZgJfZwJfaAJfaQJfagJfawAAAAAAAAAAAAAACAcHAgICAgICAgJ474t5KEGIRJLudDjfptVWCSsAAAAJKwAAAAlpAwAACR0DAAAKCgoKCgEAAAAFlfz//zRHbG9iZVNvZnR3YXJlLkF0bGFzNDAuQXRsYXNDb21tb24uRGF0YVNvdXJjZUpvaW5Nb2RlAQAAAAd2YWx1ZV9fAAgOAAAAAAAAAAWU/P//NUdsb2JlU29mdHdhcmUuQXRsYXM0MC5BdGxhc0NvbW1vbi5EYXRhU291cmNlRmV0Y2hNb2RlAQAAAAd2YWx1ZV9fAAgOAAAAAAAAAAAJbQMAAAEjAwAAJwAAAEEAAAAJ2QAAAAMAAAAJbwMAAAEoAwAAGgMAAP////8GcAMAAAlJbnZlbnREaW0GcQMAABRJbnZlbnRvcnkgZGltZW5zaW9ucwkrAAAACSsAAAAJKwAAAAGN/P//nPz//wAAAAAJdAMAAAl1AwAAAYr8//+Z/P//OabvUY/mGUuU7DdKKKJolQkrAAAACSsAAAAJeAMAAAkrAwAABnoDAAAKVFBQU3VtX3NzdAZ7AwAAEFRhYmxlLlRQUFN1bV9zc3QGfAMAABxUYWJsZS5UUFBTdW1fc3N0LkludmVudERpbUlkBn0DAAALSW52ZW50RGltSWQGfgMAAAtpbnZlbnREaW1JZAEAAAABgfz//5X8//8AAAAAAYD8//+U/P//AAAAAAAJgQMAAAEzAwAAJwAAADgAAAAJ2QAAAAMAAAAJgwMAAAFDAwAAJwAAADgAAAAJ2QAAAAMAAAAJhQMAAAFRAwAAJwAAAEEAAAAJ2QAAAAMAAAAJhwMAAAFfAwAAJwAAAEEAAAAJ2QAAAAMAAAAJiQMAAARlAw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BAAAAAmKAwAABwAAAAmLAwAABGYD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igMAAAAAAAAEaQ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YoDAAAAAAAABG0D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Y0DAAAAAAAAB28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vz//9D+//8GjwMAAAhIZWxwVGV4dAaQAwAADklkZW50aWZ5IGl0ZW0uAW/8///Q/v//BpIDAAAFTGFiZWwJGQMAAAFs/P//0P7//waVAwAABFR5cGUJGAMAAAF0AwAAZQMAAAIAAAAJ2QAAAAMAAAAJmAMAAAF1AwAAZgMAAAAAAAAJmQMAAAAAAAABeAMAAGkDAAAAAAAACdkAAAAAAAAAAYEDAABtAwAAAAAAAAmbAwAAAAAAAAeD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T8///Q/v//CZIDAAAJJwMAAAFh/P//0P7//wmVAwAACSYDAAAHhQ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e/P//0P7//wmSAwAACTcDAAABW/z//9D+//8JlQMAAAk2AwAAB4c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Pz//9D+//8JjwMAAAaqAwAAJFF1YW50aXR5IGF0dGFjaGVkIHRvIHRoZSB0cmFuc2FjdGlvbgFV/P//0P7//wmSAwAACUcDAAABUvz//9D+//8JlQMAAAlGAwAAB4k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/z//9D+//8JjwMAAAazAwAAEFRQUCBjb3N0IGFtb3VudC4BTPz//9D+//8JkgMAAAlVAwAAAUn8///Q/v//CZUDAAAJVAMAAAGKAwAADAAAAAeLAwAAAAEAAAAE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G/P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a7AwAAHFRhYmxlLlRQUFN1bV9zc3QuSW52ZW50RGltSWQJvAMAAAFD/P//Rvz//wa+AwAAF1RhYmxlLlRQUFN1bV9zc3QuSXRlbUlkCR0BAAABQPz//0b8//8GwQMAABRUYWJsZS5UUFBTdW1fc3N0LlF0eQmPAQAAAT38//9G/P//BsQDAAAbVGFibGUuVFBQU3VtX3NzdC5Db3N0QW1vdW50CbcBAAAEjQM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5gDAAAAAQAAAAI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Tr8//9G/P//BscDAAA5VGFibGUuVFBQU3VtX3NzdC5JbnZlbnREaW1JZH5UYWJsZS5JbnZlbnREaW0uSW52ZW50U2l0ZUlkCUUBAAABN/z//0b8//8GygMAAD1UYWJsZS5UUFBTdW1fc3N0LkludmVudERpbUlkflRhYmxlLkludmVudERpbS5JbnZlbnRMb2NhdGlvbklkCWoBAAABmQMAAAwAAAABmwMAAI0DAAABvAMAAB0BAAABNPz//9P/////////AAbNAwAABlN0cmluZwbOAwAADURpbWVuc2lvbiBOby4JGgMAAAEw/P//0f///wIAAAABL/z//+T8//8BAAAAAAAJHQMAAAbTAwAAC0ludmVudERpbUlkCSsAAAAK/////wkdAwAACgnTAwAACgoKCSsAAAAJ2AMAAAkrAAAAAdgDAAAnAAAACQAAAAnZAAAAAwAAAAnbAwAAB9s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Pz//9D+//8JjwMAAAbeAwAAKklkZW50aWZpY2F0aW9uIG9mIGRpbWVuc2lvbnMgZm9yIHRoZSBpdGVtLgEh/P//0P7//wmSAwAACc4DAAABHvz//9D+//8JlQMAAAnNAwAACw==</Report>
</Atlas>
</file>

<file path=customXml/itemProps1.xml><?xml version="1.0" encoding="utf-8"?>
<ds:datastoreItem xmlns:ds="http://schemas.openxmlformats.org/officeDocument/2006/customXml" ds:itemID="{CFB70693-5E7D-448C-9372-3741F13344A3}">
  <ds:schemaRefs/>
</ds:datastoreItem>
</file>

<file path=customXml/itemProps2.xml><?xml version="1.0" encoding="utf-8"?>
<ds:datastoreItem xmlns:ds="http://schemas.openxmlformats.org/officeDocument/2006/customXml" ds:itemID="{F091ACC2-98E9-4ED8-840B-3A8D7E172940}">
  <ds:schemaRefs/>
</ds:datastoreItem>
</file>

<file path=customXml/itemProps3.xml><?xml version="1.0" encoding="utf-8"?>
<ds:datastoreItem xmlns:ds="http://schemas.openxmlformats.org/officeDocument/2006/customXml" ds:itemID="{F1292C83-D66C-4E7F-B3B7-15EFD392692A}">
  <ds:schemaRefs/>
</ds:datastoreItem>
</file>

<file path=customXml/itemProps4.xml><?xml version="1.0" encoding="utf-8"?>
<ds:datastoreItem xmlns:ds="http://schemas.openxmlformats.org/officeDocument/2006/customXml" ds:itemID="{7808E635-AC13-49B0-BFC9-A72A13D8A388}">
  <ds:schemaRefs/>
</ds:datastoreItem>
</file>

<file path=customXml/itemProps5.xml><?xml version="1.0" encoding="utf-8"?>
<ds:datastoreItem xmlns:ds="http://schemas.openxmlformats.org/officeDocument/2006/customXml" ds:itemID="{722AF60A-21C7-491B-9BEE-41DFDE23B79B}">
  <ds:schemaRefs/>
</ds:datastoreItem>
</file>

<file path=customXml/itemProps6.xml><?xml version="1.0" encoding="utf-8"?>
<ds:datastoreItem xmlns:ds="http://schemas.openxmlformats.org/officeDocument/2006/customXml" ds:itemID="{036D580E-8398-4509-87D9-62CBED3EC481}">
  <ds:schemaRefs/>
</ds:datastoreItem>
</file>

<file path=customXml/itemProps7.xml><?xml version="1.0" encoding="utf-8"?>
<ds:datastoreItem xmlns:ds="http://schemas.openxmlformats.org/officeDocument/2006/customXml" ds:itemID="{4C3D1EF1-E9F1-4208-B8C6-5B316466C174}">
  <ds:schemaRefs/>
</ds:datastoreItem>
</file>

<file path=customXml/itemProps8.xml><?xml version="1.0" encoding="utf-8"?>
<ds:datastoreItem xmlns:ds="http://schemas.openxmlformats.org/officeDocument/2006/customXml" ds:itemID="{E514B042-856C-432F-82B4-934C3D2B0F83}">
  <ds:schemaRefs/>
</ds:datastoreItem>
</file>

<file path=customXml/itemProps9.xml><?xml version="1.0" encoding="utf-8"?>
<ds:datastoreItem xmlns:ds="http://schemas.openxmlformats.org/officeDocument/2006/customXml" ds:itemID="{F9D5E5AF-6E62-4C20-8F15-F462654E750A}">
  <ds:schemaRefs/>
</ds:datastoreItem>
</file>

<file path=customXml/itemProps10.xml><?xml version="1.0" encoding="utf-8"?>
<ds:datastoreItem xmlns:ds="http://schemas.openxmlformats.org/officeDocument/2006/customXml" ds:itemID="{8A096867-A833-426F-8F4C-F9CBA793CE3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12</vt:i4>
      </vt:variant>
    </vt:vector>
  </HeadingPairs>
  <TitlesOfParts>
    <vt:vector size="21" baseType="lpstr">
      <vt:lpstr>General</vt:lpstr>
      <vt:lpstr>On-hand statement</vt:lpstr>
      <vt:lpstr>Adjustment suggestion</vt:lpstr>
      <vt:lpstr>InventTrans</vt:lpstr>
      <vt:lpstr>TPPTrans</vt:lpstr>
      <vt:lpstr>InventSum</vt:lpstr>
      <vt:lpstr>TPPSum</vt:lpstr>
      <vt:lpstr>InventTable</vt:lpstr>
      <vt:lpstr>Parameter</vt:lpstr>
      <vt:lpstr>InventTrans!AtlasReport_1</vt:lpstr>
      <vt:lpstr>TPPTrans!AtlasReport_2</vt:lpstr>
      <vt:lpstr>InventSum!AtlasReport_3</vt:lpstr>
      <vt:lpstr>TPPSum!AtlasReport_4</vt:lpstr>
      <vt:lpstr>InventTable!AtlasReport_5</vt:lpstr>
      <vt:lpstr>DataAreaId</vt:lpstr>
      <vt:lpstr>DateFormat</vt:lpstr>
      <vt:lpstr>DatePeriod</vt:lpstr>
      <vt:lpstr>FromDate</vt:lpstr>
      <vt:lpstr>PeriodBeginning</vt:lpstr>
      <vt:lpstr>PeriodEnding</vt:lpstr>
      <vt:lpstr>ToDate</vt:lpstr>
    </vt:vector>
  </TitlesOfParts>
  <Company>Simpson Manufacturing Co.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2017-06-30T05:53:30Z</dcterms:created>
  <dcterms:modified xsi:type="dcterms:W3CDTF">2017-12-28T13:43:41Z</dcterms:modified>
</cp:coreProperties>
</file>