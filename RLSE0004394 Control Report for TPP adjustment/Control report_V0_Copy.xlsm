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TPP Project\"/>
    </mc:Choice>
  </mc:AlternateContent>
  <bookViews>
    <workbookView xWindow="240" yWindow="75" windowWidth="21075" windowHeight="10005" activeTab="4"/>
  </bookViews>
  <sheets>
    <sheet name="General" sheetId="1" r:id="rId1"/>
    <sheet name="On-hand statement" sheetId="6" r:id="rId2"/>
    <sheet name="Adjustment suggestion" sheetId="9" r:id="rId3"/>
    <sheet name="InventTrans" sheetId="2" r:id="rId4"/>
    <sheet name="TPPTrans" sheetId="3" r:id="rId5"/>
    <sheet name="InventSum" sheetId="4" r:id="rId6"/>
    <sheet name="TPPSum" sheetId="5" r:id="rId7"/>
    <sheet name="InventTable" sheetId="8" r:id="rId8"/>
    <sheet name="Parameter" sheetId="7" r:id="rId9"/>
  </sheets>
  <functionGroups builtInGroupCount="18"/>
  <definedNames>
    <definedName name="AtlasReport_1" localSheetId="3">InventTrans!$A$1:$N$19</definedName>
    <definedName name="AtlasReport_2" localSheetId="4">TPPTrans!$A$1:$Q$5</definedName>
    <definedName name="AtlasReport_3" localSheetId="5">InventSum!$A$1:$H$10</definedName>
    <definedName name="AtlasReport_4" localSheetId="6">TPPSum!$A$1:$M$7</definedName>
    <definedName name="AtlasReport_5" localSheetId="7">InventTable!$A$1:$E$156</definedName>
    <definedName name="DataAreaId">General!$C$1</definedName>
    <definedName name="DateFormat">General!$H$1</definedName>
    <definedName name="DatePeriod">General!$C$4</definedName>
    <definedName name="FromDate">General!$C$2</definedName>
    <definedName name="PeriodBeginning">General!$G$4</definedName>
    <definedName name="PeriodEnding">General!$G$5</definedName>
    <definedName name="ToDate">General!$C$3</definedName>
  </definedNames>
  <calcPr calcId="162913"/>
</workbook>
</file>

<file path=xl/calcChain.xml><?xml version="1.0" encoding="utf-8"?>
<calcChain xmlns="http://schemas.openxmlformats.org/spreadsheetml/2006/main">
  <c r="J18" i="9" l="1"/>
  <c r="J17" i="9"/>
  <c r="E6" i="5" l="1"/>
  <c r="D6" i="5"/>
  <c r="I18" i="2"/>
  <c r="M4" i="3"/>
  <c r="K4" i="3"/>
  <c r="J4" i="3"/>
  <c r="H4" i="3"/>
  <c r="Q4" i="3"/>
  <c r="D9" i="4"/>
  <c r="H5" i="5" l="1"/>
  <c r="I4" i="5"/>
  <c r="L5" i="5"/>
  <c r="M5" i="5" s="1"/>
  <c r="H4" i="5"/>
  <c r="I3" i="5"/>
  <c r="L4" i="5"/>
  <c r="M4" i="5" s="1"/>
  <c r="H3" i="5"/>
  <c r="L3" i="5"/>
  <c r="M3" i="5" s="1"/>
  <c r="I5" i="5"/>
  <c r="G8" i="4"/>
  <c r="G4" i="4"/>
  <c r="H6" i="4"/>
  <c r="G7" i="4"/>
  <c r="G3" i="4"/>
  <c r="E9" i="4"/>
  <c r="H5" i="4"/>
  <c r="G6" i="4"/>
  <c r="H8" i="4"/>
  <c r="H4" i="4"/>
  <c r="G5" i="4"/>
  <c r="H7" i="4"/>
  <c r="H3" i="4"/>
  <c r="F9" i="4"/>
  <c r="H9" i="4" l="1"/>
  <c r="G9" i="4"/>
  <c r="G5" i="1" l="1"/>
  <c r="G4" i="1"/>
  <c r="C4" i="1" l="1"/>
</calcChain>
</file>

<file path=xl/sharedStrings.xml><?xml version="1.0" encoding="utf-8"?>
<sst xmlns="http://schemas.openxmlformats.org/spreadsheetml/2006/main" count="1323" uniqueCount="393">
  <si>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</si>
  <si>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</si>
  <si>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</si>
  <si>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</si>
  <si>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</si>
  <si>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</si>
  <si>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</si>
  <si>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</si>
  <si>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</si>
  <si>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</si>
  <si>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</si>
  <si>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</si>
  <si>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</si>
  <si>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</si>
  <si>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</si>
  <si>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</si>
  <si>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</si>
  <si>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</si>
  <si>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</si>
  <si>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</si>
  <si>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</si>
  <si>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</si>
  <si>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ASMIETG990</t>
  </si>
  <si>
    <t>LARESI22005</t>
  </si>
  <si>
    <t>LA20006014</t>
  </si>
  <si>
    <t>CS240300300</t>
  </si>
  <si>
    <t>CS640400300</t>
  </si>
  <si>
    <t>GLG0150120</t>
  </si>
  <si>
    <t>LARESI230AB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</si>
  <si>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</si>
  <si>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</si>
  <si>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</si>
  <si>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</si>
  <si>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</si>
  <si>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</si>
  <si>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</si>
  <si>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</si>
  <si>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</si>
  <si>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</si>
  <si>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</si>
  <si>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</si>
  <si>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</si>
  <si>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</si>
  <si>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</si>
  <si>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</si>
  <si>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</si>
  <si>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</si>
  <si>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</si>
  <si>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</si>
  <si>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</si>
  <si>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</si>
  <si>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</si>
  <si>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</si>
  <si>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</si>
  <si>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</si>
  <si>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</si>
  <si>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</si>
  <si>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</si>
  <si>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</si>
  <si>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</si>
  <si>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</si>
  <si>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</si>
  <si>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</si>
  <si>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</si>
  <si>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LAENACS050</t>
  </si>
  <si>
    <t>LAFRPTO001</t>
  </si>
  <si>
    <t>LAFRPTO002</t>
  </si>
  <si>
    <t>LARESI22015</t>
  </si>
  <si>
    <t>SHRESEPO55</t>
  </si>
  <si>
    <t>Supplies - other</t>
  </si>
  <si>
    <t>ARAPTOOL002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</si>
  <si>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</si>
  <si>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</si>
  <si>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</si>
  <si>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</si>
  <si>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</si>
  <si>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</si>
  <si>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</si>
  <si>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</si>
  <si>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</si>
  <si>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>LAENACS100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</si>
  <si>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</si>
  <si>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</si>
  <si>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</si>
  <si>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</si>
  <si>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</si>
  <si>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</si>
  <si>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</si>
  <si>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</si>
  <si>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</si>
  <si>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</si>
  <si>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</si>
  <si>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</si>
  <si>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</si>
  <si>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</si>
  <si>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</si>
  <si>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</si>
  <si>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</si>
  <si>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</si>
  <si>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</si>
  <si>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</si>
  <si>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</si>
  <si>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</si>
  <si>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</si>
  <si>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</si>
  <si>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</si>
  <si>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</si>
  <si>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</si>
  <si>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</si>
  <si>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</si>
  <si>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</si>
  <si>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</si>
  <si>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</si>
  <si>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</si>
  <si>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</si>
  <si>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</si>
  <si>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</si>
  <si>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</si>
  <si>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</si>
  <si>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</si>
  <si>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</si>
  <si>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</si>
  <si>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</si>
  <si>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</si>
  <si>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</si>
  <si>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</si>
  <si>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</si>
  <si>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</si>
  <si>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LAENACS080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</si>
  <si>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</si>
  <si>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</si>
  <si>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</si>
  <si>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</si>
  <si>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</si>
  <si>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</si>
  <si>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</si>
  <si>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</si>
  <si>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</si>
  <si>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</si>
  <si>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</si>
  <si>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</si>
  <si>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</si>
  <si>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</si>
  <si>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</si>
  <si>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</si>
  <si>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</si>
  <si>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</si>
  <si>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LAENACS090</t>
  </si>
  <si>
    <t>LAENACS120</t>
  </si>
  <si>
    <t>LAPSTKO100</t>
  </si>
  <si>
    <t>SHEPO1000A</t>
  </si>
  <si>
    <t>SHEPO1000B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</si>
  <si>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</si>
  <si>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</si>
  <si>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</si>
  <si>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</si>
  <si>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</si>
  <si>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</si>
  <si>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</si>
  <si>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Resin 220 (Gebinde à 5 kg)</t>
  </si>
  <si>
    <t>163</t>
  </si>
  <si>
    <t>AT</t>
  </si>
  <si>
    <t>S&amp;P Resin 220 (Gebinde à 15 kg)</t>
  </si>
  <si>
    <t>S&amp;P Endverankerung Typ 100</t>
  </si>
  <si>
    <t>LACLEAN005</t>
  </si>
  <si>
    <t xml:space="preserve">S&amp;P Cleaner 5 lt
</t>
  </si>
  <si>
    <t>S&amp;P Resin Epoxy 55 , Laminierharz (Set à 6 kg) (PL)</t>
  </si>
  <si>
    <t>LAKLIMASANF</t>
  </si>
  <si>
    <t>Klimansan F</t>
  </si>
  <si>
    <t>S&amp;P C-Sheet 240 200 g/m2</t>
  </si>
  <si>
    <t>S&amp;P Endverankerung Typ 120</t>
  </si>
  <si>
    <t>S&amp;P Asphalt Handabrollgerät</t>
  </si>
  <si>
    <t>S&amp;P Abrollgerät Lamellen</t>
  </si>
  <si>
    <t>S&amp;P Asphalt Abrollgerät maschinell</t>
  </si>
  <si>
    <t>S&amp;PARMO-mesh 500/500
roll 1.95 x 50 m</t>
  </si>
  <si>
    <t>LACAFIBROD</t>
  </si>
  <si>
    <t>S&amp;P carbon fiber rod</t>
  </si>
  <si>
    <t>BOM line</t>
  </si>
  <si>
    <t>InvJ000093</t>
  </si>
  <si>
    <t>LACAN05PET</t>
  </si>
  <si>
    <t xml:space="preserve">Plastikkanister weiss 5 lt
</t>
  </si>
  <si>
    <t>LACLEAN20AT</t>
  </si>
  <si>
    <t xml:space="preserve">Epoxy Cleaner 20 kg (Austria)
</t>
  </si>
  <si>
    <t>Lot 003457</t>
  </si>
  <si>
    <t>InvJ000095</t>
  </si>
  <si>
    <t>Lot 003525</t>
  </si>
  <si>
    <t>BOM</t>
  </si>
  <si>
    <t>InvJ000097</t>
  </si>
  <si>
    <t>S&amp;P Asphalt Mietgeräte</t>
  </si>
  <si>
    <t>S&amp;P Bolzenanker M16 (Vorspannung)</t>
  </si>
  <si>
    <t>Lot 003958</t>
  </si>
  <si>
    <t>CETEPOX 1613H</t>
  </si>
  <si>
    <t>CS240200600Z</t>
  </si>
  <si>
    <t>CS240300300Z</t>
  </si>
  <si>
    <t>CS240300600Z</t>
  </si>
  <si>
    <t>KOESTER21</t>
  </si>
  <si>
    <t>KOESTERPU907</t>
  </si>
  <si>
    <t>LA15001517</t>
  </si>
  <si>
    <t>MAPEIL</t>
  </si>
  <si>
    <t>SHRESEPO50S</t>
  </si>
  <si>
    <t>SHTEFROL10030</t>
  </si>
  <si>
    <t>SHTEFROL15030</t>
  </si>
  <si>
    <t>S&amp;P Resin 230 Komp. A + B</t>
  </si>
  <si>
    <t>S&amp;P C-Laminate HM (200/2000) 90/1.4</t>
  </si>
  <si>
    <t>S&amp;P C-Laminate SM (150/2000) 20/1.4</t>
  </si>
  <si>
    <t>Services - other</t>
  </si>
  <si>
    <t>S&amp;P C-Sheet 240 600 g/m2</t>
  </si>
  <si>
    <t>Taxes - WH RSU</t>
  </si>
  <si>
    <t>Taxes - Withheld on RSU
charges to Home Office (US)</t>
  </si>
  <si>
    <t>Trade - other</t>
  </si>
  <si>
    <t>MAPEI in Liter</t>
  </si>
  <si>
    <t>S&amp;P G-Sheet E 50/50</t>
  </si>
  <si>
    <t>S&amp;P Endverankerung Typ 80</t>
  </si>
  <si>
    <t xml:space="preserve">S&amp;P C-Laminate SM (150/2000) 15/1,7
</t>
  </si>
  <si>
    <t>FACAPEX001</t>
  </si>
  <si>
    <t>Fixed Asset Item</t>
  </si>
  <si>
    <t>ApP0000186</t>
  </si>
  <si>
    <t>Lot 003174</t>
  </si>
  <si>
    <t>Tooling - maint</t>
  </si>
  <si>
    <t>Warehousing</t>
  </si>
  <si>
    <t>ApP0000200</t>
  </si>
  <si>
    <t>Lot 003278</t>
  </si>
  <si>
    <t>InvJ000081</t>
  </si>
  <si>
    <t>Lot 003165</t>
  </si>
  <si>
    <t>InvJ000082</t>
  </si>
  <si>
    <t>Lot 003172</t>
  </si>
  <si>
    <t>InvJ000085</t>
  </si>
  <si>
    <t>Lot 003197</t>
  </si>
  <si>
    <t>InvJ000087</t>
  </si>
  <si>
    <t>Lot 003239</t>
  </si>
  <si>
    <t>InvJ000089</t>
  </si>
  <si>
    <t>Lot 003325</t>
  </si>
  <si>
    <t>InvJ000090</t>
  </si>
  <si>
    <t>Lot 003350</t>
  </si>
  <si>
    <t>InvJ000091</t>
  </si>
  <si>
    <t>Lot 003368</t>
  </si>
  <si>
    <t>InvJ000092</t>
  </si>
  <si>
    <t>Lot 003383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</si>
  <si>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</si>
  <si>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</si>
  <si>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</si>
  <si>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</si>
  <si>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</si>
  <si>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</si>
  <si>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</si>
  <si>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</si>
  <si>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</si>
  <si>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</si>
  <si>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</si>
  <si>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</si>
  <si>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</si>
  <si>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</si>
  <si>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</si>
  <si>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</si>
  <si>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Supplies</t>
  </si>
  <si>
    <t>S&amp;P ARMO-mur , bag of 25kg</t>
  </si>
  <si>
    <t>S&amp;P ARMO-crete w , Säcke à 25kg</t>
  </si>
  <si>
    <t>ARMOWET025RS</t>
  </si>
  <si>
    <t>S&amp;P ARMO-crete w , Säcke à 25 kg</t>
  </si>
  <si>
    <t>ASPDIEN002</t>
  </si>
  <si>
    <t>Asphalt application work</t>
  </si>
  <si>
    <t>Services</t>
  </si>
  <si>
    <t>Service</t>
  </si>
  <si>
    <t>ASPINST001</t>
  </si>
  <si>
    <t>Asphalt Verlegearbeit Installation</t>
  </si>
  <si>
    <t>H</t>
  </si>
  <si>
    <t>AVENARIUSKG</t>
  </si>
  <si>
    <t>AVENARIUSL</t>
  </si>
  <si>
    <t>S&amp;P Bolzenanker M12 (Vorspannung)</t>
  </si>
  <si>
    <t>S&amp;P Carbophalt G (120/200kN)</t>
  </si>
  <si>
    <t>CAG0150200GV</t>
  </si>
  <si>
    <t>S&amp;P Carbophalt GV (120/200kN)</t>
  </si>
  <si>
    <t>S&amp;P Härter CeTePox 1613 H</t>
  </si>
  <si>
    <t xml:space="preserve">S&amp;P C-Sheet 240 200 g/m2
</t>
  </si>
  <si>
    <t xml:space="preserve">S&amp;P C-Sheet 240 300 g/m2 Z
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</si>
  <si>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</si>
  <si>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</si>
  <si>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</si>
  <si>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</si>
  <si>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</si>
  <si>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</si>
  <si>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KOESTER 21 
2 component waterproofing product; 20kg set</t>
  </si>
  <si>
    <t>KOESTER PU 907, RAL
600 ml bag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</si>
  <si>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</si>
  <si>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</si>
  <si>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</si>
  <si>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</si>
  <si>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</si>
  <si>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</si>
  <si>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</si>
  <si>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S&amp;P Endverankerung Typ 50</t>
  </si>
  <si>
    <t>S&amp;P Endverankerung Typ 60</t>
  </si>
  <si>
    <t>S&amp;P Endverankerung Typ 90</t>
  </si>
  <si>
    <t>LAPSTKO001</t>
  </si>
  <si>
    <t>S&amp;P Vorspann-Set CFK (Standard)</t>
  </si>
  <si>
    <t>S&amp;P Anchor plate prestressed</t>
  </si>
  <si>
    <t>Legal - labor</t>
  </si>
  <si>
    <t>Legal - other</t>
  </si>
  <si>
    <t>Maint - equip</t>
  </si>
  <si>
    <t>Maint - facility</t>
  </si>
  <si>
    <t>Maint - office equip</t>
  </si>
  <si>
    <t>Maint - vehicles</t>
  </si>
  <si>
    <t>MAPEIKG</t>
  </si>
  <si>
    <t>MAPEI in KG</t>
  </si>
  <si>
    <t>Materials - freight</t>
  </si>
  <si>
    <t>Meals &amp; entertainmen</t>
  </si>
  <si>
    <t>Phone - office</t>
  </si>
  <si>
    <t>Postage</t>
  </si>
  <si>
    <t>Prof svc - audit</t>
  </si>
  <si>
    <t>Prof svc - emp agent</t>
  </si>
  <si>
    <t>Prof svc - other</t>
  </si>
  <si>
    <t>Prof svc - prod test</t>
  </si>
  <si>
    <t>Prof svc - tax</t>
  </si>
  <si>
    <t>Relocation - emp</t>
  </si>
  <si>
    <t>Rent</t>
  </si>
  <si>
    <t>Services - janitoria</t>
  </si>
  <si>
    <t>Services - security</t>
  </si>
  <si>
    <t>Resin 50/55, Resicem (Komp. A)</t>
  </si>
  <si>
    <t>Resin 50/55, Resicem (Komp. B)</t>
  </si>
  <si>
    <t>S&amp;P Resin Epoxy 50 , Primer (Set à 200 kg)</t>
  </si>
  <si>
    <t>S&amp;P Laminierroller 100 x 30mm</t>
  </si>
  <si>
    <t>S&amp;P Laminierroller 130 x 30mm</t>
  </si>
  <si>
    <t>S&amp;P Laminierroller 150 x 30mm</t>
  </si>
  <si>
    <t>Stretch wrap</t>
  </si>
  <si>
    <t>Subscript - emp ads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</si>
  <si>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</si>
  <si>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</si>
  <si>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</si>
  <si>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</si>
  <si>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</si>
  <si>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</si>
  <si>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</si>
  <si>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</si>
  <si>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Taxes - property</t>
  </si>
  <si>
    <t>Tooling - new</t>
  </si>
  <si>
    <t>Trade - booth</t>
  </si>
  <si>
    <t>Travel</t>
  </si>
  <si>
    <t>Utilities - electric</t>
  </si>
  <si>
    <t>Utilities - gas</t>
  </si>
  <si>
    <t>Utilitites - water</t>
  </si>
  <si>
    <t>VEDI670001</t>
  </si>
  <si>
    <t>Interest on I/C loan</t>
  </si>
  <si>
    <t>VERDIE0624</t>
  </si>
  <si>
    <t>Misc. Charges - Admin</t>
  </si>
  <si>
    <t>VERDIE0630</t>
  </si>
  <si>
    <t>Group &amp; misc. charges Below - Admin</t>
  </si>
  <si>
    <t>VERDIE0631</t>
  </si>
  <si>
    <t>Group Charges – Tpp</t>
  </si>
  <si>
    <t>VERDIE0642</t>
  </si>
  <si>
    <t>Group Charges - IT General</t>
  </si>
  <si>
    <t>W/H transfer - frt</t>
  </si>
  <si>
    <t>Waste Disposal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</si>
  <si>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</si>
  <si>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</si>
  <si>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</si>
  <si>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</si>
  <si>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</si>
  <si>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</si>
  <si>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</si>
  <si>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</si>
  <si>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</si>
  <si>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</si>
  <si>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</si>
  <si>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</si>
  <si>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</si>
  <si>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</si>
  <si>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LACLEAN20AT,LACAN02PET,LACLEAN002</t>
  </si>
  <si>
    <t>ARMOWET025RB</t>
  </si>
  <si>
    <t>S&amp;P ARMO-crete w (rb) 25kg bag</t>
  </si>
  <si>
    <t>SHRESEPO55HP</t>
  </si>
  <si>
    <t>S&amp;P Resin 55 HP
(Set à 13kg)</t>
  </si>
  <si>
    <t>SHRESEPO55HP6KG</t>
  </si>
  <si>
    <t>S&amp;P Resin 55 HP
(Set à 6kg)</t>
  </si>
  <si>
    <t>SHRESICEHP010</t>
  </si>
  <si>
    <t>S&amp;P Resicem HP, Set 10 kg</t>
  </si>
  <si>
    <t>ApP0000270</t>
  </si>
  <si>
    <t>EUR</t>
  </si>
  <si>
    <t>PoI0000241</t>
  </si>
  <si>
    <t>Lot 004235</t>
  </si>
  <si>
    <t>Posted</t>
  </si>
  <si>
    <t>ApP0000271</t>
  </si>
  <si>
    <t>Lot 004236</t>
  </si>
  <si>
    <t>Check Trans</t>
  </si>
  <si>
    <t>Yes</t>
  </si>
  <si>
    <t>Transaction text</t>
  </si>
  <si>
    <t>Cost price</t>
  </si>
  <si>
    <t>Cost amount</t>
  </si>
  <si>
    <t>Purchase order</t>
    <phoneticPr fontId="6" type="noConversion"/>
  </si>
  <si>
    <t>PCS</t>
    <phoneticPr fontId="6" type="noConversion"/>
  </si>
  <si>
    <t>TransOrigin</t>
    <phoneticPr fontId="6" type="noConversion"/>
  </si>
  <si>
    <t>InventTrans</t>
    <phoneticPr fontId="6" type="noConversion"/>
  </si>
  <si>
    <t>TPPTrans</t>
    <phoneticPr fontId="6" type="noConversion"/>
  </si>
  <si>
    <t>Date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</si>
</sst>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_(* #,##0.00_);_(* \(#,##0.00\);_(* &quot;-&quot;??_);_(@_)"/>
  </numFmts>
  <fonts count="7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11"/>
      <color rgb="FF000000"/>
      <name val="Calibri"/>
      <family val="2"/>
    </font>
    <font>
      <sz val="11"/>
      <color theme="1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76" fontId="0" fillId="0" borderId="0" xfId="0" applyNumberFormat="1" applyAlignment="1"/>
    <xf numFmtId="176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0" fontId="0" fillId="0" borderId="0" xfId="0" quotePrefix="1" applyNumberFormat="1" applyAlignment="1">
      <alignment wrapText="1"/>
    </xf>
    <xf numFmtId="43" fontId="0" fillId="0" borderId="0" xfId="2" applyFont="1"/>
    <xf numFmtId="0" fontId="5" fillId="2" borderId="1" xfId="0" applyNumberFormat="1" applyFont="1" applyFill="1" applyBorder="1" applyAlignment="1"/>
    <xf numFmtId="0" fontId="5" fillId="2" borderId="3" xfId="0" applyNumberFormat="1" applyFont="1" applyFill="1" applyBorder="1" applyAlignment="1"/>
    <xf numFmtId="14" fontId="5" fillId="2" borderId="3" xfId="0" applyNumberFormat="1" applyFont="1" applyFill="1" applyBorder="1" applyAlignment="1"/>
    <xf numFmtId="0" fontId="5" fillId="2" borderId="4" xfId="0" applyNumberFormat="1" applyFont="1" applyFill="1" applyBorder="1" applyAlignment="1"/>
    <xf numFmtId="0" fontId="2" fillId="3" borderId="1" xfId="0" applyNumberFormat="1" applyFont="1" applyFill="1" applyBorder="1" applyAlignment="1"/>
    <xf numFmtId="0" fontId="2" fillId="3" borderId="3" xfId="0" applyNumberFormat="1" applyFont="1" applyFill="1" applyBorder="1" applyAlignment="1"/>
    <xf numFmtId="14" fontId="2" fillId="3" borderId="3" xfId="0" applyNumberFormat="1" applyFont="1" applyFill="1" applyBorder="1" applyAlignment="1"/>
    <xf numFmtId="0" fontId="2" fillId="3" borderId="4" xfId="0" applyNumberFormat="1" applyFont="1" applyFill="1" applyBorder="1" applyAlignment="1"/>
    <xf numFmtId="0" fontId="2" fillId="0" borderId="1" xfId="0" applyNumberFormat="1" applyFont="1" applyBorder="1" applyAlignment="1"/>
    <xf numFmtId="0" fontId="2" fillId="0" borderId="3" xfId="0" applyNumberFormat="1" applyFont="1" applyBorder="1" applyAlignment="1"/>
    <xf numFmtId="14" fontId="2" fillId="0" borderId="3" xfId="0" applyNumberFormat="1" applyFont="1" applyBorder="1" applyAlignment="1"/>
    <xf numFmtId="0" fontId="2" fillId="0" borderId="4" xfId="0" applyNumberFormat="1" applyFont="1" applyBorder="1" applyAlignment="1"/>
    <xf numFmtId="0" fontId="2" fillId="0" borderId="0" xfId="0" applyNumberFormat="1" applyFont="1" applyFill="1" applyBorder="1" applyAlignment="1"/>
    <xf numFmtId="14" fontId="2" fillId="0" borderId="0" xfId="0" applyNumberFormat="1" applyFont="1" applyBorder="1" applyAlignment="1"/>
  </cellXfs>
  <cellStyles count="3">
    <cellStyle name="Comma" xfId="2" builtinId="3"/>
    <cellStyle name="Normal" xfId="0" builtinId="0"/>
    <cellStyle name="Title" xfId="1" builtinId="15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OnHandStatement" displayName="OnHandStatement" ref="A1:P3" totalsRowShown="0" dataDxfId="122" dataCellStyle="Comma">
  <autoFilter ref="A1:P3"/>
  <tableColumns count="16">
    <tableColumn id="1" name="Item"/>
    <tableColumn id="2" name="Site"/>
    <tableColumn id="3" name="Warehouse"/>
    <tableColumn id="4" name="Invent on-hand beginning" dataDxfId="121" dataCellStyle="Comma"/>
    <tableColumn id="5" name="TPP on-hand beginning" dataDxfId="120" dataCellStyle="Comma"/>
    <tableColumn id="6" name="Beginning balance reconcile" dataDxfId="119" dataCellStyle="Comma"/>
    <tableColumn id="7" name="TPP Balance Beginning" dataDxfId="118" dataCellStyle="Comma"/>
    <tableColumn id="8" name="TPP Cost price Beginning" dataDxfId="117" dataCellStyle="Comma"/>
    <tableColumn id="9" name="Invent Transaction" dataDxfId="116" dataCellStyle="Comma"/>
    <tableColumn id="10" name="TPP Transaction" dataDxfId="115" dataCellStyle="Comma"/>
    <tableColumn id="11" name="Invent ending balance" dataDxfId="114" dataCellStyle="Comma"/>
    <tableColumn id="12" name="TPP on-hand ending balance" dataDxfId="113" dataCellStyle="Comma"/>
    <tableColumn id="13" name="Ending ON-hand reconcile" dataDxfId="112" dataCellStyle="Comma"/>
    <tableColumn id="14" name="TPP Balance Ending" dataDxfId="111" dataCellStyle="Comma"/>
    <tableColumn id="15" name="TPP Cost price Ending" dataDxfId="110" dataCellStyle="Comma"/>
    <tableColumn id="16" name="Check Tra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1_Table_1" displayName="AtlasReport_1_Table_1" ref="A2:N18" totalsRowCount="1">
  <autoFilter ref="A2:N17"/>
  <tableColumns count="14">
    <tableColumn id="1" name="Reference" totalsRowLabel="Total" dataDxfId="109" totalsRowDxfId="108"/>
    <tableColumn id="2" name="Number" dataDxfId="107" totalsRowDxfId="106"/>
    <tableColumn id="3" name="Item number" totalsRowLabel="Total" dataDxfId="105" totalsRowDxfId="104"/>
    <tableColumn id="4" name="Item name" dataDxfId="103" totalsRowDxfId="102"/>
    <tableColumn id="5" name="Site" dataDxfId="101" totalsRowDxfId="100"/>
    <tableColumn id="6" name="Warehouse" dataDxfId="99" totalsRowDxfId="98"/>
    <tableColumn id="7" name="Physical date" dataDxfId="97" totalsRowDxfId="96"/>
    <tableColumn id="8" name="Financial date" dataDxfId="95" totalsRowDxfId="94"/>
    <tableColumn id="9" name="Quantity" totalsRowFunction="sum" dataDxfId="93" totalsRowDxfId="92"/>
    <tableColumn id="10" name="Unit" dataDxfId="91" totalsRowDxfId="90"/>
    <tableColumn id="11" name="Lot ID" dataDxfId="89" totalsRowDxfId="88"/>
    <tableColumn id="12" name="VendInvoiceTransId" dataDxfId="87" totalsRowDxfId="86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85" totalsRowDxfId="84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83" totalsRowDxfId="82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tlasReport_2_Table_1" displayName="AtlasReport_2_Table_1" ref="A2:Q4" totalsRowCount="1">
  <autoFilter ref="A2:Q3"/>
  <tableColumns count="17">
    <tableColumn id="1" name="Reference" totalsRowLabel="Total" dataDxfId="81" totalsRowDxfId="80"/>
    <tableColumn id="2" name="Number" dataDxfId="79" totalsRowDxfId="78"/>
    <tableColumn id="3" name="Item number" dataDxfId="77" totalsRowDxfId="76"/>
    <tableColumn id="4" name="Item name" dataDxfId="75" totalsRowDxfId="74"/>
    <tableColumn id="5" name="Date" dataDxfId="73" totalsRowDxfId="72"/>
    <tableColumn id="6" name="Site" dataDxfId="71" totalsRowDxfId="70"/>
    <tableColumn id="7" name="Warehouse" dataDxfId="69" totalsRowDxfId="68"/>
    <tableColumn id="8" name="Quantity" totalsRowFunction="sum" dataDxfId="67" totalsRowDxfId="66"/>
    <tableColumn id="9" name="Unit" dataDxfId="65" totalsRowDxfId="64"/>
    <tableColumn id="10" name="TPP cost price" totalsRowFunction="sum" dataDxfId="63" totalsRowDxfId="62"/>
    <tableColumn id="11" name="TPP cost amount" totalsRowFunction="sum" dataDxfId="61" totalsRowDxfId="60"/>
    <tableColumn id="12" name="Currency" dataDxfId="59" totalsRowDxfId="58"/>
    <tableColumn id="13" name="TPP cost amount currency" totalsRowFunction="sum" dataDxfId="57" totalsRowDxfId="56"/>
    <tableColumn id="14" name="Financial voucher" dataDxfId="55" totalsRowDxfId="54"/>
    <tableColumn id="15" name="Lot ID" dataDxfId="53" totalsRowDxfId="52"/>
    <tableColumn id="16" name="Status" dataDxfId="51" totalsRowDxfId="50"/>
    <tableColumn id="17" name="InventTransRecId" totalsRowFunction="sum" dataDxfId="49" totalsRow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tlasReport_3_Table_1" displayName="AtlasReport_3_Table_1" ref="A2:H9" totalsRowCount="1">
  <autoFilter ref="A2:H8"/>
  <tableColumns count="8">
    <tableColumn id="1" name="Item number" totalsRowLabel="Total" dataDxfId="47" totalsRowDxfId="46"/>
    <tableColumn id="2" name="Site" dataDxfId="45" totalsRowDxfId="44"/>
    <tableColumn id="3" name="Warehouse" dataDxfId="43" totalsRowDxfId="42"/>
    <tableColumn id="4" name="Current On-hand" totalsRowFunction="sum" dataDxfId="41" totalsRowDxfId="40"/>
    <tableColumn id="5" name="Trans backwords (Beginning)" totalsRowFunction="sum" dataDxfId="39" totalsRowDxfId="38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37" totalsRowDxfId="36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35" totalsRowDxfId="34">
      <calculatedColumnFormula>AtlasReport_3_Table_1[[#This Row],[Current On-hand]]-AtlasReport_3_Table_1[[#This Row],[Trans backwords (Beginning)]]</calculatedColumnFormula>
    </tableColumn>
    <tableColumn id="8" name="Ending On-hand" totalsRowFunction="sum" dataDxfId="33" totalsRowDxfId="32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AtlasReport_4_Table_1" displayName="AtlasReport_4_Table_1" ref="A2:M6" totalsRowCount="1">
  <autoFilter ref="A2:M5"/>
  <tableColumns count="13">
    <tableColumn id="1" name="Item number" totalsRowLabel="Total" dataDxfId="31" totalsRowDxfId="30"/>
    <tableColumn id="2" name="Site" dataDxfId="29" totalsRowDxfId="28"/>
    <tableColumn id="3" name="Warehouse" dataDxfId="27" totalsRowDxfId="26"/>
    <tableColumn id="4" name="Quantity" totalsRowFunction="sum" dataDxfId="25" totalsRowDxfId="24"/>
    <tableColumn id="5" name="TPP cost amount" totalsRowFunction="sum" dataDxfId="23" totalsRowDxfId="22"/>
    <tableColumn id="6" name="TPP trans backwards (Beginning)" dataDxfId="21" totalsRowDxfId="20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19" totalsRowDxfId="18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17" totalsRowDxfId="16">
      <calculatedColumnFormula>AtlasReport_4_Table_1[[#This Row],[Quantity]]-AtlasReport_4_Table_1[[#This Row],[TPP trans backwards (Beginning)]]</calculatedColumnFormula>
    </tableColumn>
    <tableColumn id="9" name="TPP On-hand (Ending)" dataDxfId="15" totalsRowDxfId="14">
      <calculatedColumnFormula>AtlasReport_4_Table_1[[#This Row],[Quantity]]-AtlasReport_4_Table_1[[#This Row],[TPP trans backwards (Ending)]]</calculatedColumnFormula>
    </tableColumn>
    <tableColumn id="10" name="TPP trans backwards balance (Beginning)" dataDxfId="13" totalsRowDxfId="12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11" totalsRowDxfId="10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9" totalsRowDxfId="8">
      <calculatedColumnFormula>AtlasReport_4_Table_1[[#This Row],[TPP cost amount]]-AtlasReport_4_Table_1[[#This Row],[TPP trans backwards balance (Beginning)]]</calculatedColumnFormula>
    </tableColumn>
    <tableColumn id="13" name="TPP Balance (Ending)" dataDxfId="7" totalsRowDxfId="6">
      <calculatedColumnFormula>AtlasReport_4_Table_1[[#This Row],[TPP cost amount]]-AtlasReport_4_Table_1[[#This Row],[TPP Balance (Beginning)]]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AtlasReport_5_Table_1" displayName="AtlasReport_5_Table_1" ref="A2:E156" totalsRowShown="0">
  <autoFilter ref="A2:E156"/>
  <tableColumns count="5">
    <tableColumn id="1" name="Item number" dataDxfId="5"/>
    <tableColumn id="2" name="Item name" dataDxfId="4"/>
    <tableColumn id="3" name="Item group" dataDxfId="3"/>
    <tableColumn id="4" name="Item type" dataDxfId="2"/>
    <tableColumn id="5" name="Unit" dataDxf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0"/>
    <tableColumn id="2" name="FieldId"/>
    <tableColumn id="3" name="Column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7"/>
  <sheetViews>
    <sheetView workbookViewId="0">
      <selection activeCell="Q15" sqref="Q15"/>
    </sheetView>
  </sheetViews>
  <sheetFormatPr defaultRowHeight="13.5" x14ac:dyDescent="0.15"/>
  <cols>
    <col min="2" max="2" width="17.125" customWidth="1"/>
    <col min="3" max="3" width="10.75" bestFit="1" customWidth="1"/>
  </cols>
  <sheetData>
    <row r="1" spans="2:8" x14ac:dyDescent="0.15">
      <c r="B1" t="s">
        <v>0</v>
      </c>
      <c r="C1">
        <v>363</v>
      </c>
      <c r="G1" t="s">
        <v>3</v>
      </c>
      <c r="H1" t="s">
        <v>4</v>
      </c>
    </row>
    <row r="2" spans="2:8" x14ac:dyDescent="0.15">
      <c r="B2" t="s">
        <v>1</v>
      </c>
      <c r="C2" s="1">
        <v>42826</v>
      </c>
    </row>
    <row r="3" spans="2:8" x14ac:dyDescent="0.15">
      <c r="B3" t="s">
        <v>2</v>
      </c>
      <c r="C3" s="1">
        <v>42916</v>
      </c>
    </row>
    <row r="4" spans="2:8" x14ac:dyDescent="0.15">
      <c r="B4" t="s">
        <v>5</v>
      </c>
      <c r="C4" t="str">
        <f>TEXT(FromDate,DateFormat) &amp; " .. " &amp; TEXT(ToDate,DateFormat)</f>
        <v>04.01.2017 .. 06.30.2017</v>
      </c>
      <c r="F4" t="s">
        <v>85</v>
      </c>
      <c r="G4" t="str">
        <f>TEXT(FromDate,DateFormat)&amp;" .. "&amp;TEXT(DATE(2099,12,31),DateFormat)</f>
        <v>04.01.2017 .. 12.31.2099</v>
      </c>
    </row>
    <row r="5" spans="2:8" x14ac:dyDescent="0.15">
      <c r="F5" t="s">
        <v>86</v>
      </c>
      <c r="G5" t="str">
        <f>TEXT(ToDate+1,DateFormat)&amp;" .. "&amp;TEXT(DATE(2099,12,31),DateFormat)</f>
        <v>07.01.2017 .. 12.31.2099</v>
      </c>
    </row>
    <row r="7" spans="2:8" x14ac:dyDescent="0.15">
      <c r="B7" t="s">
        <v>365</v>
      </c>
      <c r="C7" t="s">
        <v>366</v>
      </c>
    </row>
  </sheetData>
  <phoneticPr fontId="6" type="noConversion"/>
  <dataValidations count="1">
    <dataValidation type="list" allowBlank="1" showInputMessage="1" showErrorMessage="1" sqref="H1">
      <formula1>"MM.DD.YYYY, DD.MM.YYYY"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3.5" x14ac:dyDescent="0.15"/>
  <cols>
    <col min="1" max="1" width="12.75" bestFit="1" customWidth="1"/>
    <col min="2" max="2" width="8.25" bestFit="1" customWidth="1"/>
    <col min="3" max="3" width="14" bestFit="1" customWidth="1"/>
    <col min="4" max="4" width="32.75" bestFit="1" customWidth="1"/>
    <col min="5" max="5" width="29" bestFit="1" customWidth="1"/>
    <col min="6" max="6" width="36.5" bestFit="1" customWidth="1"/>
    <col min="7" max="7" width="29" bestFit="1" customWidth="1"/>
    <col min="8" max="8" width="32.75" bestFit="1" customWidth="1"/>
    <col min="9" max="9" width="25.25" bestFit="1" customWidth="1"/>
    <col min="10" max="10" width="21.5" bestFit="1" customWidth="1"/>
    <col min="11" max="11" width="29" bestFit="1" customWidth="1"/>
    <col min="12" max="12" width="35.25" bestFit="1" customWidth="1"/>
    <col min="13" max="13" width="32.75" bestFit="1" customWidth="1"/>
    <col min="14" max="14" width="25.25" bestFit="1" customWidth="1"/>
    <col min="15" max="15" width="29" bestFit="1" customWidth="1"/>
    <col min="16" max="16" width="16.5" bestFit="1" customWidth="1"/>
  </cols>
  <sheetData>
    <row r="1" spans="1:16" x14ac:dyDescent="0.15">
      <c r="A1" t="s">
        <v>252</v>
      </c>
      <c r="B1" t="s">
        <v>49</v>
      </c>
      <c r="C1" t="s">
        <v>50</v>
      </c>
      <c r="D1" t="s">
        <v>353</v>
      </c>
      <c r="E1" t="s">
        <v>354</v>
      </c>
      <c r="F1" t="s">
        <v>355</v>
      </c>
      <c r="G1" t="s">
        <v>361</v>
      </c>
      <c r="H1" t="s">
        <v>363</v>
      </c>
      <c r="I1" t="s">
        <v>356</v>
      </c>
      <c r="J1" t="s">
        <v>357</v>
      </c>
      <c r="K1" t="s">
        <v>358</v>
      </c>
      <c r="L1" t="s">
        <v>359</v>
      </c>
      <c r="M1" t="s">
        <v>360</v>
      </c>
      <c r="N1" t="s">
        <v>362</v>
      </c>
      <c r="O1" t="s">
        <v>364</v>
      </c>
      <c r="P1" t="s">
        <v>382</v>
      </c>
    </row>
    <row r="2" spans="1:16" x14ac:dyDescent="0.15">
      <c r="A2" t="s">
        <v>131</v>
      </c>
      <c r="B2">
        <v>163</v>
      </c>
      <c r="C2" t="s">
        <v>161</v>
      </c>
      <c r="D2" s="15">
        <v>18</v>
      </c>
      <c r="E2" s="15">
        <v>18</v>
      </c>
      <c r="F2" s="15">
        <v>0</v>
      </c>
      <c r="G2" s="15">
        <v>0</v>
      </c>
      <c r="H2" s="15">
        <v>0</v>
      </c>
      <c r="I2" s="15">
        <v>498</v>
      </c>
      <c r="J2" s="15">
        <v>500</v>
      </c>
      <c r="K2" s="15">
        <v>516</v>
      </c>
      <c r="L2" s="15">
        <v>518</v>
      </c>
      <c r="M2" s="15">
        <v>-2</v>
      </c>
      <c r="N2" s="15">
        <v>87.5</v>
      </c>
      <c r="O2" s="15">
        <v>0.16891891891891891</v>
      </c>
      <c r="P2" t="s">
        <v>383</v>
      </c>
    </row>
    <row r="3" spans="1:16" x14ac:dyDescent="0.15">
      <c r="A3" t="s">
        <v>181</v>
      </c>
      <c r="B3">
        <v>163</v>
      </c>
      <c r="C3" t="s">
        <v>161</v>
      </c>
      <c r="D3" s="15">
        <v>48.32000000000005</v>
      </c>
      <c r="E3" s="15">
        <v>48.32</v>
      </c>
      <c r="F3" s="15">
        <v>4.9737991503207013E-14</v>
      </c>
      <c r="G3" s="15">
        <v>0</v>
      </c>
      <c r="H3" s="15">
        <v>0</v>
      </c>
      <c r="I3" s="15">
        <v>568.89</v>
      </c>
      <c r="J3" s="15">
        <v>0</v>
      </c>
      <c r="K3" s="15">
        <v>617.21</v>
      </c>
      <c r="L3" s="15">
        <v>48.32</v>
      </c>
      <c r="M3" s="15">
        <v>568.89</v>
      </c>
      <c r="N3" s="15">
        <v>0</v>
      </c>
      <c r="O3" s="15">
        <v>0</v>
      </c>
      <c r="P3" t="s">
        <v>383</v>
      </c>
    </row>
    <row r="4" spans="1:16" x14ac:dyDescent="0.15"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</sheetData>
  <phoneticPr fontId="6" type="noConversion"/>
  <dataValidations count="1">
    <dataValidation type="list" allowBlank="1" showInputMessage="1" showErrorMessage="1" sqref="P2:P4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9"/>
  <sheetViews>
    <sheetView workbookViewId="0">
      <selection activeCell="E20" sqref="E20"/>
    </sheetView>
  </sheetViews>
  <sheetFormatPr defaultRowHeight="13.5" x14ac:dyDescent="0.15"/>
  <cols>
    <col min="1" max="1" width="14.375" bestFit="1" customWidth="1"/>
    <col min="2" max="2" width="27" customWidth="1"/>
    <col min="3" max="3" width="12.625" bestFit="1" customWidth="1"/>
    <col min="4" max="4" width="23" bestFit="1" customWidth="1"/>
    <col min="5" max="5" width="18.125" customWidth="1"/>
    <col min="6" max="6" width="11.25" bestFit="1" customWidth="1"/>
    <col min="7" max="7" width="12.625" bestFit="1" customWidth="1"/>
    <col min="8" max="8" width="13.375" bestFit="1" customWidth="1"/>
    <col min="9" max="9" width="8.75" bestFit="1" customWidth="1"/>
    <col min="10" max="10" width="4.875" bestFit="1" customWidth="1"/>
    <col min="11" max="11" width="10.125" bestFit="1" customWidth="1"/>
    <col min="12" max="12" width="18.875" bestFit="1" customWidth="1"/>
    <col min="13" max="13" width="8.875" bestFit="1" customWidth="1"/>
    <col min="14" max="14" width="26.375" bestFit="1" customWidth="1"/>
  </cols>
  <sheetData>
    <row r="1" spans="1:17" x14ac:dyDescent="0.15">
      <c r="A1" s="16" t="s">
        <v>8</v>
      </c>
      <c r="B1" s="17" t="s">
        <v>9</v>
      </c>
      <c r="C1" s="17" t="s">
        <v>6</v>
      </c>
      <c r="D1" s="17" t="s">
        <v>30</v>
      </c>
      <c r="E1" s="17" t="s">
        <v>49</v>
      </c>
      <c r="F1" s="17" t="s">
        <v>50</v>
      </c>
      <c r="G1" s="18" t="s">
        <v>10</v>
      </c>
      <c r="H1" s="18" t="s">
        <v>11</v>
      </c>
      <c r="I1" s="17" t="s">
        <v>12</v>
      </c>
      <c r="J1" s="17" t="s">
        <v>36</v>
      </c>
      <c r="K1" s="17" t="s">
        <v>7</v>
      </c>
      <c r="L1" s="17" t="s">
        <v>152</v>
      </c>
      <c r="M1" s="17" t="s">
        <v>45</v>
      </c>
      <c r="N1" s="19" t="s">
        <v>92</v>
      </c>
    </row>
    <row r="2" spans="1:17" x14ac:dyDescent="0.15">
      <c r="A2" s="20" t="s">
        <v>17</v>
      </c>
      <c r="B2" s="21" t="s">
        <v>375</v>
      </c>
      <c r="C2" s="21" t="s">
        <v>131</v>
      </c>
      <c r="D2" s="21" t="s">
        <v>132</v>
      </c>
      <c r="E2" s="21" t="s">
        <v>160</v>
      </c>
      <c r="F2" s="21" t="s">
        <v>161</v>
      </c>
      <c r="G2" s="22">
        <v>42830</v>
      </c>
      <c r="H2" s="22">
        <v>42831</v>
      </c>
      <c r="I2" s="21">
        <v>500</v>
      </c>
      <c r="J2" s="21" t="s">
        <v>37</v>
      </c>
      <c r="K2" s="21" t="s">
        <v>378</v>
      </c>
      <c r="L2" s="21">
        <v>5637295067</v>
      </c>
      <c r="M2" s="21" t="s">
        <v>376</v>
      </c>
      <c r="N2" s="23">
        <v>87.5</v>
      </c>
    </row>
    <row r="3" spans="1:17" x14ac:dyDescent="0.15">
      <c r="A3" s="24" t="s">
        <v>21</v>
      </c>
      <c r="B3" s="25" t="s">
        <v>187</v>
      </c>
      <c r="C3" s="25" t="s">
        <v>131</v>
      </c>
      <c r="D3" s="25" t="s">
        <v>132</v>
      </c>
      <c r="E3" s="25" t="s">
        <v>160</v>
      </c>
      <c r="F3" s="25" t="s">
        <v>161</v>
      </c>
      <c r="G3" s="26">
        <v>42914</v>
      </c>
      <c r="H3" s="26">
        <v>42914</v>
      </c>
      <c r="I3" s="25">
        <v>-2</v>
      </c>
      <c r="J3" s="25" t="s">
        <v>37</v>
      </c>
      <c r="K3" s="25" t="s">
        <v>190</v>
      </c>
      <c r="L3" s="25"/>
      <c r="M3" s="25"/>
      <c r="N3" s="27"/>
    </row>
    <row r="7" spans="1:17" x14ac:dyDescent="0.15">
      <c r="A7" s="16" t="s">
        <v>8</v>
      </c>
      <c r="B7" s="17" t="s">
        <v>9</v>
      </c>
      <c r="C7" s="17" t="s">
        <v>6</v>
      </c>
      <c r="D7" s="17" t="s">
        <v>30</v>
      </c>
      <c r="E7" s="18" t="s">
        <v>47</v>
      </c>
      <c r="F7" s="17" t="s">
        <v>49</v>
      </c>
      <c r="G7" s="17" t="s">
        <v>50</v>
      </c>
      <c r="H7" s="17" t="s">
        <v>12</v>
      </c>
      <c r="I7" s="17" t="s">
        <v>36</v>
      </c>
      <c r="J7" s="17" t="s">
        <v>41</v>
      </c>
      <c r="K7" s="17" t="s">
        <v>42</v>
      </c>
      <c r="L7" s="17" t="s">
        <v>45</v>
      </c>
      <c r="M7" s="17" t="s">
        <v>43</v>
      </c>
      <c r="N7" s="17" t="s">
        <v>44</v>
      </c>
      <c r="O7" s="17" t="s">
        <v>7</v>
      </c>
      <c r="P7" s="17" t="s">
        <v>46</v>
      </c>
      <c r="Q7" s="19" t="s">
        <v>48</v>
      </c>
    </row>
    <row r="8" spans="1:17" x14ac:dyDescent="0.15">
      <c r="A8" s="20" t="s">
        <v>17</v>
      </c>
      <c r="B8" s="21" t="s">
        <v>375</v>
      </c>
      <c r="C8" s="21" t="s">
        <v>131</v>
      </c>
      <c r="D8" s="21" t="s">
        <v>132</v>
      </c>
      <c r="E8" s="22">
        <v>42831</v>
      </c>
      <c r="F8" s="21" t="s">
        <v>160</v>
      </c>
      <c r="G8" s="21" t="s">
        <v>161</v>
      </c>
      <c r="H8" s="21">
        <v>500</v>
      </c>
      <c r="I8" s="21" t="s">
        <v>37</v>
      </c>
      <c r="J8" s="21">
        <v>0.17499999999999999</v>
      </c>
      <c r="K8" s="21">
        <v>87.5</v>
      </c>
      <c r="L8" s="21" t="s">
        <v>376</v>
      </c>
      <c r="M8" s="21">
        <v>87.5</v>
      </c>
      <c r="N8" s="21" t="s">
        <v>377</v>
      </c>
      <c r="O8" s="21" t="s">
        <v>378</v>
      </c>
      <c r="P8" s="21" t="s">
        <v>379</v>
      </c>
      <c r="Q8" s="23">
        <v>5637665714</v>
      </c>
    </row>
    <row r="12" spans="1:17" x14ac:dyDescent="0.15">
      <c r="A12" t="s">
        <v>6</v>
      </c>
      <c r="B12" t="s">
        <v>30</v>
      </c>
      <c r="C12" t="s">
        <v>49</v>
      </c>
      <c r="D12" t="s">
        <v>50</v>
      </c>
      <c r="E12" t="s">
        <v>384</v>
      </c>
      <c r="F12" t="s">
        <v>8</v>
      </c>
      <c r="G12" t="s">
        <v>12</v>
      </c>
      <c r="H12" t="s">
        <v>36</v>
      </c>
      <c r="I12" t="s">
        <v>385</v>
      </c>
      <c r="J12" t="s">
        <v>386</v>
      </c>
    </row>
    <row r="13" spans="1:17" x14ac:dyDescent="0.15">
      <c r="A13" s="25" t="s">
        <v>131</v>
      </c>
      <c r="B13" s="25" t="s">
        <v>132</v>
      </c>
      <c r="C13">
        <v>163</v>
      </c>
      <c r="D13" s="25" t="s">
        <v>161</v>
      </c>
      <c r="E13" s="28" t="s">
        <v>21</v>
      </c>
      <c r="F13" s="25" t="s">
        <v>187</v>
      </c>
      <c r="G13">
        <v>-2</v>
      </c>
      <c r="H13" s="28" t="s">
        <v>37</v>
      </c>
      <c r="I13">
        <v>0</v>
      </c>
      <c r="J13">
        <v>0</v>
      </c>
    </row>
    <row r="16" spans="1:17" x14ac:dyDescent="0.15">
      <c r="A16" t="s">
        <v>6</v>
      </c>
      <c r="B16" t="s">
        <v>30</v>
      </c>
      <c r="C16" t="s">
        <v>49</v>
      </c>
      <c r="D16" t="s">
        <v>50</v>
      </c>
      <c r="E16" t="s">
        <v>392</v>
      </c>
      <c r="F16" t="s">
        <v>384</v>
      </c>
      <c r="G16" t="s">
        <v>8</v>
      </c>
      <c r="H16" t="s">
        <v>12</v>
      </c>
      <c r="I16" t="s">
        <v>36</v>
      </c>
      <c r="J16" t="s">
        <v>385</v>
      </c>
      <c r="K16" t="s">
        <v>386</v>
      </c>
      <c r="L16" t="s">
        <v>389</v>
      </c>
    </row>
    <row r="17" spans="1:12" x14ac:dyDescent="0.15">
      <c r="A17" s="25" t="s">
        <v>131</v>
      </c>
      <c r="B17" s="25" t="s">
        <v>132</v>
      </c>
      <c r="C17">
        <v>163</v>
      </c>
      <c r="D17" s="25" t="s">
        <v>161</v>
      </c>
      <c r="E17" s="29">
        <v>42831</v>
      </c>
      <c r="F17" s="28" t="s">
        <v>387</v>
      </c>
      <c r="G17" t="s">
        <v>375</v>
      </c>
      <c r="H17">
        <v>500</v>
      </c>
      <c r="I17" t="s">
        <v>388</v>
      </c>
      <c r="J17">
        <f>K17/H17</f>
        <v>0.17499999999999999</v>
      </c>
      <c r="K17">
        <v>87.5</v>
      </c>
      <c r="L17" t="s">
        <v>390</v>
      </c>
    </row>
    <row r="18" spans="1:12" x14ac:dyDescent="0.15">
      <c r="A18" s="25" t="s">
        <v>131</v>
      </c>
      <c r="B18" s="25" t="s">
        <v>132</v>
      </c>
      <c r="C18">
        <v>163</v>
      </c>
      <c r="D18" s="25" t="s">
        <v>161</v>
      </c>
      <c r="E18" s="29">
        <v>42831</v>
      </c>
      <c r="F18" s="28" t="s">
        <v>387</v>
      </c>
      <c r="G18" t="s">
        <v>375</v>
      </c>
      <c r="H18">
        <v>500</v>
      </c>
      <c r="I18" t="s">
        <v>388</v>
      </c>
      <c r="J18">
        <f>K18/H18</f>
        <v>0.17499999999999999</v>
      </c>
      <c r="K18">
        <v>87.5</v>
      </c>
      <c r="L18" t="s">
        <v>391</v>
      </c>
    </row>
    <row r="19" spans="1:12" x14ac:dyDescent="0.15">
      <c r="A19" s="25" t="s">
        <v>131</v>
      </c>
      <c r="B19" s="25" t="s">
        <v>132</v>
      </c>
      <c r="C19">
        <v>163</v>
      </c>
      <c r="D19" s="25" t="s">
        <v>161</v>
      </c>
      <c r="E19" s="29">
        <v>42914</v>
      </c>
      <c r="F19" s="28" t="s">
        <v>21</v>
      </c>
      <c r="G19" s="25" t="s">
        <v>187</v>
      </c>
      <c r="H19">
        <v>-2</v>
      </c>
      <c r="I19" s="28" t="s">
        <v>388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1"/>
  <sheetViews>
    <sheetView workbookViewId="0">
      <selection activeCell="F21" sqref="F21"/>
    </sheetView>
  </sheetViews>
  <sheetFormatPr defaultRowHeight="13.5" x14ac:dyDescent="0.15"/>
  <cols>
    <col min="1" max="1" width="14.375" customWidth="1"/>
    <col min="2" max="2" width="11.625" customWidth="1"/>
    <col min="3" max="3" width="14.375" customWidth="1"/>
    <col min="4" max="4" width="34.875" customWidth="1"/>
    <col min="5" max="5" width="6.75" customWidth="1"/>
    <col min="6" max="6" width="13.625" customWidth="1"/>
    <col min="7" max="7" width="14.875" customWidth="1"/>
    <col min="8" max="8" width="15.75" customWidth="1"/>
    <col min="9" max="9" width="11" customWidth="1"/>
    <col min="10" max="10" width="7.125" customWidth="1"/>
    <col min="11" max="11" width="10.125" customWidth="1"/>
    <col min="12" max="12" width="21.125" customWidth="1"/>
    <col min="13" max="13" width="11.125" customWidth="1"/>
    <col min="14" max="14" width="28.75" customWidth="1"/>
    <col min="15" max="15" width="13.625" bestFit="1" customWidth="1"/>
  </cols>
  <sheetData>
    <row r="1" spans="1:14" ht="22.5" x14ac:dyDescent="0.25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15">
      <c r="A2" s="3" t="s">
        <v>8</v>
      </c>
      <c r="B2" s="3" t="s">
        <v>9</v>
      </c>
      <c r="C2" s="3" t="s">
        <v>6</v>
      </c>
      <c r="D2" s="3" t="s">
        <v>30</v>
      </c>
      <c r="E2" s="3" t="s">
        <v>49</v>
      </c>
      <c r="F2" s="3" t="s">
        <v>50</v>
      </c>
      <c r="G2" s="5" t="s">
        <v>10</v>
      </c>
      <c r="H2" s="5" t="s">
        <v>11</v>
      </c>
      <c r="I2" s="3" t="s">
        <v>12</v>
      </c>
      <c r="J2" s="3" t="s">
        <v>36</v>
      </c>
      <c r="K2" s="3" t="s">
        <v>7</v>
      </c>
      <c r="L2" s="3" t="s">
        <v>152</v>
      </c>
      <c r="M2" s="3" t="s">
        <v>45</v>
      </c>
      <c r="N2" s="3" t="s">
        <v>92</v>
      </c>
    </row>
    <row r="3" spans="1:14" ht="27" x14ac:dyDescent="0.15">
      <c r="A3" s="8" t="s">
        <v>17</v>
      </c>
      <c r="B3" s="8" t="s">
        <v>216</v>
      </c>
      <c r="C3" s="8" t="s">
        <v>181</v>
      </c>
      <c r="D3" s="11" t="s">
        <v>182</v>
      </c>
      <c r="E3" s="8" t="s">
        <v>160</v>
      </c>
      <c r="F3" s="8" t="s">
        <v>161</v>
      </c>
      <c r="G3" s="6">
        <v>42832</v>
      </c>
      <c r="H3" s="6">
        <v>42843</v>
      </c>
      <c r="I3" s="4">
        <v>40</v>
      </c>
      <c r="J3" s="8" t="s">
        <v>120</v>
      </c>
      <c r="K3" s="8" t="s">
        <v>217</v>
      </c>
      <c r="L3" s="4">
        <v>5637291683</v>
      </c>
      <c r="M3" s="4"/>
      <c r="N3" s="4">
        <v>0</v>
      </c>
    </row>
    <row r="4" spans="1:14" ht="27" x14ac:dyDescent="0.15">
      <c r="A4" s="8" t="s">
        <v>17</v>
      </c>
      <c r="B4" s="8" t="s">
        <v>220</v>
      </c>
      <c r="C4" s="8" t="s">
        <v>181</v>
      </c>
      <c r="D4" s="11" t="s">
        <v>182</v>
      </c>
      <c r="E4" s="8" t="s">
        <v>160</v>
      </c>
      <c r="F4" s="8" t="s">
        <v>161</v>
      </c>
      <c r="G4" s="6">
        <v>42851</v>
      </c>
      <c r="H4" s="6">
        <v>42857</v>
      </c>
      <c r="I4" s="4">
        <v>40</v>
      </c>
      <c r="J4" s="8" t="s">
        <v>120</v>
      </c>
      <c r="K4" s="8" t="s">
        <v>221</v>
      </c>
      <c r="L4" s="4">
        <v>5637291853</v>
      </c>
      <c r="M4" s="4"/>
      <c r="N4" s="4">
        <v>0</v>
      </c>
    </row>
    <row r="5" spans="1:14" x14ac:dyDescent="0.15">
      <c r="A5" s="8" t="s">
        <v>17</v>
      </c>
      <c r="B5" s="8" t="s">
        <v>375</v>
      </c>
      <c r="C5" s="8" t="s">
        <v>131</v>
      </c>
      <c r="D5" s="8" t="s">
        <v>132</v>
      </c>
      <c r="E5" s="8" t="s">
        <v>160</v>
      </c>
      <c r="F5" s="8" t="s">
        <v>161</v>
      </c>
      <c r="G5" s="6">
        <v>42830</v>
      </c>
      <c r="H5" s="6">
        <v>42831</v>
      </c>
      <c r="I5" s="4">
        <v>500</v>
      </c>
      <c r="J5" s="8" t="s">
        <v>37</v>
      </c>
      <c r="K5" s="8" t="s">
        <v>378</v>
      </c>
      <c r="L5" s="4">
        <v>5637295067</v>
      </c>
      <c r="M5" s="4" t="s">
        <v>376</v>
      </c>
      <c r="N5" s="4">
        <v>87.5</v>
      </c>
    </row>
    <row r="6" spans="1:14" ht="27" x14ac:dyDescent="0.15">
      <c r="A6" s="8" t="s">
        <v>17</v>
      </c>
      <c r="B6" s="8" t="s">
        <v>380</v>
      </c>
      <c r="C6" s="8" t="s">
        <v>181</v>
      </c>
      <c r="D6" s="11" t="s">
        <v>182</v>
      </c>
      <c r="E6" s="8" t="s">
        <v>160</v>
      </c>
      <c r="F6" s="8" t="s">
        <v>161</v>
      </c>
      <c r="G6" s="6">
        <v>42830</v>
      </c>
      <c r="H6" s="6">
        <v>42832</v>
      </c>
      <c r="I6" s="4">
        <v>600</v>
      </c>
      <c r="J6" s="8" t="s">
        <v>120</v>
      </c>
      <c r="K6" s="8" t="s">
        <v>381</v>
      </c>
      <c r="L6" s="4">
        <v>5637295068</v>
      </c>
      <c r="M6" s="4"/>
      <c r="N6" s="4">
        <v>0</v>
      </c>
    </row>
    <row r="7" spans="1:14" ht="27" x14ac:dyDescent="0.15">
      <c r="A7" s="8" t="s">
        <v>177</v>
      </c>
      <c r="B7" s="8" t="s">
        <v>222</v>
      </c>
      <c r="C7" s="8" t="s">
        <v>181</v>
      </c>
      <c r="D7" s="11" t="s">
        <v>182</v>
      </c>
      <c r="E7" s="8" t="s">
        <v>160</v>
      </c>
      <c r="F7" s="8" t="s">
        <v>161</v>
      </c>
      <c r="G7" s="6">
        <v>42831</v>
      </c>
      <c r="H7" s="6">
        <v>42831</v>
      </c>
      <c r="I7" s="4">
        <v>-17.78</v>
      </c>
      <c r="J7" s="8" t="s">
        <v>120</v>
      </c>
      <c r="K7" s="8" t="s">
        <v>223</v>
      </c>
      <c r="L7" s="4"/>
      <c r="M7" s="4"/>
      <c r="N7" s="4"/>
    </row>
    <row r="8" spans="1:14" ht="27" x14ac:dyDescent="0.15">
      <c r="A8" s="8" t="s">
        <v>177</v>
      </c>
      <c r="B8" s="8" t="s">
        <v>224</v>
      </c>
      <c r="C8" s="8" t="s">
        <v>181</v>
      </c>
      <c r="D8" s="11" t="s">
        <v>182</v>
      </c>
      <c r="E8" s="8" t="s">
        <v>160</v>
      </c>
      <c r="F8" s="8" t="s">
        <v>161</v>
      </c>
      <c r="G8" s="6">
        <v>42831</v>
      </c>
      <c r="H8" s="6">
        <v>42831</v>
      </c>
      <c r="I8" s="4">
        <v>-13.33</v>
      </c>
      <c r="J8" s="8" t="s">
        <v>120</v>
      </c>
      <c r="K8" s="8" t="s">
        <v>225</v>
      </c>
      <c r="L8" s="4"/>
      <c r="M8" s="4"/>
      <c r="N8" s="4"/>
    </row>
    <row r="9" spans="1:14" ht="27" x14ac:dyDescent="0.15">
      <c r="A9" s="8" t="s">
        <v>177</v>
      </c>
      <c r="B9" s="8" t="s">
        <v>226</v>
      </c>
      <c r="C9" s="8" t="s">
        <v>181</v>
      </c>
      <c r="D9" s="11" t="s">
        <v>182</v>
      </c>
      <c r="E9" s="8" t="s">
        <v>160</v>
      </c>
      <c r="F9" s="8" t="s">
        <v>161</v>
      </c>
      <c r="G9" s="6">
        <v>42836</v>
      </c>
      <c r="H9" s="6">
        <v>42836</v>
      </c>
      <c r="I9" s="4">
        <v>-17.78</v>
      </c>
      <c r="J9" s="8" t="s">
        <v>120</v>
      </c>
      <c r="K9" s="8" t="s">
        <v>227</v>
      </c>
      <c r="L9" s="4"/>
      <c r="M9" s="4"/>
      <c r="N9" s="4"/>
    </row>
    <row r="10" spans="1:14" ht="27" x14ac:dyDescent="0.15">
      <c r="A10" s="8" t="s">
        <v>177</v>
      </c>
      <c r="B10" s="8" t="s">
        <v>228</v>
      </c>
      <c r="C10" s="8" t="s">
        <v>181</v>
      </c>
      <c r="D10" s="11" t="s">
        <v>182</v>
      </c>
      <c r="E10" s="8" t="s">
        <v>160</v>
      </c>
      <c r="F10" s="8" t="s">
        <v>161</v>
      </c>
      <c r="G10" s="6">
        <v>42844</v>
      </c>
      <c r="H10" s="6">
        <v>42844</v>
      </c>
      <c r="I10" s="4">
        <v>-8.89</v>
      </c>
      <c r="J10" s="8" t="s">
        <v>120</v>
      </c>
      <c r="K10" s="8" t="s">
        <v>229</v>
      </c>
      <c r="L10" s="4"/>
      <c r="M10" s="4"/>
      <c r="N10" s="4"/>
    </row>
    <row r="11" spans="1:14" ht="27" x14ac:dyDescent="0.15">
      <c r="A11" s="8" t="s">
        <v>177</v>
      </c>
      <c r="B11" s="8" t="s">
        <v>230</v>
      </c>
      <c r="C11" s="8" t="s">
        <v>181</v>
      </c>
      <c r="D11" s="11" t="s">
        <v>182</v>
      </c>
      <c r="E11" s="8" t="s">
        <v>160</v>
      </c>
      <c r="F11" s="8" t="s">
        <v>161</v>
      </c>
      <c r="G11" s="6">
        <v>42860</v>
      </c>
      <c r="H11" s="6">
        <v>42860</v>
      </c>
      <c r="I11" s="4">
        <v>-17.78</v>
      </c>
      <c r="J11" s="8" t="s">
        <v>120</v>
      </c>
      <c r="K11" s="8" t="s">
        <v>231</v>
      </c>
      <c r="L11" s="4"/>
      <c r="M11" s="4"/>
      <c r="N11" s="4"/>
    </row>
    <row r="12" spans="1:14" ht="27" x14ac:dyDescent="0.15">
      <c r="A12" s="8" t="s">
        <v>177</v>
      </c>
      <c r="B12" s="8" t="s">
        <v>232</v>
      </c>
      <c r="C12" s="8" t="s">
        <v>181</v>
      </c>
      <c r="D12" s="11" t="s">
        <v>182</v>
      </c>
      <c r="E12" s="8" t="s">
        <v>160</v>
      </c>
      <c r="F12" s="8" t="s">
        <v>161</v>
      </c>
      <c r="G12" s="6">
        <v>42867</v>
      </c>
      <c r="H12" s="6">
        <v>42867</v>
      </c>
      <c r="I12" s="4">
        <v>-8.89</v>
      </c>
      <c r="J12" s="8" t="s">
        <v>120</v>
      </c>
      <c r="K12" s="8" t="s">
        <v>233</v>
      </c>
      <c r="L12" s="4"/>
      <c r="M12" s="4"/>
      <c r="N12" s="4"/>
    </row>
    <row r="13" spans="1:14" ht="27" x14ac:dyDescent="0.15">
      <c r="A13" s="8" t="s">
        <v>177</v>
      </c>
      <c r="B13" s="8" t="s">
        <v>234</v>
      </c>
      <c r="C13" s="8" t="s">
        <v>181</v>
      </c>
      <c r="D13" s="11" t="s">
        <v>182</v>
      </c>
      <c r="E13" s="8" t="s">
        <v>160</v>
      </c>
      <c r="F13" s="8" t="s">
        <v>161</v>
      </c>
      <c r="G13" s="6">
        <v>42871</v>
      </c>
      <c r="H13" s="6">
        <v>42871</v>
      </c>
      <c r="I13" s="4">
        <v>-8.89</v>
      </c>
      <c r="J13" s="8" t="s">
        <v>120</v>
      </c>
      <c r="K13" s="8" t="s">
        <v>235</v>
      </c>
      <c r="L13" s="4"/>
      <c r="M13" s="4"/>
      <c r="N13" s="4"/>
    </row>
    <row r="14" spans="1:14" ht="27" x14ac:dyDescent="0.15">
      <c r="A14" s="8" t="s">
        <v>177</v>
      </c>
      <c r="B14" s="8" t="s">
        <v>236</v>
      </c>
      <c r="C14" s="8" t="s">
        <v>181</v>
      </c>
      <c r="D14" s="11" t="s">
        <v>182</v>
      </c>
      <c r="E14" s="8" t="s">
        <v>160</v>
      </c>
      <c r="F14" s="8" t="s">
        <v>161</v>
      </c>
      <c r="G14" s="6">
        <v>42873</v>
      </c>
      <c r="H14" s="6">
        <v>42873</v>
      </c>
      <c r="I14" s="4">
        <v>-8.89</v>
      </c>
      <c r="J14" s="8" t="s">
        <v>120</v>
      </c>
      <c r="K14" s="8" t="s">
        <v>237</v>
      </c>
      <c r="L14" s="4"/>
      <c r="M14" s="4"/>
      <c r="N14" s="4"/>
    </row>
    <row r="15" spans="1:14" ht="27" x14ac:dyDescent="0.15">
      <c r="A15" s="8" t="s">
        <v>177</v>
      </c>
      <c r="B15" s="8" t="s">
        <v>178</v>
      </c>
      <c r="C15" s="8" t="s">
        <v>181</v>
      </c>
      <c r="D15" s="11" t="s">
        <v>182</v>
      </c>
      <c r="E15" s="8" t="s">
        <v>160</v>
      </c>
      <c r="F15" s="8" t="s">
        <v>161</v>
      </c>
      <c r="G15" s="6">
        <v>42895</v>
      </c>
      <c r="H15" s="6">
        <v>42895</v>
      </c>
      <c r="I15" s="4">
        <v>-4.4399999999999995</v>
      </c>
      <c r="J15" s="8" t="s">
        <v>120</v>
      </c>
      <c r="K15" s="8" t="s">
        <v>183</v>
      </c>
      <c r="L15" s="4"/>
      <c r="M15" s="4"/>
      <c r="N15" s="4"/>
    </row>
    <row r="16" spans="1:14" ht="27" x14ac:dyDescent="0.15">
      <c r="A16" s="8" t="s">
        <v>177</v>
      </c>
      <c r="B16" s="8" t="s">
        <v>184</v>
      </c>
      <c r="C16" s="8" t="s">
        <v>181</v>
      </c>
      <c r="D16" s="11" t="s">
        <v>182</v>
      </c>
      <c r="E16" s="8" t="s">
        <v>160</v>
      </c>
      <c r="F16" s="8" t="s">
        <v>161</v>
      </c>
      <c r="G16" s="6">
        <v>42913</v>
      </c>
      <c r="H16" s="6">
        <v>42913</v>
      </c>
      <c r="I16" s="4">
        <v>-4.4399999999999995</v>
      </c>
      <c r="J16" s="8" t="s">
        <v>120</v>
      </c>
      <c r="K16" s="8" t="s">
        <v>185</v>
      </c>
      <c r="L16" s="4"/>
      <c r="M16" s="4"/>
      <c r="N16" s="4"/>
    </row>
    <row r="17" spans="1:14" x14ac:dyDescent="0.15">
      <c r="A17" s="8" t="s">
        <v>21</v>
      </c>
      <c r="B17" s="8" t="s">
        <v>187</v>
      </c>
      <c r="C17" s="8" t="s">
        <v>131</v>
      </c>
      <c r="D17" s="8" t="s">
        <v>132</v>
      </c>
      <c r="E17" s="8" t="s">
        <v>160</v>
      </c>
      <c r="F17" s="8" t="s">
        <v>161</v>
      </c>
      <c r="G17" s="6">
        <v>42914</v>
      </c>
      <c r="H17" s="6">
        <v>42914</v>
      </c>
      <c r="I17" s="4">
        <v>-2</v>
      </c>
      <c r="J17" s="8" t="s">
        <v>37</v>
      </c>
      <c r="K17" s="8" t="s">
        <v>190</v>
      </c>
      <c r="L17" s="4"/>
      <c r="M17" s="4"/>
      <c r="N17" s="4"/>
    </row>
    <row r="18" spans="1:14" x14ac:dyDescent="0.15">
      <c r="A18" s="3" t="s">
        <v>13</v>
      </c>
      <c r="B18" s="7"/>
      <c r="C18" s="7" t="s">
        <v>13</v>
      </c>
      <c r="D18" s="14"/>
      <c r="E18" s="7"/>
      <c r="F18" s="7"/>
      <c r="G18" s="5"/>
      <c r="H18" s="5"/>
      <c r="I18" s="3">
        <f>SUBTOTAL(109,AtlasReport_1_Table_1[Quantity])</f>
        <v>1066.8899999999996</v>
      </c>
      <c r="J18" s="7"/>
      <c r="K18" s="7"/>
      <c r="L18" s="3"/>
      <c r="M18" s="3"/>
      <c r="N18" s="3"/>
    </row>
    <row r="19" spans="1:14" x14ac:dyDescent="0.15">
      <c r="A19" s="3"/>
      <c r="B19" s="3"/>
      <c r="C19" s="3"/>
      <c r="D19" s="3"/>
      <c r="E19" s="3"/>
      <c r="F19" s="3"/>
      <c r="G19" s="5"/>
      <c r="H19" s="5"/>
      <c r="I19" s="3"/>
      <c r="J19" s="3"/>
      <c r="K19" s="3"/>
      <c r="L19" s="3"/>
      <c r="M19" s="3"/>
      <c r="N19" s="3"/>
    </row>
    <row r="20" spans="1:14" x14ac:dyDescent="0.15">
      <c r="A20" s="3"/>
      <c r="B20" s="3"/>
      <c r="C20" s="3"/>
      <c r="D20" s="3"/>
      <c r="E20" s="3"/>
      <c r="F20" s="3"/>
      <c r="G20" s="5"/>
      <c r="H20" s="5"/>
      <c r="I20" s="3"/>
      <c r="J20" s="3"/>
      <c r="K20" s="3"/>
      <c r="L20" s="3"/>
      <c r="M20" s="3"/>
      <c r="N20" s="3"/>
    </row>
    <row r="21" spans="1:14" x14ac:dyDescent="0.1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  <c r="M21">
        <v>13</v>
      </c>
      <c r="N21">
        <v>14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6"/>
  <sheetViews>
    <sheetView tabSelected="1" workbookViewId="0">
      <selection activeCell="E4" sqref="E4"/>
    </sheetView>
  </sheetViews>
  <sheetFormatPr defaultRowHeight="13.5" x14ac:dyDescent="0.15"/>
  <cols>
    <col min="1" max="1" width="14.375" customWidth="1"/>
    <col min="2" max="2" width="11.625" customWidth="1"/>
    <col min="3" max="3" width="14.875" customWidth="1"/>
    <col min="4" max="4" width="26.125" customWidth="1"/>
    <col min="5" max="5" width="9.75" customWidth="1"/>
    <col min="6" max="6" width="6.75" customWidth="1"/>
    <col min="7" max="7" width="5.875" customWidth="1"/>
    <col min="8" max="8" width="11" customWidth="1"/>
    <col min="9" max="9" width="7.125" customWidth="1"/>
    <col min="10" max="10" width="10" customWidth="1"/>
    <col min="11" max="12" width="11.125" customWidth="1"/>
    <col min="13" max="13" width="9.75" customWidth="1"/>
    <col min="14" max="14" width="18.875" customWidth="1"/>
    <col min="15" max="15" width="10.125" customWidth="1"/>
    <col min="16" max="16" width="8.75" customWidth="1"/>
    <col min="17" max="17" width="13.375" customWidth="1"/>
  </cols>
  <sheetData>
    <row r="1" spans="1:17" ht="22.5" x14ac:dyDescent="0.25">
      <c r="A1" s="2" t="s">
        <v>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15">
      <c r="A2" s="3" t="s">
        <v>8</v>
      </c>
      <c r="B2" s="3" t="s">
        <v>9</v>
      </c>
      <c r="C2" s="3" t="s">
        <v>6</v>
      </c>
      <c r="D2" s="3" t="s">
        <v>30</v>
      </c>
      <c r="E2" s="5" t="s">
        <v>47</v>
      </c>
      <c r="F2" s="3" t="s">
        <v>49</v>
      </c>
      <c r="G2" s="3" t="s">
        <v>50</v>
      </c>
      <c r="H2" s="3" t="s">
        <v>12</v>
      </c>
      <c r="I2" s="3" t="s">
        <v>36</v>
      </c>
      <c r="J2" s="3" t="s">
        <v>41</v>
      </c>
      <c r="K2" s="3" t="s">
        <v>42</v>
      </c>
      <c r="L2" s="3" t="s">
        <v>45</v>
      </c>
      <c r="M2" s="3" t="s">
        <v>43</v>
      </c>
      <c r="N2" s="3" t="s">
        <v>44</v>
      </c>
      <c r="O2" s="3" t="s">
        <v>7</v>
      </c>
      <c r="P2" s="3" t="s">
        <v>46</v>
      </c>
      <c r="Q2" s="3" t="s">
        <v>48</v>
      </c>
    </row>
    <row r="3" spans="1:17" x14ac:dyDescent="0.15">
      <c r="A3" s="8" t="s">
        <v>17</v>
      </c>
      <c r="B3" s="8" t="s">
        <v>375</v>
      </c>
      <c r="C3" s="8" t="s">
        <v>131</v>
      </c>
      <c r="D3" s="8" t="s">
        <v>132</v>
      </c>
      <c r="E3" s="6">
        <v>42831</v>
      </c>
      <c r="F3" s="8" t="s">
        <v>160</v>
      </c>
      <c r="G3" s="8" t="s">
        <v>161</v>
      </c>
      <c r="H3" s="4">
        <v>500</v>
      </c>
      <c r="I3" s="8" t="s">
        <v>37</v>
      </c>
      <c r="J3" s="4">
        <v>0.17499999999999999</v>
      </c>
      <c r="K3" s="4">
        <v>87.5</v>
      </c>
      <c r="L3" s="8" t="s">
        <v>376</v>
      </c>
      <c r="M3" s="4">
        <v>87.5</v>
      </c>
      <c r="N3" s="8" t="s">
        <v>377</v>
      </c>
      <c r="O3" s="8" t="s">
        <v>378</v>
      </c>
      <c r="P3" s="8" t="s">
        <v>379</v>
      </c>
      <c r="Q3" s="4">
        <v>5637665714</v>
      </c>
    </row>
    <row r="4" spans="1:17" x14ac:dyDescent="0.15">
      <c r="A4" s="3" t="s">
        <v>13</v>
      </c>
      <c r="B4" s="7"/>
      <c r="C4" s="7"/>
      <c r="D4" s="7"/>
      <c r="E4" s="5"/>
      <c r="F4" s="7"/>
      <c r="G4" s="7"/>
      <c r="H4" s="3">
        <f>SUBTOTAL(109,AtlasReport_2_Table_1[Quantity])</f>
        <v>500</v>
      </c>
      <c r="I4" s="7"/>
      <c r="J4" s="3">
        <f>SUBTOTAL(109,AtlasReport_2_Table_1[TPP cost price])</f>
        <v>0.17499999999999999</v>
      </c>
      <c r="K4" s="3">
        <f>SUBTOTAL(109,AtlasReport_2_Table_1[TPP cost amount])</f>
        <v>87.5</v>
      </c>
      <c r="L4" s="7"/>
      <c r="M4" s="3">
        <f>SUBTOTAL(109,AtlasReport_2_Table_1[TPP cost amount currency])</f>
        <v>87.5</v>
      </c>
      <c r="N4" s="7"/>
      <c r="O4" s="7"/>
      <c r="P4" s="7"/>
      <c r="Q4" s="3">
        <f>SUBTOTAL(109,AtlasReport_2_Table_1[InventTransRecId])</f>
        <v>5637665714</v>
      </c>
    </row>
    <row r="5" spans="1:17" x14ac:dyDescent="0.15">
      <c r="A5" s="3"/>
      <c r="B5" s="3"/>
      <c r="C5" s="3"/>
      <c r="D5" s="3"/>
      <c r="E5" s="5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x14ac:dyDescent="0.15">
      <c r="A6" s="3"/>
      <c r="B6" s="3"/>
      <c r="C6" s="3"/>
      <c r="D6" s="3"/>
      <c r="E6" s="5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1"/>
  <sheetViews>
    <sheetView workbookViewId="0">
      <selection activeCell="A7" sqref="A7"/>
    </sheetView>
  </sheetViews>
  <sheetFormatPr defaultRowHeight="13.5" x14ac:dyDescent="0.15"/>
  <cols>
    <col min="1" max="1" width="32" customWidth="1"/>
    <col min="2" max="2" width="6.75" customWidth="1"/>
    <col min="3" max="3" width="13.625" customWidth="1"/>
    <col min="4" max="4" width="17.375" customWidth="1"/>
    <col min="5" max="5" width="20.625" customWidth="1"/>
    <col min="6" max="6" width="17.625" customWidth="1"/>
    <col min="7" max="7" width="20.625" customWidth="1"/>
    <col min="8" max="8" width="17.625" customWidth="1"/>
    <col min="9" max="9" width="10.75" bestFit="1" customWidth="1"/>
  </cols>
  <sheetData>
    <row r="1" spans="1:8" ht="22.5" x14ac:dyDescent="0.25">
      <c r="A1" s="2" t="s">
        <v>51</v>
      </c>
      <c r="B1" s="2"/>
      <c r="C1" s="2"/>
      <c r="D1" s="2"/>
      <c r="E1" s="2"/>
      <c r="F1" s="2"/>
      <c r="G1" s="2"/>
      <c r="H1" s="2"/>
    </row>
    <row r="2" spans="1:8" x14ac:dyDescent="0.15">
      <c r="A2" s="3" t="s">
        <v>6</v>
      </c>
      <c r="B2" s="3" t="s">
        <v>49</v>
      </c>
      <c r="C2" s="3" t="s">
        <v>50</v>
      </c>
      <c r="D2" s="9" t="s">
        <v>82</v>
      </c>
      <c r="E2" s="9" t="s">
        <v>87</v>
      </c>
      <c r="F2" s="9" t="s">
        <v>88</v>
      </c>
      <c r="G2" s="9" t="s">
        <v>83</v>
      </c>
      <c r="H2" s="9" t="s">
        <v>84</v>
      </c>
    </row>
    <row r="3" spans="1:8" x14ac:dyDescent="0.15">
      <c r="A3" s="8" t="s">
        <v>131</v>
      </c>
      <c r="B3" s="8" t="s">
        <v>160</v>
      </c>
      <c r="C3" s="8" t="s">
        <v>81</v>
      </c>
      <c r="D3" s="10">
        <v>0</v>
      </c>
      <c r="E3" s="10">
        <v>0</v>
      </c>
      <c r="F3" s="10"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 x14ac:dyDescent="0.15">
      <c r="A4" s="8" t="s">
        <v>131</v>
      </c>
      <c r="B4" s="8" t="s">
        <v>160</v>
      </c>
      <c r="C4" s="8" t="s">
        <v>161</v>
      </c>
      <c r="D4" s="10">
        <v>514</v>
      </c>
      <c r="E4" s="10">
        <v>496</v>
      </c>
      <c r="F4" s="10">
        <v>-2</v>
      </c>
      <c r="G4" s="10">
        <f>AtlasReport_3_Table_1[[#This Row],[Current On-hand]]-AtlasReport_3_Table_1[[#This Row],[Trans backwords (Beginning)]]</f>
        <v>18</v>
      </c>
      <c r="H4" s="10">
        <f>AtlasReport_3_Table_1[[#This Row],[Current On-hand]]-AtlasReport_3_Table_1[[#This Row],[Trans backwords (Ending)]]</f>
        <v>516</v>
      </c>
    </row>
    <row r="5" spans="1:8" x14ac:dyDescent="0.15">
      <c r="A5" s="8" t="s">
        <v>79</v>
      </c>
      <c r="B5" s="8" t="s">
        <v>160</v>
      </c>
      <c r="C5" s="8" t="s">
        <v>81</v>
      </c>
      <c r="D5" s="10">
        <v>0</v>
      </c>
      <c r="E5" s="10">
        <v>0</v>
      </c>
      <c r="F5" s="10">
        <v>0</v>
      </c>
      <c r="G5" s="10">
        <f>AtlasReport_3_Table_1[[#This Row],[Current On-hand]]-AtlasReport_3_Table_1[[#This Row],[Trans backwords (Beginning)]]</f>
        <v>0</v>
      </c>
      <c r="H5" s="10">
        <f>AtlasReport_3_Table_1[[#This Row],[Current On-hand]]-AtlasReport_3_Table_1[[#This Row],[Trans backwords (Ending)]]</f>
        <v>0</v>
      </c>
    </row>
    <row r="6" spans="1:8" x14ac:dyDescent="0.15">
      <c r="A6" s="8" t="s">
        <v>79</v>
      </c>
      <c r="B6" s="8" t="s">
        <v>160</v>
      </c>
      <c r="C6" s="8" t="s">
        <v>161</v>
      </c>
      <c r="D6" s="10">
        <v>0</v>
      </c>
      <c r="E6" s="10">
        <v>0</v>
      </c>
      <c r="F6" s="10">
        <v>0</v>
      </c>
      <c r="G6" s="10">
        <f>AtlasReport_3_Table_1[[#This Row],[Current On-hand]]-AtlasReport_3_Table_1[[#This Row],[Trans backwords (Beginning)]]</f>
        <v>0</v>
      </c>
      <c r="H6" s="10">
        <f>AtlasReport_3_Table_1[[#This Row],[Current On-hand]]-AtlasReport_3_Table_1[[#This Row],[Trans backwords (Ending)]]</f>
        <v>0</v>
      </c>
    </row>
    <row r="7" spans="1:8" x14ac:dyDescent="0.15">
      <c r="A7" s="8" t="s">
        <v>181</v>
      </c>
      <c r="B7" s="8" t="s">
        <v>160</v>
      </c>
      <c r="C7" s="8" t="s">
        <v>81</v>
      </c>
      <c r="D7" s="10">
        <v>0</v>
      </c>
      <c r="E7" s="10">
        <v>0</v>
      </c>
      <c r="F7" s="10"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15">
      <c r="A8" s="8" t="s">
        <v>181</v>
      </c>
      <c r="B8" s="8" t="s">
        <v>160</v>
      </c>
      <c r="C8" s="8" t="s">
        <v>161</v>
      </c>
      <c r="D8" s="10">
        <v>626.99</v>
      </c>
      <c r="E8" s="10">
        <v>578.66999999999996</v>
      </c>
      <c r="F8" s="10">
        <v>9.7799999999999994</v>
      </c>
      <c r="G8" s="10">
        <f>AtlasReport_3_Table_1[[#This Row],[Current On-hand]]-AtlasReport_3_Table_1[[#This Row],[Trans backwords (Beginning)]]</f>
        <v>48.32000000000005</v>
      </c>
      <c r="H8" s="10">
        <f>AtlasReport_3_Table_1[[#This Row],[Current On-hand]]-AtlasReport_3_Table_1[[#This Row],[Trans backwords (Ending)]]</f>
        <v>617.21</v>
      </c>
    </row>
    <row r="9" spans="1:8" x14ac:dyDescent="0.15">
      <c r="A9" s="3" t="s">
        <v>13</v>
      </c>
      <c r="B9" s="7"/>
      <c r="C9" s="7"/>
      <c r="D9" s="9">
        <f>SUBTOTAL(109,AtlasReport_3_Table_1[Current On-hand])</f>
        <v>1140.99</v>
      </c>
      <c r="E9" s="9">
        <f>SUBTOTAL(109,AtlasReport_3_Table_1[Trans backwords (Beginning)])</f>
        <v>1074.67</v>
      </c>
      <c r="F9" s="9">
        <f>SUBTOTAL(109,AtlasReport_3_Table_1[Trans backwords (Ending)])</f>
        <v>7.7799999999999994</v>
      </c>
      <c r="G9" s="9">
        <f>SUBTOTAL(109,AtlasReport_3_Table_1[Beginning On-hand])</f>
        <v>66.32000000000005</v>
      </c>
      <c r="H9" s="9">
        <f>SUBTOTAL(109,AtlasReport_3_Table_1[Ending On-hand])</f>
        <v>1133.21</v>
      </c>
    </row>
    <row r="10" spans="1:8" x14ac:dyDescent="0.15">
      <c r="A10" s="3"/>
      <c r="B10" s="3"/>
      <c r="C10" s="3"/>
      <c r="D10" s="9"/>
      <c r="E10" s="9"/>
      <c r="F10" s="9"/>
      <c r="G10" s="9"/>
      <c r="H10" s="9"/>
    </row>
    <row r="11" spans="1:8" x14ac:dyDescent="0.15">
      <c r="A11" s="3"/>
      <c r="B11" s="3"/>
      <c r="C11" s="3"/>
      <c r="D11" s="9"/>
      <c r="E11" s="9"/>
      <c r="F11" s="9"/>
      <c r="G11" s="9"/>
      <c r="H11" s="9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workbookViewId="0">
      <selection activeCell="A4" sqref="A4"/>
    </sheetView>
  </sheetViews>
  <sheetFormatPr defaultRowHeight="13.5" x14ac:dyDescent="0.15"/>
  <cols>
    <col min="1" max="1" width="15.375" customWidth="1"/>
    <col min="2" max="2" width="6.75" customWidth="1"/>
    <col min="3" max="3" width="13.625" customWidth="1"/>
    <col min="4" max="4" width="11" customWidth="1"/>
    <col min="5" max="5" width="18" customWidth="1"/>
    <col min="6" max="6" width="32.75" customWidth="1"/>
    <col min="7" max="7" width="29.75" customWidth="1"/>
    <col min="8" max="8" width="25.875" customWidth="1"/>
    <col min="9" max="9" width="22.875" customWidth="1"/>
    <col min="10" max="10" width="40" customWidth="1"/>
    <col min="11" max="11" width="37.125" customWidth="1"/>
    <col min="12" max="12" width="25" customWidth="1"/>
    <col min="13" max="13" width="22" customWidth="1"/>
  </cols>
  <sheetData>
    <row r="1" spans="1:13" ht="22.5" x14ac:dyDescent="0.25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15">
      <c r="A2" s="3" t="s">
        <v>6</v>
      </c>
      <c r="B2" s="3" t="s">
        <v>49</v>
      </c>
      <c r="C2" s="3" t="s">
        <v>50</v>
      </c>
      <c r="D2" s="3" t="s">
        <v>12</v>
      </c>
      <c r="E2" s="3" t="s">
        <v>42</v>
      </c>
      <c r="F2" s="3" t="s">
        <v>155</v>
      </c>
      <c r="G2" s="3" t="s">
        <v>156</v>
      </c>
      <c r="H2" s="3" t="s">
        <v>90</v>
      </c>
      <c r="I2" s="3" t="s">
        <v>91</v>
      </c>
      <c r="J2" s="3" t="s">
        <v>157</v>
      </c>
      <c r="K2" s="3" t="s">
        <v>158</v>
      </c>
      <c r="L2" s="3" t="s">
        <v>153</v>
      </c>
      <c r="M2" s="3" t="s">
        <v>154</v>
      </c>
    </row>
    <row r="3" spans="1:13" x14ac:dyDescent="0.15">
      <c r="A3" s="8" t="s">
        <v>131</v>
      </c>
      <c r="B3" s="8" t="s">
        <v>160</v>
      </c>
      <c r="C3" s="8" t="s">
        <v>161</v>
      </c>
      <c r="D3" s="4">
        <v>518</v>
      </c>
      <c r="E3" s="4">
        <v>87.5</v>
      </c>
      <c r="F3" s="4">
        <v>500</v>
      </c>
      <c r="G3" s="4">
        <v>0</v>
      </c>
      <c r="H3" s="4">
        <f>AtlasReport_4_Table_1[[#This Row],[Quantity]]-AtlasReport_4_Table_1[[#This Row],[TPP trans backwards (Beginning)]]</f>
        <v>18</v>
      </c>
      <c r="I3" s="4">
        <f>AtlasReport_4_Table_1[[#This Row],[Quantity]]-AtlasReport_4_Table_1[[#This Row],[TPP trans backwards (Ending)]]</f>
        <v>518</v>
      </c>
      <c r="J3" s="4">
        <v>87.5</v>
      </c>
      <c r="K3" s="4"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Balance (Beginning)]]</f>
        <v>87.5</v>
      </c>
    </row>
    <row r="4" spans="1:13" x14ac:dyDescent="0.15">
      <c r="A4" s="8" t="s">
        <v>79</v>
      </c>
      <c r="B4" s="8" t="s">
        <v>160</v>
      </c>
      <c r="C4" s="8" t="s">
        <v>161</v>
      </c>
      <c r="D4" s="4">
        <v>0</v>
      </c>
      <c r="E4" s="4">
        <v>0</v>
      </c>
      <c r="F4" s="4">
        <v>0</v>
      </c>
      <c r="G4" s="4">
        <v>0</v>
      </c>
      <c r="H4" s="4">
        <f>AtlasReport_4_Table_1[[#This Row],[Quantity]]-AtlasReport_4_Table_1[[#This Row],[TPP trans backwards (Beginning)]]</f>
        <v>0</v>
      </c>
      <c r="I4" s="4">
        <f>AtlasReport_4_Table_1[[#This Row],[Quantity]]-AtlasReport_4_Table_1[[#This Row],[TPP trans backwards (Ending)]]</f>
        <v>0</v>
      </c>
      <c r="J4" s="4">
        <v>0</v>
      </c>
      <c r="K4" s="4"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Balance (Beginning)]]</f>
        <v>0</v>
      </c>
    </row>
    <row r="5" spans="1:13" x14ac:dyDescent="0.15">
      <c r="A5" s="8" t="s">
        <v>181</v>
      </c>
      <c r="B5" s="8" t="s">
        <v>160</v>
      </c>
      <c r="C5" s="8" t="s">
        <v>161</v>
      </c>
      <c r="D5" s="4">
        <v>48.32</v>
      </c>
      <c r="E5" s="4">
        <v>0</v>
      </c>
      <c r="F5" s="4">
        <v>0</v>
      </c>
      <c r="G5" s="4">
        <v>0</v>
      </c>
      <c r="H5" s="4">
        <f>AtlasReport_4_Table_1[[#This Row],[Quantity]]-AtlasReport_4_Table_1[[#This Row],[TPP trans backwards (Beginning)]]</f>
        <v>48.32</v>
      </c>
      <c r="I5" s="4">
        <f>AtlasReport_4_Table_1[[#This Row],[Quantity]]-AtlasReport_4_Table_1[[#This Row],[TPP trans backwards (Ending)]]</f>
        <v>48.32</v>
      </c>
      <c r="J5" s="4">
        <v>0</v>
      </c>
      <c r="K5" s="4"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Balance (Beginning)]]</f>
        <v>0</v>
      </c>
    </row>
    <row r="6" spans="1:13" x14ac:dyDescent="0.15">
      <c r="A6" s="3" t="s">
        <v>13</v>
      </c>
      <c r="B6" s="7"/>
      <c r="C6" s="7"/>
      <c r="D6" s="3">
        <f>SUBTOTAL(109,AtlasReport_4_Table_1[Quantity])</f>
        <v>566.32000000000005</v>
      </c>
      <c r="E6" s="3">
        <f>SUBTOTAL(109,AtlasReport_4_Table_1[TPP cost amount])</f>
        <v>87.5</v>
      </c>
      <c r="F6" s="3"/>
      <c r="G6" s="3"/>
      <c r="H6" s="3"/>
      <c r="I6" s="3"/>
      <c r="J6" s="3"/>
      <c r="K6" s="3"/>
      <c r="L6" s="3"/>
      <c r="M6" s="3"/>
    </row>
    <row r="7" spans="1:13" x14ac:dyDescent="0.1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x14ac:dyDescent="0.1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</sheetData>
  <phoneticPr fontId="6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57"/>
  <sheetViews>
    <sheetView workbookViewId="0">
      <selection activeCell="A2" sqref="A2:E2"/>
    </sheetView>
  </sheetViews>
  <sheetFormatPr defaultRowHeight="13.5" x14ac:dyDescent="0.15"/>
  <cols>
    <col min="1" max="1" width="21.125" customWidth="1"/>
    <col min="2" max="2" width="56.75" customWidth="1"/>
    <col min="3" max="3" width="13" customWidth="1"/>
    <col min="4" max="4" width="11.875" customWidth="1"/>
    <col min="5" max="5" width="7.125" customWidth="1"/>
  </cols>
  <sheetData>
    <row r="1" spans="1:5" ht="22.5" x14ac:dyDescent="0.25">
      <c r="A1" s="2" t="s">
        <v>248</v>
      </c>
      <c r="B1" s="2"/>
      <c r="C1" s="2"/>
      <c r="D1" s="2"/>
      <c r="E1" s="2"/>
    </row>
    <row r="2" spans="1:5" x14ac:dyDescent="0.15">
      <c r="A2" s="3" t="s">
        <v>6</v>
      </c>
      <c r="B2" s="3" t="s">
        <v>30</v>
      </c>
      <c r="C2" s="3" t="s">
        <v>249</v>
      </c>
      <c r="D2" s="3" t="s">
        <v>250</v>
      </c>
      <c r="E2" s="3" t="s">
        <v>36</v>
      </c>
    </row>
    <row r="3" spans="1:5" x14ac:dyDescent="0.15">
      <c r="A3" s="8" t="s">
        <v>52</v>
      </c>
      <c r="B3" s="8" t="s">
        <v>96</v>
      </c>
      <c r="C3" s="8" t="s">
        <v>251</v>
      </c>
      <c r="D3" s="8" t="s">
        <v>252</v>
      </c>
      <c r="E3" s="8" t="s">
        <v>38</v>
      </c>
    </row>
    <row r="4" spans="1:5" ht="27" x14ac:dyDescent="0.15">
      <c r="A4" s="8" t="s">
        <v>136</v>
      </c>
      <c r="B4" s="11" t="s">
        <v>174</v>
      </c>
      <c r="C4" s="8" t="s">
        <v>251</v>
      </c>
      <c r="D4" s="8" t="s">
        <v>252</v>
      </c>
      <c r="E4" s="8" t="s">
        <v>38</v>
      </c>
    </row>
    <row r="5" spans="1:5" x14ac:dyDescent="0.15">
      <c r="A5" s="8" t="s">
        <v>137</v>
      </c>
      <c r="B5" s="8" t="s">
        <v>253</v>
      </c>
      <c r="C5" s="8" t="s">
        <v>251</v>
      </c>
      <c r="D5" s="8" t="s">
        <v>252</v>
      </c>
      <c r="E5" s="8" t="s">
        <v>38</v>
      </c>
    </row>
    <row r="6" spans="1:5" x14ac:dyDescent="0.15">
      <c r="A6" s="8" t="s">
        <v>53</v>
      </c>
      <c r="B6" s="8" t="s">
        <v>171</v>
      </c>
      <c r="C6" s="8" t="s">
        <v>254</v>
      </c>
      <c r="D6" s="8" t="s">
        <v>252</v>
      </c>
      <c r="E6" s="8" t="s">
        <v>37</v>
      </c>
    </row>
    <row r="7" spans="1:5" x14ac:dyDescent="0.15">
      <c r="A7" s="8" t="s">
        <v>70</v>
      </c>
      <c r="B7" s="8" t="s">
        <v>173</v>
      </c>
      <c r="C7" s="8" t="s">
        <v>254</v>
      </c>
      <c r="D7" s="8" t="s">
        <v>252</v>
      </c>
      <c r="E7" s="8" t="s">
        <v>37</v>
      </c>
    </row>
    <row r="8" spans="1:5" x14ac:dyDescent="0.15">
      <c r="A8" s="8" t="s">
        <v>138</v>
      </c>
      <c r="B8" s="8" t="s">
        <v>255</v>
      </c>
      <c r="C8" s="8" t="s">
        <v>251</v>
      </c>
      <c r="D8" s="8" t="s">
        <v>252</v>
      </c>
      <c r="E8" s="8" t="s">
        <v>37</v>
      </c>
    </row>
    <row r="9" spans="1:5" x14ac:dyDescent="0.15">
      <c r="A9" s="8" t="s">
        <v>367</v>
      </c>
      <c r="B9" s="8" t="s">
        <v>368</v>
      </c>
      <c r="C9" s="8" t="s">
        <v>251</v>
      </c>
      <c r="D9" s="8" t="s">
        <v>252</v>
      </c>
      <c r="E9" s="8" t="s">
        <v>37</v>
      </c>
    </row>
    <row r="10" spans="1:5" x14ac:dyDescent="0.15">
      <c r="A10" s="8" t="s">
        <v>139</v>
      </c>
      <c r="B10" s="8" t="s">
        <v>256</v>
      </c>
      <c r="C10" s="8" t="s">
        <v>251</v>
      </c>
      <c r="D10" s="8" t="s">
        <v>252</v>
      </c>
      <c r="E10" s="8" t="s">
        <v>37</v>
      </c>
    </row>
    <row r="11" spans="1:5" x14ac:dyDescent="0.15">
      <c r="A11" s="8" t="s">
        <v>257</v>
      </c>
      <c r="B11" s="8" t="s">
        <v>258</v>
      </c>
      <c r="C11" s="8" t="s">
        <v>251</v>
      </c>
      <c r="D11" s="8" t="s">
        <v>252</v>
      </c>
      <c r="E11" s="8" t="s">
        <v>37</v>
      </c>
    </row>
    <row r="12" spans="1:5" x14ac:dyDescent="0.15">
      <c r="A12" s="8" t="s">
        <v>22</v>
      </c>
      <c r="B12" s="8" t="s">
        <v>188</v>
      </c>
      <c r="C12" s="8" t="s">
        <v>254</v>
      </c>
      <c r="D12" s="8" t="s">
        <v>252</v>
      </c>
      <c r="E12" s="8" t="s">
        <v>37</v>
      </c>
    </row>
    <row r="13" spans="1:5" x14ac:dyDescent="0.15">
      <c r="A13" s="8" t="s">
        <v>259</v>
      </c>
      <c r="B13" s="8" t="s">
        <v>260</v>
      </c>
      <c r="C13" s="8" t="s">
        <v>261</v>
      </c>
      <c r="D13" s="8" t="s">
        <v>262</v>
      </c>
      <c r="E13" s="8" t="s">
        <v>38</v>
      </c>
    </row>
    <row r="14" spans="1:5" x14ac:dyDescent="0.15">
      <c r="A14" s="8" t="s">
        <v>263</v>
      </c>
      <c r="B14" s="8" t="s">
        <v>264</v>
      </c>
      <c r="C14" s="8" t="s">
        <v>261</v>
      </c>
      <c r="D14" s="8" t="s">
        <v>262</v>
      </c>
      <c r="E14" s="8" t="s">
        <v>265</v>
      </c>
    </row>
    <row r="15" spans="1:5" x14ac:dyDescent="0.15">
      <c r="A15" s="8" t="s">
        <v>266</v>
      </c>
      <c r="B15" s="8" t="s">
        <v>266</v>
      </c>
      <c r="C15" s="8" t="s">
        <v>251</v>
      </c>
      <c r="D15" s="8" t="s">
        <v>252</v>
      </c>
      <c r="E15" s="8" t="s">
        <v>120</v>
      </c>
    </row>
    <row r="16" spans="1:5" x14ac:dyDescent="0.15">
      <c r="A16" s="8" t="s">
        <v>267</v>
      </c>
      <c r="B16" s="8" t="s">
        <v>267</v>
      </c>
      <c r="C16" s="8" t="s">
        <v>251</v>
      </c>
      <c r="D16" s="8" t="s">
        <v>252</v>
      </c>
      <c r="E16" s="8" t="s">
        <v>133</v>
      </c>
    </row>
    <row r="17" spans="1:5" x14ac:dyDescent="0.15">
      <c r="A17" s="8" t="s">
        <v>140</v>
      </c>
      <c r="B17" s="8" t="s">
        <v>268</v>
      </c>
      <c r="C17" s="8" t="s">
        <v>251</v>
      </c>
      <c r="D17" s="8" t="s">
        <v>252</v>
      </c>
      <c r="E17" s="8" t="s">
        <v>37</v>
      </c>
    </row>
    <row r="18" spans="1:5" x14ac:dyDescent="0.15">
      <c r="A18" s="8" t="s">
        <v>119</v>
      </c>
      <c r="B18" s="8" t="s">
        <v>189</v>
      </c>
      <c r="C18" s="8" t="s">
        <v>251</v>
      </c>
      <c r="D18" s="8" t="s">
        <v>252</v>
      </c>
      <c r="E18" s="8" t="s">
        <v>37</v>
      </c>
    </row>
    <row r="19" spans="1:5" x14ac:dyDescent="0.15">
      <c r="A19" s="8" t="s">
        <v>20</v>
      </c>
      <c r="B19" s="8" t="s">
        <v>269</v>
      </c>
      <c r="C19" s="8" t="s">
        <v>251</v>
      </c>
      <c r="D19" s="8" t="s">
        <v>252</v>
      </c>
      <c r="E19" s="8" t="s">
        <v>38</v>
      </c>
    </row>
    <row r="20" spans="1:5" x14ac:dyDescent="0.15">
      <c r="A20" s="8" t="s">
        <v>71</v>
      </c>
      <c r="B20" s="8" t="s">
        <v>269</v>
      </c>
      <c r="C20" s="8" t="s">
        <v>251</v>
      </c>
      <c r="D20" s="8" t="s">
        <v>252</v>
      </c>
      <c r="E20" s="8" t="s">
        <v>38</v>
      </c>
    </row>
    <row r="21" spans="1:5" x14ac:dyDescent="0.15">
      <c r="A21" s="8" t="s">
        <v>270</v>
      </c>
      <c r="B21" s="8" t="s">
        <v>271</v>
      </c>
      <c r="C21" s="8" t="s">
        <v>251</v>
      </c>
      <c r="D21" s="8" t="s">
        <v>252</v>
      </c>
      <c r="E21" s="8" t="s">
        <v>38</v>
      </c>
    </row>
    <row r="22" spans="1:5" x14ac:dyDescent="0.15">
      <c r="A22" s="8" t="s">
        <v>18</v>
      </c>
      <c r="B22" s="8" t="s">
        <v>269</v>
      </c>
      <c r="C22" s="8" t="s">
        <v>251</v>
      </c>
      <c r="D22" s="8" t="s">
        <v>252</v>
      </c>
      <c r="E22" s="8" t="s">
        <v>38</v>
      </c>
    </row>
    <row r="23" spans="1:5" x14ac:dyDescent="0.15">
      <c r="A23" s="8" t="s">
        <v>191</v>
      </c>
      <c r="B23" s="8" t="s">
        <v>272</v>
      </c>
      <c r="C23" s="8" t="s">
        <v>251</v>
      </c>
      <c r="D23" s="8" t="s">
        <v>252</v>
      </c>
      <c r="E23" s="8" t="s">
        <v>120</v>
      </c>
    </row>
    <row r="24" spans="1:5" x14ac:dyDescent="0.15">
      <c r="A24" s="8" t="s">
        <v>54</v>
      </c>
      <c r="B24" s="8" t="s">
        <v>169</v>
      </c>
      <c r="C24" s="8" t="s">
        <v>251</v>
      </c>
      <c r="D24" s="8" t="s">
        <v>252</v>
      </c>
      <c r="E24" s="8" t="s">
        <v>38</v>
      </c>
    </row>
    <row r="25" spans="1:5" x14ac:dyDescent="0.15">
      <c r="A25" s="8" t="s">
        <v>141</v>
      </c>
      <c r="B25" s="8" t="s">
        <v>169</v>
      </c>
      <c r="C25" s="8" t="s">
        <v>251</v>
      </c>
      <c r="D25" s="8" t="s">
        <v>252</v>
      </c>
      <c r="E25" s="8" t="s">
        <v>38</v>
      </c>
    </row>
    <row r="26" spans="1:5" ht="27" x14ac:dyDescent="0.15">
      <c r="A26" s="8" t="s">
        <v>192</v>
      </c>
      <c r="B26" s="11" t="s">
        <v>273</v>
      </c>
      <c r="C26" s="8" t="s">
        <v>251</v>
      </c>
      <c r="D26" s="8" t="s">
        <v>252</v>
      </c>
      <c r="E26" s="8" t="s">
        <v>38</v>
      </c>
    </row>
    <row r="27" spans="1:5" x14ac:dyDescent="0.15">
      <c r="A27" s="8" t="s">
        <v>25</v>
      </c>
      <c r="B27" s="8" t="s">
        <v>31</v>
      </c>
      <c r="C27" s="8" t="s">
        <v>251</v>
      </c>
      <c r="D27" s="8" t="s">
        <v>252</v>
      </c>
      <c r="E27" s="8" t="s">
        <v>38</v>
      </c>
    </row>
    <row r="28" spans="1:5" ht="27" x14ac:dyDescent="0.15">
      <c r="A28" s="8" t="s">
        <v>193</v>
      </c>
      <c r="B28" s="11" t="s">
        <v>274</v>
      </c>
      <c r="C28" s="8" t="s">
        <v>251</v>
      </c>
      <c r="D28" s="8" t="s">
        <v>252</v>
      </c>
      <c r="E28" s="8" t="s">
        <v>38</v>
      </c>
    </row>
    <row r="29" spans="1:5" x14ac:dyDescent="0.15">
      <c r="A29" s="8" t="s">
        <v>72</v>
      </c>
      <c r="B29" s="8" t="s">
        <v>31</v>
      </c>
      <c r="C29" s="8" t="s">
        <v>251</v>
      </c>
      <c r="D29" s="8" t="s">
        <v>252</v>
      </c>
      <c r="E29" s="8" t="s">
        <v>38</v>
      </c>
    </row>
    <row r="30" spans="1:5" x14ac:dyDescent="0.15">
      <c r="A30" s="8" t="s">
        <v>194</v>
      </c>
      <c r="B30" s="8" t="s">
        <v>31</v>
      </c>
      <c r="C30" s="8" t="s">
        <v>251</v>
      </c>
      <c r="D30" s="8" t="s">
        <v>252</v>
      </c>
      <c r="E30" s="8" t="s">
        <v>38</v>
      </c>
    </row>
    <row r="31" spans="1:5" x14ac:dyDescent="0.15">
      <c r="A31" s="8" t="s">
        <v>73</v>
      </c>
      <c r="B31" s="8" t="s">
        <v>125</v>
      </c>
      <c r="C31" s="8" t="s">
        <v>251</v>
      </c>
      <c r="D31" s="8" t="s">
        <v>252</v>
      </c>
      <c r="E31" s="8" t="s">
        <v>38</v>
      </c>
    </row>
    <row r="32" spans="1:5" x14ac:dyDescent="0.15">
      <c r="A32" s="8" t="s">
        <v>275</v>
      </c>
      <c r="B32" s="8" t="s">
        <v>125</v>
      </c>
      <c r="C32" s="8" t="s">
        <v>251</v>
      </c>
      <c r="D32" s="8" t="s">
        <v>252</v>
      </c>
      <c r="E32" s="8" t="s">
        <v>38</v>
      </c>
    </row>
    <row r="33" spans="1:5" x14ac:dyDescent="0.15">
      <c r="A33" s="8" t="s">
        <v>142</v>
      </c>
      <c r="B33" s="8" t="s">
        <v>206</v>
      </c>
      <c r="C33" s="8" t="s">
        <v>251</v>
      </c>
      <c r="D33" s="8" t="s">
        <v>252</v>
      </c>
      <c r="E33" s="8" t="s">
        <v>38</v>
      </c>
    </row>
    <row r="34" spans="1:5" x14ac:dyDescent="0.15">
      <c r="A34" s="8" t="s">
        <v>26</v>
      </c>
      <c r="B34" s="8" t="s">
        <v>276</v>
      </c>
      <c r="C34" s="8" t="s">
        <v>251</v>
      </c>
      <c r="D34" s="8" t="s">
        <v>252</v>
      </c>
      <c r="E34" s="8" t="s">
        <v>38</v>
      </c>
    </row>
    <row r="35" spans="1:5" x14ac:dyDescent="0.15">
      <c r="A35" s="8" t="s">
        <v>214</v>
      </c>
      <c r="B35" s="8" t="s">
        <v>215</v>
      </c>
      <c r="C35" s="8" t="s">
        <v>261</v>
      </c>
      <c r="D35" s="8" t="s">
        <v>262</v>
      </c>
      <c r="E35" s="8" t="s">
        <v>37</v>
      </c>
    </row>
    <row r="36" spans="1:5" x14ac:dyDescent="0.15">
      <c r="A36" s="8" t="s">
        <v>15</v>
      </c>
      <c r="B36" s="8" t="s">
        <v>32</v>
      </c>
      <c r="C36" s="8" t="s">
        <v>251</v>
      </c>
      <c r="D36" s="8" t="s">
        <v>252</v>
      </c>
      <c r="E36" s="8" t="s">
        <v>38</v>
      </c>
    </row>
    <row r="37" spans="1:5" x14ac:dyDescent="0.15">
      <c r="A37" s="8" t="s">
        <v>27</v>
      </c>
      <c r="B37" s="8" t="s">
        <v>32</v>
      </c>
      <c r="C37" s="8" t="s">
        <v>251</v>
      </c>
      <c r="D37" s="8" t="s">
        <v>252</v>
      </c>
      <c r="E37" s="8" t="s">
        <v>38</v>
      </c>
    </row>
    <row r="38" spans="1:5" x14ac:dyDescent="0.15">
      <c r="A38" s="8" t="s">
        <v>277</v>
      </c>
      <c r="B38" s="8" t="s">
        <v>278</v>
      </c>
      <c r="C38" s="8" t="s">
        <v>251</v>
      </c>
      <c r="D38" s="8" t="s">
        <v>252</v>
      </c>
      <c r="E38" s="8" t="s">
        <v>38</v>
      </c>
    </row>
    <row r="39" spans="1:5" x14ac:dyDescent="0.15">
      <c r="A39" s="8" t="s">
        <v>16</v>
      </c>
      <c r="B39" s="8" t="s">
        <v>32</v>
      </c>
      <c r="C39" s="8" t="s">
        <v>251</v>
      </c>
      <c r="D39" s="8" t="s">
        <v>252</v>
      </c>
      <c r="E39" s="8" t="s">
        <v>38</v>
      </c>
    </row>
    <row r="40" spans="1:5" x14ac:dyDescent="0.15">
      <c r="A40" s="8" t="s">
        <v>143</v>
      </c>
      <c r="B40" s="8" t="s">
        <v>279</v>
      </c>
      <c r="C40" s="8" t="s">
        <v>251</v>
      </c>
      <c r="D40" s="8" t="s">
        <v>252</v>
      </c>
      <c r="E40" s="8" t="s">
        <v>38</v>
      </c>
    </row>
    <row r="41" spans="1:5" x14ac:dyDescent="0.15">
      <c r="A41" s="8" t="s">
        <v>144</v>
      </c>
      <c r="B41" s="8" t="s">
        <v>211</v>
      </c>
      <c r="C41" s="8" t="s">
        <v>251</v>
      </c>
      <c r="D41" s="8" t="s">
        <v>252</v>
      </c>
      <c r="E41" s="8" t="s">
        <v>38</v>
      </c>
    </row>
    <row r="42" spans="1:5" x14ac:dyDescent="0.15">
      <c r="A42" s="8" t="s">
        <v>145</v>
      </c>
      <c r="B42" s="8" t="s">
        <v>280</v>
      </c>
      <c r="C42" s="8" t="s">
        <v>251</v>
      </c>
      <c r="D42" s="8" t="s">
        <v>252</v>
      </c>
      <c r="E42" s="8" t="s">
        <v>38</v>
      </c>
    </row>
    <row r="43" spans="1:5" ht="27" x14ac:dyDescent="0.15">
      <c r="A43" s="8" t="s">
        <v>195</v>
      </c>
      <c r="B43" s="11" t="s">
        <v>281</v>
      </c>
      <c r="C43" s="8" t="s">
        <v>251</v>
      </c>
      <c r="D43" s="8" t="s">
        <v>252</v>
      </c>
      <c r="E43" s="8" t="s">
        <v>37</v>
      </c>
    </row>
    <row r="44" spans="1:5" ht="27" x14ac:dyDescent="0.15">
      <c r="A44" s="8" t="s">
        <v>196</v>
      </c>
      <c r="B44" s="11" t="s">
        <v>282</v>
      </c>
      <c r="C44" s="8" t="s">
        <v>251</v>
      </c>
      <c r="D44" s="8" t="s">
        <v>252</v>
      </c>
      <c r="E44" s="8" t="s">
        <v>37</v>
      </c>
    </row>
    <row r="45" spans="1:5" x14ac:dyDescent="0.15">
      <c r="A45" s="8" t="s">
        <v>74</v>
      </c>
      <c r="B45" s="8" t="s">
        <v>283</v>
      </c>
      <c r="C45" s="8" t="s">
        <v>251</v>
      </c>
      <c r="D45" s="8" t="s">
        <v>252</v>
      </c>
      <c r="E45" s="8" t="s">
        <v>39</v>
      </c>
    </row>
    <row r="46" spans="1:5" x14ac:dyDescent="0.15">
      <c r="A46" s="8" t="s">
        <v>101</v>
      </c>
      <c r="B46" s="8" t="s">
        <v>102</v>
      </c>
      <c r="C46" s="8" t="s">
        <v>251</v>
      </c>
      <c r="D46" s="8" t="s">
        <v>252</v>
      </c>
      <c r="E46" s="8" t="s">
        <v>39</v>
      </c>
    </row>
    <row r="47" spans="1:5" ht="27" x14ac:dyDescent="0.15">
      <c r="A47" s="8" t="s">
        <v>197</v>
      </c>
      <c r="B47" s="11" t="s">
        <v>213</v>
      </c>
      <c r="C47" s="8" t="s">
        <v>251</v>
      </c>
      <c r="D47" s="8" t="s">
        <v>252</v>
      </c>
      <c r="E47" s="8" t="s">
        <v>39</v>
      </c>
    </row>
    <row r="48" spans="1:5" x14ac:dyDescent="0.15">
      <c r="A48" s="8" t="s">
        <v>75</v>
      </c>
      <c r="B48" s="8" t="s">
        <v>284</v>
      </c>
      <c r="C48" s="8" t="s">
        <v>251</v>
      </c>
      <c r="D48" s="8" t="s">
        <v>252</v>
      </c>
      <c r="E48" s="8" t="s">
        <v>39</v>
      </c>
    </row>
    <row r="49" spans="1:5" x14ac:dyDescent="0.15">
      <c r="A49" s="8" t="s">
        <v>55</v>
      </c>
      <c r="B49" s="8" t="s">
        <v>204</v>
      </c>
      <c r="C49" s="8" t="s">
        <v>251</v>
      </c>
      <c r="D49" s="8" t="s">
        <v>252</v>
      </c>
      <c r="E49" s="8" t="s">
        <v>39</v>
      </c>
    </row>
    <row r="50" spans="1:5" x14ac:dyDescent="0.15">
      <c r="A50" s="8" t="s">
        <v>111</v>
      </c>
      <c r="B50" s="8" t="s">
        <v>112</v>
      </c>
      <c r="C50" s="8" t="s">
        <v>251</v>
      </c>
      <c r="D50" s="8" t="s">
        <v>252</v>
      </c>
      <c r="E50" s="8" t="s">
        <v>39</v>
      </c>
    </row>
    <row r="51" spans="1:5" x14ac:dyDescent="0.15">
      <c r="A51" s="8" t="s">
        <v>56</v>
      </c>
      <c r="B51" s="8" t="s">
        <v>126</v>
      </c>
      <c r="C51" s="8" t="s">
        <v>251</v>
      </c>
      <c r="D51" s="8" t="s">
        <v>252</v>
      </c>
      <c r="E51" s="8" t="s">
        <v>39</v>
      </c>
    </row>
    <row r="52" spans="1:5" x14ac:dyDescent="0.15">
      <c r="A52" s="8" t="s">
        <v>57</v>
      </c>
      <c r="B52" s="8" t="s">
        <v>113</v>
      </c>
      <c r="C52" s="8" t="s">
        <v>251</v>
      </c>
      <c r="D52" s="8" t="s">
        <v>252</v>
      </c>
      <c r="E52" s="8" t="s">
        <v>39</v>
      </c>
    </row>
    <row r="53" spans="1:5" x14ac:dyDescent="0.15">
      <c r="A53" s="8" t="s">
        <v>97</v>
      </c>
      <c r="B53" s="8" t="s">
        <v>98</v>
      </c>
      <c r="C53" s="8" t="s">
        <v>251</v>
      </c>
      <c r="D53" s="8" t="s">
        <v>252</v>
      </c>
      <c r="E53" s="8" t="s">
        <v>39</v>
      </c>
    </row>
    <row r="54" spans="1:5" x14ac:dyDescent="0.15">
      <c r="A54" s="8" t="s">
        <v>29</v>
      </c>
      <c r="B54" s="8" t="s">
        <v>33</v>
      </c>
      <c r="C54" s="8" t="s">
        <v>251</v>
      </c>
      <c r="D54" s="8" t="s">
        <v>252</v>
      </c>
      <c r="E54" s="8" t="s">
        <v>39</v>
      </c>
    </row>
    <row r="55" spans="1:5" x14ac:dyDescent="0.15">
      <c r="A55" s="8" t="s">
        <v>121</v>
      </c>
      <c r="B55" s="8" t="s">
        <v>122</v>
      </c>
      <c r="C55" s="8" t="s">
        <v>251</v>
      </c>
      <c r="D55" s="8" t="s">
        <v>252</v>
      </c>
      <c r="E55" s="8" t="s">
        <v>39</v>
      </c>
    </row>
    <row r="56" spans="1:5" x14ac:dyDescent="0.15">
      <c r="A56" s="8" t="s">
        <v>106</v>
      </c>
      <c r="B56" s="8" t="s">
        <v>107</v>
      </c>
      <c r="C56" s="8" t="s">
        <v>251</v>
      </c>
      <c r="D56" s="8" t="s">
        <v>252</v>
      </c>
      <c r="E56" s="8" t="s">
        <v>39</v>
      </c>
    </row>
    <row r="57" spans="1:5" x14ac:dyDescent="0.15">
      <c r="A57" s="8" t="s">
        <v>58</v>
      </c>
      <c r="B57" s="8" t="s">
        <v>127</v>
      </c>
      <c r="C57" s="8" t="s">
        <v>251</v>
      </c>
      <c r="D57" s="8" t="s">
        <v>252</v>
      </c>
      <c r="E57" s="8" t="s">
        <v>39</v>
      </c>
    </row>
    <row r="58" spans="1:5" x14ac:dyDescent="0.15">
      <c r="A58" s="8" t="s">
        <v>99</v>
      </c>
      <c r="B58" s="8" t="s">
        <v>100</v>
      </c>
      <c r="C58" s="8" t="s">
        <v>251</v>
      </c>
      <c r="D58" s="8" t="s">
        <v>252</v>
      </c>
      <c r="E58" s="8" t="s">
        <v>39</v>
      </c>
    </row>
    <row r="59" spans="1:5" x14ac:dyDescent="0.15">
      <c r="A59" s="8" t="s">
        <v>59</v>
      </c>
      <c r="B59" s="8" t="s">
        <v>93</v>
      </c>
      <c r="C59" s="8" t="s">
        <v>251</v>
      </c>
      <c r="D59" s="8" t="s">
        <v>252</v>
      </c>
      <c r="E59" s="8" t="s">
        <v>39</v>
      </c>
    </row>
    <row r="60" spans="1:5" x14ac:dyDescent="0.15">
      <c r="A60" s="8" t="s">
        <v>123</v>
      </c>
      <c r="B60" s="8" t="s">
        <v>124</v>
      </c>
      <c r="C60" s="8" t="s">
        <v>251</v>
      </c>
      <c r="D60" s="8" t="s">
        <v>252</v>
      </c>
      <c r="E60" s="8" t="s">
        <v>39</v>
      </c>
    </row>
    <row r="61" spans="1:5" x14ac:dyDescent="0.15">
      <c r="A61" s="8" t="s">
        <v>76</v>
      </c>
      <c r="B61" s="8" t="s">
        <v>110</v>
      </c>
      <c r="C61" s="8" t="s">
        <v>251</v>
      </c>
      <c r="D61" s="8" t="s">
        <v>252</v>
      </c>
      <c r="E61" s="8" t="s">
        <v>39</v>
      </c>
    </row>
    <row r="62" spans="1:5" x14ac:dyDescent="0.15">
      <c r="A62" s="8" t="s">
        <v>60</v>
      </c>
      <c r="B62" s="8" t="s">
        <v>285</v>
      </c>
      <c r="C62" s="8" t="s">
        <v>251</v>
      </c>
      <c r="D62" s="8" t="s">
        <v>252</v>
      </c>
      <c r="E62" s="8" t="s">
        <v>39</v>
      </c>
    </row>
    <row r="63" spans="1:5" x14ac:dyDescent="0.15">
      <c r="A63" s="8" t="s">
        <v>61</v>
      </c>
      <c r="B63" s="8" t="s">
        <v>286</v>
      </c>
      <c r="C63" s="8" t="s">
        <v>251</v>
      </c>
      <c r="D63" s="8" t="s">
        <v>252</v>
      </c>
      <c r="E63" s="8" t="s">
        <v>39</v>
      </c>
    </row>
    <row r="64" spans="1:5" x14ac:dyDescent="0.15">
      <c r="A64" s="8" t="s">
        <v>24</v>
      </c>
      <c r="B64" s="8" t="s">
        <v>34</v>
      </c>
      <c r="C64" s="8" t="s">
        <v>251</v>
      </c>
      <c r="D64" s="8" t="s">
        <v>252</v>
      </c>
      <c r="E64" s="8" t="s">
        <v>39</v>
      </c>
    </row>
    <row r="65" spans="1:5" x14ac:dyDescent="0.15">
      <c r="A65" s="8" t="s">
        <v>77</v>
      </c>
      <c r="B65" s="8" t="s">
        <v>287</v>
      </c>
      <c r="C65" s="8" t="s">
        <v>251</v>
      </c>
      <c r="D65" s="8" t="s">
        <v>252</v>
      </c>
      <c r="E65" s="8" t="s">
        <v>39</v>
      </c>
    </row>
    <row r="66" spans="1:5" x14ac:dyDescent="0.15">
      <c r="A66" s="8" t="s">
        <v>78</v>
      </c>
      <c r="B66" s="8" t="s">
        <v>203</v>
      </c>
      <c r="C66" s="8" t="s">
        <v>251</v>
      </c>
      <c r="D66" s="8" t="s">
        <v>252</v>
      </c>
      <c r="E66" s="8" t="s">
        <v>39</v>
      </c>
    </row>
    <row r="67" spans="1:5" x14ac:dyDescent="0.15">
      <c r="A67" s="8" t="s">
        <v>62</v>
      </c>
      <c r="B67" s="8" t="s">
        <v>94</v>
      </c>
      <c r="C67" s="8" t="s">
        <v>251</v>
      </c>
      <c r="D67" s="8" t="s">
        <v>252</v>
      </c>
      <c r="E67" s="8" t="s">
        <v>39</v>
      </c>
    </row>
    <row r="68" spans="1:5" x14ac:dyDescent="0.15">
      <c r="A68" s="8" t="s">
        <v>63</v>
      </c>
      <c r="B68" s="8" t="s">
        <v>95</v>
      </c>
      <c r="C68" s="8" t="s">
        <v>251</v>
      </c>
      <c r="D68" s="8" t="s">
        <v>252</v>
      </c>
      <c r="E68" s="8" t="s">
        <v>39</v>
      </c>
    </row>
    <row r="69" spans="1:5" x14ac:dyDescent="0.15">
      <c r="A69" s="8" t="s">
        <v>103</v>
      </c>
      <c r="B69" s="8" t="s">
        <v>104</v>
      </c>
      <c r="C69" s="8" t="s">
        <v>251</v>
      </c>
      <c r="D69" s="8" t="s">
        <v>186</v>
      </c>
      <c r="E69" s="8" t="s">
        <v>37</v>
      </c>
    </row>
    <row r="70" spans="1:5" x14ac:dyDescent="0.15">
      <c r="A70" s="8" t="s">
        <v>129</v>
      </c>
      <c r="B70" s="8" t="s">
        <v>130</v>
      </c>
      <c r="C70" s="8" t="s">
        <v>288</v>
      </c>
      <c r="D70" s="8" t="s">
        <v>252</v>
      </c>
      <c r="E70" s="8" t="s">
        <v>37</v>
      </c>
    </row>
    <row r="71" spans="1:5" x14ac:dyDescent="0.15">
      <c r="A71" s="8" t="s">
        <v>175</v>
      </c>
      <c r="B71" s="8" t="s">
        <v>176</v>
      </c>
      <c r="C71" s="8" t="s">
        <v>251</v>
      </c>
      <c r="D71" s="8" t="s">
        <v>252</v>
      </c>
      <c r="E71" s="8" t="s">
        <v>39</v>
      </c>
    </row>
    <row r="72" spans="1:5" x14ac:dyDescent="0.15">
      <c r="A72" s="8" t="s">
        <v>131</v>
      </c>
      <c r="B72" s="8" t="s">
        <v>132</v>
      </c>
      <c r="C72" s="8" t="s">
        <v>288</v>
      </c>
      <c r="D72" s="8" t="s">
        <v>252</v>
      </c>
      <c r="E72" s="8" t="s">
        <v>37</v>
      </c>
    </row>
    <row r="73" spans="1:5" ht="27" x14ac:dyDescent="0.15">
      <c r="A73" s="8" t="s">
        <v>179</v>
      </c>
      <c r="B73" s="11" t="s">
        <v>180</v>
      </c>
      <c r="C73" s="8" t="s">
        <v>288</v>
      </c>
      <c r="D73" s="8" t="s">
        <v>252</v>
      </c>
      <c r="E73" s="8" t="s">
        <v>37</v>
      </c>
    </row>
    <row r="74" spans="1:5" x14ac:dyDescent="0.15">
      <c r="A74" s="8" t="s">
        <v>134</v>
      </c>
      <c r="B74" s="8" t="s">
        <v>135</v>
      </c>
      <c r="C74" s="8" t="s">
        <v>288</v>
      </c>
      <c r="D74" s="8" t="s">
        <v>252</v>
      </c>
      <c r="E74" s="8" t="s">
        <v>37</v>
      </c>
    </row>
    <row r="75" spans="1:5" x14ac:dyDescent="0.15">
      <c r="A75" s="8" t="s">
        <v>79</v>
      </c>
      <c r="B75" s="8" t="s">
        <v>289</v>
      </c>
      <c r="C75" s="8" t="s">
        <v>251</v>
      </c>
      <c r="D75" s="8" t="s">
        <v>186</v>
      </c>
      <c r="E75" s="8" t="s">
        <v>37</v>
      </c>
    </row>
    <row r="76" spans="1:5" ht="27" x14ac:dyDescent="0.15">
      <c r="A76" s="8" t="s">
        <v>164</v>
      </c>
      <c r="B76" s="11" t="s">
        <v>165</v>
      </c>
      <c r="C76" s="8" t="s">
        <v>251</v>
      </c>
      <c r="D76" s="8" t="s">
        <v>186</v>
      </c>
      <c r="E76" s="8" t="s">
        <v>37</v>
      </c>
    </row>
    <row r="77" spans="1:5" x14ac:dyDescent="0.15">
      <c r="A77" s="8" t="s">
        <v>108</v>
      </c>
      <c r="B77" s="8" t="s">
        <v>109</v>
      </c>
      <c r="C77" s="8" t="s">
        <v>251</v>
      </c>
      <c r="D77" s="8" t="s">
        <v>186</v>
      </c>
      <c r="E77" s="8" t="s">
        <v>37</v>
      </c>
    </row>
    <row r="78" spans="1:5" ht="27" x14ac:dyDescent="0.15">
      <c r="A78" s="8" t="s">
        <v>181</v>
      </c>
      <c r="B78" s="11" t="s">
        <v>182</v>
      </c>
      <c r="C78" s="8" t="s">
        <v>288</v>
      </c>
      <c r="D78" s="8" t="s">
        <v>252</v>
      </c>
      <c r="E78" s="8" t="s">
        <v>120</v>
      </c>
    </row>
    <row r="79" spans="1:5" x14ac:dyDescent="0.15">
      <c r="A79" s="8" t="s">
        <v>64</v>
      </c>
      <c r="B79" s="8" t="s">
        <v>290</v>
      </c>
      <c r="C79" s="8" t="s">
        <v>251</v>
      </c>
      <c r="D79" s="8" t="s">
        <v>252</v>
      </c>
      <c r="E79" s="8" t="s">
        <v>37</v>
      </c>
    </row>
    <row r="80" spans="1:5" x14ac:dyDescent="0.15">
      <c r="A80" s="8" t="s">
        <v>146</v>
      </c>
      <c r="B80" s="8" t="s">
        <v>291</v>
      </c>
      <c r="C80" s="8" t="s">
        <v>251</v>
      </c>
      <c r="D80" s="8" t="s">
        <v>252</v>
      </c>
      <c r="E80" s="8" t="s">
        <v>37</v>
      </c>
    </row>
    <row r="81" spans="1:5" x14ac:dyDescent="0.15">
      <c r="A81" s="8" t="s">
        <v>128</v>
      </c>
      <c r="B81" s="8" t="s">
        <v>212</v>
      </c>
      <c r="C81" s="8" t="s">
        <v>251</v>
      </c>
      <c r="D81" s="8" t="s">
        <v>252</v>
      </c>
      <c r="E81" s="8" t="s">
        <v>37</v>
      </c>
    </row>
    <row r="82" spans="1:5" x14ac:dyDescent="0.15">
      <c r="A82" s="8" t="s">
        <v>147</v>
      </c>
      <c r="B82" s="8" t="s">
        <v>292</v>
      </c>
      <c r="C82" s="8" t="s">
        <v>251</v>
      </c>
      <c r="D82" s="8" t="s">
        <v>252</v>
      </c>
      <c r="E82" s="8" t="s">
        <v>37</v>
      </c>
    </row>
    <row r="83" spans="1:5" x14ac:dyDescent="0.15">
      <c r="A83" s="8" t="s">
        <v>80</v>
      </c>
      <c r="B83" s="8" t="s">
        <v>163</v>
      </c>
      <c r="C83" s="8" t="s">
        <v>251</v>
      </c>
      <c r="D83" s="8" t="s">
        <v>252</v>
      </c>
      <c r="E83" s="8" t="s">
        <v>37</v>
      </c>
    </row>
    <row r="84" spans="1:5" x14ac:dyDescent="0.15">
      <c r="A84" s="8" t="s">
        <v>148</v>
      </c>
      <c r="B84" s="8" t="s">
        <v>170</v>
      </c>
      <c r="C84" s="8" t="s">
        <v>251</v>
      </c>
      <c r="D84" s="8" t="s">
        <v>252</v>
      </c>
      <c r="E84" s="8" t="s">
        <v>37</v>
      </c>
    </row>
    <row r="85" spans="1:5" x14ac:dyDescent="0.15">
      <c r="A85" s="8" t="s">
        <v>65</v>
      </c>
      <c r="B85" s="8" t="s">
        <v>172</v>
      </c>
      <c r="C85" s="8" t="s">
        <v>251</v>
      </c>
      <c r="D85" s="8" t="s">
        <v>252</v>
      </c>
      <c r="E85" s="8" t="s">
        <v>37</v>
      </c>
    </row>
    <row r="86" spans="1:5" x14ac:dyDescent="0.15">
      <c r="A86" s="8" t="s">
        <v>66</v>
      </c>
      <c r="B86" s="8" t="s">
        <v>116</v>
      </c>
      <c r="C86" s="8" t="s">
        <v>251</v>
      </c>
      <c r="D86" s="8" t="s">
        <v>252</v>
      </c>
      <c r="E86" s="8" t="s">
        <v>37</v>
      </c>
    </row>
    <row r="87" spans="1:5" x14ac:dyDescent="0.15">
      <c r="A87" s="8" t="s">
        <v>167</v>
      </c>
      <c r="B87" s="8" t="s">
        <v>168</v>
      </c>
      <c r="C87" s="8" t="s">
        <v>288</v>
      </c>
      <c r="D87" s="8" t="s">
        <v>252</v>
      </c>
      <c r="E87" s="8" t="s">
        <v>133</v>
      </c>
    </row>
    <row r="88" spans="1:5" x14ac:dyDescent="0.15">
      <c r="A88" s="8" t="s">
        <v>293</v>
      </c>
      <c r="B88" s="8" t="s">
        <v>294</v>
      </c>
      <c r="C88" s="8" t="s">
        <v>251</v>
      </c>
      <c r="D88" s="8" t="s">
        <v>252</v>
      </c>
      <c r="E88" s="8" t="s">
        <v>37</v>
      </c>
    </row>
    <row r="89" spans="1:5" x14ac:dyDescent="0.15">
      <c r="A89" s="8" t="s">
        <v>149</v>
      </c>
      <c r="B89" s="8" t="s">
        <v>295</v>
      </c>
      <c r="C89" s="8" t="s">
        <v>251</v>
      </c>
      <c r="D89" s="8" t="s">
        <v>252</v>
      </c>
      <c r="E89" s="8" t="s">
        <v>37</v>
      </c>
    </row>
    <row r="90" spans="1:5" x14ac:dyDescent="0.15">
      <c r="A90" s="8" t="s">
        <v>114</v>
      </c>
      <c r="B90" s="8" t="s">
        <v>115</v>
      </c>
      <c r="C90" s="8" t="s">
        <v>251</v>
      </c>
      <c r="D90" s="8" t="s">
        <v>252</v>
      </c>
      <c r="E90" s="8" t="s">
        <v>37</v>
      </c>
    </row>
    <row r="91" spans="1:5" x14ac:dyDescent="0.15">
      <c r="A91" s="8" t="s">
        <v>23</v>
      </c>
      <c r="B91" s="8" t="s">
        <v>159</v>
      </c>
      <c r="C91" s="8" t="s">
        <v>251</v>
      </c>
      <c r="D91" s="8" t="s">
        <v>252</v>
      </c>
      <c r="E91" s="8" t="s">
        <v>37</v>
      </c>
    </row>
    <row r="92" spans="1:5" x14ac:dyDescent="0.15">
      <c r="A92" s="8" t="s">
        <v>67</v>
      </c>
      <c r="B92" s="8" t="s">
        <v>162</v>
      </c>
      <c r="C92" s="8" t="s">
        <v>251</v>
      </c>
      <c r="D92" s="8" t="s">
        <v>252</v>
      </c>
      <c r="E92" s="8" t="s">
        <v>37</v>
      </c>
    </row>
    <row r="93" spans="1:5" x14ac:dyDescent="0.15">
      <c r="A93" s="8" t="s">
        <v>28</v>
      </c>
      <c r="B93" s="8" t="s">
        <v>202</v>
      </c>
      <c r="C93" s="8" t="s">
        <v>251</v>
      </c>
      <c r="D93" s="8" t="s">
        <v>252</v>
      </c>
      <c r="E93" s="8" t="s">
        <v>37</v>
      </c>
    </row>
    <row r="94" spans="1:5" x14ac:dyDescent="0.15">
      <c r="A94" s="8" t="s">
        <v>296</v>
      </c>
      <c r="B94" s="8" t="s">
        <v>296</v>
      </c>
      <c r="C94" s="8" t="s">
        <v>261</v>
      </c>
      <c r="D94" s="8" t="s">
        <v>262</v>
      </c>
      <c r="E94" s="8" t="s">
        <v>37</v>
      </c>
    </row>
    <row r="95" spans="1:5" x14ac:dyDescent="0.15">
      <c r="A95" s="8" t="s">
        <v>297</v>
      </c>
      <c r="B95" s="8" t="s">
        <v>297</v>
      </c>
      <c r="C95" s="8" t="s">
        <v>261</v>
      </c>
      <c r="D95" s="8" t="s">
        <v>262</v>
      </c>
      <c r="E95" s="8" t="s">
        <v>37</v>
      </c>
    </row>
    <row r="96" spans="1:5" x14ac:dyDescent="0.15">
      <c r="A96" s="8" t="s">
        <v>298</v>
      </c>
      <c r="B96" s="8" t="s">
        <v>298</v>
      </c>
      <c r="C96" s="8" t="s">
        <v>261</v>
      </c>
      <c r="D96" s="8" t="s">
        <v>262</v>
      </c>
      <c r="E96" s="8" t="s">
        <v>37</v>
      </c>
    </row>
    <row r="97" spans="1:5" x14ac:dyDescent="0.15">
      <c r="A97" s="8" t="s">
        <v>299</v>
      </c>
      <c r="B97" s="8" t="s">
        <v>299</v>
      </c>
      <c r="C97" s="8" t="s">
        <v>261</v>
      </c>
      <c r="D97" s="8" t="s">
        <v>262</v>
      </c>
      <c r="E97" s="8" t="s">
        <v>37</v>
      </c>
    </row>
    <row r="98" spans="1:5" x14ac:dyDescent="0.15">
      <c r="A98" s="8" t="s">
        <v>300</v>
      </c>
      <c r="B98" s="8" t="s">
        <v>300</v>
      </c>
      <c r="C98" s="8" t="s">
        <v>261</v>
      </c>
      <c r="D98" s="8" t="s">
        <v>262</v>
      </c>
      <c r="E98" s="8" t="s">
        <v>37</v>
      </c>
    </row>
    <row r="99" spans="1:5" x14ac:dyDescent="0.15">
      <c r="A99" s="8" t="s">
        <v>301</v>
      </c>
      <c r="B99" s="8" t="s">
        <v>301</v>
      </c>
      <c r="C99" s="8" t="s">
        <v>261</v>
      </c>
      <c r="D99" s="8" t="s">
        <v>262</v>
      </c>
      <c r="E99" s="8" t="s">
        <v>37</v>
      </c>
    </row>
    <row r="100" spans="1:5" x14ac:dyDescent="0.15">
      <c r="A100" s="8" t="s">
        <v>302</v>
      </c>
      <c r="B100" s="8" t="s">
        <v>303</v>
      </c>
      <c r="C100" s="8" t="s">
        <v>251</v>
      </c>
      <c r="D100" s="8" t="s">
        <v>252</v>
      </c>
      <c r="E100" s="8" t="s">
        <v>120</v>
      </c>
    </row>
    <row r="101" spans="1:5" x14ac:dyDescent="0.15">
      <c r="A101" s="8" t="s">
        <v>198</v>
      </c>
      <c r="B101" s="8" t="s">
        <v>210</v>
      </c>
      <c r="C101" s="8" t="s">
        <v>251</v>
      </c>
      <c r="D101" s="8" t="s">
        <v>252</v>
      </c>
      <c r="E101" s="8" t="s">
        <v>133</v>
      </c>
    </row>
    <row r="102" spans="1:5" x14ac:dyDescent="0.15">
      <c r="A102" s="8" t="s">
        <v>304</v>
      </c>
      <c r="B102" s="8" t="s">
        <v>304</v>
      </c>
      <c r="C102" s="8" t="s">
        <v>261</v>
      </c>
      <c r="D102" s="8" t="s">
        <v>262</v>
      </c>
      <c r="E102" s="8" t="s">
        <v>37</v>
      </c>
    </row>
    <row r="103" spans="1:5" x14ac:dyDescent="0.15">
      <c r="A103" s="8" t="s">
        <v>305</v>
      </c>
      <c r="B103" s="8" t="s">
        <v>305</v>
      </c>
      <c r="C103" s="8" t="s">
        <v>261</v>
      </c>
      <c r="D103" s="8" t="s">
        <v>262</v>
      </c>
      <c r="E103" s="8" t="s">
        <v>37</v>
      </c>
    </row>
    <row r="104" spans="1:5" x14ac:dyDescent="0.15">
      <c r="A104" s="8" t="s">
        <v>306</v>
      </c>
      <c r="B104" s="8" t="s">
        <v>306</v>
      </c>
      <c r="C104" s="8" t="s">
        <v>261</v>
      </c>
      <c r="D104" s="8" t="s">
        <v>262</v>
      </c>
      <c r="E104" s="8" t="s">
        <v>37</v>
      </c>
    </row>
    <row r="105" spans="1:5" x14ac:dyDescent="0.15">
      <c r="A105" s="8" t="s">
        <v>307</v>
      </c>
      <c r="B105" s="8" t="s">
        <v>307</v>
      </c>
      <c r="C105" s="8" t="s">
        <v>261</v>
      </c>
      <c r="D105" s="8" t="s">
        <v>262</v>
      </c>
      <c r="E105" s="8" t="s">
        <v>37</v>
      </c>
    </row>
    <row r="106" spans="1:5" x14ac:dyDescent="0.15">
      <c r="A106" s="8" t="s">
        <v>308</v>
      </c>
      <c r="B106" s="8" t="s">
        <v>308</v>
      </c>
      <c r="C106" s="8" t="s">
        <v>261</v>
      </c>
      <c r="D106" s="8" t="s">
        <v>262</v>
      </c>
      <c r="E106" s="8" t="s">
        <v>37</v>
      </c>
    </row>
    <row r="107" spans="1:5" x14ac:dyDescent="0.15">
      <c r="A107" s="8" t="s">
        <v>309</v>
      </c>
      <c r="B107" s="8" t="s">
        <v>309</v>
      </c>
      <c r="C107" s="8" t="s">
        <v>261</v>
      </c>
      <c r="D107" s="8" t="s">
        <v>262</v>
      </c>
      <c r="E107" s="8" t="s">
        <v>37</v>
      </c>
    </row>
    <row r="108" spans="1:5" x14ac:dyDescent="0.15">
      <c r="A108" s="8" t="s">
        <v>310</v>
      </c>
      <c r="B108" s="8" t="s">
        <v>310</v>
      </c>
      <c r="C108" s="8" t="s">
        <v>261</v>
      </c>
      <c r="D108" s="8" t="s">
        <v>262</v>
      </c>
      <c r="E108" s="8" t="s">
        <v>37</v>
      </c>
    </row>
    <row r="109" spans="1:5" x14ac:dyDescent="0.15">
      <c r="A109" s="8" t="s">
        <v>311</v>
      </c>
      <c r="B109" s="8" t="s">
        <v>311</v>
      </c>
      <c r="C109" s="8" t="s">
        <v>261</v>
      </c>
      <c r="D109" s="8" t="s">
        <v>262</v>
      </c>
      <c r="E109" s="8" t="s">
        <v>37</v>
      </c>
    </row>
    <row r="110" spans="1:5" x14ac:dyDescent="0.15">
      <c r="A110" s="8" t="s">
        <v>312</v>
      </c>
      <c r="B110" s="8" t="s">
        <v>312</v>
      </c>
      <c r="C110" s="8" t="s">
        <v>261</v>
      </c>
      <c r="D110" s="8" t="s">
        <v>262</v>
      </c>
      <c r="E110" s="8" t="s">
        <v>37</v>
      </c>
    </row>
    <row r="111" spans="1:5" x14ac:dyDescent="0.15">
      <c r="A111" s="8" t="s">
        <v>313</v>
      </c>
      <c r="B111" s="8" t="s">
        <v>313</v>
      </c>
      <c r="C111" s="8" t="s">
        <v>261</v>
      </c>
      <c r="D111" s="8" t="s">
        <v>262</v>
      </c>
      <c r="E111" s="8" t="s">
        <v>37</v>
      </c>
    </row>
    <row r="112" spans="1:5" x14ac:dyDescent="0.15">
      <c r="A112" s="8" t="s">
        <v>314</v>
      </c>
      <c r="B112" s="8" t="s">
        <v>314</v>
      </c>
      <c r="C112" s="8" t="s">
        <v>261</v>
      </c>
      <c r="D112" s="8" t="s">
        <v>262</v>
      </c>
      <c r="E112" s="8" t="s">
        <v>37</v>
      </c>
    </row>
    <row r="113" spans="1:5" x14ac:dyDescent="0.15">
      <c r="A113" s="8" t="s">
        <v>315</v>
      </c>
      <c r="B113" s="8" t="s">
        <v>315</v>
      </c>
      <c r="C113" s="8" t="s">
        <v>261</v>
      </c>
      <c r="D113" s="8" t="s">
        <v>262</v>
      </c>
      <c r="E113" s="8" t="s">
        <v>37</v>
      </c>
    </row>
    <row r="114" spans="1:5" x14ac:dyDescent="0.15">
      <c r="A114" s="8" t="s">
        <v>205</v>
      </c>
      <c r="B114" s="8" t="s">
        <v>205</v>
      </c>
      <c r="C114" s="8" t="s">
        <v>261</v>
      </c>
      <c r="D114" s="8" t="s">
        <v>262</v>
      </c>
      <c r="E114" s="8" t="s">
        <v>37</v>
      </c>
    </row>
    <row r="115" spans="1:5" x14ac:dyDescent="0.15">
      <c r="A115" s="8" t="s">
        <v>316</v>
      </c>
      <c r="B115" s="8" t="s">
        <v>316</v>
      </c>
      <c r="C115" s="8" t="s">
        <v>261</v>
      </c>
      <c r="D115" s="8" t="s">
        <v>262</v>
      </c>
      <c r="E115" s="8" t="s">
        <v>37</v>
      </c>
    </row>
    <row r="116" spans="1:5" x14ac:dyDescent="0.15">
      <c r="A116" s="8" t="s">
        <v>150</v>
      </c>
      <c r="B116" s="8" t="s">
        <v>317</v>
      </c>
      <c r="C116" s="8" t="s">
        <v>251</v>
      </c>
      <c r="D116" s="8" t="s">
        <v>252</v>
      </c>
      <c r="E116" s="8" t="s">
        <v>120</v>
      </c>
    </row>
    <row r="117" spans="1:5" x14ac:dyDescent="0.15">
      <c r="A117" s="8" t="s">
        <v>151</v>
      </c>
      <c r="B117" s="8" t="s">
        <v>318</v>
      </c>
      <c r="C117" s="8" t="s">
        <v>251</v>
      </c>
      <c r="D117" s="8" t="s">
        <v>252</v>
      </c>
      <c r="E117" s="8" t="s">
        <v>120</v>
      </c>
    </row>
    <row r="118" spans="1:5" x14ac:dyDescent="0.15">
      <c r="A118" s="8" t="s">
        <v>199</v>
      </c>
      <c r="B118" s="8" t="s">
        <v>319</v>
      </c>
      <c r="C118" s="8" t="s">
        <v>251</v>
      </c>
      <c r="D118" s="8" t="s">
        <v>252</v>
      </c>
      <c r="E118" s="8" t="s">
        <v>37</v>
      </c>
    </row>
    <row r="119" spans="1:5" x14ac:dyDescent="0.15">
      <c r="A119" s="8" t="s">
        <v>68</v>
      </c>
      <c r="B119" s="8" t="s">
        <v>166</v>
      </c>
      <c r="C119" s="8" t="s">
        <v>251</v>
      </c>
      <c r="D119" s="8" t="s">
        <v>252</v>
      </c>
      <c r="E119" s="8" t="s">
        <v>37</v>
      </c>
    </row>
    <row r="120" spans="1:5" ht="27" x14ac:dyDescent="0.15">
      <c r="A120" s="8" t="s">
        <v>369</v>
      </c>
      <c r="B120" s="11" t="s">
        <v>370</v>
      </c>
      <c r="C120" s="8" t="s">
        <v>251</v>
      </c>
      <c r="D120" s="8" t="s">
        <v>252</v>
      </c>
      <c r="E120" s="8" t="s">
        <v>37</v>
      </c>
    </row>
    <row r="121" spans="1:5" ht="27" x14ac:dyDescent="0.15">
      <c r="A121" s="8" t="s">
        <v>371</v>
      </c>
      <c r="B121" s="11" t="s">
        <v>372</v>
      </c>
      <c r="C121" s="8" t="s">
        <v>251</v>
      </c>
      <c r="D121" s="8" t="s">
        <v>252</v>
      </c>
      <c r="E121" s="8" t="s">
        <v>37</v>
      </c>
    </row>
    <row r="122" spans="1:5" x14ac:dyDescent="0.15">
      <c r="A122" s="8" t="s">
        <v>117</v>
      </c>
      <c r="B122" s="8" t="s">
        <v>118</v>
      </c>
      <c r="C122" s="8" t="s">
        <v>251</v>
      </c>
      <c r="D122" s="8" t="s">
        <v>252</v>
      </c>
      <c r="E122" s="8" t="s">
        <v>37</v>
      </c>
    </row>
    <row r="123" spans="1:5" x14ac:dyDescent="0.15">
      <c r="A123" s="8" t="s">
        <v>373</v>
      </c>
      <c r="B123" s="8" t="s">
        <v>374</v>
      </c>
      <c r="C123" s="8" t="s">
        <v>251</v>
      </c>
      <c r="D123" s="8" t="s">
        <v>186</v>
      </c>
      <c r="E123" s="8" t="s">
        <v>37</v>
      </c>
    </row>
    <row r="124" spans="1:5" x14ac:dyDescent="0.15">
      <c r="A124" s="8" t="s">
        <v>200</v>
      </c>
      <c r="B124" s="8" t="s">
        <v>320</v>
      </c>
      <c r="C124" s="8" t="s">
        <v>251</v>
      </c>
      <c r="D124" s="8" t="s">
        <v>252</v>
      </c>
      <c r="E124" s="8" t="s">
        <v>37</v>
      </c>
    </row>
    <row r="125" spans="1:5" x14ac:dyDescent="0.15">
      <c r="A125" s="8" t="s">
        <v>105</v>
      </c>
      <c r="B125" s="8" t="s">
        <v>321</v>
      </c>
      <c r="C125" s="8" t="s">
        <v>251</v>
      </c>
      <c r="D125" s="8" t="s">
        <v>252</v>
      </c>
      <c r="E125" s="8" t="s">
        <v>37</v>
      </c>
    </row>
    <row r="126" spans="1:5" x14ac:dyDescent="0.15">
      <c r="A126" s="8" t="s">
        <v>201</v>
      </c>
      <c r="B126" s="8" t="s">
        <v>322</v>
      </c>
      <c r="C126" s="8" t="s">
        <v>251</v>
      </c>
      <c r="D126" s="8" t="s">
        <v>252</v>
      </c>
      <c r="E126" s="8" t="s">
        <v>37</v>
      </c>
    </row>
    <row r="127" spans="1:5" x14ac:dyDescent="0.15">
      <c r="A127" s="8" t="s">
        <v>323</v>
      </c>
      <c r="B127" s="8" t="s">
        <v>323</v>
      </c>
      <c r="C127" s="8" t="s">
        <v>254</v>
      </c>
      <c r="D127" s="8" t="s">
        <v>252</v>
      </c>
      <c r="E127" s="8" t="s">
        <v>37</v>
      </c>
    </row>
    <row r="128" spans="1:5" x14ac:dyDescent="0.15">
      <c r="A128" s="8" t="s">
        <v>324</v>
      </c>
      <c r="B128" s="8" t="s">
        <v>324</v>
      </c>
      <c r="C128" s="8" t="s">
        <v>261</v>
      </c>
      <c r="D128" s="8" t="s">
        <v>262</v>
      </c>
      <c r="E128" s="8" t="s">
        <v>37</v>
      </c>
    </row>
    <row r="129" spans="1:5" x14ac:dyDescent="0.15">
      <c r="A129" s="8" t="s">
        <v>325</v>
      </c>
      <c r="B129" s="8" t="s">
        <v>325</v>
      </c>
      <c r="C129" s="8" t="s">
        <v>254</v>
      </c>
      <c r="D129" s="8" t="s">
        <v>252</v>
      </c>
      <c r="E129" s="8" t="s">
        <v>37</v>
      </c>
    </row>
    <row r="130" spans="1:5" x14ac:dyDescent="0.15">
      <c r="A130" s="8" t="s">
        <v>326</v>
      </c>
      <c r="B130" s="8" t="s">
        <v>326</v>
      </c>
      <c r="C130" s="8" t="s">
        <v>254</v>
      </c>
      <c r="D130" s="8" t="s">
        <v>252</v>
      </c>
      <c r="E130" s="8" t="s">
        <v>37</v>
      </c>
    </row>
    <row r="131" spans="1:5" x14ac:dyDescent="0.15">
      <c r="A131" s="8" t="s">
        <v>327</v>
      </c>
      <c r="B131" s="8" t="s">
        <v>327</v>
      </c>
      <c r="C131" s="8" t="s">
        <v>254</v>
      </c>
      <c r="D131" s="8" t="s">
        <v>252</v>
      </c>
      <c r="E131" s="8" t="s">
        <v>37</v>
      </c>
    </row>
    <row r="132" spans="1:5" x14ac:dyDescent="0.15">
      <c r="A132" s="8" t="s">
        <v>328</v>
      </c>
      <c r="B132" s="8" t="s">
        <v>328</v>
      </c>
      <c r="C132" s="8" t="s">
        <v>254</v>
      </c>
      <c r="D132" s="8" t="s">
        <v>252</v>
      </c>
      <c r="E132" s="8" t="s">
        <v>37</v>
      </c>
    </row>
    <row r="133" spans="1:5" x14ac:dyDescent="0.15">
      <c r="A133" s="8" t="s">
        <v>329</v>
      </c>
      <c r="B133" s="8" t="s">
        <v>329</v>
      </c>
      <c r="C133" s="8" t="s">
        <v>254</v>
      </c>
      <c r="D133" s="8" t="s">
        <v>252</v>
      </c>
      <c r="E133" s="8" t="s">
        <v>37</v>
      </c>
    </row>
    <row r="134" spans="1:5" x14ac:dyDescent="0.15">
      <c r="A134" s="8" t="s">
        <v>330</v>
      </c>
      <c r="B134" s="8" t="s">
        <v>330</v>
      </c>
      <c r="C134" s="8" t="s">
        <v>254</v>
      </c>
      <c r="D134" s="8" t="s">
        <v>252</v>
      </c>
      <c r="E134" s="8" t="s">
        <v>37</v>
      </c>
    </row>
    <row r="135" spans="1:5" x14ac:dyDescent="0.15">
      <c r="A135" s="8" t="s">
        <v>331</v>
      </c>
      <c r="B135" s="8" t="s">
        <v>331</v>
      </c>
      <c r="C135" s="8" t="s">
        <v>254</v>
      </c>
      <c r="D135" s="8" t="s">
        <v>252</v>
      </c>
      <c r="E135" s="8" t="s">
        <v>37</v>
      </c>
    </row>
    <row r="136" spans="1:5" x14ac:dyDescent="0.15">
      <c r="A136" s="8" t="s">
        <v>69</v>
      </c>
      <c r="B136" s="8" t="s">
        <v>69</v>
      </c>
      <c r="C136" s="8" t="s">
        <v>254</v>
      </c>
      <c r="D136" s="8" t="s">
        <v>252</v>
      </c>
      <c r="E136" s="8" t="s">
        <v>37</v>
      </c>
    </row>
    <row r="137" spans="1:5" x14ac:dyDescent="0.15">
      <c r="A137" s="8" t="s">
        <v>332</v>
      </c>
      <c r="B137" s="8" t="s">
        <v>332</v>
      </c>
      <c r="C137" s="8" t="s">
        <v>254</v>
      </c>
      <c r="D137" s="8" t="s">
        <v>252</v>
      </c>
      <c r="E137" s="8" t="s">
        <v>37</v>
      </c>
    </row>
    <row r="138" spans="1:5" x14ac:dyDescent="0.15">
      <c r="A138" s="8" t="s">
        <v>333</v>
      </c>
      <c r="B138" s="8" t="s">
        <v>333</v>
      </c>
      <c r="C138" s="8" t="s">
        <v>261</v>
      </c>
      <c r="D138" s="8" t="s">
        <v>262</v>
      </c>
      <c r="E138" s="8" t="s">
        <v>37</v>
      </c>
    </row>
    <row r="139" spans="1:5" ht="27" x14ac:dyDescent="0.15">
      <c r="A139" s="8" t="s">
        <v>207</v>
      </c>
      <c r="B139" s="11" t="s">
        <v>208</v>
      </c>
      <c r="C139" s="8" t="s">
        <v>261</v>
      </c>
      <c r="D139" s="8" t="s">
        <v>262</v>
      </c>
      <c r="E139" s="8" t="s">
        <v>37</v>
      </c>
    </row>
    <row r="140" spans="1:5" x14ac:dyDescent="0.15">
      <c r="A140" s="8" t="s">
        <v>218</v>
      </c>
      <c r="B140" s="8" t="s">
        <v>218</v>
      </c>
      <c r="C140" s="8" t="s">
        <v>261</v>
      </c>
      <c r="D140" s="8" t="s">
        <v>262</v>
      </c>
      <c r="E140" s="8" t="s">
        <v>37</v>
      </c>
    </row>
    <row r="141" spans="1:5" x14ac:dyDescent="0.15">
      <c r="A141" s="8" t="s">
        <v>334</v>
      </c>
      <c r="B141" s="8" t="s">
        <v>334</v>
      </c>
      <c r="C141" s="8" t="s">
        <v>261</v>
      </c>
      <c r="D141" s="8" t="s">
        <v>262</v>
      </c>
      <c r="E141" s="8" t="s">
        <v>37</v>
      </c>
    </row>
    <row r="142" spans="1:5" x14ac:dyDescent="0.15">
      <c r="A142" s="8" t="s">
        <v>335</v>
      </c>
      <c r="B142" s="8" t="s">
        <v>335</v>
      </c>
      <c r="C142" s="8" t="s">
        <v>261</v>
      </c>
      <c r="D142" s="8" t="s">
        <v>262</v>
      </c>
      <c r="E142" s="8" t="s">
        <v>37</v>
      </c>
    </row>
    <row r="143" spans="1:5" x14ac:dyDescent="0.15">
      <c r="A143" s="8" t="s">
        <v>209</v>
      </c>
      <c r="B143" s="8" t="s">
        <v>209</v>
      </c>
      <c r="C143" s="8" t="s">
        <v>261</v>
      </c>
      <c r="D143" s="8" t="s">
        <v>262</v>
      </c>
      <c r="E143" s="8" t="s">
        <v>37</v>
      </c>
    </row>
    <row r="144" spans="1:5" x14ac:dyDescent="0.15">
      <c r="A144" s="8" t="s">
        <v>336</v>
      </c>
      <c r="B144" s="8" t="s">
        <v>336</v>
      </c>
      <c r="C144" s="8" t="s">
        <v>261</v>
      </c>
      <c r="D144" s="8" t="s">
        <v>262</v>
      </c>
      <c r="E144" s="8" t="s">
        <v>37</v>
      </c>
    </row>
    <row r="145" spans="1:5" x14ac:dyDescent="0.15">
      <c r="A145" s="8" t="s">
        <v>19</v>
      </c>
      <c r="B145" s="8" t="s">
        <v>35</v>
      </c>
      <c r="C145" s="8" t="s">
        <v>261</v>
      </c>
      <c r="D145" s="8" t="s">
        <v>262</v>
      </c>
      <c r="E145" s="8" t="s">
        <v>37</v>
      </c>
    </row>
    <row r="146" spans="1:5" x14ac:dyDescent="0.15">
      <c r="A146" s="8" t="s">
        <v>337</v>
      </c>
      <c r="B146" s="8" t="s">
        <v>337</v>
      </c>
      <c r="C146" s="8" t="s">
        <v>261</v>
      </c>
      <c r="D146" s="8" t="s">
        <v>262</v>
      </c>
      <c r="E146" s="8" t="s">
        <v>37</v>
      </c>
    </row>
    <row r="147" spans="1:5" x14ac:dyDescent="0.15">
      <c r="A147" s="8" t="s">
        <v>338</v>
      </c>
      <c r="B147" s="8" t="s">
        <v>338</v>
      </c>
      <c r="C147" s="8" t="s">
        <v>261</v>
      </c>
      <c r="D147" s="8" t="s">
        <v>262</v>
      </c>
      <c r="E147" s="8" t="s">
        <v>37</v>
      </c>
    </row>
    <row r="148" spans="1:5" x14ac:dyDescent="0.15">
      <c r="A148" s="8" t="s">
        <v>339</v>
      </c>
      <c r="B148" s="8" t="s">
        <v>339</v>
      </c>
      <c r="C148" s="8" t="s">
        <v>261</v>
      </c>
      <c r="D148" s="8" t="s">
        <v>262</v>
      </c>
      <c r="E148" s="8" t="s">
        <v>37</v>
      </c>
    </row>
    <row r="149" spans="1:5" x14ac:dyDescent="0.15">
      <c r="A149" s="8" t="s">
        <v>340</v>
      </c>
      <c r="B149" s="8" t="s">
        <v>341</v>
      </c>
      <c r="C149" s="8" t="s">
        <v>261</v>
      </c>
      <c r="D149" s="8" t="s">
        <v>262</v>
      </c>
      <c r="E149" s="8" t="s">
        <v>37</v>
      </c>
    </row>
    <row r="150" spans="1:5" x14ac:dyDescent="0.15">
      <c r="A150" s="8" t="s">
        <v>342</v>
      </c>
      <c r="B150" s="8" t="s">
        <v>343</v>
      </c>
      <c r="C150" s="8" t="s">
        <v>261</v>
      </c>
      <c r="D150" s="8" t="s">
        <v>262</v>
      </c>
      <c r="E150" s="8" t="s">
        <v>37</v>
      </c>
    </row>
    <row r="151" spans="1:5" x14ac:dyDescent="0.15">
      <c r="A151" s="8" t="s">
        <v>344</v>
      </c>
      <c r="B151" s="8" t="s">
        <v>345</v>
      </c>
      <c r="C151" s="8" t="s">
        <v>261</v>
      </c>
      <c r="D151" s="8" t="s">
        <v>262</v>
      </c>
      <c r="E151" s="8" t="s">
        <v>37</v>
      </c>
    </row>
    <row r="152" spans="1:5" x14ac:dyDescent="0.15">
      <c r="A152" s="8" t="s">
        <v>346</v>
      </c>
      <c r="B152" s="8" t="s">
        <v>347</v>
      </c>
      <c r="C152" s="8" t="s">
        <v>261</v>
      </c>
      <c r="D152" s="8" t="s">
        <v>262</v>
      </c>
      <c r="E152" s="8" t="s">
        <v>37</v>
      </c>
    </row>
    <row r="153" spans="1:5" x14ac:dyDescent="0.15">
      <c r="A153" s="8" t="s">
        <v>348</v>
      </c>
      <c r="B153" s="8" t="s">
        <v>349</v>
      </c>
      <c r="C153" s="8" t="s">
        <v>261</v>
      </c>
      <c r="D153" s="8" t="s">
        <v>262</v>
      </c>
      <c r="E153" s="8" t="s">
        <v>37</v>
      </c>
    </row>
    <row r="154" spans="1:5" x14ac:dyDescent="0.15">
      <c r="A154" s="8" t="s">
        <v>350</v>
      </c>
      <c r="B154" s="8" t="s">
        <v>350</v>
      </c>
      <c r="C154" s="8" t="s">
        <v>261</v>
      </c>
      <c r="D154" s="8" t="s">
        <v>262</v>
      </c>
      <c r="E154" s="8" t="s">
        <v>37</v>
      </c>
    </row>
    <row r="155" spans="1:5" x14ac:dyDescent="0.15">
      <c r="A155" s="8" t="s">
        <v>219</v>
      </c>
      <c r="B155" s="8" t="s">
        <v>219</v>
      </c>
      <c r="C155" s="8" t="s">
        <v>261</v>
      </c>
      <c r="D155" s="8" t="s">
        <v>262</v>
      </c>
      <c r="E155" s="8" t="s">
        <v>37</v>
      </c>
    </row>
    <row r="156" spans="1:5" x14ac:dyDescent="0.15">
      <c r="A156" s="8" t="s">
        <v>351</v>
      </c>
      <c r="B156" s="8" t="s">
        <v>351</v>
      </c>
      <c r="C156" s="8" t="s">
        <v>261</v>
      </c>
      <c r="D156" s="8" t="s">
        <v>262</v>
      </c>
      <c r="E156" s="8" t="s">
        <v>37</v>
      </c>
    </row>
    <row r="157" spans="1:5" x14ac:dyDescent="0.15">
      <c r="A157" s="3"/>
      <c r="B157" s="3"/>
      <c r="C157" s="3"/>
      <c r="D157" s="3"/>
      <c r="E157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7"/>
  <sheetViews>
    <sheetView workbookViewId="0">
      <pane ySplit="10" topLeftCell="A11" activePane="bottomLeft" state="frozen"/>
      <selection pane="bottomLeft" activeCell="B17" sqref="B17"/>
    </sheetView>
  </sheetViews>
  <sheetFormatPr defaultRowHeight="13.5" x14ac:dyDescent="0.15"/>
  <cols>
    <col min="1" max="1" width="11.375" bestFit="1" customWidth="1"/>
    <col min="2" max="3" width="26.875" bestFit="1" customWidth="1"/>
  </cols>
  <sheetData>
    <row r="1" spans="1:3" x14ac:dyDescent="0.15">
      <c r="A1" t="s">
        <v>238</v>
      </c>
    </row>
    <row r="2" spans="1:3" x14ac:dyDescent="0.15">
      <c r="A2" t="s">
        <v>244</v>
      </c>
      <c r="B2" t="s">
        <v>245</v>
      </c>
    </row>
    <row r="3" spans="1:3" x14ac:dyDescent="0.15">
      <c r="A3" t="s">
        <v>239</v>
      </c>
      <c r="B3" t="s">
        <v>239</v>
      </c>
    </row>
    <row r="4" spans="1:3" x14ac:dyDescent="0.15">
      <c r="A4" t="s">
        <v>240</v>
      </c>
      <c r="B4" t="s">
        <v>240</v>
      </c>
    </row>
    <row r="5" spans="1:3" x14ac:dyDescent="0.15">
      <c r="A5" t="s">
        <v>241</v>
      </c>
      <c r="B5" t="s">
        <v>241</v>
      </c>
    </row>
    <row r="6" spans="1:3" x14ac:dyDescent="0.15">
      <c r="A6" t="s">
        <v>242</v>
      </c>
      <c r="B6" t="s">
        <v>242</v>
      </c>
    </row>
    <row r="7" spans="1:3" x14ac:dyDescent="0.15">
      <c r="A7" t="s">
        <v>352</v>
      </c>
      <c r="B7" t="s">
        <v>352</v>
      </c>
    </row>
    <row r="9" spans="1:3" x14ac:dyDescent="0.15">
      <c r="A9" t="s">
        <v>243</v>
      </c>
    </row>
    <row r="10" spans="1:3" x14ac:dyDescent="0.15">
      <c r="A10" t="s">
        <v>244</v>
      </c>
      <c r="B10" t="s">
        <v>246</v>
      </c>
      <c r="C10" t="s">
        <v>247</v>
      </c>
    </row>
    <row r="11" spans="1:3" x14ac:dyDescent="0.15">
      <c r="A11" t="s">
        <v>239</v>
      </c>
      <c r="B11" t="s">
        <v>6</v>
      </c>
      <c r="C11" t="s">
        <v>6</v>
      </c>
    </row>
    <row r="12" spans="1:3" x14ac:dyDescent="0.15">
      <c r="A12" t="s">
        <v>239</v>
      </c>
      <c r="B12" t="s">
        <v>49</v>
      </c>
      <c r="C12" t="s">
        <v>49</v>
      </c>
    </row>
    <row r="13" spans="1:3" x14ac:dyDescent="0.15">
      <c r="A13" t="s">
        <v>239</v>
      </c>
      <c r="B13" t="s">
        <v>50</v>
      </c>
      <c r="C13" t="s">
        <v>50</v>
      </c>
    </row>
    <row r="14" spans="1:3" x14ac:dyDescent="0.15">
      <c r="A14" t="s">
        <v>239</v>
      </c>
      <c r="B14" t="s">
        <v>82</v>
      </c>
      <c r="C14" t="s">
        <v>82</v>
      </c>
    </row>
    <row r="15" spans="1:3" x14ac:dyDescent="0.15">
      <c r="A15" t="s">
        <v>239</v>
      </c>
      <c r="B15" t="s">
        <v>87</v>
      </c>
      <c r="C15" t="s">
        <v>87</v>
      </c>
    </row>
    <row r="16" spans="1:3" x14ac:dyDescent="0.15">
      <c r="A16" t="s">
        <v>239</v>
      </c>
      <c r="B16" t="s">
        <v>88</v>
      </c>
      <c r="C16" t="s">
        <v>88</v>
      </c>
    </row>
    <row r="17" spans="1:3" x14ac:dyDescent="0.15">
      <c r="A17" t="s">
        <v>239</v>
      </c>
      <c r="B17" t="s">
        <v>83</v>
      </c>
      <c r="C17" t="s">
        <v>83</v>
      </c>
    </row>
    <row r="18" spans="1:3" x14ac:dyDescent="0.15">
      <c r="A18" t="s">
        <v>239</v>
      </c>
      <c r="B18" t="s">
        <v>84</v>
      </c>
      <c r="C18" t="s">
        <v>84</v>
      </c>
    </row>
    <row r="19" spans="1:3" x14ac:dyDescent="0.15">
      <c r="A19" s="12" t="s">
        <v>240</v>
      </c>
      <c r="B19" t="s">
        <v>6</v>
      </c>
      <c r="C19" t="s">
        <v>6</v>
      </c>
    </row>
    <row r="20" spans="1:3" x14ac:dyDescent="0.15">
      <c r="A20" s="12" t="s">
        <v>240</v>
      </c>
      <c r="B20" t="s">
        <v>49</v>
      </c>
      <c r="C20" t="s">
        <v>49</v>
      </c>
    </row>
    <row r="21" spans="1:3" x14ac:dyDescent="0.15">
      <c r="A21" s="12" t="s">
        <v>240</v>
      </c>
      <c r="B21" t="s">
        <v>50</v>
      </c>
      <c r="C21" t="s">
        <v>50</v>
      </c>
    </row>
    <row r="22" spans="1:3" x14ac:dyDescent="0.15">
      <c r="A22" s="12" t="s">
        <v>240</v>
      </c>
      <c r="B22" t="s">
        <v>12</v>
      </c>
      <c r="C22" t="s">
        <v>12</v>
      </c>
    </row>
    <row r="23" spans="1:3" x14ac:dyDescent="0.15">
      <c r="A23" s="12" t="s">
        <v>240</v>
      </c>
      <c r="B23" t="s">
        <v>42</v>
      </c>
      <c r="C23" t="s">
        <v>42</v>
      </c>
    </row>
    <row r="24" spans="1:3" x14ac:dyDescent="0.15">
      <c r="A24" s="12" t="s">
        <v>240</v>
      </c>
      <c r="B24" t="s">
        <v>155</v>
      </c>
      <c r="C24" t="s">
        <v>155</v>
      </c>
    </row>
    <row r="25" spans="1:3" x14ac:dyDescent="0.15">
      <c r="A25" s="12" t="s">
        <v>240</v>
      </c>
      <c r="B25" t="s">
        <v>156</v>
      </c>
      <c r="C25" t="s">
        <v>156</v>
      </c>
    </row>
    <row r="26" spans="1:3" x14ac:dyDescent="0.15">
      <c r="A26" s="12" t="s">
        <v>240</v>
      </c>
      <c r="B26" t="s">
        <v>90</v>
      </c>
      <c r="C26" t="s">
        <v>90</v>
      </c>
    </row>
    <row r="27" spans="1:3" x14ac:dyDescent="0.15">
      <c r="A27" s="12" t="s">
        <v>240</v>
      </c>
      <c r="B27" t="s">
        <v>91</v>
      </c>
      <c r="C27" t="s">
        <v>91</v>
      </c>
    </row>
    <row r="28" spans="1:3" x14ac:dyDescent="0.15">
      <c r="A28" s="12" t="s">
        <v>240</v>
      </c>
      <c r="B28" t="s">
        <v>157</v>
      </c>
      <c r="C28" t="s">
        <v>157</v>
      </c>
    </row>
    <row r="29" spans="1:3" x14ac:dyDescent="0.15">
      <c r="A29" s="12" t="s">
        <v>240</v>
      </c>
      <c r="B29" t="s">
        <v>158</v>
      </c>
      <c r="C29" t="s">
        <v>158</v>
      </c>
    </row>
    <row r="30" spans="1:3" x14ac:dyDescent="0.15">
      <c r="A30" s="12" t="s">
        <v>240</v>
      </c>
      <c r="B30" t="s">
        <v>153</v>
      </c>
      <c r="C30" t="s">
        <v>153</v>
      </c>
    </row>
    <row r="31" spans="1:3" x14ac:dyDescent="0.15">
      <c r="A31" s="12" t="s">
        <v>240</v>
      </c>
      <c r="B31" t="s">
        <v>154</v>
      </c>
      <c r="C31" t="s">
        <v>154</v>
      </c>
    </row>
    <row r="32" spans="1:3" x14ac:dyDescent="0.15">
      <c r="A32" s="13" t="s">
        <v>241</v>
      </c>
      <c r="B32" t="s">
        <v>8</v>
      </c>
      <c r="C32" t="s">
        <v>8</v>
      </c>
    </row>
    <row r="33" spans="1:3" x14ac:dyDescent="0.15">
      <c r="A33" s="13" t="s">
        <v>241</v>
      </c>
      <c r="B33" t="s">
        <v>9</v>
      </c>
      <c r="C33" t="s">
        <v>9</v>
      </c>
    </row>
    <row r="34" spans="1:3" x14ac:dyDescent="0.15">
      <c r="A34" s="13" t="s">
        <v>241</v>
      </c>
      <c r="B34" t="s">
        <v>6</v>
      </c>
      <c r="C34" t="s">
        <v>6</v>
      </c>
    </row>
    <row r="35" spans="1:3" x14ac:dyDescent="0.15">
      <c r="A35" s="13" t="s">
        <v>241</v>
      </c>
      <c r="B35" t="s">
        <v>30</v>
      </c>
      <c r="C35" t="s">
        <v>30</v>
      </c>
    </row>
    <row r="36" spans="1:3" x14ac:dyDescent="0.15">
      <c r="A36" s="13" t="s">
        <v>241</v>
      </c>
      <c r="B36" t="s">
        <v>49</v>
      </c>
      <c r="C36" t="s">
        <v>49</v>
      </c>
    </row>
    <row r="37" spans="1:3" x14ac:dyDescent="0.15">
      <c r="A37" s="13" t="s">
        <v>241</v>
      </c>
      <c r="B37" t="s">
        <v>50</v>
      </c>
      <c r="C37" t="s">
        <v>50</v>
      </c>
    </row>
    <row r="38" spans="1:3" x14ac:dyDescent="0.15">
      <c r="A38" s="13" t="s">
        <v>241</v>
      </c>
      <c r="B38" t="s">
        <v>10</v>
      </c>
      <c r="C38" t="s">
        <v>10</v>
      </c>
    </row>
    <row r="39" spans="1:3" x14ac:dyDescent="0.15">
      <c r="A39" s="13" t="s">
        <v>241</v>
      </c>
      <c r="B39" t="s">
        <v>11</v>
      </c>
      <c r="C39" t="s">
        <v>11</v>
      </c>
    </row>
    <row r="40" spans="1:3" x14ac:dyDescent="0.15">
      <c r="A40" s="13" t="s">
        <v>241</v>
      </c>
      <c r="B40" t="s">
        <v>12</v>
      </c>
      <c r="C40" t="s">
        <v>12</v>
      </c>
    </row>
    <row r="41" spans="1:3" x14ac:dyDescent="0.15">
      <c r="A41" s="13" t="s">
        <v>241</v>
      </c>
      <c r="B41" t="s">
        <v>36</v>
      </c>
      <c r="C41" t="s">
        <v>36</v>
      </c>
    </row>
    <row r="42" spans="1:3" x14ac:dyDescent="0.15">
      <c r="A42" s="13" t="s">
        <v>241</v>
      </c>
      <c r="B42" t="s">
        <v>7</v>
      </c>
      <c r="C42" t="s">
        <v>7</v>
      </c>
    </row>
    <row r="43" spans="1:3" x14ac:dyDescent="0.15">
      <c r="A43" s="13" t="s">
        <v>241</v>
      </c>
      <c r="B43" t="s">
        <v>152</v>
      </c>
      <c r="C43" t="s">
        <v>152</v>
      </c>
    </row>
    <row r="44" spans="1:3" x14ac:dyDescent="0.15">
      <c r="A44" s="13" t="s">
        <v>241</v>
      </c>
      <c r="B44" t="s">
        <v>45</v>
      </c>
      <c r="C44" t="s">
        <v>45</v>
      </c>
    </row>
    <row r="45" spans="1:3" x14ac:dyDescent="0.15">
      <c r="A45" s="13" t="s">
        <v>241</v>
      </c>
      <c r="B45" t="s">
        <v>92</v>
      </c>
      <c r="C45" t="s">
        <v>92</v>
      </c>
    </row>
    <row r="46" spans="1:3" x14ac:dyDescent="0.15">
      <c r="A46" s="13" t="s">
        <v>242</v>
      </c>
      <c r="B46" t="s">
        <v>8</v>
      </c>
      <c r="C46" t="s">
        <v>8</v>
      </c>
    </row>
    <row r="47" spans="1:3" x14ac:dyDescent="0.15">
      <c r="A47" s="13" t="s">
        <v>242</v>
      </c>
      <c r="B47" t="s">
        <v>9</v>
      </c>
      <c r="C47" t="s">
        <v>9</v>
      </c>
    </row>
    <row r="48" spans="1:3" x14ac:dyDescent="0.15">
      <c r="A48" s="13" t="s">
        <v>242</v>
      </c>
      <c r="B48" t="s">
        <v>6</v>
      </c>
      <c r="C48" t="s">
        <v>6</v>
      </c>
    </row>
    <row r="49" spans="1:3" x14ac:dyDescent="0.15">
      <c r="A49" s="13" t="s">
        <v>242</v>
      </c>
      <c r="B49" t="s">
        <v>30</v>
      </c>
      <c r="C49" t="s">
        <v>30</v>
      </c>
    </row>
    <row r="50" spans="1:3" x14ac:dyDescent="0.15">
      <c r="A50" s="13" t="s">
        <v>242</v>
      </c>
      <c r="B50" t="s">
        <v>47</v>
      </c>
      <c r="C50" t="s">
        <v>47</v>
      </c>
    </row>
    <row r="51" spans="1:3" x14ac:dyDescent="0.15">
      <c r="A51" s="13" t="s">
        <v>242</v>
      </c>
      <c r="B51" t="s">
        <v>49</v>
      </c>
      <c r="C51" t="s">
        <v>49</v>
      </c>
    </row>
    <row r="52" spans="1:3" x14ac:dyDescent="0.15">
      <c r="A52" s="13" t="s">
        <v>242</v>
      </c>
      <c r="B52" t="s">
        <v>50</v>
      </c>
      <c r="C52" t="s">
        <v>50</v>
      </c>
    </row>
    <row r="53" spans="1:3" x14ac:dyDescent="0.15">
      <c r="A53" s="13" t="s">
        <v>242</v>
      </c>
      <c r="B53" t="s">
        <v>12</v>
      </c>
      <c r="C53" t="s">
        <v>12</v>
      </c>
    </row>
    <row r="54" spans="1:3" x14ac:dyDescent="0.15">
      <c r="A54" s="13" t="s">
        <v>242</v>
      </c>
      <c r="B54" t="s">
        <v>36</v>
      </c>
      <c r="C54" t="s">
        <v>36</v>
      </c>
    </row>
    <row r="55" spans="1:3" x14ac:dyDescent="0.15">
      <c r="A55" s="13" t="s">
        <v>242</v>
      </c>
      <c r="B55" t="s">
        <v>41</v>
      </c>
      <c r="C55" t="s">
        <v>41</v>
      </c>
    </row>
    <row r="56" spans="1:3" x14ac:dyDescent="0.15">
      <c r="A56" s="13" t="s">
        <v>242</v>
      </c>
      <c r="B56" t="s">
        <v>42</v>
      </c>
      <c r="C56" t="s">
        <v>42</v>
      </c>
    </row>
    <row r="57" spans="1:3" x14ac:dyDescent="0.15">
      <c r="A57" s="13" t="s">
        <v>242</v>
      </c>
      <c r="B57" t="s">
        <v>45</v>
      </c>
      <c r="C57" t="s">
        <v>45</v>
      </c>
    </row>
    <row r="58" spans="1:3" x14ac:dyDescent="0.15">
      <c r="A58" s="13" t="s">
        <v>242</v>
      </c>
      <c r="B58" t="s">
        <v>43</v>
      </c>
      <c r="C58" t="s">
        <v>43</v>
      </c>
    </row>
    <row r="59" spans="1:3" x14ac:dyDescent="0.15">
      <c r="A59" s="13" t="s">
        <v>242</v>
      </c>
      <c r="B59" t="s">
        <v>44</v>
      </c>
      <c r="C59" t="s">
        <v>44</v>
      </c>
    </row>
    <row r="60" spans="1:3" x14ac:dyDescent="0.15">
      <c r="A60" s="13" t="s">
        <v>242</v>
      </c>
      <c r="B60" t="s">
        <v>7</v>
      </c>
      <c r="C60" t="s">
        <v>7</v>
      </c>
    </row>
    <row r="61" spans="1:3" x14ac:dyDescent="0.15">
      <c r="A61" s="13" t="s">
        <v>242</v>
      </c>
      <c r="B61" t="s">
        <v>46</v>
      </c>
      <c r="C61" t="s">
        <v>46</v>
      </c>
    </row>
    <row r="62" spans="1:3" x14ac:dyDescent="0.15">
      <c r="A62" s="13" t="s">
        <v>242</v>
      </c>
      <c r="B62" t="s">
        <v>48</v>
      </c>
      <c r="C62" t="s">
        <v>48</v>
      </c>
    </row>
    <row r="63" spans="1:3" x14ac:dyDescent="0.15">
      <c r="A63" s="13" t="s">
        <v>352</v>
      </c>
      <c r="B63" t="s">
        <v>6</v>
      </c>
      <c r="C63" t="s">
        <v>6</v>
      </c>
    </row>
    <row r="64" spans="1:3" x14ac:dyDescent="0.15">
      <c r="A64" s="13" t="s">
        <v>352</v>
      </c>
      <c r="B64" t="s">
        <v>30</v>
      </c>
      <c r="C64" t="s">
        <v>30</v>
      </c>
    </row>
    <row r="65" spans="1:3" x14ac:dyDescent="0.15">
      <c r="A65" s="13" t="s">
        <v>352</v>
      </c>
      <c r="B65" t="s">
        <v>249</v>
      </c>
      <c r="C65" t="s">
        <v>249</v>
      </c>
    </row>
    <row r="66" spans="1:3" x14ac:dyDescent="0.15">
      <c r="A66" s="13" t="s">
        <v>352</v>
      </c>
      <c r="B66" t="s">
        <v>250</v>
      </c>
      <c r="C66" t="s">
        <v>250</v>
      </c>
    </row>
    <row r="67" spans="1:3" x14ac:dyDescent="0.15">
      <c r="A67" s="13" t="s">
        <v>352</v>
      </c>
      <c r="B67" t="s">
        <v>36</v>
      </c>
      <c r="C67" t="s">
        <v>36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QAAAAEPEdsb2JlU29mdHdhcmUuQXRsYXM0MC5BdGxhc0NvbW1vbkNsaWVudC5EYXRhU291cmNlRmllbGRWYWx1ZSUAAAAJGAEAAAkZAQAACRoBAAAJGwEAAAQ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kcAQAAAQAAAAEAAAAEK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DAAAACR0BAAAHAAAACR4BAAAEK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R8BAAAHAAAACSABAAABNwAAACkAAAAJIQEAAAEAAAABAAAAATgAAAAqAAAAggAAAAkdAQAABwAAAAkjAQAAATkAAAArAAAAfgAAAAkfAQAABwAAAAklAQAAAUUAAAApAAAACSYBAAABAAAAAQAAAAFGAAAAKgAAAIIAAAAJHQEAAAcAAAAJKAEAAAFHAAAAKwAAAH4AAAAJHwEAAAcAAAAJKgEAAAFTAAAAKQAAAAkrAQAAAQAAAAEAAAABVAAAACoAAABQAAAACSwBAAAHAAAACS0BAAABVQAAACsAAABNAAAACS4BAAAHAAAACS8BAAABYQAAACkAAAAJMAEAAAEAAAABAAAAAWIAAAAqAAAAegAAAAkdAQAABwAAAAkyAQAAAWMAAAArAAAAdwAAAAkfAQAABwAAAAk0AQAAAW8AAAApAAAACTUBAAABAAAAAQAAAAFwAAAAKgAAAF4AAAAJLAEAAAcAAAAJNwEAAAFxAAAAKwAAAFsAAAAJLgEAAAcAAAAJOQEAAAF9AAAAKQAAAAk6AQAAAQAAAAEAAAABfgAAACoAAABeAAAACSwBAAAHAAAACTwBAAABfwAAACsAAABbAAAACS4BAAAHAAAACT4BAAABiwAAACkAAAAJPwEAAAEAAAABAAAAAYwAAAAqAAAAggAAAAkdAQAABwAAAAlBAQAAAY0AAAArAAAAfgAAAAkfAQAABwAAAAlDAQAAAZkAAAApAAAACUQBAAABAAAAAQAAAAGaAAAAKgAAAF4AAAAJLAEAAAcAAAAJRgEAAAGbAAAAKwAAAFsAAAAJLgEAAAcAAAAJSAEAAAGnAAAAKQAAAAlJAQAAAQAAAAEAAAABqAAAACoAAACDAAAACR0BAAAHAAAACUsBAAABqQAAACsAAAB+AAAACR8BAAAHAAAACU0BAAABtQAAACkAAAAJTgEAAAEAAAABAAAAAbYAAAAqAAAAggAAAAkdAQAABwAAAAlQAQAAAbcAAAArAAAAfgAAAAkfAQAABwAAAAlSAQAAAcMAAAApAAAACVMBAAABAAAAAQAAAAHEAAAAKgAAAIIAAAAJHQEAAAcAAAAJVQEAAAHFAAAAKwAAAH4AAAAJHwEAAAcAAAAJVwEAAAHRAAAAKQAAAAlYAQAAAQAAAAEAAAAB0gAAACoAAACCAAAACR0BAAAHAAAACVoBAAAB0wAAACsAAAB+AAAACR8BAAAHAAAACVwBAAAB3wAAACkAAAAJXQEAAAEAAAABAAAAAeAAAAAqAAAAggAAAAkdAQAABwAAAAlfAQAAAeEAAAArAAAAfgAAAAkfAQAABwAAAAlhAQAAAe0AAAApAAAACWIBAAABAAAAAQAAAAHuAAAAKgAAAIIAAAAJHQEAAAcAAAAJZAEAAAHvAAAAKwAAAH4AAAAJHwEAAAcAAAAJZgEAAAH7AAAAKQAAAAlnAQAAAQAAAAEAAAAB/AAAACoAAACCAAAACR0BAAAHAAAACWkBAAAB/QAAACsAAAB+AAAACR8BAAAHAAAACWsBAAABCQEAACkAAAAJbAEAAAEAAAABAAAAAQoBAAAqAAAAfgAAAAkdAQAABwAAAAluAQAAAQsBAAArAAAAdwAAAAkfAQAABwAAAAlwAQAADxcBAAABAAAACAEAAAAFGAEAADxHbG9iZVNvZnR3YXJlLkF0bGFzNDAuQXRsYXNDb21tb25DbGllbnQuRGF0YVNvdXJjZUZpZWxkVmFsdWUEAAAAEl9pc0RyaWxsRG93bkZpbHRlcgZfZHNLZXkKX2ZpZWxkbmFtZQtfZmllbGRWYWx1ZQABAQEBJQAAAAAGcQEAABJUYWJsZS5UUFBUcmFuc19zc3QGcgEAAApEYXRhQXJlYUlkCQYAAAABGQEAABgBAAAACXEBAAAGdQEAAAlUcmFuc0RhdGUGdgEAABgwNC4wMS4yMDE3IC4uIDA2LjMwLjIwMTcBGgEAABgBAAAACXEBAAAGeAEAAAZJdGVtSWQGeQEAACFMQUNMRUFOMjBBVCxMQUNBTjAyUEVULExBQ0xFQU4wMDIBGwEAABgBAAAABnoBAAAxVGFibGUuVFBQVHJhbnNfc3N0Lkl0ZW1JZH5UYWJsZS5JbnZlbnRUYWJsZU1vZHVsZQZ7AQAACk1vZHVsZVR5cGUGfAEAAAZJbnZlbnQHHAEAAAABAAAABAAAAAQ3R2xvYmVTb2Z0d2FyZS5BdGxhczQwLkF0bGFzQ29tbW9uLlR5cGUuRmllbGRPdXRwdXRGaWVsZA4AAAAJfQEAAA0DBB0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x4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C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YH+//8yR2xvYmVTb2Z0d2FyZS5BdGxhczQwLkF0bGFzQ29tbW9uLkNvbHVtbkF0dHJpYnV0ZXMBAAAAB3ZhbHVlX18ACA4AAAAQAAAABoABAAAETm9uZQF//v//gv7//wF+/v//gf7//wkAAAAJLwAAAAF8/v//gv7//wF7/v//gf7//wsAAAAGhgEAAAEwAXn+//+C/v//AXj+//+B/v//BAAAAAaJAQAAB0dlbmVyYWwBdv7//4L+//8Bdf7//4H+//8CAAAABowBAAABMQFz/v//gv7//wFy/v//gf7//wAAAAAGjwEAAAUxMy43MQFw/v//gv7//wFv/v//gf7//yQAAAAJLQAAAAEfAQAADAAAAAc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3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lAEAAAhGb250Qm9sZAaVAQAABUZhbHNlAWr+//9t/v//BpcBAAAKRm9udEl0YWxpYwmVAQAAAWf+//9t/v//BpoBAAANRm9udFVuZGVybGluZQabAQAABS00MTQyAWT+//9t/v//Bp0BAAAIRm9udE5hbWUGngEAAAdDYWxpYnJpAWH+//9t/v//BqABAAAJRm9udENvbG9yBqEBAAABMAFe/v//bf7//wajAQAACEZvbnRTaXplBqQBAAACMTEBW/7//23+//8GpgEAAAlGb250U3R5bGUGpwEAAAdSZWd1bGFyByEBAAAAAQAAAAQAAAAEN0dsb2JlU29mdHdhcmUuQXRsYXM0MC5BdGxhc0NvbW1vbi5UeXBlLkZpZWxkT3V0cHV0RmllbGQOAAAACagBAAANAw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7//4L+//8BVv7//4H+//8QAAAACYABAAABVP7//4L+//8BU/7//4H+//8JAAAACS8AAAABUf7//4L+//8BUP7//4H+//8LAAAABrEBAAABMQFO/v//gv7//wFN/v//gf7//wQAAAAGtAEAAAdHZW5lcmFsAUv+//+C/v//AUr+//+B/v//AgAAAAa3AQAAATEBSP7//4L+//8BR/7//4H+//8AAAAABroBAAAFMTAuODY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bf7//wmUAQAACZUBAAABQv7//23+//8JlwEAAAmVAQAAAT/+//9t/v//CZoBAAAGwwEAAAUtNDE0MgE8/v//bf7//wmdAQAABsYBAAAHQ2FsaWJyaQE5/v//bf7//wmgAQAABskBAAABMAE2/v//bf7//wmjAQAABswBAAACMTEBM/7//23+//8JpgEAAAbPAQAAB1JlZ3VsYXIHJgEAAAABAAAABAAAAAQ3R2xvYmVTb2Z0d2FyZS5BdGxhczQwLkF0bGFzQ29tbW9uLlR5cGUuRmllbGRPdXRwdXRGaWVsZA4AAAAJ0AEAAA0DBy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v//gv7//wEu/v//gf7//xAAAAAJgAEAAAEs/v//gv7//wEr/v//gf7//wkAAAAJLwAAAAEp/v//gv7//wEo/v//gf7//wsAAAAG2QEAAAEyASb+//+C/v//ASX+//+B/v//BAAAAAbcAQAAB0dlbmVyYWwBI/7//4L+//8BIv7//4H+//8CAAAABt8BAAABMQEg/v//gv7//wEf/v//gf7//wAAAAAG4gEAAAUxNC4xNA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+//9t/v//CZQBAAAJlQEAAAEa/v//bf7//wmXAQAACZUBAAABF/7//23+//8JmgEAAAbrAQAABS00MTQyART+//9t/v//CZ0BAAAG7gEAAAdDYWxpYnJpARH+//9t/v//CaABAAAG8QEAAAEwAQ7+//9t/v//CaMBAAAG9AEAAAIxMQEL/v//bf7//wmmAQAABvcBAAAHUmVndWxhcgcrAQAAAAEAAAAEAAAABDdHbG9iZVNvZnR3YXJlLkF0bGFzNDAuQXRsYXNDb21tb24uVHlwZS5GaWVsZE91dHB1dEZpZWxkDgAAAAn4AQAADQMBLAEAAB0BAAAHL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+C/v//AQb+//+B/v//CQAAAAkvAAAAAQT+//+C/v//AQP+//+B/v//CwAAAAb+AQAAATMBAf7//4L+//8BAP7//4H+//8EAAAABgECAAAHR2VuZXJhbAH+/f//gv7//wH9/f//gf7//wIAAAAGBAIAAAExAfv9//+C/v//Afr9//+B/v//AAAAAAYHAgAABTM0LjE0AS4BAAAMAAAABy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P3//23+//8GCQIAAAhGb250Qm9sZAmVAQAAAfX9//9t/v//BgwCAAAKRm9udEl0YWxpYwmVAQAAAfL9//9t/v//Bg8CAAANRm9udFVuZGVybGluZQYQAgAABS00MTQyAe/9//9t/v//BhICAAAIRm9udE5hbWUGEwIAAAdDYWxpYnJpAez9//9t/v//BhUCAAAJRm9udENvbG9yBhYCAAABMAHp/f//bf7//wYYAgAACEZvbnRTaXplBhkCAAACMTEB5v3//23+//8GGwIAAAlGb250U3R5bGUGHAIAAAdSZWd1bGFyBzABAAAAAQAAAAQAAAAEN0dsb2JlU29mdHdhcmUuQXRsYXM0MC5BdGxhc0NvbW1vbi5UeXBlLkZpZWxkT3V0cHV0RmllbGQOAAAACR0CAAANAwcy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v3//4L+//8B4f3//4H+//8JAAAACS8AAAAB3/3//4L+//8B3v3//4H+//8LAAAABiMCAAABNAHc/f//gv7//wHb/f//gf7//wQAAAAGJgIAAAhtL2QveXl5eQHZ/f//gv7//wHY/f//gf7//wIAAAAGKQIAAAExAdb9//+C/v//AdX9//+B/v//AAAAAAYsAgAAATkHN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/f//bf7//wmUAQAACZUBAAAB0P3//23+//8JlwEAAAmVAQAAAc39//9t/v//CZoBAAAGNQIAAAUtNDE0MgHK/f//bf7//wmdAQAABjgCAAAHQ2FsaWJyaQHH/f//bf7//wmgAQAABjsCAAABMAHE/f//bf7//wmjAQAABj4CAAACMTEBwf3//23+//8JpgEAAAZBAgAAB1JlZ3VsYXIHNQEAAAABAAAABAAAAAQ3R2xvYmVTb2Z0d2FyZS5BdGxhczQwLkF0bGFzQ29tbW9uLlR5cGUuRmllbGRPdXRwdXRGaWVsZA4AAAAJQgIAAA0DBz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9/f//gv7//wG8/f//gf7//wkAAAAJLwAAAAG6/f//gv7//wG5/f//gf7//wsAAAAGSAIAAAE1Abf9//+C/v//Abb9//+B/v//BAAAAAZLAgAAB0dlbmVyYWwBtP3//4L+//8Bs/3//4H+//8CAAAABk4CAAABMQGx/f//gv7//wGw/f//gf7//wAAAAAGUQIAAAE2Bz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23+//8GUwIAAAhGb250Qm9sZAmVAQAAAav9//9t/v//BlYCAAAKRm9udEl0YWxpYwmVAQAAAaj9//9t/v//BlkCAAANRm9udFVuZGVybGluZQZaAgAABS00MTQyAaX9//9t/v//BlwCAAAIRm9udE5hbWUGXQIAAAdDYWxpYnJpAaL9//9t/v//Bl8CAAAJRm9udENvbG9yBmACAAABMAGf/f//bf7//wZiAgAACEZvbnRTaXplBmMCAAACMTEBnP3//23+//8GZQIAAAlGb250U3R5bGUGZgIAAAdSZWd1bGFyBzoBAAAAAQAAAAQAAAAEN0dsb2JlU29mdHdhcmUuQXRsYXM0MC5BdGxhc0NvbW1vbi5UeXBlLkZpZWxkT3V0cHV0RmllbGQOAAAACWcCAAANAwc8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P3//4L+//8Bl/3//4H+//8JAAAACS8AAAABlf3//4L+//8BlP3//4H+//8LAAAABm0CAAABNgGS/f//gv7//wGR/f//gf7//wQAAAAGcAIAAAdHZW5lcmFsAY/9//+C/v//AY79//+B/v//AgAAAAZzAgAAATEBjP3//4L+//8Bi/3//4H+//8AAAAABnYCAAAFMTIuODYHP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f//bf7//wlTAgAACZUBAAABhv3//23+//8JVgIAAAmVAQAAAYP9//9t/v//CVkCAAAGfwIAAAUtNDE0MgGA/f//bf7//wlcAgAABoICAAAHQ2FsaWJyaQF9/f//bf7//wlfAgAABoUCAAABMAF6/f//bf7//wliAgAABogCAAACMTEBd/3//23+//8JZQIAAAaLAgAAB1JlZ3VsYXIHPwEAAAABAAAABAAAAAQ3R2xvYmVTb2Z0d2FyZS5BdGxhczQwLkF0bGFzQ29tbW9uLlR5cGUuRmllbGRPdXRwdXRGaWVsZA4AAAAJjAIAAA0DB0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z/f//gv7//wFy/f//gf7//xAAAAAJgAEAAAFw/f//gv7//wFv/f//gf7//wkAAAAJLwAAAAFt/f//gv7//wFs/f//gf7//wsAAAAGlQIAAAE3AWr9//+C/v//AWn9//+B/v//BAAAAAaYAgAAB0dlbmVyYWwBZ/3//4L+//8BZv3//4H+//8CAAAABpsCAAABMQFk/f//gv7//wFj/f//gf7//wAAAAAGngIAAAUxMC4yO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9t/v//CZQBAAAJlQEAAAFe/f//bf7//wmXAQAACZUBAAABW/3//23+//8JmgEAAAanAgAABS00MTQyAVj9//9t/v//CZ0BAAAGqgIAAAdDYWxpYnJpAVX9//9t/v//CaABAAAGrQIAAAEwAVL9//9t/v//CaMBAAAGsAIAAAIxMQFP/f//bf7//wmmAQAABrMCAAAHUmVndWxhcgdEAQAAAAEAAAAEAAAABDdHbG9iZVNvZnR3YXJlLkF0bGFzNDAuQXRsYXNDb21tb24uVHlwZS5GaWVsZE91dHB1dEZpZWxkDgAAAAm0Ag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v9//+C/v//AUr9//+B/v//CQAAAAkvAAAAAUj9//+C/v//AUf9//+B/v//CwAAAAa6AgAAATgBRf3//4L+//8BRP3//4H+//8EAAAABr0CAAAHR2VuZXJhbAFC/f//gv7//wFB/f//gf7//wIAAAAGwAIAAAExAT/9//+C/v//AT79//+B/v//AAAAAAbDAgAABDYuNDMHS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f//bf7//wlTAgAACZUBAAABOf3//23+//8JVgIAAAmVAQAAATb9//9t/v//CVkCAAAGzAIAAAUtNDE0MgEz/f//bf7//wlcAgAABs8CAAAHQ2FsaWJyaQEw/f//bf7//wlfAgAABtICAAABMAEt/f//bf7//wliAgAABtUCAAACMTEBKv3//23+//8JZQIAAAbYAgAAB1JlZ3VsYXIHSQEAAAABAAAABAAAAAQ3R2xvYmVTb2Z0d2FyZS5BdGxhczQwLkF0bGFzQ29tbW9uLlR5cGUuRmllbGRPdXRwdXRGaWVsZA4AAAAJ2QIAAA0DB0s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f//gv7//wEl/f//gf7//wYAAAAG3AIAAAVUb3RhbAEj/f//gv7//wEi/f//gf7//xAAAAAJgAEAAAEg/f//gv7//wEf/f//gf7//wkAAAAJLwAAAAEd/f//gv7//wEc/f//gf7//wsAAAAG5QIAAAE5ARr9//+C/v//ARn9//+B/v//BAAAAAboAgAAB0dlbmVyYWwBF/3//4L+//8BFv3//4H+//8CAAAABusCAAABMQEU/f//gv7//wET/f//gf7//wAAAAAG7gIAAAUxNS41Nwd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H9//9t/v//CZQBAAAJlQEAAAEO/f//bf7//wmXAQAACZUBAAABC/3//23+//8JmgEAAAb3AgAABS00MTQyAQj9//9t/v//CZ0BAAAG+gIAAAdDYWxpYnJpAQX9//9t/v//CaABAAAG/QIAAAEwAQL9//9t/v//CaMBAAAGAAMAAAIxMQH//P//bf7//wmmAQAABgMDAAAHUmVndWxhcgdOAQAAAAEAAAAEAAAABDdHbG9iZVNvZnR3YXJlLkF0bGFzNDAuQXRsYXNDb21tb24uVHlwZS5GaWVsZE91dHB1dEZpZWxkDgAAAAkEAwAADQMHU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v8//+C/v//Afr8//+B/v//EAAAAAmAAQAAAfj8//+C/v//Aff8//+B/v//CQAAAAkvAAAAAfX8//+C/v//AfT8//+B/v//CwAAAAYNAwAAAjEwAfL8//+C/v//AfH8//+B/v//BAAAAAYQAwAAB0dlbmVyYWwB7/z//4L+//8B7vz//4H+//8CAAAABhMDAAABMQHs/P//gv7//wHr/P//gf7//wAAAAAGFgMAAAUxNy4yOQ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n8//9t/v//CZQBAAAJlQEAAAHm/P//bf7//wmXAQAACZUBAAAB4/z//23+//8JmgEAAAYfAwAABS00MTQyAeD8//9t/v//CZ0BAAAGIgMAAAdDYWxpYnJpAd38//9t/v//CaABAAAGJQMAAAEwAdr8//9t/v//CaMBAAAGKAMAAAIxMQHX/P//bf7//wmmAQAABisDAAAHUmVndWxhcgdTAQAAAAEAAAAEAAAABDdHbG9iZVNvZnR3YXJlLkF0bGFzNDAuQXRsYXNDb21tb24uVHlwZS5GaWVsZE91dHB1dEZpZWxkDgAAAAksAwAADQMHV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P8//+C/v//AdL8//+B/v//EAAAAAmAAQAAAdD8//+C/v//Ac/8//+B/v//CQAAAAkvAAAAAc38//+C/v//Acz8//+B/v//CwAAAAY1AwAAAjExAcr8//+C/v//Acn8//+B/v//BAAAAAY4AwAAB0dlbmVyYWwBx/z//4L+//8Bxvz//4H+//8CAAAABjsDAAABMQHE/P//gv7//wHD/P//gf7//wAAAAAGPgMAAAUxMC40Mw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t/v//CZQBAAAJlQEAAAG+/P//bf7//wmXAQAACZUBAAABu/z//23+//8JmgEAAAZHAwAABS00MTQyAbj8//9t/v//CZ0BAAAGSgMAAAdDYWxpYnJpAbX8//9t/v//CaABAAAGTQMAAAEwAbL8//9t/v//CaMBAAAGUAMAAAIxMQGv/P//bf7//wmmAQAABlMDAAAHUmVndWxhcgdYAQAAAAEAAAAEAAAABDdHbG9iZVNvZnR3YXJlLkF0bGFzNDAuQXRsYXNDb21tb24uVHlwZS5GaWVsZE91dHB1dEZpZWxkDgAAAAlUAwAADQMHW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v8//+C/v//Aar8//+B/v//EAAAAAmAAQAAAaj8//+C/v//Aaf8//+B/v//CQAAAAkvAAAAAaX8//+C/v//AaT8//+B/v//CwAAAAZdAwAAAjEyAaL8//+C/v//AaH8//+B/v//BAAAAAZgAwAAB0dlbmVyYWwBn/z//4L+//8Bnvz//4H+//8CAAAABmMDAAABMQGc/P//gv7//wGb/P//gf7//wAAAAAGZgMAAAUyNS41N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8//9t/v//CZQBAAAJlQEAAAGW/P//bf7//wmXAQAACZUBAAABk/z//23+//8JmgEAAAZvAwAABS00MTQyAZD8//9t/v//CZ0BAAAGcgMAAAdDYWxpYnJpAY38//9t/v//CaABAAAGdQMAAAEwAYr8//9t/v//CaMBAAAGeAMAAAIxMQGH/P//bf7//wmmAQAABnsDAAAHUmVndWxhcgddAQAAAAEAAAAEAAAABDdHbG9iZVNvZnR3YXJlLkF0bGFzNDAuQXRsYXNDb21tb24uVHlwZS5GaWVsZE91dHB1dEZpZWxkDgAAAAl8AwAADQMHX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P8//+C/v//AYL8//+B/v//EAAAAAmAAQAAAYD8//+C/v//AX/8//+B/v//CQAAAAkvAAAAAX38//+C/v//AXz8//+B/v//CwAAAAaFAwAAAjEzAXr8//+C/v//AXn8//+B/v//BAAAAAaIAwAAB0dlbmVyYWwBd/z//4L+//8Bdvz//4H+//8CAAAABosDAAABMQF0/P//gv7//wFz/P//gf7//wAAAAAGjgMAAAUxOC4xNAd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8//9t/v//CZQBAAAJlQEAAAFu/P//bf7//wmXAQAACZUBAAABa/z//23+//8JmgEAAAaXAwAABS00MTQyAWj8//9t/v//CZ0BAAAGmgMAAAdDYWxpYnJpAWX8//9t/v//CaABAAAGnQMAAAEwAWL8//9t/v//CaMBAAAGoAMAAAIxMQFf/P//bf7//wmmAQAABqMDAAAHUmVndWxhcgdiAQAAAAEAAAAEAAAABDdHbG9iZVNvZnR3YXJlLkF0bGFzNDAuQXRsYXNDb21tb24uVHlwZS5GaWVsZE91dHB1dEZpZWxkDgAAAAmkAwAADQMHZ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8//+C/v//AVr8//+B/v//EAAAAAmAAQAAAVj8//+C/v//AVf8//+B/v//CQAAAAkvAAAAAVX8//+C/v//AVT8//+B/v//CwAAAAatAwAAAjE0AVL8//+C/v//AVH8//+B/v//BAAAAAawAwAAB0dlbmVyYWwBT/z//4L+//8BTvz//4H+//8CAAAABrMDAAABMQFM/P//gv7//wFL/P//gf7//wAAAAAGtgMAAAQ5LjQzB2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z//23+//8JlAEAAAmVAQAAAUb8//9t/v//CZcBAAAJlQEAAAFD/P//bf7//wmaAQAABr8DAAAFLTQxNDIBQPz//23+//8JnQEAAAbCAwAAB0NhbGlicmkBPfz//23+//8JoAEAAAbFAwAAATABOvz//23+//8JowEAAAbIAwAAAjExATf8//9t/v//CaYBAAAGywMAAAdSZWd1bGFyB2cBAAAAAQAAAAQAAAAEN0dsb2JlU29mdHdhcmUuQXRsYXM0MC5BdGxhc0NvbW1vbi5UeXBlLkZpZWxkT3V0cHV0RmllbGQOAAAACcwDAAANAwd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z//4L+//8BMvz//4H+//8QAAAACYABAAABMPz//4L+//8BL/z//4H+//8JAAAACS8AAAABLfz//4L+//8BLPz//4H+//8LAAAABtUDAAACMTUBKvz//4L+//8BKfz//4H+//8EAAAABtgDAAAHR2VuZXJhbAEn/P//gv7//wEm/P//gf7//wIAAAAG2wMAAAExAST8//+C/v//ASP8//+B/v//AAAAAAbeAwAAATgHa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bf7//wmUAQAACZUBAAABHvz//23+//8JlwEAAAmVAQAAARv8//9t/v//CZoBAAAG5wMAAAUtNDE0MgEY/P//bf7//wmdAQAABuoDAAAHQ2FsaWJyaQEV/P//bf7//wmgAQAABu0DAAABMAES/P//bf7//wmjAQAABvADAAACMTEBD/z//23+//8JpgEAAAbzAwAAB1JlZ3VsYXIHbAEAAAABAAAABAAAAAQ3R2xvYmVTb2Z0d2FyZS5BdGxhczQwLkF0bGFzQ29tbW9uLlR5cGUuRmllbGRPdXRwdXRGaWVsZA4AAAAJ9AMAAA0DB24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L/P//gv7//wEK/P//gf7//wkAAAAJLwAAAAEI/P//gv7//wEH/P//gf7//wsAAAAG+gMAAAIxNgEF/P//gv7//wEE/P//gf7//wQAAAAG/QMAAAdHZW5lcmFsAQL8//+C/v//AQH8//+B/v//AgAAAAYABAAAATEB//v//4L+//8B/vv//4H+//8AAAAABgMEAAAFMTIuNzEB/Pv//4L+//8B+/v//4H+//8kAAAACQ0B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+///bf7//wmUAQAACZUBAAAB9vv//23+//8JlwEAAAmVAQAAAfP7//9t/v//CZoBAAAGDwQAAAUtNDE0MgHw+///bf7//wmdAQAABhIEAAAHQ2FsaWJyaQHt+///bf7//wmgAQAABhUEAAABMAHq+///bf7//wmjAQAABhgEAAACMTEB5/v//23+//8JpgEAAAYbBAAAB1JlZ3VsYXIFf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5Pv//8//////////AAYdBAAABEVudW0GHgQAAAlSZWZlcmVuY2UJHwQAAAHg+///zf///wIAAAAF3/v//zlHbG9iZVNvZnR3YXJlLkF0bGFzNDAuQXRsYXNDb21tb24uTnVtYmVyU2VxdWVuY2VDb25kaXRpb24BAAAAB3ZhbHVlX18ACA4AAAABAAAAAAAGIgQAABJUYWJsZS5UUFBUcmFuc19zc3QJLAAAAAkvAAAACv////8JIgQAAAoJLAAAAAoKCgkvAAAACSgEAAAJLwAAAAGoAQAAfQEAAAHW+///z/////////8ABisEAAAGU3RyaW5nBiwEAAAGTnVtYmVyCR8EAAAB0vv//83///8CAAAAAdH7///f+///AQAAAAAACSIEAAAJOgAAAAkvAAAACv////8JIgQAAAoJOgAAAAoKCgkvAAAACTYEAAAJLwAAAAHQAQAAfQEAAAHI+///z/////////8ABjkEAAAGU3RyaW5nBjoEAAALSXRlbSBudW1iZXIJHwQAAAHE+///zf///wIAAAABw/v//9/7//8BAAAAAAAJIgQAAAlIAAAACS8AAAAK/////wkiBAAACglIAAAACgoKCS8AAAAJRAQAAAkvAAAAAfgBAAB9AQAAAbr7///P/////////wAGRwQAAAZTdHJpbmcGSAQAAAlJdGVtIG5hbWUJSQQAAAG2+///zf///wIAAAABtfv//9/7//8BAAAAAAAGTAQAACtUYWJsZS5UUFBUcmFuc19zc3QuSXRlbUlkflRhYmxlLkludmVudFRhYmxlCVYAAAAJLwAAAAr/////CUwEAAAKCVYAAAAGUQQAAAZJdGVtSWQGUgQAAAxUUFBUcmFuc19zc3QKCS8AAAAJVAQAAAkvAAAAAR0CAAB9AQAAAar7///P/////////wAGVwQAAAREYXRlBlgEAAAERGF0ZQlZBAAAAab7///N////AgAAAAGl+///3/v//wEAAAAAAAZcBAAAElRhYmxlLlRQUFRyYW5zX3NzdAlkAAAACS8AAAAK/////wlcBAAACglkAAAACgoKCS8AAAAJYgQAAAkvAAAAAUICAAB9AQAAAZz7///P/////////wAGZQQAAAZTdHJpbmcGZgQAAARTaXRlCWcEAAABmPv//83///8CAAAAAZf7///f+///AQAAAAAABmoEAAAuVGFibGUuVFBQVHJhbnNfc3N0LkludmVudERpbUlkflRhYmxlLkludmVudERpbQlyAAAACS8AAAAK/////wlqBAAACglyAAAABm8EAAALSW52ZW50RGltSWQGcAQAAAxUUFBUcmFuc19zc3QKCS8AAAAJcgQAAAkvAAAAAWcCAAB9AQAAAYz7///P/////////wAGdQQAAAZTdHJpbmcGdgQAAAlXYXJlaG91c2UJZwQAAAGI+///zf///wIAAAABh/v//9/7//8BAAAAAAAJagQAAAmAAAAACS8AAAAK/////wlqBAAACgmAAAAABn8EAAALSW52ZW50RGltSWQGgAQAAAxUUFBUcmFuc19zc3QKCS8AAAAJggQAAAkvAAAAAYwCAAB9AQAAAXz7///P/////////wAGhQQAAARSZWFsBoYEAAAIUXVhbnRpdHkJHwQAAAF4+///zf///wIAAAABd/v//9/7//8BAAAAAAAJIgQAAAmOAAAACS8AAAAK/////wkiBAAACgmOAAAACgoKCS8AAAAJkAQAAAkvAAAAAbQCAAB9AQAAAW77///P/////////wAGkwQAAAZTdHJpbmcGlAQAAARVbml0CZUEAAABavv//83///8CAAAAAWn7///f+///AQAAAAAACXoBAAAJnAAAAAkvAAAACv////8JegEAAAoJnAAAAAadBAAABkl0ZW1JZAaeBAAADFRQUFRyYW5zX3NzdAoJLwAAAAmgBAAACS8AAAAB2QIAAH0BAAABXvv//8//////////AAajBAAABFJlYWwGpAQAAA5UUFAgY29zdCBwcmljZQkfBAAAAVr7///N////AgAAAAFZ+///3/v//wEAAAAAAAkiBAAACaoAAAAJLwAAAAr/////CSIEAAAKCaoAAAAKCgoJLwAAAAmuBAAACS8AAAABBAMAAH0BAAABUPv//8//////////AAaxBAAABFJlYWwGsgQAAA9UUFAgY29zdCBhbW91bnQJHwQAAAFM+///zf///wIAAAABS/v//9/7//8BAAAAAAAJIgQAAAm4AAAACS8AAAAK/////wkiBAAACgm4AAAACgoKCS8AAAAJvAQAAAkvAAAAASwDAAB9AQAAAUL7///P/////////wAGvwQAAAZTdHJpbmcGwAQAAAhDdXJyZW5jeQkfBAAAAT77///N////AgAAAAE9+///3/v//wEAAAAAAAkiBAAACcYAAAAJLwAAAAr/////CSIEAAAKCcYAAAAKCgoJLwAAAAnKBAAACS8AAAABVAMAAH0BAAABNPv//8//////////AAbNBAAABFJlYWwGzgQAABhUUFAgY29zdCBhbW91bnQgY3VycmVuY3kJHwQAAAEw+///zf///wIAAAABL/v//9/7//8BAAAAAAAJIgQAAAnUAAAACS8AAAAK/////wkiBAAACgnUAAAACgoKCS8AAAAJ2AQAAAkvAAAAAXwDAAB9AQAAASb7///P/////////wAG2wQAAAZTdHJpbmcG3AQAABFGaW5hbmNpYWwgdm91Y2hlcgkfBAAAASL7///N////AgAAAAEh+///3/v//wEAAAAAAAkiBAAACeIAAAAJLwAAAAr/////CSIEAAAKCeIAAAAKCgoJLwAAAAnmBAAACS8AAAABpAMAAH0BAAABGPv//8//////////AAbpBAAABlN0cmluZwbqBAAABkxvdCBJRAkfBAAAART7///N////AgAAAAET+///3/v//wEAAAAAAAkiBAAACfAAAAAJLwAAAAr/////CSIEAAAKCfAAAAAKCgoJLwAAAAn0BAAACS8AAAABzAMAAH0BAAABCvv//8//////////AAb3BAAABEVudW0G+AQAAAZTdGF0dXMJHwQAAAEG+///zf///wIAAAABBfv//9/7//8BAAAAAAAJIgQAAAn+AAAACS8AAAAK/////wkiBAAACgn+AAAACgoKCS8AAAAJAgUAAAkvAAAAAfQDAAB9AQAAAfz6///P/////////wAGBQUAAAVJbnQ2NAkeBAAACVkEAAAB+Pr//83///8CAAAAAff6///f+///AQAAAAAACVwEAAAJDAEAAAkvAAAACv////8JXAQAAAoJDAEAAAoKCgkvAAAACRAFAAAJLwAAAAUf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IFAAAMVFBQVHJhbnNfc3N0BhMFAAAQVFBQIHRyYW5zYWN0aW9ucwkvAAAACS8AAAAJLwAAAAXr+v//MEdsb2JlU29mdHdhcmUuQXRsYXM0MC5BdGxhc0NvbW1vbi5EYXRhU291cmNlVHlwZQEAAAAHdmFsdWVfXwAIDgAAAAAAAAAJFgUAAAkXBQAABOj6//8LU3lzdGVtLkd1aWQLAAAAAl9hAl9iAl9jAl9kAl9lAl9mAl9nAl9oAl9pAl9qAl9rAAAAAAAAAAAAAAAIBwcCAgICAgICAgjMA+AQe7BLu5A4k7lUYvQJLwAAAAkvAAAACRoFAAAJIgQAAAoKCgoKAQAAAAXk+v//NEdsb2JlU29mdHdhcmUuQXRsYXM0MC5BdGxhc0NvbW1vbi5EYXRhU291cmNlSm9pbk1vZGUBAAAAB3ZhbHVlX18ACA4AAAAAAAAABeP6//81R2xvYmVTb2Z0d2FyZS5BdGxhczQwLkF0bGFzQ29tbW9uLkRhdGFTb3VyY2VGZXRjaE1vZGUBAAAAB3ZhbHVlX18ACA4AAAAAAAAAAAkeBQAAASgEAAArAAAASQAAAAkfAQAAAwAAAAkgBQAAATYEAAArAAAASQAAAAkfAQAAAwAAAAkiBQAAAUQEAAArAAAASQAAAAkfAQAAAwAAAAkkBQAAAUkEAAAfBAAA/////wYlBQAAC0ludmVudFRhYmxlBiYFAAAFSXRlbXMJLwAAAAkvAAAACS8AAAAB2Pr//+v6//8AAAAACSkFAAAJKgUAAAHV+v//6Pr//2hKN7/QZAlCsBF1sAFd8zIJLwAAAAkvAAAACS0FAAAJTAQAAAYvBQAADFRQUFRyYW5zX3NzdAYwBQAAElRhYmxlLlRQUFRyYW5zX3NzdAYxBQAAGVRhYmxlLlRQUFRyYW5zX3NzdC5JdGVtSWQGMgUAAAZJdGVtSWQGMwUAAAZJdGVtSWQBAAAAAcz6///k+v//AAAAAAHL+v//4/r//wAAAAAACTYFAAABVAQAACsAAAAcAAAACS4BAAADAAAACTgFAAABWQQAAB8EAAD/////BjkFAAAMVFBQVHJhbnNfc3N0BjoFAAAQVFBQIHRyYW5zYWN0aW9ucwkvAAAACS8AAAAJLwAAAAHE+v//6/r//wAAAAAJPQUAAAk+BQAAAcH6///o+v//CfP3hxhf70qh4YtroFWDEwkvAAAACS8AAAAJQQUAAAlcBAAACgoKCgoBAAAAAb36///k+v//AAAAAAG8+v//4/r//wAAAAAACUUFAAABYgQAACsAAABAAAAACR8BAAADAAAACUcFAAABZwQAAB8EAAD/////BkgFAAAJSW52ZW50RGltBkkFAAAUSW52ZW50b3J5IGRpbWVuc2lvbnMJLwAAAAkvAAAACS8AAAABtfr//+v6//8AAAAACUwFAAAJTQUAAAGy+v//6Pr//8joXFxhvzxLsDBop6O24EYJLwAAAAkvAAAACVAFAAAJagQAAAZSBQAADFRQUFRyYW5zX3NzdAZTBQAAElRhYmxlLlRQUFRyYW5zX3NzdAZUBQAAHlRhYmxlLlRQUFRyYW5zX3NzdC5JbnZlbnREaW1JZAZVBQAAC0ludmVudERpbUlkBlYFAAALaW52ZW50RGltSWQBAAAAAan6///k+v//AAAAAAGo+v//4/r//wAAAAAACVkFAAABcgQAACsAAAAoAAAACS4BAAADAAAACVsFAAABggQAACsAAAAoAAAACS4BAAADAAAACV0FAAABkAQAACsAAABJAAAACR8BAAADAAAACV8FAAABlQQAAB8EAAD/////BmAFAAARSW52ZW50VGFibGVNb2R1bGUGYQUAABtJbnZlbnRvcnkgbW9kdWxlIHBhcmFtZXRlcnMJLwAAAAkvAAAACS8AAAABnfr//+v6//8AAAAACWQFAAAJZQUAAAGa+v//6Pr///quecauPWxKp1fkO9XBI4kJLwAAAAkvAAAACWgFAAAJegEAAAZqBQAADFRQUFRyYW5zX3NzdAZrBQAAElRhYmxlLlRQUFRyYW5zX3NzdAZsBQAAGVRhYmxlLlRQUFRyYW5zX3NzdC5JdGVtSWQGbQUAAAZJdGVtSWQGbgUAAAZJdGVtSWQBAAAAAZH6///k+v//AAAAAAGQ+v//4/r//wAAAAAACXEFAAABoAQAACsAAAAoAAAACS4BAAADAAAACXMFAAABrgQAACsAAABJAAAACR8BAAADAAAACXUFAAABvAQAACsAAABJAAAACR8BAAADAAAACXcFAAABygQAACsAAABJAAAACR8BAAADAAAACXkFAAAB2AQAACsAAABJAAAACR8BAAADAAAACXsFAAAB5gQAACsAAABJAAAACR8BAAADAAAACX0FAAAB9AQAACsAAABJAAAACR8BAAADAAAACX8FAAABAgUAACsAAABJAAAACR8BAAADAAAACYEFAAABEAUAACsAAABAAAAACR8BAAADAAAACYMFAAAEF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hAUAABEAAAAJhQUAAAQX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QFAAARAAAACYcFAAAEG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QFAAAAAAAABB4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FAAAAAAAABy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r//23+//8GiwUAAAhIZWxwVGV4dAaMBQAAMlNwZWNpZnkgdGhlIG1vZHVsZSB0aGF0IGdlbmVyYXRlZCB0aGUgdHJhbnNhY3Rpb24uAXP6//9t/v//Bo4FAAAFTGFiZWwJHgQAAAFw+v//bf7//waRBQAABFR5cGUJHQQAAAci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36//9t/v//CYsFAAAGlQUAADVPcmRlciBudW1iZXIsIHByb2plY3QgbnVtYmVyLCBwcm9kdWN0aW9uIG51bWJlciwgZXRjLgFq+v//bf7//wmOBQAACSwEAAABZ/r//23+//8JkQUAAAkrB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r//23+//8JiwUAAAaeBQAADklkZW50aWZ5IGl0ZW0uAWH6//9t/v//CY4FAAAJOgQAAAFe+v//bf7//wmRBQAACTkEAAABKQUAABYFAAABAAAACS4BAAADAAAACaYFAAAEKg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BQAAAAAAAAEtBQAAGgUAAAAAAAAJLgEAAAAAAAABNgUAAB4FAAAAAAAACakFAAAAAAAABz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r//23+//8GqwUAAAVMYWJlbAlIBAAAAVP6//9t/v//Bq4FAAAEVHlwZQlHBAAAAT0FAAAWBQAAEQAAAAmwBQAAEQAAAAmxBQAAAT4FAAAXBQAAAQAAAAkfAQAAAwAAAAmzBQAAAUEFAAAaBQAAAAAAAAmwBQAAAAAAAAFFBQAAHgUAAAAAAAAJtQUAAAAAAAAHR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v//bf7//wmOBQAACVgEAAABR/r//23+//8JkQUAAAlXBAAAAUwFAAAWBQAAAgAAAAkuAQAAAwAAAAm9BQAABE0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pwUAAAAAAAABUAUAABoFAAAAAAAACS4BAAAAAAAAAVkFAAAeBQAAAAAAAAmpBQAAAAAAAAdb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6//9t/v//CasFAAAJZgQAAAE8+v//bf7//wmuBQAACWUEAAAHX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+v//bf7//wmrBQAACXYEAAABNvr//23+//8JrgUAAAl1BAAAB18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r//23+//8JiwUAAAbPBQAAJFF1YW50aXR5IGF0dGFjaGVkIHRvIHRoZSB0cmFuc2FjdGlvbgEw+v//bf7//wmOBQAACYYEAAABLfr//23+//8JkQUAAAmFBAAAAWQFAAAWBQAAAQAAAAkuAQAAAwAAAAnXBQAAAWUFAAAXBQAAAQAAAAmnBQAAAwAAAAnZBQAAAWgFAAAaBQAAAAAAAAkuAQAAAAAAAAFxBQAAHgUAAAAAAAAJqQUAAAAAAAAHc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v//bf7//wmrBQAACZQEAAABIfr//23+//8JrgUAAAmTBAAAB3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r//23+//8JiwUAAAbkBQAAD1RQUCBjb3N0IHByaWNlLgEb+v//bf7//wmOBQAACaQEAAABGPr//23+//8JkQUAAAmjBAAAB3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r//23+//8JiwUAAAbtBQAAEFRQUCBjb3N0IGFtb3VudC4BEvr//23+//8JjgUAAAmyBAAAAQ/6//9t/v//CZEFAAAJsQ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6//9t/v//CYsFAAAG9gUAAC5DdXJyZW5jeSwgaWYgYW55LCBhdHRhY2hlZCB0byB0aGUgaXRlbSByZWNlaXB0AQn6//9t/v//CY4FAAAJwAQAAAEG+v//bf7//wmRBQAACb8EAAAHe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+v//bf7//wmLBQAABv8FAAAcVFBQIGNvc3QgYW1vdW50IGluIGN1cnJlbmN5LgEA+v//bf7//wmOBQAACc4EAAAB/fn//23+//8JkQUAAAnNBAAAB30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n//23+//8JiwUAAAYIBgAAM1ZvdWNoZXIgbnVtYmVyIHRoYXQgdGhlIHRyYW5zYWN0aW9uIGlzIGF0dGFjaGVkIHRvLgH3+f//bf7//wmOBQAACdwEAAAB9Pn//23+//8JkQUAAAnb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n//23+//8JiwUAAAYRBgAAUlN1bW1hcnkgbnVtYmVyL0xvdCBJRCBmb3IgdHJhbnNhY3Rpb25zIGF0dGFjaGVkIHRvIHRoZSBzYW1lIGludmVudG9yeSB0cmFuc2FjdGlvbi4B7vn//23+//8JjgUAAAnqBAAAAev5//9t/v//CZEFAAAJ6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5//9t/v//CYsFAAAGGgYAABZUUFAgdHJhbnNhY3Rpb24gc3RhdHVzAeX5//9t/v//CY4FAAAJ+AQAAAHi+f//bf7//wmRBQAACfcEAAAHg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+f//bf7//wmOBQAACR4EAAAB3Pn//23+//8JkQUAAAkFBQAAAYQFAAAMAAAAB4UF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n5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igGAAAcVGFibGUuVFBQVHJhbnNfc3N0LkNvc3RQcmljZQnZAgAAAdb5///Z+f//BisGAAAdVGFibGUuVFBQVHJhbnNfc3N0LkNvc3RBbW91bnQJBAMAAAHT+f//2fn//wYuBgAAIFRhYmxlLlRQUFRyYW5zX3NzdC5Db3N0QW1vdW50Q3VyCVQDAAAB0Pn//9n5//8GMQYAABZUYWJsZS5UUFBUcmFuc19zc3QuUXR5CYwCAAABzfn//9n5//8GNAYAAB5UYWJsZS5UUFBUcmFuc19zc3QuSW52ZW50RGltSWQJNQYAAAHK+f//2fn//wY3BgAAGlRhYmxlLlRQUFRyYW5zX3NzdC5Wb3VjaGVyCXwDAAABx/n//9n5//8GOgYAACBUYWJsZS5UUFBUcmFuc19zc3QuSW52ZW50VHJhbnNJZAmkAwAAAcT5///Z+f//Bj0GAAAdVGFibGUuVFBQVHJhbnNfc3N0LlRyYW5zUmVmSWQJqAEAAAHB+f//2fn//wZABgAAHFRhYmxlLlRQUFRyYW5zX3NzdC5UcmFuc1R5cGUJfQEAAAG++f//2fn//wZDBgAAH1RhYmxlLlRQUFRyYW5zX3NzdC5DdXJyZW5jeUNvZGUJLAMAAAG7+f//2fn//wZGBgAAGVRhYmxlLlRQUFRyYW5zX3NzdC5TdGF0dXMJzAMAAAG4+f//2fn//wZJBgAAGVRhYmxlLlRQUFRyYW5zX3NzdC5JdGVtSWQJ0AEAAAeHBQAAAAEAAAAK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tfn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MBgAAHVRhYmxlLlRQUFRyYW5zX3NzdC5EYXRhQXJlYUlkCU0GAAABsvn//7X5//8GTwYAAB9UYWJsZS5UUFBUcmFuc19zc3QuQ3VycmVuY3lDb2RlCVAGAAABr/n//7X5//8GUgYAABxUYWJsZS5UUFBUcmFuc19zc3QuVHJhbnNEYXRlCVMGAAABrPn//7X5//8GVQYAAB5UYWJsZS5UUFBUcmFuc19zc3QuSW52ZW50RGltSWQJVgYAAAGp+f//tfn//wZYBgAAGlRhYmxlLlRQUFRyYW5zX3NzdC5Wb3VjaGVyCVkGAAABpvn//7X5//8GWwYAABlUYWJsZS5UUFBUcmFuc19zc3QuSXRlbUlkCVwGAAABo/n//7X5//8GXgYAACBUYWJsZS5UUFBUcmFuc19zc3QuSW52ZW50VHJhbnNJZAlfBgAAAaD5//+1+f//BmEGAAAdVGFibGUuVFBQVHJhbnNfc3N0LlRyYW5zUmVmSWQJYgYAAAGd+f//tfn//wZkBgAAHFRhYmxlLlRQUFRyYW5zX3NzdC5UcmFuc1R5cGUJZQYAAAGa+f//tfn//wZnBgAAGVRhYmxlLlRQUFRyYW5zX3NzdC5TdGF0dXMJaAYAAASJB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pg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/n//9n5//8GagYAADRUYWJsZS5UUFBUcmFuc19zc3QuSXRlbUlkflRhYmxlLkludmVudFRhYmxlLkl0ZW1OYW1lCfgBAAABpwUAAAwAAAABqQUAAIkFAAABsAUAAAwAAAAHsQUAAAABAAAAE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Pn//9n5//8GbQYAABxUYWJsZS5UUFBUcmFuc19zc3QuQ29zdFByaWNlCdkCAAABkfn//9n5//8GcAYAAB1UYWJsZS5UUFBUcmFuc19zc3QuQ29zdEFtb3VudAkEAwAAAY75///Z+f//BnMGAAAgVGFibGUuVFBQVHJhbnNfc3N0LkNvc3RBbW91bnRDdXIJVAMAAAGL+f//2fn//wZ2BgAAFlRhYmxlLlRQUFRyYW5zX3NzdC5RdHkJjAIAAAGI+f//2fn//wZ5BgAAHlRhYmxlLlRQUFRyYW5zX3NzdC5JbnZlbnREaW1JZAk1BgAAAYX5///Z+f//BnwGAAAaVGFibGUuVFBQVHJhbnNfc3N0LlZvdWNoZXIJfAMAAAGC+f//2fn//wZ/BgAAIFRhYmxlLlRQUFRyYW5zX3NzdC5JbnZlbnRUcmFuc0lkCaQDAAABf/n//9n5//8GggYAAB1UYWJsZS5UUFBUcmFuc19zc3QuVHJhbnNSZWZJZAmoAQAAAXz5///Z+f//BoUGAAAcVGFibGUuVFBQVHJhbnNfc3N0LlRyYW5zVHlwZQl9AQAAAXn5///Z+f//BogGAAAfVGFibGUuVFBQVHJhbnNfc3N0LkN1cnJlbmN5Q29kZQksAwAAAXb5///Z+f//BosGAAAZVGFibGUuVFBQVHJhbnNfc3N0LlN0YXR1cwnMAwAAAXP5///Z+f//Bo4GAAAZVGFibGUuVFBQVHJhbnNfc3N0Lkl0ZW1JZAnQAQAAAXD5///Z+f//BpEGAAAcVGFibGUuVFBQVHJhbnNfc3N0LlRyYW5zRGF0ZQkdAgAAAW35///Z+f//BpQGAAAjVGFibGUuVFBQVHJhbnNfc3N0LkludmVudFRyYW5zUmVjSWQJ9AMAAAFq+f//2fn//waXBgAAKlRhYmxlLlRQUFRyYW5zX3NzdC5JbnZlbnRKb3VybmFsVHJhbnNSZWNJZAmYBgAAAWf5///Z+f//BpoGAAAkVGFibGUuVFBQVHJhbnNfc3N0Lkludm9pY2VUcmFuc1JlY0lkCZsGAAABZPn//9n5//8GnQYAAB9UYWJsZS5UUFBUcmFuc19zc3QuUHJvZEJPTVJlY0lkCZ4GAAAHsw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H5//+1+f//BqAGAAAcVGFibGUuVFBQVHJhbnNfc3N0LlRyYW5zRGF0ZQmhBgAAAbUFAACJBQAAB70F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75///Z+f//BqMGAAA7VGFibGUuVFBQVHJhbnNfc3N0LkludmVudERpbUlkflRhYmxlLkludmVudERpbS5JbnZlbnRTaXRlSWQJQgIAAAFb+f//2fn//wamBgAAP1RhYmxlLlRQUFRyYW5zX3NzdC5JbnZlbnREaW1JZH5UYWJsZS5JbnZlbnREaW0uSW52ZW50TG9jYXRpb25JZAlnAgAAB9c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j5///Z+f//BqkGAAA4VGFibGUuVFBQVHJhbnNfc3N0Lkl0ZW1JZH5UYWJsZS5JbnZlbnRUYWJsZU1vZHVsZS5Vbml0SWQJtAIAAAfZ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Vfn//7X5//8GrAYAADxUYWJsZS5UUFBUcmFuc19zc3QuSXRlbUlkflRhYmxlLkludmVudFRhYmxlTW9kdWxlLk1vZHVsZVR5cGUJrQYAAAE1BgAAfQEAAAFS+f//z/////////8ABq8GAAAGU3RyaW5nBrAGAAANRGltZW5zaW9uIE5vLgkfBAAAAU75///N////AgAAAAFN+f//3/v//wEAAAAAAAkiBAAABrUGAAALSW52ZW50RGltSWQJLwAAAAr/////CSIEAAAKCbUGAAAKCgoJLwAAAAm6BgAACS8AAAAFTQY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SIEAAAGvQYAAApEYXRhQXJlYUlkCS8AAAAJLwAAAP////8JIgQAAAoJvQYAAAoKCgkvAAAACcIGAAAJLwAAAAFQBgAATQYAAAkiBAAABsUGAAAMQ3VycmVuY3lDb2RlCS8AAAAJLwAAAP////8JIgQAAAoJxQYAAAoKCgkvAAAACcoGAAAJLwAAAAFTBgAATQYAAAkiBAAACXUBAAAJLwAAAAkvAAAA/////wkiBAAACgl1AQAACgoKCS8AAAAJ0gYAAAkvAAAAAVYGAABNBgAACSIEAAAG1QYAAAtJbnZlbnREaW1JZAkvAAAACS8AAAD/////CSIEAAAKCdUGAAAKCgoJLwAAAAnaBgAACS8AAAABWQYAAE0GAAAJIgQAAAbdBgAAB1ZvdWNoZXIJLwAAAAkvAAAA/////wkiBAAACgndBgAACgoKCS8AAAAJ4gYAAAkvAAAAAVwGAABNBgAACSIEAAAG5QYAAAZJdGVtSWQJLwAAAAkvAAAA/////wkiBAAACgnlBgAACgoKCS8AAAAJ6gYAAAkvAAAAAV8GAABNBgAACSIEAAAG7QYAAA1JbnZlbnRUcmFuc0lkCS8AAAAJLwAAAP////8JIgQAAAoJ7QYAAAoKCgkvAAAACfIGAAAJLwAAAAFiBgAATQYAAAkiBAAABvUGAAAKVHJhbnNSZWZJZAkvAAAACS8AAAD/////CSIEAAAKCfUGAAAKCgoJLwAAAAn6BgAACS8AAAABZQYAAE0GAAAJIgQAAAb9BgAACVRyYW5zVHlwZQkvAAAACS8AAAD/////CSIEAAAKCf0GAAAKCgoJLwAAAAkCBwAACS8AAAABaAYAAE0GAAAJIgQAAAYFBwAABlN0YXR1cwkvAAAACS8AAAD/////CSIEAAAKCQUHAAAKCgoJLwAAAAkKBwAACS8AAAABmAYAAH0BAAAB9Pj//8//////////AAYNBwAABUludDY0Bg4HAAAJUmVmZXJlbmNlCVkEAAAB8Pj//83///8CAAAAAe/4///f+///AQAAAAAACVwEAAAGEwcAABdJbnZlbnRKb3VybmFsVHJhbnNSZWNJZAkvAAAACv////8JXAQAAAoJEwcAAAoKCgkvAAAACRgHAAAJLwAAAAGbBgAAfQEAAAHm+P//z/////////8ABhsHAAAFSW50NjQJDgcAAAlZBAAAAeL4///N////AgAAAAHh+P//3/v//wEAAAAAAAlcBAAABiEHAAARSW52b2ljZVRyYW5zUmVjSWQJLwAAAAr/////CVwEAAAKCSEHAAAKCgoJLwAAAAkmBwAACS8AAAABngYAAH0BAAAB2Pj//8//////////AAYpBwAABUludDY0CQ4HAAAJWQQAAAHU+P//zf///wIAAAAB0/j//9/7//8BAAAAAAAJXAQAAAYvBwAADFByb2RCT01SZWNJZAkvAAAACv////8JXAQAAAoJLwcAAAoKCgkvAAAACTQHAAAJLwAAAAGhBgAATQYAAAkiBAAACXUBAAAJLwAAAAY5BwAAGDA2LjAxLjIwMTcgLi4gMDYuMzAuMjAxN/////8JIgQAAAoJdQEAAAoKCgkvAAAACT0HAAAJLwAAAAGtBgAATQYAAAl6AQAACXsBAAAJLwAAAAl8AQAA/////wl6AQAACgl7AQAABkUHAAAGSXRlbUlkCgoJLwAAAAlHBwAACS8AAAABugYAACsAAAAhAAAACR8BAAADAAAACUoHAAAEw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HwEAAAAAAAABGAcAACsAAAASAAAACR8BAAADAAAACUwHAAABJgcAACsAAAASAAAACR8BAAADAAAACU4HAAABNAcAACsAAAASAAAACR8BAAADAAAACVAHAAABPQcAACsAAAAlAAAACR8BAAADAAAACVIHAAABRwcAACsAAAAOAAAACacFAAADAAAACVQHAAAHSg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P//bf7//wmLBQAABlcHAAAqSWRlbnRpZmljYXRpb24gb2YgZGltZW5zaW9ucyBmb3IgdGhlIGl0ZW0uAaj4//9t/v//CY4FAAAJsAYAAAGl+P//bf7//wmRBQAACa8GAAAHTA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P//bf7//wmOBQAACQ4HAAABn/j//23+//8JkQUAAAkNBwAAB04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j//23+//8JjgUAAAkOBwAAAZn4//9t/v//CZEFAAAJGwcAAAdQ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4//9t/v//CY4FAAAJDgcAAAGT+P//bf7//wmRBQAACSkHAAAHUg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P//bf7//wmRBQAABnIHAAAERGF0ZQGN+P//bf7//wmOBQAABnUHAAAERGF0ZQGK+P//bf7//wZ3BwAACFJlZmVyc1RvBngHAAALPURhdGVQZXJpb2QHVA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P//bf7//wZ6BwAABFR5cGUGewcAAARFbnVtAYT4//9t/v//Bn0HAAAFTGFiZWwGfgcAAAtNb2R1bGUgdHlwZQs=</Report>
</Atlas>
</file>

<file path=customXml/item2.xml><?xml version="1.0" encoding="utf-8"?>
<Atlas>
  <Query type="ReportList" id="702f2ce4-4eb4-4913-99f3-d2fb38c06e5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BEAAAAR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MVFBQVHJhbnNfc3N0Bh4AAAAQVFBQIHRyYW5zYWN0aW9ucwkIAAAACQgAAAAJCAAAAAXg////MEdsb2JlU29mdHdhcmUuQXRsYXM0MC5BdGxhc0NvbW1vbi5EYXRhU291cmNlVHlwZQEAAAAHdmFsdWVfXwAIAgAAAAAAAAAJIQAAAAkiAAAABN3///8LU3lzdGVtLkd1aWQLAAAAAl9hAl9iAl9jAl9kAl9lAl9mAl9nAl9oAl9pAl9qAl9rAAAAAAAAAAAAAAAIBwcCAgICAgICAr/BylCeDptCqHv3ZXsS/GoJCAAAAAkIAAAACSUAAAAGJgAAABJUYWJsZS5UUFBUcmFuc19zc3Q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LlRhYmxlLlRQUFRyYW5zX3NzdC5JbnZlbnREaW1JZH5UYWJsZS5JbnZlbnREaW0JMQAAAAHO////1P///wYzAAAAMVRhYmxlLlRQUFRyYW5zX3NzdC5JdGVtSWR+VGFibGUuSW52ZW50VGFibGVNb2R1bGUJNAAAAAHL////1P///wY2AAAAK1RhYmxlLlRQUFRyYW5zX3NzdC5JdGVtSWR+VGFibGUuSW52ZW50VGFibGUJNwAAAAcUAAAAAAEAAAAgAAAABC1HbG9iZVNvZnR3YXJlLkF0bGFzNDAuQXRsYXNDb21tb24uVHlwZS5Db2x1bW4CAAAACTgAAAAJOQAAAAk6AAAACTsAAAAJPAAAAAk9AAAACT4AAAAJPwAAAAlAAAAACUEAAAAJQgAAAAlDAAAACUQAAAAJRQAAAAlGAAAACUcAAAAJSAAAAA0PERUAAAAEAAAABkkAAAANQXRsYXNSZXBvcnRfMg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t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P///7b///8GTQAAAA9UYWJsZS5JbnZlbnREaW0JMAAAAAGx////tv///wZQAAAAF1RhYmxlLkludmVudFRhYmxlTW9kdWxlCTMAAAABrv///7b///8GUwAAABFUYWJsZS5JbnZlbnRUYWJ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r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r///8+R2xvYmVTb2Z0d2FyZS5BdGxhczQwLkF0bGFzQ29tbW9uLlR5cGUuQXRsYXNRdWVyeUF0dHJpYnV0ZU5hbWUBAAAAB3ZhbHVlX18ACAIAAAACAAAABlcAAAAkNzAyZjJjZTQtNGViNC00OTEzLTk5ZjMtZDJmYjM4YzA2ZTU3Aaj///+r////Aaf///+q////AAAAAAZaAAAABHRydWUBpf///6v///8BpP///6r///8LAAAABl0AAAAQVFBQIHRyYW5zYWN0aW9ucwGi////q////wGh////qv///xsAAAAGYAAAAARUcnVlAZ////+r////AZ7///+q////BgAAAAZjAAAABUZhbHNlAZz///+r////AZv///+q////HAAAAAlgAAAAAZn///+r////AZj///+q////HQAAAAljAAAAAZb///+r////AZX///+q////KgAAAAlgAAAAAZP///+r////AZL///+q////AQAAAAZvAAAAAzM2MwGQ////q////wGP////qv///ycAAAAGcgAAAAs9RGF0YUFyZWFJZAGN////q////wGM////qv///xkAAAAGdQAAAA9DZWxsc1ZlcnRpY2FsbHkBiv///6v///8Bif///6r///8JAAAACgGI////q////wGH////qv///ygAAAAGegAAAAIxNwGF////q////wGE////qv///ysAAAAGfQ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g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/AAAADFRQUFRyYW5zX3NzdAEAAAABgP///4L///8GgQAAAAlJbnZlbnREaW0BAAAAAX7///+C////BoMAAAARSW52ZW50VGFibGVNb2R1bGUBAAAAAXz///+C////BoUAAAALSW52ZW50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NAAAACYYAAAARAAAACYc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JAAAAASUAAAAEAAAAAwAAAAmGAAAAAwAAAAmL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wAAAAAAAAAByoAAAAAAQAAAAAAAAAELUdsb2JlU29mdHdhcmUuQXRsYXM0MC5BdGxhc0NvbW1vbi5UeXBlLkNvbHVtbgIAAAABMQAAAA4AAAD/////Bo0AAAAJSW52ZW50RGltBo4AAAAUSW52ZW50b3J5IGRpbWVuc2lvbnMJCAAAAAkIAAAACQgAAAABcP///+D///8AAAAACZEAAAAJkgAAAAFt////3f///8joXFxhvzxLsDBop6O24EYJCAAAAAkIAAAACZUAAAAJMAAAAAaXAAAADFRQUFRyYW5zX3NzdAaYAAAAElRhYmxlLlRQUFRyYW5zX3NzdAaZAAAAHlRhYmxlLlRQUFRyYW5zX3NzdC5JbnZlbnREaW1JZAaaAAAAC0ludmVudERpbUlkBpsAAAALaW52ZW50RGltSWQBAAAAAWT////Z////AAAAAAFj////2P///wAAAAAACZ4AAAABNAAAAA4AAAD/////Bp8AAAARSW52ZW50VGFibGVNb2R1bGUGoAAAABtJbnZlbnRvcnkgbW9kdWxlIHBhcmFtZXRlcnMJCAAAAAkIAAAACQgAAAABXv///+D///8AAAAACaMAAAAJpAAAAAFb////3f////quecauPWxKp1fkO9XBI4kJCAAAAAkIAAAACacAAAAJMwAAAAapAAAADFRQUFRyYW5zX3NzdAaqAAAAElRhYmxlLlRQUFRyYW5zX3NzdAarAAAAGVRhYmxlLlRQUFRyYW5zX3NzdC5JdGVtSWQGrAAAAAZJdGVtSWQGrQAAAAZJdGVtSWQBAAAAAVL////Z////AAAAAAFR////2P///wAAAAAACbAAAAABNwAAAA4AAAD/////BrEAAAALSW52ZW50VGFibGUGsgAAAAVJdGVtcwkIAAAACQgAAAAJCAAAAAFM////4P///wAAAAAJtQAAAAm2AAAAAUn////d////aEo3v9BkCUKwEXWwAV3zMgkIAAAACQgAAAAJuQAAAAk2AAAABrsAAAAMVFBQVHJhbnNfc3N0BrwAAAASVGFibGUuVFBQVHJhbnNfc3N0Br0AAAAZVGFibGUuVFBQVHJhbnNfc3N0Lkl0ZW1JZAa+AAAABkl0ZW1JZAa/AAAABkl0ZW1JZAEAAAABQP///9n///8AAAAAAT/////Y////AAAAAAAJwg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nDAAAACcQAAAAJxQAAAAbGAAAACVRyYW5zVHlwZQbHAAAACVJlZmVyZW5jZQbIAAAABEVudW0JCAAAAAbKAAAAJDQyNDBmZGQ2LTBhYWMtNDdhYi04YTczLTBlY2VmZWZjYjhkNgU1////LUdsb2JlU29mdHdhcmUuQXRsYXM0MC5BdGxhc0NvbW1vbi5BZ2dyZWdhdGlvbgEAAAAHdmFsdWVfXwAIAgAAAP////8AAAAABTT///8sR2xvYmVTb2Z0d2FyZS5BdGxhczQwLkF0bGFzQ29tbW9uLkNvbHVtblR5cGUBAAAAB3ZhbHVlX18ACAIAAAAAAAAABTP///8rR2xvYmVTb2Z0d2FyZS5BdGxhczQwLkF0bGFzQ29tbW9uLlNvcnRPcmRlcgEAAAAHdmFsdWVfXwAIAgAAAAIAAAAAAAAAAAUy////QEdsb2JlU29mdHdhcmUuQXRsYXM0MC5BdGxhc0NvbW1vbi5UeXBlLkNvbHVtbitDcm9zc1RhYkNvbHVtblR5cGUBAAAAB3ZhbHVlX18ACAIAAAAAAAAACgEAAAAAAAAAAAAAAAAABs8AAAAkZDIzY2ZjZTctMGE1Ni00Y2VlLWE4N2YtODVhZDUwOGE4MjYwBtAAAAAcVGFibGUuVFBQVHJhbnNfc3N0LlRyYW5zVHlwZQoKCgoBOQAAADgAAAAJ0QAAAAnSAAAACdMAAAAG1AAAAApUcmFuc1JlZklkBtUAAAAGTnVtYmVyBtYAAAAGU3RyaW5nCQgAAAAG2AAAACRlNzlkMzk3ZS0wZTgxLTRlYjktYTQzMC1jMjljNTIyNjJjMDIBJ////zX/////////AQAAAAEm////NP///wAAAAABJf///zP///8CAAAAAAAAAAABJP///zL///8AAAAACgEAAAAAAAAAAAEAAAAABt0AAAAkN2I1Y2FlOGYtN2RmMS00YWYwLWJjYmYtMDdkMjMxNzFjMjI0Bt4AAAAdVGFibGUuVFBQVHJhbnNfc3N0LlRyYW5zUmVmSWQKCgoKAToAAAA4AAAACd8AAAAJ4AAAAAnhAAAABuIAAAAGSXRlbUlkBuMAAAALSXRlbSBudW1iZXIG5AAAAAZTdHJpbmcJCAAAAAbmAAAAJDNlOTI3YWEyLTJmMzMtNGRmNC04YzA4LWY0NWQxMmIwNDdhNwEZ////Nf////////8CAAAAARj///80////AAAAAAEX////M////wIAAAAAAAAAAAEW////Mv///wAAAAAKAQAAAAAAAAAAAgAAAAAG6wAAACQ5YmNmNTZiMi0yMWFiLTRjMmEtOTk0OC00MDU1ZDBkNTUyNDMG7AAAABlUYWJsZS5UUFBUcmFuc19zc3QuSXRlbUlkCgoKCgE7AAAAOAAAAAntAAAACe4AAAAJ7wAAAAbwAAAACEl0ZW1OYW1lBvEAAAAJSXRlbSBuYW1lBvIAAAAGU3RyaW5nCQgAAAAG9AAAACRmY2NhOTA0My00NDhlLTQ4ZTMtYWNjZi0wMmNiODc0ZGE1MjkBC////zX/////////AwAAAAEK////NP///wAAAAABCf///zP///8CAAAAAAAAAAABCP///zL///8AAAAACgEAAAAAAAAAAAMAAAAABvkAAAAkYTE5YjJiYzgtYzZiYy00NzUxLTkwZjYtZTg1YmQ2OTE5MDhjBvoAAAA0VGFibGUuVFBQVHJhbnNfc3N0Lkl0ZW1JZH5UYWJsZS5JbnZlbnRUYWJsZS5JdGVtTmFtZQoKCgoBPAAAADgAAAAJ+wAAAAn8AAAACf0AAAAG/gAAAAlUcmFuc0RhdGUG/wAAAAREYXRlBgABAAAERGF0ZQkIAAAABgIBAAAkNGFkNDgwMzktNTM3ZC00MGRlLWEzNmItOWE3OTA4ZmIyMGI4Af3+//81/////////wQAAAAB/P7//zT///8AAAAAAfv+//8z////AgAAAAAAAAAAAfr+//8y////AAAAAAoBAAAAAAAAAAAEAAAAAAYHAQAAJGY0Yjg3NDNlLTY5MmItNDJlMy1iYTE1LTM1ODlhZTgwNzJjOAYIAQAAHFRhYmxlLlRQUFRyYW5zX3NzdC5UcmFuc0RhdGUKCgoKAT0AAAA4AAAACQkBAAAJCgEAAAkLAQAABgwBAAAMSW52ZW50U2l0ZUlkBg0BAAAEU2l0ZQYOAQAABlN0cmluZwkIAAAABhABAAAkMmMyZTM4YjEtMGNlYi00MDA3LTljNDYtZDQ5NzQzYWFmODhjAe/+//81/////////wUAAAAB7v7//zT///8AAAAAAe3+//8z////AgAAAAAAAAAAAez+//8y////AAAAAAoBAAAAAAAAAAAFAAAAAAYVAQAAJDViYTdiOGRhLWM4NTQtNDg5ZC05YTViLTY0NjQzNWE5NGQ4ZgYWAQAAO1RhYmxlLlRQUFRyYW5zX3NzdC5JbnZlbnREaW1JZH5UYWJsZS5JbnZlbnREaW0uSW52ZW50U2l0ZUlkCgoKCgE+AAAAOAAAAAkXAQAACRgBAAAJGQEAAAYaAQAAEEludmVudExvY2F0aW9uSWQGGwEAAAlXYXJlaG91c2UGHAEAAAZTdHJpbmcJCAAAAAYeAQAAJDhlNjExNWIxLTk0NDUtNGZmYS1iYmM4LWY0MmNmNzY5NGEzNQHh/v//Nf////////8GAAAAAeD+//80////AAAAAAHf/v//M////wIAAAAAAAAAAAHe/v//Mv///wAAAAAKAQAAAAAAAAAABgAAAAAGIwEAACQwNDQ4MWM1Yi1lODY4LTRjM2EtOWY3MS01MGMwZmYyZTMxOWQGJAEAAD9UYWJsZS5UUFBUcmFuc19zc3QuSW52ZW50RGltSWR+VGFibGUuSW52ZW50RGltLkludmVudExvY2F0aW9uSWQKCgoKAT8AAAA4AAAACSUBAAAJJgEAAAknAQAABigBAAADUXR5BikBAAAIUXVhbnRpdHkGKgEAAARSZWFsCQgAAAAGLAEAACQ4OGIzYmUzYy0yNWU3LTQ3MDAtODY1NC02YTkwM2Y5MWZhZDcB0/7//zX///8BAAAABwAAAAHS/v//NP///wAAAAAB0f7//zP///8CAAAAAAAAAAAB0P7//zL///8AAAAACgEAAAAAAAAAAAcAAAAABjEBAAAkMTJhMzk1NzUtYjU0Ni00NWI4LWJiMTItMmJmNGFlNjNjYjM4BjIBAAAWVGFibGUuVFBQVHJhbnNfc3N0LlF0eQoKCgoBQAAAADgAAAAJMwEAAAk0AQAACTUBAAAGNgEAAAZVbml0SWQGNwEAAARVbml0BjgBAAAGU3RyaW5nCQgAAAAGOgEAACQwZDkwNmEwMC05ZDg1LTQ0MjQtYjlhYy0xNmZkM2Y5N2ZjNzYBxf7//zX/////////CAAAAAHE/v//NP///wAAAAABw/7//zP///8CAAAAAAAAAAABwv7//zL///8AAAAACgEAAAAAAAAAAAgAAAAABj8BAAAkOWQyNmIyMjUtOTIyZS00ZTg4LWJkYWYtNThhMzIxZTc4MmY4BkABAAA4VGFibGUuVFBQVHJhbnNfc3N0Lkl0ZW1JZH5UYWJsZS5JbnZlbnRUYWJsZU1vZHVsZS5Vbml0SWQKCgoKAUEAAAA4AAAACUEBAAAJQgEAAAlDAQAABkQBAAAJQ29zdFByaWNlBkUBAAAOVFBQIGNvc3QgcHJpY2UGRgEAAARSZWFsCQgAAAAGSAEAACRjMGRlYTNhMC02YmVkLTQ4ZjctYTkzOC0yYWFiOWM5MzViYmUBt/7//zX///8BAAAACQAAAAG2/v//NP///wAAAAABtf7//zP///8CAAAAAAAAAAABtP7//zL///8AAAAACgEAAAAAAAAAAAkAAAAABk0BAAAkZDk0ZTU2NGMtOWRlMi00MmRiLWE4ODktZGVkOTExMTBiMGZjBk4BAAAcVGFibGUuVFBQVHJhbnNfc3N0LkNvc3RQcmljZQoKCgoBQgAAADgAAAAJTwEAAAlQAQAACVEBAAAGUgEAAApDb3N0QW1vdW50BlMBAAAPVFBQIGNvc3QgYW1vdW50BlQBAAAEUmVhbAkIAAAABlYBAAAkOWQ5ZGE5NGYtMjkyZi00MTZiLWFmYmQtNDhmNGQzMGZiNjM5Aan+//81////AQAAAAoAAAABqP7//zT///8AAAAAAaf+//8z////AgAAAAAAAAAAAab+//8y////AAAAAAoBAAAAAAAAAAAKAAAAAAZbAQAAJDI4ZjgxNDc5LWE3ODktNGJmYS04MDYyLTc2Mjk1YWYxODE3NwZcAQAAHVRhYmxlLlRQUFRyYW5zX3NzdC5Db3N0QW1vdW50CgoKCgFDAAAAOAAAAAldAQAACV4BAAAJXwEAAAZgAQAADEN1cnJlbmN5Q29kZQZhAQAACEN1cnJlbmN5BmIBAAAGU3RyaW5nCQgAAAAGZAEAACQwMzg0OGJiZi04OTlkLTQ5ZTMtYjE1OC04MzBkM2VlM2U0NmEBm/7//zX/////////CwAAAAGa/v//NP///wAAAAABmf7//zP///8CAAAAAAAAAAABmP7//zL///8AAAAACgEAAAAAAAAAAAsAAAAABmkBAAAkMGQ4ZWYxMTUtMmI3Mi00NDZkLThiMjMtYTIzMTk4NjRiOGRmBmoBAAAfVGFibGUuVFBQVHJhbnNfc3N0LkN1cnJlbmN5Q29kZQoKCgoBRAAAADgAAAAJawEAAAlsAQAACW0BAAAGbgEAAA1Db3N0QW1vdW50Q3VyBm8BAAAYVFBQIGNvc3QgYW1vdW50IGN1cnJlbmN5BnABAAAEUmVhbAkIAAAABnIBAAAkN2RhMmVmZmMtZTcwNC00YjBjLTk2MzQtODRkNmRkOGQ2ZDhkAY3+//81////AQAAAAwAAAABjP7//zT///8AAAAAAYv+//8z////AgAAAAAAAAAAAYr+//8y////AAAAAAoBAAAAAAAAAAAMAAAAAAZ3AQAAJGExNzI1NGM5LTVjY2QtNDg0Mi05NzBjLWQ2NjgyYjEyMDg2ZgZ4AQAAIFRhYmxlLlRQUFRyYW5zX3NzdC5Db3N0QW1vdW50Q3VyCgoKCgFFAAAAOAAAAAl5AQAACXoBAAAJewEAAAZ8AQAAB1ZvdWNoZXIGfQEAABFGaW5hbmNpYWwgdm91Y2hlcgZ+AQAABlN0cmluZwkIAAAABoABAAAkMDg5ODE4YTMtMjY4ZS00ZmZkLWI0ODAtYTlkN2I5OWIyZGJkAX/+//81/////////w0AAAABfv7//zT///8AAAAAAX3+//8z////AgAAAAAAAAAAAXz+//8y////AAAAAAoBAAAAAAAAAAANAAAAAAaFAQAAJDc1NzU4ZDU0LTFkNGQtNGE5Ny04ODBmLWI2MjYwM2VhZDdhNgaGAQAAGlRhYmxlLlRQUFRyYW5zX3NzdC5Wb3VjaGVyCgoKCgFGAAAAOAAAAAmHAQAACYgBAAAJiQEAAAaKAQAADUludmVudFRyYW5zSWQGiwEAAAZMb3QgSUQGjAEAAAZTdHJpbmcJCAAAAAaOAQAAJDllMTViNzJkLTY2YmEtNGNkMi04NjRmLTU2ZDU3MjQ5YjI4YQFx/v//Nf////////8OAAAAAXD+//80////AAAAAAFv/v//M////wIAAAAAAAAAAAFu/v//Mv///wAAAAAKAQAAAAAAAAAADgAAAAAGkwEAACQ5NmRhZTkyZi1iN2I3LTRkNWMtYjdkOC0xYzg3Y2UwNzBlNmIGlAEAACBUYWJsZS5UUFBUcmFuc19zc3QuSW52ZW50VHJhbnNJZAoKCgoBRwAAADgAAAAJlQEAAAmWAQAACZcBAAAGmAEAAAZTdGF0dXMGmQEAAAZTdGF0dXMGmgEAAARFbnVtCQgAAAAGnAEAACQ4NWM1YWM3MS0zZGY4LTQxMzAtYTk2NS0zZDdkY2RlYmM5ZDIBY/7//zX/////////DwAAAAFi/v//NP///wAAAAABYf7//zP///8CAAAAAAAAAAABYP7//zL///8AAAAACgEAAAAAAAAAAA8AAAAABqEBAAAkZDdiOTkxYzMtYzRjMi00ZWMzLWE1YWUtZDAyNmZhOGZlNzk5BqIBAAAZVGFibGUuVFBQVHJhbnNfc3N0LlN0YXR1cwoKCgoBSAAAADgAAAAJowEAAAmkAQAACaUBAAAGpgEAABBJbnZlbnRUcmFuc1JlY0lkBqcBAAAQSW52ZW50VHJhbnNSZWNJZAaoAQAABUludDY0CQgAAAAGqgEAACRkOGE2ZmMwNS1mNmY0LTQwM2UtODNmYS01ZTdkZjQ4YjZmY2UBVf7//zX///8BAAAAEAAAAAFU/v//NP///wAAAAABU/7//zP///8CAAAAAAAAAAABUv7//zL///8AAAAACgEAAAAAAAAAABAAAAAABq8BAAAkMWRhMjY4NjEtMDRjOS00ZjJjLTk3ZTgtNWQ4YTY0YmFlYjc1BrABAAAjVGFibGUuVFBQVHJhbnNfc3N0LkludmVudFRyYW5zUmVjSWQKCgoKAYYAAAASAAAAB4cAAAAAAQAAAA0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IBAAAcVGFibGUuVFBQVHJhbnNfc3N0LlRyYW5zVHlwZQmzAQAAAUz+//9P/v//BrUBAAAdVGFibGUuVFBQVHJhbnNfc3N0LlRyYW5zUmVmSWQJtgEAAAFJ/v//T/7//wa4AQAAGVRhYmxlLlRQUFRyYW5zX3NzdC5JdGVtSWQJuQEAAAFG/v//T/7//wa7AQAAHFRhYmxlLlRQUFRyYW5zX3NzdC5UcmFuc0RhdGUJvAEAAAFD/v//T/7//wa+AQAAFlRhYmxlLlRQUFRyYW5zX3NzdC5RdHkJvwEAAAFA/v//T/7//wbBAQAAHFRhYmxlLlRQUFRyYW5zX3NzdC5Db3N0UHJpY2UJwgEAAAE9/v//T/7//wbEAQAAHVRhYmxlLlRQUFRyYW5zX3NzdC5Db3N0QW1vdW50CcUBAAABOv7//0/+//8GxwEAAB9UYWJsZS5UUFBUcmFuc19zc3QuQ3VycmVuY3lDb2RlCcgBAAABN/7//0/+//8GygEAACBUYWJsZS5UUFBUcmFuc19zc3QuQ29zdEFtb3VudEN1cgnLAQAAATT+//9P/v//Bs0BAAAaVGFibGUuVFBQVHJhbnNfc3N0LlZvdWNoZXIJzgEAAAEx/v//T/7//wbQAQAAIFRhYmxlLlRQUFRyYW5zX3NzdC5JbnZlbnRUcmFuc0lkCdEBAAABLv7//0/+//8G0wEAABlUYWJsZS5UUFBUcmFuc19zc3QuU3RhdHVzCdQBAAABK/7//0/+//8G1gEAACNUYWJsZS5UUFBUcmFuc19zc3QuSW52ZW50VHJhbnNSZWNJZAnXAQAAB4k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o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tkBAAAcVGFibGUuVFBQVHJhbnNfc3N0LlRyYW5zRGF0ZQnaAQAAASX+//8o/v//BtwBAAAZVGFibGUuVFBQVHJhbnNfc3N0Lkl0ZW1JZAndAQAAB4s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SL+///U////CTAAAAAJMQAAAAEf/v//1P///wkzAAAACTQAAAABHP7//9T///8JNgAAAAk3AAAABIw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RAAAAIQAAAAIAAAAJ5wEAAAMAAAAJ6AEAAASS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J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eAAAAKQAAAAAAAAAJ6wEAAAAAAAABowAAACEAAAABAAAACecBAAADAAAACe0BAAABpAAAACIAAAABAAAACRIAAAADAAAACe8BAAAEp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bAAAAApAAAAAAAAAAnrAQAAAAAAAAG1AAAAIQAAAAEAAAAJ5wEAAAMAAAAJ8wEAAAS2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k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HCAAAAKQAAAAAAAAAJ6wEAAAAAAAAEw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9wEAAAEAAAABAAAABM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wAAAAn4AQAABwAAAAn5AQAABM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n7AQAAAdEAAADDAAAACfwBAAABAAAAAQAAAAHSAAAAxAAAAIIAAAAJ+AEAAAcAAAAJ/gEAAAT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AAIAAAHfAAAAwwAAAAkBAgAAAQAAAAEAAAAB4AAAAMQAAACCAAAACfgBAAAHAAAACQMCAAAE4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oBAAAHAAAACQUCAAAB7QAAAMMAAAAJBgIAAAEAAAABAAAAAe4AAADEAAAAUAAAAAkHAgAABwAAAAkIAgAABO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nnAQAABwAAAAkKAgAAAfsAAADDAAAACQsCAAABAAAAAQAAAAH8AAAAxAAAAHoAAAAJ+AEAAAcAAAAJDQIAAAT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+gEAAAcAAAAJDwIAAAEJAQAAwwAAAAkQAgAAAQAAAAEAAAABCgEAAMQAAABeAAAACQcCAAAHAAAACRICAAAEC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ecBAAAHAAAACRQCAAABFwEAAMMAAAAJFQIAAAEAAAABAAAAARgBAADEAAAAXgAAAAkHAgAABwAAAAkXAgAABB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nnAQAABwAAAAkZAgAAASUBAADDAAAACRoCAAABAAAAAQAAAAEmAQAAxAAAAIIAAAAJ+AEAAAcAAAAJHAIAAAQn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HgIAAAEzAQAAwwAAAAkfAgAAAQAAAAEAAAABNAEAAMQAAABeAAAACQcCAAAHAAAACSECAAAEN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ecBAAAHAAAACSMCAAABQQEAAMMAAAAJJAIAAAEAAAABAAAAAUIBAADEAAAAgwAAAAn4AQAABwAAAAkmAgAABE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koAgAAAU8BAADDAAAACSkCAAABAAAAAQAAAAFQAQAAxAAAAIIAAAAJ+AEAAAcAAAAJKwIAAAR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LQIAAAFdAQAAwwAAAAkuAgAAAQAAAAEAAAABXgEAAMQAAACCAAAACfgBAAAHAAAACT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oBAAAHAAAACTICAAABawEAAMMAAAAJMwIAAAEAAAABAAAAAWwBAADEAAAAggAAAAn4AQAABwAAAAk1AgAABG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k3AgAAAXkBAADDAAAACTgCAAABAAAAAQAAAAF6AQAAxAAAAIIAAAAJ+AEAAAcAAAAJOgIAAAR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+gEAAAcAAAAJPAIAAAGHAQAAwwAAAAk9AgAAAQAAAAEAAAABiAEAAMQAAACCAAAACfgBAAAHAAAACT8CAAAEi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foBAAAHAAAACUECAAABlQEAAMMAAAAJQgIAAAEAAAABAAAAAZYBAADEAAAAggAAAAn4AQAABwAAAAlEAgAABJ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6AQAABwAAAAlGAgAAAaMBAADDAAAACUcCAAABAAAAAQAAAAGkAQAAxAAAAH4AAAAJ+AEAAAcAAAAJSQIAAAS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+gEAAAcAAAAJSwIAAAWz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0/f//Nf////////8ABk0CAAAERW51bQZOAgAACVJlZmVyZW5jZQlPAgAAAbD9//8z////AgAAAAWv/f//OUdsb2JlU29mdHdhcmUuQXRsYXM0MC5BdGxhc0NvbW1vbi5OdW1iZXJTZXF1ZW5jZUNvbmRpdGlvbgEAAAAHdmFsdWVfXwAIAgAAAAEAAAAAAAZSAgAAElRhYmxlLlRQUFRyYW5zX3NzdAnGAAAACQgAAAAK/////wlSAgAACgnGAAAACgoKCQgAAAAJWAIAAAkIAAAAAbYBAACzAQAAAab9//81/////////wAGWwIAAAZTdHJpbmcGXAIAAAZOdW1iZXIJTwIAAAGi/f//M////wIAAAABof3//6/9//8BAAAAAAAJUgIAAAnUAAAACQgAAAAK/////wlSAgAACgnUAAAACgoKCQgAAAAJZgIAAAkIAAAAAbkBAACzAQAAAZj9//81/////////wAGaQIAAAZTdHJpbmcGagIAAAtJdGVtIG51bWJlcglPAgAAAZT9//8z////AgAAAAGT/f//r/3//wEAAAAAAAlSAgAACeIAAAAJCAAAAAr/////CVICAAAKCeIAAAAKCgoJCAAAAAl0AgAACQgAAAABvAEAALMBAAABiv3//zX/////////AAZ3AgAABERhdGUGeAIAAAREYXRlCXkCAAABhv3//zP///8CAAAAAYX9//+v/f//AQAAAAAABnwCAAASVGFibGUuVFBQVHJhbnNfc3N0Cf4AAAAJCAAAAAr/////CXwCAAAKCf4AAAAKCgoJCAAAAAmCAgAACQgAAAABvwEAALMBAAABfP3//zX/////////AAaFAgAABFJlYWwGhgIAAAhRdWFudGl0eQlPAgAAAXj9//8z////AgAAAAF3/f//r/3//wEAAAAAAAlSAgAACSgBAAAJCAAAAAr/////CVICAAAKCSgBAAAKCgoJCAAAAAmQAgAACQgAAAABwgEAALMBAAABbv3//zX/////////AAaTAgAABFJlYWwGlAIAAA5UUFAgY29zdCBwcmljZQlPAgAAAWr9//8z////AgAAAAFp/f//r/3//wEAAAAAAAlSAgAACUQBAAAJCAAAAAr/////CVICAAAKCUQBAAAKCgoJCAAAAAmeAgAACQgAAAABxQEAALMBAAABYP3//zX/////////AAahAgAABFJlYWwGogIAAA9UUFAgY29zdCBhbW91bnQJTwIAAAFc/f//M////wIAAAABW/3//6/9//8BAAAAAAAJUgIAAAlSAQAACQgAAAAK/////wlSAgAACglSAQAACgoKCQgAAAAJrAIAAAkIAAAAAcgBAACzAQAAAVL9//81/////////wAGrwIAAAZTdHJpbmcGsAIAAAhDdXJyZW5jeQlPAgAAAU79//8z////AgAAAAFN/f//r/3//wEAAAAAAAlSAgAACWABAAAJCAAAAAr/////CVICAAAKCWABAAAKCgoJCAAAAAm6AgAACQgAAAABywEAALMBAAABRP3//zX/////////AAa9AgAABFJlYWwGvgIAABhUUFAgY29zdCBhbW91bnQgY3VycmVuY3kJTwIAAAFA/f//M////wIAAAABP/3//6/9//8BAAAAAAAJUgIAAAluAQAACQgAAAAK/////wlSAgAACgluAQAACgoKCQgAAAAJyAIAAAkIAAAAAc4BAACzAQAAATb9//81/////////wAGywIAAAZTdHJpbmcGzAIAABFGaW5hbmNpYWwgdm91Y2hlcglPAgAAATL9//8z////AgAAAAEx/f//r/3//wEAAAAAAAlSAgAACXwBAAAJCAAAAAr/////CVICAAAKCXwBAAAKCgoJCAAAAAnWAgAACQgAAAAB0QEAALMBAAABKP3//zX/////////AAbZAgAABlN0cmluZwbaAgAABkxvdCBJRAlPAgAAAST9//8z////AgAAAAEj/f//r/3//wEAAAAAAAlSAgAACYoBAAAJCAAAAAr/////CVICAAAKCYoBAAAKCgoJCAAAAAnkAgAACQgAAAAB1AEAALMBAAABGv3//zX/////////AAbnAgAABEVudW0G6AIAAAZTdGF0dXMJTwIAAAEW/f//M////wIAAAABFf3//6/9//8BAAAAAAAJUgIAAAmYAQAACQgAAAAK/////wlSAgAACgmYAQAACgoKCQgAAAAJ8gIAAAkIAAAAAdcBAACzAQAAAQz9//81/////////wAG9QIAAAVJbnQ2NAlOAgAACXkCAAABCP3//zP///8CAAAAAQf9//+v/f//AQAAAAAACXwCAAAJpgEAAAkIAAAACv////8JfAIAAAoJpgEAAAoKCgkIAAAACQADAAAJCAAAAAXa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gMAABJUYWJsZS5UUFBUcmFuc19zc3QGAwMAAAlUcmFuc0RhdGUJCAAAAAYFAwAAGDA0LjAxLjIwMTcgLi4gMDYuMzAuMjAxN/////8JAgMAAAoJAwMAAAoKCgkIAAAACQkDAAAJCAAAAAHdAQAA2gEAAAkCAwAABgwDAAAGSXRlbUlkCQgAAAAGDgMAACFMQUNMRUFOMjBBVCxMQUNBTjAyUEVULExBQ0xFQU4wMDL/////CQIDAAAKCQwDAAAKCgoJCAAAAAkS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7Pz//0/+//8GFQMAADtUYWJsZS5UUFBUcmFuc19zc3QuSW52ZW50RGltSWR+VGFibGUuSW52ZW50RGltLkludmVudFNpdGVJZAkWAwAAAen8//9P/v//BhgDAAA/VGFibGUuVFBQVHJhbnNfc3N0LkludmVudERpbUlkflRhYmxlLkludmVudERpbS5JbnZlbnRMb2NhdGlvbklkCRk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vz//0/+//8GGwMAADhUYWJsZS5UUFBUcmFuc19zc3QuSXRlbUlkflRhYmxlLkludmVudFRhYmxlTW9kdWxlLlVuaXRJZAkc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j/P//KP7//wYeAwAAPFRhYmxlLlRQUFRyYW5zX3NzdC5JdGVtSWR+VGFibGUuSW52ZW50VGFibGVNb2R1bGUuTW9kdWxlVHlwZQkf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D8//9P/v//BiEDAAA0VGFibGUuVFBQVHJhbnNfc3N0Lkl0ZW1JZH5UYWJsZS5JbnZlbnRUYWJsZS5JdGVtTmFtZQkiAwAAB/cBAAAAAQAAAAQAAAAEN0dsb2JlU29mdHdhcmUuQXRsYXM0MC5BdGxhc0NvbW1vbi5UeXBlLkZpZWxkT3V0cHV0RmllbGQCAAAACbMBAAANAwT4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5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3Pz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b/P//Mkdsb2JlU29mdHdhcmUuQXRsYXM0MC5BdGxhc0NvbW1vbi5Db2x1bW5BdHRyaWJ1dGVzAQAAAAd2YWx1ZV9fAAgCAAAAEAAAAAYmAwAABE5vbmUB2fz//9z8//8B2Pz//9v8//8JAAAACQgAAAAB1vz//9z8//8B1fz//9v8//8LAAAABiwDAAABMAHT/P//3Pz//wHS/P//2/z//wQAAAAGLwMAAAdHZW5lcmFsAdD8///c/P//Ac/8///b/P//AgAAAAYyAwAAATEBzfz//9z8//8BzPz//9v8//8AAAAABjUDAAAFMTMuNzEByvz//9z8//8Byfz//9v8//8kAAAACccAAAAB+gEAABIAAAAH+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H/P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joDAAAIRm9udEJvbGQGOwMAAAVGYWxzZQHE/P//x/z//wY9AwAACkZvbnRJdGFsaWMJOwMAAAHB/P//x/z//wZAAwAADUZvbnRVbmRlcmxpbmUGQQMAAAUtNDE0MgG+/P//x/z//wZDAwAACEZvbnROYW1lBkQDAAAHQ2FsaWJyaQG7/P//x/z//wZGAwAACUZvbnRDb2xvcgZHAwAAATABuPz//8f8//8GSQMAAAhGb250U2l6ZQZKAwAAAjExAbX8///H/P//BkwDAAAJRm9udFN0eWxlBk0DAAAHUmVndWxhcgf8AQAAAAEAAAAEAAAABDdHbG9iZVNvZnR3YXJlLkF0bGFzNDAuQXRsYXNDb21tb24uVHlwZS5GaWVsZE91dHB1dEZpZWxkAgAAAAm2AQAADQMH/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H8///c/P//AbD8///b/P//EAAAAAkmAwAAAa78///c/P//Aa38///b/P//CQAAAAkIAAAAAav8///c/P//Aar8///b/P//CwAAAAZXAwAAATEBqPz//9z8//8Bp/z//9v8//8EAAAABloDAAAHR2VuZXJhbAGl/P//3Pz//wGk/P//2/z//wIAAAAGXQMAAAExAaL8///c/P//AaH8///b/P//AAAAAAZgAwAABTEwLjg2BwA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z//8f8//8JOgMAAAk7AwAAAZz8///H/P//CT0DAAAJOwMAAAGZ/P//x/z//wlAAwAABmkDAAAFLTQxNDIBlvz//8f8//8JQwMAAAZsAwAAB0NhbGlicmkBk/z//8f8//8JRgMAAAZvAwAAATABkPz//8f8//8JSQMAAAZyAwAAAjExAY38///H/P//CUwDAAAGdQMAAAdSZWd1bGFyBwECAAAAAQAAAAQAAAAEN0dsb2JlU29mdHdhcmUuQXRsYXM0MC5BdGxhc0NvbW1vbi5UeXBlLkZpZWxkT3V0cHV0RmllbGQCAAAACbk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fz//9z8//8BiPz//9v8//8QAAAACSYDAAABhvz//9z8//8Bhfz//9v8//8JAAAACQgAAAABg/z//9z8//8Bgvz//9v8//8LAAAABn8DAAABMgGA/P//3Pz//wF//P//2/z//wQAAAAGggMAAAdHZW5lcmFsAX38///c/P//AXz8///b/P//AgAAAAaFAwAAATEBevz//9z8//8Befz//9v8//8AAAAABogDAAAFMTQuMTQHB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3/P//x/z//wk6AwAACTsDAAABdPz//8f8//8JPQMAAAk7AwAAAXH8///H/P//CUADAAAGkQMAAAUtNDE0MgFu/P//x/z//wlDAwAABpQDAAAHQ2FsaWJyaQFr/P//x/z//wlGAwAABpcDAAABMAFo/P//x/z//wlJAwAABpoDAAACMTEBZfz//8f8//8JTAMAAAadAwAAB1JlZ3VsYXIHBgIAAAABAAAABAAAAAQ3R2xvYmVTb2Z0d2FyZS5BdGxhczQwLkF0bGFzQ29tbW9uLlR5cGUuRmllbGRPdXRwdXRGaWVsZAIAAAAJIgMAAA0DAQcCAAD4AQAABw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P//3Pz//wFg/P//2/z//wkAAAAJCAAAAAFe/P//3Pz//wFd/P//2/z//wsAAAAGpAMAAAEzAVv8///c/P//AVr8///b/P//BAAAAAanAwAAB0dlbmVyYWwBWPz//9z8//8BV/z//9v8//8CAAAABqoDAAABMQFV/P//3Pz//wFU/P//2/z//wAAAAAGrQMAAAUzNC4xNAcK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L8///H/P//Bq8DAAAIRm9udEJvbGQJOwMAAAFP/P//x/z//wayAwAACkZvbnRJdGFsaWMJOwMAAAFM/P//x/z//wa1AwAADUZvbnRVbmRlcmxpbmUGtgMAAAUtNDE0MgFJ/P//x/z//wa4AwAACEZvbnROYW1lBrkDAAAHQ2FsaWJyaQFG/P//x/z//wa7AwAACUZvbnRDb2xvcga8AwAAATABQ/z//8f8//8GvgMAAAhGb250U2l6ZQa/AwAAAjExAUD8///H/P//BsEDAAAJRm9udFN0eWxlBsIDAAAHUmVndWxhcgcLAgAAAAEAAAAEAAAABDdHbG9iZVNvZnR3YXJlLkF0bGFzNDAuQXRsYXNDb21tb24uVHlwZS5GaWVsZE91dHB1dEZpZWxkAgAAAAm8AQAADQMHDQ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z8///c/P//ATv8///b/P//CQAAAAkIAAAAATn8///c/P//ATj8///b/P//CwAAAAbJAwAAATQBNvz//9z8//8BNfz//9v8//8EAAAABswDAAAIbS9kL3l5eXkBM/z//9z8//8BMvz//9v8//8CAAAABs8DAAABMQEw/P//3Pz//wEv/P//2/z//wAAAAAG0gMAAAE5Bw8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8f8//8JOgMAAAk7AwAAASr8///H/P//CT0DAAAJOwMAAAEn/P//x/z//wlAAwAABtsDAAAFLTQxNDIBJPz//8f8//8JQwMAAAbeAwAAB0NhbGlicmkBIfz//8f8//8JRgMAAAbhAwAAATABHvz//8f8//8JSQMAAAbkAwAAAjExARv8///H/P//CUwDAAAG5wMAAAdSZWd1bGFyBxACAAAAAQAAAAQAAAAEN0dsb2JlU29mdHdhcmUuQXRsYXM0MC5BdGxhc0NvbW1vbi5UeXBlLkZpZWxkT3V0cHV0RmllbGQCAAAACRYDAAANAwcS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9z8//8BFvz//9v8//8JAAAACQgAAAABFPz//9z8//8BE/z//9v8//8LAAAABu4DAAABNQER/P//3Pz//wEQ/P//2/z//wQAAAAG8QMAAAdHZW5lcmFsAQ78///c/P//AQ38///b/P//AgAAAAb0AwAAATEBC/z//9z8//8BCvz//9v8//8AAAAABvcDAAABNg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8///H/P//BvkDAAAIRm9udEJvbGQJOwMAAAEF/P//x/z//wb8AwAACkZvbnRJdGFsaWMJOwMAAAEC/P//x/z//wb/AwAADUZvbnRVbmRlcmxpbmUGAAQAAAUtNDE0MgH/+///x/z//wYCBAAACEZvbnROYW1lBgMEAAAHQ2FsaWJyaQH8+///x/z//wYFBAAACUZvbnRDb2xvcgYGBAAAATAB+fv//8f8//8GCAQAAAhGb250U2l6ZQYJBAAAAjExAfb7///H/P//BgsEAAAJRm9udFN0eWxlBgwEAAAHUmVndWxhcgcVAgAAAAEAAAAEAAAABDdHbG9iZVNvZnR3YXJlLkF0bGFzNDAuQXRsYXNDb21tb24uVHlwZS5GaWVsZE91dHB1dEZpZWxkAgAAAAkZAwAADQMHF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L7///c/P//AfH7///b/P//CQAAAAkIAAAAAe/7///c/P//Ae77///b/P//CwAAAAYTBAAAATYB7Pv//9z8//8B6/v//9v8//8EAAAABhYEAAAHR2VuZXJhbAHp+///3Pz//wHo+///2/z//wIAAAAGGQQAAAExAeb7///c/P//AeX7///b/P//AAAAAAYcBAAABTEyLjg2Bxk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v//8f8//8J+QMAAAk7AwAAAeD7///H/P//CfwDAAAJOwMAAAHd+///x/z//wn/AwAABiUEAAAFLTQxNDIB2vv//8f8//8JAgQAAAYoBAAAB0NhbGlicmkB1/v//8f8//8JBQQAAAYrBAAAATAB1Pv//8f8//8JCAQAAAYuBAAAAjExAdH7///H/P//CQsEAAAGMQQAAAdSZWd1bGFyBxoCAAAAAQAAAAQAAAAEN0dsb2JlU29mdHdhcmUuQXRsYXM0MC5BdGxhc0NvbW1vbi5UeXBlLkZpZWxkT3V0cHV0RmllbGQCAAAACb8BAAANAwcc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v//9z8//8BzPv//9v8//8QAAAACSYDAAAByvv//9z8//8Byfv//9v8//8JAAAACQgAAAABx/v//9z8//8Bxvv//9v8//8LAAAABjsEAAABNwHE+///3Pz//wHD+///2/z//wQAAAAGPgQAAAdHZW5lcmFsAcH7///c/P//AcD7///b/P//AgAAAAZBBAAAATEBvvv//9z8//8Bvfv//9v8//8AAAAABkQEAAAFMTAuMjkHH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+///x/z//wk6AwAACTsDAAABuPv//8f8//8JPQMAAAk7AwAAAbX7///H/P//CUADAAAGTQQAAAUtNDE0MgGy+///x/z//wlDAwAABlAEAAAHQ2FsaWJyaQGv+///x/z//wlGAwAABlMEAAABMAGs+///x/z//wlJAwAABlYEAAACMTEBqfv//8f8//8JTAMAAAZZBAAAB1JlZ3VsYXIHHwIAAAABAAAABAAAAAQ3R2xvYmVTb2Z0d2FyZS5BdGxhczQwLkF0bGFzQ29tbW9uLlR5cGUuRmllbGRPdXRwdXRGaWVsZAIAAAAJHAMAAA0DByE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+///3Pz//wGk+///2/z//wkAAAAJCAAAAAGi+///3Pz//wGh+///2/z//wsAAAAGYAQAAAE4AZ/7///c/P//AZ77///b/P//BAAAAAZjBAAAB0dlbmVyYWwBnPv//9z8//8Bm/v//9v8//8CAAAABmYEAAABMQGZ+///3Pz//wGY+///2/z//wAAAAAGaQQAAAQ2LjQzByM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v//8f8//8J+QMAAAk7AwAAAZP7///H/P//CfwDAAAJOwMAAAGQ+///x/z//wn/AwAABnIEAAAFLTQxNDIBjfv//8f8//8JAgQAAAZ1BAAAB0NhbGlicmkBivv//8f8//8JBQQAAAZ4BAAAATABh/v//8f8//8JCAQAAAZ7BAAAAjExAYT7///H/P//CQsEAAAGfgQAAAdSZWd1bGFyByQCAAAAAQAAAAQAAAAEN0dsb2JlU29mdHdhcmUuQXRsYXM0MC5BdGxhc0NvbW1vbi5UeXBlLkZpZWxkT3V0cHV0RmllbGQCAAAACcIBAAANAwcm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v//9z8//8Bf/v//9v8//8GAAAABoIEAAAFVG90YWwBffv//9z8//8BfPv//9v8//8QAAAACSYDAAABevv//9z8//8Befv//9v8//8JAAAACQgAAAABd/v//9z8//8Bdvv//9v8//8LAAAABosEAAABOQF0+///3Pz//wFz+///2/z//wQAAAAGjgQAAAdHZW5lcmFsAXH7///c/P//AXD7///b/P//AgAAAAaRBAAAATEBbvv//9z8//8Bbfv//9v8//8AAAAABpQEAAAFMTUuNTcHK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x/z//wk6AwAACTsDAAABaPv//8f8//8JPQMAAAk7AwAAAWX7///H/P//CUADAAAGnQQAAAUtNDE0MgFi+///x/z//wlDAwAABqAEAAAHQ2FsaWJyaQFf+///x/z//wlGAwAABqMEAAABMAFc+///x/z//wlJAwAABqYEAAACMTEBWfv//8f8//8JTAMAAAapBAAAB1JlZ3VsYXIHKQIAAAABAAAABAAAAAQ3R2xvYmVTb2Z0d2FyZS5BdGxhczQwLkF0bGFzQ29tbW9uLlR5cGUuRmllbGRPdXRwdXRGaWVsZAIAAAAJxQEAAA0DBys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+///3Pz//wFU+///2/z//xAAAAAJJgMAAAFS+///3Pz//wFR+///2/z//wkAAAAJCAAAAAFP+///3Pz//wFO+///2/z//wsAAAAGswQAAAIxMAFM+///3Pz//wFL+///2/z//wQAAAAGtgQAAAdHZW5lcmFsAUn7///c/P//AUj7///b/P//AgAAAAa5BAAAATEBRvv//9z8//8BRfv//9v8//8AAAAABrwEAAAFMTcuMjkHL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+///x/z//wk6AwAACTsDAAABQPv//8f8//8JPQMAAAk7AwAAAT37///H/P//CUADAAAGxQQAAAUtNDE0MgE6+///x/z//wlDAwAABsgEAAAHQ2FsaWJyaQE3+///x/z//wlGAwAABssEAAABMAE0+///x/z//wlJAwAABs4EAAACMTEBMfv//8f8//8JTAMAAAbRBAAAB1JlZ3VsYXIHLgIAAAABAAAABAAAAAQ3R2xvYmVTb2Z0d2FyZS5BdGxhczQwLkF0bGFzQ29tbW9uLlR5cGUuRmllbGRPdXRwdXRGaWVsZAIAAAAJyAEAAA0DBzA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+///3Pz//wEs+///2/z//xAAAAAJJgMAAAEq+///3Pz//wEp+///2/z//wkAAAAJCAAAAAEn+///3Pz//wEm+///2/z//wsAAAAG2wQAAAIxMQEk+///3Pz//wEj+///2/z//wQAAAAG3gQAAAdHZW5lcmFsASH7///c/P//ASD7///b/P//AgAAAAbhBAAAATEBHvv//9z8//8BHfv//9v8//8AAAAABuQEAAAFMTAuNDMHM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+///x/z//wk6AwAACTsDAAABGPv//8f8//8JPQMAAAk7AwAAARX7///H/P//CUADAAAG7QQAAAUtNDE0MgES+///x/z//wlDAwAABvAEAAAHQ2FsaWJyaQEP+///x/z//wlGAwAABvMEAAABMAEM+///x/z//wlJAwAABvYEAAACMTEBCfv//8f8//8JTAMAAAb5BAAAB1JlZ3VsYXIHMwIAAAABAAAABAAAAAQ3R2xvYmVTb2Z0d2FyZS5BdGxhczQwLkF0bGFzQ29tbW9uLlR5cGUuRmllbGRPdXRwdXRGaWVsZAIAAAAJywEAAA0DBz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+///3Pz//wEE+///2/z//xAAAAAJJgMAAAEC+///3Pz//wEB+///2/z//wkAAAAJCAAAAAH/+v//3Pz//wH++v//2/z//wsAAAAGAwUAAAIxMgH8+v//3Pz//wH7+v//2/z//wQAAAAGBgUAAAdHZW5lcmFsAfn6///c/P//Afj6///b/P//AgAAAAYJBQAAATEB9vr//9z8//8B9fr//9v8//8AAAAABgwFAAAFMjUuNTcHN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+v//x/z//wk6AwAACTsDAAAB8Pr//8f8//8JPQMAAAk7AwAAAe36///H/P//CUADAAAGFQUAAAUtNDE0MgHq+v//x/z//wlDAwAABhgFAAAHQ2FsaWJyaQHn+v//x/z//wlGAwAABhsFAAABMAHk+v//x/z//wlJAwAABh4FAAACMTEB4fr//8f8//8JTAMAAAYhBQAAB1JlZ3VsYXIHOAIAAAABAAAABAAAAAQ3R2xvYmVTb2Z0d2FyZS5BdGxhczQwLkF0bGFzQ29tbW9uLlR5cGUuRmllbGRPdXRwdXRGaWVsZAIAAAAJzgEAAA0DBzo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d+v//3Pz//wHc+v//2/z//xAAAAAJJgMAAAHa+v//3Pz//wHZ+v//2/z//wkAAAAJCAAAAAHX+v//3Pz//wHW+v//2/z//wsAAAAGKwUAAAIxMwHU+v//3Pz//wHT+v//2/z//wQAAAAGLgUAAAdHZW5lcmFsAdH6///c/P//AdD6///b/P//AgAAAAYxBQAAATEBzvr//9z8//8Bzfr//9v8//8AAAAABjQFAAAFMTguMTQHP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+v//x/z//wk6AwAACTsDAAAByPr//8f8//8JPQMAAAk7AwAAAcX6///H/P//CUADAAAGPQUAAAUtNDE0MgHC+v//x/z//wlDAwAABkAFAAAHQ2FsaWJyaQG/+v//x/z//wlGAwAABkMFAAABMAG8+v//x/z//wlJAwAABkYFAAACMTEBufr//8f8//8JTAMAAAZJBQAAB1JlZ3VsYXIHPQIAAAABAAAABAAAAAQ3R2xvYmVTb2Z0d2FyZS5BdGxhczQwLkF0bGFzQ29tbW9uLlR5cGUuRmllbGRPdXRwdXRGaWVsZAIAAAAJ0QEAAA0DBz8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+v//3Pz//wG0+v//2/z//xAAAAAJJgMAAAGy+v//3Pz//wGx+v//2/z//wkAAAAJCAAAAAGv+v//3Pz//wGu+v//2/z//wsAAAAGUwUAAAIxNAGs+v//3Pz//wGr+v//2/z//wQAAAAGVgUAAAdHZW5lcmFsAan6///c/P//Aaj6///b/P//AgAAAAZZBQAAATEBpvr//9z8//8Bpfr//9v8//8AAAAABlwFAAAEOS40Mwd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6///H/P//CToDAAAJOwMAAAGg+v//x/z//wk9AwAACTsDAAABnfr//8f8//8JQAMAAAZlBQAABS00MTQyAZr6///H/P//CUMDAAAGaAUAAAdDYWxpYnJpAZf6///H/P//CUYDAAAGawUAAAEwAZT6///H/P//CUkDAAAGbgUAAAIxMQGR+v//x/z//wlMAwAABnEFAAAHUmVndWxhcgdCAgAAAAEAAAAEAAAABDdHbG9iZVNvZnR3YXJlLkF0bGFzNDAuQXRsYXNDb21tb24uVHlwZS5GaWVsZE91dHB1dEZpZWxkAgAAAAnUAQAADQMHR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36///c/P//AYz6///b/P//EAAAAAkmAwAAAYr6///c/P//AYn6///b/P//CQAAAAkIAAAAAYf6///c/P//AYb6///b/P//CwAAAAZ7BQAAAjE1AYT6///c/P//AYP6///b/P//BAAAAAZ+BQAAB0dlbmVyYWwBgfr//9z8//8BgPr//9v8//8CAAAABoEFAAABMQF++v//3Pz//wF9+v//2/z//wAAAAAGhAUAAAE4B0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r//8f8//8JOgMAAAk7AwAAAXj6///H/P//CT0DAAAJOwMAAAF1+v//x/z//wlAAwAABo0FAAAFLTQxNDIBcvr//8f8//8JQwMAAAaQBQAAB0NhbGlicmkBb/r//8f8//8JRgMAAAaTBQAAATABbPr//8f8//8JSQMAAAaWBQAAAjExAWn6///H/P//CUwDAAAGmQUAAAdSZWd1bGFyB0cCAAAAAQAAAAQAAAAEN0dsb2JlU29mdHdhcmUuQXRsYXM0MC5BdGxhc0NvbW1vbi5UeXBlLkZpZWxkT3V0cHV0RmllbGQCAAAACdcBAAANAwdJ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r//9z8//8BZPr//9v8//8JAAAACQgAAAABYvr//9z8//8BYfr//9v8//8LAAAABqAFAAACMTYBX/r//9z8//8BXvr//9v8//8EAAAABqMFAAAHR2VuZXJhbAFc+v//3Pz//wFb+v//2/z//wIAAAAGpgUAAAExAVn6///c/P//AVj6///b/P//AAAAAAapBQAABTEyLjcxAVb6///c/P//AVX6///b/P//JAAAAAmnAQAAB0s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r//8f8//8JOgMAAAk7AwAAAVD6///H/P//CT0DAAAJOwMAAAFN+v//x/z//wlAAwAABrUFAAAFLTQxNDIBSvr//8f8//8JQwMAAAa4BQAAB0NhbGlicmkBR/r//8f8//8JRgMAAAa7BQAAATABRPr//8f8//8JSQMAAAa+BQAAAjExAUH6///H/P//CUwDAAAGwQUAAAdSZWd1bGFyAU8CAAAOAAAACJ0AAAbCBQAADFRQUFRyYW5zX3NzdAbDBQAAEFRQUCB0cmFuc2FjdGlvbnMJCAAAAAkIAAAACQgAAAABO/r//+D///8AAAAACcYFAAAJxwUAAAE4+v//3f///wjMA+AQe7BLu5A4k7lUYvQJCAAAAAkIAAAACcoFAAAJUgIAAAoKCgoKAQAAAAE0+v//2f///wAAAAABM/r//9j///8AAAAAAAnOBQAABF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QBQAABG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SBQAABHQ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UBQAAAXkCAAAOAAAA/////wbVBQAADFRQUFRyYW5zX3NzdAbWBQAAEFRQUCB0cmFuc2FjdGlvbnMJCAAAAAkIAAAACQgAAAABKPr//+D///8AAAAACdkFAAAJ2gUAAAEl+v//3f///wnz94cYX+9KoeGLa6BVgxMJCAAAAAkIAAAACd0FAAAJfAIAAAoKCgoKAQAAAAEh+v//2f///wAAAAABIPr//9j///8AAAAAAAnhBQAABI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n6AQAAAwAAAAnjBQAABJA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lBQAABJ4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nBQAABKw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pBQAABL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rBQAABM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tBQAABNY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vBQAABOQ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xBQAABPI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QAAAAn6AQAAAwAAAAnzBQAABA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n6AQAAAwAAAAn1BQAABA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n3BQAABB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n5BQAAARYDAACzAQAAAQb6//81/////////wAG+wUAAAZTdHJpbmcG/AUAAARTaXRlCTEAAAABAvr//zP///8CAAAAAQH6//+v/f//AQAAAAAACTAAAAAJDAEAAAkIAAAACv////8JMAAAAAoJDAEAAAYFBgAAC0ludmVudERpbUlkBgYGAAAMVFBQVHJhbnNfc3N0CgkIAAAACQgGAAAJCAAAAAEZAwAAswEAAAH2+f//Nf////////8ABgsGAAAGU3RyaW5nBgwGAAAJV2FyZWhvdXNlCTEAAAAB8vn//zP///8CAAAAAfH5//+v/f//AQAAAAAACTAAAAAJGgEAAAkIAAAACv////8JMAAAAAoJGgEAAAYVBgAAC0ludmVudERpbUlkBhYGAAAMVFBQVHJhbnNfc3N0CgkIAAAACRgGAAAJCAAAAAEcAwAAswEAAAHm+f//Nf////////8ABhsGAAAGU3RyaW5nBhwGAAAEVW5pdAk0AAAAAeL5//8z////AgAAAAHh+f//r/3//wEAAAAAAAkzAAAACTYBAAAJCAAAAAr/////CTMAAAAKCTYBAAAGJQYAAAZJdGVtSWQGJgYAAAxUUFBUcmFuc19zc3QKCQgAAAAJKAYAAAkIAAAAAR8DAADaAQAACTMAAAAGKwYAAApNb2R1bGVUeXBlCQgAAAAGLQYAAAZJbnZlbnT/////CTMAAAAKCSsGAAAGMAYAAAZJdGVtSWQKCgkIAAAACTIGAAAJCAAAAAEiAwAAswEAAAHM+f//Nf////////8ABjUGAAAGU3RyaW5nBjYGAAAJSXRlbSBuYW1lCTcAAAAByPn//zP///8CAAAAAcf5//+v/f//AQAAAAAACTYAAAAJ8AAAAAkIAAAACv////8JNgAAAAoJ8AAAAAY/BgAABkl0ZW1JZAZABgAADFRQUFRyYW5zX3NzdAoJCAAAAAlCBgAACQgAAAABxgUAACEAAAAMAAAACUQGAAARAAAACUUGAAABxwUAACIAAAAKAAAACUQGAAARAAAACUcGAAAEy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QGAAAAAAAAAc4FAAApAAAAAAAAAAlJBgAAAAAAAAfQ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5///H/P//BksGAAAISGVscFRleHQGTAYAADJTcGVjaWZ5IHRoZSBtb2R1bGUgdGhhdCBnZW5lcmF0ZWQgdGhlIHRyYW5zYWN0aW9uLgGz+f//x/z//wZOBgAABUxhYmVsCU4CAAABsPn//8f8//8GUQYAAARUeXBlCU0CAAAH0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+f//x/z//wlLBgAABlUGAAA1T3JkZXIgbnVtYmVyLCBwcm9qZWN0IG51bWJlciwgcHJvZHVjdGlvbiBudW1iZXIsIGV0Yy4Bqvn//8f8//8JTgYAAAlcAgAAAaf5///H/P//CVEGAAAJWwIAAAfU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5///H/P//CUsGAAAGXgYAAA5JZGVudGlmeSBpdGVtLgGh+f//x/z//wlOBgAACWoCAAABnvn//8f8//8JUQYAAAlpAgAAAdkFAAAhAAAAEQAAAAllBgAAEQAAAAlmBgAAAdoFAAAiAAAAAQAAAAn6AQAAAwAAAAloBgAABN0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lBgAAAAAAAAHhBQAAKQAAAAAAAAAJagYAAAAAAAAH4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f//x/z//wlOBgAACXgCAAABkvn//8f8//8JUQYAAAl3AgAAB+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n//8f8//8JSwYAAAZzBgAAJFF1YW50aXR5IGF0dGFjaGVkIHRvIHRoZSB0cmFuc2FjdGlvbgGM+f//x/z//wlOBgAACYYCAAABifn//8f8//8JUQYAAAmFAgAAB+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n//8f8//8JSwYAAAZ8BgAAD1RQUCBjb3N0IHByaWNlLgGD+f//x/z//wlOBgAACZQCAAABgPn//8f8//8JUQYAAAmTAgAAB+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n//8f8//8JSwYAAAaFBgAAEFRQUCBjb3N0IGFtb3VudC4Bevn//8f8//8JTgYAAAmiAgAAAXf5///H/P//CVEGAAAJoQIAAAfr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T5///H/P//CUsGAAAGjgYAAC5DdXJyZW5jeSwgaWYgYW55LCBhdHRhY2hlZCB0byB0aGUgaXRlbSByZWNlaXB0AXH5///H/P//CU4GAAAJsAIAAAFu+f//x/z//wlRBgAACa8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f//x/z//wlLBgAABpcGAAAcVFBQIGNvc3QgYW1vdW50IGluIGN1cnJlbmN5LgFo+f//x/z//wlOBgAACb4CAAABZfn//8f8//8JUQYAAAm9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n//8f8//8JSwYAAAagBgAAM1ZvdWNoZXIgbnVtYmVyIHRoYXQgdGhlIHRyYW5zYWN0aW9uIGlzIGF0dGFjaGVkIHRvLgFf+f//x/z//wlOBgAACcwCAAABXPn//8f8//8JUQYAAAnLAgAAB/E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n//8f8//8JSwYAAAapBgAAUlN1bW1hcnkgbnVtYmVyL0xvdCBJRCBmb3IgdHJhbnNhY3Rpb25zIGF0dGFjaGVkIHRvIHRoZSBzYW1lIGludmVudG9yeSB0cmFuc2FjdGlvbi4BVvn//8f8//8JTgYAAAnaAgAAAVP5///H/P//CVEGAAAJ2QIAAAfz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5///H/P//CUsGAAAGsgYAABZUUFAgdHJhbnNhY3Rpb24gc3RhdHVzAU35///H/P//CU4GAAAJ6AIAAAFK+f//x/z//wlRBgAACecCAAAH9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f//x/z//wlOBgAACU4CAAABRPn//8f8//8JUQYAAAn1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n//8f8//8GwAYAAARUeXBlCXcCAAABPvn//8f8//8GwwYAAAVMYWJlbAl4AgAAATv5///H/P//BsYGAAAIUmVmZXJzVG8GxwYAAAs9RGF0ZVBlcmlvZAf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5///H/P//CcAGAAAJaQIAAAE1+f//x/z//wnDBgAACWoCAAABMvn//8f8//8JxgYAAAbQBgAADz0nR2VuZXJhbCchJEMkNwQI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5wEAAAMAAAAJ0gYAAAQY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5wEAAAMAAAAJ1AYAAAQo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gAAAAJ5wEAAAMAAAAJ1gYAAAQy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MAAAAJ2AYAAARCB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5wEAAAMAAAAJ2gYAAAFEBgAAEgAAAAdFBg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l+f//T/7//wbcBgAAHFRhYmxlLlRQUFRyYW5zX3NzdC5Db3N0UHJpY2UJwgEAAAEi+f//T/7//wbfBgAAHVRhYmxlLlRQUFRyYW5zX3NzdC5Db3N0QW1vdW50CcUBAAABH/n//0/+//8G4gYAACBUYWJsZS5UUFBUcmFuc19zc3QuQ29zdEFtb3VudEN1cgnLAQAAARz5//9P/v//BuUGAAAWVGFibGUuVFBQVHJhbnNfc3N0LlF0eQm/AQAAARn5//9P/v//BugGAAAeVGFibGUuVFBQVHJhbnNfc3N0LkludmVudERpbUlkCekGAAABFvn//0/+//8G6wYAABpUYWJsZS5UUFBUcmFuc19zc3QuVm91Y2hlcgnOAQAAARP5//9P/v//Bu4GAAAgVGFibGUuVFBQVHJhbnNfc3N0LkludmVudFRyYW5zSWQJ0QEAAAEQ+f//T/7//wbxBgAAHVRhYmxlLlRQUFRyYW5zX3NzdC5UcmFuc1JlZklkCbYBAAABDfn//0/+//8G9AYAABxUYWJsZS5UUFBUcmFuc19zc3QuVHJhbnNUeXBlCbMBAAABCvn//0/+//8G9wYAAB9UYWJsZS5UUFBUcmFuc19zc3QuQ3VycmVuY3lDb2RlCcgBAAABB/n//0/+//8G+gYAABlUYWJsZS5UUFBUcmFuc19zc3QuU3RhdHVzCdQBAAABBPn//0/+//8G/QYAABlUYWJsZS5UUFBUcmFuc19zc3QuSXRlbUlkCbkBAAAHRwY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H5//8o/v//BgAHAAAdVGFibGUuVFBQVHJhbnNfc3N0LkRhdGFBcmVhSWQJAQcAAAH++P//KP7//wYDBwAAH1RhYmxlLlRQUFRyYW5zX3NzdC5DdXJyZW5jeUNvZGUJBAcAAAH7+P//KP7//wYGBwAAHFRhYmxlLlRQUFRyYW5zX3NzdC5UcmFuc0RhdGUJBwcAAAH4+P//KP7//wYJBwAAHlRhYmxlLlRQUFRyYW5zX3NzdC5JbnZlbnREaW1JZAkKBwAAAfX4//8o/v//BgwHAAAaVGFibGUuVFBQVHJhbnNfc3N0LlZvdWNoZXIJDQcAAAHy+P//KP7//wYPBwAAGVRhYmxlLlRQUFRyYW5zX3NzdC5JdGVtSWQJEAcAAAHv+P//KP7//wYSBwAAIFRhYmxlLlRQUFRyYW5zX3NzdC5JbnZlbnRUcmFuc0lkCRMHAAAB7Pj//yj+//8GFQcAAB1UYWJsZS5UUFBUcmFuc19zc3QuVHJhbnNSZWZJZAkWBwAAAen4//8o/v//BhgHAAAcVGFibGUuVFBQVHJhbnNfc3N0LlRyYW5zVHlwZQkZBwAAAeb4//8o/v//BhsHAAAZVGFibGUuVFBQVHJhbnNfc3N0LlN0YXR1cwkcBwAAAUkGAACMAAAAAWUGAAASAAAAB2YGAAAAAQAAAB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P4//9P/v//Bh4HAAAcVGFibGUuVFBQVHJhbnNfc3N0LkNvc3RQcmljZQnCAQAAAeD4//9P/v//BiEHAAAdVGFibGUuVFBQVHJhbnNfc3N0LkNvc3RBbW91bnQJxQEAAAHd+P//T/7//wYkBwAAIFRhYmxlLlRQUFRyYW5zX3NzdC5Db3N0QW1vdW50Q3VyCcsBAAAB2vj//0/+//8GJwcAABZUYWJsZS5UUFBUcmFuc19zc3QuUXR5Cb8BAAAB1/j//0/+//8GKgcAAB5UYWJsZS5UUFBUcmFuc19zc3QuSW52ZW50RGltSWQJ6QYAAAHU+P//T/7//wYtBwAAGlRhYmxlLlRQUFRyYW5zX3NzdC5Wb3VjaGVyCc4BAAAB0fj//0/+//8GMAcAACBUYWJsZS5UUFBUcmFuc19zc3QuSW52ZW50VHJhbnNJZAnRAQAAAc74//9P/v//BjMHAAAdVGFibGUuVFBQVHJhbnNfc3N0LlRyYW5zUmVmSWQJtgEAAAHL+P//T/7//wY2BwAAHFRhYmxlLlRQUFRyYW5zX3NzdC5UcmFuc1R5cGUJswEAAAHI+P//T/7//wY5BwAAH1RhYmxlLlRQUFRyYW5zX3NzdC5DdXJyZW5jeUNvZGUJyAEAAAHF+P//T/7//wY8BwAAGVRhYmxlLlRQUFRyYW5zX3NzdC5TdGF0dXMJ1AEAAAHC+P//T/7//wY/BwAAGVRhYmxlLlRQUFRyYW5zX3NzdC5JdGVtSWQJuQEAAAG/+P//T/7//wZCBwAAHFRhYmxlLlRQUFRyYW5zX3NzdC5UcmFuc0RhdGUJvAEAAAG8+P//T/7//wZFBwAAI1RhYmxlLlRQUFRyYW5zX3NzdC5JbnZlbnRUcmFuc1JlY0lkCdcBAAABufj//0/+//8GSAcAACpUYWJsZS5UUFBUcmFuc19zc3QuSW52ZW50Sm91cm5hbFRyYW5zUmVjSWQJSQcAAAG2+P//T/7//wZLBwAAJFRhYmxlLlRQUFRyYW5zX3NzdC5JbnZvaWNlVHJhbnNSZWNJZAlMBwAAAbP4//9P/v//Bk4HAAAfVGFibGUuVFBQVHJhbnNfc3N0LlByb2RCT01SZWNJZAlPBwAAB2gG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w+P//KP7//wZRBwAAHFRhYmxlLlRQUFRyYW5zX3NzdC5UcmFuc0RhdGUJUgcAAAFqBgAAjAAAAAfS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34///H/P//BlQHAAAFTGFiZWwJ/AUAAAGq+P//x/z//wZXBwAABFR5cGUJ+wUAAAfU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4///H/P//CVQHAAAJDAYAAAGk+P//x/z//wlXBwAACQsGAAAH1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P//x/z//wlUBwAACRwGAAABnvj//8f8//8JVwcAAAkbBgAAB9g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j//8f8//8JwAYAAAZnBwAABEVudW0BmPj//8f8//8JwwYAAAZqBwAAC01vZHVsZSB0eXBlB9o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j//8f8//8JVAcAAAk2BgAAAZL4///H/P//CVcHAAAJNQYAAAHpBgAAswEAAAGP+P//Nf////////8ABnIHAAAGU3RyaW5nBnMHAAANRGltZW5zaW9uIE5vLglPAgAAAYv4//8z////AgAAAAGK+P//r/3//wEAAAAAAAlSAgAABngHAAALSW52ZW50RGltSWQJCAAAAAr/////CVICAAAKCXgHAAAKCgoJCAAAAAl9BwAACQgAAAABAQcAANoBAAAJUgIAAAaABwAACkRhdGFBcmVhSWQJCAAAAAkIAAAA/////wlSAgAACgmABwAACgoKCQgAAAAJhQcAAAkIAAAAAQQHAADaAQAACVICAAAGiAcAAAxDdXJyZW5jeUNvZGUJCAAAAAkIAAAA/////wlSAgAACgmIBwAACgoKCQgAAAAJjQcAAAkIAAAAAQcHAADaAQAACVICAAAJAwMAAAkIAAAACQgAAAD/////CVICAAAKCQMDAAAKCgoJCAAAAAmVBwAACQgAAAABCgcAANoBAAAJUgIAAAaYBwAAC0ludmVudERpbUlkCQgAAAAJCAAAAP////8JUgIAAAoJmAcAAAoKCgkIAAAACZ0HAAAJCAAAAAENBwAA2gEAAAlSAgAABqAHAAAHVm91Y2hlcgkIAAAACQgAAAD/////CVICAAAKCaAHAAAKCgoJCAAAAAmlBwAACQgAAAABEAcAANoBAAAJUgIAAAaoBwAABkl0ZW1JZAkIAAAACQgAAAD/////CVICAAAKCagHAAAKCgoJCAAAAAmtBwAACQgAAAABEwcAANoBAAAJUgIAAAawBwAADUludmVudFRyYW5zSWQJCAAAAAkIAAAA/////wlSAgAACgmwBwAACgoKCQgAAAAJtQcAAAkIAAAAARYHAADaAQAACVICAAAGuAcAAApUcmFuc1JlZklkCQgAAAAJCAAAAP////8JUgIAAAoJuAcAAAoKCgkIAAAACb0HAAAJCAAAAAEZBwAA2gEAAAlSAgAABsAHAAAJVHJhbnNUeXBlCQgAAAAJCAAAAP////8JUgIAAAoJwAcAAAoKCgkIAAAACcUHAAAJCAAAAAEcBwAA2gEAAAlSAgAABsgHAAAGU3RhdHVzCQgAAAAJCAAAAP////8JUgIAAAoJyAcAAAoKCgkIAAAACc0HAAAJCAAAAAFJBwAAswEAAAEx+P//Nf////////8ABtAHAAAFSW50NjQG0QcAAAlSZWZlcmVuY2UJeQIAAAEt+P//M////wIAAAABLPj//6/9//8BAAAAAAAJfAIAAAbWBwAAF0ludmVudEpvdXJuYWxUcmFuc1JlY0lkCQgAAAAK/////wl8AgAACgnWBwAACgoKCQgAAAAJ2wcAAAkIAAAAAUwHAACzAQAAASP4//81/////////wAG3gcAAAVJbnQ2NAnRBwAACXkCAAABH/j//zP///8CAAAAAR74//+v/f//AQAAAAAACXwCAAAG5AcAABFJbnZvaWNlVHJhbnNSZWNJZAkIAAAACv////8JfAIAAAoJ5AcAAAoKCgkIAAAACekHAAAJCAAAAAFPBwAAswEAAAEV+P//Nf////////8ABuwHAAAFSW50NjQJ0QcAAAl5AgAAARH4//8z////AgAAAAEQ+P//r/3//wEAAAAAAAl8AgAABvIHAAAMUHJvZEJPTVJlY0lkCQgAAAAK/////wl8AgAACgnyBwAACgoKCQgAAAAJ9wcAAAkIAAAAAVIHAADaAQAACVICAAAJAwMAAAkIAAAABvwHAAAYMDYuMDEuMjAxNyAuLiAwNi4zMC4yMDE3/////wlSAgAACgkDAwAACgoKCQgAAAAJAAgAAAkIAAAABH0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n6AQAAAwAAAAkDCAAAAYUHAAAQAAAAAAAAAAn6AQAAAAAAAAGNBwAAEAAAAAAAAAAJ+gEAAAAAAAABlQcAABAAAAAAAAAACfoBAAAAAAAAAZ0HAAAQAAAAAAAAAAn6AQAAAAAAAAGlBwAAEAAAAAAAAAAJ+gEAAAAAAAABrQcAABAAAAAAAAAACfoBAAAAAAAAAbUHAAAQAAAAAAAAAAn6AQAAAAAAAAG9BwAAEAAAAAAAAAAJ+gEAAAAAAAABxQcAABAAAAAAAAAACfoBAAAAAAAAAc0HAAAQAAAAAAAAAAn6AQAAAAAAAATb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+gEAAAMAAAAJBQgAAATp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+gEAAAMAAAAJBwgAAAT3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+gEAAAMAAAAJCQgAAAQAC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UAAAAJ+gEAAAMAAAAJCwgAAAcDC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3///H/P//CUsGAAAGDggAACpJZGVudGlmaWNhdGlvbiBvZiBkaW1lbnNpb25zIGZvciB0aGUgaXRlbS4B8ff//8f8//8JTgYAAAlzBwAAAe73///H/P//CVEGAAAJcgcAAAcF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3///H/P//CU4GAAAJ0QcAAAHo9///x/z//wlRBgAACdAHAAAHBw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9///x/z//wlOBgAACdEHAAAB4vf//8f8//8JUQYAAAneBwAABwk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f//8f8//8JTgYAAAnRBwAAAdz3///H/P//CVEGAAAJ7AcAAAcLC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3///H/P//CVEGAAAGKQgAAAREYXRlAdb3///H/P//CU4GAAAGLAgAAAREYXRlAdP3///H/P//Bi4IAAAIUmVmZXJzVG8JxwYAAAs=
    <Output>
      <OutputObject name="AtlasReport_2"/>
    </Output>
  </Query>
</Atlas>
</file>

<file path=customXml/item3.xml><?xml version="1.0" encoding="utf-8"?>
<Atlas>
  <Query type="ReportSummary" id="32e2f28b-5bf4-404d-bdfd-5ee4deac4d8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0AAAAN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KVFBQU3VtX3NzdAYeAAAAC1RQUCBzdW1tYXJ5CQgAAAAJCAAAAAkIAAAABeD///8wR2xvYmVTb2Z0d2FyZS5BdGxhczQwLkF0bGFzQ29tbW9uLkRhdGFTb3VyY2VUeXBlAQAAAAd2YWx1ZV9fAAgCAAAAAAAAAAkhAAAACSIAAAAE3f///wtTeXN0ZW0uR3VpZAsAAAACX2ECX2ICX2MCX2QCX2UCX2YCX2cCX2gCX2kCX2oCX2sAAAAAAAAAAAAAAAgHBwICAgICAgICino0BJad4U680jn4w3FhVwkIAAAACQgAAAAJJQAAAAYmAAAAEFRhYmxlLlRQUFN1bV9zc3Q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LFRhYmxlLlRQUFN1bV9zc3QuSW52ZW50RGltSWR+VGFibGUuSW52ZW50RGltCTEAAAAHFAAAAAABAAAAEAAAAAQtR2xvYmVTb2Z0d2FyZS5BdGxhczQwLkF0bGFzQ29tbW9uLlR5cGUuQ29sdW1uAgAAAAkyAAAACTMAAAAJNAAAAAk1AAAACTYAAAAJNwAAAAk4AAAACTkAAAAJOgAAAAk7AAAACTwAAAAJPQAAAAk+AAAADQMRFQAAAAQAAAAGPwAAAA1BdGxhc1JlcG9ydF80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A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+////wP///wZDAAAAD1RhYmxlLkludmVudERpb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7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r///8+R2xvYmVTb2Z0d2FyZS5BdGxhczQwLkF0bGFzQ29tbW9uLlR5cGUuQXRsYXNRdWVyeUF0dHJpYnV0ZU5hbWUBAAAAB3ZhbHVlX18ACAIAAAACAAAABkcAAAAkMzJlMmYyOGItNWJmNC00MDRkLWJkZmQtNWVlNGRlYWM0ZDhkAbj///+7////Abf///+6////AAAAAAZKAAAABHRydWUBtf///7v///8BtP///7r///8LAAAABk0AAAALVFBQIHN1bW1hcnkBsv///7v///8Bsf///7r///8bAAAABlAAAAAEVHJ1ZQGv////u////wGu////uv///wYAAAAGUwAAAAVGYWxzZQGs////u////wGr////uv///xwAAAAJUAAAAAGp////u////wGo////uv///x0AAAAJUwAAAAGm////u////wGl////uv///yoAAAAJUAAAAAGj////u////wGi////uv///wEAAAAGXwAAAAMzNjMBoP///7v///8Bn////7r///8nAAAABmIAAAALPURhdGFBcmVhSWQBnf///7v///8BnP///7r///8ZAAAABmUAAAAPQ2VsbHNWZXJ0aWNhbGx5AZr///+7////AZn///+6////CQAAAAoBmP///7v///8Bl////7r///8oAAAABmoAAAACMTMBlf///7v///8BlP///7r///8rAAAABm0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wAAAApUUFBTdW1fc3N0AQAAAAGQ////kv///wZxAAAACUludmVudERpb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cgAAAAMAAAAJc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UAAAABJQAAAAQAAAABAAAACXIAAAADAAAACXc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AAAAAAAAAAHKgAAAAABAAAAAAAAAAQtR2xvYmVTb2Z0d2FyZS5BdGxhczQwLkF0bGFzQ29tbW9uLlR5cGUuQ29sdW1uAgAAAAExAAAADgAAAP////8GeQAAAAlJbnZlbnREaW0GegAAABRJbnZlbnRvcnkgZGltZW5zaW9ucwkIAAAACQgAAAAJCAAAAAGE////4P///wAAAAAJfQAAAAl+AAAAAYH////d////OabvUY/mGUuU7DdKKKJolQkIAAAACQgAAAAJgQAAAAkwAAAABoMAAAAKVFBQU3VtX3NzdAaEAAAAEFRhYmxlLlRQUFN1bV9zc3QGhQAAABxUYWJsZS5UUFBTdW1fc3N0LkludmVudERpbUlkBoYAAAALSW52ZW50RGltSWQGhwAAAAtpbnZlbnREaW1JZAEAAAABeP///9n///8AAAAAAXf////Y////AAAAAAAJi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LAAAACYwAAAAJjQAAAAaOAAAABkl0ZW1JZAaPAAAAC0l0ZW0gbnVtYmVyBpAAAAAGU3RyaW5nCQgAAAAGkgAAACQ4MzFiZWI4MS00ZjQxLTQzMGEtOWM0Ny1lMDYwMWQzOTE0ZmQFbf///y1HbG9iZVNvZnR3YXJlLkF0bGFzNDAuQXRsYXNDb21tb24uQWdncmVnYXRpb24BAAAAB3ZhbHVlX18ACAIAAAD/////AAAAAAVs////LEdsb2JlU29mdHdhcmUuQXRsYXM0MC5BdGxhc0NvbW1vbi5Db2x1bW5UeXBlAQAAAAd2YWx1ZV9fAAgCAAAAAAAAAAVr////K0dsb2JlU29mdHdhcmUuQXRsYXM0MC5BdGxhc0NvbW1vbi5Tb3J0T3JkZXIBAAAAB3ZhbHVlX18ACAIAAAACAAAAAAAAAAAFav///0BHbG9iZVNvZnR3YXJlLkF0bGFzNDAuQXRsYXNDb21tb24uVHlwZS5Db2x1bW4rQ3Jvc3NUYWJDb2x1bW5UeXBlAQAAAAd2YWx1ZV9fAAgCAAAAAAAAAAoBAAAAAAAAAAAAAAAAAAaXAAAAJGQ3ZTJjYTMxLTQ2OWEtNDJkNy05YmU2LTk0MWZmOWExMWNmZAaYAAAAF1RhYmxlLlRQUFN1bV9zc3QuSXRlbUlkCgoKCgEzAAAAMgAAAAmZAAAACZoAAAAJmwAAAAacAAAADEludmVudFNpdGVJZAadAAAABFNpdGUGngAAAAZTdHJpbmcJCAAAAAagAAAAJDA2MzAxN2RmLWZiYzYtNDVhNC1hOTgzLThmMDdlNmQ1MWI2YwFf////bf////////8BAAAAAV7///9s////AAAAAAFd////a////wIAAAAAAAAAAAFc////av///wAAAAAKAQAAAAAAAAAAAQAAAAAGpQAAACRlNDc4MmI0Ny0xMDhkLTQ0NzctOWM5My0yYjA0YmFlNTNjNzYGpgAAADlUYWJsZS5UUFBTdW1fc3N0LkludmVudERpbUlkflRhYmxlLkludmVudERpbS5JbnZlbnRTaXRlSWQKCgoKATQAAAAyAAAACacAAAAJqAAAAAmpAAAABqoAAAAQSW52ZW50TG9jYXRpb25JZAarAAAACVdhcmVob3VzZQasAAAABlN0cmluZwkIAAAABq4AAAAkMDhlNDJlYTEtNmRmNS00NDkzLTgyZDQtMDIyMWY1NzVjM2Y4AVH///9t/////////wIAAAABUP///2z///8AAAAAAU////9r////AgAAAAAAAAAAAU7///9q////AAAAAAoBAAAAAAAAAAACAAAAAAazAAAAJDkzOTljMDdhLWNmMDgtNDlkZC1iZjY5LWQ4MTBiNGZmMjZiYga0AAAAPVRhYmxlLlRQUFN1bV9zc3QuSW52ZW50RGltSWR+VGFibGUuSW52ZW50RGltLkludmVudExvY2F0aW9uSWQKCgoKATUAAAAyAAAACbUAAAAJtgAAAAm3AAAABrgAAAADUXR5BrkAAAAIUXVhbnRpdHkGugAAAARSZWFsCQgAAAAGvAAAACRmNTMwYTdmMC03ZGU1LTRlYzItOGIwYi0yZGI5ZTExNWExOTcBQ////23///8BAAAAAwAAAAFC////bP///wAAAAABQf///2v///8CAAAAAAAAAAABQP///2r///8AAAAACgEAAAAAAAAAAAMAAAAABsEAAAAkMmJjMjdhODktY2Q1Ni00NThkLWIzMDAtYzE4MjY4NWY4YWEyBsIAAAAUVGFibGUuVFBQU3VtX3NzdC5RdHkKCgoKATYAAAAyAAAACcMAAAAJxAAAAAnFAAAABsYAAAAKQ29zdEFtb3VudAbHAAAAD1RQUCBjb3N0IGFtb3VudAbIAAAABFJlYWwJCAAAAAbKAAAAJDUyMzFmZjU4LTA5ZTEtNGQwZS05NWMwLTk3ZjE3YThkOWVjNgE1////bf///wEAAAAEAAAAATT///9s////AAAAAAEz////a////wIAAAAAAAAAAAEy////av///wAAAAAKAQAAAAAAAAAABAAAAAAGzwAAACQzMDU5N2EzZi00Mzc1LTQ2MzctOThkMy1hMzM5Zjk3OTY4Y2UG0AAAABtUYWJsZS5UUFBTdW1fc3N0LkNvc3RBbW91bnQKCgoKATcAAAAyAAAACdEAAAAJ0gAAAAnTAAAABtQAAAA3QXRsYXNNYW5hZ2VkQ29sdW1uXzVmY2UyYTIyLWFhMGItNDVjZi1iMDM3LWNkMjM2NGY4NGQwYgbVAAAAH1RQUCB0cmFucyBiYWNrd2FyZHMgKEJlZ2lubmluZykJCAAAAAkIAAAABtcAAAAkMjU4ZmE2ZWUtNzQ2YS00MjdmLTlhOWUtOGMwNGM0NWE0MGRiASj///9t/////////wUAAAABJ////2z///8CAAAAASb///9r////AgAAAAAAAAAAASX///9q////AAAAAAoBAAAAAAAAAAAFAAAAAAbcAAAAJGI4YjMxYmNlLThiMzAtNDNjMi1hYWIwLTg5MGM5NzczNWM5YwkIAAAACgoKCgE4AAAAMgAAAAneAAAACd8AAAAJ4AAAAAbhAAAAN0F0bGFzTWFuYWdlZENvbHVtbl9iNzNmZTg3Ny1kMjk0LTQ1OGMtYjVlNi1jYWY5NTQ2OWJhNGIG4gAAABxUUFAgdHJhbnMgYmFja3dhcmRzIChFbmRpbmcpCQgAAAAJCAAAAAbkAAAAJGNkZGIxZDc0LTRiYWQtNGE0My1iMDBjLTlkZTc1MmE5NmE1OQEb////bf////////8GAAAAARr///9s////AgAAAAEZ////a////wIAAAAAAAAAAAEY////av///wAAAAAKAQAAAAAAAAAABgAAAAAG6QAAACQ1M2FiMjY4OS0yZTYyLTQ3N2EtOTJiOS1kMTZjYmRkZTY3OTcJCAAAAAoKCgoBOQAAADIAAAAJ6wAAAAnsAAAACe0AAAAG7gAAADdBdGxhc01hbmFnZWRDb2x1bW5fMDZhY2IzYTItMjgyZS00NzY4LTljMjQtYjNjOGFlZjllMmJiBu8AAAAXVFBQIE9uLWhhbmQgKEJlZ2lubmluZykJCAAAAAkIAAAABvEAAAAkZWViYjk0NGYtYTM0YS00MzY5LTkxMGMtNTRjZGRjOTI0M2VjAQ7///9t/////////wcAAAABDf///2z///8CAAAAAQz///9r////AgAAAAAAAAAAAQv///9q////AAAAAAoBAAAAAAAAAAAHAAAAAAb2AAAAJGQ0Mzk3NDlmLTcwZjYtNDBlMC05N2RjLTYzMTBmODJmM2I2NwkIAAAACgoKCgE6AAAAMgAAAAn4AAAACfkAAAAJ+gAAAAb7AAAAN0F0bGFzTWFuYWdlZENvbHVtbl81ZWViMmE2Ny05OThkLTRjOTItYTgyZC04MDBjODNkMzgwZWQG/AAAABRUUFAgT24taGFuZCAoRW5kaW5nKQkIAAAACQgAAAAG/gAAACQ2YzM4ZDc5Yi1iZmVlLTQ4NTEtOWRkMS1jMGQ1NzY4ZjlmMGEBAf///23/////////CAAAAAEA////bP///wIAAAAB//7//2v///8CAAAAAAAAAAAB/v7//2r///8AAAAACgEAAAAAAAAAAAgAAAAABgMBAAAkOTY4MTM4NTItY2RhZS00ZGE0LWJkNGEtZGVlMDg2NzlkOWE3CQgAAAAKCgoKATsAAAAyAAAACQUBAAAJBgEAAAkHAQAABggBAAA3QXRsYXNNYW5hZ2VkQ29sdW1uXzc4ZTFhY2IwLTQyODEtNGYyNC1iMDBiLWYyYmI2YjJiMDVmOQYJAQAAJ1RQUCB0cmFucyBiYWNrd2FyZHMgYmFsYW5jZSAoQmVnaW5uaW5nKQkIAAAACQgAAAAGCwEAACRhNjFmYzI5MC1jYzAxLTRlNDYtYTRhNi0wMDhhMGIyOTk1ZDUB9P7//23/////////CQAAAAHz/v//bP///wIAAAAB8v7//2v///8CAAAAAAAAAAAB8f7//2r///8AAAAACgEAAAAAAAAAAAkAAAAABhABAAAkNjE2MGY3MDgtMTg2ZS00MGNkLWJjZDctNTEyM2E3MGVmY2UyCQgAAAAKCgoKATwAAAAyAAAACRIBAAAJEwEAAAkUAQAABhUBAAA3QXRsYXNNYW5hZ2VkQ29sdW1uX2EyMzc4NmU5LTQ2YjctNGU3YS1iZmNhLTQzMmViNjEwNGU3ZQYWAQAAJFRQUCB0cmFucyBiYWNrd2FyZHMgYmFsYW5jZSAoRW5kaW5nKQkIAAAACQgAAAAGGAEAACRhMTljNDI1OC00NzZjLTQ1MzUtYWRhZi1jMzM1MjZiM2MzNjgB5/7//23/////////CgAAAAHm/v//bP///wIAAAAB5f7//2v///8CAAAAAAAAAAAB5P7//2r///8AAAAACgEAAAAAAAAAAAoAAAAABh0BAAAkZmYxZjZmMjMtMjVlMS00ZDdiLWJhYWItYTUzNDYyYmNkZGM0CQgAAAAKCgoKAT0AAAAyAAAACR8BAAAJIAEAAAkhAQAABiIBAAA3QXRsYXNNYW5hZ2VkQ29sdW1uX2U4YmRkNzY3LTQ2YmEtNDgzMy1iMjNiLWQ4NTIyNjg1MTNiYQYjAQAAF1RQUCBCYWxhbmNlIChCZWdpbm5pbmcpCQgAAAAJCAAAAAYlAQAAJDgwODJlNjdiLWIxZmUtNGU2MC04ZjAwLTAwMWI0ZGI0ZDJmMwHa/v//bf////////8LAAAAAdn+//9s////AgAAAAHY/v//a////wIAAAAAAAAAAAHX/v//av///wAAAAAKAQAAAAAAAAAACwAAAAAGKgEAACRmNzM2ZWIyYS05NWZlLTQ2MGUtOTVmZS02YmQ0ODBkMDAzZTIJCAAAAAoKCgoBPgAAADIAAAAJLAEAAAktAQAACS4BAAAGLwEAADdBdGxhc01hbmFnZWRDb2x1bW5fM2U1Yjk0M2MtOTQyZS00MDcwLWI3MTMtNDVhOGVlYTdjZDkxBjABAAAUVFBQIEJhbGFuY2UgKEVuZGluZykJCAAAAAkIAAAABjIBAAAkMWI5MDIwMWYtZTA3Ny00NjA0LWJhNTctMGZmMWRiYWI3MjcxAc3+//9t/////////wwAAAABzP7//2z///8CAAAAAcv+//9r////AgAAAAAAAAAAAcr+//9q////AAAAAAoBAAAAAAAAAAAMAAAAAAY3AQAAJDA2ZDlmNDRiLTYzM2MtNDg3Mi1hN2Q2LTdhMjgwODI5MTY1NwkIAAAACgoKCgFyAAAAEgAAAAdz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H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6AQAAF1RhYmxlLlRQUFN1bV9zc3QuSXRlbUlkCTsBAAABxP7//8f+//8GPQEAABRUYWJsZS5UUFBTdW1fc3N0LlF0eQk+AQAAAcH+///H/v//BkABAAAbVGFibGUuVFBQU3VtX3NzdC5Db3N0QW1vdW50CUEBAAAHdQ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7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QwEAABdUYWJsZS5UUFBTdW1fc3N0Lkl0ZW1JZAlEAQAAB3c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bv+///U////CTAAAAAJMQAAAAR4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fQAAACEAAAACAAAACUgBAAADAAAACUkBAAAEf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SAEAAAAAAAABigAAACkAAAAAAAAACUwBAAAAAAAABI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0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XQAAAAJTgEAAAcAAAAJTw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SAEAAAcAAAAJUQEAAAGZAAAAiwAAAAlSAQAAAQAAAAEAAAABmgAAAIwAAABsAAAACU4BAAAHAAAACVQBAAAEm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UgBAAAHAAAACVYBAAABpwAAAIsAAAAJVwEAAAEAAAABAAAAAagAAACMAAAAbAAAAAlOAQAABwAAAAlZAQAABK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lIAQAABwAAAAlbAQAAAbUAAACLAAAACVwBAAABAAAAAQAAAAG2AAAAjAAAAHQAAAAJTgEAAAcAAAAJXgEAAAS3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SAEAAAcAAAAJYAEAAAHDAAAAiwAAAAlhAQAAAQAAAAEAAAABxAAAAIwAAAB0AAAACU4BAAAHAAAACWM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UgBAAAHAAAACWUBAAAB0QAAAIsAAAAJZgEAAAAAAAAAAAAAAdIAAACMAAAAawAAAAlOAQAABwAAAAlo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lIAQAABwAAAAlqAQAAAd4AAACLAAAACWYBAAAAAAAAAAAAAAHfAAAAjAAAAGsAAAAJTgEAAAcAAAAJbQEAAAT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SAEAAAcAAAAJbwEAAAHrAAAAiwAAAAlmAQAAAAAAAAAAAAAB7AAAAIwAAABqAAAACU4BAAAHAAAACXIBAAAE7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UgBAAAHAAAACXQBAAAB+AAAAIsAAAAJZgEAAAAAAAAAAAAAAfkAAACMAAAAagAAAAlOAQAABwAAAAl3AQAABP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lIAQAABwAAAAl5AQAAAQUBAACLAAAACXoBAAAAAAAAAAAAAAEGAQAAjAAAAEwAAAAJewEAAAcAAAAJfA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fQEAAAcAAAAJfgEAAAESAQAAiwAAAAl6AQAAAAAAAAAAAAABEwEAAIwAAABMAAAACXsBAAAHAAAACYEBAAAEF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X0BAAAHAAAACYMBAAABHwEAAIsAAAAJegEAAAAAAAAAAAAAASABAACMAAAAVAAAAAl7AQAABwAAAAmG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l9AQAABwAAAAmIAQAAASwBAACLAAAACXoBAAAAAAAAAAAAAAEtAQAAjAAAAFQAAAAJewEAAAcAAAAJiwE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fQEAAAcAAAAJjQEAAAU7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y/v//bf////////8ABo8BAAAGU3RyaW5nBpABAAALSXRlbSBudW1iZXIJkQEAAAFu/v//a////wIAAAAFbf7//zlHbG9iZVNvZnR3YXJlLkF0bGFzNDAuQXRsYXNDb21tb24uTnVtYmVyU2VxdWVuY2VDb25kaXRpb24BAAAAB3ZhbHVlX18ACAIAAAABAAAAAAAGlAEAABBUYWJsZS5UUFBTdW1fc3N0CY4AAAAJCAAAAAr/////CZQBAAAKCY4AAAAKCgoJCAAAAAmaAQAACQgAAAABPgEAADsBAAABZP7//23///8BAAAAAAadAQAABFJlYWwGngEAAAhRdWFudGl0eQmRAQAAAWD+//9r////AgAAAAFf/v//bf7//wEAAAAAAAmUAQAACbgAAAAJCAAAAAr/////CZQBAAAKCbgAAAAKCgoJCAAAAAmoAQAACQgAAAABQQEAADsBAAABVv7//23///8BAAAAAAarAQAABFJlYWwGrAEAAA9UUFAgY29zdCBhbW91bnQJkQEAAAFS/v//a////wIAAAABUf7//23+//8BAAAAAAAJlAEAAAnGAAAACQgAAAAK/////wmUAQAACgnGAAAACgoKCQgAAAAJtgEAAAkIAAAABUQ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4AQAAEFRhYmxlLlRQUFN1bV9zc3QGuQEAAAZJdGVtSWQJCAAAAAa7AQAAIUxBQ0xFQU4yMEFULExBQ0FOMDJQRVQsTEFDTEVBTjAwMv////8JuAEAAAoJuQEAAAoKCgkIAAAACb8BAAAJCAAAAAFIAQAAEgAAAAdJ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//v//x/7//wbCAQAAOVRhYmxlLlRQUFN1bV9zc3QuSW52ZW50RGltSWR+VGFibGUuSW52ZW50RGltLkludmVudFNpdGVJZAnDAQAAATz+///H/v//BsUBAAA9VGFibGUuVFBQU3VtX3NzdC5JbnZlbnREaW1JZH5UYWJsZS5JbnZlbnREaW0uSW52ZW50TG9jYXRpb25JZAnGAQAAAUwBAAB4AAAAB00BAAAAAQAAAAQAAAAEN0dsb2JlU29mdHdhcmUuQXRsYXM0MC5BdGxhc0NvbW1vbi5UeXBlLkZpZWxkT3V0cHV0RmllbGQCAAAACTsBAAANAwRO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O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3/v//Mkdsb2JlU29mdHdhcmUuQXRsYXM0MC5BdGxhc0NvbW1vbi5Db2x1bW5BdHRyaWJ1dGVzAQAAAAd2YWx1ZV9fAAgCAAAAEAAAAAbKAQAABE5vbmUBNf7//zj+//8BNP7//zf+//8JAAAACQgAAAABMv7//zj+//8BMf7//zf+//8LAAAABtABAAABMAEv/v//OP7//wEu/v//N/7//wQAAAAG0wEAAAdHZW5lcmFsASz+//84/v//ASv+//83/v//AgAAAAbWAQAAATEBKf7//zj+//8BKP7//zf+//8AAAAABtkBAAAFMTQuNzE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m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sBAAAIRm9udEJvbGQG3AEAAAVGYWxzZQEj/v//Jv7//wbeAQAACkZvbnRJdGFsaWMJ3AEAAAEg/v//Jv7//wbhAQAADUZvbnRVbmRlcmxpbmUG4gEAAAUtNDE0MgEd/v//Jv7//wbkAQAACEZvbnROYW1lBuUBAAAHQ2FsaWJyaQEa/v//Jv7//wbnAQAACUZvbnRDb2xvcgboAQAAATABF/7//yb+//8G6gEAAAhGb250U2l6ZQbrAQAAAjExART+//8m/v//Bu0BAAAJRm9udFN0eWxlBu4BAAAHUmVndWxhcgdSAQAAAAEAAAAEAAAABDdHbG9iZVNvZnR3YXJlLkF0bGFzNDAuQXRsYXNDb21tb24uVHlwZS5GaWVsZE91dHB1dEZpZWxkAgAAAAnDAQAADQMHV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84/v//AQ/+//83/v//CQAAAAkIAAAAAQ3+//84/v//AQz+//83/v//CwAAAAb1AQAAATEBCv7//zj+//8BCf7//zf+//8EAAAABvgBAAAHR2VuZXJhbAEH/v//OP7//wEG/v//N/7//wIAAAAG+wEAAAExAQT+//84/v//AQP+//83/v//AAAAAAb+AQAAATYHV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v//Jv7//wnbAQAACdwBAAAB/v3//yb+//8J3gEAAAncAQAAAfv9//8m/v//CeEBAAAGBwIAAAUtNDE0MgH4/f//Jv7//wnkAQAABgoCAAAHQ2FsaWJyaQH1/f//Jv7//wnnAQAABg0CAAABMAHy/f//Jv7//wnqAQAABhACAAACMTEB7/3//yb+//8J7QEAAAYTAgAAB1JlZ3VsYXIHVwEAAAABAAAABAAAAAQ3R2xvYmVTb2Z0d2FyZS5BdGxhczQwLkF0bGFzQ29tbW9uLlR5cGUuRmllbGRPdXRwdXRGaWVsZAIAAAAJxgEAAA0DB1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r/f//OP7//wHq/f//N/7//wkAAAAJCAAAAAHo/f//OP7//wHn/f//N/7//wsAAAAGGgIAAAEyAeX9//84/v//AeT9//83/v//BAAAAAYdAgAAB0dlbmVyYWwB4v3//zj+//8B4f3//zf+//8CAAAABiACAAABMQHf/f//OP7//wHe/f//N/7//wAAAAAGIwIAAAUxMi44Ng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z9//8m/v//CdsBAAAJ3AEAAAHZ/f//Jv7//wneAQAACdwBAAAB1v3//yb+//8J4QEAAAYsAgAABS00MTQyAdP9//8m/v//CeQBAAAGLwIAAAdDYWxpYnJpAdD9//8m/v//CecBAAAGMgIAAAEwAc39//8m/v//CeoBAAAGNQIAAAIxMQHK/f//Jv7//wntAQAABjgCAAAHUmVndWxhcgdcAQAAAAEAAAAEAAAABDdHbG9iZVNvZnR3YXJlLkF0bGFzNDAuQXRsYXNDb21tb24uVHlwZS5GaWVsZE91dHB1dEZpZWxkAgAAAAk+AQAADQMHX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b9//84/v//AcX9//83/v//EAAAAAnKAQAAAcP9//84/v//AcL9//83/v//CQAAAAkIAAAAAcD9//84/v//Ab/9//83/v//CwAAAAZCAgAAATMBvf3//zj+//8BvP3//zf+//8EAAAABkUCAAAHR2VuZXJhbAG6/f//OP7//wG5/f//N/7//wIAAAAGSAIAAAExAbf9//84/v//Abb9//83/v//AAAAAAZLAgAABTEwLjI5B2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yb+//8J2wEAAAncAQAAAbH9//8m/v//Cd4BAAAJ3AEAAAGu/f//Jv7//wnhAQAABlQCAAAFLTQxNDIBq/3//yb+//8J5AEAAAZXAgAAB0NhbGlicmkBqP3//yb+//8J5wEAAAZaAgAAATABpf3//yb+//8J6gEAAAZdAgAAAjExAaL9//8m/v//Ce0BAAAGYAIAAAdSZWd1bGFyB2EBAAAAAQAAAAQAAAAEN0dsb2JlU29mdHdhcmUuQXRsYXM0MC5BdGxhc0NvbW1vbi5UeXBlLkZpZWxkT3V0cHV0RmllbGQCAAAACUE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zj+//8Bnf3//zf+//8QAAAACcoBAAABm/3//zj+//8Bmv3//zf+//8JAAAACQgAAAABmP3//zj+//8Bl/3//zf+//8LAAAABmoCAAABNAGV/f//OP7//wGU/f//N/7//wQAAAAGbQIAAAdHZW5lcmFsAZL9//84/v//AZH9//83/v//AgAAAAZwAgAAATEBj/3//zj+//8Bjv3//zf+//8AAAAABnMCAAAFMTcuMjk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Jv7//wnbAQAACdwBAAABif3//yb+//8J3gEAAAncAQAAAYb9//8m/v//CeEBAAAGfAIAAAUtNDE0MgGD/f//Jv7//wnkAQAABn8CAAAHQ2FsaWJyaQGA/f//Jv7//wnnAQAABoICAAABMAF9/f//Jv7//wnqAQAABoUCAAACMTEBev3//yb+//8J7QEAAAaIAgAAB1JlZ3VsYXIHZgEAAAABAAAAAAAAAAQ3R2xvYmVTb2Z0d2FyZS5BdGxhczQwLkF0bGFzQ29tbW9uLlR5cGUuRmllbGRPdXRwdXRGaWVsZAIAAAA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f9//84/v//AXb9//83/v//JAAAAAnVAAAAAXT9//84/v//AXP9//83/v//CwAAAAaOAgAAATUBcf3//zj+//8BcP3//zf+//8EAAAABpECAAAHR2VuZXJhbAFu/f//OP7//wFt/f//N/7//wIAAAAGlAIAAAExAWv9//84/v//AWr9//83/v//AAAAAAaXAgAAAjMyAWj9//84/v//AWf9//83/v//AwAAAAaaAgAAxgE9QXRsYXNCYWxhbmNlKCJQUk9EIixEYXRhQXJlYUlkLCJULlRQUFRyYW5zX3NzdHxJbnZlbnREaW1JZH5pbnZlbnREaW1JZEBULkludmVudERpbSIsIlN1bXxRdHl8MCIsIiIsIiIsIiIsIiIsIiIsIiIsIkl0ZW1JZHxUcmFuc0RhdGV8VDIuSW52ZW50U2l0ZUlkfFQyLkludmVudExvY2F0aW9uSWQiLCRBMyxQZXJpb2RCZWdpbm5pbmcsJEIzLCRDMyk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Jv7//wacAgAACEZvbnRCb2xkCdwBAAABYv3//yb+//8GnwIAAApGb250SXRhbGljCdwBAAABX/3//yb+//8GogIAAA1Gb250VW5kZXJsaW5lBqMCAAAFLTQxNDIBXP3//yb+//8GpQIAAAhGb250TmFtZQamAgAAB0NhbGlicmkBWf3//yb+//8GqAIAAAlGb250Q29sb3IGqQIAAAEwAVb9//8m/v//BqsCAAAIRm9udFNpemUGrAIAAAIxMQFT/f//Jv7//wauAgAACUZvbnRTdHlsZQavAgAAB1JlZ3VsYXI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9//84/v//AU/9//83/v//JAAAAAniAAAAAU39//84/v//AUz9//83/v//CwAAAAa1AgAAATYBSv3//zj+//8BSf3//zf+//8EAAAABrgCAAAHR2VuZXJhbAFH/f//OP7//wFG/f//N/7//wIAAAAGuwIAAAExAUT9//84/v//AUP9//83/v//AAAAAAa+AgAAAjI5AUH9//84/v//AUD9//83/v//AwAAAAbBAgAAwwE9QXRsYXNCYWxhbmNlKCJQUk9EIixEYXRhQXJlYUlkLCJULlRQUFRyYW5zX3NzdHxJbnZlbnREaW1JZH5pbnZlbnREaW1JZEBULkludmVudERpbSIsIlN1bXxRdHl8MCIsIiIsIiIsIiIsIiIsIiIsIiIsIkl0ZW1JZHxUcmFuc0RhdGV8VDIuSW52ZW50U2l0ZUlkfFQyLkludmVudExvY2F0aW9uSWQiLCRBMyxQZXJpb2RFbmRpbmcsJEIzLCRDMyk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+/f//Jv7//wmcAgAACdwBAAABO/3//yb+//8JnwIAAAncAQAAATj9//8m/v//CaICAAAGygIAAAUtNDE0MgE1/f//Jv7//wmlAgAABs0CAAAHQ2FsaWJyaQEy/f//Jv7//wmoAgAABtACAAABMAEv/f//Jv7//wmrAgAABtMCAAACMTEBLP3//yb+//8JrgIAAAbWAgAAB1JlZ3VsYXIHc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9//84/v//ASj9//83/v//JAAAAAnvAAAAASb9//84/v//ASX9//83/v//CwAAAAbcAgAAATcBI/3//zj+//8BIv3//zf+//8EAAAABt8CAAAHR2VuZXJhbAEg/f//OP7//wEf/f//N/7//wIAAAAG4gIAAAExAR39//84/v//ARz9//83/v//AAAAAAblAgAABTI1LjE0ARr9//84/v//ARn9//83/v//AwAAAAboAgAAMT1bQFF1YW50aXR5XS1bQFtUUFAgdHJhbnMgYmFja3dhcmRzIChCZWdpbm5pbmcpXV0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f//Jv7//wmcAgAACdwBAAABFP3//yb+//8JnwIAAAncAQAAARH9//8m/v//CaICAAAG8QIAAAUtNDE0MgEO/f//Jv7//wmlAgAABvQCAAAHQ2FsaWJyaQEL/f//Jv7//wmoAgAABvcCAAABMAEI/f//Jv7//wmrAgAABvoCAAACMTEBBf3//yb+//8JrgIAAAb9AgAAB1JlZ3VsYXIHd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L9//84/v//AQH9//83/v//JAAAAAn8AAAAAf/8//84/v//Af78//83/v//CwAAAAYDAwAAATgB/Pz//zj+//8B+/z//zf+//8EAAAABgYDAAAHR2VuZXJhbAH5/P//OP7//wH4/P//N/7//wIAAAAGCQMAAAExAfb8//84/v//AfX8//83/v//AAAAAAYMAwAABTIyLjE0AfP8//84/v//AfL8//83/v//AwAAAAYPAwAALj1bQFF1YW50aXR5XS1bQFtUUFAgdHJhbnMgYmFja3dhcmRzIChFbmRpbmcpXV0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Jv7//wmcAgAACdwBAAAB7fz//yb+//8JnwIAAAncAQAAAer8//8m/v//CaICAAAGGAMAAAUtNDE0MgHn/P//Jv7//wmlAgAABhsDAAAHQ2FsaWJyaQHk/P//Jv7//wmoAgAABh4DAAABMAHh/P//Jv7//wmrAgAABiEDAAACMTEB3vz//yb+//8JrgIAAAYkAwAAB1JlZ3VsYXIHegEAAAABAAAAAAAAAAQ3R2xvYmVTb2Z0d2FyZS5BdGxhczQwLkF0bGFzQ29tbW9uLlR5cGUuRmllbGRPdXRwdXRGaWVsZAIAAAABewEAAE4BAAAHf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8//84/v//Adr8//83/v//JAAAAAkJAQAAAdj8//84/v//Adf8//83/v//CwAAAAYqAwAAATkB1fz//zj+//8B1Pz//zf+//8EAAAABi0DAAAHR2VuZXJhbAHS/P//OP7//wHR/P//N/7//wIAAAAGMAMAAAExAc/8//84/v//Ac78//83/v//AAAAAAYzAwAABTM5LjI5Acz8//84/v//Acv8//83/v//AwAAAAY2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X0BAAASAAAAB34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z//yb+//8GOAMAAAhGb250Qm9sZAncAQAAAcb8//8m/v//BjsDAAAKRm9udEl0YWxpYwncAQAAAcP8//8m/v//Bj4DAAANRm9udFVuZGVybGluZQY/AwAABS00MTQyAcD8//8m/v//BkEDAAAIRm9udE5hbWUGQgMAAAdDYWxpYnJpAb38//8m/v//BkQDAAAJRm9udENvbG9yBkUDAAABMAG6/P//Jv7//wZHAwAACEZvbnRTaXplBkgDAAACMTEBt/z//yb+//8GSgMAAAlGb250U3R5bGUGSwMAAAdSZWd1bGFyB4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0/P//OP7//wGz/P//N/7//yQAAAAJFgEAAAGx/P//OP7//wGw/P//N/7//wsAAAAGUQMAAAIxMAGu/P//OP7//wGt/P//N/7//wQAAAAGVAMAAAdHZW5lcmFsAav8//84/v//Aar8//83/v//AgAAAAZXAwAAATEBqPz//zj+//8Bp/z//zf+//8AAAAABloDAAAFMzYuNDMBpfz//zj+//8BpPz//zf+//8DAAAABl0DAADKAT1BdGxhc0JhbGFuY2UoIlBST0QiLERhdGFBcmVhSWQsIlQuVFBQVHJhbnNfc3N0fEludmVudERpbUlkfmludmVudERpbUlkQFQuSW52ZW50RGltIiwiU3VtfENvc3RBbW91bnR8MCIsIiIsIiIsIiIsIiIsIiIsIiIsIkl0ZW1JZHxUcmFuc0RhdGV8VDIuSW52ZW50U2l0ZUlkfFQyLkludmVudExvY2F0aW9uSWQiLCRBMyxQZXJpb2RFbmRpbmcsJEIzLCRDMykHg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P//Jv7//wk4AwAACdwBAAABn/z//yb+//8JOwMAAAncAQAAAZz8//8m/v//CT4DAAAGZgMAAAUtNDE0MgGZ/P//Jv7//wlBAwAABmkDAAAHQ2FsaWJyaQGW/P//Jv7//wlEAwAABmwDAAABMAGT/P//Jv7//wlHAwAABm8DAAACMTEBkPz//yb+//8JSgMAAAZyAwAAB1JlZ3VsYXIHh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38//84/v//AYz8//83/v//JAAAAAkjAQAAAYr8//84/v//AYn8//83/v//CwAAAAZ4AwAAAjExAYf8//84/v//AYb8//83/v//BAAAAAZ7AwAAB0dlbmVyYWwBhPz//zj+//8Bg/z//zf+//8CAAAABn4DAAABMQGB/P//OP7//wGA/P//N/7//wAAAAAGgQMAAAUyNC4yOQF+/P//OP7//wF9/P//N/7//wMAAAAGhAMAAEI9W0BbVFBQIGNvc3QgYW1vdW50XV0tW0BbVFBQIHRyYW5zIGJhY2t3YXJkcyBiYWxhbmNlIChCZWdpbm5pbmcpXV0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/P//Jv7//wk4AwAACdwBAAABePz//yb+//8JOwMAAAncAQAAAXX8//8m/v//CT4DAAAGjQMAAAUtNDE0MgFy/P//Jv7//wlBAwAABpADAAAHQ2FsaWJyaQFv/P//Jv7//wlEAwAABpMDAAABMAFs/P//Jv7//wlHAwAABpYDAAACMTEBafz//yb+//8JSgMAAAaZAwAAB1JlZ3VsYXIHi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b8//84/v//AWX8//83/v//JAAAAAkwAQAAAWP8//84/v//AWL8//83/v//CwAAAAafAwAAAjEyAWD8//84/v//AV/8//83/v//BAAAAAaiAwAAB0dlbmVyYWwBXfz//zj+//8BXPz//zf+//8CAAAABqUDAAABMQFa/P//OP7//wFZ/P//N/7//wAAAAAGqAMAAAUyMS4yOQFX/P//OP7//wFW/P//N/7//wMAAAAGqwMAADI9W0BbVFBQIGNvc3QgYW1vdW50XV0tW0BbVFBQIEJhbGFuY2UgKEJlZ2lubmluZyldXQe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m/v//CTgDAAAJ3AEAAAFR/P//Jv7//wk7AwAACdwBAAABTvz//yb+//8JPgMAAAa0AwAABS00MTQyAUv8//8m/v//CUEDAAAGtwMAAAdDYWxpYnJpAUj8//8m/v//CUQDAAAGugMAAAEwAUX8//8m/v//CUcDAAAGvQMAAAIxMQFC/P//Jv7//wlKAwAABsADAAAHUmVndWxhcgGRAQAADgAAAAWdAAAGwQMAAApUUFBTdW1fc3N0BsIDAAALVFBQIHN1bW1hcnkJCAAAAAkIAAAACQgAAAABPPz//+D///8AAAAACcUDAAAJxgMAAAE5/P//3f///3jvi3koQYhEku50ON+m1VYJCAAAAAkIAAAACckDAAAJlAEAAAoKCgoKAQAAAAE1/P//2f///wAAAAABNPz//9j///8AAAAAAAnNAwAABJ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QAAAAlIAQAAAwAAAAnPAwAABK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QAAAAlIAQAAAwAAAAnRAwAABL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QAAAAlIAQAAAwAAAAnTAwAABL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nVAwAAAcMBAAA7AQAAASr8//9t/////////wAG1wMAAAZTdHJpbmcG2AMAAARTaXRlCTEAAAABJvz//2v///8CAAAAASX8//9t/v//AQAAAAAACTAAAAAJnAAAAAkIAAAACv////8JMAAAAAoJnAAAAAbhAwAAC0ludmVudERpbUlkBuIDAAAKVFBQU3VtX3NzdAoJCAAAAAnkAwAACQgAAAABxgEAADsBAAABGvz//23/////////AAbnAwAABlN0cmluZwboAwAACVdhcmVob3VzZQkxAAAAARb8//9r////AgAAAAEV/P//bf7//wEAAAAAAAkwAAAACaoAAAAJCAAAAAr/////CTAAAAAKCaoAAAAG8QMAAAtJbnZlbnREaW1JZAbyAwAAClRQUFN1bV9zc3QKCQgAAAAJ9AMAAAkIAAAAAcUDAAAhAAAABAAAAAn2AwAABwAAAAn3AwAABMY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gMAAAAAAAAEy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YDAAAAAAAAAc0DAAApAAAAAAAAAAn5AwAAAAAAAAf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8//8m/v//BvsDAAAISGVscFRleHQG/AMAAA5JZGVudGlmeSBpdGVtLgED/P//Jv7//wb+AwAABUxhYmVsCZABAAABAPz//yb+//8GAQQAAARUeXBlCY8BAAAH0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9+///Jv7//wn7AwAABgUEAAAkUXVhbnRpdHkgYXR0YWNoZWQgdG8gdGhlIHRyYW5zYWN0aW9uAfr7//8m/v//Cf4DAAAJngEAAAH3+///Jv7//wkBBAAACZ0BAAAH0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+///Jv7//wn7AwAABg4EAAAQVFBQIGNvc3QgYW1vdW50LgHx+///Jv7//wn+AwAACawBAAAB7vv//yb+//8JAQQAAAmrAQAAB9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/v//yb+//8GFgQAAARUeXBlCY8BAAAB6Pv//yb+//8GGQQAAAVMYWJlbAmQAQAAAeX7//8m/v//BhwEAAAIUmVmZXJzVG8GHQQAAA89J0dlbmVyYWwnISRDJDcE5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UgBAAADAAAACR8EAAAE9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100AAAACUgBAAADAAAACSEEAAAB9gMAABIAAAAH9w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3vv//8f+//8GIwQAABxUYWJsZS5UUFBTdW1fc3N0LkludmVudERpbUlkCSQEAAAB2/v//8f+//8GJgQAABdUYWJsZS5UUFBTdW1fc3N0Lkl0ZW1JZAk7AQAAAdj7///H/v//BikEAAAUVGFibGUuVFBQU3VtX3NzdC5RdHkJPgEAAAHV+///x/7//wYsBAAAG1RhYmxlLlRQUFN1bV9zc3QuQ29zdEFtb3VudAlBAQAAAfkDAAB4AAAABx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vv//yb+//8J/gMAAAnYAwAAAc/7//8m/v//CQEEAAAJ1wMAAAch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7//8m/v//Cf4DAAAJ6AMAAAHJ+///Jv7//wkBBAAACecDAAABJAQAADsBAAABxvv//23/////////AAY7BAAABlN0cmluZwY8BAAADURpbWVuc2lvbiBOby4JkQEAAAHC+///a////wIAAAABwfv//23+//8BAAAAAAAJlAEAAAZBBAAAC0ludmVudERpbUlkCQgAAAAK/////wmUAQAACglBBAAACgoKCQgAAAAJRgQAAAkIAAAABEY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lIAQAAAwAAAAlJBAAAB0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v//yb+//8J+wMAAAZMBAAAKklkZW50aWZpY2F0aW9uIG9mIGRpbWVuc2lvbnMgZm9yIHRoZSBpdGVtLgGz+///Jv7//wn+AwAACTwEAAABsPv//yb+//8JAQQAAAk7BAAACw==
    <Output>
      <OutputObject name="AtlasReport_4"/>
    </Output>
  </Query>
</Atlas>
</file>

<file path=customXml/item4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P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118AAAACZAAAAAHAAAACZE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ZIAAAAHAAAACZMAAAABLgAAACAAAAAJlAAAAAEAAAABAAAAAS8AAAAhAAAAcwAAAAmVAAAABwAAAAmWAAAAATAAAAAiAAAAcAAAAAmXAAAABwAAAAmYAAAAATwAAAAgAAAACZkAAAABAAAAAQAAAAE9AAAAIQAAAHMAAAAJlQAAAAcAAAAJmwAAAAE+AAAAIgAAAHAAAAAJlwAAAAcAAAAJnQAAAAFKAAAAIAAAAAmeAAAAAQAAAAEAAAABSwAAACEAAAB/AAAACZAAAAAHAAAACaAAAAABTAAAACIAAAB3AAAACZIAAAAHAAAACaIAAAABWAAAACAAAAAJowAAAAAAAAAAAAAAAVkAAAAhAAAAbQAAAAmVAAAABwAAAAmlAAAAAVoAAAAiAAAAYgAAAAmXAAAABwAAAAmnAAAAAWUAAAAgAAAACaMAAAAAAAAAAAAAAAFmAAAAIQAAAGsAAAAJlQAAAAcAAAAJqgAAAAFnAAAAIgAAAGIAAAAJlwAAAAcAAAAJrAAAAAFyAAAAIAAAAAmtAAAAAAAAAAAAAAABcwAAACEAAABaAAAACa4AAAAHAAAACa8AAAABdAAAACIAAABUAAAACbAAAAAHAAAACbEAAAABfwAAACAAAAAJrQAAAAAAAAAAAAAAAYAAAAAhAAAAWgAAAAmuAAAABwAAAAm0AAAAAYEAAAAiAAAAVAAAAAmwAAAABwAAAAm2AAAAD4wAAAABAAAACAEAAAAFjQAAADxHbG9iZVNvZnR3YXJlLkF0bGFzNDAuQXRsYXNDb21tb25DbGllbnQuRGF0YVNvdXJjZUZpZWxkVmFsdWUEAAAAEl9pc0RyaWxsRG93bkZpbHRlcgZfZHNLZXkKX2ZpZWxkbmFtZQtfZmllbGRWYWx1ZQABAQEBHAAAAAAGtwAAAA9UYWJsZS5JbnZlbnRTdW0GuAAAAApEYXRhQXJlYUlkCQYAAAABjgAAAI0AAAAACbcAAAAGuwAAAAZJdGVtSWQGvAAAACFMQUNMRUFOMjBBVCxMQUNBTjAyUEVULExBQ0xFQU4wMDIHjwAAAAABAAAABAAAAAQ3R2xvYmVTb2Z0d2FyZS5BdGxhczQwLkF0bGFzQ29tbW9uLlR5cGUuRmllbGRPdXRwdXRGaWVsZA4AAAAJvQAAAA0DBJA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C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H///8yR2xvYmVTb2Z0d2FyZS5BdGxhczQwLkF0bGFzQ29tbW9uLkNvbHVtbkF0dHJpYnV0ZXMBAAAAB3ZhbHVlX18ACA4AAAAGAAAABsAAAAAFVG90YWwBP////0L///8BPv///0H///8QAAAABsMAAAAETm9uZQE8////Qv///wE7////Qf///wkAAAAJJgAAAAE5////Qv///wE4////Qf///wsAAAAGyQAAAAEwATb///9C////ATX///9B////BAAAAAbMAAAAB0dlbmVyYWwBM////0L///8BMv///0H///8CAAAABs8AAAABMQEw////Qv///wEv////Qf///wAAAAAG0gAAAAUzMS4yOQGSAAAADAAAA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3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1AAAAAhGb250Qm9sZAbVAAAABUZhbHNlASr///8t////BtcAAAAKRm9udEl0YWxpYwnVAAAAASf///8t////BtoAAAANRm9udFVuZGVybGluZQbbAAAABS00MTQyAST///8t////Bt0AAAAIRm9udE5hbWUG3gAAAAdDYWxpYnJpASH///8t////BuAAAAAJRm9udENvbG9yBuEAAAABMAEe////Lf///wbjAAAACEZvbnRTaXplBuQAAAACMTEBG////y3///8G5gAAAAlGb250U3R5bGUG5wAAAAdSZWd1bGFyB5QAAAAAAQAAAAQAAAAEN0dsb2JlU29mdHdhcmUuQXRsYXM0MC5BdGxhc0NvbW1vbi5UeXBlLkZpZWxkT3V0cHV0RmllbGQOAAAACegAAAANAwGVAAAAkAAAAAeW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0L///8BFv///0H///8JAAAACSYAAAABFP///0L///8BE////0H///8LAAAABu4AAAABMQER////Qv///wEQ////Qf///wQAAAAG8QAAAAdHZW5lcmFsAQ7///9C////AQ3///9B////AgAAAAb0AAAAATEBC////0L///8BCv///0H///8AAAAABvcAAAABNg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j///8t////CdQAAAAJ1QAAAAEF////Lf///wnXAAAACdUAAAABAv///y3///8J2gAAAAYAAQAABS00MTQyAf/+//8t////Cd0AAAAGAwEAAAdDYWxpYnJpAfz+//8t////CeAAAAAGBgEAAAEwAfn+//8t////CeMAAAAGCQEAAAIxMQH2/v//Lf///wnmAAAABgwBAAAHUmVndWxhcgeZAAAAAAEAAAAEAAAABDdHbG9iZVNvZnR3YXJlLkF0bGFzNDAuQXRsYXNDb21tb24uVHlwZS5GaWVsZE91dHB1dEZpZWxkDgAAAAkNAQAADQMHm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L+//9C////AfH+//9B////CQAAAAkmAAAAAe/+//9C////Ae7+//9B////CwAAAAYTAQAAATIB7P7//0L///8B6/7//0H///8EAAAABhYBAAAHR2VuZXJhbAHp/v//Qv///wHo/v//Qf///wIAAAAGGQEAAAExAeb+//9C////AeX+//9B////AAAAAAYcAQAABTEyLjg2B50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7//y3///8J1AAAAAnVAAAAAeD+//8t////CdcAAAAJ1QAAAAHd/v//Lf///wnaAAAABiUBAAAFLTQxNDIB2v7//y3///8J3QAAAAYoAQAAB0NhbGlicmkB1/7//y3///8J4AAAAAYrAQAAATAB1P7//y3///8J4wAAAAYuAQAAAjExAdH+//8t////CeYAAAAGMQEAAAdSZWd1bGFyB54AAAAAAQAAAAQAAAAEN0dsb2JlU29mdHdhcmUuQXRsYXM0MC5BdGxhc0NvbW1vbi5UeXBlLkZpZWxkT3V0cHV0RmllbGQOAAAACTIBAAANAweg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//0L///8BzP7//0H///8QAAAACcMAAAAByv7//0L///8Byf7//0H///8JAAAACSYAAAABx/7//0L///8Bxv7//0H///8LAAAABjsBAAABMwHE/v//Qv///wHD/v//Qf///wQAAAAGPgEAAC9fKCogIywjIzAuMDBfKTtfKCogKCMsIyMwLjAwKTtfKCogIi0iPz9fKTtfKEBfKQHB/v//Qv///wHA/v//Qf///wIAAAAGQQEAAAExAb7+//9C////Ab3+//9B////AAAAAAZEAQAABTE2LjcxAbv+//9C////Abr+//9B////JAAAAAlOAAAAB6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7//y3///8J1AAAAAnVAAAAAbX+//8t////CdcAAAAJ1QAAAAGy/v//Lf///wnaAAAABlABAAAFLTQxNDIBr/7//y3///8J3QAAAAZTAQAAB0NhbGlicmkBrP7//y3///8J4AAAAAZWAQAAATABqf7//y3///8J4wAAAAZZAQAAAjExAab+//8t////CeYAAAAGXAEAAAdSZWd1bGFyB6MAAAAAAQAAAAAAAAAEN0dsb2JlU29mdHdhcmUuQXRsYXM0MC5BdGxhc0NvbW1vbi5UeXBlLkZpZWxkT3V0cHV0RmllbGQOAAAAB6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v//Qv///wGi/v//Qf///yQAAAAJXAAAAAGg/v//Qv///wGf/v//Qf///wsAAAAGYgEAAAE0AZ3+//9C////AZz+//9B////BAAAAAZlAQAAL18oKiAjLCMjMC4wMF8pO18oKiAoIywjIzAuMDApO18oKiAiLSI/P18pO18oQF8pAZr+//9C////AZn+//9B////AgAAAAZoAQAAATEBl/7//0L///8Blv7//0H///8AAAAABmsBAAAFMTkuODYBlP7//0L///8Bk/7//0H///8DAAAABm4BAADJAT1BdGxhc0JhbGFuY2UoIlBST0QiLERhdGFBcmVhSWQsIlQuSW52ZW50VHJhbnN8aW52ZW50RGltSWR+aW52ZW50RGltSWRAVC5JbnZlbnREaW0iLCJTdW18UXR5fDAiLCIiLCIiLCIiLCIiLCIiLCIiLCJEYXRlRmluYW5jaWFsfEl0ZW1JZHxUMi5JbnZlbnRTaXRlSWR8VDIuSW52ZW50TG9jYXRpb25JZCIsUGVyaW9kQmVnaW5uaW5nLCRBMywkQjMsJEMzK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+//8t////BnABAAAIRm9udEJvbGQJ1QAAAAGO/v//Lf///wZzAQAACkZvbnRJdGFsaWMJ1QAAAAGL/v//Lf///wZ2AQAADUZvbnRVbmRlcmxpbmUGdwEAAAUtNDE0MgGI/v//Lf///wZ5AQAACEZvbnROYW1lBnoBAAAHQ2FsaWJyaQGF/v//Lf///wZ8AQAACUZvbnRDb2xvcgZ9AQAAATABgv7//y3///8GfwEAAAhGb250U2l6ZQaAAQAAAjExAX/+//8t////BoIBAAAJRm9udFN0eWxlBoMBAAAHUmVndWxhcg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0L///8Be/7//0H///8kAAAACWkAAAABef7//0L///8BeP7//0H///8LAAAABokBAAABNQF2/v//Qv///wF1/v//Qf///wQAAAAGjAEAAC9fKCogIywjIzAuMDBfKTtfKCogKCMsIyMwLjAwKTtfKCogIi0iPz9fKTtfKEBfKQFz/v//Qv///wFy/v//Qf///wIAAAAGjwEAAAExAXD+//9C////AW/+//9B////AAAAAAaSAQAABTE2Ljg2AW3+//9C////AWz+//9B////AwAAAAaVAQAAxgE9QXRsYXNCYWxhbmNlKCJQUk9EIixEYXRhQXJlYUlkLCJULkludmVudFRyYW5zfGludmVudERpbUlkfmludmVudERpbUlkQFQuSW52ZW50RGltIiwiU3VtfFF0eXwwIiwiIiwiIiwiIiwiIiwiIiwiIiwiRGF0ZUZpbmFuY2lhbHxJdGVtSWR8VDIuSW52ZW50U2l0ZUlkfFQyLkludmVudExvY2F0aW9uSWQiLFBlcmlvZEVuZGluZywkQTMsJEIzLCRDMykHr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v//Lf///wlwAQAACdUAAAABZ/7//y3///8JcwEAAAnVAAAAAWT+//8t////CXYBAAAGngEAAAUtNDE0MgFh/v//Lf///wl5AQAABqEBAAAHQ2FsaWJyaQFe/v//Lf///wl8AQAABqQBAAABMAFb/v//Lf///wl/AQAABqcBAAACMTEBWP7//y3///8JggEAAAaqAQAAB1JlZ3VsYXIHrQAAAAABAAAAAAAAAAQ3R2xvYmVTb2Z0d2FyZS5BdGxhczQwLkF0bGFzQ29tbW9uLlR5cGUuRmllbGRPdXRwdXRGaWVsZA4AAAABrgAAAJAAAAAHr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X+//9C////AVT+//9B////JAAAAAl2AAAAAVL+//9C////AVH+//9B////CwAAAAawAQAAATYBT/7//0L///8BTv7//0H///8EAAAABrMBAAAvXygqICMsIyMwLjAwXyk7XygqICgjLCMjMC4wMCk7XygqICItIj8/Xyk7XyhAXykBTP7//0L///8BS/7//0H///8CAAAABrYBAAABMQFJ/v//Qv///wFI/v//Qf///wAAAAAGuQEAAAUxOS44NgFG/v//Qv///wFF/v//Qf///wMAAAAGvAEAADY9W0BbQ3VycmVudCBPbi1oYW5kXV0tW0BbVHJhbnMgYmFja3dvcmRzIChCZWdpbm5pbmcpXV0BsAAAAAwAAAAHs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Lf///wa+AQAACEZvbnRCb2xkCdUAAAABQP7//y3///8GwQEAAApGb250SXRhbGljCdUAAAABPf7//y3///8GxAEAAA1Gb250VW5kZXJsaW5lBsUBAAAFLTQxNDIBOv7//y3///8GxwEAAAhGb250TmFtZQbIAQAAB0NhbGlicmkBN/7//y3///8GygEAAAlGb250Q29sb3IGywEAAAEwATT+//8t////Bs0BAAAIRm9udFNpemUGzgEAAAIxMQEx/v//Lf///wbQAQAACUZvbnRTdHlsZQbRAQAAB1JlZ3VsYXIHt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+//9C////AS3+//9B////JAAAAAmDAAAAASv+//9C////ASr+//9B////CwAAAAbXAQAAATcBKP7//0L///8BJ/7//0H///8EAAAABtoBAAAvXygqICMsIyMwLjAwXyk7XygqICgjLCMjMC4wMCk7XygqICItIj8/Xyk7XyhAXykBJf7//0L///8BJP7//0H///8CAAAABt0BAAABMQEi/v//Qv///wEh/v//Qf///wAAAAAG4AEAAAUxNi44NgEf/v//Qv///wEe/v//Qf///wMAAAAG4wEAADM9W0BbQ3VycmVudCBPbi1oYW5kXV0tW0BbVHJhbnMgYmFja3dvcmRzIChFbmRpbmcpXV0Ht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v//Lf///wm+AQAACdUAAAABGf7//y3///8JwQEAAAnVAAAAARb+//8t////CcQBAAAG7AEAAAUtNDE0MgET/v//Lf///wnHAQAABu8BAAAHQ2FsaWJyaQEQ/v//Lf///wnKAQAABvIBAAABMAEN/v//Lf///wnNAQAABvUBAAACMTEBCv7//y3///8J0AEAAAb4AQAAB1JlZ3VsYXIFv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B/7//9j/////////AAb6AQAABlN0cmluZwb7AQAAC0l0ZW0gbnVtYmVyCfwBAAABA/7//9b///8CAAAABQL+//85R2xvYmVTb2Z0d2FyZS5BdGxhczQwLkF0bGFzQ29tbW9uLk51bWJlclNlcXVlbmNlQ29uZGl0aW9uAQAAAAd2YWx1ZV9fAAgOAAAAAQAAAAAABv8BAAAPVGFibGUuSW52ZW50U3VtCSMAAAAJJgAAAAr/////Cf8BAAAKCSMAAAAKCgoJJgAAAAkFAgAACSYAAAAB6AAAAL0AAAAB+f3//9j/////////AAYIAgAABlN0cmluZwYJAgAABFNpdGUJCgIAAAH1/f//1v///wIAAAAB9P3//wL+//8BAAAAAAAGDQIAACtUYWJsZS5JbnZlbnRTdW0uSW52ZW50RGltSWR+VGFibGUuSW52ZW50RGltCTEAAAAJJgAAAAr/////CQ0CAAAKCTEAAAAGEgIAAAtJbnZlbnREaW1JZAYTAgAACUludmVudFN1bQoJJgAAAAkVAgAACSYAAAABDQEAAL0AAAAB6f3//9j/////////AAYYAgAABlN0cmluZwYZAgAACVdhcmVob3VzZQkKAgAAAeX9///W////AgAAAAHk/f//Av7//wEAAAAAAAkNAgAACT8AAAAJJgAAAAr/////CQ0CAAAKCT8AAAAGIgIAAAtJbnZlbnREaW1JZAYjAgAACUludmVudFN1bQoJJgAAAAklAgAACSYAAAABMgEAAL0AAAAB2f3//9j///8BAAAAAAYoAgAABFJlYWwGKQIAAA9Qb3N0ZWQgcXVhbnRpdHkJ/AEAAAHV/f//1v///wIAAAAB1P3//wL+//8BAAAAAAAJ/wEAAAlNAAAACSYAAAAK/////wn/AQAACglNAAAACgoKCSYAAAAJMwIAAAkmAAAABfw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4AAAAGNQIAAAlJbnZlbnRTdW0GNgIAABFPbi1oYW5kIGludmVudG9yeQkmAAAACSYAAAAJJgAAAAXI/f//MEdsb2JlU29mdHdhcmUuQXRsYXM0MC5BdGxhc0NvbW1vbi5EYXRhU291cmNlVHlwZQEAAAAHdmFsdWVfXwAIDgAAAAAAAAAJOQIAAAk6AgAABMX9//8LU3lzdGVtLkd1aWQLAAAAAl9hAl9iAl9jAl9kAl9lAl9mAl9nAl9oAl9pAl9qAl9rAAAAAAAAAAAAAAAIBwcCAgICAgICAuHHIg/tdjZPjq+BNkzZ+KAJJgAAAAkmAAAACT0CAAAJ/wEAAAoKCgoKAQAAAAXB/f//NEdsb2JlU29mdHdhcmUuQXRsYXM0MC5BdGxhc0NvbW1vbi5EYXRhU291cmNlSm9pbk1vZGUBAAAAB3ZhbHVlX18ACA4AAAAAAAAABcD9//81R2xvYmVTb2Z0d2FyZS5BdGxhczQwLkF0bGFzQ29tbW9uLkRhdGFTb3VyY2VGZXRjaE1vZGUBAAAAB3ZhbHVlX18ACA4AAAAAAAAAAAlBAgAAAQUCAAAiAAAAQwAAAAmSAAAAAwAAAAlDAgAAAQoCAAD8AQAA/////wZEAgAACUludmVudERpbQZFAgAAFEludmVudG9yeSBkaW1lbnNpb25zCSYAAAAJJgAAAAkmAAAAAbn9///I/f//AAAAAAlIAgAACUkCAAABtv3//8X9//9PdSE8u5QHQZQRgNZTTOJqCSYAAAAJJgAAAAlMAgAACQ0CAAAGTgIAAAlJbnZlbnRTdW0GTwIAAA9UYWJsZS5JbnZlbnRTdW0GUAIAABtUYWJsZS5JbnZlbnRTdW0uSW52ZW50RGltSWQGUQIAAAtJbnZlbnREaW1JZAZSAgAAC2ludmVudERpbUlkAQAAAAGt/f//wf3//wAAAAABrP3//8D9//8AAAAAAAlVAgAAARUCAAAiAAAAOgAAAAmXAAAAAwAAAAlXAgAAASUCAAAiAAAAOgAAAAmXAAAAAwAAAAlZAgAAATMCAAAiAAAAQwAAAAmSAAAAAwAAAAlbAgAABDk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VwCAAARAAAACV0CAAAEO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cAgAAAAAAAAQ9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AIAAAAAAAAEQ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XwIAAAA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Lf///wZhAgAACEhlbHBUZXh0BmICAAAOSWRlbnRpZnkgaXRlbS4Bnf3//y3///8GZAIAAAVMYWJlbAn7AQAAAZr9//8t////BmcCAAAEVHlwZQn6AQAAAUgCAAA5AgAAAgAAAAmXAAAAAwAAAAlqAgAAAUkCAAA6AgAAAAAAAAlrAgAAAAAAAAFMAgAAPQIAAAAAAAAJlwAAAAAAAAABVQIAAEECAAAAAAAACW0CAAAAAAAAB1c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3//y3///8GbwIAAAVMYWJlbAkJAgAAAY/9//8t////BnICAAAEVHlwZQkIAgAAB1k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y3///8JbwIAAAkZAgAAAYn9//8t////CXICAAAJGAI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b9//8t////CWECAAAGfAIAABxGaW5hbmNpYWxseSBlbnRlcmVkIHF1YW50aXR5AYP9//8t////CWQCAAAJKQIAAAGA/f//Lf///wlnAgAACSgCAAABXAIAAAwAAAAHXQI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hAIAABZUYWJsZS5JbnZlbnRTdW0uSXRlbUlkCb0AAAABev3//339//8GhwIAABtUYWJsZS5JbnZlbnRTdW0uUG9zdGVkVmFsdWUJiAIAAAF3/f//ff3//waKAgAAGVRhYmxlLkludmVudFN1bS5Qb3N0ZWRRdHkJMgEAAAF0/f//ff3//waNAgAAGFRhYmxlLkludmVudFN1bS5EZWR1Y3RlZAmOAgAAAXH9//99/f//BpACAAAYVGFibGUuSW52ZW50U3VtLlJlY2VpdmVkCZECAAABbv3//339//8GkwIAAB1UYWJsZS5JbnZlbnRTdW0uUmVzZXJ2T3JkZXJlZAmUAgAAAWv9//99/f//BpYCAAAeVGFibGUuSW52ZW50U3VtLlJlc2VydlBoeXNpY2FsCZcCAAABaP3//339//8GmQIAABdUYWJsZS5JbnZlbnRTdW0uT25PcmRlcgmaAgAAAWX9//99/f//BpwCAAAXVGFibGUuSW52ZW50U3VtLk9yZGVyZWQJnQIAAARf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agI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Yv3//339//8GnwIAADhUYWJsZS5JbnZlbnRTdW0uSW52ZW50RGltSWR+VGFibGUuSW52ZW50RGltLkludmVudFNpdGVJZAnoAAAAAV/9//99/f//BqICAAA8VGFibGUuSW52ZW50U3VtLkludmVudERpbUlkflRhYmxlLkludmVudERpbS5JbnZlbnRMb2NhdGlvbklkCQ0BAAABawIAAAwAAAABbQIAAF8CAAABiAIAAL0AAAABXP3//9j/////////AAalAgAABFJlYWwGpgIAABVGaW5hbmNpYWwgY29zdCBhbW91bnQJ/AEAAAFY/f//1v///wIAAAABV/3//wL+//8BAAAAAAAJ/wEAAAarAgAAC1Bvc3RlZFZhbHVlCSYAAAAK/////wn/AQAACgmrAgAACgoKCSYAAAAJsAIAAAkmAAAAAY4CAAC9AAAAAU79///Y/////////wAGswIAAARSZWFsBrQCAAAIRGVkdWN0ZWQJ/AEAAAFK/f//1v///wIAAAABSf3//wL+//8BAAAAAAAJ/wEAAAa5AgAACERlZHVjdGVkCSYAAAAK/////wn/AQAACgm5AgAACgoKCSYAAAAJvgIAAAkmAAAAAZECAAC9AAAAAUD9///Y/////////wAGwQIAAARSZWFsBsICAAAIUmVjZWl2ZWQJ/AEAAAE8/f//1v///wIAAAABO/3//wL+//8BAAAAAAAJ/wEAAAbHAgAACFJlY2VpdmVkCSYAAAAK/////wn/AQAACgnHAgAACgoKCSYAAAAJzAIAAAkmAAAAAZQCAAC9AAAAATL9///Y/////////wAGzwIAAARSZWFsBtACAAAQT3JkZXJlZCByZXNlcnZlZAn8AQAAAS79///W////AgAAAAEt/f//Av7//wEAAAAAAAn/AQAABtUCAAANUmVzZXJ2T3JkZXJlZAkmAAAACv////8J/wEAAAoJ1QIAAAoKCgkmAAAACdoCAAAJJgAAAAGXAgAAvQAAAAEk/f//2P////////8ABt0CAAAEUmVhbAbeAgAAEVBoeXNpY2FsIHJlc2VydmVkCfwBAAABIP3//9b///8CAAAAAR/9//8C/v//AQAAAAAACf8BAAAG4wIAAA5SZXNlcnZQaHlzaWNhbAkmAAAACv////8J/wEAAAoJ4wIAAAoKCgkmAAAACegCAAAJJgAAAAGaAgAAvQAAAAEW/f//2P////////8ABusCAAAEUmVhbAbsAgAACE9uIG9yZGVyCfwBAAABEv3//9b///8CAAAAARH9//8C/v//AQAAAAAACf8BAAAG8QIAAAdPbk9yZGVyCSYAAAAK/////wn/AQAACgnxAgAACgoKCSYAAAAJ9gIAAAkmAAAAAZ0CAAC9AAAAAQj9///Y/////////wAG+QIAAARSZWFsBvoCAAAHT3JkZXJlZAn8AQAAAQT9///W////AgAAAAED/f//Av7//wEAAAAAAAn/AQAABv8CAAAHT3JkZXJlZAkmAAAACv////8J/wEAAAoJ/wIAAAoKCgkmAAAACQQDAAAJJgAAAAGwAgAAIgAAAAkAAAAJkgAAAAMAAAAJBwMAAAG+AgAAIgAAAAkAAAAJkgAAAAMAAAAJCQMAAAHMAgAAIgAAAAkAAAAJkgAAAAMAAAAJCwMAAAHaAgAAIgAAAAkAAAAJkgAAAAMAAAAJDQMAAAHoAgAAIgAAAAkAAAAJkgAAAAMAAAAJDwMAAAH2AgAAIgAAAAkAAAAJkgAAAAMAAAAJEQMAAAEEAwAAIgAAAAkAAAAJkgAAAAMAAAAJEwMAAAc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8//8t////CWECAAAGFgMAADVJbnZlbnRvcnkgdmFsdWUgZm9yIHRoZSBmaW5hbmNpYWxseSB1cGRhdGVkIHF1YW50aXR5LgHp/P//Lf///wlkAgAACaYCAAAB5vz//y3///8JZwIAAAmlAgAABw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z//y3///8JYQIAAAYfAwAAO1F1YW50aXR5IHRoYXQgaGFzIGJlZW4gcGh5c2ljYWxseSBkZWR1Y3RlZCwgYnV0IG5vdCBwb3N0ZWQuAeD8//8t////CWQCAAAJtAIAAAHd/P//Lf///wlnAgAACbM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P//Lf///wlhAgAABigDAAAqUGh5c2ljYWwgcXVhbnRpdHkgcmVjZWl2ZWQsIGJ1dCBub3QgcG9zdGVkAdf8//8t////CWQCAAAJwgIAAAHU/P//Lf///wlnAgAACcE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P//Lf///wlhAgAABjEDAAAlUXVhbnRpdHkgcmVzZXJ2ZWQgb24gcXVhbnRpdHkgb3JkZXJlZAHO/P//Lf///wlkAgAACdACAAABy/z//y3///8JZwIAAAnP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y3///8JYQIAAAY6AwAAKlF1YW50aXR5IHJlc2VydmVkIG9mIHRoZSBwaHlzaWNhbCBxdWFudGl0eQHF/P//Lf///wlkAgAACd4CAAABwvz//y3///8JZwIAAAndAgAABx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/z//y3///8JYQIAAAZDAwAAEVF1YW50aXR5IG9uIG9yZGVyAbz8//8t////CWQCAAAJ7AIAAAG5/P//Lf///wlnAgAACes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/P//Lf///wlhAgAABkwDAAAQUXVhbnRpdHkgb3JkZXJlZAGz/P//Lf///wlkAgAACfoCAAABsPz//y3///8JZwIAAAn5AgAACw==</Report>
</Atlas>
</file>

<file path=customXml/item5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0CBB0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WYAAAABAAAAAQAAAAQe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YAAAAJZwAAAAcAAAAJaAAAAAQ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aQAAAAcAAAAJagAAAAErAAAAHQAAAAlrAAAAAQAAAAEAAAABLAAAAB4AAAA1AAAACWcAAAAHAAAACW0AAAABLQAAAB8AAAAxAAAACWkAAAAHAAAACW8AAAABOQAAAB0AAAAJcAAAAAEAAAABAAAAAToAAAAeAAAANQAAAAlnAAAABwAAAAlyAAAAATsAAAAfAAAAMQAAAAlpAAAABwAAAAl0AAAAAUcAAAAdAAAACXUAAAABAAAAAQAAAAFIAAAAHgAAADUAAAAJZwAAAAcAAAAJdwAAAAFJAAAAHwAAADEAAAAJaQAAAAcAAAAJeQAAAAFVAAAAHQAAAAl6AAAAAQAAAAEAAAABVgAAAB4AAAA0AAAACWcAAAAHAAAACXwAAAABVwAAAB8AAAAxAAAACWkAAAAHAAAACX4AAAAPYwAAAAEAAAAIAQAAAAVkAAAAPEdsb2JlU29mdHdhcmUuQXRsYXM0MC5BdGxhc0NvbW1vbkNsaWVudC5EYXRhU291cmNlRmllbGRWYWx1ZQQAAAASX2lzRHJpbGxEb3duRmlsdGVyBl9kc0tleQpfZmllbGRuYW1lC19maWVsZFZhbHVlAAEBAQEZAAAAAAZ/AAAAEVRhYmxlLkludmVudFRhYmxlBoAAAAAKRGF0YUFyZWFJZAkGAAAAAWUAAABkAAAAAAaCAAAAMFRhYmxlLkludmVudFRhYmxlLkl0ZW1JZH5UYWJsZS5JbnZlbnRUYWJsZU1vZHVsZQaDAAAACk1vZHVsZVR5cGUGhAAAAAZJbnZlbnQHZgAAAAABAAAABAAAAAQ3R2xvYmVTb2Z0d2FyZS5BdGxhczQwLkF0bGFzQ29tbW9uLlR5cGUuRmllbGRPdXRwdXRGaWVsZA4AAAAJhQAAAA0DBG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2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6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Xn///8yR2xvYmVTb2Z0d2FyZS5BdGxhczQwLkF0bGFzQ29tbW9uLkNvbHVtbkF0dHJpYnV0ZXMBAAAAB3ZhbHVlX18ACA4AAAAGAAAABogAAAAFVG90YWwBd////3r///8Bdv///3n///8QAAAABosAAAAETm9uZQF0////ev///wFz////ef///wkAAAAJIwAAAAFx////ev///wFw////ef///wsAAAAGkQAAAAEwAW7///96////AW3///95////BAAAAAaUAAAAB0dlbmVyYWwBa////3r///8Bav///3n///8CAAAABpcAAAABMQFo////ev///wFn////ef///wAAAAAGmgAAAAUyMC40MwFpAAAADAAAAA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G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AAAAAhGb250Qm9sZAadAAAABUZhbHNlAWL///9l////Bp8AAAAKRm9udEl0YWxpYwmdAAAAAV////9l////BqIAAAANRm9udFVuZGVybGluZQajAAAABS00MTQyAVz///9l////BqUAAAAIRm9udE5hbWUGpgAAAAdDYWxpYnJpAVn///9l////BqgAAAAJRm9udENvbG9yBqkAAAABMAFW////Zf///warAAAACEZvbnRTaXplBqwAAAACMTEBU////2X///8GrgAAAAlGb250U3R5bGUGrwAAAAdSZWd1bGFyB2sAAAAAAQAAAAQAAAAEN0dsb2JlU29mdHdhcmUuQXRsYXM0MC5BdGxhc0NvbW1vbi5UeXBlLkZpZWxkT3V0cHV0RmllbGQOAAAACbAAAAANAwd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///3r///8BTv///3n///8QAAAACYsAAAABTP///3r///8BS////3n///8JAAAACSMAAAABSf///3r///8BSP///3n///8LAAAABrkAAAABMQFG////ev///wFF////ef///wQAAAAGvAAAAAdHZW5lcmFsAUP///96////AUL///95////AgAAAAa/AAAAATEBQP///3r///8BP////3n///8AAAAABsIAAAACNTYHb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///Zf///wmcAAAACZ0AAAABOv///2X///8JnwAAAAmdAAAAATf///9l////CaIAAAAGywAAAAUtNDE0MgE0////Zf///wmlAAAABs4AAAAHQ2FsaWJyaQEx////Zf///wmoAAAABtEAAAABMAEu////Zf///wmrAAAABtQAAAACMTEBK////2X///8JrgAAAAbXAAAAB1JlZ3VsYXIHcAAAAAABAAAABAAAAAQ3R2xvYmVTb2Z0d2FyZS5BdGxhczQwLkF0bGFzQ29tbW9uLlR5cGUuRmllbGRPdXRwdXRGaWVsZA4AAAAJ2AAAAA0DB3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///ev///wEm////ef///xAAAAAJiwAAAAEk////ev///wEj////ef///wkAAAAJIwAAAAEh////ev///wEg////ef///wsAAAAG4QAAAAEyAR7///96////AR3///95////BAAAAAbkAAAAB0dlbmVyYWwBG////3r///8BGv///3n///8CAAAABucAAAABMQEY////ev///wEX////ef///wAAAAAG6gAAAAUxMi4yOQd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///9l////CZwAAAAJnQAAAAES////Zf///wmfAAAACZ0AAAABD////2X///8JogAAAAbzAAAABS00MTQyAQz///9l////CaUAAAAG9gAAAAdDYWxpYnJpAQn///9l////CagAAAAG+QAAAAEwAQb///9l////CasAAAAG/AAAAAIxMQED////Zf///wmuAAAABv8AAAAHUmVndWxhcgd1AAAAAAEAAAAEAAAABDdHbG9iZVNvZnR3YXJlLkF0bGFzNDAuQXRsYXNDb21tb24uVHlwZS5GaWVsZE91dHB1dEZpZWxkDgAAAAkAAQAADQMHd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+//96////Af7+//95////EAAAAAmLAAAAAfz+//96////Afv+//95////CQAAAAkjAAAAAfn+//96////Afj+//95////CwAAAAYJAQAAATMB9v7//3r///8B9f7//3n///8EAAAABgwBAAAHR2VuZXJhbAHz/v//ev///wHy/v//ef///wIAAAAGDwEAAAExAfD+//96////Ae/+//95////AAAAAAYSAQAABTExLjE0B3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7//2X///8JnAAAAAmdAAAAAer+//9l////CZ8AAAAJnQAAAAHn/v//Zf///wmiAAAABhsBAAAFLTQxNDIB5P7//2X///8JpQAAAAYeAQAAB0NhbGlicmkB4f7//2X///8JqAAAAAYhAQAAATAB3v7//2X///8JqwAAAAYkAQAAAjExAdv+//9l////Ca4AAAAGJwEAAAdSZWd1bGFyB3oAAAAAAQAAAAQAAAAEN0dsb2JlU29mdHdhcmUuQXRsYXM0MC5BdGxhc0NvbW1vbi5UeXBlLkZpZWxkT3V0cHV0RmllbGQOAAAACSgBAAANAwd8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7//3r///8B1v7//3n///8JAAAACSMAAAAB1P7//3r///8B0/7//3n///8LAAAABi4BAAABNAHR/v//ev///wHQ/v//ef///wQAAAAGMQEAAAdHZW5lcmFsAc7+//96////Ac3+//95////AgAAAAY0AQAAATEBy/7//3r///8Byv7//3n///8AAAAABjcBAAAENi40Mwd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+//9l////CZwAAAAJnQAAAAHF/v//Zf///wmfAAAACZ0AAAABwv7//2X///8JogAAAAZAAQAABS00MTQyAb/+//9l////CaUAAAAGQwEAAAdDYWxpYnJpAbz+//9l////CagAAAAGRgEAAAEwAbn+//9l////CasAAAAGSQEAAAIxMQG2/v//Zf///wmuAAAABkwBAAAHUmVndWxhcgWF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z/v//2/////////8ABk4BAAAGU3RyaW5nBk8BAAALSXRlbSBudW1iZXIJUAEAAAGv/v//2f///wIAAAAFrv7//zlHbG9iZVNvZnR3YXJlLkF0bGFzNDAuQXRsYXNDb21tb24uTnVtYmVyU2VxdWVuY2VDb25kaXRpb24BAAAAB3ZhbHVlX18ACA4AAAABAAAAAAAGUwEAABFUYWJsZS5JbnZlbnRUYWJsZQkgAAAACSMAAAAK/////wlTAQAACgkgAAAACgoKCSMAAAAJWQEAAAkjAAAAAbAAAACFAAAAAaX+///b/////////wAGXAEAAAZTdHJpbmcGXQEAAAlJdGVtIG5hbWUJUAEAAAGh/v//2f///wIAAAABoP7//67+//8BAAAAAAAJUwEAAAkuAAAACSMAAAAK/////wlTAQAACgkuAAAACgoKCSMAAAAJZwEAAAkjAAAAAdgAAACFAAAAAZf+///b/////////wAGagEAAAZTdHJpbmcGawEAAApJdGVtIGdyb3VwCVABAAABk/7//9n///8CAAAAAZL+//+u/v//AQAAAAAACVMBAAAJPAAAAAkjAAAACv////8JUwEAAAoJPAAAAAoKCgkjAAAACXUBAAAJIwAAAAEAAQAAhQAAAAGJ/v//2/////////8ABngBAAAERW51bQZ5AQAACUl0ZW0gdHlwZQlQAQAAAYX+///Z////AgAAAAGE/v//rv7//wEAAAAAAAlTAQAACUoAAAAJIwAAAAr/////CVMBAAAKCUoAAAAKCgoJIwAAAAmDAQAACSMAAAABKAEAAIUAAAABe/7//9v/////////AAaGAQAABlN0cmluZwaHAQAABFVuaXQJiAEAAAF3/v//2f///wIAAAABdv7//67+//8BAAAAAAAJggAAAAlYAAAACSMAAAAK/////wmCAAAACglYAAAABpABAAAGSXRlbUlkBpEBAAALSW52ZW50VGFibGUKCSMAAAAJkwEAAAkjAAAABVA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lQEAAAtJbnZlbnRUYWJsZQaWAQAABUl0ZW1zCSMAAAAJIwAAAAkjAAAABWj+//8wR2xvYmVTb2Z0d2FyZS5BdGxhczQwLkF0bGFzQ29tbW9uLkRhdGFTb3VyY2VUeXBlAQAAAAd2YWx1ZV9fAAgOAAAAAAAAAAmZAQAACZoBAAAEZf7//wtTeXN0ZW0uR3VpZAsAAAACX2ECX2ICX2MCX2QCX2UCX2YCX2cCX2gCX2kCX2oCX2sAAAAAAAAAAAAAAAgHBwICAgICAgIC4kGfOgXEU0iC0ewZNyouAwkjAAAACSMAAAAJnQEAAAlTAQAACgoKCgoBAAAABWH+//80R2xvYmVTb2Z0d2FyZS5BdGxhczQwLkF0bGFzQ29tbW9uLkRhdGFTb3VyY2VKb2luTW9kZQEAAAAHdmFsdWVfXwAIDgAAAAAAAAAFYP7//zVHbG9iZVNvZnR3YXJlLkF0bGFzNDAuQXRsYXNDb21tb24uRGF0YVNvdXJjZUZldGNoTW9kZQEAAAAHdmFsdWVfXwAIDgAAAAAAAAAACaEBAAABWQEAAB8AAAAXAAAACWkAAAADAAAACaMBAAABZwEAAB8AAAAXAAAACWkAAAADAAAACaUBAAABdQEAAB8AAAAXAAAACWkAAAADAAAACacBAAABgwEAAB8AAAAXAAAACWkAAAADAAAACakBAAABiAEAAFABAAD/////BqoBAAARSW52ZW50VGFibGVNb2R1bGUGqwEAABtJbnZlbnRvcnkgbW9kdWxlIHBhcmFtZXRlcnMJIwAAAAkjAAAACSMAAAABU/7//2j+//8AAAAACa4BAAAJrwEAAAFQ/v//Zf7//2wVa4zKQdlBvioWqRmwJ7UJIwAAAAkjAAAACbIBAAAJggAAAAa0AQAAC0ludmVudFRhYmxlBrUBAAARVGFibGUuSW52ZW50VGFibGUGtgEAABhUYWJsZS5JbnZlbnRUYWJsZS5JdGVtSWQGtwEAAAZJdGVtSWQGuAEAAAZJdGVtSWQBAAAAAUf+//9h/v//AAAAAAFG/v//YP7//wAAAAAACbsBAAABkwEAAB8AAAAUAAAACWkAAAADAAAACb0BAAAEm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vgEAAAcAAAAJvwEAAASa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b4BAAAAAAAABJ0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b4BAAADAAAACcEBAAAEoQ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wgEAAAAAAAAHo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v//Zf///wbEAQAACEhlbHBUZXh0BsUBAAAOSWRlbnRpZnkgaXRlbS4BOv7//2X///8GxwEAAAVMYWJlbAlPAQAAATf+//9l////BsoBAAAEVHlwZQlOAQAAB6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2X///8JxAEAAAbOAQAAGERlc2NyaXB0aW9uIG9mIHRoZSBpdGVtLgEx/v//Zf///wnHAQAACV0BAAABLv7//2X///8JygEAAAlcAQAAB6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7//2X///8JxAEAAAbXAQAAKEl0ZW0gZ3JvdXAgdGhhdCB0aGUgaXRlbSBpcyBhdHRhY2hlZCB0by4BKP7//2X///8JxwEAAAlrAQAAASX+//9l////CcoBAAAJagEAAAep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L+//9l////CcQBAAAG4AEAAC5UeXBlIGRldGVybWluaW5nIGhvdyB0aGUgaXRlbSBpcyBhZG1pbmlzdGVyZWQuAR/+//9l////CccBAAAJeQEAAAEc/v//Zf///wnKAQAACXgBAAABrgEAAJkBAAABAAAACWkAAAADAAAACegBAAAErw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pAAAAAwAAAAnqAQ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pAAAAAAAAAAG7AQAAoQEAAAAAAAAJ7AEAAAAAAAAHv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v//Zf///wnHAQAACYcBAAABEP7//2X///8JygEAAAmGAQAAAb4BAAAMAAAAB78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QBAAAYVGFibGUuSW52ZW50VGFibGUuSXRlbUlkCYUAAAABCv7//w3+//8G9wEAABpUYWJsZS5JbnZlbnRUYWJsZS5JdGVtTmFtZQmwAAAAAQf+//8N/v//BvoBAAAdVGFibGUuSW52ZW50VGFibGUuSXRlbUdyb3VwSWQJ2AAAAAEE/v//Df7//wb9AQAAGlRhYmxlLkludmVudFRhYmxlLkl0ZW1UeXBlCQABAAAHwQE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f7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ggAAAAmIAQAABMI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+/f//Df7//wYDAgAAN1RhYmxlLkludmVudFRhYmxlLkl0ZW1JZH5UYWJsZS5JbnZlbnRUYWJsZU1vZHVsZS5Vbml0SWQJKAEAAAfq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+/3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GAgAAO1RhYmxlLkludmVudFRhYmxlLkl0ZW1JZH5UYWJsZS5JbnZlbnRUYWJsZU1vZHVsZS5Nb2R1bGVUeXBlCQcCAAAB7AEAAMIBAAAFBw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YIAAAAJgwAAAAkjAAAACYQAAAD/////CYIAAAAGDQIAABFJbnZlbnRUYWJsZU1vZHVsZQmDAAAABg8CAAAGSXRlbUlkCgoJIwAAAAkRAgAACSMAAAABEQIAAB8AAAAQAAAACWkAAAADAAAACRQCAAAHF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f//Zf///wnKAQAABhcCAAAERW51bQHo/f//Zf///wnHAQAABhoCAAALTW9kdWxlIHR5cGUL</Report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EAAAABDxHbG9iZVNvZnR3YXJlLkF0bGFzNDAuQXRsYXNDb21tb25DbGllbnQuRGF0YVNvdXJjZUZpZWxkVmFsdWUiAAAACegAAAAJ6QAAAAnqAAAACesAAAAEJ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7AAAAAEAAAABAAAABC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ntAAAABwAAAAnuAAAABC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nvAAAABwAAAAnwAAAAATQAAAAmAAAACfEAAAABAAAAAQAAAAE1AAAAJwAAAIkAAAAJ7QAAAAcAAAAJ8wAAAAE2AAAAKAAAAIUAAAAJ7wAAAAcAAAAJ9QAAAAFCAAAAJgAAAAn2AAAAAQAAAAEAAAABQwAAACcAAACKAAAACe0AAAAHAAAACfgAAAABRAAAACgAAACFAAAACe8AAAAHAAAACfoAAAABUAAAACYAAAAJ+wAAAAEAAAABAAAAAVEAAAAnAAAAgQAAAAn8AAAABwAAAAn9AAAAAVIAAAAoAAAAfgAAAAn+AAAABwAAAAn/AAAAAV4AAAAmAAAACQABAAABAAAAAQAAAAFfAAAAJwAAAIEAAAAJ/AAAAAcAAAAJAgEAAAFgAAAAKAAAAH4AAAAJ/gAAAAcAAAAJBAEAAAFsAAAAJgAAAAkFAQAAAQAAAAEAAAABbQAAACcAAACBAAAACfwAAAAHAAAACQcBAAABbgAAACgAAAB+AAAACf4AAAAHAAAACQkBAAABegAAACYAAAAJCgEAAAEAAAABAAAAAXsAAAAnAAAAiQAAAAntAAAABwAAAAkMAQAAAXwAAAAoAAAAhQAAAAnvAAAABwAAAAkOAQAAAYgAAAAmAAAACQ8BAAABAAAAAQAAAAGJAAAAJwAAAIkAAAAJ7QAAAAcAAAAJEQEAAAGKAAAAKAAAAIUAAAAJ7wAAAAcAAAAJEwEAAAGWAAAAJgAAAAkUAQAAAQAAAAEAAAABlwAAACcAAACJAAAACe0AAAAHAAAACRYBAAABmAAAACgAAACFAAAACe8AAAAHAAAACRgBAAABpAAAACYAAAAJGQEAAAEAAAABAAAAAaUAAAAnAAAAgQAAAAn8AAAABwAAAAkbAQAAAaYAAAAoAAAAfgAAAAn+AAAABwAAAAkdAQAAAbIAAAAmAAAACR4BAAABAAAAAQAAAAGzAAAAJwAAAIkAAAAJ7QAAAAcAAAAJIAEAAAG0AAAAKAAAAIUAAAAJ7wAAAAcAAAAJIgEAAAHAAAAAJgAAAAkjAQAAAAAAAAAAAAABwQAAACcAAABLAAAACSQBAAAHAAAACSUBAAABwgAAACgAAABGAAAACSYBAAAHAAAACScBAAABzQAAACYAAAAJKAEAAAAAAAAAAAAAAc4AAAAnAAAAcgAAAAkpAQAABwAAAAkqAQAAAc8AAAAoAAAAaQAAAAkrAQAABwAAAAksAQAAAdoAAAAmAAAACSgBAAAAAAAAAAAAAAHbAAAAJwAAAHIAAAAJKQEAAAcAAAAJLwEAAAHcAAAAKAAAAGkAAAAJKwEAAAcAAAAJMQEAAA/nAAAAAQAAAAgBAAAABegAAAA8R2xvYmVTb2Z0d2FyZS5BdGxhczQwLkF0bGFzQ29tbW9uQ2xpZW50LkRhdGFTb3VyY2VGaWVsZFZhbHVlBAAAABJfaXNEcmlsbERvd25GaWx0ZXIGX2RzS2V5Cl9maWVsZG5hbWULX2ZpZWxkVmFsdWUAAQEBASIAAAAABjIBAAARVGFibGUuSW52ZW50VHJhbnMGMwEAAApEYXRhQXJlYUlkCQYAAAAB6QAAAOgAAAAACTIBAAAGNgEAAA1EYXRlRmluYW5jaWFsBjcBAAAYMDQuMDEuMjAxNyAuLiAwNi4zMC4yMDE3AeoAAADoAAAAAAkyAQAABjkBAAAGSXRlbUlkBjoBAAAhTEFDTEVBTjIwQVQsTEFDQU4wMlBFVCxMQUNMRUFOMDAyAesAAADoAAAAAAY7AQAASVRhYmxlLkludmVudFRyYW5zLkl0ZW1JZH5UYWJsZS5JbnZlbnRUYWJsZS5JdGVtSWR+VGFibGUuSW52ZW50VGFibGVNb2R1bGUGPAEAAApNb2R1bGVUeXBlBj0BAAAGSW52ZW50B+wAAAAAAQAAAAQAAAAEN0dsb2JlU29mdHdhcmUuQXRsYXM0MC5BdGxhc0NvbW1vbi5UeXBlLkZpZWxkT3V0cHV0RmllbGQOAAAACT4BAAANAwTt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w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A/v//Mkdsb2JlU29mdHdhcmUuQXRsYXM0MC5BdGxhc0NvbW1vbi5Db2x1bW5BdHRyaWJ1dGVzAQAAAAd2YWx1ZV9fAAgOAAAAEAAAAAZBAQAABE5vbmUBvv7//8H+//8Bvf7//8D+//8JAAAACSwAAAABu/7//8H+//8Buv7//8D+//8LAAAABkcBAAABMAG4/v//wf7//wG3/v//wP7//wQAAAAGSgEAAAdHZW5lcmFsAbX+///B/v//AbT+///A/v//AgAAAAZNAQAAATEBsv7//8H+//8Bsf7//8D+//8AAAAABlABAAAFMTMuNzEB7wAAAAwAAAAH8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v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IBAAAIRm9udEJvbGQGUwEAAAVGYWxzZQGs/v//r/7//wZVAQAACkZvbnRJdGFsaWMJUwEAAAGp/v//r/7//wZYAQAADUZvbnRVbmRlcmxpbmUGWQEAAAUtNDE0MgGm/v//r/7//wZbAQAACEZvbnROYW1lBlwBAAAHQ2FsaWJyaQGj/v//r/7//wZeAQAACUZvbnRDb2xvcgZfAQAAATABoP7//6/+//8GYQEAAAhGb250U2l6ZQZiAQAAAjExAZ3+//+v/v//BmQBAAAJRm9udFN0eWxlBmUBAAAHUmVndWxhcgfxAAAAAAEAAAAEAAAABDdHbG9iZVNvZnR3YXJlLkF0bGFzNDAuQXRsYXNDb21tb24uVHlwZS5GaWVsZE91dHB1dEZpZWxkDgAAAAlmAQAADQMH8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n+///B/v//AZj+///A/v//EAAAAAlBAQAAAZb+///B/v//AZX+///A/v//CQAAAAksAAAAAZP+///B/v//AZL+///A/v//CwAAAAZvAQAAATEBkP7//8H+//8Bj/7//8D+//8EAAAABnIBAAAHR2VuZXJhbAGN/v//wf7//wGM/v//wP7//wIAAAAGdQEAAAExAYr+///B/v//AYn+///A/v//AAAAAAZ4AQAABTEwLjg2B/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7//6/+//8JUgEAAAlTAQAAAYT+//+v/v//CVUBAAAJUwEAAAGB/v//r/7//wlYAQAABoEBAAAFLTQxNDIBfv7//6/+//8JWwEAAAaEAQAAB0NhbGlicmkBe/7//6/+//8JXgEAAAaHAQAAATABeP7//6/+//8JYQEAAAaKAQAAAjExAXX+//+v/v//CWQBAAAGjQEAAAdSZWd1bGFyB/YAAAAAAQAAAAQAAAAEN0dsb2JlU29mdHdhcmUuQXRsYXM0MC5BdGxhc0NvbW1vbi5UeXBlLkZpZWxkT3V0cHV0RmllbGQOAAAACY4BAAANAwf4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7//8H+//8BcP7//8D+//8GAAAABpEBAAAFVG90YWwBbv7//8H+//8Bbf7//8D+//8QAAAACUEBAAABa/7//8H+//8Bav7//8D+//8JAAAACSwAAAABaP7//8H+//8BZ/7//8D+//8LAAAABpoBAAABMgFl/v//wf7//wFk/v//wP7//wQAAAAGnQEAAAdHZW5lcmFsAWL+///B/v//AWH+///A/v//AgAAAAagAQAAATEBX/7//8H+//8BXv7//8D+//8AAAAABqMBAAAFMTMuNzEH+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/v//r/7//wlSAQAACVMBAAABWf7//6/+//8JVQEAAAlTAQAAAVb+//+v/v//CVgBAAAGrAEAAAUtNDE0MgFT/v//r/7//wlbAQAABq8BAAAHQ2FsaWJyaQFQ/v//r/7//wleAQAABrIBAAABMAFN/v//r/7//wlhAQAABrUBAAACMTEBSv7//6/+//8JZAEAAAa4AQAAB1JlZ3VsYXIH+wAAAAABAAAABAAAAAQ3R2xvYmVTb2Z0d2FyZS5BdGxhczQwLkF0bGFzQ29tbW9uLlR5cGUuRmllbGRPdXRwdXRGaWVsZA4AAAAJuQEAAA0DAfwAAADtAAAAB/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v//wf7//wFF/v//wP7//wkAAAAJLAAAAAFD/v//wf7//wFC/v//wP7//wsAAAAGvwEAAAEzAUD+///B/v//AT/+///A/v//BAAAAAbCAQAAB0dlbmVyYWwBPf7//8H+//8BPP7//8D+//8CAAAABsUBAAABMQE6/v//wf7//wE5/v//wP7//wAAAAAGyAEAAAUzNC4xNAH+AAAADAAAAAf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f+//+v/v//CVIBAAAJUwEAAAE0/v//r/7//wlVAQAACVMBAAABMf7//6/+//8JWAEAAAbRAQAABS00MTQyAS7+//+v/v//CVsBAAAG1AEAAAdDYWxpYnJpASv+//+v/v//CV4BAAAG1wEAAAEwASj+//+v/v//CWEBAAAG2gEAAAIxMQEl/v//r/7//wlkAQAABt0BAAAHUmVndWxhcgcAAQAAAAEAAAAEAAAABDdHbG9iZVNvZnR3YXJlLkF0bGFzNDAuQXRsYXNDb21tb24uVHlwZS5GaWVsZE91dHB1dEZpZWxkDgAAAAneAQAADQMHA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H+///B/v//ASD+///A/v//CQAAAAksAAAAAR7+///B/v//AR3+///A/v//CwAAAAbkAQAAATQBG/7//8H+//8BGv7//8D+//8EAAAABucBAAAHR2VuZXJhbAEY/v//wf7//wEX/v//wP7//wIAAAAG6gEAAAExARX+///B/v//ART+///A/v//AAAAAAbtAQAAATYHB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S/v//r/7//wlSAQAACVMBAAABD/7//6/+//8JVQEAAAlTAQAAAQz+//+v/v//CVgBAAAG9gEAAAUtNDE0MgEJ/v//r/7//wlbAQAABvkBAAAHQ2FsaWJyaQEG/v//r/7//wleAQAABvwBAAABMAED/v//r/7//wlhAQAABv8BAAACMTEBAP7//6/+//8JZAEAAAYCAgAAB1JlZ3VsYXIHBQEAAAABAAAABAAAAAQ3R2xvYmVTb2Z0d2FyZS5BdGxhczQwLkF0bGFzQ29tbW9uLlR5cGUuRmllbGRPdXRwdXRGaWVsZA4AAAAJAwIAAA0DBw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8/f//wf7//wH7/f//wP7//wkAAAAJLAAAAAH5/f//wf7//wH4/f//wP7//wsAAAAGCQIAAAE1Afb9///B/v//AfX9///A/v//BAAAAAYMAgAAB0dlbmVyYWwB8/3//8H+//8B8v3//8D+//8CAAAABg8CAAABMQHw/f//wf7//wHv/f//wP7//wAAAAAGEgIAAAUxMi44Ng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39//+v/v//CVIBAAAJUwEAAAHq/f//r/7//wlVAQAACVMBAAAB5/3//6/+//8JWAEAAAYbAgAABS00MTQyAeT9//+v/v//CVsBAAAGHgIAAAdDYWxpYnJpAeH9//+v/v//CV4BAAAGIQIAAAEwAd79//+v/v//CWEBAAAGJAIAAAIxMQHb/f//r/7//wlkAQAABicCAAAHUmVndWxhcgcKAQAAAAEAAAAEAAAABDdHbG9iZVNvZnR3YXJlLkF0bGFzNDAuQXRsYXNDb21tb24uVHlwZS5GaWVsZE91dHB1dEZpZWxkDgAAAAkoAgAADQMHD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f9///B/v//Adb9///A/v//EAAAAAlBAQAAAdT9///B/v//AdP9///A/v//CQAAAAksAAAAAdH9///B/v//AdD9///A/v//CwAAAAYxAgAAATYBzv3//8H+//8Bzf3//8D+//8EAAAABjQCAAAIbS9kL3l5eXkBy/3//8H+//8Byv3//8D+//8CAAAABjcCAAABMQHI/f//wf7//wHH/f//wP7//wAAAAAGOgIAAAUxNC4xNAc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X9//+v/v//CVIBAAAJUwEAAAHC/f//r/7//wlVAQAACVMBAAABv/3//6/+//8JWAEAAAZDAgAABS00MTQyAbz9//+v/v//CVsBAAAGRgIAAAdDYWxpYnJpAbn9//+v/v//CV4BAAAGSQIAAAEwAbb9//+v/v//CWEBAAAGTAIAAAIxMQGz/f//r/7//wlkAQAABk8CAAAHUmVndWxhcgcPAQAAAAEAAAAEAAAABDdHbG9iZVNvZnR3YXJlLkF0bGFzNDAuQXRsYXNDb21tb24uVHlwZS5GaWVsZE91dHB1dEZpZWxkDgAAAAlQAgAADQMHE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/9///B/v//Aa79///A/v//EAAAAAlBAQAAAaz9///B/v//Aav9///A/v//CQAAAAksAAAAAan9///B/v//Aaj9///A/v//CwAAAAZZAgAAATcBpv3//8H+//8Bpf3//8D+//8EAAAABlwCAAAIbS9kL3l5eXkBo/3//8H+//8Bov3//8D+//8CAAAABl8CAAABMQGg/f//wf7//wGf/f//wP7//wAAAAAGYgIAAAIxNQc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+v/v//CVIBAAAJUwEAAAGa/f//r/7//wlVAQAACVMBAAABl/3//6/+//8JWAEAAAZrAgAABS00MTQyAZT9//+v/v//CVsBAAAGbgIAAAdDYWxpYnJpAZH9//+v/v//CV4BAAAGcQIAAAEwAY79//+v/v//CWEBAAAGdAIAAAIxMQGL/f//r/7//wlkAQAABncCAAAHUmVndWxhcgcUAQAAAAEAAAAEAAAABDdHbG9iZVNvZnR3YXJlLkF0bGFzNDAuQXRsYXNDb21tb24uVHlwZS5GaWVsZE91dHB1dEZpZWxkDgAAAAl4AgAADQMHF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9///B/v//AYb9///A/v//EAAAAAlBAQAAAYT9///B/v//AYP9///A/v//CQAAAAksAAAAAYH9///B/v//AYD9///A/v//CwAAAAaBAgAAATgBfv3//8H+//8Bff3//8D+//8EAAAABoQCAAAHR2VuZXJhbAF7/f//wf7//wF6/f//wP7//wIAAAAGhwIAAAExAXj9///B/v//AXf9///A/v//AAAAAAaKAgAABTEwLjI5Bx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6/+//8JUgEAAAlTAQAAAXL9//+v/v//CVUBAAAJUwEAAAFv/f//r/7//wlYAQAABpMCAAAFLTQxNDIBbP3//6/+//8JWwEAAAaWAgAAB0NhbGlicmkBaf3//6/+//8JXgEAAAaZAgAAATABZv3//6/+//8JYQEAAAacAgAAAjExAWP9//+v/v//CWQBAAAGnwIAAAdSZWd1bGFyBxkBAAAAAQAAAAQAAAAEN0dsb2JlU29mdHdhcmUuQXRsYXM0MC5BdGxhc0NvbW1vbi5UeXBlLkZpZWxkT3V0cHV0RmllbGQOAAAACaACAAANAwcb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3//8H+//8BXv3//8D+//8JAAAACSwAAAABXP3//8H+//8BW/3//8D+//8LAAAABqYCAAABOQFZ/f//wf7//wFY/f//wP7//wQAAAAGqQIAAAdHZW5lcmFsAVb9///B/v//AVX9///A/v//AgAAAAasAgAAATEBU/3//8H+//8BUv3//8D+//8AAAAABq8CAAAENi40Mw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9//+v/v//CVIBAAAJUwEAAAFN/f//r/7//wlVAQAACVMBAAABSv3//6/+//8JWAEAAAa4AgAABS00MTQyAUf9//+v/v//CVsBAAAGuwIAAAdDYWxpYnJpAUT9//+v/v//CV4BAAAGvgIAAAEwAUH9//+v/v//CWEBAAAGwQIAAAIxMQE+/f//r/7//wlkAQAABsQCAAAHUmVndWxhcgceAQAAAAEAAAAEAAAABDdHbG9iZVNvZnR3YXJlLkF0bGFzNDAuQXRsYXNDb21tb24uVHlwZS5GaWVsZE91dHB1dEZpZWxkDgAAAAnFAgAADQMHI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r9///B/v//ATn9///A/v//EAAAAAlBAQAAATf9///B/v//ATb9///A/v//CQAAAAksAAAAATT9///B/v//ATP9///A/v//CwAAAAbOAgAAAjEwATH9///B/v//ATD9///A/v//BAAAAAbRAgAAB0dlbmVyYWwBLv3//8H+//8BLf3//8D+//8CAAAABtQCAAABMQEr/f//wf7//wEq/f//wP7//wAAAAAG1wIAAAQ5LjQzBy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6/+//8JUgEAAAlTAQAAASX9//+v/v//CVUBAAAJUwEAAAEi/f//r/7//wlYAQAABuACAAAFLTQxNDIBH/3//6/+//8JWwEAAAbjAgAAB0NhbGlicmkBHP3//6/+//8JXgEAAAbmAgAAATABGf3//6/+//8JYQEAAAbpAgAAAjExARb9//+v/v//CWQBAAAG7AIAAAdSZWd1bGFyByMBAAAAAQAAAAAAAAAEN0dsb2JlU29mdHdhcmUuQXRsYXM0MC5BdGxhc0NvbW1vbi5UeXBlLkZpZWxkT3V0cHV0RmllbGQOAAAAASQBAADtAAAABy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f//wf7//wES/f//wP7//yQAAAAJxAAAAAEQ/f//wf7//wEP/f//wP7//wsAAAAG8gIAAAIxMQEN/f//wf7//wEM/f//wP7//wQAAAAG9QIAAAdHZW5lcmFsAQr9///B/v//AQn9///A/v//AgAAAAb4AgAAATEBB/3//8H+//8BBv3//8D+//8AAAAABvsCAAAFMjAuNDMBBP3//8H+//8BA/3//8D+//8DAAAABv4CAACeAT1JRihbQFJlZmVyZW5jZV09IlB1cmNoYXNlIG9yZGVyIixBdGxhc1RhYmxlKCJQUk9EIixEYXRhQXJlYUlkLCJULlZlbmRJbnZvaWNlVHJhbnMiLCIlUmVjSWQiLCIiLCIiLCIiLCIiLCIiLCIiLCJJdGVtSWR8UHVyY2hJRHxJbnZlbnRUcmFuc0lkIiwkQzMsJEIzLCRLMyksIiIpASYBAAAMAAAA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3//6/+//8GAAMAAAhGb250Qm9sZAlTAQAAAf78//+v/v//BgMDAAAKRm9udEl0YWxpYwlTAQAAAfv8//+v/v//BgYDAAANRm9udFVuZGVybGluZQYHAwAABS00MTQyAfj8//+v/v//BgkDAAAIRm9udE5hbWUGCgMAAAdDYWxpYnJpAfX8//+v/v//BgwDAAAJRm9udENvbG9yBg0DAAABMAHy/P//r/7//wYPAwAACEZvbnRTaXplBhADAAACMTEB7/z//6/+//8GEgMAAAlGb250U3R5bGUGEwMAAAdSZWd1bGFyBygBAAAAAQAAAAAAAAAEN0dsb2JlU29mdHdhcmUuQXRsYXM0MC5BdGxhc0NvbW1vbi5UeXBlLkZpZWxkT3V0cHV0RmllbGQOAAAAASkBAADtAAAABy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s/P//wf7//wHr/P//wP7//yQAAAAJ0QAAAAHp/P//wf7//wHo/P//wP7//wsAAAAGGQMAAAIxMgHm/P//wf7//wHl/P//wP7//wQAAAAGHAMAAAdHZW5lcmFsAeP8///B/v//AeL8///A/v//AgAAAAYfAwAAATEB4Pz//8H+//8B3/z//8D+//8AAAAABiIDAAAFMTAuNDMB3fz//8H+//8B3Pz//8D+//8DAAAABiUDAACqAT1JRihbQFJlZmVyZW5jZV09IlB1cmNoYXNlIG9yZGVyIixBdGxhc1RhYmxlKCJQUk9EIixEYXRhQXJlYUlkLCJULk1hcmt1cFRyYW5zIiwiJUN1cnJlbmN5Q29kZSIsIiIsIiIsIiIsIiIsIiIsIiIsIk1hcmt1cENvZGV8VHJhbnNSZWNJZHxUcmFuc1RhYmxlSWQiLCJUUFAiLCRMMywiNDkyIiksIiIpASsBAAAMAAAABy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z//6/+//8GJwMAAAhGb250Qm9sZAlTAQAAAdf8//+v/v//BioDAAAKRm9udEl0YWxpYwlTAQAAAdT8//+v/v//Bi0DAAANRm9udFVuZGVybGluZQYuAwAABS00MTQyAdH8//+v/v//BjADAAAIRm9udE5hbWUGMQMAAAdDYWxpYnJpAc78//+v/v//BjMDAAAJRm9udENvbG9yBjQDAAABMAHL/P//r/7//wY2AwAACEZvbnRTaXplBjcDAAACMTEByPz//6/+//8GOQMAAAlGb250U3R5bGUGOgMAAAdSZWd1bGFyBy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P//wf7//wHE/P//wP7//yQAAAAJ3gAAAAHC/P//wf7//wHB/P//wP7//wsAAAAGQAMAAAIxMwG//P//wf7//wG+/P//wP7//wQAAAAGQwMAAAdHZW5lcmFsAbz8///B/v//Abv8///A/v//AgAAAAZGAwAAATEBufz//8H+//8BuPz//8D+//8AAAAABkkDAAACMjgBtvz//8H+//8Btfz//8D+//8DAAAABkwDAACrAT1JRihbQFJlZmVyZW5jZV09IlB1cmNoYXNlIG9yZGVyIixBdGxhc0JhbGFuY2UoIlBST0QiLERhdGFBcmVhSWQsIlQuTWFya3VwVHJhbnMiLCJTdW18UG9zdGVkfDAiLCIiLCIiLCIiLCIiLCIiLCIiLCJNYXJrdXBDb2RlfFRyYW5zVGFibGVJZHxUcmFuc1JlY0lkIiwiVFBQIiwiNDkyIiwkTDMpLCIiKQ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8//+v/v//CScDAAAJUwEAAAGw/P//r/7//wkqAwAACVMBAAABrfz//6/+//8JLQMAAAZVAwAABS00MTQyAar8//+v/v//CTADAAAGWAMAAAdDYWxpYnJpAaf8//+v/v//CTMDAAAGWwMAAAEwAaT8//+v/v//CTYDAAAGXgMAAAIxMQGh/P//r/7//wk5AwAABmEDAAAHUmVndWxhcgU+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e/P//0v////////8ABmMDAAAERW51bQZkAwAACVJlZmVyZW5jZQllAwAAAZr8///Q////AgAAAAWZ/P//OUdsb2JlU29mdHdhcmUuQXRsYXM0MC5BdGxhc0NvbW1vbi5OdW1iZXJTZXF1ZW5jZUNvbmRpdGlvbgEAAAAHdmFsdWVfXwAIDgAAAAEAAAAAAAZoAwAAEVRhYmxlLkludmVudFRyYW5zCSkAAAAJLAAAAAr/////CWgDAAAKCSkAAAAKCgoJLAAAAAluAwAACSwAAAABZgEAAD4BAAABkPz//9L/////////AAZxAwAABlN0cmluZwZyAwAABk51bWJlcgllAwAAAYz8///Q////AgAAAAGL/P//mfz//wEAAAAAAAloAwAACTcAAAAJLAAAAAr/////CWgDAAAKCTcAAAAKCgoJLAAAAAl8AwAACSwAAAABjgEAAD4BAAABgvz//9L/////////AAZ/AwAABlN0cmluZwaAAwAAC0l0ZW0gbnVtYmVyCWUDAAABfvz//9D///8CAAAAAX38//+Z/P//AQAAAAAACWgDAAAJRQAAAAksAAAACv////8JaAMAAAoJRQAAAAoKCgksAAAACYoDAAAJLAAAAAG5AQAAPgEAAAF0/P//0v////////8ABo0DAAAGU3RyaW5nBo4DAAAJSXRlbSBuYW1lCY8DAAABcPz//9D///8CAAAAAW/8//+Z/P//AQAAAAAABpIDAAAqVGFibGUuSW52ZW50VHJhbnMuSXRlbUlkflRhYmxlLkludmVudFRhYmxlCVMAAAAJLAAAAAr/////CZIDAAAKCVMAAAAGlwMAAAZJdGVtSWQGmAMAAAtJbnZlbnRUcmFucwoJLAAAAAmaAwAACSwAAAAB3gEAAD4BAAABZPz//9L/////////AAadAwAABlN0cmluZwaeAwAABFNpdGUJnwMAAAFg/P//0P///wIAAAABX/z//5n8//8BAAAAAAAGogMAAC1UYWJsZS5JbnZlbnRUcmFucy5pbnZlbnREaW1JZH5UYWJsZS5JbnZlbnREaW0JYQAAAAksAAAACv////8JogMAAAoJYQAAAAanAwAAC2ludmVudERpbUlkBqgDAAALSW52ZW50VHJhbnMKCSwAAAAJqgMAAAksAAAAAQMCAAA+AQAAAVT8///S/////////wAGrQMAAAZTdHJpbmcGrgMAAAlXYXJlaG91c2UJnwMAAAFQ/P//0P///wIAAAABT/z//5n8//8BAAAAAAAJogMAAAlvAAAACSwAAAAK/////wmiAwAACglvAAAABrcDAAALaW52ZW50RGltSWQGuAMAAAtJbnZlbnRUcmFucwoJLAAAAAm6AwAACSwAAAABKAIAAD4BAAABRPz//9L/////////AAa9AwAABERhdGUGvgMAAA1QaHlzaWNhbCBkYXRlCWUDAAABQPz//9D///8CAAAAAT/8//+Z/P//AQAAAAAACWgDAAAJfQAAAAksAAAACv////8JaAMAAAoJfQAAAAoKCgksAAAACcgDAAAJLAAAAAFQAgAAPgEAAAE2/P//0v////////8ABssDAAAERGF0ZQbMAwAADkZpbmFuY2lhbCBkYXRlCWUDAAABMvz//9D///8CAAAAATH8//+Z/P//AQAAAAAACWgDAAAJiwAAAAksAAAACv////8JaAMAAAoJiwAAAAoKCgksAAAACdYDAAAJLAAAAAF4AgAAPgEAAAEo/P//0v///wEAAAAABtkDAAAEUmVhbAbaAwAACFF1YW50aXR5CWUDAAABJPz//9D///8CAAAAASP8//+Z/P//AQAAAAAACWgDAAAJmQAAAAksAAAACv////8JaAMAAAoJmQAAAAoKCgksAAAACeQDAAAJLAAAAAGgAgAAPgEAAAEa/P//0v////////8ABucDAAAGU3RyaW5nBugDAAAEVW5pdAnpAwAAARb8///Q////AgAAAAEV/P//mfz//wEAAAAAAAk7AQAACacAAAAJLAAAAAr/////CTsBAAAKCacAAAAG8QMAAAZJdGVtSWQG8gMAAAtJbnZlbnRUYWJsZQoJLAAAAAn0AwAACSwAAAABxQIAAD4BAAABCvz//9L/////////AAb3AwAABlN0cmluZwb4AwAABkxvdCBJRAllAwAAAQb8///Q////AgAAAAEF/P//mfz//wEAAAAAAAloAwAACbUAAAAJLAAAAAr/////CWgDAAAKCbUAAAAKCgoJLAAAAAkCBAAACSwAAAAFZQ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QAAAAYEBAAAC0ludmVudFRyYW5zBgUEAAAWSW52ZW50b3J5IHRyYW5zYWN0aW9ucwksAAAACSwAAAAJLAAAAAX5+///MEdsb2JlU29mdHdhcmUuQXRsYXM0MC5BdGxhc0NvbW1vbi5EYXRhU291cmNlVHlwZQEAAAAHdmFsdWVfXwAIDgAAAAAAAAAJCAQAAAkJBAAABPb7//8LU3lzdGVtLkd1aWQLAAAAAl9hAl9iAl9jAl9kAl9lAl9mAl9nAl9oAl9pAl9qAl9rAAAAAAAAAAAAAAAIBwcCAgICAgICAv7aE81QoYxHvFB5UBqg0c8JLAAAAAksAAAACQwEAAAJaAMAAAoKCgoKAQAAAAXy+///NEdsb2JlU29mdHdhcmUuQXRsYXM0MC5BdGxhc0NvbW1vbi5EYXRhU291cmNlSm9pbk1vZGUBAAAAB3ZhbHVlX18ACA4AAAAAAAAABfH7//81R2xvYmVTb2Z0d2FyZS5BdGxhczQwLkF0bGFzQ29tbW9uLkRhdGFTb3VyY2VGZXRjaE1vZGUBAAAAB3ZhbHVlX18ACA4AAAAAAAAAAAkQBAAAAW4DAAAoAAAASwAAAAnvAAAAAwAAAAkSBAAAAXwDAAAoAAAASwAAAAnvAAAAAwAAAAkUBAAAAYoDAAAoAAAASwAAAAnvAAAAAwAAAAkWBAAAAY8DAABlAwAA/////wYXBAAAC0ludmVudFRhYmxlBhgEAAAFSXRlbXMJLAAAAAksAAAACSwAAAAB5vv///n7//8AAAAACRsEAAAJHAQAAAHj+///9vv//wqOWgyyI0xBmFF5xzU0QxwJLAAAAAksAAAACR8EAAAJkgMAAAYhBAAAC0ludmVudFRyYW5zBiIEAAARVGFibGUuSW52ZW50VHJhbnMGIwQAABhUYWJsZS5JbnZlbnRUcmFucy5JdGVtSWQGJAQAAAZJdGVtSWQGJQQAAAZJdGVtSWQBAAAAAdr7///y+///AAAAAAHZ+///8fv//wAAAAAACSgEAAABmgMAACgAAABCAAAACf4AAAADAAAACSoEAAABnwMAAGUDAAD/////BisEAAAJSW52ZW50RGltBiwEAAAUSW52ZW50b3J5IGRpbWVuc2lvbnMJLAAAAAksAAAACSwAAAAB0vv///n7//8AAAAACS8EAAAJMAQAAAHP+///9vv//5Xzl87Gf89Ag/K4qceVhPYJLAAAAAksAAAACTMEAAAJogMAAAY1BAAAC0ludmVudFRyYW5zBjYEAAARVGFibGUuSW52ZW50VHJhbnMGNwQAAB1UYWJsZS5JbnZlbnRUcmFucy5pbnZlbnREaW1JZAY4BAAAC2ludmVudERpbUlkBjkEAAALaW52ZW50RGltSWQBAAAAAcb7///y+///AAAAAAHF+///8fv//wAAAAAACTwEAAABqgMAACgAAABCAAAACf4AAAADAAAACT4EAAABugMAACgAAABCAAAACf4AAAADAAAACUAEAAAByAMAACgAAABLAAAACe8AAAADAAAACUIEAAAB1gMAACgAAABLAAAACe8AAAADAAAACUQEAAAB5AMAACgAAABLAAAACe8AAAADAAAACUYEAAAB6QMAAGUDAAD/////BkcEAAARSW52ZW50VGFibGVNb2R1bGUGSAQAABtJbnZlbnRvcnkgbW9kdWxlIHBhcmFtZXRlcnMJLAAAAAksAAAACSwAAAABtvv///n7//8AAAAACUsEAAAJTAQAAAGz+///9vv//4w2O26NI6BAm/jVlJckBqQJLAAAAAksAAAACU8EAAAJOwEAAAZRBAAAC0ludmVudFRhYmxlBlIEAAAqVGFibGUuSW52ZW50VHJhbnMuSXRlbUlkflRhYmxlLkludmVudFRhYmxlBlMEAAAxVGFibGUuSW52ZW50VHJhbnMuSXRlbUlkflRhYmxlLkludmVudFRhYmxlLkl0ZW1JZAZUBAAABkl0ZW1JZAZVBAAABkl0ZW1JZAEAAAABqvv///L7//8AAAAAAan7///x+///AAAAAAAJWAQAAAH0AwAAKAAAAEIAAAAJ/gAAAAMAAAAJWgQAAAECBAAAKAAAAEsAAAAJ7wAAAAMAAAAJXAQAAAQI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gAAAAldBAAAEQAAAAleBAAABAk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QQAAAAAAAAED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0EAAAAAAAABBA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AEAAAAAAAABx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v//6/+//8GYgQAAAhIZWxwVGV4dAZjBAAAMlNwZWNpZnkgdGhlIG1vZHVsZSB0aGF0IGdlbmVyYXRlZCB0aGUgdHJhbnNhY3Rpb24uAZz7//+v/v//BmUEAAAFTGFiZWwJZAMAAAGZ+///r/7//wZoBAAABFR5cGUJYwMAAAcU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7//+v/v//CWIEAAAGbAQAADVPcmRlciBudW1iZXIsIHByb2plY3QgbnVtYmVyLCBwcm9kdWN0aW9uIG51bWJlciwgZXRjLgGT+///r/7//wllBAAACXIDAAABkPv//6/+//8JaAQAAAlxAwAABx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v//6/+//8JYgQAAAZ1BAAADklkZW50aWZ5IGl0ZW0uAYr7//+v/v//CWUEAAAJgAMAAAGH+///r/7//wloBAAACX8DAAABGwQAAAgEAAABAAAACf4AAAADAAAACX0EAAABHAQAAAkEAAAAAAAACX4EAAAAAAAABB8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f4AAAADAAAACYAEAAABKAQAABAEAAAAAAAACYEEAAAAAAAABy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v//6/+//8GgwQAAAVMYWJlbAmOAwAAAXv7//+v/v//BoYEAAAEVHlwZQmNAwAAAS8EAAAIBAAAAgAAAAn+AAAAAwAAAAmJBAAAATAEAAAJBAAAAAAAAAl+BAAAAAAAAAEzBAAADAQAAAAAAAAJ/gAAAAAAAAABPAQAABAEAAAAAAAACYEEAAAAAAAABz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6/+//8JgwQAAAmeAwAAAXD7//+v/v//CYYEAAAJnQMAAAdA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37//+v/v//CYMEAAAJrgMAAAFq+///r/7//wmGBAAACa0DAAAHQ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r/7//wliBAAABpsEAAAcRGF0ZSBvZiBwaHlzaWNhbCB0cmFuc2FjdGlvbgFk+///r/7//wllBAAACb4DAAABYfv//6/+//8JaAQAAAm9AwAAB0Q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6/+//8JYgQAAAakBAAAHURhdGUgb2YgZmluYW5jaWFsIHRyYW5zYWN0aW9uAVv7//+v/v//CWUEAAAJzAMAAAFY+///r/7//wloBAAACcsD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///r/7//wliBAAABq0EAAAkUXVhbnRpdHkgYXR0YWNoZWQgdG8gdGhlIHRyYW5zYWN0aW9uAVL7//+v/v//CWUEAAAJ2gMAAAFP+///r/7//wloBAAACdkDAAABSwQAAAgEAAABAAAACf4AAAADAAAACbUEAAAET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+BAAAAwAAAAm3BAAAAU8EAAAMBAAAAAAAAAn+AAAAAAAAAAFYBAAAEAQAAAAAAAAJgQQAAAAAAAAHW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+///r/7//wmDBAAACegDAAABQ/v//6/+//8JhgQAAAnnAwAAB1w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v//6/+//8JYgQAAAbCBAAAUlN1bW1hcnkgbnVtYmVyL0xvdCBJRCBmb3IgdHJhbnNhY3Rpb25zIGF0dGFjaGVkIHRvIHRoZSBzYW1lIGludmVudG9yeSB0cmFuc2FjdGlvbi4BPfv//6/+//8JZQQAAAn4AwAAATr7//+v/v//CWgEAAAJ9wMAAAFdBAAADAAAAAde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3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KBAAAGFRhYmxlLkludmVudFRyYW5zLkl0ZW1JZAmOAQAAATT7//83+///Bs0EAAAfVGFibGUuSW52ZW50VHJhbnMuSW52ZW50VHJhbnNJZAnFAgAAATH7//83+///BtAEAAAbVGFibGUuSW52ZW50VHJhbnMuVHJhbnNUeXBlCT4BAAABLvv//zf7//8G0wQAABxUYWJsZS5JbnZlbnRUcmFucy5UcmFuc1JlZklkCWYBAAABK/v//zf7//8G1gQAAB5UYWJsZS5JbnZlbnRUcmFucy5EYXRlUGh5c2ljYWwJKAIAAAEo+///N/v//wbZBAAAH1RhYmxlLkludmVudFRyYW5zLkRhdGVGaW5hbmNpYWwJUAIAAAEl+///N/v//wbcBAAAH1RhYmxlLkludmVudFRyYW5zLlN0YXR1c1JlY2VpcHQJ3QQAAAEi+///N/v//wbfBAAAHVRhYmxlLkludmVudFRyYW5zLlN0YXR1c0lzc3VlCeAEAAABH/v//zf7//8G4gQAABVUYWJsZS5JbnZlbnRUcmFucy5RdHkJeAIAAAEc+///N/v//wblBAAAIlRhYmxlLkludmVudFRyYW5zLkNvc3RBbW91bnRQb3N0ZWQJ5gQAAARg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fQ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fv//zf7//8G6AQAADNUYWJsZS5JbnZlbnRUcmFucy5JdGVtSWR+VGFibGUuSW52ZW50VGFibGUuSXRlbU5hbWUJuQEAAAF+BAAADAAAAAeA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W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k7AQAACekDAAABgQQAAGAEAAAHiQQ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/v//zf7//8G7gQAADpUYWJsZS5JbnZlbnRUcmFucy5pbnZlbnREaW1JZH5UYWJsZS5JbnZlbnREaW0uSW52ZW50U2l0ZUlkCd4BAAABEPv//zf7//8G8QQAAD5UYWJsZS5JbnZlbnRUcmFucy5pbnZlbnREaW1JZH5UYWJsZS5JbnZlbnREaW0uSW52ZW50TG9jYXRpb25JZAkDAgAAB7U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37//83+///BvQEAABQVGFibGUuSW52ZW50VHJhbnMuSXRlbUlkflRhYmxlLkludmVudFRhYmxlLkl0ZW1JZH5UYWJsZS5JbnZlbnRUYWJsZU1vZHVsZS5Vbml0SWQJoAIAAAe3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Cv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3BAAAVFRhYmxlLkludmVudFRyYW5zLkl0ZW1JZH5UYWJsZS5JbnZlbnRUYWJsZS5JdGVtSWR+VGFibGUuSW52ZW50VGFibGVNb2R1bGUuTW9kdWxlVHlwZQn4BAAAAd0EAAA+AQAAAQf7///S/////////wAG+gQAAARFbnVtBvsEAAAOUmVjZWlwdCBzdGF0dXMJZQMAAAED+///0P///wIAAAABAvv//5n8//8BAAAAAAAJaAMAAAYABQAADVN0YXR1c1JlY2VpcHQJLAAAAAr/////CWgDAAAKCQAFAAAKCgoJLAAAAAkFBQAACSwAAAAB4AQAAD4BAAAB+fr//9L/////////AAYIBQAABEVudW0GCQUAAAxJc3N1ZSBzdGF0dXMJZQMAAAH1+v//0P///wIAAAAB9Pr//5n8//8BAAAAAAAJaAMAAAYOBQAAC1N0YXR1c0lzc3VlCSwAAAAK/////wloAwAACgkOBQAACgoKCSwAAAAJEwUAAAksAAAAAeYEAAA+AQAAAev6///S/////////wAGFgUAAARSZWFsBhcFAAAVRmluYW5jaWFsIGNvc3QgYW1vdW50CWUDAAAB5/r//9D///8CAAAAAeb6//+Z/P//AQAAAAAACWgDAAAGHAUAABBDb3N0QW1vdW50UG9zdGVkCSwAAAAK/////wloAwAACgkcBQAACgoKCSwAAAAJIQUAAAksAAAABfg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7AQAACTwBAAAJLAAAAAk9AQAA/////wk7AQAACgk8AQAABikFAAAGSXRlbUlkCgoJLAAAAAkrBQAACSwAAAABBQUAACgAAAAPAAAACe8AAAADAAAACS4FAAABEwUAACgAAAAPAAAACe8AAAADAAAACTAFAAABIQUAACgAAAAPAAAACe8AAAADAAAACTIFAAABKwUAACgAAAAQAAAACX4EAAADAAAACTQFAAAHL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+v//r/7//wliBAAABjcFAAApU3RhdHVzIG9mIHF1YW50aXR5IGluIHJlbGF0aW9uIHRvIHJlY2VpcHQByPr//6/+//8JZQQAAAn7BAAAAcX6//+v/v//CWgEAAAJ+gQAAAc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6//+v/v//CWIEAAAGQAUAAClTdGF0dXMgZm9yIHF1YW50aXR5IGluIHJlbGF0aW9uIHRvIGlzc3VlcwG/+v//r/7//wllBAAACQkFAAABvPr//6/+//8JaAQAAAkIBQAA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6/+//8JYgQAAAZJBQAANUludmVudG9yeSB2YWx1ZSBmb3IgdGhlIGZpbmFuY2lhbGx5IHVwZGF0ZWQgcXVhbnRpdHkuAbb6//+v/v//CWUEAAAJFwUAAAGz+v//r/7//wloBAAACRYFAAAHN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v//r/7//wZRBQAABFR5cGUGUgUAAARFbnVtAa36//+v/v//BlQFAAAFTGFiZWwGVQUAAAtNb2R1bGUgdHlwZQs=</Report>
</Atlas>
</file>

<file path=customXml/item7.xml><?xml version="1.0" encoding="utf-8"?>
<Atlas>
  <Query type="ReportSummary" id="b72ac29a-f821-4157-bbd5-f80a6e6da0c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gAAAAI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SW52ZW50U3VtBh4AAAART24taGFuZCBpbnZlbnRvcnkJCAAAAAkIAAAACQgAAAAF4P///zBHbG9iZVNvZnR3YXJlLkF0bGFzNDAuQXRsYXNDb21tb24uRGF0YVNvdXJjZVR5cGUBAAAAB3ZhbHVlX18ACAIAAAAAAAAACSEAAAAJIgAAAATd////C1N5c3RlbS5HdWlkCwAAAAJfYQJfYgJfYwJfZAJfZQJfZgJfZwJfaAJfaQJfagJfawAAAAAAAAAAAAAACAcHAgICAgICAgLYGGTX+gt1Q47EPiM3nSieCQgAAAAJCAAAAAklAAAABiYAAAAPVGFibGUuSW52ZW50U3Vt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tUYWJsZS5JbnZlbnRTdW0uSW52ZW50RGltSWR+VGFibGUuSW52ZW50RGltCTEAAAAHFAAAAAABAAAACAAAAAQtR2xvYmVTb2Z0d2FyZS5BdGxhczQwLkF0bGFzQ29tbW9uLlR5cGUuQ29sdW1uAgAAAAkyAAAACTMAAAAJNAAAAAk1AAAACTYAAAAJNwAAAAk4AAAACTkAAAARFQAAAAQAAAAGOgAAAA1BdGxhc1JlcG9ydF8z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D////xf///wY+AAAAD1RhYmxlLkludmVudERpb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A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////8+R2xvYmVTb2Z0d2FyZS5BdGxhczQwLkF0bGFzQ29tbW9uLlR5cGUuQXRsYXNRdWVyeUF0dHJpYnV0ZU5hbWUBAAAAB3ZhbHVlX18ACAIAAAACAAAABkIAAAAkYjcyYWMyOWEtZjgyMS00MTU3LWJiZDUtZjgwYTZlNmRhMGMxAb3////A////Abz///+/////AAAAAAZFAAAABHRydWUBuv///8D///8Buf///7////8LAAAABkgAAAART24taGFuZCBpbnZlbnRvcnkBt////8D///8Btv///7////8bAAAABksAAAAEVHJ1ZQG0////wP///wGz////v////wYAAAAGTgAAAAVGYWxzZQGx////wP///wGw////v////xwAAAAJSwAAAAGu////wP///wGt////v////x0AAAAJTgAAAAGr////wP///wGq////v////yoAAAAJSwAAAAGo////wP///wGn////v////wEAAAAGWgAAAAMzNjMBpf///8D///8BpP///7////8nAAAABl0AAAALPURhdGFBcmVhSWQBov///8D///8Bof///7////8ZAAAABmAAAAAPQ2VsbHNWZXJ0aWNhbGx5AZ/////A////AZ7///+/////CQAAAAoBnf///8D///8BnP///7////8oAAAABmUAAAABOAGa////wP///wGZ////v////ysAAAAGaA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qAAAACUludmVudFN1bQEAAAABlf///5f///8GbA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CAAAACW0AAAAD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SW52ZW50RGltBnUAAAAUSW52ZW50b3J5IGRpbWVuc2lvbnMJCAAAAAkIAAAACQgAAAABif///+D///8AAAAACXgAAAAJeQAAAAGG////3f///091ITy7lAdBlBGA1lNM4moJCAAAAAkIAAAACXwAAAAJMAAAAAZ+AAAACUludmVudFN1bQZ/AAAAD1RhYmxlLkludmVudFN1bQaAAAAAG1RhYmxlLkludmVudFN1bS5JbnZlbnREaW1JZAaBAAAAC0ludmVudERpbUlkBoIAAAALaW52ZW50RGltSWQBAAAAAX3////Z////AAAAAAF8////2P///wAAAAAACYU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hgAAAAmHAAAACYgAAAAGiQAAAAZJdGVtSWQGigAAAAtJdGVtIG51bWJlcgaLAAAABlN0cmluZwkIAAAABo0AAAAkY2JlMDU5ZTEtNTY4My00NjEzLWIzODctYWQ2ODQ5ZTNlMmNmBXL///8tR2xvYmVTb2Z0d2FyZS5BdGxhczQwLkF0bGFzQ29tbW9uLkFnZ3JlZ2F0aW9uAQAAAAd2YWx1ZV9fAAgCAAAA/////wAAAAAFcf///yxHbG9iZVNvZnR3YXJlLkF0bGFzNDAuQXRsYXNDb21tb24uQ29sdW1uVHlwZQEAAAAHdmFsdWVfXwAIAgAAAAAAAAAFcP///ytHbG9iZVNvZnR3YXJlLkF0bGFzNDAuQXRsYXNDb21tb24uU29ydE9yZGVyAQAAAAd2YWx1ZV9fAAgCAAAAAgAAAAAAAAAABW////9AR2xvYmVTb2Z0d2FyZS5BdGxhczQwLkF0bGFzQ29tbW9uLlR5cGUuQ29sdW1uK0Nyb3NzVGFiQ29sdW1uVHlwZQEAAAAHdmFsdWVfXwAIAgAAAAAAAAAKAQAAAAAAAAAAAAAAAAAGkgAAACQ2YTZkNzk4Ni05OWY3LTQ0ZGMtODliNC03NjRjZDAzZGM2YzQGkwAAABZUYWJsZS5JbnZlbnRTdW0uSXRlbUlkCgoKCgEzAAAAMgAAAAmUAAAACZUAAAAJlgAAAAaXAAAADEludmVudFNpdGVJZAaYAAAABFNpdGUGmQAAAAZTdHJpbmcJCAAAAAabAAAAJDQ5NTY5NjE2LWNjMmQtNGUyMi04ZTA0LWIzOTE1N2QwZmM0NwFk////cv////////8BAAAAAWP///9x////AAAAAAFi////cP///wIAAAAAAAAAAAFh////b////wAAAAAKAQAAAAAAAAAAAQAAAAAGoAAAACQxNzNjMGNiMC0xNTFiLTRiYTUtOGVlNS03ZTBhYzMwZjk2NjQGoQAAADhUYWJsZS5JbnZlbnRTdW0uSW52ZW50RGltSWR+VGFibGUuSW52ZW50RGltLkludmVudFNpdGVJZAoKCgoBNAAAADIAAAAJogAAAAmjAAAACaQAAAAGpQAAABBJbnZlbnRMb2NhdGlvbklkBqYAAAAJV2FyZWhvdXNlBqcAAAAGU3RyaW5nCQgAAAAGqQAAACQ1OGE0YzJmMy1mMzFjLTQ2NzAtYTk2YS1jNWFhNDNmMDJjZjIBVv///3L/////////AgAAAAFV////cf///wAAAAABVP///3D///8CAAAAAAAAAAABU////2////8AAAAACgEAAAAAAAAAAAIAAAAABq4AAAAkZDAxNjM0ZWItN2YzMS00MDM5LWI3NTMtY2FmYmQwZDE3ODM1Bq8AAAA8VGFibGUuSW52ZW50U3VtLkludmVudERpbUlkflRhYmxlLkludmVudERpbS5JbnZlbnRMb2NhdGlvbklkCgoKCgE1AAAAMgAAAAmwAAAACbEAAAAJsgAAAAazAAAACVBvc3RlZFF0eQa0AAAAD0N1cnJlbnQgT24taGFuZAa1AAAABFJlYWwJCAAAAAa3AAAAJDI5Njg3YTg1LTM3YmMtNDkwNi04Yjk5LTYyODM3ODdlYTBlNwFI////cv///wEAAAADAAAAAUf///9x////AAAAAAFG////cP///wIAAAAAAAAAAAFF////b////wAAAAAKAQAAAAAAAAAAAwAAAAAGvAAAACQ4Mjg5YmU2MS01M2QyLTQ2ODMtYWI0Yy1hZGU2ZDc4ZDU3ZGYGvQAAABlUYWJsZS5JbnZlbnRTdW0uUG9zdGVkUXR5CgoKCgE2AAAAMgAAAAm+AAAACb8AAAAJwAAAAAbBAAAAN0F0bGFzTWFuYWdlZENvbHVtbl9jOTU5NTQ0Zi0wZDc0LTRjNzEtYmQ3OC1iMTVjOGZmMjIyNTkGwgAAABtUcmFucyBiYWNrd29yZHMgKEJlZ2lubmluZykJCAAAAAkIAAAABsQAAAAkODY2N2RkNDgtNGI2Zi00MmQ4LTliYmMtYjAyMDQyM2ZjNTMxATv///9y////AQAAAAQAAAABOv///3H///8CAAAAATn///9w////AgAAAAAAAAAAATj///9v////AAAAAAoBAAAAAAAAAAAEAAAAAAbJAAAAJGUwY2VjYzRlLTcxZTktNDgzZC05ZDgwLWNkMWM3YTEwYjZiZQkIAAAACgoKCgE3AAAAMgAAAAnLAAAACcwAAAAJzQAAAAbOAAAAN0F0bGFzTWFuYWdlZENvbHVtbl8xYmRlZTQzZC1jNjJiLTRkYTgtOTMwNi1hNjJmYTlkM2ViZTkGzwAAABhUcmFucyBiYWNrd29yZHMgKEVuZGluZykJCAAAAAkIAAAABtEAAAAkNTBhMzY1ZDItNmViMy00M2U0LTkwNTQtMWQ4OWVjNmM1MWY0AS7///9y////AQAAAAUAAAABLf///3H///8CAAAAASz///9w////AgAAAAAAAAAAASv///9v////AAAAAAoBAAAAAAAAAAAFAAAAAAbWAAAAJDQxN2U5M2JjLWEwMjMtNDAwNi04ODI1LTBhOGY4ZjE4MWQxYgkIAAAACgoKCgE4AAAAMgAAAAnYAAAACdkAAAAJ2gAAAAbbAAAAN0F0bGFzTWFuYWdlZENvbHVtbl81ZmQwNzJiZC0yOThlLTRkNjMtYmZiYS1hODcyZDk4OTNiMmYG3AAAABFCZWdpbm5pbmcgT24taGFuZAkIAAAACQgAAAAG3gAAACQ4MjEzNDAwMy03YzA4LTRiNTMtODBlMi1iOTdmMmJiZTE4NTUBIf///3L///8BAAAABgAAAAEg////cf///wIAAAABH////3D///8CAAAAAAAAAAABHv///2////8AAAAACgEAAAAAAAAAAAYAAAAABuMAAAAkZDljYjNkMDEtYzUwYS00ODdmLWIwNTgtYjVlYWY4NWE0N2ZkCQgAAAAKCgoKATkAAAAyAAAACeUAAAAJ5gAAAAnnAAAABugAAAA3QXRsYXNNYW5hZ2VkQ29sdW1uX2RmYWZkNzFiLWFjOWQtNDFmNS1hNmFjLTQwMzI0MzZhNGM4YwbpAAAADkVuZGluZyBPbi1oYW5kCQgAAAAJCAAAAAbrAAAAJGRjNjNjNDg2LTA1OWItNDdhNS1iZmFlLTM0YzkxYmFkNTE4MgEU////cv///wEAAAAHAAAAARP///9x////AgAAAAES////cP///wIAAAAAAAAAAAER////b////wAAAAAKAQAAAAAAAAAABwAAAAAG8AAAACQ4ZjFmMTU3Zi0wMzZkLTRkZjItOTg1MC0xNzRkYWVjNjY3MWYJCAAAAAoKCgoBbQAAABIAAAAHbg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D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8wAAABZUYWJsZS5JbnZlbnRTdW0uSXRlbUlkCfQAAAABC////w7///8G9gAAABlUYWJsZS5JbnZlbnRTdW0uUG9zdGVkUXR5CfcAAAAHcA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j/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+QAAABZUYWJsZS5JbnZlbnRTdW0uSXRlbUlkCfoA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Bf/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4AAAAIQAAAAIAAAAJ/gAAAAMAAAAJ/wAAAAR5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Hw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+AAAAAAAAAAGFAAAAKQAAAAAAAAAJAgEAAAAAAAA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AwEAAAEAAAABAAAABI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fAAAAAkEAQAABwAAAAkFAQAABI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GAQAABwAAAAkHAQAAAZQAAACGAAAACQgBAAABAAAAAQAAAAGVAAAAhwAAAHMAAAAJCQEAAAcAAAAJCg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/gAAAAcAAAAJDAEAAAGiAAAAhgAAAAkNAQAAAQAAAAEAAAABowAAAIcAAABzAAAACQkBAAAHAAAACQ8BAAAEp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f4AAAAHAAAACREBAAABsAAAAIYAAAAJEgEAAAEAAAABAAAAAbEAAACHAAAAfwAAAAkEAQAABwAAAAkUAQAABL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GAQAABwAAAAkWAQAAAb4AAACGAAAACRcBAAAAAAAAAAAAAAG/AAAAhwAAAG0AAAAJCQEAAAcAAAAJGQEAAAT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/gAAAAcAAAAJGwEAAAHLAAAAhgAAAAkXAQAAAAAAAAAAAAABzAAAAIcAAABrAAAACQkBAAAHAAAACR4BAAAEz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f4AAAAHAAAACSABAAAB2AAAAIYAAAAJIQEAAAAAAAAAAAAAAdkAAACHAAAAWgAAAAkiAQAABwAAAAkj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kAQAABwAAAAklAQAAAeUAAACGAAAACSEBAAAAAAAAAAAAAAHmAAAAhwAAAFoAAAAJIgEAAAcAAAAJKA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JAEAAAcAAAAJKgEAAAX0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V/v//cv////////8ABiwBAAAGU3RyaW5nBi0BAAALSXRlbSBudW1iZXIJLgEAAAHR/v//cP///wIAAAAF0P7//zlHbG9iZVNvZnR3YXJlLkF0bGFzNDAuQXRsYXNDb21tb24uTnVtYmVyU2VxdWVuY2VDb25kaXRpb24BAAAAB3ZhbHVlX18ACAIAAAABAAAAAAAGMQEAAA9UYWJsZS5JbnZlbnRTdW0JiQAAAAkIAAAACv////8JMQEAAAoJiQAAAAoKCgkIAAAACTcBAAAJCAAAAAH3AAAA9AAAAAHH/v//cv///wEAAAAABjoBAAAEUmVhbAY7AQAAD1Bvc3RlZCBxdWFudGl0eQkuAQAAAcP+//9w////AgAAAAHC/v//0P7//wEAAAAAAAkxAQAACbMAAAAJCAAAAAr/////CTEBAAAKCbMAAAAKCgoJCAAAAAlFAQAACQgAAAAF+g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kcBAAAPVGFibGUuSW52ZW50U3VtBkgBAAAGSXRlbUlkCQgAAAAGSgEAACFMQUNMRUFOMjBBVCxMQUNBTjAyUEVULExBQ0xFQU4wMDL/////CUcBAAAKCUgBAAAKCgoJCAAAAAlOAQAACQgAAAAB/gAAABIAAAAH/w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sP7//w7///8GUQEAADhUYWJsZS5JbnZlbnRTdW0uSW52ZW50RGltSWR+VGFibGUuSW52ZW50RGltLkludmVudFNpdGVJZAlSAQAAAa3+//8O////BlQBAAA8VGFibGUuSW52ZW50U3VtLkludmVudERpbUlkflRhYmxlLkludmVudERpbS5JbnZlbnRMb2NhdGlvbklkCVUBAAABAgEAAHMAAAAHAwEAAAABAAAABAAAAAQ3R2xvYmVTb2Z0d2FyZS5BdGxhczQwLkF0bGFzQ29tbW9uLlR5cGUuRmllbGRPdXRwdXRGaWVsZAIAAAAJ9AAAAA0DBAQ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wU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p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aj+//8yR2xvYmVTb2Z0d2FyZS5BdGxhczQwLkF0bGFzQ29tbW9uLkNvbHVtbkF0dHJpYnV0ZXMBAAAAB3ZhbHVlX18ACAIAAAAGAAAABlkBAAAFVG90YWwBpv7//6n+//8Bpf7//6j+//8QAAAABlwBAAAETm9uZQGj/v//qf7//wGi/v//qP7//wkAAAAJCAAAAAGg/v//qf7//wGf/v//qP7//wsAAAAGYgEAAAEwAZ3+//+p/v//AZz+//+o/v//BAAAAAZlAQAAB0dlbmVyYWwBmv7//6n+//8Bmf7//6j+//8CAAAABmgBAAABMQGX/v//qf7//wGW/v//qP7//wAAAAAGawEAAAUzMS4yOQEGAQAAEgAAAAc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JT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QEAAAhGb250Qm9sZAZuAQAABUZhbHNlAZH+//+U/v//BnABAAAKRm9udEl0YWxpYwluAQAAAY7+//+U/v//BnMBAAANRm9udFVuZGVybGluZQZ0AQAABS00MTQyAYv+//+U/v//BnYBAAAIRm9udE5hbWUGdwEAAAdDYWxpYnJpAYj+//+U/v//BnkBAAAJRm9udENvbG9yBnoBAAABMAGF/v//lP7//wZ8AQAACEZvbnRTaXplBn0BAAACMTEBgv7//5T+//8GfwEAAAlGb250U3R5bGUGgAEAAAdSZWd1bGFyBwgBAAAAAQAAAAQAAAAEN0dsb2JlU29mdHdhcmUuQXRsYXM0MC5BdGxhc0NvbW1vbi5UeXBlLkZpZWxkT3V0cHV0RmllbGQCAAAACVIBAAANAwEJAQAABAEAAAcK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v7//6n+//8Bff7//6j+//8JAAAACQgAAAABe/7//6n+//8Bev7//6j+//8LAAAABocBAAABMQF4/v//qf7//wF3/v//qP7//wQAAAAGigEAAAdHZW5lcmFsAXX+//+p/v//AXT+//+o/v//AgAAAAaNAQAAATEBcv7//6n+//8Bcf7//6j+//8AAAAABpABAAAB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/+//+U/v//CW0BAAAJbgEAAAFs/v//lP7//wlwAQAACW4BAAABaf7//5T+//8JcwEAAAaZAQAABS00MTQyAWb+//+U/v//CXYBAAAGnAEAAAdDYWxpYnJpAWP+//+U/v//CXkBAAAGnwEAAAEwAWD+//+U/v//CXwBAAAGogEAAAIxMQFd/v//lP7//wl/AQAABqUBAAAHUmVndWxhcgcNAQAAAAEAAAAEAAAABDdHbG9iZVNvZnR3YXJlLkF0bGFzNDAuQXRsYXNDb21tb24uVHlwZS5GaWVsZE91dHB1dEZpZWxkAgAAAAlVAQ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n+//+p/v//AVj+//+o/v//CQAAAAkIAAAAAVb+//+p/v//AVX+//+o/v//CwAAAAasAQAAATIBU/7//6n+//8BUv7//6j+//8EAAAABq8BAAAHR2VuZXJhbAFQ/v//qf7//wFP/v//qP7//wIAAAAGsgEAAAExAU3+//+p/v//AUz+//+o/v//AAAAAAa1AQAABTEyLjg2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7//5T+//8JbQEAAAluAQAAAUf+//+U/v//CXABAAAJbgEAAAFE/v//lP7//wlzAQAABr4BAAAFLTQxNDIBQf7//5T+//8JdgEAAAbBAQAAB0NhbGlicmkBPv7//5T+//8JeQEAAAbEAQAAATABO/7//5T+//8JfAEAAAbHAQAAAjExATj+//+U/v//CX8BAAAGygEAAAdSZWd1bGFyBxIBAAAAAQAAAAQAAAAEN0dsb2JlU29mdHdhcmUuQXRsYXM0MC5BdGxhc0NvbW1vbi5UeXBlLkZpZWxkT3V0cHV0RmllbGQCAAAACfcAAAANAwcU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7//6n+//8BM/7//6j+//8QAAAACVwBAAABMf7//6n+//8BMP7//6j+//8JAAAACQgAAAABLv7//6n+//8BLf7//6j+//8LAAAABtQBAAABMwEr/v//qf7//wEq/v//qP7//wQAAAAG1wEAAC9fKCogIywjIzAuMDBfKTtfKCogKCMsIyMwLjAwKTtfKCogIi0iPz9fKTtfKEBfKQEo/v//qf7//wEn/v//qP7//wIAAAAG2gEAAAExASX+//+p/v//AST+//+o/v//AAAAAAbdAQAABTE2LjcxASL+//+p/v//ASH+//+o/v//JAAAAAm0AAAABx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7//5T+//8JbQEAAAluAQAAARz+//+U/v//CXABAAAJbgEAAAEZ/v//lP7//wlzAQAABukBAAAFLTQxNDIBFv7//5T+//8JdgEAAAbsAQAAB0NhbGlicmkBE/7//5T+//8JeQEAAAbvAQAAATABEP7//5T+//8JfAEAAAbyAQAAAjExAQ3+//+U/v//CX8BAAAG9QEAAAdSZWd1bGFyBxcBAAAAAQAAAAAAAAAEN0dsb2JlU29mdHdhcmUuQXRsYXM0MC5BdGxhc0NvbW1vbi5UeXBlLkZpZWxkT3V0cHV0RmllbGQCAAAABx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K/v//qf7//wEJ/v//qP7//yQAAAAJwgAAAAEH/v//qf7//wEG/v//qP7//wsAAAAG+wEAAAE0AQT+//+p/v//AQP+//+o/v//BAAAAAb+AQAAL18oKiAjLCMjMC4wMF8pO18oKiAoIywjIzAuMDApO18oKiAiLSI/P18pO18oQF8pAQH+//+p/v//AQD+//+o/v//AgAAAAYBAgAAATEB/v3//6n+//8B/f3//6j+//8AAAAABgQCAAAFMTkuODYB+/3//6n+//8B+v3//6j+//8DAAAABgcCAADJAT1BdGxhc0JhbGFuY2UoIlBST0QiLERhdGFBcmVhSWQsIlQuSW52ZW50VHJhbnN8aW52ZW50RGltSWR+aW52ZW50RGltSWRAVC5JbnZlbnREaW0iLCJTdW18UXR5fDAiLCIiLCIiLCIiLCIiLCIiLCIiLCJEYXRlRmluYW5jaWFsfEl0ZW1JZHxUMi5JbnZlbnRTaXRlSWR8VDIuSW52ZW50TG9jYXRpb25JZCIsUGVyaW9kQmVnaW5uaW5nLCRBMywkQjMsJEMzKQc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j9//+U/v//BgkCAAAIRm9udEJvbGQJbgEAAAH1/f//lP7//wYMAgAACkZvbnRJdGFsaWMJbgEAAAHy/f//lP7//wYPAgAADUZvbnRVbmRlcmxpbmUGEAIAAAUtNDE0MgHv/f//lP7//wYSAgAACEZvbnROYW1lBhMCAAAHQ2FsaWJyaQHs/f//lP7//wYVAgAACUZvbnRDb2xvcgYWAgAAATAB6f3//5T+//8GGAIAAAhGb250U2l6ZQYZAgAAAjExAeb9//+U/v//BhsCAAAJRm9udFN0eWxlBhwCAAAHUmVndWxhcgc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/3//6n+//8B4v3//6j+//8kAAAACc8AAAAB4P3//6n+//8B3/3//6j+//8LAAAABiICAAABNQHd/f//qf7//wHc/f//qP7//wQAAAAGJQIAAC9fKCogIywjIzAuMDBfKTtfKCogKCMsIyMwLjAwKTtfKCogIi0iPz9fKTtfKEBfKQHa/f//qf7//wHZ/f//qP7//wIAAAAGKAIAAAExAdf9//+p/v//Adb9//+o/v//AAAAAAYrAgAABTE2Ljg2AdT9//+p/v//AdP9//+o/v//AwAAAAYuAgAAxgE9QXRsYXNCYWxhbmNlKCJQUk9EIixEYXRhQXJlYUlkLCJULkludmVudFRyYW5zfGludmVudERpbUlkfmludmVudERpbUlkQFQuSW52ZW50RGltIiwiU3VtfFF0eXwwIiwiIiwiIiwiIiwiIiwiIiwiIiwiRGF0ZUZpbmFuY2lhbHxJdGVtSWR8VDIuSW52ZW50U2l0ZUlkfFQyLkludmVudExvY2F0aW9uSWQiLFBlcmlvZEVuZGluZywkQTMsJEIzLCRDMyk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f//lP7//wkJAgAACW4BAAABzv3//5T+//8JDAIAAAluAQAAAcv9//+U/v//CQ8CAAAGNwIAAAUtNDE0MgHI/f//lP7//wkSAgAABjoCAAAHQ2FsaWJyaQHF/f//lP7//wkVAgAABj0CAAABMAHC/f//lP7//wkYAgAABkACAAACMTEBv/3//5T+//8JGwIAAAZDAgAAB1JlZ3VsYXIHIQEAAAABAAAAAAAAAAQ3R2xvYmVTb2Z0d2FyZS5BdGxhczQwLkF0bGFzQ29tbW9uLlR5cGUuRmllbGRPdXRwdXRGaWVsZAIAAAABIgEAAAQBAAAHI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z9//+p/v//Abv9//+o/v//JAAAAAncAAAAAbn9//+p/v//Abj9//+o/v//CwAAAAZJAgAAATYBtv3//6n+//8Btf3//6j+//8EAAAABkwCAAAvXygqICMsIyMwLjAwXyk7XygqICgjLCMjMC4wMCk7XygqICItIj8/Xyk7XyhAXykBs/3//6n+//8Bsv3//6j+//8CAAAABk8CAAABMQGw/f//qf7//wGv/f//qP7//wAAAAAGUgIAAAUxOS44NgGt/f//qf7//wGs/f//qP7//wMAAAAGVQIAADY9W0BbQ3VycmVudCBPbi1oYW5kXV0tW0BbVHJhbnMgYmFja3dvcmRzIChCZWdpbm5pbmcpXV0BJAEAABIAAAA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lP7//wZXAgAACEZvbnRCb2xkCW4BAAABp/3//5T+//8GWgIAAApGb250SXRhbGljCW4BAAABpP3//5T+//8GXQIAAA1Gb250VW5kZXJsaW5lBl4CAAAFLTQxNDIBof3//5T+//8GYAIAAAhGb250TmFtZQZhAgAAB0NhbGlicmkBnv3//5T+//8GYwIAAAlGb250Q29sb3IGZAIAAAEwAZv9//+U/v//BmYCAAAIRm9udFNpemUGZwIAAAIxMQGY/f//lP7//wZpAgAACUZvbnRTdHlsZQZqAgAAB1JlZ3VsYXIHK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9//+p/v//AZT9//+o/v//JAAAAAnpAAAAAZL9//+p/v//AZH9//+o/v//CwAAAAZwAgAAATcBj/3//6n+//8Bjv3//6j+//8EAAAABnMCAAAvXygqICMsIyMwLjAwXyk7XygqICgjLCMjMC4wMCk7XygqICItIj8/Xyk7XyhAXykBjP3//6n+//8Bi/3//6j+//8CAAAABnYCAAABMQGJ/f//qf7//wGI/f//qP7//wAAAAAGeQIAAAUxNi44NgGG/f//qf7//wGF/f//qP7//wMAAAAGfAIAADM9W0BbQ3VycmVudCBPbi1oYW5kXV0tW0BbVHJhbnMgYmFja3dvcmRzIChFbmRpbmcpXV0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f//lP7//wlXAgAACW4BAAABgP3//5T+//8JWgIAAAluAQAAAX39//+U/v//CV0CAAAGhQIAAAUtNDE0MgF6/f//lP7//wlgAgAABogCAAAHQ2FsaWJyaQF3/f//lP7//wljAgAABosCAAABMAF0/f//lP7//wlmAgAABo4CAAACMTEBcf3//5T+//8JaQIAAAaRAgAAB1JlZ3VsYXIBLgEAAA4AAACuAAAABpICAAAJSW52ZW50U3VtBpMCAAART24taGFuZCBpbnZlbnRvcnkJCAAAAAkIAAAACQgAAAABa/3//+D///8AAAAACZYCAAAJlwIAAAFo/f//3f///+HHIg/tdjZPjq+BNkzZ+KAJCAAAAAkIAAAACZoCAAAJMQEAAAoKCgoKAQAAAAFk/f//2f///wAAAAABY/3//9j///8AAAAAAAmeAgAABD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GAQAAAwAAAAmgAgAABE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GAQAAAwAAAAmiAgAABE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kAgAAAVIBAAD0AAAAAVv9//9y/////////wAGpgIAAAZTdHJpbmcGpwIAAARTaXRlCTEAAAABV/3//3D///8CAAAAAVb9///Q/v//AQAAAAAACTAAAAAJlwAAAAkIAAAACv////8JMAAAAAoJlwAAAAawAgAAC0ludmVudERpbUlkBrECAAAJSW52ZW50U3VtCgkIAAAACbMCAAAJCAAAAAFVAQAA9AAAAAFL/f//cv////////8ABrYCAAAGU3RyaW5nBrcCAAAJV2FyZWhvdXNlCTEAAAABR/3//3D///8CAAAAAUb9///Q/v//AQAAAAAACTAAAAAJpQAAAAkIAAAACv////8JMAAAAAoJpQAAAAbAAgAAC0ludmVudERpbUlkBsECAAAJSW52ZW50U3VtCgkIAAAACcMCAAAJCAAAAAGWAgAAIQAAAAkAAAAJxQIAABEAAAAJxgIAAASX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UCAAAAAAAABJo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FAgAAAAAAAAGeAgAAKQAAAAAAAAAJyAIAAAAA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3/f//lP7//wbKAgAACEhlbHBUZXh0BssCAAAOSWRlbnRpZnkgaXRlbS4BNP3//5T+//8GzQIAAAVMYWJlbAktAQAAATH9//+U/v//BtACAAAEVHlwZQksAQAAB6I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3//5T+//8JygIAAAbUAgAAHEZpbmFuY2lhbGx5IGVudGVyZWQgcXVhbnRpdHkBK/3//5T+//8JzQIAAAk7AQAAASj9//+U/v//CdACAAAJOgEAAAek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+U/v//BtwCAAAEVHlwZQksAQAAASL9//+U/v//Bt8CAAAFTGFiZWwJLQEAAAEf/f//lP7//wbiAgAACFJlZmVyc1RvBuMCAAAPPSdHZW5lcmFsJyEkQyQ3BL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n+AAAAAwAAAAnlAgAABMM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gAAAAn+AAAAAwAAAAnnAgAAAcUCAAASAAAAB8Y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j9//8O////BukCAAAWVGFibGUuSW52ZW50U3VtLkl0ZW1JZAn0AAAAARX9//8O////BuwCAAAbVGFibGUuSW52ZW50U3VtLlBvc3RlZFZhbHVlCe0CAAABEv3//w7///8G7wIAABlUYWJsZS5JbnZlbnRTdW0uUG9zdGVkUXR5CfcAAAABD/3//w7///8G8gIAABhUYWJsZS5JbnZlbnRTdW0uRGVkdWN0ZWQJ8wIAAAEM/f//Dv///wb1AgAAGFRhYmxlLkludmVudFN1bS5SZWNlaXZlZAn2AgAAAQn9//8O////BvgCAAAdVGFibGUuSW52ZW50U3VtLlJlc2Vydk9yZGVyZWQJ+QIAAAEG/f//Dv///wb7AgAAHlRhYmxlLkludmVudFN1bS5SZXNlcnZQaHlzaWNhbAn8AgAAAQP9//8O////Bv4CAAAXVGFibGUuSW52ZW50U3VtLk9uT3JkZXIJ/wIAAAEA/f//Dv///wYBAwAAF1RhYmxlLkludmVudFN1bS5PcmRlcmVkCQIDAAAByAIAAHMAAAAH5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9/P//lP7//wYEAwAABUxhYmVsCacCAAAB+vz//5T+//8GBwMAAARUeXBlCaYCAAAH5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P//lP7//wkEAwAACbcCAAAB9Pz//5T+//8JBwMAAAm2AgAAAe0CAAD0AAAAAfH8//9y/////////wAGEAMAAARSZWFsBhEDAAAVRmluYW5jaWFsIGNvc3QgYW1vdW50CS4BAAAB7fz//3D///8CAAAAAez8///Q/v//AQAAAAAACTEBAAAGFgMAAAtQb3N0ZWRWYWx1ZQkIAAAACv////8JMQEAAAoJFgMAAAoKCgkIAAAACRsDAAAJCAAAAAHzAgAA9AAAAAHj/P//cv////////8ABh4DAAAEUmVhbAYfAwAACERlZHVjdGVkCS4BAAAB3/z//3D///8CAAAAAd78///Q/v//AQAAAAAACTEBAAAGJAMAAAhEZWR1Y3RlZAkIAAAACv////8JMQEAAAoJJAMAAAoKCgkIAAAACSkDAAAJCAAAAAH2AgAA9AAAAAHV/P//cv////////8ABiwDAAAEUmVhbAYtAwAACFJlY2VpdmVkCS4BAAAB0fz//3D///8CAAAAAdD8///Q/v//AQAAAAAACTEBAAAGMgMAAAhSZWNlaXZlZAkIAAAACv////8JMQEAAAoJMgMAAAoKCgkIAAAACTcDAAAJCAAAAAH5AgAA9AAAAAHH/P//cv////////8ABjoDAAAEUmVhbAY7AwAAEE9yZGVyZWQgcmVzZXJ2ZWQJLgEAAAHD/P//cP///wIAAAABwvz//9D+//8BAAAAAAAJMQEAAAZAAwAADVJlc2Vydk9yZGVyZWQJCAAAAAr/////CTEBAAAKCUADAAAKCgoJCAAAAAlFAwAACQgAAAAB/AIAAPQAAAABufz//3L/////////AAZIAwAABFJlYWwGSQMAABFQaHlzaWNhbCByZXNlcnZlZAkuAQAAAbX8//9w////AgAAAAG0/P//0P7//wEAAAAAAAkxAQAABk4DAAAOUmVzZXJ2UGh5c2ljYWwJCAAAAAr/////CTEBAAAKCU4DAAAKCgoJCAAAAAlTAwAACQgAAAAB/wIAAPQAAAABq/z//3L/////////AAZWAwAABFJlYWwGVwMAAAhPbiBvcmRlcgkuAQAAAaf8//9w////AgAAAAGm/P//0P7//wEAAAAAAAkxAQAABlwDAAAHT25PcmRlcgkIAAAACv////8JMQEAAAoJXAMAAAoKCgkIAAAACWEDAAAJCAAAAAECAwAA9AAAAAGd/P//cv////////8ABmQDAAAEUmVhbAZlAwAAB09yZGVyZWQJLgEAAAGZ/P//cP///wIAAAABmPz//9D+//8BAAAAAAAJMQEAAAZqAwAAB09yZGVyZWQJCAAAAAr/////CTEBAAAKCWoDAAAKCgoJCAAAAAlvAwAACQgAAAAEG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IDAAAEK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QDAAAEN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YDAAAER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gDAAAEU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oDAAAEY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wDAAAEb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QYBAAADAAAACX4DAAAHc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P//lP7//wnKAgAABoEDAAA1SW52ZW50b3J5IHZhbHVlIGZvciB0aGUgZmluYW5jaWFsbHkgdXBkYXRlZCBxdWFudGl0eS4Bfvz//5T+//8JzQIAAAkRAwAAAXv8//+U/v//CdACAAAJEAMAAAd0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+U/v//CcoCAAAGigMAADtRdWFudGl0eSB0aGF0IGhhcyBiZWVuIHBoeXNpY2FsbHkgZGVkdWN0ZWQsIGJ1dCBub3QgcG9zdGVkLgF1/P//lP7//wnNAgAACR8DAAABcvz//5T+//8J0AIAAAkeAwAAB3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z//5T+//8JygIAAAaTAwAAKlBoeXNpY2FsIHF1YW50aXR5IHJlY2VpdmVkLCBidXQgbm90IHBvc3RlZAFs/P//lP7//wnNAgAACS0DAAABafz//5T+//8J0AIAAAksAwAAB3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z//5T+//8JygIAAAacAwAAJVF1YW50aXR5IHJlc2VydmVkIG9uIHF1YW50aXR5IG9yZGVyZWQBY/z//5T+//8JzQIAAAk7AwAAAWD8//+U/v//CdACAAAJOgMAAAd6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38//+U/v//CcoCAAAGpQMAACpRdWFudGl0eSByZXNlcnZlZCBvZiB0aGUgcGh5c2ljYWwgcXVhbnRpdHkBWvz//5T+//8JzQIAAAlJAwAAAVf8//+U/v//CdACAAAJSAMAAAd8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+U/v//CcoCAAAGrgMAABFRdWFudGl0eSBvbiBvcmRlcgFR/P//lP7//wnNAgAACVcDAAABTvz//5T+//8J0AIAAAlWAwAAB34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5T+//8JygIAAAa3AwAAEFF1YW50aXR5IG9yZGVyZWQBSPz//5T+//8JzQIAAAllAwAAAUX8//+U/v//CdACAAAJZAMAAAs=
    <Output>
      <OutputObject name="AtlasReport_3"/>
    </Output>
  </Query>
</Atlas>
</file>

<file path=customXml/item8.xml><?xml version="1.0" encoding="utf-8"?>
<Atlas>
  <Query type="ReportList" id="56bc7a71-7e5a-45aa-a1de-52bc7de8e0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UAAAAF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lVzg4aMCDtIvXqlE3Uiwpc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CAAAAAQtR2xvYmVTb2Z0d2FyZS5BdGxhczQwLkF0bGFzQ29tbW9uLlR5cGUuQ29sdW1uAgAAAAkyAAAACTMAAAAJNAAAAAk1AAAACTYAAAANAxEVAAAABAAAAAY3AAAADUF0bGFzUmVwb3J0XzU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j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b////I////Bjs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C////Pkdsb2JlU29mdHdhcmUuQXRsYXM0MC5BdGxhc0NvbW1vbi5UeXBlLkF0bGFzUXVlcnlBdHRyaWJ1dGVOYW1lAQAAAAd2YWx1ZV9fAAgCAAAAAgAAAAY/AAAAJDU2YmM3YTcxLTdlNWEtNDVhYS1hMWRlLTUyYmM3ZGU4ZTAyMgHA////w////wG/////wv///wAAAAAGQgAAAAR0cnVlAb3////D////Abz////C////CwAAAAZFAAAABUl0ZW1zAbr////D////Abn////C////GwAAAAZIAAAABFRydWUBt////8P///8Btv///8L///8GAAAABksAAAAFRmFsc2UBtP///8P///8Bs////8L///8cAAAACUgAAAABsf///8P///8BsP///8L///8dAAAACUsAAAABrv///8P///8Brf///8L///8qAAAACUgAAAABq////8P///8Bqv///8L///8BAAAABlcAAAADMzYzAaj////D////Aaf////C////JwAAAAZaAAAACz1EYXRhQXJlYUlkAaX////D////AaT////C////GQAAAAZdAAAAD0NlbGxzVmVydGljYWxseQGi////w////wGh////wv///wkAAAAKAaD////D////AZ/////C////KAAAAAZiAAAAATUBnf///8P///8BnP///8L///8rAAAABmU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r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ZwAAAAtJbnZlbnRUYWJsZQEAAAABmP///5r///8GaQ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QAAAAJagAAAAcAAAAJa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qAAAAAwAAAAlu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8AAAAAAAAAByoAAAAAAQAAAAAAAAAELUdsb2JlU29mdHdhcmUuQXRsYXM0MC5BdGxhc0NvbW1vbi5UeXBlLkNvbHVtbgIAAAABMQAAAA4AAAD/////BnAAAAARSW52ZW50VGFibGVNb2R1bGUGcQAAABtJbnZlbnRvcnkgbW9kdWxlIHBhcmFtZXRlcnMJCAAAAAkIAAAACQgAAAABjf///+D///8AAAAACXQAAAAJdQAAAAGK////3f///2wVa4zKQdlBvioWqRmwJ7UJCAAAAAkIAAAACXgAAAAJMAAAAAZ6AAAAC0ludmVudFRhYmxlBnsAAAARVGFibGUuSW52ZW50VGFibGUGfAAAABhUYWJsZS5JbnZlbnRUYWJsZS5JdGVtSWQGfQAAAAZJdGVtSWQGfgAAAAZJdGVtSWQBAAAAAYH////Z////AAAAAAGA////2P///wAAAAAACYE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gAAAAmDAAAACYQAAAAGhQAAAAZJdGVtSWQGhgAAAAtJdGVtIG51bWJlcgaHAAAABlN0cmluZwkIAAAABokAAAAkMjU0YjE3YWEtMWVjZi00MjVhLTk4YWItYjJkZTYyYWU3MzRmBXb///8tR2xvYmVTb2Z0d2FyZS5BdGxhczQwLkF0bGFzQ29tbW9uLkFnZ3JlZ2F0aW9uAQAAAAd2YWx1ZV9fAAgCAAAA/////wAAAAAFdf///yxHbG9iZVNvZnR3YXJlLkF0bGFzNDAuQXRsYXNDb21tb24uQ29sdW1uVHlwZQEAAAAHdmFsdWVfXwAIAgAAAAAAAAAFdP///ytHbG9iZVNvZnR3YXJlLkF0bGFzNDAuQXRsYXNDb21tb24uU29ydE9yZGVyAQAAAAd2YWx1ZV9fAAgCAAAAAgAAAAAAAAAABXP///9AR2xvYmVTb2Z0d2FyZS5BdGxhczQwLkF0bGFzQ29tbW9uLlR5cGUuQ29sdW1uK0Nyb3NzVGFiQ29sdW1uVHlwZQEAAAAHdmFsdWVfXwAIAgAAAAAAAAAKAQAAAAAAAAAAAAAAAAAGjgAAACRiYzhlZmU3OS04NzM4LTRhOTItOWJiMS03YTdkNjg5N2FiZDIGjwAAABhUYWJsZS5JbnZlbnRUYWJsZS5JdGVtSWQKCgoKATMAAAAyAAAACZAAAAAJkQAAAAmSAAAABpMAAAAISXRlbU5hbWUGlAAAAAlJdGVtIG5hbWUGlQAAAAZTdHJpbmcJCAAAAAaXAAAAJDFiNzM5NDFmLTVhYTEtNDExNC05NGY4LTEyOTNlYzg5YmM4NQFo////dv////////8BAAAAAWf///91////AAAAAAFm////dP///wIAAAAAAAAAAAFl////c////wAAAAAKAQAAAAAAAAAAAQAAAAAGnAAAACQ4ODk2YzU3Yy1lNjA2LTRkMWEtYTZmZi0xZjRiY2ZkOGM3MDYGnQAAABpUYWJsZS5JbnZlbnRUYWJsZS5JdGVtTmFtZQoKCgoBNAAAADIAAAAJngAAAAmfAAAACaAAAAAGoQAAAAtJdGVtR3JvdXBJZAaiAAAACkl0ZW0gZ3JvdXAGowAAAAZTdHJpbmcJCAAAAAalAAAAJDg1OTMzMjY3LTE5ZGItNGU3MS1iZGI1LWY3MDYwMDAyYWMzNwFa////dv////////8CAAAAAVn///91////AAAAAAFY////dP///wIAAAAAAAAAAAFX////c////wAAAAAKAQAAAAAAAAAAAgAAAAAGqgAAACQ5MDYwMmRhYi1jMDQ5LTQ4NDItOTIzYi0xYjIxNjE3NmNlMWMGqwAAAB1UYWJsZS5JbnZlbnRUYWJsZS5JdGVtR3JvdXBJZAoKCgoBNQAAADIAAAAJrAAAAAmtAAAACa4AAAAGrwAAAAhJdGVtVHlwZQawAAAACUl0ZW0gdHlwZQaxAAAABEVudW0JCAAAAAazAAAAJDQ5ZjUwZGI1LTdhOTMtNDc5OC05ZDg3LThiNjk4YTM5ZmUxNAFM////dv////////8DAAAAAUv///91////AAAAAAFK////dP///wIAAAAAAAAAAAFJ////c////wAAAAAKAQAAAAAAAAAAAwAAAAAGuAAAACRmZWYyNTc5ZS02NWQ1LTRlMzUtOWM4NS05N2Y2NDhhY2ZhZDEGuQAAABpUYWJsZS5JbnZlbnRUYWJsZS5JdGVtVHlwZQoKCgoBNgAAADIAAAAJugAAAAm7AAAACbwAAAAGvQAAAAZVbml0SWQGvgAAAARVbml0Br8AAAAGU3RyaW5nCQgAAAAGwQAAACRmYjc3ZmQ5MS04ZDY3LTRjYTMtYTgwOC05NDY3YTJiNjBmZmMBPv///3b/////////BAAAAAE9////df///wAAAAABPP///3T///8CAAAAAAAAAAABO////3P///8AAAAACgEAAAAAAAAAAAQAAAAABsYAAAAkYjI5MWE4YTMtM2M1Yy00ZjVhLWJkMDItMDM1ODA2M2U0NzgxBscAAAA3VGFibGUuSW52ZW50VGFibGUuSXRlbUlkflRhYmxlLkludmVudFRhYmxlTW9kdWxlLlVuaXRJZAoKCgoBagAAABIAAAAHawA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QAAABhUYWJsZS5JbnZlbnRUYWJsZS5JdGVtSWQJygAAAAE1////OP///wbMAAAAGlRhYmxlLkludmVudFRhYmxlLkl0ZW1OYW1lCc0AAAABMv///zj///8GzwAAAB1UYWJsZS5JbnZlbnRUYWJsZS5JdGVtR3JvdXBJZAnQAAAAAS////84////BtIAAAAaVGFibGUuSW52ZW50VGFibGUuSXRlbVR5cGUJ0wAAAAdu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s////1P///wkwAAAACTEAAAAEb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QAAAAhAAAAAQAAAAkSAAAAAwAAAAnYAAAABHU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2gAAAAR4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QAAACkAAAAAAAAACdwAAAAAAAAABII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d0AAAABAAAAAQAAAASD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YAAAAJ3gAAAAcAAAAJ3wAAAAS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EgAAAAcAAAAJ4QAAAAGQAAAAggAAAAniAAAAAQAAAAEAAAABkQAAAIMAAAA1AAAACd4AAAAHAAAACeQAAAAEk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RIAAAAHAAAACeYAAAABngAAAIIAAAAJ5wAAAAEAAAABAAAAAZ8AAACDAAAANQAAAAneAAAABwAAAAnpAAAABK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kSAAAABwAAAAnrAAAAAawAAACCAAAACewAAAABAAAAAQAAAAGtAAAAgwAAADUAAAAJ3gAAAAcAAAAJ7gAAAAS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EgAAAAcAAAAJ8AAAAAG6AAAAggAAAAnxAAAAAQAAAAEAAAABuwAAAIMAAAA0AAAACd4AAAAHAAAACfMAAAAEv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RIAAAAHAAAACfUAAAAFy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Cv///3b/////////AAb3AAAABlN0cmluZwb4AAAAC0l0ZW0gbnVtYmVyCfkAAAABBv///3T///8CAAAABQX///85R2xvYmVTb2Z0d2FyZS5BdGxhczQwLkF0bGFzQ29tbW9uLk51bWJlclNlcXVlbmNlQ29uZGl0aW9uAQAAAAd2YWx1ZV9fAAgCAAAAAQAAAAAABvwAAAARVGFibGUuSW52ZW50VGFibGUJhQAAAAkIAAAACv////8J/AAAAAoJhQAAAAoKCgkIAAAACQIBAAAJCAAAAAHNAAAAygAAAAH8/v//dv////////8ABgUBAAAGU3RyaW5nBgYBAAAJSXRlbSBuYW1lCfkAAAAB+P7//3T///8CAAAAAff+//8F////AQAAAAAACfwAAAAJkwAAAAkIAAAACv////8J/AAAAAoJkwAAAAoKCgkIAAAACRABAAAJCAAAAAHQAAAAygAAAAHu/v//dv////////8ABhMBAAAGU3RyaW5nBhQBAAAKSXRlbSBncm91cAn5AAAAAer+//90////AgAAAAHp/v//Bf///wEAAAAAAAn8AAAACaEAAAAJCAAAAAr/////CfwAAAAKCaEAAAAKCgoJCAAAAAkeAQAACQgAAAAB0wAAAMoAAAAB4P7//3b/////////AAYhAQAABEVudW0GIgEAAAlJdGVtIHR5cGUJ+QAAAAHc/v//dP///wIAAAAB2/7//wX///8BAAAAAAAJ/AAAAAmvAAAACQgAAAAK/////wn8AAAACgmvAAAACgoKCQgAAAAJLAEAAAkIAAAAB9g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L+//84////Bi8BAAA3VGFibGUuSW52ZW50VGFibGUuSXRlbUlkflRhYmxlLkludmVudFRhYmxlTW9kdWxlLlVuaXRJZAkwAQAAB9o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P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jIBAAA7VGFibGUuSW52ZW50VGFibGUuSXRlbUlkflRhYmxlLkludmVudFRhYmxlTW9kdWxlLk1vZHVsZVR5cGUJMwEAAAHcAAAAbwAAAAfdAAAAAAEAAAAEAAAABDdHbG9iZVNvZnR3YXJlLkF0bGFzNDAuQXRsYXNDb21tb24uVHlwZS5GaWVsZE91dHB1dEZpZWxkAgAAAAnKAAAADQME3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3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Mv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yv7//zJHbG9iZVNvZnR3YXJlLkF0bGFzNDAuQXRsYXNDb21tb24uQ29sdW1uQXR0cmlidXRlcwEAAAAHdmFsdWVfXwAIAgAAAAYAAAAGNwEAAAVUb3RhbAHI/v//y/7//wHH/v//yv7//xAAAAAGOgEAAAROb25lAcX+///L/v//AcT+///K/v//CQAAAAkIAAAAAcL+///L/v//AcH+///K/v//CwAAAAZAAQAAATABv/7//8v+//8Bvv7//8r+//8EAAAABkMBAAAHR2VuZXJhbAG8/v//y/7//wG7/v//yv7//wIAAAAGRgEAAAExAbn+///L/v//Abj+///K/v//AAAAAAZJAQAABTIwLjQz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LAQAACEZvbnRCb2xkBkwBAAAFRmFsc2UBs/7//7b+//8GTgEAAApGb250SXRhbGljCUwBAAABsP7//7b+//8GUQEAAA1Gb250VW5kZXJsaW5lBlIBAAAFLTQxNDIBrf7//7b+//8GVAEAAAhGb250TmFtZQZVAQAAB0NhbGlicmkBqv7//7b+//8GVwEAAAlGb250Q29sb3IGWAEAAAEwAaf+//+2/v//BloBAAAIRm9udFNpemUGWwEAAAIxMQGk/v//tv7//wZdAQAACUZvbnRTdHlsZQZeAQAAB1JlZ3VsYXIH4gAAAAABAAAABAAAAAQ3R2xvYmVTb2Z0d2FyZS5BdGxhczQwLkF0bGFzQ29tbW9uLlR5cGUuRmllbGRPdXRwdXRGaWVsZAIAAAAJzQAAAA0DB+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g/v//y/7//wGf/v//yv7//xAAAAAJOgEAAAGd/v//y/7//wGc/v//yv7//wkAAAAJCAAAAAGa/v//y/7//wGZ/v//yv7//wsAAAAGaAEAAAExAZf+///L/v//AZb+///K/v//BAAAAAZrAQAAB0dlbmVyYWwBlP7//8v+//8Bk/7//8r+//8CAAAABm4BAAABMQGR/v//y/7//wGQ/v//yv7//wAAAAAGcQEAAAI1Ng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+//+2/v//CUsBAAAJTAEAAAGL/v//tv7//wlOAQAACUwBAAABiP7//7b+//8JUQEAAAZ6AQAABS00MTQyAYX+//+2/v//CVQBAAAGfQEAAAdDYWxpYnJpAYL+//+2/v//CVcBAAAGgAEAAAEwAX/+//+2/v//CVoBAAAGgwEAAAIxMQF8/v//tv7//wldAQAABoYBAAAHUmVndWxhcgfnAAAAAAEAAAAEAAAABDdHbG9iZVNvZnR3YXJlLkF0bGFzNDAuQXRsYXNDb21tb24uVHlwZS5GaWVsZE91dHB1dEZpZWxkAgAAAAnQAAAADQM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j+///L/v//AXf+///K/v//EAAAAAk6AQAAAXX+///L/v//AXT+///K/v//CQAAAAkIAAAAAXL+///L/v//AXH+///K/v//CwAAAAaQAQAAATIBb/7//8v+//8Bbv7//8r+//8EAAAABpMBAAAHR2VuZXJhbAFs/v//y/7//wFr/v//yv7//wIAAAAGlgEAAAExAWn+///L/v//AWj+///K/v//AAAAAAaZAQAABTEyLjI5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7//7b+//8JSwEAAAlMAQAAAWP+//+2/v//CU4BAAAJTAEAAAFg/v//tv7//wlRAQAABqIBAAAFLTQxNDIBXf7//7b+//8JVAEAAAalAQAAB0NhbGlicmkBWv7//7b+//8JVwEAAAaoAQAAATABV/7//7b+//8JWgEAAAarAQAAAjExAVT+//+2/v//CV0BAAAGrgEAAAdSZWd1bGFyB+wAAAAAAQAAAAQAAAAEN0dsb2JlU29mdHdhcmUuQXRsYXM0MC5BdGxhc0NvbW1vbi5UeXBlLkZpZWxkT3V0cHV0RmllbGQCAAAACdMAAAANAw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7//8v+//8BT/7//8r+//8QAAAACToBAAABTf7//8v+//8BTP7//8r+//8JAAAACQgAAAABSv7//8v+//8BSf7//8r+//8LAAAABrgBAAABMwFH/v//y/7//wFG/v//yv7//wQAAAAGuwEAAAdHZW5lcmFsAUT+///L/v//AUP+///K/v//AgAAAAa+AQAAATEBQf7//8v+//8BQP7//8r+//8AAAAABsEBAAAFMTEuMTQH8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+/v//tv7//wlLAQAACUwBAAABO/7//7b+//8JTgEAAAlMAQAAATj+//+2/v//CVEBAAAGygEAAAUtNDE0MgE1/v//tv7//wlUAQAABs0BAAAHQ2FsaWJyaQEy/v//tv7//wlXAQAABtABAAABMAEv/v//tv7//wlaAQAABtMBAAACMTEBLP7//7b+//8JXQEAAAbWAQAAB1JlZ3VsYXIH8QAAAAABAAAABAAAAAQ3R2xvYmVTb2Z0d2FyZS5BdGxhczQwLkF0bGFzQ29tbW9uLlR5cGUuRmllbGRPdXRwdXRGaWVsZAIAAAAJMAEAAA0DB/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v//y/7//wEn/v//yv7//wkAAAAJCAAAAAEl/v//y/7//wEk/v//yv7//wsAAAAG3QEAAAE0ASL+///L/v//ASH+///K/v//BAAAAAbgAQAAB0dlbmVyYWwBH/7//8v+//8BHv7//8r+//8CAAAABuMBAAABMQEc/v//y/7//wEb/v//yv7//wAAAAAG5gEAAAQ2LjQzB/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7b+//8JSwEAAAlMAQAAARb+//+2/v//CU4BAAAJTAEAAAET/v//tv7//wlRAQAABu8BAAAFLTQxNDIBEP7//7b+//8JVAEAAAbyAQAAB0NhbGlicmkBDf7//7b+//8JVwEAAAb1AQAAATABCv7//7b+//8JWgEAAAb4AQAAAjExAQf+//+2/v//CV0BAAAG+wEAAAdSZWd1bGFyAfkAAAAOAAAArwAAAAb8AQAAC0ludmVudFRhYmxlBv0BAAAFSXRlbXMJCAAAAAkIAAAACQgAAAABAf7//+D///8AAAAACQACAAAJAQIAAAH+/f//3f///+JBnzoFxFNIgtHsGTcqLgMJCAAAAAkIAAAACQQCAAAJ/AAAAAoKCgoKAQAAAAH6/f//2f///wAAAAAB+f3//9j///8AAAAAAAkIAgAABA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KAgAABB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MAgAABB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OAgAABC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SAAAAAwAAAAkQAgAAATABAADKAAAAAe/9//92/////////wAGEgIAAAZTdHJpbmcGEwIAAARVbml0CTEAAAAB6/3//3T///8CAAAAAer9//8F////AQAAAAAACTAAAAAJvQAAAAkIAAAACv////8JMAAAAAoJvQAAAAYcAgAABkl0ZW1JZAYdAgAAC0ludmVudFRhYmxlCgkIAAAACR8CAAAJCAAAAAUz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MAAAAAYiAgAACk1vZHVsZVR5cGUJCAAAAAYkAgAABkludmVudP////8JMAAAAAYmAgAAEUludmVudFRhYmxlTW9kdWxlCSICAAAGKAIAAAZJdGVtSWQKCgkIAAAACSoCAAAJCAAAAAEAAgAAIQAAAAgAAAAJLAIAAAcAAAAJLQIAAAEBAgAAIgAAAAAAAAAJLAIAAAAAAAABBAIAAAQAAAABAAAACSwCAAADAAAACS8CAAABCAIAACkAAAAAAAAACTACAAAAAAAABw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3//7b+//8GMgIAAAhIZWxwVGV4dAYzAgAADklkZW50aWZ5IGl0ZW0uAcz9//+2/v//BjUCAAAFTGFiZWwJ+AAAAAHJ/f//tv7//wY4AgAABFR5cGUJ9wAAAAcM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9//+2/v//CTICAAAGPAIAABhEZXNjcmlwdGlvbiBvZiB0aGUgaXRlbS4Bw/3//7b+//8JNQIAAAkGAQAAAcD9//+2/v//CTgCAAAJBQEAAAcO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+2/v//CTICAAAGRQIAAChJdGVtIGdyb3VwIHRoYXQgdGhlIGl0ZW0gaXMgYXR0YWNoZWQgdG8uAbr9//+2/v//CTUCAAAJFAEAAAG3/f//tv7//wk4AgAACRMBAAAHE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f//tv7//wkyAgAABk4CAAAuVHlwZSBkZXRlcm1pbmluZyBob3cgdGhlIGl0ZW0gaXMgYWRtaW5pc3RlcmVkLgGx/f//tv7//wk1AgAACSIBAAABrv3//7b+//8JOAIAAAkhAQAABB8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kSAAAAAwAAAAlWAgAABC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AAAAAkSAAAAAwAAAAlYAgAAASwCAAASAAAABy0C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f9//84////BloCAAAYVGFibGUuSW52ZW50VGFibGUuSXRlbUlkCcoAAAABpP3//zj///8GXQIAABpUYWJsZS5JbnZlbnRUYWJsZS5JdGVtTmFtZQnNAAAAAaH9//84////BmACAAAdVGFibGUuSW52ZW50VGFibGUuSXRlbUdyb3VwSWQJ0AAAAAGe/f//OP///wZjAgAAGlRhYmxlLkludmVudFRhYmxlLkl0ZW1UeXBlCdMAAAAHLwI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m/3//9T///8JMAAAAAkxAAAAATACAABvAAAAB1Y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3//7b+//8JNQIAAAkTAgAAAZX9//+2/v//CTgCAAAJEgIAAAdY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+2/v//CTgCAAAGcAIAAARFbnVtAY/9//+2/v//CTUCAAAGcwIAAAtNb2R1bGUgdHlwZQs=
    <Output>
      <OutputObject name="AtlasReport_5"/>
    </Output>
  </Query>
</Atlas>
</file>

<file path=customXml/item9.xml><?xml version="1.0" encoding="utf-8"?>
<Atlas>
  <Query type="ReportSummary" id="f44aa689-7c56-4186-8219-8f2dafe6a2a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4AAAAO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N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HJhbnMGHgAAABZJbnZlbnRvcnkgdHJhbnNhY3Rpb25zCQgAAAAJCAAAAAkIAAAABeD///8wR2xvYmVTb2Z0d2FyZS5BdGxhczQwLkF0bGFzQ29tbW9uLkRhdGFTb3VyY2VUeXBlAQAAAAd2YWx1ZV9fAAgCAAAAAAAAAAkhAAAACSIAAAAE3f///wtTeXN0ZW0uR3VpZAsAAAACX2ECX2ICX2MCX2QCX2UCX2YCX2cCX2gCX2kCX2oCX2sAAAAAAAAAAAAAAAgHBwICAgICAgICNyJ9LcGzBEiVKm9OMNH2vAkIAAAACQgAAAAJJQAAAAYmAAAAEVRhYmxlLkludmVudFRyYW5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pUYWJsZS5JbnZlbnRUcmFucy5JdGVtSWR+VGFibGUuSW52ZW50VGFibGUJMQAAAAHO////1P///wYzAAAASVRhYmxlLkludmVudFRyYW5zLkl0ZW1JZH5UYWJsZS5JbnZlbnRUYWJsZS5JdGVtSWR+VGFibGUuSW52ZW50VGFibGVNb2R1bGUJNAAAAAHL////1P///wY2AAAALVRhYmxlLkludmVudFRyYW5zLmludmVudERpbUlkflRhYmxlLkludmVudERpbQk3AAAABxQAAAAAAQAAABAAAAAELUdsb2JlU29mdHdhcmUuQXRsYXM0MC5BdGxhc0NvbW1vbi5UeXBlLkNvbHVtbgIAAAAJOAAAAAk5AAAACToAAAAJOwAAAAk8AAAACT0AAAAJPgAAAAk/AAAACUAAAAAJQQAAAAlCAAAACUMAAAAJRAAAAAlFAAAADQIRFQAAAAQAAAAGRgAAAA1BdGxhc1JlcG9ydF8x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S5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3////uf///wZKAAAAEVRhYmxlLkludmVudFRhYmxlCTAAAAABtP///7n///8GTQAAADBUYWJsZS5JbnZlbnRUYWJsZS5JdGVtSWR+VGFibGUuSW52ZW50VGFibGVNb2R1bGUJMwAAAAGx////uf///wZQAAAAD1RhYmxlLkludmVudERpb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u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3///8+R2xvYmVTb2Z0d2FyZS5BdGxhczQwLkF0bGFzQ29tbW9uLlR5cGUuQXRsYXNRdWVyeUF0dHJpYnV0ZU5hbWUBAAAAB3ZhbHVlX18ACAIAAAACAAAABlQAAAAkZjQ0YWE2ODktN2M1Ni00MTg2LTgyMTktOGYyZGFmZTZhMmFmAav///+u////Aar///+t////AAAAAAZXAAAABHRydWUBqP///67///8Bp////63///8LAAAABloAAAAWSW52ZW50b3J5IHRyYW5zYWN0aW9ucwGl////rv///wGk////rf///xsAAAAGXQAAAARUcnVlAaL///+u////AaH///+t////BgAAAAZgAAAABUZhbHNlAZ////+u////AZ7///+t////HAAAAAldAAAAAZz///+u////AZv///+t////HQAAAAlgAAAAAZn///+u////AZj///+t////KgAAAAldAAAAAZb///+u////AZX///+t////AQAAAAZsAAAAAzM2MwGT////rv///wGS////rf///ycAAAAGbwAAAAs9RGF0YUFyZWFJZAGQ////rv///wGP////rf///xkAAAAGcgAAAA9DZWxsc1ZlcnRpY2FsbHkBjf///67///8BjP///63///8JAAAACgGL////rv///wGK////rf///ygAAAAGdwAAAAIxNAGI////rv///wGH////rf///ysAAAAGeg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h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8AAAAC0ludmVudFRyYW5zAQAAAAGD////hf///wZ+AAAAC0ludmVudFRhYmxlAQAAAAGB////hf///waAAAAAEUludmVudFRhYmxlTW9kdWxlAQAAAAF/////hf///waCAAAACUludmVudERpb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gwAAAAcAAAAJh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YYAAAABJQAAAAQAAAACAAAACYMAAAADAAAACYg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iQAAAAAAAAAHKgAAAAABAAAAAAAAAAQtR2xvYmVTb2Z0d2FyZS5BdGxhczQwLkF0bGFzQ29tbW9uLlR5cGUuQ29sdW1uAgAAAAExAAAADgAAAP////8GigAAAAtJbnZlbnRUYWJsZQaLAAAABUl0ZW1zCQgAAAAJCAAAAAkIAAAAAXP////g////AAAAAAmOAAAACY8AAAABcP///93///8KjloMsiNMQZhRecc1NEMcCQgAAAAJCAAAAAmSAAAACTAAAAAGlAAAAAtJbnZlbnRUcmFucwaVAAAAEVRhYmxlLkludmVudFRyYW5zBpYAAAAYVGFibGUuSW52ZW50VHJhbnMuSXRlbUlkBpcAAAAGSXRlbUlkBpgAAAAGSXRlbUlkAQAAAAFn////2f///wAAAAABZv///9j///8AAAAAAAmbAAAAATQAAAAOAAAA/////wacAAAAEUludmVudFRhYmxlTW9kdWxlBp0AAAAbSW52ZW50b3J5IG1vZHVsZSBwYXJhbWV0ZXJzCQgAAAAJCAAAAAkIAAAAAWH////g////AAAAAAmgAAAACaEAAAABXv///93///+MNjtujSOgQJv41ZSXJAakCQgAAAAJCAAAAAmkAAAACTMAAAAGpgAAAAtJbnZlbnRUYWJsZQanAAAAKlRhYmxlLkludmVudFRyYW5zLkl0ZW1JZH5UYWJsZS5JbnZlbnRUYWJsZQaoAAAAMVRhYmxlLkludmVudFRyYW5zLkl0ZW1JZH5UYWJsZS5JbnZlbnRUYWJsZS5JdGVtSWQGqQAAAAZJdGVtSWQGqgAAAAZJdGVtSWQBAAAAAVX////Z////AAAAAAFU////2P///wAAAAAACa0AAAABNwAAAA4AAAD/////Bq4AAAAJSW52ZW50RGltBq8AAAAUSW52ZW50b3J5IGRpbWVuc2lvbnMJCAAAAAkIAAAACQgAAAABT////+D///8AAAAACbIAAAAJswAAAAFM////3f///5Xzl87Gf89Ag/K4qceVhPYJCAAAAAkIAAAACbYAAAAJNgAAAAa4AAAAC0ludmVudFRyYW5zBrkAAAARVGFibGUuSW52ZW50VHJhbnMGugAAAB1UYWJsZS5JbnZlbnRUcmFucy5pbnZlbnREaW1JZAa7AAAAC2ludmVudERpbUlkBrwAAAALaW52ZW50RGltSWQBAAAAAUP////Z////AAAAAAFC////2P///wAAAAAACb8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AAAAAnBAAAACcIAAAAGwwAAAAlUcmFuc1R5cGUGxAAAAAlSZWZlcmVuY2UGxQAAAARFbnVtCQgAAAAGxwAAACQxMmI1Mzc1OS05NWUxLTQxMGItOTdjOC02M2MyZDQwODAwMGIFOP///y1HbG9iZVNvZnR3YXJlLkF0bGFzNDAuQXRsYXNDb21tb24uQWdncmVnYXRpb24BAAAAB3ZhbHVlX18ACAIAAAD/////AAAAAAU3////LEdsb2JlU29mdHdhcmUuQXRsYXM0MC5BdGxhc0NvbW1vbi5Db2x1bW5UeXBlAQAAAAd2YWx1ZV9fAAgCAAAAAAAAAAU2////K0dsb2JlU29mdHdhcmUuQXRsYXM0MC5BdGxhc0NvbW1vbi5Tb3J0T3JkZXIBAAAAB3ZhbHVlX18ACAIAAAACAAAAAAAAAAAFNf///0BHbG9iZVNvZnR3YXJlLkF0bGFzNDAuQXRsYXNDb21tb24uVHlwZS5Db2x1bW4rQ3Jvc3NUYWJDb2x1bW5UeXBlAQAAAAd2YWx1ZV9fAAgCAAAAAAAAAAoBAAAAAAAAAAAAAAAAAAbMAAAAJDBlODVlNjJhLWIzM2EtNGNmOS04MDUxLTE0YTZhZGM1NDNhNgbNAAAAG1RhYmxlLkludmVudFRyYW5zLlRyYW5zVHlwZQoKCgoBOQAAADgAAAAJzgAAAAnPAAAACdAAAAAG0QAAAApUcmFuc1JlZklkBtIAAAAGTnVtYmVyBtMAAAAGU3RyaW5nCQgAAAAG1QAAACQ0NDdlNjFmMS01MmVjLTRmOTEtYmQ3YS1lM2RhYTU2MDJmN2UBKv///zj/////////AQAAAAEp////N////wAAAAABKP///zb///8CAAAAAAAAAAABJ////zX///8AAAAACgEAAAAAAAAAAAEAAAAABtoAAAAkN2Q2NDRhOTMtOTBiYy00ZjFiLThkYjQtOWY2N2ExMDNiOThhBtsAAAAcVGFibGUuSW52ZW50VHJhbnMuVHJhbnNSZWZJZAoKCgoBOgAAADgAAAAJ3AAAAAndAAAACd4AAAAG3wAAAAZJdGVtSWQG4AAAAAtJdGVtIG51bWJlcgbhAAAABlN0cmluZwkIAAAABuMAAAAkNjZiOTg3ODctZTViNS00ZjAzLWI3MzMtMmJiN2RmZTZiMDM2ARz///84/////////wIAAAABG////zf///8AAAAAARr///82////AgAAAAAAAAAAARn///81////AAAAAAoBAAAAAAAAAAACAAAAAAboAAAAJDdmZWQ4ZDJhLTZmOWQtNDUzNi04MzkyLTI1NjI5ZjZiMTIzNAbpAAAAGFRhYmxlLkludmVudFRyYW5zLkl0ZW1JZAoKCgoBOwAAADgAAAAJ6gAAAAnrAAAACewAAAAG7QAAAAhJdGVtTmFtZQbuAAAACUl0ZW0gbmFtZQbvAAAABlN0cmluZwkIAAAABvEAAAAkZjBkNjA4NzgtYWI2YS00YjBkLWJiMGYtOWM4ZjUzZGJiN2U5AQ7///84/////////wMAAAABDf///zf///8AAAAAAQz///82////AgAAAAAAAAAAAQv///81////AAAAAAoBAAAAAAAAAAADAAAAAAb2AAAAJGEwMjFkNzNjLWFlNjUtNDk4Ni1iZjNkLTA2YzQzNzliZGM5Mwb3AAAAM1RhYmxlLkludmVudFRyYW5zLkl0ZW1JZH5UYWJsZS5JbnZlbnRUYWJsZS5JdGVtTmFtZQoKCgoBPAAAADgAAAAJ+AAAAAn5AAAACfoAAAAG+wAAAAxJbnZlbnRTaXRlSWQG/AAAAARTaXRlBv0AAAAGU3RyaW5nCQgAAAAG/wAAACQ5M2Y3Yzk4MC0yMmNjLTQ2ODctODg4NS01NTY3OGM1NmNlNWQBAP///zj/////////BAAAAAH//v//N////wAAAAAB/v7//zb///8CAAAAAAAAAAAB/f7//zX///8AAAAACgEAAAAAAAAAAAQAAAAABgQBAAAkNGJmMzI5OGQtZjdiNS00YTRiLTk1ZmYtNzQ0N2VmYTdmODk0BgUBAAA6VGFibGUuSW52ZW50VHJhbnMuaW52ZW50RGltSWR+VGFibGUuSW52ZW50RGltLkludmVudFNpdGVJZAoKCgoBPQAAADgAAAAJBgEAAAkHAQAACQgBAAAGCQEAABBJbnZlbnRMb2NhdGlvbklkBgoBAAAJV2FyZWhvdXNlBgsBAAAGU3RyaW5nCQgAAAAGDQEAACRmY2M1YTlhMS1mZjI5LTQ4ZGYtYjE2ZC05NDllZGUwNjFjZDgB8v7//zj/////////BQAAAAHx/v//N////wAAAAAB8P7//zb///8CAAAAAAAAAAAB7/7//zX///8AAAAACgEAAAAAAAAAAAUAAAAABhIBAAAkNDA0OTVmMzQtMzgxMC00MWVjLWE5YjItYTE3ZjljN2U4MTRjBhMBAAA+VGFibGUuSW52ZW50VHJhbnMuaW52ZW50RGltSWR+VGFibGUuSW52ZW50RGltLkludmVudExvY2F0aW9uSWQKCgoKAT4AAAA4AAAACRQBAAAJFQEAAAkWAQAABhcBAAAMRGF0ZVBoeXNpY2FsBhgBAAANUGh5c2ljYWwgZGF0ZQYZAQAABERhdGUJCAAAAAYbAQAAJDk5MTgxYzRiLTlhZmEtNGY0MS1iZDM0LWM3OTkwNmU5NjUwNwHk/v//OP////////8GAAAAAeP+//83////AAAAAAHi/v//Nv///wIAAAAAAAAAAAHh/v//Nf///wAAAAAKAQAAAAAAAAAABgAAAAAGIAEAACRhYzY4MWU3YS02YmRjLTQ1NTEtYjQyNC05NjlmMTU4YzA5OGMGIQEAAB5UYWJsZS5JbnZlbnRUcmFucy5EYXRlUGh5c2ljYWwKCgoKAT8AAAA4AAAACSIBAAAJIwEAAAkkAQAABiUBAAANRGF0ZUZpbmFuY2lhbAYmAQAADkZpbmFuY2lhbCBkYXRlBicBAAAERGF0ZQkIAAAABikBAAAkOTEzM2Q2ZWEtOTY5MC00OTRhLTlhYjQtMWNkMDA1MzkyNWUxAdb+//84/////////wcAAAAB1f7//zf///8AAAAAAdT+//82////AgAAAAAAAAAAAdP+//81////AAAAAAoBAAAAAAAAAAAHAAAAAAYuAQAAJDg0MDRhOTk5LWFkMWYtNGRiNC04MjAzLWYxNmVmOTZhZDAwNwYvAQAAH1RhYmxlLkludmVudFRyYW5zLkRhdGVGaW5hbmNpYWwKCgoKAUAAAAA4AAAACTABAAAJMQEAAAkyAQAABjMBAAADUXR5BjQBAAAIUXVhbnRpdHkGNQEAAARSZWFsCQgAAAAGNwEAACQ3MzAzNDQyMi0zZmJlLTQyN2UtYTVmMC00MWU5MmYwZjI3MmUByP7//zj///8BAAAACAAAAAHH/v//N////wAAAAABxv7//zb///8CAAAAAAAAAAABxf7//zX///8AAAAACgEAAAAAAAAAAAgAAAAABjwBAAAkNTUwMGRjMzYtZjczOC00MWI0LWIxNTUtNjdhNzkyOGM1NzU0Bj0BAAAVVGFibGUuSW52ZW50VHJhbnMuUXR5CgoKCgFBAAAAOAAAAAk+AQAACT8BAAAJQAEAAAZBAQAABlVuaXRJZAZCAQAABFVuaXQGQwEAAAZTdHJpbmcJCAAAAAZFAQAAJDc2MTU2Y2YzLTRiZDctNDJmOC1iZTRjLWM5MWIyODEyYjQxYwG6/v//OP////////8JAAAAAbn+//83////AAAAAAG4/v//Nv///wIAAAAAAAAAAAG3/v//Nf///wAAAAAKAQAAAAAAAAAACQAAAAAGSgEAACQ2ODE4ODNiMS1kNmE1LTQ0ZGEtODA4ZS1iOWFkMjY5Y2I4ZjYGSwEAAFBUYWJsZS5JbnZlbnRUcmFucy5JdGVtSWR+VGFibGUuSW52ZW50VGFibGUuSXRlbUlkflRhYmxlLkludmVudFRhYmxlTW9kdWxlLlVuaXRJZAoKCgoBQgAAADgAAAAJTAEAAAlNAQAACU4BAAAGTwEAAA1JbnZlbnRUcmFuc0lkBlABAAAGTG90IElEBlEBAAAGU3RyaW5nCQgAAAAGUwEAACQzZmEyYTQxZi01NGVlLTQ2NjctOGM2Zi1lMGMzYTM2ODcxYWIBrP7//zj/////////CgAAAAGr/v//N////wAAAAABqv7//zb///8CAAAAAAAAAAABqf7//zX///8AAAAACgEAAAAAAAAAAAoAAAAABlgBAAAkZmMwMzJmY2UtODNkZi00MjRhLTk5MmUtMGUwNDMzYWNlYjZkBlkBAAAfVGFibGUuSW52ZW50VHJhbnMuSW52ZW50VHJhbnNJZAoKCgoBQwAAADgAAAAJWgEAAAlbAQAACVwBAAAGXQEAADdBdGxhc01hbmFnZWRDb2x1bW5fNWRlNTliMTMtMjhhMC00MmFkLWI4YzYtMTlkMjM1Njc2MjNhBl4BAAASVmVuZEludm9pY2VUcmFuc0lkCQgAAAAJCAAAAAZgAQAAJGU0OTYyMDZmLTljOGEtNGEzMy1iNzcyLTBkYmFmZmFjYzVkNQGf/v//OP////////8LAAAAAZ7+//83////AgAAAAGd/v//Nv///wIAAAAAAAAAAAGc/v//Nf///wAAAAAKAQAAAAAAAAAACwAAAAAGZQEAACQyMjhlMTQxMC0wNzg0LTQ0OWMtODg1MS05M2Q5YTdjM2Q4MWIJCAAAAAoKCgoBRAAAADgAAAAJZwEAAAloAQAACWkBAAAGagEAADdBdGxhc01hbmFnZWRDb2x1bW5fZGI5ZDQ3ZTUtMmFhMi00ZWU3LThjODUtNWU1OTI5ODg2OWQxBmsBAAAIQ3VycmVuY3kJCAAAAAkIAAAABm0BAAAkZWZmZWRjNmEtZmExOC00MDJmLTk0ZDUtYjEzMzk0OGZmZTIzAZL+//84/////////wwAAAABkf7//zf///8CAAAAAZD+//82////AgAAAAAAAAAAAY/+//81////AAAAAAoBAAAAAAAAAAAMAAAAAAZyAQAAJDcwMDAyZDY1LTA4OTktNDUwYy04MGQ4LTQ3MmU2NDljNDAzMgkIAAAACgoKCgFFAAAAOAAAAAl0AQAACXUBAAAJdgEAAAZ3AQAAN0F0bGFzTWFuYWdlZENvbHVtbl9jNmVmN2IxZC1iODZhLTQ1MWMtYTg0NS0zZjk4ZDhlZmFhMjAGeAEAABxUUFAgKFB1cmNoYXNlIGludm9pY2UgdHJhbnMpCQgAAAAJCAAAAAZ6AQAAJDFkNGJlOTFkLTNjZDktNDYzNC04ZjRmLTc2MmRhMjU1YWVlOAGF/v//OP////////8NAAAAAYT+//83////AgAAAAGD/v//Nv///wIAAAAAAAAAAAGC/v//Nf///wAAAAAKAQAAAAAAAAAADQAAAAAGfwEAACQ2Mjk1MDdiOS0zOWFjLTQxNmQtYjA4YS1lN2IzZTJmMTBlZjMJCAAAAAoKCgoBgwAAABIAAAAHhA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ggEAABtUYWJsZS5JbnZlbnRUcmFucy5UcmFuc1R5cGUJgwEAAAF8/v//f/7//waFAQAAHFRhYmxlLkludmVudFRyYW5zLlRyYW5zUmVmSWQJhgEAAAF5/v//f/7//waIAQAAGFRhYmxlLkludmVudFRyYW5zLkl0ZW1JZAmJAQAAAXb+//9//v//BosBAAAeVGFibGUuSW52ZW50VHJhbnMuRGF0ZVBoeXNpY2FsCYwBAAABc/7//3/+//8GjgEAAB9UYWJsZS5JbnZlbnRUcmFucy5EYXRlRmluYW5jaWFsCY8BAAABcP7//3/+//8GkQEAABVUYWJsZS5JbnZlbnRUcmFucy5RdHkJkgEAAAFt/v//f/7//waUAQAAH1RhYmxlLkludmVudFRyYW5zLkludmVudFRyYW5zSWQJlQEAAAeG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XAQAAH1RhYmxlLkludmVudFRyYW5zLkRhdGVGaW5hbmNpYWwJmAEAAAFn/v//av7//waaAQAAGFRhYmxlLkludmVudFRyYW5zLkl0ZW1JZAmbAQAAB4g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T+///U////CTAAAAAJMQAAAAFh/v//1P///wk2AAAACTcAAAAEiQ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4AAAAhAAAAAQAAAAmiAQAAAwAAAAmjAQAABI8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gAAAAQAAAABAAAACaIBAAADAAAACaYBAAABmwAAACkAAAAAAAAACacBAAAAAAAAAaAAAAAhAAAAAQAAAAmiAQAAAwAAAAmpAQAAAaEAAAAiAAAAAQAAAAkSAAAAAwAAAAmrAQAABK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tAAAAKQAAAAAAAAAJpwEAAAAAAAABsgAAACEAAAACAAAACaIBAAADAAAACa8BAAAEs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2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EAAAAAAAABvwAAACkAAAAAAAAACacBAAAAAAAABMA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bMBAAABAAAAAQAAAATB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kAAAAJtAEAAAcAAAAJtQEAAAT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tgEAAAcAAAAJtwEAAAHOAAAAwAAAAAm4AQAAAQAAAAEAAAABzwAAAMEAAACJAAAACbQBAAAHAAAACboBAAAE0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YBAAAHAAAACbwBAAAB3AAAAMAAAAAJvQEAAAEAAAABAAAAAd0AAADBAAAAigAAAAm0AQAABwAAAAm/AQAABN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m2AQAABwAAAAnBAQAAAeoAAADAAAAACcIBAAABAAAAAQAAAAHrAAAAwQAAAIEAAAAJwwEAAAcAAAAJxAEAAAT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ogEAAAcAAAAJxgEAAAH4AAAAwAAAAAnHAQAAAQAAAAEAAAAB+QAAAMEAAACBAAAACcMBAAAHAAAACckBAAAE+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aIBAAAHAAAACcsBAAABBgEAAMAAAAAJzAEAAAEAAAABAAAAAQcBAADBAAAAgQAAAAnDAQAABwAAAAnOAQAABA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miAQAABwAAAAnQAQAAARQBAADAAAAACdEBAAABAAAAAQAAAAEVAQAAwQAAAIkAAAAJtAEAAAcAAAAJ0wE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tgEAAAcAAAAJ1QEAAAEiAQAAwAAAAAnWAQAAAQAAAAEAAAABIwEAAMEAAACJAAAACbQBAAAHAAAACdgBAAAEJ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YBAAAHAAAACdoBAAABMAEAAMAAAAAJ2wEAAAEAAAABAAAAATEBAADBAAAAiQAAAAm0AQAABwAAAAndAQAABD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m2AQAABwAAAAnfAQAAAT4BAADAAAAACeABAAABAAAAAQAAAAE/AQAAwQAAAIEAAAAJwwEAAAcAAAAJ4gEAAAR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ogEAAAcAAAAJ5AEAAAFMAQAAwAAAAAnlAQAAAQAAAAEAAAABTQEAAMEAAACJAAAACbQBAAAHAAAACecBAAAET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bYBAAAHAAAACekBAAABWgEAAMAAAAAJ6gEAAAAAAAAAAAAAAVsBAADBAAAASwAAAAnrAQAABwAAAAnsAQAABF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ntAQAABwAAAAnuAQAAAWcBAADAAAAACe8BAAAAAAAAAAAAAAFoAQAAwQAAAHIAAAAJ8AEAAAcAAAAJ8QEAAAR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8gEAAAcAAAAJ8wEAAAF0AQAAwAAAAAnvAQAAAAAAAAAAAAABdQEAAMEAAAByAAAACfABAAAHAAAACfYBAAAEd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fIBAAAHAAAACfgBAAAFg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B/7//zj/////////AAb6AQAABEVudW0G+wEAAAlSZWZlcmVuY2UJ/AEAAAED/v//Nv///wIAAAAFAv7//zlHbG9iZVNvZnR3YXJlLkF0bGFzNDAuQXRsYXNDb21tb24uTnVtYmVyU2VxdWVuY2VDb25kaXRpb24BAAAAB3ZhbHVlX18ACAIAAAABAAAAAAAG/wEAABFUYWJsZS5JbnZlbnRUcmFucwnDAAAACQgAAAAK/////wn/AQAACgnDAAAACgoKCQgAAAAJBQIAAAkIAAAAAYYBAACDAQAAAfn9//84/////////wAGCAIAAAZTdHJpbmcGCQIAAAZOdW1iZXIJ/AEAAAH1/f//Nv///wIAAAAB9P3//wL+//8BAAAAAAAJ/wEAAAnRAAAACQgAAAAK/////wn/AQAACgnRAAAACgoKCQgAAAAJEwIAAAkIAAAAAYkBAACDAQAAAev9//84/////////wAGFgIAAAZTdHJpbmcGFwIAAAtJdGVtIG51bWJlcgn8AQAAAef9//82////AgAAAAHm/f//Av7//wEAAAAAAAn/AQAACd8AAAAJCAAAAAr/////Cf8BAAAKCd8AAAAKCgoJCAAAAAkhAgAACQgAAAABjAEAAIMBAAAB3f3//zj/////////AAYkAgAABERhdGUGJQIAAA1QaHlzaWNhbCBkYXRlCfwBAAAB2f3//zb///8CAAAAAdj9//8C/v//AQAAAAAACf8BAAAJFwEAAAkIAAAACv////8J/wEAAAoJFwEAAAoKCgkIAAAACS8CAAAJCAAAAAGPAQAAgwEAAAHP/f//OP////////8ABjICAAAERGF0ZQYzAgAADkZpbmFuY2lhbCBkYXRlCfwBAAABy/3//zb///8CAAAAAcr9//8C/v//AQAAAAAACf8BAAAJJQEAAAkIAAAACv////8J/wEAAAoJJQEAAAoKCgkIAAAACT0CAAAJCAAAAAGSAQAAgwEAAAHB/f//OP///wEAAAAABkACAAAEUmVhbAZBAgAACFF1YW50aXR5CfwBAAABvf3//zb///8CAAAAAbz9//8C/v//AQAAAAAACf8BAAAJMwEAAAkIAAAACv////8J/wEAAAoJMwEAAAoKCgkIAAAACUsCAAAJCAAAAAGVAQAAgwEAAAGz/f//OP////////8ABk4CAAAGU3RyaW5nBk8CAAAGTG90IElECfwBAAABr/3//zb///8CAAAAAa79//8C/v//AQAAAAAACf8BAAAJTwEAAAkIAAAACv////8J/wEAAAoJTwEAAAoKCgkIAAAACVkCAAAJCAAAAAWY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WwIAABFUYWJsZS5JbnZlbnRUcmFucwZcAgAADURhdGVGaW5hbmNpYWwJCAAAAAZeAgAAGDA0LjAxLjIwMTcgLi4gMDYuMzAuMjAxN/////8JWwIAAAoJXAIAAAoKCgkIAAAACWICAAAJCAAAAAGbAQAAmAEAAAlbAgAABmUCAAAGSXRlbUlkCQgAAAAGZwIAACFMQUNMRUFOMjBBVCxMQUNBTjAyUEVULExBQ0xFQU4wMDL/////CVsCAAAKCWUCAAAKCgoJCAAAAAlr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/3//3/+//8GbgIAADNUYWJsZS5JbnZlbnRUcmFucy5JdGVtSWR+VGFibGUuSW52ZW50VGFibGUuSXRlbU5hbWUJbwIAAAem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Q/f//1P///wkzAAAACTQAAAABpwEAAIkAAAAHq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f3//3/+//8GdAIAAFBUYWJsZS5JbnZlbnRUcmFucy5JdGVtSWR+VGFibGUuSW52ZW50VGFibGUuSXRlbUlkflRhYmxlLkludmVudFRhYmxlTW9kdWxlLlVuaXRJZAl1AgAAB6s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K/f//av7//wZ3AgAAVFRhYmxlLkludmVudFRyYW5zLkl0ZW1JZH5UYWJsZS5JbnZlbnRUYWJsZS5JdGVtSWR+VGFibGUuSW52ZW50VGFibGVNb2R1bGUuTW9kdWxlVHlwZQl4AgAAB68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f9//9//v//BnoCAAA6VGFibGUuSW52ZW50VHJhbnMuaW52ZW50RGltSWR+VGFibGUuSW52ZW50RGltLkludmVudFNpdGVJZAl7AgAAAYT9//9//v//Bn0CAAA+VGFibGUuSW52ZW50VHJhbnMuaW52ZW50RGltSWR+VGFibGUuSW52ZW50RGltLkludmVudExvY2F0aW9uSWQJfgIAAAezAQAAAAEAAAAEAAAABDdHbG9iZVNvZnR3YXJlLkF0bGFzNDAuQXRsYXNDb21tb24uVHlwZS5GaWVsZE91dHB1dEZpZWxkAgAAAAmDAQAADQMEt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ID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f/3//zJHbG9iZVNvZnR3YXJlLkF0bGFzNDAuQXRsYXNDb21tb24uQ29sdW1uQXR0cmlidXRlcwEAAAAHdmFsdWVfXwAIAgAAABAAAAAGggIAAAROb25lAX39//+A/f//AXz9//9//f//CQAAAAkIAAAAAXr9//+A/f//AXn9//9//f//CwAAAAaIAgAAATABd/3//4D9//8Bdv3//3/9//8EAAAABosCAAAHR2VuZXJhbAF0/f//gP3//wFz/f//f/3//wIAAAAGjgIAAAExAXH9//+A/f//AXD9//9//f//AAAAAAaRAgAABTEzLjcxAbYBAAASAAAAB7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TAgAACEZvbnRCb2xkBpQCAAAFRmFsc2UBa/3//279//8GlgIAAApGb250SXRhbGljCZQCAAABaP3//279//8GmQIAAA1Gb250VW5kZXJsaW5lBpoCAAAFLTQxNDIBZf3//279//8GnAIAAAhGb250TmFtZQadAgAAB0NhbGlicmkBYv3//279//8GnwIAAAlGb250Q29sb3IGoAIAAAEwAV/9//9u/f//BqICAAAIRm9udFNpemUGowIAAAIxMQFc/f//bv3//walAgAACUZvbnRTdHlsZQamAgAAB1JlZ3VsYXIHuAEAAAABAAAABAAAAAQ3R2xvYmVTb2Z0d2FyZS5BdGxhczQwLkF0bGFzQ29tbW9uLlR5cGUuRmllbGRPdXRwdXRGaWVsZAIAAAAJhgEAAA0DB7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Y/f//gP3//wFX/f//f/3//xAAAAAJggIAAAFV/f//gP3//wFU/f//f/3//wkAAAAJCAAAAAFS/f//gP3//wFR/f//f/3//wsAAAAGsAIAAAExAU/9//+A/f//AU79//9//f//BAAAAAazAgAAB0dlbmVyYWwBTP3//4D9//8BS/3//3/9//8CAAAABrYCAAABMQFJ/f//gP3//wFI/f//f/3//wAAAAAGuQIAAAUxMC44Nge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//9u/f//CZMCAAAJlAIAAAFD/f//bv3//wmWAgAACZQCAAABQP3//279//8JmQIAAAbCAgAABS00MTQyAT39//9u/f//CZwCAAAGxQIAAAdDYWxpYnJpATr9//9u/f//CZ8CAAAGyAIAAAEwATf9//9u/f//CaICAAAGywIAAAIxMQE0/f//bv3//wmlAgAABs4CAAAHUmVndWxhcge9AQAAAAEAAAAEAAAABDdHbG9iZVNvZnR3YXJlLkF0bGFzNDAuQXRsYXNDb21tb24uVHlwZS5GaWVsZE91dHB1dEZpZWxkAgAAAAmJAQAADQMHv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D9//+A/f//AS/9//9//f//BgAAAAbSAgAABVRvdGFsAS39//+A/f//ASz9//9//f//EAAAAAmCAgAAASr9//+A/f//ASn9//9//f//CQAAAAkIAAAAASf9//+A/f//ASb9//9//f//CwAAAAbbAgAAATIBJP3//4D9//8BI/3//3/9//8EAAAABt4CAAAHR2VuZXJhbAEh/f//gP3//wEg/f//f/3//wIAAAAG4QIAAAExAR79//+A/f//AR39//9//f//AAAAAAbkAgAABTEzLjcxB8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3//279//8JkwIAAAmUAgAAARj9//9u/f//CZYCAAAJlAIAAAEV/f//bv3//wmZAgAABu0CAAAFLTQxNDIBEv3//279//8JnAIAAAbwAgAAB0NhbGlicmkBD/3//279//8JnwIAAAbzAgAAATABDP3//279//8JogIAAAb2AgAAAjExAQn9//9u/f//CaUCAAAG+QIAAAdSZWd1bGFyB8IBAAAAAQAAAAQAAAAEN0dsb2JlU29mdHdhcmUuQXRsYXM0MC5BdGxhc0NvbW1vbi5UeXBlLkZpZWxkT3V0cHV0RmllbGQCAAAACW8CAAANAwHDAQAAtAEAAAf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f3//4D9//8BBP3//3/9//8JAAAACQgAAAABAv3//4D9//8BAf3//3/9//8LAAAABgADAAABMwH//P//gP3//wH+/P//f/3//wQAAAAGAwMAAAdHZW5lcmFsAfz8//+A/f//Afv8//9//f//AgAAAAYGAwAAATEB+fz//4D9//8B+Pz//3/9//8AAAAABgkDAAAFMzQuMTQHx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2/P//bv3//wmTAgAACZQCAAAB8/z//279//8JlgIAAAmUAgAAAfD8//9u/f//CZkCAAAGEgMAAAUtNDE0MgHt/P//bv3//wmcAgAABhUDAAAHQ2FsaWJyaQHq/P//bv3//wmfAgAABhgDAAABMAHn/P//bv3//wmiAgAABhsDAAACMTEB5Pz//279//8JpQIAAAYeAwAAB1JlZ3VsYXIHxwEAAAABAAAABAAAAAQ3R2xvYmVTb2Z0d2FyZS5BdGxhczQwLkF0bGFzQ29tbW9uLlR5cGUuRmllbGRPdXRwdXRGaWVsZAIAAAAJewIAAA0DB8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g/P//gP3//wHf/P//f/3//wkAAAAJCAAAAAHd/P//gP3//wHc/P//f/3//wsAAAAGJQMAAAE0Adr8//+A/f//Adn8//9//f//BAAAAAYoAwAAB0dlbmVyYWwB1/z//4D9//8B1vz//3/9//8CAAAABisDAAABMQHU/P//gP3//wHT/P//f/3//wAAAAAGLgMAAAE2B8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fz//279//8JkwIAAAmUAgAAAc78//9u/f//CZYCAAAJlAIAAAHL/P//bv3//wmZAgAABjcDAAAFLTQxNDIByPz//279//8JnAIAAAY6AwAAB0NhbGlicmkBxfz//279//8JnwIAAAY9AwAAATABwvz//279//8JogIAAAZAAwAAAjExAb/8//9u/f//CaUCAAAGQwMAAAdSZWd1bGFyB8wBAAAAAQAAAAQAAAAEN0dsb2JlU29mdHdhcmUuQXRsYXM0MC5BdGxhc0NvbW1vbi5UeXBlLkZpZWxkT3V0cHV0RmllbGQCAAAACX4CAAANAwfO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z//4D9//8Buvz//3/9//8JAAAACQgAAAABuPz//4D9//8Bt/z//3/9//8LAAAABkoDAAABNQG1/P//gP3//wG0/P//f/3//wQAAAAGTQMAAAdHZW5lcmFsAbL8//+A/f//AbH8//9//f//AgAAAAZQAwAAATEBr/z//4D9//8Brvz//3/9//8AAAAABlMDAAAFMTIuODYH0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P//bv3//wmTAgAACZQCAAABqfz//279//8JlgIAAAmUAgAAAab8//9u/f//CZkCAAAGXAMAAAUtNDE0MgGj/P//bv3//wmcAgAABl8DAAAHQ2FsaWJyaQGg/P//bv3//wmfAgAABmIDAAABMAGd/P//bv3//wmiAgAABmUDAAACMTEBmvz//279//8JpQIAAAZoAwAAB1JlZ3VsYXIH0QEAAAABAAAABAAAAAQ3R2xvYmVTb2Z0d2FyZS5BdGxhczQwLkF0bGFzQ29tbW9uLlR5cGUuRmllbGRPdXRwdXRGaWVsZAIAAAAJjAEAAA0DB9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W/P//gP3//wGV/P//f/3//xAAAAAJggIAAAGT/P//gP3//wGS/P//f/3//wkAAAAJCAAAAAGQ/P//gP3//wGP/P//f/3//wsAAAAGcgMAAAE2AY38//+A/f//AYz8//9//f//BAAAAAZ1AwAACG0vZC95eXl5AYr8//+A/f//AYn8//9//f//AgAAAAZ4AwAAATEBh/z//4D9//8Bhvz//3/9//8AAAAABnsDAAAFMTQuMTQH1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bv3//wmTAgAACZQCAAABgfz//279//8JlgIAAAmUAgAAAX78//9u/f//CZkCAAAGhAMAAAUtNDE0MgF7/P//bv3//wmcAgAABocDAAAHQ2FsaWJyaQF4/P//bv3//wmfAgAABooDAAABMAF1/P//bv3//wmiAgAABo0DAAACMTEBcvz//279//8JpQIAAAaQAwAAB1JlZ3VsYXIH1gEAAAABAAAABAAAAAQ3R2xvYmVTb2Z0d2FyZS5BdGxhczQwLkF0bGFzQ29tbW9uLlR5cGUuRmllbGRPdXRwdXRGaWVsZAIAAAAJjwEAAA0DB9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P//gP3//wFt/P//f/3//xAAAAAJggIAAAFr/P//gP3//wFq/P//f/3//wkAAAAJCAAAAAFo/P//gP3//wFn/P//f/3//wsAAAAGmgMAAAE3AWX8//+A/f//AWT8//9//f//BAAAAAadAwAACG0vZC95eXl5AWL8//+A/f//AWH8//9//f//AgAAAAagAwAAATEBX/z//4D9//8BXvz//3/9//8AAAAABqMDAAACMTUH2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/P//bv3//wmTAgAACZQCAAABWfz//279//8JlgIAAAmUAgAAAVb8//9u/f//CZkCAAAGrAMAAAUtNDE0MgFT/P//bv3//wmcAgAABq8DAAAHQ2FsaWJyaQFQ/P//bv3//wmfAgAABrIDAAABMAFN/P//bv3//wmiAgAABrUDAAACMTEBSvz//279//8JpQIAAAa4AwAAB1JlZ3VsYXIH2wEAAAABAAAABAAAAAQ3R2xvYmVTb2Z0d2FyZS5BdGxhczQwLkF0bGFzQ29tbW9uLlR5cGUuRmllbGRPdXRwdXRGaWVsZAIAAAAJkgEAAA0DB90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P//gP3//wFF/P//f/3//xAAAAAJggIAAAFD/P//gP3//wFC/P//f/3//wkAAAAJCAAAAAFA/P//gP3//wE//P//f/3//wsAAAAGwgMAAAE4AT38//+A/f//ATz8//9//f//BAAAAAbFAwAAB0dlbmVyYWwBOvz//4D9//8BOfz//3/9//8CAAAABsgDAAABMQE3/P//gP3//wE2/P//f/3//wAAAAAGywMAAAUxMC4yOQf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T8//9u/f//CZMCAAAJlAIAAAEx/P//bv3//wmWAgAACZQCAAABLvz//279//8JmQIAAAbUAwAABS00MTQyASv8//9u/f//CZwCAAAG1wMAAAdDYWxpYnJpASj8//9u/f//CZ8CAAAG2gMAAAEwASX8//9u/f//CaICAAAG3QMAAAIxMQEi/P//bv3//wmlAgAABuADAAAHUmVndWxhcgfgAQAAAAEAAAAEAAAABDdHbG9iZVNvZnR3YXJlLkF0bGFzNDAuQXRsYXNDb21tb24uVHlwZS5GaWVsZE91dHB1dEZpZWxkAgAAAAl1AgAADQMH4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78//+A/f//AR38//9//f//CQAAAAkIAAAAARv8//+A/f//ARr8//9//f//CwAAAAbnAwAAATkBGPz//4D9//8BF/z//3/9//8EAAAABuoDAAAHR2VuZXJhbAEV/P//gP3//wEU/P//f/3//wIAAAAG7QMAAAExARL8//+A/f//ARH8//9//f//AAAAAAbwAwAABDYuNDMH5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/P//bv3//wmTAgAACZQCAAABDPz//279//8JlgIAAAmUAgAAAQn8//9u/f//CZkCAAAG+QMAAAUtNDE0MgEG/P//bv3//wmcAgAABvwDAAAHQ2FsaWJyaQED/P//bv3//wmfAgAABv8DAAABMAEA/P//bv3//wmiAgAABgIEAAACMTEB/fv//279//8JpQIAAAYFBAAAB1JlZ3VsYXIH5QEAAAABAAAABAAAAAQ3R2xvYmVTb2Z0d2FyZS5BdGxhczQwLkF0bGFzQ29tbW9uLlR5cGUuRmllbGRPdXRwdXRGaWVsZAIAAAAJlQEAAA0DB+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5+///gP3//wH4+///f/3//xAAAAAJggIAAAH2+///gP3//wH1+///f/3//wkAAAAJCAAAAAHz+///gP3//wHy+///f/3//wsAAAAGDwQAAAIxMAHw+///gP3//wHv+///f/3//wQAAAAGEgQAAAdHZW5lcmFsAe37//+A/f//Aez7//9//f//AgAAAAYVBAAAATEB6vv//4D9//8B6fv//3/9//8AAAAABhgEAAAEOS40Mwf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7//9u/f//CZMCAAAJlAIAAAHk+///bv3//wmWAgAACZQCAAAB4fv//279//8JmQIAAAYhBAAABS00MTQyAd77//9u/f//CZwCAAAGJAQAAAdDYWxpYnJpAdv7//9u/f//CZ8CAAAGJwQAAAEwAdj7//9u/f//CaICAAAGKgQAAAIxMQHV+///bv3//wmlAgAABi0EAAAHUmVndWxhcgfqAQAAAAEAAAAAAAAABDdHbG9iZVNvZnR3YXJlLkF0bGFzNDAuQXRsYXNDb21tb24uVHlwZS5GaWVsZE91dHB1dEZpZWxkAgAAAAHrAQAAtAEAAAf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vv//4D9//8B0fv//3/9//8kAAAACV4BAAABz/v//4D9//8Bzvv//3/9//8LAAAABjMEAAACMTEBzPv//4D9//8By/v//3/9//8EAAAABjYEAAAHR2VuZXJhbAHJ+///gP3//wHI+///f/3//wIAAAAGOQQAAAExAcb7//+A/f//AcX7//9//f//AAAAAAY8BAAABTIwLjQzAcP7//+A/f//AcL7//9//f//AwAAAAY/BAAAngE9SUYoW0BSZWZlcmVuY2VdPSJQdXJjaGFzZSBvcmRlciIsQXRsYXNUYWJsZSgiUFJPRCIsRGF0YUFyZWFJZCwiVC5WZW5kSW52b2ljZVRyYW5zIiwiJVJlY0lkIiwiIiwiIiwiIiwiIiwiIiwiIiwiSXRlbUlkfFB1cmNoSUR8SW52ZW50VHJhbnNJZCIsJEMzLCRCMywkSzMpLCIiKQHtAQAAEgAAAAf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7//9u/f//BkEEAAAIRm9udEJvbGQJlAIAAAG9+///bv3//wZEBAAACkZvbnRJdGFsaWMJlAIAAAG6+///bv3//wZHBAAADUZvbnRVbmRlcmxpbmUGSAQAAAUtNDE0MgG3+///bv3//wZKBAAACEZvbnROYW1lBksEAAAHQ2FsaWJyaQG0+///bv3//wZNBAAACUZvbnRDb2xvcgZOBAAAATABsfv//279//8GUAQAAAhGb250U2l6ZQZRBAAAAjExAa77//9u/f//BlMEAAAJRm9udFN0eWxlBlQEAAAHUmVndWxhcgfvAQAAAAEAAAAAAAAABDdHbG9iZVNvZnR3YXJlLkF0bGFzNDAuQXRsYXNDb21tb24uVHlwZS5GaWVsZE91dHB1dEZpZWxkAgAAAAHwAQAAtAEAAAfx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v//4D9//8Bqvv//3/9//8kAAAACWsBAAABqPv//4D9//8Bp/v//3/9//8LAAAABloEAAACMTIBpfv//4D9//8BpPv//3/9//8EAAAABl0EAAAHR2VuZXJhbAGi+///gP3//wGh+///f/3//wIAAAAGYAQAAAExAZ/7//+A/f//AZ77//9//f//AAAAAAZjBAAABTEwLjQzAZz7//+A/f//AZv7//9//f//AwAAAAZmBAAAqgE9SUYoW0BSZWZlcmVuY2VdPSJQdXJjaGFzZSBvcmRlciIsQXRsYXNUYWJsZSgiUFJPRCIsRGF0YUFyZWFJZCwiVC5NYXJrdXBUcmFucyIsIiVDdXJyZW5jeUNvZGUiLCIiLCIiLCIiLCIiLCIiLCIiLCJNYXJrdXBDb2RlfFRyYW5zUmVjSWR8VHJhbnNUYWJsZUlkIiwiVFBQIiwkTDMsIjQ5MiIpLCIiKQHyAQAAEgAAAAf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7//9u/f//BmgEAAAIRm9udEJvbGQJlAIAAAGW+///bv3//wZrBAAACkZvbnRJdGFsaWMJlAIAAAGT+///bv3//wZuBAAADUZvbnRVbmRlcmxpbmUGbwQAAAUtNDE0MgGQ+///bv3//wZxBAAACEZvbnROYW1lBnIEAAAHQ2FsaWJyaQGN+///bv3//wZ0BAAACUZvbnRDb2xvcgZ1BAAAATABivv//279//8GdwQAAAhGb250U2l6ZQZ4BAAAAjExAYf7//9u/f//BnoEAAAJRm9udFN0eWxlBnsEAAAHUmVndWxhcgf2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v//4D9//8Bg/v//3/9//8kAAAACXgBAAABgfv//4D9//8BgPv//3/9//8LAAAABoEEAAACMTMBfvv//4D9//8Bffv//3/9//8EAAAABoQEAAAHR2VuZXJhbAF7+///gP3//wF6+///f/3//wIAAAAGhwQAAAExAXj7//+A/f//AXf7//9//f//AAAAAAaKBAAAAjI4AXX7//+A/f//AXT7//9//f//AwAAAAaNBAAAqwE9SUYoW0BSZWZlcmVuY2VdPSJQdXJjaGFzZSBvcmRlciIsQXRsYXNCYWxhbmNlKCJQUk9EIixEYXRhQXJlYUlkLCJULk1hcmt1cFRyYW5zIiwiU3VtfFBvc3RlZHwwIiwiIiwiIiwiIiwiIiwiIiwiIiwiTWFya3VwQ29kZXxUcmFuc1RhYmxlSWR8VHJhbnNSZWNJZCIsIlRQUCIsIjQ5MiIsJEwzKSwiIikH+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+///bv3//wloBAAACZQCAAABb/v//279//8JawQAAAmUAgAAAWz7//9u/f//CW4EAAAGlgQAAAUtNDE0MgFp+///bv3//wlxBAAABpkEAAAHQ2FsaWJyaQFm+///bv3//wl0BAAABpwEAAABMAFj+///bv3//wl3BAAABp8EAAACMTEBYPv//279//8JegQAAAaiBAAAB1JlZ3VsYXIB/AEAAA4AAACxAAAABqMEAAALSW52ZW50VHJhbnMGpAQAABZJbnZlbnRvcnkgdHJhbnNhY3Rpb25zCQgAAAAJCAAAAAkIAAAAAVr7///g////AAAAAAmnBAAACagEAAABV/v//93////+2hPNUKGMR7xQeVAaoNHPCQgAAAAJCAAAAAmrBAAACf8BAAAKCgoKCgEAAAABU/v//9n///8AAAAAAVL7///Y////AAAAAAAJrwQAAAQ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sQQAAAQ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swQAAAQh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tQQAAAQv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twQAAAQ9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uQQAAAR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uwQ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sAAAAJtgEAAAMAAAAJvQQAAAR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vwQAAAR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wQQAAAFvAgAAgwEAAAE++///OP////////8ABsMEAAAGU3RyaW5nBsQEAAAJSXRlbSBuYW1lCTEAAAABOvv//zb///8CAAAAATn7//8C/v//AQAAAAAACTAAAAAJ7QAAAAkIAAAACv////8JMAAAAAoJ7QAAAAbNBAAABkl0ZW1JZAbOBAAAC0ludmVudFRyYW5zCgkIAAAACdAEAAAJCAAAAAF1AgAAgwEAAAEu+///OP////////8ABtMEAAAGU3RyaW5nBtQEAAAEVW5pdAk0AAAAASr7//82////AgAAAAEp+///Av7//wEAAAAAAAkzAAAACUEBAAAJCAAAAAr/////CTMAAAAKCUEBAAAG3QQAAAZJdGVtSWQG3gQAAAtJbnZlbnRUYWJsZQoJCAAAAAngBAAACQgAAAABeAIAAJgBAAAJMwAAAAbjBAAACk1vZHVsZVR5cGUJCAAAAAblBAAABkludmVudP////8JMwAAAAoJ4wQAAAboBAAABkl0ZW1JZAoKCQgAAAAJ6gQAAAkIAAAAAXsCAACDAQAAART7//84/////////wAG7QQAAAZTdHJpbmcG7gQAAARTaXRlCTcAAAABEPv//zb///8CAAAAAQ/7//8C/v//AQAAAAAACTYAAAAJ+wAAAAkIAAAACv////8JNgAAAAoJ+wAAAAb3BAAAC2ludmVudERpbUlkBvgEAAALSW52ZW50VHJhbnMKCQgAAAAJ+gQAAAkIAAAAAX4CAACDAQAAAQT7//84/////////wAG/QQAAAZTdHJpbmcG/gQAAAlXYXJlaG91c2UJNwAAAAEA+///Nv///wIAAAAB//r//wL+//8BAAAAAAAJNgAAAAkJAQAACQgAAAAK/////wk2AAAACgkJAQAABgcFAAALaW52ZW50RGltSWQGCAUAAAtJbnZlbnRUcmFucwoJCAAAAAkKBQAACQgAAAABpwQAACEAAAAKAAAACQwFAAARAAAACQ0FAAAEq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MBQAAAAAAAASr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DAUAAAAAAAABrwQAACkAAAAAAAAACQ8FAAAAAAAAB7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Pr//279//8GEQUAAAhIZWxwVGV4dAYSBQAAMlNwZWNpZnkgdGhlIG1vZHVsZSB0aGF0IGdlbmVyYXRlZCB0aGUgdHJhbnNhY3Rpb24uAe36//9u/f//BhQFAAAFTGFiZWwJ+wEAAAHq+v//bv3//wYXBQAABFR5cGUJ+gEAAAez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6//9u/f//CREFAAAGGwUAADVPcmRlciBudW1iZXIsIHByb2plY3QgbnVtYmVyLCBwcm9kdWN0aW9uIG51bWJlciwgZXRjLgHk+v//bv3//wkUBQAACQkCAAAB4fr//279//8JFwUAAAkIAgAAB7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r//279//8JEQUAAAYkBQAADklkZW50aWZ5IGl0ZW0uAdv6//9u/f//CRQFAAAJFwIAAAHY+v//bv3//wkXBQAACRYCAAAHt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v//bv3//wkRBQAABi0FAAAcRGF0ZSBvZiBwaHlzaWNhbCB0cmFuc2FjdGlvbgHS+v//bv3//wkUBQAACSUCAAABz/r//279//8JFwUAAAkkAgAAB7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r//279//8JEQUAAAY2BQAAHURhdGUgb2YgZmluYW5jaWFsIHRyYW5zYWN0aW9uAcn6//9u/f//CRQFAAAJMwIAAAHG+v//bv3//wkXBQAACTICAAAHu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+v//bv3//wkRBQAABj8FAAAkUXVhbnRpdHkgYXR0YWNoZWQgdG8gdGhlIHRyYW5zYWN0aW9uAcD6//9u/f//CRQFAAAJQQIAAAG9+v//bv3//wkXBQAACUA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6+v//bv3//wkRBQAABkgFAABSU3VtbWFyeSBudW1iZXIvTG90IElEIGZvciB0cmFuc2FjdGlvbnMgYXR0YWNoZWQgdG8gdGhlIHNhbWUgaW52ZW50b3J5IHRyYW5zYWN0aW9uLgG3+v//bv3//wkUBQAACU8CAAABtPr//279//8JFwUAAAlOAgAAB78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r//279//8GUAUAAARUeXBlCTICAAABrvr//279//8GUwUAAAVMYWJlbAkzAgAAAav6//9u/f//BlYFAAAIUmVmZXJzVG8GVwUAAAs9RGF0ZVBlcmlvZAf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6//9u/f//CVAFAAAJFgIAAAGl+v//bv3//wlTBQAACRcCAAABovr//279//8JVgUAAAZgBQAADz0nR2VuZXJhbCchJEMkNwT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YgUAAATg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ZAUAAAT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AAAAAJEgAAAAMAAAAJZgUAAAT6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aAUAAAQK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AAAAJogEAAAMAAAAJagUAAAEMBQAAEgAAAAcNBQ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V+v//f/7//wZsBQAAGFRhYmxlLkludmVudFRyYW5zLkl0ZW1JZAmJAQAAAZL6//9//v//Bm8FAAAfVGFibGUuSW52ZW50VHJhbnMuSW52ZW50VHJhbnNJZAmVAQAAAY/6//9//v//BnIFAAAbVGFibGUuSW52ZW50VHJhbnMuVHJhbnNUeXBlCYMBAAABjPr//3/+//8GdQUAABxUYWJsZS5JbnZlbnRUcmFucy5UcmFuc1JlZklkCYYBAAABifr//3/+//8GeAUAAB5UYWJsZS5JbnZlbnRUcmFucy5EYXRlUGh5c2ljYWwJjAEAAAGG+v//f/7//wZ7BQAAH1RhYmxlLkludmVudFRyYW5zLkRhdGVGaW5hbmNpYWwJjwEAAAGD+v//f/7//wZ+BQAAH1RhYmxlLkludmVudFRyYW5zLlN0YXR1c1JlY2VpcHQJfwUAAAGA+v//f/7//waBBQAAHVRhYmxlLkludmVudFRyYW5zLlN0YXR1c0lzc3VlCYIFAAABffr//3/+//8GhAUAABVUYWJsZS5JbnZlbnRUcmFucy5RdHkJkgEAAAF6+v//f/7//waHBQAAIlRhYmxlLkludmVudFRyYW5zLkNvc3RBbW91bnRQb3N0ZWQJiAUAAAEPBQAAiQAAAAdi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9u/f//BooFAAAFTGFiZWwJxAQAAAF0+v//bv3//waNBQAABFR5cGUJwwQAAAdk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6//9u/f//CYoFAAAJ1AQAAAFu+v//bv3//wmNBQAACdME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v//bv3//wlQBQAABpcFAAAERW51bQFo+v//bv3//wlTBQAABpoFAAALTW9kdWxlIHR5cGUHa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v//bv3//wmKBQAACe4EAAABYvr//279//8JjQUAAAntBAAAB2o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279//8JigUAAAn+BAAAAVz6//9u/f//CY0FAAAJ/QQAAAF/BQAAgwEAAAFZ+v//OP////////8ABqgFAAAERW51bQapBQAADlJlY2VpcHQgc3RhdHVzCfwBAAABVfr//zb///8CAAAAAVT6//8C/v//AQAAAAAACf8BAAAGrgUAAA1TdGF0dXNSZWNlaXB0CQgAAAAK/////wn/AQAACgmuBQAACgoKCQgAAAAJswUAAAkIAAAAAYIFAACDAQAAAUv6//84/////////wAGtgUAAARFbnVtBrcFAAAMSXNzdWUgc3RhdHVzCfwBAAABR/r//zb///8CAAAAAUb6//8C/v//AQAAAAAACf8BAAAGvAUAAAtTdGF0dXNJc3N1ZQkIAAAACv////8J/wEAAAoJvAUAAAoKCgkIAAAACcEFAAAJCAAAAAGIBQAAgwEAAAE9+v//OP////////8ABsQFAAAEUmVhbAbFBQAAFUZpbmFuY2lhbCBjb3N0IGFtb3VudAn8AQAAATn6//82////AgAAAAE4+v//Av7//wEAAAAAAAn/AQAABsoFAAAQQ29zdEFtb3VudFBvc3RlZAkIAAAACv////8J/wEAAAoJygUAAAoKCgkIAAAACc8FAAAJCAAAAASz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tgEAAAMAAAAJ0gUAAATB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tgEAAAMAAAAJ1AUAAATP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tgEAAAMAAAAJ1gUAAAfS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6//9u/f//CREFAAAG2QUAAClTdGF0dXMgb2YgcXVhbnRpdHkgaW4gcmVsYXRpb24gdG8gcmVjZWlwdAEm+v//bv3//wkUBQAACakFAAABI/r//279//8JFwUAAAmoBQ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r//279//8JEQUAAAbiBQAAKVN0YXR1cyBmb3IgcXVhbnRpdHkgaW4gcmVsYXRpb24gdG8gaXNzdWVzAR36//9u/f//CRQFAAAJtwUAAAEa+v//bv3//wkXBQAACbYFAAAH1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+v//bv3//wkRBQAABusFAAA1SW52ZW50b3J5IHZhbHVlIGZvciB0aGUgZmluYW5jaWFsbHkgdXBkYXRlZCBxdWFudGl0eS4BFPr//279//8JFAUAAAnFBQAAARH6//9u/f//CRcFAAAJxAUAAAs=
    <Output>
      <OutputObject name="AtlasReport_1"/>
    </Output>
  </Query>
</Atlas>
</file>

<file path=customXml/item10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z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NAgQl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WAAAAAQAAAAEAAAAEJ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110AAAACdcAAAAHAAAACdgAAAAEJ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dkAAAAHAAAACdoAAAABMwAAACUAAAAJ2wAAAAEAAAABAAAAATQAAAAmAAAAbAAAAAnXAAAABwAAAAndAAAAATUAAAAnAAAAaQAAAAnZAAAABwAAAAnfAAAAAUEAAAAlAAAACeAAAAABAAAAAQAAAAFCAAAAJgAAAGwAAAAJ1wAAAAcAAAAJ4gAAAAFDAAAAJwAAAGkAAAAJ2QAAAAcAAAAJ5AAAAAFPAAAAJQAAAAnlAAAAAQAAAAEAAAABUAAAACYAAAB0AAAACdcAAAAHAAAACecAAAABUQAAACcAAABwAAAACdkAAAAHAAAACekAAAABXQAAACUAAAAJ6gAAAAEAAAABAAAAAV4AAAAmAAAAdAAAAAnXAAAABwAAAAnsAAAAAV8AAAAnAAAAcAAAAAnZAAAABwAAAAnuAAAAAWsAAAAlAAAACe8AAAAAAAAAAAAAAAFsAAAAJgAAAGsAAAAJ1wAAAAcAAAAJ8QAAAAFtAAAAJwAAAGIAAAAJ2QAAAAcAAAAJ8wAAAAF4AAAAJQAAAAnvAAAAAAAAAAAAAAABeQAAACYAAABrAAAACdcAAAAHAAAACfYAAAABegAAACcAAABiAAAACdkAAAAHAAAACfgAAAABhQAAACUAAAAJ7wAAAAAAAAAAAAAAAYYAAAAmAAAAagAAAAnXAAAABwAAAAn7AAAAAYcAAAAnAAAAYgAAAAnZAAAABwAAAAn9AAAAAZIAAAAlAAAACe8AAAAAAAAAAAAAAAGTAAAAJgAAAGoAAAAJ1wAAAAcAAAAJAAEAAAGUAAAAJwAAAGIAAAAJ2QAAAAcAAAAJAgEAAAGfAAAAJQAAAAkDAQAAAAAAAAAAAAABoAAAACYAAABMAAAACQQBAAAHAAAACQUBAAABoQAAACcAAABGAAAACQYBAAAHAAAACQcBAAABrAAAACUAAAAJAwEAAAAAAAAAAAAAAa0AAAAmAAAATAAAAAkEAQAABwAAAAkKAQAAAa4AAAAnAAAARgAAAAkGAQAABwAAAAkMAQAAAbkAAAAlAAAACQMBAAAAAAAAAAAAAAG6AAAAJgAAAFQAAAAJBAEAAAcAAAAJDwEAAAG7AAAAJwAAAE0AAAAJBgEAAAcAAAAJEQEAAAHGAAAAJQAAAAkDAQAAAAAAAAAAAAABxwAAACYAAABUAAAACQQBAAAHAAAACRQBAAAByAAAACcAAABNAAAACQYBAAAHAAAACRYBAAAP0wAAAAEAAAAIAQAAAAXUAAAAPEdsb2JlU29mdHdhcmUuQXRsYXM0MC5BdGxhc0NvbW1vbkNsaWVudC5EYXRhU291cmNlRmllbGRWYWx1ZQQAAAASX2lzRHJpbGxEb3duRmlsdGVyBl9kc0tleQpfZmllbGRuYW1lC19maWVsZFZhbHVlAAEBAQEhAAAAAAYXAQAAEFRhYmxlLlRQUFN1bV9zc3QGGAEAAApEYXRhQXJlYUlkCQYAAAAB1QAAANQAAAAACRcBAAAGGwEAAAZJdGVtSWQGHAEAACFMQUNMRUFOMjBBVCxMQUNBTjAyUEVULExBQ0xFQU4wMDIH1gAAAAABAAAABAAAAAQ3R2xvYmVTb2Z0d2FyZS5BdGxhczQwLkF0bGFzQ29tbW9uLlR5cGUuRmllbGRPdXRwdXRGaWVsZA4AAAAJHQEAAA0DBN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i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eH+//8yR2xvYmVTb2Z0d2FyZS5BdGxhczQwLkF0bGFzQ29tbW9uLkNvbHVtbkF0dHJpYnV0ZXMBAAAAB3ZhbHVlX18ACA4AAAAQAAAABiABAAAETm9uZQHf/v//4v7//wHe/v//4f7//wkAAAAJKwAAAAHc/v//4v7//wHb/v//4f7//wsAAAAGJgEAAAEwAdn+///i/v//Adj+///h/v//BAAAAAYpAQAAB0dlbmVyYWwB1v7//+L+//8B1f7//+H+//8CAAAABiwBAAABMQHT/v//4v7//wHS/v//4f7//wAAAAAGLwEAAAUxNC43MQHZAAAADAAAAAf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ND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MQEAAAhGb250Qm9sZAYyAQAABUZhbHNlAc3+///Q/v//BjQBAAAKRm9udEl0YWxpYwkyAQAAAcr+///Q/v//BjcBAAANRm9udFVuZGVybGluZQY4AQAABS00MTQyAcf+///Q/v//BjoBAAAIRm9udE5hbWUGOwEAAAdDYWxpYnJpAcT+///Q/v//Bj0BAAAJRm9udENvbG9yBj4BAAABMAHB/v//0P7//wZAAQAACEZvbnRTaXplBkEBAAACMTEBvv7//9D+//8GQwEAAAlGb250U3R5bGUGRAEAAAdSZWd1bGFyB9sAAAAAAQAAAAQAAAAEN0dsb2JlU29mdHdhcmUuQXRsYXM0MC5BdGxhc0NvbW1vbi5UeXBlLkZpZWxkT3V0cHV0RmllbGQOAAAACUUBAAANAwfd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v7//+L+//8Buf7//+H+//8JAAAACSsAAAABt/7//+L+//8Btv7//+H+//8LAAAABksBAAABMQG0/v//4v7//wGz/v//4f7//wQAAAAGTgEAAAdHZW5lcmFsAbH+///i/v//AbD+///h/v//AgAAAAZRAQAAATEBrv7//+L+//8Brf7//+H+//8AAAAABlQBAAABNg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+///Q/v//CTEBAAAJMgEAAAGo/v//0P7//wk0AQAACTIBAAABpf7//9D+//8JNwEAAAZdAQAABS00MTQyAaL+///Q/v//CToBAAAGYAEAAAdDYWxpYnJpAZ/+///Q/v//CT0BAAAGYwEAAAEwAZz+///Q/v//CUABAAAGZgEAAAIxMQGZ/v//0P7//wlDAQAABmkBAAAHUmVndWxhcgfgAAAAAAEAAAAEAAAABDdHbG9iZVNvZnR3YXJlLkF0bGFzNDAuQXRsYXNDb21tb24uVHlwZS5GaWVsZE91dHB1dEZpZWxkDgAAAAlqAQAADQMH4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+///i/v//AZT+///h/v//CQAAAAkrAAAAAZL+///i/v//AZH+///h/v//CwAAAAZwAQAAATIBj/7//+L+//8Bjv7//+H+//8EAAAABnMBAAAHR2VuZXJhbAGM/v//4v7//wGL/v//4f7//wIAAAAGdgEAAAExAYn+///i/v//AYj+///h/v//AAAAAAZ5AQAABTEyLjg2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7//9D+//8JMQEAAAkyAQAAAYP+///Q/v//CTQBAAAJMgEAAAGA/v//0P7//wk3AQAABoIBAAAFLTQxNDIBff7//9D+//8JOgEAAAaFAQAAB0NhbGlicmkBev7//9D+//8JPQEAAAaIAQAAATABd/7//9D+//8JQAEAAAaLAQAAAjExAXT+///Q/v//CUMBAAAGjgEAAAdSZWd1bGFyB+UAAAAAAQAAAAQAAAAEN0dsb2JlU29mdHdhcmUuQXRsYXM0MC5BdGxhc0NvbW1vbi5UeXBlLkZpZWxkT3V0cHV0RmllbGQOAAAACY8B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P7//+L+//8Bb/7//+H+//8QAAAACSABAAABbf7//+L+//8BbP7//+H+//8JAAAACSsAAAABav7//+L+//8Baf7//+H+//8LAAAABpgBAAABMwFn/v//4v7//wFm/v//4f7//wQAAAAGmwEAAAdHZW5lcmFsAWT+///i/v//AWP+///h/v//AgAAAAaeAQAAATEBYf7//+L+//8BYP7//+H+//8AAAAABqEBAAAFMTAuMjk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e/v//0P7//wkxAQAACTIBAAABW/7//9D+//8JNAEAAAkyAQAAAVj+///Q/v//CTcBAAAGqgEAAAUtNDE0MgFV/v//0P7//wk6AQAABq0BAAAHQ2FsaWJyaQFS/v//0P7//wk9AQAABrABAAABMAFP/v//0P7//wlAAQAABrMBAAACMTEBTP7//9D+//8JQwEAAAa2AQAAB1JlZ3VsYXIH6gAAAAABAAAABAAAAAQ3R2xvYmVTb2Z0d2FyZS5BdGxhczQwLkF0bGFzQ29tbW9uLlR5cGUuRmllbGRPdXRwdXRGaWVsZA4AAAAJtwE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I/v//4v7//wFH/v//4f7//xAAAAAJIAEAAAFF/v//4v7//wFE/v//4f7//wkAAAAJKwAAAAFC/v//4v7//wFB/v//4f7//wsAAAAGwAEAAAE0AT/+///i/v//AT7+///h/v//BAAAAAbDAQAAB0dlbmVyYWwBPP7//+L+//8BO/7//+H+//8CAAAABsYBAAABMQE5/v//4v7//wE4/v//4f7//wAAAAAGyQEAAAUxNy4yOQ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+///Q/v//CTEBAAAJMgEAAAEz/v//0P7//wk0AQAACTIBAAABMP7//9D+//8JNwEAAAbSAQAABS00MTQyAS3+///Q/v//CToBAAAG1QEAAAdDYWxpYnJpASr+///Q/v//CT0BAAAG2AEAAAEwASf+///Q/v//CUABAAAG2wEAAAIxMQEk/v//0P7//wlDAQAABt4BAAAHUmVndWxhcgfvAAAAAAEAAAAAAAAABDdHbG9iZVNvZnR3YXJlLkF0bGFzNDAuQXRsYXNDb21tb24uVHlwZS5GaWVsZE91dHB1dEZpZWxkDgAAAAf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f7//+L+//8BIP7//+H+//8kAAAACW8AAAABHv7//+L+//8BHf7//+H+//8LAAAABuQBAAABNQEb/v//4v7//wEa/v//4f7//wQAAAAG5wEAAAdHZW5lcmFsARj+///i/v//ARf+///h/v//AgAAAAbqAQAAATEBFf7//+L+//8BFP7//+H+//8AAAAABu0BAAACMzIBEv7//+L+//8BEf7//+H+//8DAAAABvABAADGAT1BdGxhc0JhbGFuY2UoIlBST0QiLERhdGFBcmVhSWQsIlQuVFBQVHJhbnNfc3N0fEludmVudERpbUlkfmludmVudERpbUlkQFQuSW52ZW50RGltIiwiU3VtfFF0eXwwIiwiIiwiIiwiIiwiIiwiIiwiIiwiSXRlbUlkfFRyYW5zRGF0ZXxUMi5JbnZlbnRTaXRlSWR8VDIuSW52ZW50TG9jYXRpb25JZCIsJEEzLFBlcmlvZEJlZ2lubmluZywkQjMsJEMzKQ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+///Q/v//BvIBAAAIRm9udEJvbGQJMgEAAAEM/v//0P7//wb1AQAACkZvbnRJdGFsaWMJMgEAAAEJ/v//0P7//wb4AQAADUZvbnRVbmRlcmxpbmUG+QEAAAUtNDE0MgEG/v//0P7//wb7AQAACEZvbnROYW1lBvwBAAAHQ2FsaWJyaQED/v//0P7//wb+AQAACUZvbnRDb2xvcgb/AQAAATABAP7//9D+//8GAQIAAAhGb250U2l6ZQYCAgAAAjExAf39///Q/v//BgQCAAAJRm9udFN0eWxlBgUCAAAHUmVndWxhcgf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v3//+L+//8B+f3//+H+//8kAAAACXwAAAAB9/3//+L+//8B9v3//+H+//8LAAAABgsCAAABNgH0/f//4v7//wHz/f//4f7//wQAAAAGDgIAAAdHZW5lcmFsAfH9///i/v//AfD9///h/v//AgAAAAYRAgAAATEB7v3//+L+//8B7f3//+H+//8AAAAABhQCAAACMjkB6/3//+L+//8B6v3//+H+//8DAAAABhcCAADDAT1BdGxhc0JhbGFuY2UoIlBST0QiLERhdGFBcmVhSWQsIlQuVFBQVHJhbnNfc3N0fEludmVudERpbUlkfmludmVudERpbUlkQFQuSW52ZW50RGltIiwiU3VtfFF0eXwwIiwiIiwiIiwiIiwiIiwiIiwiIiwiSXRlbUlkfFRyYW5zRGF0ZXxUMi5JbnZlbnRTaXRlSWR8VDIuSW52ZW50TG9jYXRpb25JZCIsJEEzLFBlcmlvZEVuZGluZywkQjMsJEMzKQ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9///Q/v//CfIBAAAJMgEAAAHl/f//0P7//wn1AQAACTIBAAAB4v3//9D+//8J+AEAAAYgAgAABS00MTQyAd/9///Q/v//CfsBAAAGIwIAAAdDYWxpYnJpAdz9///Q/v//Cf4BAAAGJgIAAAEwAdn9///Q/v//CQECAAAGKQIAAAIxMQHW/f//0P7//wkEAgAABiwCAAAHUmVndWxhcg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3//+L+//8B0v3//+H+//8kAAAACYkAAAAB0P3//+L+//8Bz/3//+H+//8LAAAABjICAAABNwHN/f//4v7//wHM/f//4f7//wQAAAAGNQIAAAdHZW5lcmFsAcr9///i/v//Acn9///h/v//AgAAAAY4AgAAATEBx/3//+L+//8Bxv3//+H+//8AAAAABjsCAAAFMjUuMTQBxP3//+L+//8Bw/3//+H+//8DAAAABj4CAAAxPVtAUXVhbnRpdHldLVtAW1RQUCB0cmFucyBiYWNrd2FyZHMgKEJlZ2lubmluZyldXQ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/Q/v//CfIBAAAJMgEAAAG+/f//0P7//wn1AQAACTIBAAABu/3//9D+//8J+AEAAAZHAgAABS00MTQyAbj9///Q/v//CfsBAAAGSgIAAAdDYWxpYnJpAbX9///Q/v//Cf4BAAAGTQIAAAEwAbL9///Q/v//CQECAAAGUAIAAAIxMQGv/f//0P7//wkEAgAABlMCAAAHUmVndWxhcg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+L+//8Bq/3//+H+//8kAAAACZYAAAABqf3//+L+//8BqP3//+H+//8LAAAABlkCAAABOAGm/f//4v7//wGl/f//4f7//wQAAAAGXAIAAAdHZW5lcmFsAaP9///i/v//AaL9///h/v//AgAAAAZfAgAAATEBoP3//+L+//8Bn/3//+H+//8AAAAABmICAAAFMjIuMTQBnf3//+L+//8BnP3//+H+//8DAAAABmUCAAAuPVtAUXVhbnRpdHldLVtAW1RQUCB0cmFucyBiYWNrd2FyZHMgKEVuZGluZyldX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r9///Q/v//CfIBAAAJMgEAAAGX/f//0P7//wn1AQAACTIBAAABlP3//9D+//8J+AEAAAZuAgAABS00MTQyAZH9///Q/v//CfsBAAAGcQIAAAdDYWxpYnJpAY79///Q/v//Cf4BAAAGdAIAAAEwAYv9///Q/v//CQECAAAGdwIAAAIxMQGI/f//0P7//wkEAgAABnoCAAAHUmVndWxhcgcDAQAAAAEAAAAAAAAABDdHbG9iZVNvZnR3YXJlLkF0bGFzNDAuQXRsYXNDb21tb24uVHlwZS5GaWVsZE91dHB1dEZpZWxkDgAAAAEEAQAA1wAAAAc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3//+L+//8BhP3//+H+//8kAAAACaMAAAABgv3//+L+//8Bgf3//+H+//8LAAAABoACAAABOQF//f//4v7//wF+/f//4f7//wQAAAAGgwIAAAdHZW5lcmFsAXz9///i/v//AXv9///h/v//AgAAAAaGAgAAATEBef3//+L+//8BeP3//+H+//8AAAAABokCAAAFMzkuMjkBdv3//+L+//8Bdf3//+H+//8DAAAABow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gEAAAwAAA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f//0P7//waOAgAACEZvbnRCb2xkCTIBAAABcP3//9D+//8GkQIAAApGb250SXRhbGljCTIBAAABbf3//9D+//8GlAIAAA1Gb250VW5kZXJsaW5lBpUCAAAFLTQxNDIBav3//9D+//8GlwIAAAhGb250TmFtZQaYAgAAB0NhbGlicmkBZ/3//9D+//8GmgIAAAlGb250Q29sb3IGmwIAAAEwAWT9///Q/v//Bp0CAAAIRm9udFNpemUGngIAAAIxMQFh/f//0P7//wagAgAACUZvbnRTdHlsZQahAgAAB1JlZ3VsYXIHC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79///i/v//AV39///h/v//JAAAAAmwAAAAAVv9///i/v//AVr9///h/v//CwAAAAanAgAAAjEwAVj9///i/v//AVf9///h/v//BAAAAAaqAgAAB0dlbmVyYWwBVf3//+L+//8BVP3//+H+//8CAAAABq0CAAABMQFS/f//4v7//wFR/f//4f7//wAAAAAGsAIAAAUzNi40MwFP/f//4v7//wFO/f//4f7//wMAAAAGswIAAMoBPUF0bGFzQmFsYW5jZSgiUFJPRCIsRGF0YUFyZWFJZCwiVC5UUFBUcmFuc19zc3R8SW52ZW50RGltSWR+aW52ZW50RGltSWRAVC5JbnZlbnREaW0iLCJTdW18Q29zdEFtb3VudHwwIiwiIiwiIiwiIiwiIiwiIiwiIiwiSXRlbUlkfFRyYW5zRGF0ZXxUMi5JbnZlbnRTaXRlSWR8VDIuSW52ZW50TG9jYXRpb25JZCIsJEEzLFBlcmlvZEVuZGluZywkQjMsJEMzK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z9///Q/v//CY4CAAAJMgEAAAFJ/f//0P7//wmRAgAACTIBAAABRv3//9D+//8JlAIAAAa8AgAABS00MTQyAUP9///Q/v//CZcCAAAGvwIAAAdDYWxpYnJpAUD9///Q/v//CZoCAAAGwgIAAAEwAT39///Q/v//CZ0CAAAGxQIAAAIxMQE6/f//0P7//wmgAgAABsgCAAAHUmVndWxhcgc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3//+L+//8BNv3//+H+//8kAAAACb0AAAABNP3//+L+//8BM/3//+H+//8LAAAABs4CAAACMTEBMf3//+L+//8BMP3//+H+//8EAAAABtECAAAHR2VuZXJhbAEu/f//4v7//wEt/f//4f7//wIAAAAG1AIAAAExASv9///i/v//ASr9///h/v//AAAAAAbXAgAABTI0LjI5ASj9///i/v//ASf9///h/v//AwAAAAbaAgAAQj1bQFtUUFAgY29zdCBhbW91bnRdXS1bQFtUUFAgdHJhbnMgYmFja3dhcmRzIGJhbGFuY2UgKEJlZ2lubmluZyldXQc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/Q/v//CY4CAAAJMgEAAAEi/f//0P7//wmRAgAACTIBAAABH/3//9D+//8JlAIAAAbjAgAABS00MTQyARz9///Q/v//CZcCAAAG5gIAAAdDYWxpYnJpARn9///Q/v//CZoCAAAG6QIAAAEwARb9///Q/v//CZ0CAAAG7AIAAAIxMQET/f//0P7//wmgAgAABu8CAAAHUmVndWxhcgc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P3//+L+//8BD/3//+H+//8kAAAACcoAAAABDf3//+L+//8BDP3//+H+//8LAAAABvUCAAACMTIBCv3//+L+//8BCf3//+H+//8EAAAABvgCAAAHR2VuZXJhbAEH/f//4v7//wEG/f//4f7//wIAAAAG+wIAAAExAQT9///i/v//AQP9///h/v//AAAAAAb+AgAABTIxLjI5AQH9///i/v//AQD9///h/v//AwAAAAYBAwAAMj1bQFtUUFAgY29zdCBhbW91bnRdXS1bQFtUUFAgQmFsYW5jZSAoQmVnaW5uaW5nKV1dBx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z//9D+//8JjgIAAAkyAQAAAfv8///Q/v//CZECAAAJMgEAAAH4/P//0P7//wmUAgAABgoDAAAFLTQxNDIB9fz//9D+//8JlwIAAAYNAwAAB0NhbGlicmkB8vz//9D+//8JmgIAAAYQAwAAATAB7/z//9D+//8JnQIAAAYTAwAAAjExAez8///Q/v//CaACAAAGFgMAAAdSZWd1bGFyBR0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n8///T/////////wAGGAMAAAZTdHJpbmcGGQMAAAtJdGVtIG51bWJlcgkaAwAAAeX8///R////AgAAAAXk/P//OUdsb2JlU29mdHdhcmUuQXRsYXM0MC5BdGxhc0NvbW1vbi5OdW1iZXJTZXF1ZW5jZUNvbmRpdGlvbgEAAAAHdmFsdWVfXwAIDgAAAAEAAAAAAAYdAwAAEFRhYmxlLlRQUFN1bV9zc3QJKAAAAAkrAAAACv////8JHQMAAAoJKAAAAAoKCgkrAAAACSMDAAAJKwAAAAFFAQAAHQEAAAHb/P//0/////////8ABiYDAAAGU3RyaW5nBicDAAAEU2l0ZQkoAwAAAdf8///R////AgAAAAHW/P//5Pz//wEAAAAAAAYrAwAALFRhYmxlLlRQUFN1bV9zc3QuSW52ZW50RGltSWR+VGFibGUuSW52ZW50RGltCTYAAAAJKwAAAAr/////CSsDAAAKCTYAAAAGMAMAAAtJbnZlbnREaW1JZAYxAwAAClRQUFN1bV9zc3QKCSsAAAAJMwMAAAkrAAAAAWoBAAAdAQAAAcv8///T/////////wAGNgMAAAZTdHJpbmcGNwMAAAlXYXJlaG91c2UJKAMAAAHH/P//0f///wIAAAABxvz//+T8//8BAAAAAAAJKwMAAAlEAAAACSsAAAAK/////wkrAwAACglEAAAABkADAAALSW52ZW50RGltSWQGQQMAAApUUFBTdW1fc3N0CgkrAAAACUMDAAAJKwAAAAGPAQAAHQEAAAG7/P//0////wEAAAAABkYDAAAEUmVhbAZHAwAACFF1YW50aXR5CRoDAAABt/z//9H///8CAAAAAbb8///k/P//AQAAAAAACR0DAAAJUgAAAAkrAAAACv////8JHQMAAAoJUgAAAAoKCgkrAAAACVEDAAAJKwAAAAG3AQAAHQEAAAGt/P//0////wEAAAAABlQDAAAEUmVhbAZVAwAAD1RQUCBjb3N0IGFtb3VudAkaAwAAAan8///R////AgAAAAGo/P//5Pz//wEAAAAAAAkdAwAACWAAAAAJKwAAAAr/////CR0DAAAKCWAAAAAKCgoJKwAAAAlfAwAACSsAAAAFGg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BZ0AAAZhAwAAClRQUFN1bV9zc3QGYgMAAAtUUFAgc3VtbWFyeQkrAAAACSsAAAAJKwAAAAWc/P//MEdsb2JlU29mdHdhcmUuQXRsYXM0MC5BdGxhc0NvbW1vbi5EYXRhU291cmNlVHlwZQEAAAAHdmFsdWVfXwAIDgAAAAAAAAAJZQMAAAlmAwAABJn8//8LU3lzdGVtLkd1aWQLAAAAAl9hAl9iAl9jAl9kAl9lAl9mAl9nAl9oAl9pAl9qAl9rAAAAAAAAAAAAAAAIBwcCAgICAgICAnjvi3koQYhEku50ON+m1VYJKwAAAAkrAAAACWkDAAAJHQMAAAoKCgoKAQAAAAWV/P//NEdsb2JlU29mdHdhcmUuQXRsYXM0MC5BdGxhc0NvbW1vbi5EYXRhU291cmNlSm9pbk1vZGUBAAAAB3ZhbHVlX18ACA4AAAAAAAAABZT8//81R2xvYmVTb2Z0d2FyZS5BdGxhczQwLkF0bGFzQ29tbW9uLkRhdGFTb3VyY2VGZXRjaE1vZGUBAAAAB3ZhbHVlX18ACA4AAAAAAAAAAAltAwAAASMDAAAnAAAAPQAAAAnZAAAAAwAAAAlvAwAAASgDAAAaAwAA/////wZwAwAACUludmVudERpbQZxAwAAFEludmVudG9yeSBkaW1lbnNpb25zCSsAAAAJKwAAAAkrAAAAAY38//+c/P//AAAAAAl0AwAACXUDAAABivz//5n8//85pu9Rj+YZS5TsN0ooomiVCSsAAAAJKwAAAAl4AwAACSsDAAAGegMAAApUUFBTdW1fc3N0BnsDAAAQVGFibGUuVFBQU3VtX3NzdAZ8AwAAHFRhYmxlLlRQUFN1bV9zc3QuSW52ZW50RGltSWQGfQMAAAtJbnZlbnREaW1JZAZ+AwAAC2ludmVudERpbUlkAQAAAAGB/P//lfz//wAAAAABgPz//5T8//8AAAAAAAmBAwAAATMDAAAnAAAANAAAAAnZAAAAAwAAAAmDAwAAAUMDAAAnAAAANAAAAAnZAAAAAwAAAAmFAwAAAVEDAAAnAAAAPQAAAAnZAAAAAwAAAAmHAwAAAV8DAAAnAAAAPQAAAAnZAAAAAwAAAAmJAwAABGU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YoDAAAHAAAACYsDAAAEZ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KAwAAAAAAAARp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gMAAAAAAAAEbQ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jQMAAAAAAAAHb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0P7//waPAwAACEhlbHBUZXh0BpADAAAOSWRlbnRpZnkgaXRlbS4Bb/z//9D+//8GkgMAAAVMYWJlbAkZAwAAAWz8///Q/v//BpUDAAAEVHlwZQkYAwAAAXQDAABlAwAAAgAAAAnZAAAAAwAAAAmYAwAAAXUDAABmAwAAAAAAAAmZAwAAAAAAAAF4AwAAaQMAAAAAAAAJ2QAAAAAAAAABgQMAAG0DAAAAAAAACZsDAAAAAAAAB4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z//9D+//8JkgMAAAknAwAAAWH8///Q/v//CZUDAAAJJgMAAAe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78///Q/v//CZIDAAAJNwMAAAFb/P//0P7//wmVAwAACTYDAAAHh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0P7//wmPAwAABqoDAAAkUXVhbnRpdHkgYXR0YWNoZWQgdG8gdGhlIHRyYW5zYWN0aW9uAVX8///Q/v//CZIDAAAJRwMAAAFS/P//0P7//wmVAwAACUYDAAAHi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0P7//wmPAwAABrMDAAAQVFBQIGNvc3QgYW1vdW50LgFM/P//0P7//wmSAwAACVUDAAABSfz//9D+//8JlQMAAAlUAwAAAYoDAAAMAAAAB4sD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b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sDAAAcVGFibGUuVFBQU3VtX3NzdC5JbnZlbnREaW1JZAm8AwAAAUP8//9G/P//Br4DAAAXVGFibGUuVFBQU3VtX3NzdC5JdGVtSWQJHQEAAAFA/P//Rvz//wbBAwAAFFRhYmxlLlRQUFN1bV9zc3QuUXR5CY8BAAABPfz//0b8//8GxAMAABtUYWJsZS5UUFBTdW1fc3N0LkNvc3RBbW91bnQJtwEAAASN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mAM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Ovz//0b8//8GxwMAADlUYWJsZS5UUFBTdW1fc3N0LkludmVudERpbUlkflRhYmxlLkludmVudERpbS5JbnZlbnRTaXRlSWQJRQEAAAE3/P//Rvz//wbKAwAAPVRhYmxlLlRQUFN1bV9zc3QuSW52ZW50RGltSWR+VGFibGUuSW52ZW50RGltLkludmVudExvY2F0aW9uSWQJagEAAAGZAwAADAAAAAGbAwAAjQMAAAG8AwAAHQEAAAE0/P//0/////////8ABs0DAAAGU3RyaW5nBs4DAAANRGltZW5zaW9uIE5vLgkaAwAAATD8///R////AgAAAAEv/P//5Pz//wEAAAAAAAkdAwAABtMDAAALSW52ZW50RGltSWQJKwAAAAr/////CR0DAAAKCdMDAAAKCgoJKwAAAAnYAwAACSsAAAAB2AMAACcAAAAJAAAACdkAAAADAAAACdsDAAAH2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0P7//wmPAwAABt4DAAAqSWRlbnRpZmljYXRpb24gb2YgZGltZW5zaW9ucyBmb3IgdGhlIGl0ZW0uASH8///Q/v//CZIDAAAJzgMAAAEe/P//0P7//wmVAwAACc0DAAAL</Report>
</Atlas>
</file>

<file path=customXml/itemProps1.xml><?xml version="1.0" encoding="utf-8"?>
<ds:datastoreItem xmlns:ds="http://schemas.openxmlformats.org/officeDocument/2006/customXml" ds:itemID="{E1FFA938-6634-4832-B242-253E41C4D768}">
  <ds:schemaRefs/>
</ds:datastoreItem>
</file>

<file path=customXml/itemProps2.xml><?xml version="1.0" encoding="utf-8"?>
<ds:datastoreItem xmlns:ds="http://schemas.openxmlformats.org/officeDocument/2006/customXml" ds:itemID="{892BD046-07C6-4A96-815E-5553BABBEE20}">
  <ds:schemaRefs/>
</ds:datastoreItem>
</file>

<file path=customXml/itemProps3.xml><?xml version="1.0" encoding="utf-8"?>
<ds:datastoreItem xmlns:ds="http://schemas.openxmlformats.org/officeDocument/2006/customXml" ds:itemID="{4F394C05-A968-4FC8-A282-DF07D646D74D}">
  <ds:schemaRefs/>
</ds:datastoreItem>
</file>

<file path=customXml/itemProps4.xml><?xml version="1.0" encoding="utf-8"?>
<ds:datastoreItem xmlns:ds="http://schemas.openxmlformats.org/officeDocument/2006/customXml" ds:itemID="{5FE00492-63BA-46CC-A0EE-9DE37D51C8F5}">
  <ds:schemaRefs/>
</ds:datastoreItem>
</file>

<file path=customXml/itemProps5.xml><?xml version="1.0" encoding="utf-8"?>
<ds:datastoreItem xmlns:ds="http://schemas.openxmlformats.org/officeDocument/2006/customXml" ds:itemID="{ADC348E9-E139-4C70-970A-F41BCCD8E1D3}">
  <ds:schemaRefs/>
</ds:datastoreItem>
</file>

<file path=customXml/itemProps6.xml><?xml version="1.0" encoding="utf-8"?>
<ds:datastoreItem xmlns:ds="http://schemas.openxmlformats.org/officeDocument/2006/customXml" ds:itemID="{264E59DD-E155-48B9-B429-283779B86D65}">
  <ds:schemaRefs/>
</ds:datastoreItem>
</file>

<file path=customXml/itemProps7.xml><?xml version="1.0" encoding="utf-8"?>
<ds:datastoreItem xmlns:ds="http://schemas.openxmlformats.org/officeDocument/2006/customXml" ds:itemID="{43B2319B-1616-4F1A-B2B9-E885217482A8}">
  <ds:schemaRefs/>
</ds:datastoreItem>
</file>

<file path=customXml/itemProps8.xml><?xml version="1.0" encoding="utf-8"?>
<ds:datastoreItem xmlns:ds="http://schemas.openxmlformats.org/officeDocument/2006/customXml" ds:itemID="{C5CC0968-6510-4EA3-9EA2-3CF2C8E54B4F}">
  <ds:schemaRefs/>
</ds:datastoreItem>
</file>

<file path=customXml/itemProps9.xml><?xml version="1.0" encoding="utf-8"?>
<ds:datastoreItem xmlns:ds="http://schemas.openxmlformats.org/officeDocument/2006/customXml" ds:itemID="{45692902-7852-4C86-977B-8D55E7C04734}">
  <ds:schemaRefs/>
</ds:datastoreItem>
</file>

<file path=customXml/itemProps10.xml><?xml version="1.0" encoding="utf-8"?>
<ds:datastoreItem xmlns:ds="http://schemas.openxmlformats.org/officeDocument/2006/customXml" ds:itemID="{DF3948C3-C1E2-4D28-9A7A-238CFA752F5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General</vt:lpstr>
      <vt:lpstr>On-hand statement</vt:lpstr>
      <vt:lpstr>Adjustment suggestion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FromDate</vt:lpstr>
      <vt:lpstr>PeriodBeginning</vt:lpstr>
      <vt:lpstr>PeriodEnding</vt:lpstr>
      <vt:lpstr>ToDate</vt:lpstr>
    </vt:vector>
  </TitlesOfParts>
  <Company>Simpson Manufacturing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2017-12-27T07:15:16Z</dcterms:modified>
</cp:coreProperties>
</file>