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1075" windowHeight="10005" activeTab="1"/>
  </bookViews>
  <sheets>
    <sheet name="General" sheetId="1" r:id="rId1"/>
    <sheet name="On-hand statement" sheetId="6" r:id="rId2"/>
    <sheet name="Adjustment suggestion" sheetId="9" r:id="rId3"/>
    <sheet name="TPP Adjustment Journal" sheetId="77" r:id="rId4"/>
    <sheet name="InventTrans" sheetId="2" r:id="rId5"/>
    <sheet name="TPPTrans" sheetId="3" r:id="rId6"/>
    <sheet name="InventSum" sheetId="4" r:id="rId7"/>
    <sheet name="TPPSum" sheetId="5" r:id="rId8"/>
    <sheet name="InventTable" sheetId="8" r:id="rId9"/>
    <sheet name="Parameter" sheetId="7" r:id="rId10"/>
  </sheets>
  <functionGroups builtInGroupCount="17"/>
  <definedNames>
    <definedName name="AtlasReport_1" localSheetId="4">InventTrans!$A$1:$N$38</definedName>
    <definedName name="AtlasReport_2" localSheetId="5">TPPTrans!$A$1:$Q$32</definedName>
    <definedName name="AtlasReport_3" localSheetId="6">InventSum!$A$1:$H$254</definedName>
    <definedName name="AtlasReport_4" localSheetId="7">TPPSum!$A$1:$M$119</definedName>
    <definedName name="AtlasReport_5" localSheetId="8">InventTable!$A$1:$O$254</definedName>
    <definedName name="DataAreaId">General!$C$1</definedName>
    <definedName name="DateFormat">General!$F$1</definedName>
    <definedName name="DatePeriod">General!$C$4</definedName>
    <definedName name="DateRegion">General!$H$1</definedName>
    <definedName name="FromDate">General!$C$2</definedName>
    <definedName name="ItemNumber">General!$C$7</definedName>
    <definedName name="ItemType">General!$C$8</definedName>
    <definedName name="PeriodBeginning">General!$G$4</definedName>
    <definedName name="PeriodEnding">General!$G$5</definedName>
    <definedName name="Region">Table9[Region]</definedName>
    <definedName name="ToDate">General!$C$3</definedName>
  </definedNames>
  <calcPr calcId="145621" calcMode="manual"/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25" i="2"/>
  <c r="N26" i="2"/>
  <c r="N27" i="2"/>
  <c r="N28" i="2"/>
  <c r="N29" i="2"/>
  <c r="N30" i="2"/>
  <c r="N31" i="2"/>
  <c r="N32" i="2"/>
  <c r="N33" i="2"/>
  <c r="N34" i="2"/>
  <c r="N35" i="2"/>
  <c r="N36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25" i="2"/>
  <c r="M26" i="2"/>
  <c r="M27" i="2"/>
  <c r="M28" i="2"/>
  <c r="M29" i="2"/>
  <c r="M30" i="2"/>
  <c r="M31" i="2"/>
  <c r="M32" i="2"/>
  <c r="M33" i="2"/>
  <c r="M34" i="2"/>
  <c r="M35" i="2"/>
  <c r="M36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25" i="2"/>
  <c r="L26" i="2"/>
  <c r="L27" i="2"/>
  <c r="L28" i="2"/>
  <c r="L29" i="2"/>
  <c r="L30" i="2"/>
  <c r="L31" i="2"/>
  <c r="L32" i="2"/>
  <c r="L33" i="2"/>
  <c r="L34" i="2"/>
  <c r="L35" i="2"/>
  <c r="L36" i="2"/>
  <c r="I37" i="2"/>
  <c r="D253" i="4"/>
  <c r="E118" i="5"/>
  <c r="D118" i="5"/>
  <c r="M31" i="3"/>
  <c r="K31" i="3"/>
  <c r="J31" i="3"/>
  <c r="H31" i="3"/>
  <c r="Q31" i="3"/>
  <c r="L19" i="2"/>
  <c r="N19" i="2" s="1"/>
  <c r="L23" i="2"/>
  <c r="N23" i="2" s="1"/>
  <c r="L18" i="2"/>
  <c r="N18" i="2" s="1"/>
  <c r="L22" i="2"/>
  <c r="N22" i="2" s="1"/>
  <c r="M23" i="2"/>
  <c r="L20" i="2"/>
  <c r="M20" i="2" s="1"/>
  <c r="N20" i="2"/>
  <c r="M22" i="2"/>
  <c r="M19" i="2"/>
  <c r="L21" i="2"/>
  <c r="L24" i="2"/>
  <c r="M24" i="2" s="1"/>
  <c r="N24" i="2"/>
  <c r="M18" i="2"/>
  <c r="N21" i="2"/>
  <c r="M21" i="2"/>
  <c r="F1" i="1" l="1"/>
  <c r="G5" i="1" l="1"/>
  <c r="G4" i="1"/>
  <c r="G113" i="5"/>
  <c r="G73" i="5"/>
  <c r="G14" i="5"/>
  <c r="K37" i="5"/>
  <c r="G89" i="5"/>
  <c r="G38" i="5"/>
  <c r="K69" i="5"/>
  <c r="G117" i="5"/>
  <c r="G100" i="5"/>
  <c r="G78" i="5"/>
  <c r="G54" i="5"/>
  <c r="G22" i="5"/>
  <c r="K90" i="5"/>
  <c r="K48" i="5"/>
  <c r="K5" i="5"/>
  <c r="G94" i="5"/>
  <c r="G46" i="5"/>
  <c r="K80" i="5"/>
  <c r="G109" i="5"/>
  <c r="G68" i="5"/>
  <c r="G6" i="5"/>
  <c r="K112" i="5"/>
  <c r="K26" i="5"/>
  <c r="G105" i="5"/>
  <c r="G84" i="5"/>
  <c r="G62" i="5"/>
  <c r="G30" i="5"/>
  <c r="K101" i="5"/>
  <c r="K58" i="5"/>
  <c r="K16" i="5"/>
  <c r="F252" i="4"/>
  <c r="F176" i="4"/>
  <c r="F48" i="4"/>
  <c r="G112" i="5"/>
  <c r="G104" i="5"/>
  <c r="G93" i="5"/>
  <c r="G82" i="5"/>
  <c r="G72" i="5"/>
  <c r="G60" i="5"/>
  <c r="G44" i="5"/>
  <c r="G28" i="5"/>
  <c r="G4" i="5"/>
  <c r="K98" i="5"/>
  <c r="K77" i="5"/>
  <c r="K56" i="5"/>
  <c r="K34" i="5"/>
  <c r="K13" i="5"/>
  <c r="F244" i="4"/>
  <c r="F160" i="4"/>
  <c r="F32" i="4"/>
  <c r="G115" i="5"/>
  <c r="G111" i="5"/>
  <c r="G107" i="5"/>
  <c r="G102" i="5"/>
  <c r="G97" i="5"/>
  <c r="G92" i="5"/>
  <c r="G86" i="5"/>
  <c r="G81" i="5"/>
  <c r="G76" i="5"/>
  <c r="G70" i="5"/>
  <c r="G65" i="5"/>
  <c r="G58" i="5"/>
  <c r="G50" i="5"/>
  <c r="G42" i="5"/>
  <c r="G34" i="5"/>
  <c r="G26" i="5"/>
  <c r="G18" i="5"/>
  <c r="G10" i="5"/>
  <c r="K117" i="5"/>
  <c r="K106" i="5"/>
  <c r="K96" i="5"/>
  <c r="K85" i="5"/>
  <c r="K74" i="5"/>
  <c r="K64" i="5"/>
  <c r="K53" i="5"/>
  <c r="K42" i="5"/>
  <c r="K32" i="5"/>
  <c r="K21" i="5"/>
  <c r="K10" i="5"/>
  <c r="F236" i="4"/>
  <c r="F203" i="4"/>
  <c r="F144" i="4"/>
  <c r="F80" i="4"/>
  <c r="F16" i="4"/>
  <c r="F220" i="4"/>
  <c r="F112" i="4"/>
  <c r="G116" i="5"/>
  <c r="G108" i="5"/>
  <c r="G98" i="5"/>
  <c r="G88" i="5"/>
  <c r="G77" i="5"/>
  <c r="G66" i="5"/>
  <c r="G52" i="5"/>
  <c r="G36" i="5"/>
  <c r="G20" i="5"/>
  <c r="G12" i="5"/>
  <c r="K109" i="5"/>
  <c r="K88" i="5"/>
  <c r="K66" i="5"/>
  <c r="K45" i="5"/>
  <c r="K24" i="5"/>
  <c r="F212" i="4"/>
  <c r="F96" i="4"/>
  <c r="G114" i="5"/>
  <c r="G110" i="5"/>
  <c r="G106" i="5"/>
  <c r="G101" i="5"/>
  <c r="G96" i="5"/>
  <c r="G90" i="5"/>
  <c r="G85" i="5"/>
  <c r="G80" i="5"/>
  <c r="G74" i="5"/>
  <c r="G69" i="5"/>
  <c r="G64" i="5"/>
  <c r="G56" i="5"/>
  <c r="G48" i="5"/>
  <c r="G40" i="5"/>
  <c r="G32" i="5"/>
  <c r="G24" i="5"/>
  <c r="G16" i="5"/>
  <c r="G8" i="5"/>
  <c r="K114" i="5"/>
  <c r="K104" i="5"/>
  <c r="K93" i="5"/>
  <c r="K82" i="5"/>
  <c r="K72" i="5"/>
  <c r="K61" i="5"/>
  <c r="K50" i="5"/>
  <c r="K40" i="5"/>
  <c r="K29" i="5"/>
  <c r="K18" i="5"/>
  <c r="K8" i="5"/>
  <c r="F228" i="4"/>
  <c r="F192" i="4"/>
  <c r="F128" i="4"/>
  <c r="F64" i="4"/>
  <c r="G61" i="5"/>
  <c r="G57" i="5"/>
  <c r="G53" i="5"/>
  <c r="G49" i="5"/>
  <c r="G45" i="5"/>
  <c r="G41" i="5"/>
  <c r="G37" i="5"/>
  <c r="G33" i="5"/>
  <c r="G29" i="5"/>
  <c r="G25" i="5"/>
  <c r="G21" i="5"/>
  <c r="G17" i="5"/>
  <c r="G13" i="5"/>
  <c r="G9" i="5"/>
  <c r="G5" i="5"/>
  <c r="K116" i="5"/>
  <c r="K110" i="5"/>
  <c r="K105" i="5"/>
  <c r="K100" i="5"/>
  <c r="K94" i="5"/>
  <c r="K89" i="5"/>
  <c r="K84" i="5"/>
  <c r="K78" i="5"/>
  <c r="K73" i="5"/>
  <c r="K68" i="5"/>
  <c r="K62" i="5"/>
  <c r="K57" i="5"/>
  <c r="K52" i="5"/>
  <c r="K46" i="5"/>
  <c r="K41" i="5"/>
  <c r="K36" i="5"/>
  <c r="K30" i="5"/>
  <c r="K25" i="5"/>
  <c r="K20" i="5"/>
  <c r="K14" i="5"/>
  <c r="K9" i="5"/>
  <c r="K4" i="5"/>
  <c r="F245" i="4"/>
  <c r="F229" i="4"/>
  <c r="F213" i="4"/>
  <c r="F193" i="4"/>
  <c r="F163" i="4"/>
  <c r="F131" i="4"/>
  <c r="F99" i="4"/>
  <c r="F67" i="4"/>
  <c r="F35" i="4"/>
  <c r="F3" i="4"/>
  <c r="G103" i="5"/>
  <c r="G99" i="5"/>
  <c r="G95" i="5"/>
  <c r="G91" i="5"/>
  <c r="G87" i="5"/>
  <c r="G83" i="5"/>
  <c r="G79" i="5"/>
  <c r="G75" i="5"/>
  <c r="G71" i="5"/>
  <c r="G67" i="5"/>
  <c r="G63" i="5"/>
  <c r="G59" i="5"/>
  <c r="G55" i="5"/>
  <c r="G51" i="5"/>
  <c r="G47" i="5"/>
  <c r="G43" i="5"/>
  <c r="G39" i="5"/>
  <c r="G35" i="5"/>
  <c r="G31" i="5"/>
  <c r="G27" i="5"/>
  <c r="G23" i="5"/>
  <c r="G19" i="5"/>
  <c r="G15" i="5"/>
  <c r="G11" i="5"/>
  <c r="G7" i="5"/>
  <c r="G3" i="5"/>
  <c r="K113" i="5"/>
  <c r="K108" i="5"/>
  <c r="K102" i="5"/>
  <c r="K97" i="5"/>
  <c r="K92" i="5"/>
  <c r="K86" i="5"/>
  <c r="K81" i="5"/>
  <c r="K76" i="5"/>
  <c r="K70" i="5"/>
  <c r="K65" i="5"/>
  <c r="K60" i="5"/>
  <c r="K54" i="5"/>
  <c r="K49" i="5"/>
  <c r="K44" i="5"/>
  <c r="K38" i="5"/>
  <c r="K33" i="5"/>
  <c r="K28" i="5"/>
  <c r="K22" i="5"/>
  <c r="K17" i="5"/>
  <c r="K12" i="5"/>
  <c r="K6" i="5"/>
  <c r="F237" i="4"/>
  <c r="F221" i="4"/>
  <c r="F204" i="4"/>
  <c r="F179" i="4"/>
  <c r="F147" i="4"/>
  <c r="F115" i="4"/>
  <c r="F83" i="4"/>
  <c r="F51" i="4"/>
  <c r="F19" i="4"/>
  <c r="F249" i="4"/>
  <c r="F241" i="4"/>
  <c r="F233" i="4"/>
  <c r="F225" i="4"/>
  <c r="F217" i="4"/>
  <c r="F209" i="4"/>
  <c r="F199" i="4"/>
  <c r="F187" i="4"/>
  <c r="F171" i="4"/>
  <c r="F155" i="4"/>
  <c r="F139" i="4"/>
  <c r="F123" i="4"/>
  <c r="F107" i="4"/>
  <c r="F91" i="4"/>
  <c r="F75" i="4"/>
  <c r="F59" i="4"/>
  <c r="F43" i="4"/>
  <c r="F27" i="4"/>
  <c r="F11" i="4"/>
  <c r="F248" i="4"/>
  <c r="F240" i="4"/>
  <c r="F232" i="4"/>
  <c r="F224" i="4"/>
  <c r="F216" i="4"/>
  <c r="F208" i="4"/>
  <c r="F197" i="4"/>
  <c r="F184" i="4"/>
  <c r="F168" i="4"/>
  <c r="F152" i="4"/>
  <c r="F136" i="4"/>
  <c r="F120" i="4"/>
  <c r="F104" i="4"/>
  <c r="F88" i="4"/>
  <c r="F72" i="4"/>
  <c r="F56" i="4"/>
  <c r="F40" i="4"/>
  <c r="F24" i="4"/>
  <c r="F8" i="4"/>
  <c r="F251" i="4"/>
  <c r="F247" i="4"/>
  <c r="F243" i="4"/>
  <c r="F239" i="4"/>
  <c r="F235" i="4"/>
  <c r="F231" i="4"/>
  <c r="F227" i="4"/>
  <c r="F223" i="4"/>
  <c r="F219" i="4"/>
  <c r="F215" i="4"/>
  <c r="F211" i="4"/>
  <c r="F207" i="4"/>
  <c r="F201" i="4"/>
  <c r="F196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F15" i="4"/>
  <c r="F7" i="4"/>
  <c r="K115" i="5"/>
  <c r="K111" i="5"/>
  <c r="K107" i="5"/>
  <c r="K103" i="5"/>
  <c r="K99" i="5"/>
  <c r="K95" i="5"/>
  <c r="K91" i="5"/>
  <c r="K87" i="5"/>
  <c r="K83" i="5"/>
  <c r="K79" i="5"/>
  <c r="K75" i="5"/>
  <c r="K71" i="5"/>
  <c r="K67" i="5"/>
  <c r="K63" i="5"/>
  <c r="K59" i="5"/>
  <c r="K55" i="5"/>
  <c r="K51" i="5"/>
  <c r="K47" i="5"/>
  <c r="K43" i="5"/>
  <c r="K39" i="5"/>
  <c r="K35" i="5"/>
  <c r="K31" i="5"/>
  <c r="K27" i="5"/>
  <c r="K23" i="5"/>
  <c r="K19" i="5"/>
  <c r="K15" i="5"/>
  <c r="K11" i="5"/>
  <c r="K7" i="5"/>
  <c r="K3" i="5"/>
  <c r="F250" i="4"/>
  <c r="F246" i="4"/>
  <c r="F242" i="4"/>
  <c r="F238" i="4"/>
  <c r="F234" i="4"/>
  <c r="F230" i="4"/>
  <c r="F226" i="4"/>
  <c r="F222" i="4"/>
  <c r="F218" i="4"/>
  <c r="F214" i="4"/>
  <c r="F210" i="4"/>
  <c r="F205" i="4"/>
  <c r="F200" i="4"/>
  <c r="F195" i="4"/>
  <c r="F188" i="4"/>
  <c r="F180" i="4"/>
  <c r="F172" i="4"/>
  <c r="F164" i="4"/>
  <c r="F156" i="4"/>
  <c r="F148" i="4"/>
  <c r="F140" i="4"/>
  <c r="F132" i="4"/>
  <c r="F124" i="4"/>
  <c r="F116" i="4"/>
  <c r="F108" i="4"/>
  <c r="F100" i="4"/>
  <c r="F92" i="4"/>
  <c r="F84" i="4"/>
  <c r="F76" i="4"/>
  <c r="F68" i="4"/>
  <c r="F60" i="4"/>
  <c r="F52" i="4"/>
  <c r="F44" i="4"/>
  <c r="F36" i="4"/>
  <c r="F28" i="4"/>
  <c r="F20" i="4"/>
  <c r="F12" i="4"/>
  <c r="F4" i="4"/>
  <c r="F206" i="4"/>
  <c r="F202" i="4"/>
  <c r="F198" i="4"/>
  <c r="F194" i="4"/>
  <c r="F190" i="4"/>
  <c r="F186" i="4"/>
  <c r="F182" i="4"/>
  <c r="F178" i="4"/>
  <c r="F174" i="4"/>
  <c r="F170" i="4"/>
  <c r="F166" i="4"/>
  <c r="F162" i="4"/>
  <c r="F158" i="4"/>
  <c r="F154" i="4"/>
  <c r="F150" i="4"/>
  <c r="F146" i="4"/>
  <c r="F142" i="4"/>
  <c r="F138" i="4"/>
  <c r="F134" i="4"/>
  <c r="F130" i="4"/>
  <c r="F126" i="4"/>
  <c r="F122" i="4"/>
  <c r="F118" i="4"/>
  <c r="F114" i="4"/>
  <c r="F110" i="4"/>
  <c r="F106" i="4"/>
  <c r="F102" i="4"/>
  <c r="F98" i="4"/>
  <c r="F94" i="4"/>
  <c r="F90" i="4"/>
  <c r="F86" i="4"/>
  <c r="F82" i="4"/>
  <c r="F78" i="4"/>
  <c r="F74" i="4"/>
  <c r="F70" i="4"/>
  <c r="F66" i="4"/>
  <c r="F62" i="4"/>
  <c r="F58" i="4"/>
  <c r="F54" i="4"/>
  <c r="F50" i="4"/>
  <c r="F46" i="4"/>
  <c r="F42" i="4"/>
  <c r="F38" i="4"/>
  <c r="F34" i="4"/>
  <c r="F30" i="4"/>
  <c r="F26" i="4"/>
  <c r="F22" i="4"/>
  <c r="F18" i="4"/>
  <c r="F14" i="4"/>
  <c r="F10" i="4"/>
  <c r="F6" i="4"/>
  <c r="F189" i="4"/>
  <c r="F185" i="4"/>
  <c r="F181" i="4"/>
  <c r="F177" i="4"/>
  <c r="F173" i="4"/>
  <c r="F169" i="4"/>
  <c r="F165" i="4"/>
  <c r="F161" i="4"/>
  <c r="F157" i="4"/>
  <c r="F153" i="4"/>
  <c r="F149" i="4"/>
  <c r="F145" i="4"/>
  <c r="F141" i="4"/>
  <c r="F137" i="4"/>
  <c r="F133" i="4"/>
  <c r="F129" i="4"/>
  <c r="F125" i="4"/>
  <c r="F121" i="4"/>
  <c r="F117" i="4"/>
  <c r="F113" i="4"/>
  <c r="F109" i="4"/>
  <c r="F105" i="4"/>
  <c r="F101" i="4"/>
  <c r="F97" i="4"/>
  <c r="F93" i="4"/>
  <c r="F89" i="4"/>
  <c r="F85" i="4"/>
  <c r="F81" i="4"/>
  <c r="F77" i="4"/>
  <c r="F73" i="4"/>
  <c r="F69" i="4"/>
  <c r="F65" i="4"/>
  <c r="F61" i="4"/>
  <c r="F57" i="4"/>
  <c r="F53" i="4"/>
  <c r="F49" i="4"/>
  <c r="F45" i="4"/>
  <c r="F41" i="4"/>
  <c r="F37" i="4"/>
  <c r="F33" i="4"/>
  <c r="F29" i="4"/>
  <c r="F25" i="4"/>
  <c r="F21" i="4"/>
  <c r="F17" i="4"/>
  <c r="F13" i="4"/>
  <c r="F9" i="4"/>
  <c r="F5" i="4"/>
  <c r="F110" i="5"/>
  <c r="F78" i="5"/>
  <c r="F62" i="5"/>
  <c r="F30" i="5"/>
  <c r="J71" i="5"/>
  <c r="J7" i="5"/>
  <c r="F90" i="5"/>
  <c r="F58" i="5"/>
  <c r="F42" i="5"/>
  <c r="F10" i="5"/>
  <c r="J95" i="5"/>
  <c r="J31" i="5"/>
  <c r="F86" i="5"/>
  <c r="F54" i="5"/>
  <c r="F38" i="5"/>
  <c r="F114" i="5"/>
  <c r="F98" i="5"/>
  <c r="F82" i="5"/>
  <c r="F66" i="5"/>
  <c r="F50" i="5"/>
  <c r="F34" i="5"/>
  <c r="F18" i="5"/>
  <c r="J111" i="5"/>
  <c r="J79" i="5"/>
  <c r="J47" i="5"/>
  <c r="J15" i="5"/>
  <c r="F94" i="5"/>
  <c r="F46" i="5"/>
  <c r="F14" i="5"/>
  <c r="J103" i="5"/>
  <c r="J39" i="5"/>
  <c r="F106" i="5"/>
  <c r="F74" i="5"/>
  <c r="F26" i="5"/>
  <c r="J63" i="5"/>
  <c r="F102" i="5"/>
  <c r="F70" i="5"/>
  <c r="F22" i="5"/>
  <c r="F6" i="5"/>
  <c r="J87" i="5"/>
  <c r="J55" i="5"/>
  <c r="J23" i="5"/>
  <c r="E231" i="4"/>
  <c r="E189" i="4"/>
  <c r="E146" i="4"/>
  <c r="E103" i="4"/>
  <c r="E61" i="4"/>
  <c r="F117" i="5"/>
  <c r="F109" i="5"/>
  <c r="F101" i="5"/>
  <c r="F93" i="5"/>
  <c r="F85" i="5"/>
  <c r="F77" i="5"/>
  <c r="F69" i="5"/>
  <c r="F61" i="5"/>
  <c r="F53" i="5"/>
  <c r="F49" i="5"/>
  <c r="F37" i="5"/>
  <c r="F29" i="5"/>
  <c r="F21" i="5"/>
  <c r="F13" i="5"/>
  <c r="F5" i="5"/>
  <c r="J117" i="5"/>
  <c r="J101" i="5"/>
  <c r="J85" i="5"/>
  <c r="J69" i="5"/>
  <c r="J53" i="5"/>
  <c r="J37" i="5"/>
  <c r="J21" i="5"/>
  <c r="J5" i="5"/>
  <c r="E226" i="4"/>
  <c r="E183" i="4"/>
  <c r="E141" i="4"/>
  <c r="E98" i="4"/>
  <c r="E55" i="4"/>
  <c r="F116" i="5"/>
  <c r="F108" i="5"/>
  <c r="F100" i="5"/>
  <c r="F96" i="5"/>
  <c r="F92" i="5"/>
  <c r="F88" i="5"/>
  <c r="F84" i="5"/>
  <c r="F80" i="5"/>
  <c r="F76" i="5"/>
  <c r="F72" i="5"/>
  <c r="F68" i="5"/>
  <c r="F64" i="5"/>
  <c r="F60" i="5"/>
  <c r="F56" i="5"/>
  <c r="F52" i="5"/>
  <c r="F48" i="5"/>
  <c r="F44" i="5"/>
  <c r="F40" i="5"/>
  <c r="F36" i="5"/>
  <c r="F32" i="5"/>
  <c r="F28" i="5"/>
  <c r="F24" i="5"/>
  <c r="F20" i="5"/>
  <c r="F16" i="5"/>
  <c r="F12" i="5"/>
  <c r="F8" i="5"/>
  <c r="F4" i="5"/>
  <c r="J115" i="5"/>
  <c r="J107" i="5"/>
  <c r="J99" i="5"/>
  <c r="J91" i="5"/>
  <c r="J83" i="5"/>
  <c r="J75" i="5"/>
  <c r="J67" i="5"/>
  <c r="J59" i="5"/>
  <c r="J51" i="5"/>
  <c r="J43" i="5"/>
  <c r="J35" i="5"/>
  <c r="J27" i="5"/>
  <c r="J19" i="5"/>
  <c r="J11" i="5"/>
  <c r="E242" i="4"/>
  <c r="E221" i="4"/>
  <c r="E199" i="4"/>
  <c r="E178" i="4"/>
  <c r="E157" i="4"/>
  <c r="E135" i="4"/>
  <c r="E114" i="4"/>
  <c r="E93" i="4"/>
  <c r="E71" i="4"/>
  <c r="E50" i="4"/>
  <c r="E18" i="4"/>
  <c r="E210" i="4"/>
  <c r="E167" i="4"/>
  <c r="E125" i="4"/>
  <c r="E82" i="4"/>
  <c r="E34" i="4"/>
  <c r="F113" i="5"/>
  <c r="F105" i="5"/>
  <c r="F97" i="5"/>
  <c r="F89" i="5"/>
  <c r="F81" i="5"/>
  <c r="F73" i="5"/>
  <c r="F65" i="5"/>
  <c r="F57" i="5"/>
  <c r="F45" i="5"/>
  <c r="F41" i="5"/>
  <c r="F33" i="5"/>
  <c r="F25" i="5"/>
  <c r="F17" i="5"/>
  <c r="F9" i="5"/>
  <c r="J109" i="5"/>
  <c r="J93" i="5"/>
  <c r="J77" i="5"/>
  <c r="J61" i="5"/>
  <c r="J45" i="5"/>
  <c r="J29" i="5"/>
  <c r="J13" i="5"/>
  <c r="E247" i="4"/>
  <c r="E205" i="4"/>
  <c r="E162" i="4"/>
  <c r="E119" i="4"/>
  <c r="E77" i="4"/>
  <c r="E26" i="4"/>
  <c r="F112" i="5"/>
  <c r="F104" i="5"/>
  <c r="F115" i="5"/>
  <c r="F111" i="5"/>
  <c r="F107" i="5"/>
  <c r="F103" i="5"/>
  <c r="F99" i="5"/>
  <c r="F95" i="5"/>
  <c r="F91" i="5"/>
  <c r="F87" i="5"/>
  <c r="F83" i="5"/>
  <c r="F79" i="5"/>
  <c r="F75" i="5"/>
  <c r="F71" i="5"/>
  <c r="F67" i="5"/>
  <c r="F63" i="5"/>
  <c r="F59" i="5"/>
  <c r="F55" i="5"/>
  <c r="F51" i="5"/>
  <c r="F47" i="5"/>
  <c r="F43" i="5"/>
  <c r="F39" i="5"/>
  <c r="F35" i="5"/>
  <c r="F31" i="5"/>
  <c r="F27" i="5"/>
  <c r="F23" i="5"/>
  <c r="F19" i="5"/>
  <c r="F15" i="5"/>
  <c r="F11" i="5"/>
  <c r="F7" i="5"/>
  <c r="F3" i="5"/>
  <c r="J113" i="5"/>
  <c r="J105" i="5"/>
  <c r="J97" i="5"/>
  <c r="J89" i="5"/>
  <c r="J81" i="5"/>
  <c r="J73" i="5"/>
  <c r="J65" i="5"/>
  <c r="J57" i="5"/>
  <c r="J49" i="5"/>
  <c r="J41" i="5"/>
  <c r="J33" i="5"/>
  <c r="J25" i="5"/>
  <c r="J17" i="5"/>
  <c r="J9" i="5"/>
  <c r="E237" i="4"/>
  <c r="E215" i="4"/>
  <c r="E194" i="4"/>
  <c r="E173" i="4"/>
  <c r="E151" i="4"/>
  <c r="E130" i="4"/>
  <c r="E109" i="4"/>
  <c r="E87" i="4"/>
  <c r="E66" i="4"/>
  <c r="E42" i="4"/>
  <c r="E10" i="4"/>
  <c r="J114" i="5"/>
  <c r="J110" i="5"/>
  <c r="J106" i="5"/>
  <c r="J102" i="5"/>
  <c r="J98" i="5"/>
  <c r="J94" i="5"/>
  <c r="J90" i="5"/>
  <c r="J86" i="5"/>
  <c r="J82" i="5"/>
  <c r="J78" i="5"/>
  <c r="J74" i="5"/>
  <c r="J70" i="5"/>
  <c r="J66" i="5"/>
  <c r="J62" i="5"/>
  <c r="J58" i="5"/>
  <c r="J54" i="5"/>
  <c r="J50" i="5"/>
  <c r="J46" i="5"/>
  <c r="J42" i="5"/>
  <c r="J38" i="5"/>
  <c r="J34" i="5"/>
  <c r="J30" i="5"/>
  <c r="J26" i="5"/>
  <c r="J22" i="5"/>
  <c r="J18" i="5"/>
  <c r="J14" i="5"/>
  <c r="J10" i="5"/>
  <c r="J6" i="5"/>
  <c r="E249" i="4"/>
  <c r="E238" i="4"/>
  <c r="E227" i="4"/>
  <c r="E217" i="4"/>
  <c r="E206" i="4"/>
  <c r="E195" i="4"/>
  <c r="E185" i="4"/>
  <c r="E174" i="4"/>
  <c r="E163" i="4"/>
  <c r="E153" i="4"/>
  <c r="E142" i="4"/>
  <c r="E131" i="4"/>
  <c r="E121" i="4"/>
  <c r="E110" i="4"/>
  <c r="E99" i="4"/>
  <c r="E89" i="4"/>
  <c r="E78" i="4"/>
  <c r="E67" i="4"/>
  <c r="E57" i="4"/>
  <c r="E43" i="4"/>
  <c r="E27" i="4"/>
  <c r="E11" i="4"/>
  <c r="J116" i="5"/>
  <c r="J112" i="5"/>
  <c r="J108" i="5"/>
  <c r="J104" i="5"/>
  <c r="J100" i="5"/>
  <c r="J96" i="5"/>
  <c r="J92" i="5"/>
  <c r="J88" i="5"/>
  <c r="J84" i="5"/>
  <c r="J80" i="5"/>
  <c r="J76" i="5"/>
  <c r="J72" i="5"/>
  <c r="J68" i="5"/>
  <c r="J64" i="5"/>
  <c r="J60" i="5"/>
  <c r="J56" i="5"/>
  <c r="J52" i="5"/>
  <c r="J48" i="5"/>
  <c r="J44" i="5"/>
  <c r="J40" i="5"/>
  <c r="J36" i="5"/>
  <c r="J32" i="5"/>
  <c r="J28" i="5"/>
  <c r="J24" i="5"/>
  <c r="J20" i="5"/>
  <c r="J16" i="5"/>
  <c r="J12" i="5"/>
  <c r="J8" i="5"/>
  <c r="J3" i="5"/>
  <c r="E243" i="4"/>
  <c r="E233" i="4"/>
  <c r="E222" i="4"/>
  <c r="E211" i="4"/>
  <c r="E201" i="4"/>
  <c r="E190" i="4"/>
  <c r="E179" i="4"/>
  <c r="E169" i="4"/>
  <c r="E158" i="4"/>
  <c r="E147" i="4"/>
  <c r="E137" i="4"/>
  <c r="E126" i="4"/>
  <c r="E115" i="4"/>
  <c r="E105" i="4"/>
  <c r="E94" i="4"/>
  <c r="E83" i="4"/>
  <c r="E73" i="4"/>
  <c r="E62" i="4"/>
  <c r="E51" i="4"/>
  <c r="E35" i="4"/>
  <c r="E19" i="4"/>
  <c r="E3" i="4"/>
  <c r="E251" i="4"/>
  <c r="E246" i="4"/>
  <c r="E241" i="4"/>
  <c r="E235" i="4"/>
  <c r="E230" i="4"/>
  <c r="E225" i="4"/>
  <c r="E219" i="4"/>
  <c r="E214" i="4"/>
  <c r="E209" i="4"/>
  <c r="E203" i="4"/>
  <c r="E198" i="4"/>
  <c r="E193" i="4"/>
  <c r="E187" i="4"/>
  <c r="E182" i="4"/>
  <c r="E177" i="4"/>
  <c r="E171" i="4"/>
  <c r="E166" i="4"/>
  <c r="E161" i="4"/>
  <c r="E155" i="4"/>
  <c r="E150" i="4"/>
  <c r="E145" i="4"/>
  <c r="E139" i="4"/>
  <c r="E134" i="4"/>
  <c r="E129" i="4"/>
  <c r="E123" i="4"/>
  <c r="E118" i="4"/>
  <c r="E113" i="4"/>
  <c r="E107" i="4"/>
  <c r="E102" i="4"/>
  <c r="E97" i="4"/>
  <c r="E91" i="4"/>
  <c r="E86" i="4"/>
  <c r="E81" i="4"/>
  <c r="E75" i="4"/>
  <c r="E70" i="4"/>
  <c r="E65" i="4"/>
  <c r="E59" i="4"/>
  <c r="E54" i="4"/>
  <c r="E47" i="4"/>
  <c r="E39" i="4"/>
  <c r="E31" i="4"/>
  <c r="E23" i="4"/>
  <c r="E15" i="4"/>
  <c r="E7" i="4"/>
  <c r="E250" i="4"/>
  <c r="E245" i="4"/>
  <c r="E239" i="4"/>
  <c r="E234" i="4"/>
  <c r="E229" i="4"/>
  <c r="E223" i="4"/>
  <c r="E218" i="4"/>
  <c r="E213" i="4"/>
  <c r="E207" i="4"/>
  <c r="E202" i="4"/>
  <c r="E197" i="4"/>
  <c r="E191" i="4"/>
  <c r="E186" i="4"/>
  <c r="E181" i="4"/>
  <c r="E175" i="4"/>
  <c r="E170" i="4"/>
  <c r="E165" i="4"/>
  <c r="E159" i="4"/>
  <c r="E154" i="4"/>
  <c r="E149" i="4"/>
  <c r="E143" i="4"/>
  <c r="E138" i="4"/>
  <c r="E133" i="4"/>
  <c r="E127" i="4"/>
  <c r="E122" i="4"/>
  <c r="E117" i="4"/>
  <c r="E111" i="4"/>
  <c r="E106" i="4"/>
  <c r="E101" i="4"/>
  <c r="E95" i="4"/>
  <c r="E90" i="4"/>
  <c r="E85" i="4"/>
  <c r="E79" i="4"/>
  <c r="E74" i="4"/>
  <c r="E69" i="4"/>
  <c r="E63" i="4"/>
  <c r="E58" i="4"/>
  <c r="E53" i="4"/>
  <c r="E46" i="4"/>
  <c r="E38" i="4"/>
  <c r="E30" i="4"/>
  <c r="E22" i="4"/>
  <c r="E14" i="4"/>
  <c r="E6" i="4"/>
  <c r="E49" i="4"/>
  <c r="E45" i="4"/>
  <c r="E41" i="4"/>
  <c r="E37" i="4"/>
  <c r="E33" i="4"/>
  <c r="E29" i="4"/>
  <c r="E25" i="4"/>
  <c r="E21" i="4"/>
  <c r="E17" i="4"/>
  <c r="E13" i="4"/>
  <c r="E9" i="4"/>
  <c r="E5" i="4"/>
  <c r="J4" i="5"/>
  <c r="E252" i="4"/>
  <c r="E248" i="4"/>
  <c r="E244" i="4"/>
  <c r="E240" i="4"/>
  <c r="E236" i="4"/>
  <c r="E232" i="4"/>
  <c r="E228" i="4"/>
  <c r="E224" i="4"/>
  <c r="E220" i="4"/>
  <c r="E216" i="4"/>
  <c r="E212" i="4"/>
  <c r="E208" i="4"/>
  <c r="E204" i="4"/>
  <c r="E200" i="4"/>
  <c r="E196" i="4"/>
  <c r="E192" i="4"/>
  <c r="E188" i="4"/>
  <c r="E184" i="4"/>
  <c r="E180" i="4"/>
  <c r="E176" i="4"/>
  <c r="E172" i="4"/>
  <c r="E168" i="4"/>
  <c r="E164" i="4"/>
  <c r="E160" i="4"/>
  <c r="E156" i="4"/>
  <c r="E152" i="4"/>
  <c r="E148" i="4"/>
  <c r="E144" i="4"/>
  <c r="E140" i="4"/>
  <c r="E136" i="4"/>
  <c r="E132" i="4"/>
  <c r="E128" i="4"/>
  <c r="E124" i="4"/>
  <c r="E120" i="4"/>
  <c r="E116" i="4"/>
  <c r="E112" i="4"/>
  <c r="E108" i="4"/>
  <c r="E104" i="4"/>
  <c r="E100" i="4"/>
  <c r="E96" i="4"/>
  <c r="E92" i="4"/>
  <c r="E88" i="4"/>
  <c r="E84" i="4"/>
  <c r="E80" i="4"/>
  <c r="E76" i="4"/>
  <c r="E72" i="4"/>
  <c r="E68" i="4"/>
  <c r="E64" i="4"/>
  <c r="E60" i="4"/>
  <c r="E56" i="4"/>
  <c r="E52" i="4"/>
  <c r="E48" i="4"/>
  <c r="E44" i="4"/>
  <c r="E40" i="4"/>
  <c r="E36" i="4"/>
  <c r="E32" i="4"/>
  <c r="E28" i="4"/>
  <c r="E24" i="4"/>
  <c r="E20" i="4"/>
  <c r="E16" i="4"/>
  <c r="E12" i="4"/>
  <c r="E8" i="4"/>
  <c r="E4" i="4"/>
  <c r="G4" i="4" l="1"/>
  <c r="G8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04" i="4"/>
  <c r="G108" i="4"/>
  <c r="G112" i="4"/>
  <c r="G116" i="4"/>
  <c r="G120" i="4"/>
  <c r="G124" i="4"/>
  <c r="G128" i="4"/>
  <c r="G132" i="4"/>
  <c r="G136" i="4"/>
  <c r="G140" i="4"/>
  <c r="G144" i="4"/>
  <c r="G148" i="4"/>
  <c r="G152" i="4"/>
  <c r="G156" i="4"/>
  <c r="G160" i="4"/>
  <c r="G164" i="4"/>
  <c r="G168" i="4"/>
  <c r="G172" i="4"/>
  <c r="G176" i="4"/>
  <c r="G180" i="4"/>
  <c r="G184" i="4"/>
  <c r="G188" i="4"/>
  <c r="G192" i="4"/>
  <c r="G196" i="4"/>
  <c r="G200" i="4"/>
  <c r="G204" i="4"/>
  <c r="G208" i="4"/>
  <c r="G212" i="4"/>
  <c r="G216" i="4"/>
  <c r="G220" i="4"/>
  <c r="G224" i="4"/>
  <c r="G228" i="4"/>
  <c r="G232" i="4"/>
  <c r="G236" i="4"/>
  <c r="G240" i="4"/>
  <c r="G244" i="4"/>
  <c r="G248" i="4"/>
  <c r="G252" i="4"/>
  <c r="L4" i="5"/>
  <c r="G5" i="4"/>
  <c r="G9" i="4"/>
  <c r="G13" i="4"/>
  <c r="G17" i="4"/>
  <c r="G21" i="4"/>
  <c r="G25" i="4"/>
  <c r="G29" i="4"/>
  <c r="G33" i="4"/>
  <c r="G37" i="4"/>
  <c r="G41" i="4"/>
  <c r="G45" i="4"/>
  <c r="G49" i="4"/>
  <c r="G6" i="4"/>
  <c r="G14" i="4"/>
  <c r="G22" i="4"/>
  <c r="G30" i="4"/>
  <c r="G38" i="4"/>
  <c r="G46" i="4"/>
  <c r="G53" i="4"/>
  <c r="G58" i="4"/>
  <c r="G63" i="4"/>
  <c r="G69" i="4"/>
  <c r="G74" i="4"/>
  <c r="G79" i="4"/>
  <c r="G85" i="4"/>
  <c r="G90" i="4"/>
  <c r="G95" i="4"/>
  <c r="G101" i="4"/>
  <c r="G106" i="4"/>
  <c r="G111" i="4"/>
  <c r="G117" i="4"/>
  <c r="G122" i="4"/>
  <c r="G127" i="4"/>
  <c r="G133" i="4"/>
  <c r="G138" i="4"/>
  <c r="G143" i="4"/>
  <c r="G149" i="4"/>
  <c r="G154" i="4"/>
  <c r="G159" i="4"/>
  <c r="G165" i="4"/>
  <c r="G170" i="4"/>
  <c r="G175" i="4"/>
  <c r="G181" i="4"/>
  <c r="G186" i="4"/>
  <c r="G191" i="4"/>
  <c r="G197" i="4"/>
  <c r="G202" i="4"/>
  <c r="G207" i="4"/>
  <c r="G213" i="4"/>
  <c r="G218" i="4"/>
  <c r="G223" i="4"/>
  <c r="G229" i="4"/>
  <c r="G234" i="4"/>
  <c r="G239" i="4"/>
  <c r="G245" i="4"/>
  <c r="G250" i="4"/>
  <c r="G7" i="4"/>
  <c r="G15" i="4"/>
  <c r="G23" i="4"/>
  <c r="G31" i="4"/>
  <c r="G39" i="4"/>
  <c r="G47" i="4"/>
  <c r="G54" i="4"/>
  <c r="G59" i="4"/>
  <c r="G65" i="4"/>
  <c r="G70" i="4"/>
  <c r="G75" i="4"/>
  <c r="G81" i="4"/>
  <c r="G86" i="4"/>
  <c r="G91" i="4"/>
  <c r="G97" i="4"/>
  <c r="G102" i="4"/>
  <c r="G107" i="4"/>
  <c r="G113" i="4"/>
  <c r="G118" i="4"/>
  <c r="G123" i="4"/>
  <c r="G129" i="4"/>
  <c r="G134" i="4"/>
  <c r="G139" i="4"/>
  <c r="G145" i="4"/>
  <c r="G150" i="4"/>
  <c r="G155" i="4"/>
  <c r="G161" i="4"/>
  <c r="G166" i="4"/>
  <c r="G171" i="4"/>
  <c r="G177" i="4"/>
  <c r="G182" i="4"/>
  <c r="G187" i="4"/>
  <c r="G193" i="4"/>
  <c r="G198" i="4"/>
  <c r="G203" i="4"/>
  <c r="G209" i="4"/>
  <c r="G214" i="4"/>
  <c r="G219" i="4"/>
  <c r="G225" i="4"/>
  <c r="G230" i="4"/>
  <c r="G235" i="4"/>
  <c r="G241" i="4"/>
  <c r="G246" i="4"/>
  <c r="G251" i="4"/>
  <c r="G3" i="4"/>
  <c r="E253" i="4"/>
  <c r="G19" i="4"/>
  <c r="G35" i="4"/>
  <c r="G51" i="4"/>
  <c r="G62" i="4"/>
  <c r="G73" i="4"/>
  <c r="G83" i="4"/>
  <c r="G94" i="4"/>
  <c r="G105" i="4"/>
  <c r="G115" i="4"/>
  <c r="G126" i="4"/>
  <c r="G137" i="4"/>
  <c r="G147" i="4"/>
  <c r="G158" i="4"/>
  <c r="G169" i="4"/>
  <c r="G179" i="4"/>
  <c r="G190" i="4"/>
  <c r="G201" i="4"/>
  <c r="G211" i="4"/>
  <c r="G222" i="4"/>
  <c r="G233" i="4"/>
  <c r="G243" i="4"/>
  <c r="L3" i="5"/>
  <c r="L8" i="5"/>
  <c r="L12" i="5"/>
  <c r="L16" i="5"/>
  <c r="L20" i="5"/>
  <c r="L24" i="5"/>
  <c r="L28" i="5"/>
  <c r="L32" i="5"/>
  <c r="L36" i="5"/>
  <c r="L40" i="5"/>
  <c r="L44" i="5"/>
  <c r="L48" i="5"/>
  <c r="L52" i="5"/>
  <c r="L56" i="5"/>
  <c r="L60" i="5"/>
  <c r="L64" i="5"/>
  <c r="L68" i="5"/>
  <c r="L72" i="5"/>
  <c r="L76" i="5"/>
  <c r="L80" i="5"/>
  <c r="L84" i="5"/>
  <c r="L88" i="5"/>
  <c r="L92" i="5"/>
  <c r="L96" i="5"/>
  <c r="L100" i="5"/>
  <c r="L104" i="5"/>
  <c r="L108" i="5"/>
  <c r="L112" i="5"/>
  <c r="L116" i="5"/>
  <c r="G11" i="4"/>
  <c r="G27" i="4"/>
  <c r="G43" i="4"/>
  <c r="G57" i="4"/>
  <c r="G67" i="4"/>
  <c r="G78" i="4"/>
  <c r="G89" i="4"/>
  <c r="G99" i="4"/>
  <c r="G110" i="4"/>
  <c r="G121" i="4"/>
  <c r="G131" i="4"/>
  <c r="G142" i="4"/>
  <c r="G153" i="4"/>
  <c r="G163" i="4"/>
  <c r="G174" i="4"/>
  <c r="G185" i="4"/>
  <c r="G195" i="4"/>
  <c r="G206" i="4"/>
  <c r="G217" i="4"/>
  <c r="G227" i="4"/>
  <c r="G238" i="4"/>
  <c r="G249" i="4"/>
  <c r="L6" i="5"/>
  <c r="L10" i="5"/>
  <c r="L14" i="5"/>
  <c r="L18" i="5"/>
  <c r="L22" i="5"/>
  <c r="L26" i="5"/>
  <c r="L30" i="5"/>
  <c r="L34" i="5"/>
  <c r="L38" i="5"/>
  <c r="L42" i="5"/>
  <c r="L46" i="5"/>
  <c r="L50" i="5"/>
  <c r="L54" i="5"/>
  <c r="L58" i="5"/>
  <c r="L62" i="5"/>
  <c r="L66" i="5"/>
  <c r="L70" i="5"/>
  <c r="L74" i="5"/>
  <c r="L78" i="5"/>
  <c r="L82" i="5"/>
  <c r="L86" i="5"/>
  <c r="L90" i="5"/>
  <c r="L94" i="5"/>
  <c r="L98" i="5"/>
  <c r="L102" i="5"/>
  <c r="L106" i="5"/>
  <c r="L110" i="5"/>
  <c r="L114" i="5"/>
  <c r="G10" i="4"/>
  <c r="G42" i="4"/>
  <c r="G66" i="4"/>
  <c r="G87" i="4"/>
  <c r="G109" i="4"/>
  <c r="G130" i="4"/>
  <c r="G151" i="4"/>
  <c r="G173" i="4"/>
  <c r="G194" i="4"/>
  <c r="G215" i="4"/>
  <c r="G237" i="4"/>
  <c r="L9" i="5"/>
  <c r="L17" i="5"/>
  <c r="L25" i="5"/>
  <c r="L33" i="5"/>
  <c r="L41" i="5"/>
  <c r="L49" i="5"/>
  <c r="L57" i="5"/>
  <c r="L65" i="5"/>
  <c r="L73" i="5"/>
  <c r="L81" i="5"/>
  <c r="L89" i="5"/>
  <c r="L97" i="5"/>
  <c r="L105" i="5"/>
  <c r="L113" i="5"/>
  <c r="H3" i="5"/>
  <c r="H7" i="5"/>
  <c r="H11" i="5"/>
  <c r="H15" i="5"/>
  <c r="H19" i="5"/>
  <c r="H23" i="5"/>
  <c r="H27" i="5"/>
  <c r="H31" i="5"/>
  <c r="H35" i="5"/>
  <c r="H39" i="5"/>
  <c r="H43" i="5"/>
  <c r="H47" i="5"/>
  <c r="H51" i="5"/>
  <c r="H55" i="5"/>
  <c r="H59" i="5"/>
  <c r="H63" i="5"/>
  <c r="H67" i="5"/>
  <c r="H71" i="5"/>
  <c r="H75" i="5"/>
  <c r="H79" i="5"/>
  <c r="H83" i="5"/>
  <c r="H87" i="5"/>
  <c r="H91" i="5"/>
  <c r="H95" i="5"/>
  <c r="H99" i="5"/>
  <c r="H103" i="5"/>
  <c r="H107" i="5"/>
  <c r="H111" i="5"/>
  <c r="H115" i="5"/>
  <c r="H104" i="5"/>
  <c r="H112" i="5"/>
  <c r="G26" i="4"/>
  <c r="G77" i="4"/>
  <c r="G119" i="4"/>
  <c r="G162" i="4"/>
  <c r="G205" i="4"/>
  <c r="G247" i="4"/>
  <c r="L13" i="5"/>
  <c r="L29" i="5"/>
  <c r="L45" i="5"/>
  <c r="L61" i="5"/>
  <c r="L77" i="5"/>
  <c r="L93" i="5"/>
  <c r="L109" i="5"/>
  <c r="H9" i="5"/>
  <c r="H17" i="5"/>
  <c r="H25" i="5"/>
  <c r="H33" i="5"/>
  <c r="H41" i="5"/>
  <c r="H45" i="5"/>
  <c r="H57" i="5"/>
  <c r="H65" i="5"/>
  <c r="H73" i="5"/>
  <c r="H81" i="5"/>
  <c r="H89" i="5"/>
  <c r="H97" i="5"/>
  <c r="H105" i="5"/>
  <c r="H113" i="5"/>
  <c r="G34" i="4"/>
  <c r="G82" i="4"/>
  <c r="G125" i="4"/>
  <c r="G167" i="4"/>
  <c r="G210" i="4"/>
  <c r="G18" i="4"/>
  <c r="G50" i="4"/>
  <c r="G71" i="4"/>
  <c r="G93" i="4"/>
  <c r="G114" i="4"/>
  <c r="G135" i="4"/>
  <c r="G157" i="4"/>
  <c r="G178" i="4"/>
  <c r="G199" i="4"/>
  <c r="G221" i="4"/>
  <c r="G242" i="4"/>
  <c r="L11" i="5"/>
  <c r="L19" i="5"/>
  <c r="L27" i="5"/>
  <c r="L35" i="5"/>
  <c r="L43" i="5"/>
  <c r="L51" i="5"/>
  <c r="L59" i="5"/>
  <c r="L67" i="5"/>
  <c r="L75" i="5"/>
  <c r="L83" i="5"/>
  <c r="L91" i="5"/>
  <c r="L99" i="5"/>
  <c r="L107" i="5"/>
  <c r="L115" i="5"/>
  <c r="H4" i="5"/>
  <c r="H8" i="5"/>
  <c r="H12" i="5"/>
  <c r="H16" i="5"/>
  <c r="H20" i="5"/>
  <c r="H24" i="5"/>
  <c r="H28" i="5"/>
  <c r="H32" i="5"/>
  <c r="H36" i="5"/>
  <c r="H40" i="5"/>
  <c r="H44" i="5"/>
  <c r="H48" i="5"/>
  <c r="H52" i="5"/>
  <c r="H56" i="5"/>
  <c r="H60" i="5"/>
  <c r="H64" i="5"/>
  <c r="H68" i="5"/>
  <c r="H72" i="5"/>
  <c r="H76" i="5"/>
  <c r="H80" i="5"/>
  <c r="H84" i="5"/>
  <c r="H88" i="5"/>
  <c r="H92" i="5"/>
  <c r="H96" i="5"/>
  <c r="H100" i="5"/>
  <c r="H108" i="5"/>
  <c r="H116" i="5"/>
  <c r="G55" i="4"/>
  <c r="G98" i="4"/>
  <c r="G141" i="4"/>
  <c r="G183" i="4"/>
  <c r="G226" i="4"/>
  <c r="L5" i="5"/>
  <c r="L21" i="5"/>
  <c r="L37" i="5"/>
  <c r="L53" i="5"/>
  <c r="L69" i="5"/>
  <c r="L85" i="5"/>
  <c r="L101" i="5"/>
  <c r="L117" i="5"/>
  <c r="H5" i="5"/>
  <c r="H13" i="5"/>
  <c r="H21" i="5"/>
  <c r="H29" i="5"/>
  <c r="H37" i="5"/>
  <c r="H49" i="5"/>
  <c r="H53" i="5"/>
  <c r="H61" i="5"/>
  <c r="H69" i="5"/>
  <c r="H77" i="5"/>
  <c r="H85" i="5"/>
  <c r="H93" i="5"/>
  <c r="H101" i="5"/>
  <c r="H109" i="5"/>
  <c r="H117" i="5"/>
  <c r="G61" i="4"/>
  <c r="G103" i="4"/>
  <c r="G146" i="4"/>
  <c r="G189" i="4"/>
  <c r="G231" i="4"/>
  <c r="L23" i="5"/>
  <c r="L55" i="5"/>
  <c r="L87" i="5"/>
  <c r="H6" i="5"/>
  <c r="H22" i="5"/>
  <c r="H70" i="5"/>
  <c r="H102" i="5"/>
  <c r="L63" i="5"/>
  <c r="H26" i="5"/>
  <c r="H74" i="5"/>
  <c r="H106" i="5"/>
  <c r="L39" i="5"/>
  <c r="L103" i="5"/>
  <c r="H14" i="5"/>
  <c r="H46" i="5"/>
  <c r="H94" i="5"/>
  <c r="L15" i="5"/>
  <c r="L47" i="5"/>
  <c r="L79" i="5"/>
  <c r="L111" i="5"/>
  <c r="H18" i="5"/>
  <c r="H34" i="5"/>
  <c r="H50" i="5"/>
  <c r="H66" i="5"/>
  <c r="H82" i="5"/>
  <c r="H98" i="5"/>
  <c r="H114" i="5"/>
  <c r="H38" i="5"/>
  <c r="H54" i="5"/>
  <c r="H86" i="5"/>
  <c r="L31" i="5"/>
  <c r="L95" i="5"/>
  <c r="H10" i="5"/>
  <c r="H42" i="5"/>
  <c r="H58" i="5"/>
  <c r="H90" i="5"/>
  <c r="L7" i="5"/>
  <c r="L71" i="5"/>
  <c r="H30" i="5"/>
  <c r="H62" i="5"/>
  <c r="H78" i="5"/>
  <c r="H110" i="5"/>
  <c r="H5" i="4"/>
  <c r="H9" i="4"/>
  <c r="H13" i="4"/>
  <c r="H17" i="4"/>
  <c r="H21" i="4"/>
  <c r="H25" i="4"/>
  <c r="H29" i="4"/>
  <c r="H33" i="4"/>
  <c r="H37" i="4"/>
  <c r="H41" i="4"/>
  <c r="H45" i="4"/>
  <c r="H49" i="4"/>
  <c r="H53" i="4"/>
  <c r="H57" i="4"/>
  <c r="H61" i="4"/>
  <c r="H65" i="4"/>
  <c r="H69" i="4"/>
  <c r="H73" i="4"/>
  <c r="H77" i="4"/>
  <c r="H81" i="4"/>
  <c r="H85" i="4"/>
  <c r="H89" i="4"/>
  <c r="H93" i="4"/>
  <c r="H97" i="4"/>
  <c r="H101" i="4"/>
  <c r="H105" i="4"/>
  <c r="H109" i="4"/>
  <c r="H113" i="4"/>
  <c r="H117" i="4"/>
  <c r="H121" i="4"/>
  <c r="H125" i="4"/>
  <c r="H129" i="4"/>
  <c r="H133" i="4"/>
  <c r="H137" i="4"/>
  <c r="H141" i="4"/>
  <c r="H145" i="4"/>
  <c r="H149" i="4"/>
  <c r="H153" i="4"/>
  <c r="H157" i="4"/>
  <c r="H161" i="4"/>
  <c r="H165" i="4"/>
  <c r="H169" i="4"/>
  <c r="H173" i="4"/>
  <c r="H177" i="4"/>
  <c r="H181" i="4"/>
  <c r="H185" i="4"/>
  <c r="H189" i="4"/>
  <c r="H6" i="4"/>
  <c r="H10" i="4"/>
  <c r="H14" i="4"/>
  <c r="H18" i="4"/>
  <c r="H22" i="4"/>
  <c r="H26" i="4"/>
  <c r="H30" i="4"/>
  <c r="H34" i="4"/>
  <c r="H38" i="4"/>
  <c r="H42" i="4"/>
  <c r="H46" i="4"/>
  <c r="H50" i="4"/>
  <c r="H54" i="4"/>
  <c r="H58" i="4"/>
  <c r="H62" i="4"/>
  <c r="H66" i="4"/>
  <c r="H70" i="4"/>
  <c r="H74" i="4"/>
  <c r="H78" i="4"/>
  <c r="H82" i="4"/>
  <c r="H86" i="4"/>
  <c r="H90" i="4"/>
  <c r="H94" i="4"/>
  <c r="H98" i="4"/>
  <c r="H102" i="4"/>
  <c r="H106" i="4"/>
  <c r="H110" i="4"/>
  <c r="H114" i="4"/>
  <c r="H118" i="4"/>
  <c r="H122" i="4"/>
  <c r="H126" i="4"/>
  <c r="H130" i="4"/>
  <c r="H134" i="4"/>
  <c r="H138" i="4"/>
  <c r="H142" i="4"/>
  <c r="H146" i="4"/>
  <c r="H150" i="4"/>
  <c r="H154" i="4"/>
  <c r="H158" i="4"/>
  <c r="H162" i="4"/>
  <c r="H166" i="4"/>
  <c r="H170" i="4"/>
  <c r="H174" i="4"/>
  <c r="H178" i="4"/>
  <c r="H182" i="4"/>
  <c r="H186" i="4"/>
  <c r="H190" i="4"/>
  <c r="H194" i="4"/>
  <c r="H198" i="4"/>
  <c r="H202" i="4"/>
  <c r="H206" i="4"/>
  <c r="H4" i="4"/>
  <c r="H12" i="4"/>
  <c r="H20" i="4"/>
  <c r="H28" i="4"/>
  <c r="H36" i="4"/>
  <c r="H44" i="4"/>
  <c r="H52" i="4"/>
  <c r="H60" i="4"/>
  <c r="H68" i="4"/>
  <c r="H76" i="4"/>
  <c r="H84" i="4"/>
  <c r="H92" i="4"/>
  <c r="H100" i="4"/>
  <c r="H108" i="4"/>
  <c r="H116" i="4"/>
  <c r="H124" i="4"/>
  <c r="H132" i="4"/>
  <c r="H140" i="4"/>
  <c r="H148" i="4"/>
  <c r="H156" i="4"/>
  <c r="H164" i="4"/>
  <c r="H172" i="4"/>
  <c r="H180" i="4"/>
  <c r="H188" i="4"/>
  <c r="H195" i="4"/>
  <c r="H200" i="4"/>
  <c r="H205" i="4"/>
  <c r="H210" i="4"/>
  <c r="H214" i="4"/>
  <c r="H218" i="4"/>
  <c r="H222" i="4"/>
  <c r="H226" i="4"/>
  <c r="H230" i="4"/>
  <c r="H234" i="4"/>
  <c r="H238" i="4"/>
  <c r="H242" i="4"/>
  <c r="H246" i="4"/>
  <c r="H250" i="4"/>
  <c r="M3" i="5"/>
  <c r="M7" i="5"/>
  <c r="M11" i="5"/>
  <c r="M15" i="5"/>
  <c r="M19" i="5"/>
  <c r="M23" i="5"/>
  <c r="M27" i="5"/>
  <c r="M31" i="5"/>
  <c r="M35" i="5"/>
  <c r="M39" i="5"/>
  <c r="M43" i="5"/>
  <c r="M47" i="5"/>
  <c r="M51" i="5"/>
  <c r="M55" i="5"/>
  <c r="M59" i="5"/>
  <c r="M63" i="5"/>
  <c r="M67" i="5"/>
  <c r="M71" i="5"/>
  <c r="M75" i="5"/>
  <c r="M79" i="5"/>
  <c r="M83" i="5"/>
  <c r="M87" i="5"/>
  <c r="M91" i="5"/>
  <c r="M95" i="5"/>
  <c r="M99" i="5"/>
  <c r="M103" i="5"/>
  <c r="M107" i="5"/>
  <c r="M111" i="5"/>
  <c r="M115" i="5"/>
  <c r="H7" i="4"/>
  <c r="H15" i="4"/>
  <c r="H23" i="4"/>
  <c r="H31" i="4"/>
  <c r="H39" i="4"/>
  <c r="H47" i="4"/>
  <c r="H55" i="4"/>
  <c r="H63" i="4"/>
  <c r="H71" i="4"/>
  <c r="H79" i="4"/>
  <c r="H87" i="4"/>
  <c r="H95" i="4"/>
  <c r="H103" i="4"/>
  <c r="H111" i="4"/>
  <c r="H119" i="4"/>
  <c r="H127" i="4"/>
  <c r="H135" i="4"/>
  <c r="H143" i="4"/>
  <c r="H151" i="4"/>
  <c r="H159" i="4"/>
  <c r="H167" i="4"/>
  <c r="H175" i="4"/>
  <c r="H183" i="4"/>
  <c r="H191" i="4"/>
  <c r="H196" i="4"/>
  <c r="H201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8" i="4"/>
  <c r="H24" i="4"/>
  <c r="H40" i="4"/>
  <c r="H56" i="4"/>
  <c r="H72" i="4"/>
  <c r="H88" i="4"/>
  <c r="H104" i="4"/>
  <c r="H120" i="4"/>
  <c r="H136" i="4"/>
  <c r="H152" i="4"/>
  <c r="H168" i="4"/>
  <c r="H184" i="4"/>
  <c r="H197" i="4"/>
  <c r="H208" i="4"/>
  <c r="H216" i="4"/>
  <c r="H224" i="4"/>
  <c r="H232" i="4"/>
  <c r="H240" i="4"/>
  <c r="H248" i="4"/>
  <c r="H11" i="4"/>
  <c r="H27" i="4"/>
  <c r="H43" i="4"/>
  <c r="H59" i="4"/>
  <c r="H75" i="4"/>
  <c r="H91" i="4"/>
  <c r="H107" i="4"/>
  <c r="H123" i="4"/>
  <c r="H139" i="4"/>
  <c r="H155" i="4"/>
  <c r="H171" i="4"/>
  <c r="H187" i="4"/>
  <c r="H199" i="4"/>
  <c r="H209" i="4"/>
  <c r="H217" i="4"/>
  <c r="H225" i="4"/>
  <c r="H233" i="4"/>
  <c r="H241" i="4"/>
  <c r="H249" i="4"/>
  <c r="H19" i="4"/>
  <c r="H51" i="4"/>
  <c r="H83" i="4"/>
  <c r="H115" i="4"/>
  <c r="H147" i="4"/>
  <c r="H179" i="4"/>
  <c r="H204" i="4"/>
  <c r="H221" i="4"/>
  <c r="H237" i="4"/>
  <c r="M6" i="5"/>
  <c r="M12" i="5"/>
  <c r="M17" i="5"/>
  <c r="M22" i="5"/>
  <c r="M28" i="5"/>
  <c r="M33" i="5"/>
  <c r="M38" i="5"/>
  <c r="M44" i="5"/>
  <c r="M49" i="5"/>
  <c r="M54" i="5"/>
  <c r="M60" i="5"/>
  <c r="M65" i="5"/>
  <c r="M70" i="5"/>
  <c r="M76" i="5"/>
  <c r="M81" i="5"/>
  <c r="M86" i="5"/>
  <c r="M92" i="5"/>
  <c r="M97" i="5"/>
  <c r="M102" i="5"/>
  <c r="M108" i="5"/>
  <c r="M113" i="5"/>
  <c r="I3" i="5"/>
  <c r="I7" i="5"/>
  <c r="I11" i="5"/>
  <c r="I15" i="5"/>
  <c r="I19" i="5"/>
  <c r="I23" i="5"/>
  <c r="I27" i="5"/>
  <c r="I31" i="5"/>
  <c r="I35" i="5"/>
  <c r="I39" i="5"/>
  <c r="I43" i="5"/>
  <c r="I47" i="5"/>
  <c r="I51" i="5"/>
  <c r="I55" i="5"/>
  <c r="I59" i="5"/>
  <c r="I63" i="5"/>
  <c r="I67" i="5"/>
  <c r="I71" i="5"/>
  <c r="I75" i="5"/>
  <c r="I79" i="5"/>
  <c r="I83" i="5"/>
  <c r="I87" i="5"/>
  <c r="I91" i="5"/>
  <c r="I95" i="5"/>
  <c r="I99" i="5"/>
  <c r="I103" i="5"/>
  <c r="H3" i="4"/>
  <c r="F253" i="4"/>
  <c r="H35" i="4"/>
  <c r="H67" i="4"/>
  <c r="H99" i="4"/>
  <c r="H131" i="4"/>
  <c r="H163" i="4"/>
  <c r="H193" i="4"/>
  <c r="H213" i="4"/>
  <c r="H229" i="4"/>
  <c r="H245" i="4"/>
  <c r="M4" i="5"/>
  <c r="M9" i="5"/>
  <c r="M14" i="5"/>
  <c r="M20" i="5"/>
  <c r="M25" i="5"/>
  <c r="M30" i="5"/>
  <c r="M36" i="5"/>
  <c r="M41" i="5"/>
  <c r="M46" i="5"/>
  <c r="M52" i="5"/>
  <c r="M57" i="5"/>
  <c r="M62" i="5"/>
  <c r="M68" i="5"/>
  <c r="M73" i="5"/>
  <c r="M78" i="5"/>
  <c r="M84" i="5"/>
  <c r="M89" i="5"/>
  <c r="M94" i="5"/>
  <c r="M100" i="5"/>
  <c r="M105" i="5"/>
  <c r="M110" i="5"/>
  <c r="M116" i="5"/>
  <c r="I5" i="5"/>
  <c r="I9" i="5"/>
  <c r="I13" i="5"/>
  <c r="I17" i="5"/>
  <c r="I21" i="5"/>
  <c r="I25" i="5"/>
  <c r="I29" i="5"/>
  <c r="I33" i="5"/>
  <c r="I37" i="5"/>
  <c r="I41" i="5"/>
  <c r="I45" i="5"/>
  <c r="I49" i="5"/>
  <c r="I53" i="5"/>
  <c r="I57" i="5"/>
  <c r="I61" i="5"/>
  <c r="H64" i="4"/>
  <c r="H128" i="4"/>
  <c r="H192" i="4"/>
  <c r="H228" i="4"/>
  <c r="M8" i="5"/>
  <c r="M18" i="5"/>
  <c r="M29" i="5"/>
  <c r="M40" i="5"/>
  <c r="M50" i="5"/>
  <c r="M61" i="5"/>
  <c r="M72" i="5"/>
  <c r="M82" i="5"/>
  <c r="M93" i="5"/>
  <c r="M104" i="5"/>
  <c r="M114" i="5"/>
  <c r="I8" i="5"/>
  <c r="I16" i="5"/>
  <c r="I24" i="5"/>
  <c r="I32" i="5"/>
  <c r="I40" i="5"/>
  <c r="I48" i="5"/>
  <c r="I56" i="5"/>
  <c r="I64" i="5"/>
  <c r="I69" i="5"/>
  <c r="I74" i="5"/>
  <c r="I80" i="5"/>
  <c r="I85" i="5"/>
  <c r="I90" i="5"/>
  <c r="I96" i="5"/>
  <c r="I101" i="5"/>
  <c r="I106" i="5"/>
  <c r="I110" i="5"/>
  <c r="I114" i="5"/>
  <c r="H96" i="4"/>
  <c r="H212" i="4"/>
  <c r="M24" i="5"/>
  <c r="M45" i="5"/>
  <c r="M66" i="5"/>
  <c r="M88" i="5"/>
  <c r="M109" i="5"/>
  <c r="I12" i="5"/>
  <c r="I20" i="5"/>
  <c r="I36" i="5"/>
  <c r="I52" i="5"/>
  <c r="I66" i="5"/>
  <c r="I77" i="5"/>
  <c r="I88" i="5"/>
  <c r="I98" i="5"/>
  <c r="I108" i="5"/>
  <c r="I116" i="5"/>
  <c r="H112" i="4"/>
  <c r="H220" i="4"/>
  <c r="H16" i="4"/>
  <c r="H80" i="4"/>
  <c r="H144" i="4"/>
  <c r="H203" i="4"/>
  <c r="H236" i="4"/>
  <c r="M10" i="5"/>
  <c r="M21" i="5"/>
  <c r="M32" i="5"/>
  <c r="M42" i="5"/>
  <c r="M53" i="5"/>
  <c r="M64" i="5"/>
  <c r="M74" i="5"/>
  <c r="M85" i="5"/>
  <c r="M96" i="5"/>
  <c r="M106" i="5"/>
  <c r="M117" i="5"/>
  <c r="I10" i="5"/>
  <c r="I18" i="5"/>
  <c r="I26" i="5"/>
  <c r="I34" i="5"/>
  <c r="I42" i="5"/>
  <c r="I50" i="5"/>
  <c r="I58" i="5"/>
  <c r="I65" i="5"/>
  <c r="I70" i="5"/>
  <c r="I76" i="5"/>
  <c r="I81" i="5"/>
  <c r="I86" i="5"/>
  <c r="I92" i="5"/>
  <c r="I97" i="5"/>
  <c r="I102" i="5"/>
  <c r="I107" i="5"/>
  <c r="I111" i="5"/>
  <c r="I115" i="5"/>
  <c r="H32" i="4"/>
  <c r="H160" i="4"/>
  <c r="H244" i="4"/>
  <c r="M13" i="5"/>
  <c r="M34" i="5"/>
  <c r="M56" i="5"/>
  <c r="M77" i="5"/>
  <c r="M98" i="5"/>
  <c r="I4" i="5"/>
  <c r="I28" i="5"/>
  <c r="I44" i="5"/>
  <c r="I60" i="5"/>
  <c r="I72" i="5"/>
  <c r="I82" i="5"/>
  <c r="I93" i="5"/>
  <c r="I104" i="5"/>
  <c r="I112" i="5"/>
  <c r="H48" i="4"/>
  <c r="H176" i="4"/>
  <c r="H252" i="4"/>
  <c r="M16" i="5"/>
  <c r="M58" i="5"/>
  <c r="M101" i="5"/>
  <c r="I30" i="5"/>
  <c r="I62" i="5"/>
  <c r="I84" i="5"/>
  <c r="I105" i="5"/>
  <c r="M26" i="5"/>
  <c r="M112" i="5"/>
  <c r="I6" i="5"/>
  <c r="I68" i="5"/>
  <c r="I109" i="5"/>
  <c r="M80" i="5"/>
  <c r="I46" i="5"/>
  <c r="I94" i="5"/>
  <c r="M5" i="5"/>
  <c r="M48" i="5"/>
  <c r="M90" i="5"/>
  <c r="I22" i="5"/>
  <c r="I54" i="5"/>
  <c r="I78" i="5"/>
  <c r="I100" i="5"/>
  <c r="I117" i="5"/>
  <c r="M69" i="5"/>
  <c r="I38" i="5"/>
  <c r="I89" i="5"/>
  <c r="M37" i="5"/>
  <c r="I14" i="5"/>
  <c r="I73" i="5"/>
  <c r="I113" i="5"/>
  <c r="C4" i="1"/>
  <c r="H253" i="4" l="1"/>
  <c r="G253" i="4"/>
</calcChain>
</file>

<file path=xl/sharedStrings.xml><?xml version="1.0" encoding="utf-8"?>
<sst xmlns="http://schemas.openxmlformats.org/spreadsheetml/2006/main" count="6173" uniqueCount="749">
  <si>
    <t>Company:</t>
  </si>
  <si>
    <t>From Date:</t>
  </si>
  <si>
    <t>To Date:</t>
  </si>
  <si>
    <t>Date format:</t>
  </si>
  <si>
    <t>MM.DD.YYYY</t>
  </si>
  <si>
    <t>Date Period:</t>
  </si>
  <si>
    <t>Item number</t>
  </si>
  <si>
    <t>Lot ID</t>
  </si>
  <si>
    <t>Reference</t>
  </si>
  <si>
    <t>Number</t>
  </si>
  <si>
    <t>Physical date</t>
  </si>
  <si>
    <t>Financial date</t>
  </si>
  <si>
    <t>Quantity</t>
  </si>
  <si>
    <t>Total</t>
  </si>
  <si>
    <t>Inventory transactions</t>
  </si>
  <si>
    <t>GLG0097120</t>
  </si>
  <si>
    <t>GLG0195120</t>
  </si>
  <si>
    <t>Purchase order</t>
  </si>
  <si>
    <t>CAG0195200</t>
  </si>
  <si>
    <t>CAG0097200</t>
  </si>
  <si>
    <t>LARESI22005</t>
  </si>
  <si>
    <t>LA20006014</t>
  </si>
  <si>
    <t>CS240300300</t>
  </si>
  <si>
    <t>CS640400300</t>
  </si>
  <si>
    <t>LA15008014</t>
  </si>
  <si>
    <t>Item name</t>
  </si>
  <si>
    <t>S&amp;P C-Sheet 240 300 g/m2</t>
  </si>
  <si>
    <t>S&amp;P Glasphalt G (120/120kN)</t>
  </si>
  <si>
    <t>S&amp;P C-Laminate SM (150/2000) 80/1.4</t>
  </si>
  <si>
    <t>S&amp;P C-Laminate HM (200/2000) 60/1.4</t>
  </si>
  <si>
    <t>Unit</t>
  </si>
  <si>
    <t>PCS</t>
  </si>
  <si>
    <t>M²</t>
  </si>
  <si>
    <t>M</t>
  </si>
  <si>
    <t>TPP transactions</t>
  </si>
  <si>
    <t>TPP cost price</t>
  </si>
  <si>
    <t>TPP cost amount</t>
  </si>
  <si>
    <t>TPP cost amount currency</t>
  </si>
  <si>
    <t>Financial voucher</t>
  </si>
  <si>
    <t>Currency</t>
  </si>
  <si>
    <t>Status</t>
  </si>
  <si>
    <t>Date</t>
  </si>
  <si>
    <t>InventTransRecId</t>
  </si>
  <si>
    <t>Site</t>
  </si>
  <si>
    <t>Warehouse</t>
  </si>
  <si>
    <t>On-hand inventory</t>
  </si>
  <si>
    <t>AM20020019550</t>
  </si>
  <si>
    <t>ARAPTOOL001</t>
  </si>
  <si>
    <t>CS240200300</t>
  </si>
  <si>
    <t>LA15002014</t>
  </si>
  <si>
    <t>LA15005014</t>
  </si>
  <si>
    <t>LA15006014</t>
  </si>
  <si>
    <t>LA15010014</t>
  </si>
  <si>
    <t>LA15012014</t>
  </si>
  <si>
    <t>LA20002014</t>
  </si>
  <si>
    <t>LA20005014</t>
  </si>
  <si>
    <t>LA20010014</t>
  </si>
  <si>
    <t>LA20012014</t>
  </si>
  <si>
    <t>LAFRPTO001</t>
  </si>
  <si>
    <t>LAFRPTO002</t>
  </si>
  <si>
    <t>LARESI22015</t>
  </si>
  <si>
    <t>SHRESEPO55</t>
  </si>
  <si>
    <t>CS240300600</t>
  </si>
  <si>
    <t>CS240400300</t>
  </si>
  <si>
    <t>LA15001014</t>
  </si>
  <si>
    <t>LA15001525</t>
  </si>
  <si>
    <t>LA15015014</t>
  </si>
  <si>
    <t>LA20008014</t>
  </si>
  <si>
    <t>LA20009014</t>
  </si>
  <si>
    <t>LACLEAN002</t>
  </si>
  <si>
    <t/>
  </si>
  <si>
    <t>Current On-hand</t>
  </si>
  <si>
    <t>Beginning On-hand</t>
  </si>
  <si>
    <t>Ending On-hand</t>
  </si>
  <si>
    <t>Date for Beginning balance:</t>
  </si>
  <si>
    <t>Date for Ending balance:</t>
  </si>
  <si>
    <t>Trans backwords (Beginning)</t>
  </si>
  <si>
    <t>Trans backwords (Ending)</t>
  </si>
  <si>
    <t>TPP summary</t>
  </si>
  <si>
    <t>TPP On-hand (Beginning)</t>
  </si>
  <si>
    <t>TPP On-hand (Ending)</t>
  </si>
  <si>
    <t>TPP (Purchase invoice trans)</t>
  </si>
  <si>
    <t>S&amp;P C-Laminate SM (150/2000) 120/1.4</t>
  </si>
  <si>
    <t>S&amp;P C-Laminate HM (200/2000) 100/1.4</t>
  </si>
  <si>
    <t>S&amp;P C-Laminate HM (200/2000) 120/1.4</t>
  </si>
  <si>
    <t>S&amp;P ARMO-mesh 200/200</t>
  </si>
  <si>
    <t>LA15008012</t>
  </si>
  <si>
    <t>S&amp;P C-Laminate SM (150/2000) 80/1.2</t>
  </si>
  <si>
    <t>LA15012012</t>
  </si>
  <si>
    <t>S&amp;P C-Laminate SM (150/2000) 120/1.2</t>
  </si>
  <si>
    <t>LA15001028</t>
  </si>
  <si>
    <t>S&amp;P C-Laminate SM (150/2000) 10/2.8</t>
  </si>
  <si>
    <t>SHTEFROL13030</t>
  </si>
  <si>
    <t>LA15010012</t>
  </si>
  <si>
    <t>S&amp;P C-Laminate SM (150/2000) 100/1.2</t>
  </si>
  <si>
    <t>LACLEAN010</t>
  </si>
  <si>
    <t>S&amp;P Cleaner 10 lt</t>
  </si>
  <si>
    <t>S&amp;P C-Laminate SM (150/2000) 150/1.4</t>
  </si>
  <si>
    <t>LA15005012</t>
  </si>
  <si>
    <t>S&amp;P C-Laminate SM (150/2000) 50/1.2</t>
  </si>
  <si>
    <t>S&amp;P C-Laminate SM (150/2000) 60/1.4</t>
  </si>
  <si>
    <t>LAQUARZ015</t>
  </si>
  <si>
    <t>S&amp;P Resin 230 Komp. F</t>
  </si>
  <si>
    <t>S&amp;P Aufziehgerät Kleber Lamellen</t>
  </si>
  <si>
    <t>SHRESICE010</t>
  </si>
  <si>
    <t>BOAXII16085020A4</t>
  </si>
  <si>
    <t>KG</t>
  </si>
  <si>
    <t>LA15009014</t>
  </si>
  <si>
    <t>S&amp;P C-Laminate SM (150/2000) 90/1.4</t>
  </si>
  <si>
    <t>LA15015012</t>
  </si>
  <si>
    <t>S&amp;P C-Laminate SM (150/2000) 150/1.2</t>
  </si>
  <si>
    <t>S&amp;P C-Sheet 240 400 g/m2</t>
  </si>
  <si>
    <t>S&amp;P C-Laminate SM (150/2000) 50/1.4</t>
  </si>
  <si>
    <t>S&amp;P C-Laminate SM (150/2000) 100/1.4</t>
  </si>
  <si>
    <t>LACAN02PET</t>
  </si>
  <si>
    <t>Plastikkanister weiss 2 lt</t>
  </si>
  <si>
    <t>L</t>
  </si>
  <si>
    <t>LACAN10PET</t>
  </si>
  <si>
    <t>Plastikkanister weiss 10 lt</t>
  </si>
  <si>
    <t>AM50050019550</t>
  </si>
  <si>
    <t>AML500195050</t>
  </si>
  <si>
    <t>ARMOMUR025</t>
  </si>
  <si>
    <t>ARMOWET025RQ</t>
  </si>
  <si>
    <t>BOAXII12070065</t>
  </si>
  <si>
    <t>CS240200600</t>
  </si>
  <si>
    <t>CS240600300</t>
  </si>
  <si>
    <t>GSAR0505067</t>
  </si>
  <si>
    <t>GSE0505067</t>
  </si>
  <si>
    <t>GSE09010B67</t>
  </si>
  <si>
    <t>LAENACS060</t>
  </si>
  <si>
    <t>LAPSTKO100</t>
  </si>
  <si>
    <t>VendInvoiceTransId</t>
  </si>
  <si>
    <t>TPP Balance (Beginning)</t>
  </si>
  <si>
    <t>TPP Balance (Ending)</t>
  </si>
  <si>
    <t>TPP trans backwards (Beginning)</t>
  </si>
  <si>
    <t>TPP trans backwards (Ending)</t>
  </si>
  <si>
    <t>TPP trans backwards balance (Beginning)</t>
  </si>
  <si>
    <t>TPP trans backwards balance (Ending)</t>
  </si>
  <si>
    <t>S&amp;P C-Sheet 240 200 g/m2</t>
  </si>
  <si>
    <t>S&amp;PARMO-mesh 500/500
roll 1.95 x 50 m</t>
  </si>
  <si>
    <t>BOM</t>
  </si>
  <si>
    <t>S&amp;P C-Laminate HM (200/2000) 90/1.4</t>
  </si>
  <si>
    <t>S&amp;P C-Laminate SM (150/2000) 20/1.4</t>
  </si>
  <si>
    <t>S&amp;P C-Sheet 240 600 g/m2</t>
  </si>
  <si>
    <t>S&amp;P G-Sheet E 50/50</t>
  </si>
  <si>
    <t>Tables</t>
  </si>
  <si>
    <t>InventSum</t>
  </si>
  <si>
    <t>TPPSum</t>
  </si>
  <si>
    <t>InventTrans</t>
  </si>
  <si>
    <t>TPPTrans</t>
  </si>
  <si>
    <t>Fields</t>
  </si>
  <si>
    <t>TableId</t>
  </si>
  <si>
    <t>SheetName</t>
  </si>
  <si>
    <t>FieldId</t>
  </si>
  <si>
    <t>ColumnName</t>
  </si>
  <si>
    <t>Items</t>
  </si>
  <si>
    <t>Item group</t>
  </si>
  <si>
    <t>Item type</t>
  </si>
  <si>
    <t>Product</t>
  </si>
  <si>
    <t>Item</t>
  </si>
  <si>
    <t>S&amp;P ARMO-mesh L500</t>
  </si>
  <si>
    <t>S&amp;P ARMO-mur , bag of 25kg</t>
  </si>
  <si>
    <t>ARMOWET025RS</t>
  </si>
  <si>
    <t>S&amp;P Carbophalt G (120/200kN)</t>
  </si>
  <si>
    <t>S&amp;P Carbophalt GV (120/200kN)</t>
  </si>
  <si>
    <t>CS240400600</t>
  </si>
  <si>
    <t>S&amp;P C-Sheet 640 400 g/m2</t>
  </si>
  <si>
    <t>GLG0150120GV</t>
  </si>
  <si>
    <t>S&amp;P Glasphalt GV (120/120kN)</t>
  </si>
  <si>
    <t>S&amp;P G-Sheet AR 50/50</t>
  </si>
  <si>
    <t>S&amp;P G-Sheet E 90/10 Typ B</t>
  </si>
  <si>
    <t>S&amp;P C-Laminate SM (150/2000) 10/1.4</t>
  </si>
  <si>
    <t>S&amp;P C-Laminate SM (150/2000) 15/2.5</t>
  </si>
  <si>
    <t>S&amp;P C-Laminate HM (200/2000) 20/1.4</t>
  </si>
  <si>
    <t>S&amp;P C-Laminate HM (200/2000) 50/1.4</t>
  </si>
  <si>
    <t>S&amp;P C-Laminate HM (200/2000) 80/1.4</t>
  </si>
  <si>
    <t>S&amp;P Cleaner 2 lt</t>
  </si>
  <si>
    <t>S&amp;P Anchor plate prestressed</t>
  </si>
  <si>
    <t>S&amp;P Laminierroller 130 x 30mm</t>
  </si>
  <si>
    <t>InventTable</t>
  </si>
  <si>
    <t>Invent on-hand beginning</t>
  </si>
  <si>
    <t>TPP on-hand beginning</t>
  </si>
  <si>
    <t>Beginning balance reconcile</t>
  </si>
  <si>
    <t>Invent Transaction</t>
  </si>
  <si>
    <t>TPP Transaction</t>
  </si>
  <si>
    <t>Invent ending balance</t>
  </si>
  <si>
    <t>TPP on-hand ending balance</t>
  </si>
  <si>
    <t>Ending ON-hand reconcile</t>
  </si>
  <si>
    <t>TPP Balance Beginning</t>
  </si>
  <si>
    <t>TPP Balance Ending</t>
  </si>
  <si>
    <t>TPP Cost price Beginning</t>
  </si>
  <si>
    <t>TPP Cost price Ending</t>
  </si>
  <si>
    <t>Item number:</t>
  </si>
  <si>
    <t>SHRESEPO55HP6KG</t>
  </si>
  <si>
    <t>S&amp;P Resin 55 HP
(Set à 6kg)</t>
  </si>
  <si>
    <t>EUR</t>
  </si>
  <si>
    <t>Check Trans</t>
  </si>
  <si>
    <t>Yes</t>
  </si>
  <si>
    <t>Transaction text</t>
  </si>
  <si>
    <t>*</t>
  </si>
  <si>
    <t>Sales order</t>
  </si>
  <si>
    <t>No</t>
  </si>
  <si>
    <t>TransOrigin</t>
  </si>
  <si>
    <t>Lot Id</t>
  </si>
  <si>
    <t>Adjustment?</t>
  </si>
  <si>
    <t>Group by</t>
  </si>
  <si>
    <t>ACMOPPRC019</t>
  </si>
  <si>
    <t>ACMORC025P</t>
  </si>
  <si>
    <t>AMANC600ALU</t>
  </si>
  <si>
    <t>AMC200097050</t>
  </si>
  <si>
    <t>AML200195050</t>
  </si>
  <si>
    <t>AML600195050</t>
  </si>
  <si>
    <t>ANGF150070AR</t>
  </si>
  <si>
    <t>ASPRSVAR040</t>
  </si>
  <si>
    <t>GLG010020BIT</t>
  </si>
  <si>
    <t>LA15002017</t>
  </si>
  <si>
    <t>LARES23030</t>
  </si>
  <si>
    <t>SHH200GUMMI</t>
  </si>
  <si>
    <t>SHHIGER0001</t>
  </si>
  <si>
    <t>SHRESICEMF</t>
  </si>
  <si>
    <t>SHTEFROL06030</t>
  </si>
  <si>
    <t>SHTEFROL09030</t>
  </si>
  <si>
    <t>SLNET7030250</t>
  </si>
  <si>
    <t>TRPALET009</t>
  </si>
  <si>
    <t>S&amp;P RC Power Pack,bag of 19 kg.</t>
  </si>
  <si>
    <t>S&amp;P ARMO-crete RC, bag of 25kg Reactive component for mortar</t>
  </si>
  <si>
    <t>S&amp;P ARMO Anchoring element Alu</t>
  </si>
  <si>
    <t>S&amp;P ARMO-mesh C200</t>
  </si>
  <si>
    <t>S&amp;P ARMO-mesh L200</t>
  </si>
  <si>
    <t>S&amp;P ARMO-mesh L600</t>
  </si>
  <si>
    <t>S&amp;P Glasfaserbewehrung AR</t>
  </si>
  <si>
    <t>Anker A-Strap variable 40mm</t>
  </si>
  <si>
    <t>S&amp;P Glasphalt bit (120/120 kN)</t>
  </si>
  <si>
    <t>S&amp;P C-Laminate SM (150/2000) 20/1.7</t>
  </si>
  <si>
    <t>S&amp;P Resin 230 (Set of 30 kg)</t>
  </si>
  <si>
    <t>S&amp;P Fugengummi</t>
  </si>
  <si>
    <t>S&amp;P Aramid - Schere</t>
  </si>
  <si>
    <t>S&amp;P Resicem Komp. F 4 kg</t>
  </si>
  <si>
    <t>S&amp;P Laminierroller 60 x 30mm</t>
  </si>
  <si>
    <t>S&amp;P Laminierroller 90 x 30mm</t>
  </si>
  <si>
    <t>S&amp;P Hochleistungsnetz 70/30 kN schwarz, 2.50m</t>
  </si>
  <si>
    <t>Kunststoffpaletten mit Metallrahmen</t>
  </si>
  <si>
    <t>Transaction type</t>
  </si>
  <si>
    <t>TPP Cost Price(Trans)</t>
  </si>
  <si>
    <t>TPP Cost Amount(Trans)</t>
  </si>
  <si>
    <t>TPP Cost Price(Accu)</t>
  </si>
  <si>
    <t>TPP Cost Amount(Accu)</t>
  </si>
  <si>
    <t>Transaction Type</t>
  </si>
  <si>
    <t>DD.MM.YYYY</t>
  </si>
  <si>
    <t>Region</t>
  </si>
  <si>
    <t>Date format</t>
  </si>
  <si>
    <t xml:space="preserve">0. European </t>
  </si>
  <si>
    <t>1. Germany</t>
  </si>
  <si>
    <t>TT.MM.JJJJ</t>
  </si>
  <si>
    <t>2. Netherland</t>
  </si>
  <si>
    <t>DD.MM.JJJJ</t>
  </si>
  <si>
    <t>3. America</t>
  </si>
  <si>
    <t>!Service</t>
  </si>
  <si>
    <t>Steps:</t>
  </si>
  <si>
    <t>V1</t>
  </si>
  <si>
    <t>Initial version</t>
  </si>
  <si>
    <t>Prepare</t>
  </si>
  <si>
    <t>Generate statement</t>
  </si>
  <si>
    <t>Complete</t>
  </si>
  <si>
    <t>Preparing Adjustment suggestion</t>
  </si>
  <si>
    <t>Generate suggestion</t>
  </si>
  <si>
    <t>Prepare Adjustment journal</t>
  </si>
  <si>
    <t>TPP Cost price</t>
  </si>
  <si>
    <t>TPP Cost Amount</t>
  </si>
  <si>
    <t>Fill in the criterions in this report, from C1 to C8</t>
  </si>
  <si>
    <t>in H1, specify the region according to your system, this setting affects the date format in F1</t>
  </si>
  <si>
    <t>You might have to try different options to find out the one works for your Atlas</t>
  </si>
  <si>
    <t>Click button "Generate report"</t>
  </si>
  <si>
    <t>This function will generate the list in "On-hand statement"</t>
  </si>
  <si>
    <t>If the ending balance between inventory on-hand (column K) is different to TPP on-hand(column L)</t>
  </si>
  <si>
    <t>then the option "Check" (in column P) is set to Yes</t>
  </si>
  <si>
    <t>Please review and update the check mark in column P.</t>
  </si>
  <si>
    <t>Only the records marked as Yes will be included in TPP adjustment suggestion.</t>
  </si>
  <si>
    <t>Click button "Generate adjustment suggestion"</t>
  </si>
  <si>
    <t>This function will generate list in "Adjustment suggestion", based on the items you marked in "On-hand statement"</t>
  </si>
  <si>
    <t>An option "Adjustment" (column Q) indicates if we should generate a TPP journal line</t>
  </si>
  <si>
    <t>Please review and update the check mark in column Q.</t>
  </si>
  <si>
    <t>Only the records marked as Yes will be included in TPP adjustment journal generation.</t>
  </si>
  <si>
    <t>Review group by settings in range L22:M28</t>
  </si>
  <si>
    <t>The settings in this table will indicate how should the TPP adjustment journal be generated.</t>
  </si>
  <si>
    <t>Item number and warehouse are mandatory to be grouped by;</t>
  </si>
  <si>
    <t>Please review and update the check mark for the transaction type, reference number and date;</t>
  </si>
  <si>
    <t>The fewer fields you choose to be grouped by, the smaller number of lines will be generated.</t>
  </si>
  <si>
    <t>Click button "Generate TPP Adjustment journal proposal" to create TPP adjustment journal lines in "TPP Adjustment journal"</t>
  </si>
  <si>
    <t>The output is based on the TPP adjustment suggestions you marked as Yes (in step 3) and the group by settings (in step 4).</t>
  </si>
  <si>
    <t>The Output will be used as a suggestion for you to prepare and post the TPP adjustment journal, you still have to manually key in the TPP adjustment journal lines.</t>
  </si>
  <si>
    <t>Versions:</t>
  </si>
  <si>
    <t>Click "Refresh" button in tab "Atlas 5.1" to get the entire report refreshed.</t>
  </si>
  <si>
    <t>Totaled</t>
  </si>
  <si>
    <t>Material</t>
  </si>
  <si>
    <t>V1.1</t>
  </si>
  <si>
    <t>Fix an issue in TPPSum, TPP balance (ending)</t>
  </si>
  <si>
    <t>ARMOWET025RB</t>
  </si>
  <si>
    <t>LAENACS120</t>
  </si>
  <si>
    <t>S&amp;P ARMO-crete w (rb) 25kg bag</t>
  </si>
  <si>
    <t>LAENACS050</t>
  </si>
  <si>
    <t>LAENACS080</t>
  </si>
  <si>
    <t>LAENACS090</t>
  </si>
  <si>
    <t>LAENACS100</t>
  </si>
  <si>
    <t>S&amp;P Asphalt Abrollgerät maschinell</t>
  </si>
  <si>
    <t>Branch</t>
  </si>
  <si>
    <t>Department</t>
  </si>
  <si>
    <t>Cost Center</t>
  </si>
  <si>
    <t>Purpose</t>
  </si>
  <si>
    <t>Tax Group</t>
  </si>
  <si>
    <t>Segment</t>
  </si>
  <si>
    <t>Major Marketing Group</t>
  </si>
  <si>
    <t>Detail Marketing Group</t>
  </si>
  <si>
    <t>Statutory</t>
  </si>
  <si>
    <t>Channel</t>
  </si>
  <si>
    <t>013</t>
  </si>
  <si>
    <t>ICIRpsSp</t>
  </si>
  <si>
    <t>ICI</t>
  </si>
  <si>
    <t>ARMO</t>
  </si>
  <si>
    <t>Grid</t>
  </si>
  <si>
    <t>ASPHALT</t>
  </si>
  <si>
    <t>Equipment</t>
  </si>
  <si>
    <t>Mortar Wet</t>
  </si>
  <si>
    <t>FRP</t>
  </si>
  <si>
    <t>Anchor</t>
  </si>
  <si>
    <t>Grid Carbo</t>
  </si>
  <si>
    <t>Epoxy</t>
  </si>
  <si>
    <t>Sheets Car</t>
  </si>
  <si>
    <t>Grid Glass</t>
  </si>
  <si>
    <t>Sheets Gla</t>
  </si>
  <si>
    <t>Laminate</t>
  </si>
  <si>
    <t>Laminate H</t>
  </si>
  <si>
    <t>Carbon</t>
  </si>
  <si>
    <t>Cleaner</t>
  </si>
  <si>
    <t>Anchorplat</t>
  </si>
  <si>
    <t>Prestress</t>
  </si>
  <si>
    <t>CAG0195200GV</t>
  </si>
  <si>
    <t>GLG0097120GV</t>
  </si>
  <si>
    <t>GLG0195120GV</t>
  </si>
  <si>
    <t>LA20001014</t>
  </si>
  <si>
    <t>LA20005012</t>
  </si>
  <si>
    <t>SHRESEPO50</t>
  </si>
  <si>
    <t>ARAPTOOL003</t>
  </si>
  <si>
    <t>AS120290300</t>
  </si>
  <si>
    <t>FX70-JKT-A3MM</t>
  </si>
  <si>
    <t>GSE09010A67</t>
  </si>
  <si>
    <t>PowerPack</t>
  </si>
  <si>
    <t>S&amp;P A-Sheet 120 290 g/m²</t>
  </si>
  <si>
    <t>Sheets Ara</t>
  </si>
  <si>
    <t>RPS-ALL</t>
  </si>
  <si>
    <t>Grouts</t>
  </si>
  <si>
    <t>FX JACKET, THICKNESS 3MM</t>
  </si>
  <si>
    <t>FX70</t>
  </si>
  <si>
    <t>GLG005020BIT</t>
  </si>
  <si>
    <t>Grid Bit</t>
  </si>
  <si>
    <t>S&amp;P Glasphalt GV (120/200kN)</t>
  </si>
  <si>
    <t>GSAR9010A67</t>
  </si>
  <si>
    <t>S&amp;P G-Sheet AR 90/10 Typ A</t>
  </si>
  <si>
    <t>GSAR9010B67</t>
  </si>
  <si>
    <t>S&amp;P G-Sheet AR 90/10 Typ B</t>
  </si>
  <si>
    <t>S&amp;P G-Sheet E 90/10 Typ A</t>
  </si>
  <si>
    <t>S&amp;P C-Laminate HM (200/2000) 10/1.4</t>
  </si>
  <si>
    <t>S&amp;P C-Laminate HM (200/2000) 
50/1.2</t>
  </si>
  <si>
    <t>Posted</t>
  </si>
  <si>
    <t>V1.2</t>
  </si>
  <si>
    <t>In On-hand statement report, round up the amount to 2 decimals when comparing the transaction amount;</t>
  </si>
  <si>
    <t>Fix an issue when there is no record generated;</t>
  </si>
  <si>
    <t>V1.3</t>
  </si>
  <si>
    <t>Fix an issue that macro won't run if there is no record in the list;</t>
  </si>
  <si>
    <t>SO0000860</t>
  </si>
  <si>
    <t>ARAPTOOL002</t>
  </si>
  <si>
    <t>164</t>
  </si>
  <si>
    <t>NL</t>
  </si>
  <si>
    <t>Lot 010395</t>
  </si>
  <si>
    <t>Supplies - other</t>
  </si>
  <si>
    <t>Lot 010396</t>
  </si>
  <si>
    <t>SO0000866</t>
  </si>
  <si>
    <t>LACAFIBROD14-6M</t>
  </si>
  <si>
    <t>S&amp;P carbon fiber rod, 14 mm, 6m</t>
  </si>
  <si>
    <t>Lot 010202</t>
  </si>
  <si>
    <t>SO0000878</t>
  </si>
  <si>
    <t>Lot 010312</t>
  </si>
  <si>
    <t>SO0000880</t>
  </si>
  <si>
    <t>Lot 010314</t>
  </si>
  <si>
    <t>SO0000881</t>
  </si>
  <si>
    <t>Lot 010315</t>
  </si>
  <si>
    <t>SO0000882</t>
  </si>
  <si>
    <t>LACAFIBROD14-2M</t>
  </si>
  <si>
    <t>S&amp;P carbon fiber rod, 14 mm, 2m</t>
  </si>
  <si>
    <t>Lot 010322</t>
  </si>
  <si>
    <t>S&amp;P Resin 220 (Gebinde à 15 kg)</t>
  </si>
  <si>
    <t>Lot 010323</t>
  </si>
  <si>
    <t>SO0000883</t>
  </si>
  <si>
    <t>Lot 010325</t>
  </si>
  <si>
    <t>Lot 010324</t>
  </si>
  <si>
    <t>Lot 010326</t>
  </si>
  <si>
    <t>SO0000886</t>
  </si>
  <si>
    <t>Lot 010329</t>
  </si>
  <si>
    <t>SO0000888</t>
  </si>
  <si>
    <t>Lot 010335</t>
  </si>
  <si>
    <t>Lot 010336</t>
  </si>
  <si>
    <t>SO0000892</t>
  </si>
  <si>
    <t>Lot 010399</t>
  </si>
  <si>
    <t>ApP0000325</t>
  </si>
  <si>
    <t>CAG195200200</t>
  </si>
  <si>
    <t>S&amp;P Carbophalt G (200/200kN)</t>
  </si>
  <si>
    <t>Lot 010175</t>
  </si>
  <si>
    <t>ApP0000327</t>
  </si>
  <si>
    <t>Lot 010179</t>
  </si>
  <si>
    <t>ApP0000341</t>
  </si>
  <si>
    <t>Lot 010241</t>
  </si>
  <si>
    <t>Lot 010242</t>
  </si>
  <si>
    <t>Lot 010243</t>
  </si>
  <si>
    <t>Lot 010244</t>
  </si>
  <si>
    <t>Transaction</t>
  </si>
  <si>
    <t>InvJ000124</t>
  </si>
  <si>
    <t>Lot 010400</t>
  </si>
  <si>
    <t>Lot 010401</t>
  </si>
  <si>
    <t>Lot 010402</t>
  </si>
  <si>
    <t>Lot 010403</t>
  </si>
  <si>
    <t>InvJ000125</t>
  </si>
  <si>
    <t>LACAFIBROD</t>
  </si>
  <si>
    <t>S&amp;P carbon fiber rod</t>
  </si>
  <si>
    <t>Lot 010405</t>
  </si>
  <si>
    <t>Lot 010406</t>
  </si>
  <si>
    <t>Lot 010420</t>
  </si>
  <si>
    <t>Lot 010424</t>
  </si>
  <si>
    <t>Lot 010426</t>
  </si>
  <si>
    <t>Lot 010430</t>
  </si>
  <si>
    <t>Lot 010434</t>
  </si>
  <si>
    <t>Lot 010423</t>
  </si>
  <si>
    <t>Component</t>
  </si>
  <si>
    <t>NED1</t>
  </si>
  <si>
    <t>AMANCKLA001</t>
  </si>
  <si>
    <t>S&amp;P Haftklammern K80, 10mm</t>
  </si>
  <si>
    <t>AMANCTOO001</t>
  </si>
  <si>
    <t>S&amp;P Heftpistole (Bostitch)</t>
  </si>
  <si>
    <t>Supplies</t>
  </si>
  <si>
    <t>200</t>
  </si>
  <si>
    <t>AML200068025</t>
  </si>
  <si>
    <t xml:space="preserve">NL ARMO-mesh L200, 68 MM
</t>
  </si>
  <si>
    <t>AML200100025</t>
  </si>
  <si>
    <t>NL ARMO-mesh L200, 100MM</t>
  </si>
  <si>
    <t>AML200200068025</t>
  </si>
  <si>
    <t>S&amp;P ARMO-mesh 200/200 roll 25 m1 x 68MM</t>
  </si>
  <si>
    <t>AML200200100025</t>
  </si>
  <si>
    <t xml:space="preserve">S&amp;P ARMO-mesh 200/200 roll 25 m1 x 100MM
</t>
  </si>
  <si>
    <t>AML500068025</t>
  </si>
  <si>
    <t>NL ARMO-mesh L500, 68 MM</t>
  </si>
  <si>
    <t>AML500100025</t>
  </si>
  <si>
    <t>NL ARMO-mesh L500, 100 MM</t>
  </si>
  <si>
    <t>AML600068025</t>
  </si>
  <si>
    <t>NL ARMO-mesh L600, 68 MM</t>
  </si>
  <si>
    <t>AML600100025</t>
  </si>
  <si>
    <t>NL ARMO-mesh L600,100MM</t>
  </si>
  <si>
    <t>ANGF220100AR</t>
  </si>
  <si>
    <t>ARAPTOOL_TMP</t>
  </si>
  <si>
    <t xml:space="preserve">S&amp;P Asphalt Handabrollgerät
</t>
  </si>
  <si>
    <t>S&amp;P Asphalt Handabrollgerät</t>
  </si>
  <si>
    <t>ARMODRY025BM</t>
  </si>
  <si>
    <t xml:space="preserve">S&amp;P Armo crete  d 25 kg  (B component)
</t>
  </si>
  <si>
    <t>Mortar Dry</t>
  </si>
  <si>
    <t>ARMODRYBAG4</t>
  </si>
  <si>
    <t>S&amp;P ARMO-crete d4 (NL) bag</t>
  </si>
  <si>
    <t>ARMODRYBAG8</t>
  </si>
  <si>
    <t>S&amp;P ARMO-crete d8 (NL) bag</t>
  </si>
  <si>
    <t>ARMODRYSIL4</t>
  </si>
  <si>
    <t>S&amp;P ARMO-crete d4 (NL) silo</t>
  </si>
  <si>
    <t>ARMODRYSIL8</t>
  </si>
  <si>
    <t>S&amp;P ARMO-crete d8 (NL) silo</t>
  </si>
  <si>
    <t>ARMODRYSILBM</t>
  </si>
  <si>
    <t xml:space="preserve">S&amp;P Armo crete  d silo (B component)
</t>
  </si>
  <si>
    <t>ARMOWET025NL</t>
  </si>
  <si>
    <t>S&amp;P ARMO-crete w (NL),bag of 25kg</t>
  </si>
  <si>
    <t>S&amp;P ARMO-crete w , Säcke à 25kg</t>
  </si>
  <si>
    <t>S&amp;P ARMO-crete w , Säcke à 25 kg</t>
  </si>
  <si>
    <t>ARMOWETSILBM</t>
  </si>
  <si>
    <t xml:space="preserve">S&amp;P Armo crete  w silo  (W420054) (B component)
</t>
  </si>
  <si>
    <t>ARMOWETSILNL</t>
  </si>
  <si>
    <t>S&amp;P ARMO-crete w (NL) silo</t>
  </si>
  <si>
    <t>AS120420300</t>
  </si>
  <si>
    <t>S&amp;P A-Sheet 120 420 g/m²</t>
  </si>
  <si>
    <t>AS2KCOLDFIL05</t>
  </si>
  <si>
    <t>S&amp;P 2K cold filling set 5 kg</t>
  </si>
  <si>
    <t>AS2KJOFIPR05</t>
  </si>
  <si>
    <t>S&amp;P 2K joint filler primer 5 kg can</t>
  </si>
  <si>
    <t>ASASCOPR25</t>
  </si>
  <si>
    <t>S&amp;P Asco Compound Primer can of 25kg</t>
  </si>
  <si>
    <t>ASASMS21050</t>
  </si>
  <si>
    <t>S&amp;P Asco MS210 dark beige 50ml p / bag</t>
  </si>
  <si>
    <t>ASASPRPCBUS18.2</t>
  </si>
  <si>
    <t>S&amp;P AscoprimerPC Bus 18,2kg</t>
  </si>
  <si>
    <t>ASASPRPCSPR500</t>
  </si>
  <si>
    <t>S&amp;P Ascoprimer CP spray 500 ml</t>
  </si>
  <si>
    <t>Others</t>
  </si>
  <si>
    <t>ASBITUMIX20</t>
  </si>
  <si>
    <t>S&amp;P Bitumix CE60% can of 20kg</t>
  </si>
  <si>
    <t>ASCOLD25</t>
  </si>
  <si>
    <t>S&amp;P cold asphalt bag of 25kg</t>
  </si>
  <si>
    <t>ASCOLDPRSTR500</t>
  </si>
  <si>
    <t>S&amp;P Reactive asphalt primer  500ml</t>
  </si>
  <si>
    <t>ASCOLDSTR14</t>
  </si>
  <si>
    <t>S&amp;P Reactive asphalt bag (Rephalt) 14kg</t>
  </si>
  <si>
    <t>ASCONCRERA25</t>
  </si>
  <si>
    <t>S&amp;P Concrete Rapid bag of 25kg</t>
  </si>
  <si>
    <t>ASCONCRETIGL25</t>
  </si>
  <si>
    <t>S&amp;P Concrete Ties glue bag of 25kg</t>
  </si>
  <si>
    <t>ASGROMEFAFL025</t>
  </si>
  <si>
    <t>S&amp;P Grout MasterEmaco Fast Fluid bag of 25kg</t>
  </si>
  <si>
    <t>ASJOCOMN10</t>
  </si>
  <si>
    <t>S&amp;P joint compound MN10 Kart Bed 17kg</t>
  </si>
  <si>
    <t>ASJOCOMN15A</t>
  </si>
  <si>
    <t>S&amp;P joint compound MN15A Kart Bed 17kg</t>
  </si>
  <si>
    <t>ASJOCOMN20EJ</t>
  </si>
  <si>
    <t>S&amp;P joint compound MN20EJ Kart Bed 17kg</t>
  </si>
  <si>
    <t>ASJOSTRASCTBV</t>
  </si>
  <si>
    <t>S&amp;P joint strip trolley tbv H-Ascotekband</t>
  </si>
  <si>
    <t>ASJOSTRHASC4003100</t>
  </si>
  <si>
    <t>S&amp;P joint strip H-Ascotekband 40mmx3mm á 100mtr p/ds</t>
  </si>
  <si>
    <t>ASJOSTRHASC400350</t>
  </si>
  <si>
    <t>S&amp;P joint strip H-Ascotekband 40mmx3mm á 50mtr p/ds</t>
  </si>
  <si>
    <t>ASJOSTRVCOL201060</t>
  </si>
  <si>
    <t>S&amp;P joint strip V-Colband 20mmx10mm á 60mtr p/ds</t>
  </si>
  <si>
    <t>ASJOSTRVCOL301030</t>
  </si>
  <si>
    <t>S&amp;P joint strip V-Colband 30mmx10mm á 30mtr p/ds</t>
  </si>
  <si>
    <t>ASJOSTRVCOL301050</t>
  </si>
  <si>
    <t>S&amp;P joint strip V-Colband 30mmx10mm á 50mtr p/ds</t>
  </si>
  <si>
    <t>ASJOSTRVCOL351040</t>
  </si>
  <si>
    <t>S&amp;P joint strip V-Colband 35mmx10mm á 40mtr p/ds</t>
  </si>
  <si>
    <t>ASJOSTRVCOL401020</t>
  </si>
  <si>
    <t>S&amp;P joint strip V-Colband 40mmx10mm á 20mtr p/ds</t>
  </si>
  <si>
    <t>ASJOSTRVCOL401030</t>
  </si>
  <si>
    <t>S&amp;P joint strip V-Colband 40mmx10mm á 30mtr p/ds</t>
  </si>
  <si>
    <t>ASJOSTRVCOL501030</t>
  </si>
  <si>
    <t>S&amp;P joint strip V-Colband 50mmx10mm á 30mtr p/ds</t>
  </si>
  <si>
    <t>ASLIQCOLD18</t>
  </si>
  <si>
    <t>S&amp;P liquid cold asphalt - Asco Liquid 0/3 Part A + B, bag of</t>
  </si>
  <si>
    <t>ASMAES48025</t>
  </si>
  <si>
    <t>S&amp;P MasterEmaco S480 bag of 25kg</t>
  </si>
  <si>
    <t>ASMIETG990</t>
  </si>
  <si>
    <t>S&amp;P Asphalt Mietgeräte</t>
  </si>
  <si>
    <t>ASMORMET110025</t>
  </si>
  <si>
    <t>S&amp;P Set Mortar MasterEmaco T1100 Tix Fast Tixo bag of 25kg</t>
  </si>
  <si>
    <t>Mörtel</t>
  </si>
  <si>
    <t>ASPOGRBXGEO3030</t>
  </si>
  <si>
    <t>S&amp;P polygrid BX 30/30 Biaxial geogrid</t>
  </si>
  <si>
    <t>SOIL</t>
  </si>
  <si>
    <t>ASPRSTOOL01</t>
  </si>
  <si>
    <t>Spannwerkzeug A-Strap 40mm</t>
  </si>
  <si>
    <t>Aramid</t>
  </si>
  <si>
    <t>ASQUICKPR06L</t>
  </si>
  <si>
    <t>S&amp;P Quick Primer 0,6l</t>
  </si>
  <si>
    <t>S&amp;P Bolzenanker M12 (Vorspannung)</t>
  </si>
  <si>
    <t>S&amp;P Bolzenanker M16 (Vorspannung)</t>
  </si>
  <si>
    <t>CAG0097200200</t>
  </si>
  <si>
    <t>CAG0097200GV</t>
  </si>
  <si>
    <t>CAG0150200</t>
  </si>
  <si>
    <t>CAG0150200GV</t>
  </si>
  <si>
    <t>CAG200200RESTMAT</t>
  </si>
  <si>
    <t>Rest material Carbophalt G 200/200</t>
  </si>
  <si>
    <t>CAGRESTMAT</t>
  </si>
  <si>
    <t>Rest material Carbophalt G</t>
  </si>
  <si>
    <t>CAGRESTMATGV</t>
  </si>
  <si>
    <t>Rest material Carbophalt GV</t>
  </si>
  <si>
    <t>CETEPOX 1613H</t>
  </si>
  <si>
    <t>S&amp;P Härter CeTePox 1613 H</t>
  </si>
  <si>
    <t>FX225_rb</t>
  </si>
  <si>
    <t>FX225 Repair Mortar Underwater 25KG bag</t>
  </si>
  <si>
    <t>FX70-6MP-1A-GF</t>
  </si>
  <si>
    <t>FX70-6MP Epoxy Comp A 1 GAL (GER/FRA)</t>
  </si>
  <si>
    <t>FX70-6MP-1A-PD</t>
  </si>
  <si>
    <t>FX70-6MP Epoxy Comp A 1 GAL (POL/DUT)</t>
  </si>
  <si>
    <t>FX70-6MP-1A-PS</t>
  </si>
  <si>
    <t>FX70-6MP Epoxy Comp A 1 GAL (POR/ESP)</t>
  </si>
  <si>
    <t>FX70-6MPKT15-10</t>
  </si>
  <si>
    <t>Hydro-Ester MP Marine Epoxy Grout(65 KITSX 15 GAL W650 Bags)</t>
  </si>
  <si>
    <t>ANCHOR</t>
  </si>
  <si>
    <t>EPOX-ALL</t>
  </si>
  <si>
    <t>EPOXIES</t>
  </si>
  <si>
    <t>FX70-6MPKT3-2</t>
  </si>
  <si>
    <t>FX70-6 MP Marine Epoxy Kit 3GAL + 2 Bags</t>
  </si>
  <si>
    <t>FX70-6MPKT3-3</t>
  </si>
  <si>
    <t>FX70-6MPKT3-3 W/ 18 BAGS 70-6 C COMP</t>
  </si>
  <si>
    <t>FX70-6PMKT15-15</t>
  </si>
  <si>
    <t>FX70-6 MP Marine Epoxy Kit 15G + 15 bags</t>
  </si>
  <si>
    <t>FX-70-JACKET</t>
  </si>
  <si>
    <t>XXXXX CUSTOM SIZED FIBERGLASS JACKET,USE W. FX70(SZ:HGT,DIA)</t>
  </si>
  <si>
    <t>FX70-JKT-A5MM</t>
  </si>
  <si>
    <t>FX JACKET, THICKNESS 5MM</t>
  </si>
  <si>
    <t>FX763KT3</t>
  </si>
  <si>
    <t>Hydro-Ester Trowel Grade Epoxy (3 Gal Set)</t>
  </si>
  <si>
    <t>GLG0097200GV</t>
  </si>
  <si>
    <t>GLG009765</t>
  </si>
  <si>
    <t>S&amp;P Glasphalt G 65</t>
  </si>
  <si>
    <t>GLG009765GV</t>
  </si>
  <si>
    <t>S&amp;P Glasphalt GV 65</t>
  </si>
  <si>
    <t>GLG0100SBR</t>
  </si>
  <si>
    <t>S&amp;P Glasphalt G, 1m</t>
  </si>
  <si>
    <t>GLG0150120</t>
  </si>
  <si>
    <t>GLG0150200GV</t>
  </si>
  <si>
    <t>GLG015065</t>
  </si>
  <si>
    <t>GLG015065GV</t>
  </si>
  <si>
    <t>GLG0195200GV40</t>
  </si>
  <si>
    <t>S&amp;P Glasphalt GV (120/200kN), afm 40x1.95m breed, 40 mtr</t>
  </si>
  <si>
    <t>GLG019560</t>
  </si>
  <si>
    <t>Glasphalt G 60, afm 50x1.95m breed</t>
  </si>
  <si>
    <t>GLG019565</t>
  </si>
  <si>
    <t>GLG019565GV</t>
  </si>
  <si>
    <t>GLG10020GBM</t>
  </si>
  <si>
    <t>S&amp;P Glasphalt GBM (120/120 kN)</t>
  </si>
  <si>
    <t>GLGRESTMAT</t>
  </si>
  <si>
    <t>Rest material Glasphalt G</t>
  </si>
  <si>
    <t>GLGRESTMATGV</t>
  </si>
  <si>
    <t>Rest material Glasphalt GV</t>
  </si>
  <si>
    <t>LA15001517</t>
  </si>
  <si>
    <t xml:space="preserve">S&amp;P C-Laminate SM (150/2000) 15/1,7
</t>
  </si>
  <si>
    <t>LACAFIBROD06-6M</t>
  </si>
  <si>
    <t>S&amp;P carbon fiber rod, 6 mm, 6m</t>
  </si>
  <si>
    <t>LACAFIBROD08-2M</t>
  </si>
  <si>
    <t>S&amp;P carbon fiber rod, 8 mm, 2m</t>
  </si>
  <si>
    <t>LACAFIBROD08-6M</t>
  </si>
  <si>
    <t>S&amp;P carbon fiber rod, 8 mm, 6m</t>
  </si>
  <si>
    <t>LACAFIBROD10-2M</t>
  </si>
  <si>
    <t>S&amp;P carbon fiber rod, 10 mm, 2m</t>
  </si>
  <si>
    <t>LACAFIBROD10-6M</t>
  </si>
  <si>
    <t>S&amp;P carbon fiber rod, 10 mm, 6m</t>
  </si>
  <si>
    <t>LACAFIBROD12-6M</t>
  </si>
  <si>
    <t>S&amp;P carbon fiber rod, 12 mm, 6m</t>
  </si>
  <si>
    <t>LACAFIBRODREST</t>
  </si>
  <si>
    <t xml:space="preserve">S&amp;P carbon fiber rod, rest material
</t>
  </si>
  <si>
    <t>LACAN05PET</t>
  </si>
  <si>
    <t xml:space="preserve">Plastikkanister weiss 5 lt
</t>
  </si>
  <si>
    <t>LACLEAN005</t>
  </si>
  <si>
    <t xml:space="preserve">S&amp;P Cleaner 5 lt
</t>
  </si>
  <si>
    <t>LACLEAN005T</t>
  </si>
  <si>
    <t>S&amp;P Cleaner 5 lt T</t>
  </si>
  <si>
    <t>LACLEAN020</t>
  </si>
  <si>
    <t xml:space="preserve">S&amp;P Cleaner FRP, 20ltr can
</t>
  </si>
  <si>
    <t>LACLEAN20AT</t>
  </si>
  <si>
    <t xml:space="preserve">Epoxy Cleaner 20 kg (Austria)
</t>
  </si>
  <si>
    <t>LACLEANTL005</t>
  </si>
  <si>
    <t xml:space="preserve">S&amp;P Cleaner gereedschap, 5ltr can
</t>
  </si>
  <si>
    <t>S&amp;P Endverankerung Typ 50</t>
  </si>
  <si>
    <t>S&amp;P Endverankerung Typ 60</t>
  </si>
  <si>
    <t>S&amp;P Endverankerung Typ 80</t>
  </si>
  <si>
    <t>S&amp;P Endverankerung Typ 90</t>
  </si>
  <si>
    <t>S&amp;P Endverankerung Typ 100</t>
  </si>
  <si>
    <t>S&amp;P Endverankerung Typ 120</t>
  </si>
  <si>
    <t>LAENACS150</t>
  </si>
  <si>
    <t>S&amp;P End Anchor Typ 150</t>
  </si>
  <si>
    <t>S&amp;P Abrollgerät Lamellen</t>
  </si>
  <si>
    <t>LAGLFIBROD06</t>
  </si>
  <si>
    <t>S&amp;P Glass fiber rod, 6 mm</t>
  </si>
  <si>
    <t>LAGLFIBROD10</t>
  </si>
  <si>
    <t>S&amp;P Glass fiber rod, 10 mm</t>
  </si>
  <si>
    <t>LAGLFIBROD12.5</t>
  </si>
  <si>
    <t>S&amp;P Glass fiber rod, 12,5 mm</t>
  </si>
  <si>
    <t>LAGLFIBROD13</t>
  </si>
  <si>
    <t>S&amp;P Glass fiber rod, 13 mm</t>
  </si>
  <si>
    <t>LAGLFIBROD16</t>
  </si>
  <si>
    <t>S&amp;P Glass fiber rod, 16 mm</t>
  </si>
  <si>
    <t>LAGLFIBROD20</t>
  </si>
  <si>
    <t>S&amp;P Glass fiber rod, 20 mm</t>
  </si>
  <si>
    <t>LAGLFIBROD25</t>
  </si>
  <si>
    <t>S&amp;P Glass fiber rod, 25 mm</t>
  </si>
  <si>
    <t>LAGLFIBROD32</t>
  </si>
  <si>
    <t>S&amp;P Glass fiber rod, 32 mm</t>
  </si>
  <si>
    <t>LAKLIMASANF</t>
  </si>
  <si>
    <t>Klimansan F</t>
  </si>
  <si>
    <t>Coating</t>
  </si>
  <si>
    <t>LAPSTKO001</t>
  </si>
  <si>
    <t>S&amp;P Vorspann-Set CFK (Standard)</t>
  </si>
  <si>
    <t>S&amp;P Resin 220 (Gebinde à 5 kg)</t>
  </si>
  <si>
    <t>LARESI230AB</t>
  </si>
  <si>
    <t>S&amp;P Resin 230 Komp. A + B</t>
  </si>
  <si>
    <t>MAPEIL</t>
  </si>
  <si>
    <t>MAPEI in Liter</t>
  </si>
  <si>
    <t>MODISEALSA</t>
  </si>
  <si>
    <t>MODISEAL SA - Asphalt bonding emulsion SAMI</t>
  </si>
  <si>
    <t>OPHALT0416</t>
  </si>
  <si>
    <t>Oecophalt R 0/4 bag 16 KG</t>
  </si>
  <si>
    <t>ResAC16-380SP-FR</t>
  </si>
  <si>
    <t>ResAC-16 380 ml</t>
  </si>
  <si>
    <t>ResEP16-1500SP-FR</t>
  </si>
  <si>
    <t>ResEP-16 1500 ml</t>
  </si>
  <si>
    <t>ResEP16-600SP-FR</t>
  </si>
  <si>
    <t>ResEP-16 600 ml</t>
  </si>
  <si>
    <t>SHEPO1000A</t>
  </si>
  <si>
    <t>Resin 50/55, Resicem (Komp. A)</t>
  </si>
  <si>
    <t>SHEPO1000B</t>
  </si>
  <si>
    <t>Resin 50/55, Resicem (Komp. B)</t>
  </si>
  <si>
    <t>S&amp;P Resin Epoxy 50 , Primer (Set à 6 kg)</t>
  </si>
  <si>
    <t>SHRESEPO5020</t>
  </si>
  <si>
    <t>S&amp;P Resin 50, set van 20 kg</t>
  </si>
  <si>
    <t>SHRESEPO50S</t>
  </si>
  <si>
    <t>S&amp;P Resin Epoxy 50 , Primer (Set à 200 kg)</t>
  </si>
  <si>
    <t>S&amp;P Resin Epoxy 55 , Laminierharz (Set à 6 kg)</t>
  </si>
  <si>
    <t>SHRESEPO55HP</t>
  </si>
  <si>
    <t>S&amp;P Resin 55 HP
(Set à 13kg)</t>
  </si>
  <si>
    <t>S&amp;P Resicem Impregnierharz (wasserdampfoffen), Set à 10 kg</t>
  </si>
  <si>
    <t>SHTEFROL10030</t>
  </si>
  <si>
    <t>S&amp;P Laminierroller 100 x 30mm</t>
  </si>
  <si>
    <t>SHTEFROL15030</t>
  </si>
  <si>
    <t>S&amp;P Laminierroller 150 x 30mm</t>
  </si>
  <si>
    <t>SHWETLAY060M</t>
  </si>
  <si>
    <t>S&amp;P Wet-Lay-Up Machine 60cm</t>
  </si>
  <si>
    <t>SHWETLAY220V</t>
  </si>
  <si>
    <t>S&amp;P Wet-Lay-up Maschiene</t>
  </si>
  <si>
    <t>SHWETLAYMANU</t>
  </si>
  <si>
    <t>SHWETLAYMANUF1</t>
  </si>
  <si>
    <t>Sheet gluing machine or 
wet-lay-up machine</t>
  </si>
  <si>
    <t>Stretch wrap</t>
  </si>
  <si>
    <t>Supplies - clean</t>
  </si>
  <si>
    <t>800</t>
  </si>
  <si>
    <t>Supplies - cons.</t>
  </si>
  <si>
    <t>Supplies - health</t>
  </si>
  <si>
    <t>Supplies - jigs/fix</t>
  </si>
  <si>
    <t>Supplies - lube</t>
  </si>
  <si>
    <t>Supplies - maint</t>
  </si>
  <si>
    <t>Supplies - office</t>
  </si>
  <si>
    <t>Supplies - tooling</t>
  </si>
  <si>
    <t>TRD1012025SP</t>
  </si>
  <si>
    <t>TRD M10-120/25</t>
  </si>
  <si>
    <t>TRD1015560SP</t>
  </si>
  <si>
    <t>TRD M10-155/60</t>
  </si>
  <si>
    <t>TRD1215035SP</t>
  </si>
  <si>
    <t>TRD M12-150/35</t>
  </si>
  <si>
    <t>TRD1218570SP</t>
  </si>
  <si>
    <t>TRD M12-185/70</t>
  </si>
  <si>
    <t>TRD89520SP</t>
  </si>
  <si>
    <t>TRD M8-95/20</t>
  </si>
  <si>
    <t>300</t>
  </si>
  <si>
    <t>Shipping</t>
  </si>
  <si>
    <t>Packaging</t>
  </si>
  <si>
    <t>111000910</t>
  </si>
  <si>
    <t>111000908</t>
  </si>
  <si>
    <t>PoI0000262</t>
  </si>
  <si>
    <t>111000917</t>
  </si>
  <si>
    <t>111000909</t>
  </si>
  <si>
    <t>TPP adjustment</t>
  </si>
  <si>
    <t>IJV0000131</t>
  </si>
  <si>
    <t>Lot 010441</t>
  </si>
  <si>
    <t>111000913</t>
  </si>
  <si>
    <t>111000915</t>
  </si>
  <si>
    <t>111000914</t>
  </si>
  <si>
    <t>Lot 010442</t>
  </si>
  <si>
    <t>111000912</t>
  </si>
  <si>
    <t>111000911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</si>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</sst>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 * #,##0.00_ ;_ * \-#,##0.00_ ;_ * &quot;-&quot;??_ ;_ @_ "/>
  </numFmts>
  <fonts count="7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43" fontId="0" fillId="0" borderId="0" xfId="0" applyNumberFormat="1" applyAlignment="1"/>
    <xf numFmtId="43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0" fontId="0" fillId="0" borderId="1" xfId="0" applyFont="1" applyBorder="1"/>
    <xf numFmtId="0" fontId="0" fillId="0" borderId="2" xfId="0" applyFont="1" applyFill="1" applyBorder="1"/>
    <xf numFmtId="164" fontId="0" fillId="0" borderId="0" xfId="2" applyFont="1"/>
    <xf numFmtId="19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5" fillId="0" borderId="0" xfId="0" applyFont="1"/>
    <xf numFmtId="0" fontId="0" fillId="0" borderId="0" xfId="0" applyFont="1"/>
  </cellXfs>
  <cellStyles count="3">
    <cellStyle name="Comma" xfId="2" builtinId="3"/>
    <cellStyle name="Normal" xfId="0" builtinId="0"/>
    <cellStyle name="Title" xfId="1" builtinId="15"/>
  </cellStyles>
  <dxfs count="133"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1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600075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0</xdr:rowOff>
        </xdr:from>
        <xdr:to>
          <xdr:col>13</xdr:col>
          <xdr:colOff>600075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adjustment suggestion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15</xdr:row>
          <xdr:rowOff>0</xdr:rowOff>
        </xdr:from>
        <xdr:to>
          <xdr:col>14</xdr:col>
          <xdr:colOff>9525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TPP Adjustment journal proposal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L23:M28" totalsRowShown="0">
  <autoFilter ref="L23:M28"/>
  <tableColumns count="2">
    <tableColumn id="1" name="Fields"/>
    <tableColumn id="2" name="Group b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5" name="OnHandStatement" displayName="OnHandStatement" ref="A1:P113" totalsRowShown="0" dataDxfId="119" dataCellStyle="Comma">
  <autoFilter ref="A1:P113"/>
  <tableColumns count="16">
    <tableColumn id="1" name="Item"/>
    <tableColumn id="2" name="Site"/>
    <tableColumn id="3" name="Warehouse"/>
    <tableColumn id="4" name="Invent on-hand beginning" dataDxfId="131" dataCellStyle="Comma"/>
    <tableColumn id="5" name="TPP on-hand beginning" dataDxfId="130" dataCellStyle="Comma"/>
    <tableColumn id="6" name="Beginning balance reconcile" dataDxfId="129" dataCellStyle="Comma"/>
    <tableColumn id="7" name="TPP Balance Beginning" dataDxfId="128" dataCellStyle="Comma"/>
    <tableColumn id="8" name="TPP Cost price Beginning" dataDxfId="127" dataCellStyle="Comma"/>
    <tableColumn id="9" name="Invent Transaction" dataDxfId="126" dataCellStyle="Comma"/>
    <tableColumn id="10" name="TPP Transaction" dataDxfId="125" dataCellStyle="Comma"/>
    <tableColumn id="11" name="Invent ending balance" dataDxfId="124" dataCellStyle="Comma"/>
    <tableColumn id="12" name="TPP on-hand ending balance" dataDxfId="123" dataCellStyle="Comma"/>
    <tableColumn id="13" name="Ending ON-hand reconcile" dataDxfId="122" dataCellStyle="Comma"/>
    <tableColumn id="14" name="TPP Balance Ending" dataDxfId="121" dataCellStyle="Comma"/>
    <tableColumn id="15" name="TPP Cost price Ending" dataDxfId="120" dataCellStyle="Comma"/>
    <tableColumn id="16" name="Check Tra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2" name="TPPAdjustmentProposal" displayName="TPPAdjustmentProposal" ref="A1:Q2" insertRow="1" totalsRowShown="0">
  <autoFilter ref="A1:Q2"/>
  <tableColumns count="17">
    <tableColumn id="1" name="Item number"/>
    <tableColumn id="2" name="Item name"/>
    <tableColumn id="3" name="Site"/>
    <tableColumn id="4" name="Warehouse"/>
    <tableColumn id="5" name="Date"/>
    <tableColumn id="6" name="Transaction type"/>
    <tableColumn id="7" name="Reference"/>
    <tableColumn id="8" name="Quantity"/>
    <tableColumn id="9" name="Unit"/>
    <tableColumn id="10" name="TPP Cost Price(Trans)"/>
    <tableColumn id="11" name="TPP Cost Amount(Trans)"/>
    <tableColumn id="12" name="Currency"/>
    <tableColumn id="13" name="TransOrigin"/>
    <tableColumn id="14" name="Lot Id"/>
    <tableColumn id="15" name="TPP Cost Price(Accu)"/>
    <tableColumn id="16" name="TPP Cost Amount(Accu)"/>
    <tableColumn id="17" name="Adjustment?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8" name="TPPAdjustmentJournal" displayName="TPPAdjustmentJournal" ref="A1:I2" insertRow="1" totalsRowShown="0">
  <autoFilter ref="A1:I2"/>
  <tableColumns count="9">
    <tableColumn id="1" name="Date"/>
    <tableColumn id="2" name="Item number"/>
    <tableColumn id="3" name="Item name"/>
    <tableColumn id="4" name="Warehouse"/>
    <tableColumn id="5" name="Transaction text"/>
    <tableColumn id="6" name="Reference"/>
    <tableColumn id="7" name="Quantity"/>
    <tableColumn id="8" name="TPP Cost price"/>
    <tableColumn id="9" name="TPP Cost Am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0" name="AtlasReport_1_Table_1" displayName="AtlasReport_1_Table_1" ref="A2:N37" totalsRowCount="1">
  <autoFilter ref="A2:N36"/>
  <tableColumns count="14">
    <tableColumn id="1" name="Reference" totalsRowLabel="Total" dataDxfId="27" totalsRowDxfId="14"/>
    <tableColumn id="2" name="Number" dataDxfId="26" totalsRowDxfId="13"/>
    <tableColumn id="3" name="Item number" totalsRowLabel="Total" dataDxfId="25" totalsRowDxfId="12"/>
    <tableColumn id="4" name="Item name" dataDxfId="24" totalsRowDxfId="11"/>
    <tableColumn id="5" name="Site" dataDxfId="23" totalsRowDxfId="10"/>
    <tableColumn id="6" name="Warehouse" dataDxfId="22" totalsRowDxfId="9"/>
    <tableColumn id="7" name="Physical date" dataDxfId="21" totalsRowDxfId="8"/>
    <tableColumn id="8" name="Financial date" dataDxfId="20" totalsRowDxfId="7"/>
    <tableColumn id="9" name="Quantity" totalsRowFunction="sum" dataDxfId="19" totalsRowDxfId="6"/>
    <tableColumn id="10" name="Unit" dataDxfId="18" totalsRowDxfId="5"/>
    <tableColumn id="11" name="Lot ID" dataDxfId="17" totalsRowDxfId="4"/>
    <tableColumn id="12" name="VendInvoiceTransId" dataDxfId="16" totalsRowDxfId="3">
      <calculatedColumnFormula>IF(AtlasReport_1_Table_1[[#This Row],[Reference]]="Purchase order",_xll.AtlasFormulas.AtlasFunctions.AtlasTable("UAT",DataAreaId,"T.VendInvoiceTrans","%RecId","","","","","","","ItemId|PurchID|InventTransId",$C3,$B3,$K3),"")</calculatedColumnFormula>
    </tableColumn>
    <tableColumn id="13" name="Currency" dataDxfId="15" totalsRowDxfId="2">
      <calculatedColumnFormula>IF(AtlasReport_1_Table_1[[#This Row],[Reference]]="Purchase order",_xll.AtlasFormulas.AtlasFunctions.AtlasTable("UAT",DataAreaId,"T.MarkupTrans","%CurrencyCode","","","","","","","MarkupCode|TransRecId|TransTableId","TPP",$L3,"492"),"")</calculatedColumnFormula>
    </tableColumn>
    <tableColumn id="14" name="TPP (Purchase invoice trans)" dataDxfId="0" totalsRowDxfId="1">
      <calculatedColumnFormula>IF(AtlasReport_1_Table_1[[#This Row],[Reference]]="Purchase order",_xll.AtlasFormulas.AtlasFunctions.AtlasBalance("UAT",DataAreaId,"T.MarkupTrans","Sum|Posted|0","","","","","","","MarkupCode|TransTableId|TransRecId","TPP","492",$L3),"")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7" name="AtlasReport_2_Table_1" displayName="AtlasReport_2_Table_1" ref="A2:Q31" totalsRowCount="1">
  <autoFilter ref="A2:Q30"/>
  <tableColumns count="17">
    <tableColumn id="1" name="Reference" totalsRowLabel="Total" dataDxfId="101" totalsRowDxfId="103"/>
    <tableColumn id="2" name="Number" dataDxfId="99" totalsRowDxfId="102"/>
    <tableColumn id="3" name="Item number" dataDxfId="97" totalsRowDxfId="100"/>
    <tableColumn id="4" name="Item name" dataDxfId="95" totalsRowDxfId="98"/>
    <tableColumn id="5" name="Date" dataDxfId="93" totalsRowDxfId="96"/>
    <tableColumn id="6" name="Site" dataDxfId="91" totalsRowDxfId="94"/>
    <tableColumn id="7" name="Warehouse" dataDxfId="89" totalsRowDxfId="92"/>
    <tableColumn id="8" name="Quantity" totalsRowFunction="sum" dataDxfId="87" totalsRowDxfId="90"/>
    <tableColumn id="9" name="Unit" dataDxfId="85" totalsRowDxfId="88"/>
    <tableColumn id="10" name="TPP cost price" totalsRowFunction="sum" dataDxfId="83" totalsRowDxfId="86"/>
    <tableColumn id="11" name="TPP cost amount" totalsRowFunction="sum" dataDxfId="81" totalsRowDxfId="84"/>
    <tableColumn id="12" name="Currency" dataDxfId="79" totalsRowDxfId="82"/>
    <tableColumn id="13" name="TPP cost amount currency" totalsRowFunction="sum" dataDxfId="77" totalsRowDxfId="80"/>
    <tableColumn id="14" name="Financial voucher" dataDxfId="75" totalsRowDxfId="78"/>
    <tableColumn id="15" name="Lot ID" dataDxfId="73" totalsRowDxfId="76"/>
    <tableColumn id="16" name="Status" dataDxfId="71" totalsRowDxfId="74"/>
    <tableColumn id="17" name="InventTransRecId" totalsRowFunction="sum" dataDxfId="70" totalsRowDxfId="7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9" name="AtlasReport_3_Table_1" displayName="AtlasReport_3_Table_1" ref="A2:H253" totalsRowCount="1">
  <autoFilter ref="A2:H252"/>
  <tableColumns count="8">
    <tableColumn id="1" name="Item number" totalsRowLabel="Total" dataDxfId="43" totalsRowDxfId="36"/>
    <tableColumn id="2" name="Site" dataDxfId="42" totalsRowDxfId="35"/>
    <tableColumn id="3" name="Warehouse" dataDxfId="41" totalsRowDxfId="34"/>
    <tableColumn id="4" name="Current On-hand" totalsRowFunction="sum" dataDxfId="40" totalsRowDxfId="33"/>
    <tableColumn id="5" name="Trans backwords (Beginning)" totalsRowFunction="sum" dataDxfId="39" totalsRowDxfId="32">
      <calculatedColumnFormula>_xll.AtlasFormulas.AtlasFunctions.AtlasBalance("PROD",DataAreaId,"T.InventTrans|inventDimId~inventDimId@T.InventDim","Sum|Qty|0","","","","","","","DateFinancial|ItemId|T2.InventSiteId|T2.InventLocationId",PeriodBeginning,$A3,$B3,$C3)</calculatedColumnFormula>
    </tableColumn>
    <tableColumn id="6" name="Trans backwords (Ending)" totalsRowFunction="sum" dataDxfId="38" totalsRowDxfId="31">
      <calculatedColumnFormula>_xll.AtlasFormulas.AtlasFunctions.AtlasBalance("PROD",DataAreaId,"T.InventTrans|inventDimId~inventDimId@T.InventDim","Sum|Qty|0","","","","","","","DateFinancial|ItemId|T2.InventSiteId|T2.InventLocationId",PeriodEnding,$A3,$B3,$C3)</calculatedColumnFormula>
    </tableColumn>
    <tableColumn id="7" name="Beginning On-hand" totalsRowFunction="sum" dataDxfId="37" totalsRowDxfId="30">
      <calculatedColumnFormula>AtlasReport_3_Table_1[[#This Row],[Current On-hand]]-AtlasReport_3_Table_1[[#This Row],[Trans backwords (Beginning)]]</calculatedColumnFormula>
    </tableColumn>
    <tableColumn id="8" name="Ending On-hand" totalsRowFunction="sum" dataDxfId="28" totalsRowDxfId="29">
      <calculatedColumnFormula>AtlasReport_3_Table_1[[#This Row],[Current On-hand]]-AtlasReport_3_Table_1[[#This Row],[Trans backwords (Ending)]]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8" name="AtlasReport_4_Table_1" displayName="AtlasReport_4_Table_1" ref="A2:M118" totalsRowCount="1">
  <autoFilter ref="A2:M117"/>
  <tableColumns count="13">
    <tableColumn id="1" name="Item number" totalsRowLabel="Total" dataDxfId="69" totalsRowDxfId="57"/>
    <tableColumn id="2" name="Site" dataDxfId="68" totalsRowDxfId="56"/>
    <tableColumn id="3" name="Warehouse" dataDxfId="67" totalsRowDxfId="55"/>
    <tableColumn id="4" name="Quantity" totalsRowFunction="sum" dataDxfId="66" totalsRowDxfId="54"/>
    <tableColumn id="5" name="TPP cost amount" totalsRowFunction="sum" dataDxfId="65" totalsRowDxfId="53"/>
    <tableColumn id="6" name="TPP trans backwards (Beginning)" dataDxfId="64" totalsRowDxfId="52">
      <calculatedColumnFormula>_xll.AtlasFormulas.AtlasFunctions.AtlasBalance("PROD",DataAreaId,"T.TPPTrans_sst|InventDimId~inventDimId@T.InventDim","Sum|Qty|0","","","","","","","ItemId|TransDate|T2.InventSiteId|T2.InventLocationId",$A3,PeriodBeginning,$B3,$C3)</calculatedColumnFormula>
    </tableColumn>
    <tableColumn id="7" name="TPP trans backwards (Ending)" dataDxfId="63" totalsRowDxfId="51">
      <calculatedColumnFormula>_xll.AtlasFormulas.AtlasFunctions.AtlasBalance("PROD",DataAreaId,"T.TPPTrans_sst|InventDimId~inventDimId@T.InventDim","Sum|Qty|0","","","","","","","ItemId|TransDate|T2.InventSiteId|T2.InventLocationId",$A3,PeriodEnding,$B3,$C3)</calculatedColumnFormula>
    </tableColumn>
    <tableColumn id="8" name="TPP On-hand (Beginning)" dataDxfId="62" totalsRowDxfId="50">
      <calculatedColumnFormula>AtlasReport_4_Table_1[[#This Row],[Quantity]]-AtlasReport_4_Table_1[[#This Row],[TPP trans backwards (Beginning)]]</calculatedColumnFormula>
    </tableColumn>
    <tableColumn id="9" name="TPP On-hand (Ending)" dataDxfId="61" totalsRowDxfId="49">
      <calculatedColumnFormula>AtlasReport_4_Table_1[[#This Row],[Quantity]]-AtlasReport_4_Table_1[[#This Row],[TPP trans backwards (Ending)]]</calculatedColumnFormula>
    </tableColumn>
    <tableColumn id="10" name="TPP trans backwards balance (Beginning)" dataDxfId="60" totalsRowDxfId="48">
      <calculatedColumnFormula>_xll.AtlasFormulas.AtlasFunctions.AtlasBalance("PROD",DataAreaId,"T.TPPTrans_sst|InventDimId~inventDimId@T.InventDim","Sum|CostAmount|0","","","","","","","ItemId|TransDate|T2.InventSiteId|T2.InventLocationId",$A3,PeriodBeginning,$B3,$C3)</calculatedColumnFormula>
    </tableColumn>
    <tableColumn id="11" name="TPP trans backwards balance (Ending)" dataDxfId="59" totalsRowDxfId="47">
      <calculatedColumnFormula>_xll.AtlasFormulas.AtlasFunctions.AtlasBalance("PROD",DataAreaId,"T.TPPTrans_sst|InventDimId~inventDimId@T.InventDim","Sum|CostAmount|0","","","","","","","ItemId|TransDate|T2.InventSiteId|T2.InventLocationId",$A3,PeriodEnding,$B3,$C3)</calculatedColumnFormula>
    </tableColumn>
    <tableColumn id="12" name="TPP Balance (Beginning)" dataDxfId="58" totalsRowDxfId="46">
      <calculatedColumnFormula>AtlasReport_4_Table_1[[#This Row],[TPP cost amount]]-AtlasReport_4_Table_1[[#This Row],[TPP trans backwards balance (Beginning)]]</calculatedColumnFormula>
    </tableColumn>
    <tableColumn id="13" name="TPP Balance (Ending)" dataDxfId="44" totalsRowDxfId="45">
      <calculatedColumnFormula>AtlasReport_4_Table_1[[#This Row],[TPP cost amount]]-AtlasReport_4_Table_1[[#This Row],[TPP trans backwards balance (Ending)]]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6" name="AtlasReport_5_Table_1" displayName="AtlasReport_5_Table_1" ref="A2:O254" totalsRowShown="0">
  <autoFilter ref="A2:O254"/>
  <tableColumns count="15">
    <tableColumn id="1" name="Item number" dataDxfId="118"/>
    <tableColumn id="2" name="Item name" dataDxfId="117"/>
    <tableColumn id="3" name="Item group" dataDxfId="116"/>
    <tableColumn id="4" name="Item type" dataDxfId="115"/>
    <tableColumn id="5" name="Unit" dataDxfId="114"/>
    <tableColumn id="6" name="Branch" dataDxfId="113"/>
    <tableColumn id="7" name="Department" dataDxfId="112"/>
    <tableColumn id="8" name="Cost Center" dataDxfId="111"/>
    <tableColumn id="9" name="Purpose" dataDxfId="110"/>
    <tableColumn id="10" name="Tax Group" dataDxfId="109"/>
    <tableColumn id="11" name="Segment" dataDxfId="108"/>
    <tableColumn id="12" name="Major Marketing Group" dataDxfId="107"/>
    <tableColumn id="13" name="Detail Marketing Group" dataDxfId="106"/>
    <tableColumn id="14" name="Statutory" dataDxfId="105"/>
    <tableColumn id="15" name="Channel" dataDxfId="10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" name="TableMapping" displayName="TableMapping" ref="A2:B7" totalsRowShown="0">
  <autoFilter ref="A2:B7"/>
  <tableColumns count="2">
    <tableColumn id="1" name="TableId"/>
    <tableColumn id="2" name="Sheet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" name="FieldMapping" displayName="FieldMapping" ref="A10:C67" totalsRowShown="0">
  <autoFilter ref="A10:C67"/>
  <tableColumns count="3">
    <tableColumn id="1" name="TableId" dataDxfId="132"/>
    <tableColumn id="2" name="FieldId"/>
    <tableColumn id="3" name="Column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A72:B76" totalsRowShown="0">
  <autoFilter ref="A72:B76"/>
  <tableColumns count="2">
    <tableColumn id="1" name="Region"/>
    <tableColumn id="2" name="Date form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41"/>
  <sheetViews>
    <sheetView workbookViewId="0">
      <selection activeCell="F9" sqref="F9"/>
    </sheetView>
  </sheetViews>
  <sheetFormatPr defaultRowHeight="15"/>
  <cols>
    <col min="2" max="2" width="14.140625" customWidth="1"/>
    <col min="3" max="3" width="10.7109375" bestFit="1" customWidth="1"/>
    <col min="6" max="6" width="21.28515625" customWidth="1"/>
    <col min="7" max="7" width="14" customWidth="1"/>
    <col min="8" max="8" width="13.140625" customWidth="1"/>
    <col min="12" max="12" width="14.140625" customWidth="1"/>
    <col min="16" max="16" width="31.140625" customWidth="1"/>
    <col min="17" max="17" width="15.28515625" bestFit="1" customWidth="1"/>
    <col min="18" max="18" width="11.28515625" customWidth="1"/>
  </cols>
  <sheetData>
    <row r="1" spans="2:17">
      <c r="B1" t="s">
        <v>0</v>
      </c>
      <c r="C1">
        <v>364</v>
      </c>
      <c r="F1" t="str">
        <f>VLOOKUP(DateRegion,Table9[#All],2,0)</f>
        <v>MM.DD.YYYY</v>
      </c>
      <c r="G1" t="s">
        <v>3</v>
      </c>
      <c r="H1" t="s">
        <v>256</v>
      </c>
    </row>
    <row r="2" spans="2:17">
      <c r="B2" t="s">
        <v>1</v>
      </c>
      <c r="C2" s="1">
        <v>43132</v>
      </c>
      <c r="P2" t="s">
        <v>261</v>
      </c>
      <c r="Q2" s="15">
        <v>0.37149305555555556</v>
      </c>
    </row>
    <row r="3" spans="2:17">
      <c r="B3" t="s">
        <v>2</v>
      </c>
      <c r="C3" s="1">
        <v>43166</v>
      </c>
      <c r="P3" t="s">
        <v>262</v>
      </c>
      <c r="Q3" s="15">
        <v>0.3715046296296296</v>
      </c>
    </row>
    <row r="4" spans="2:17">
      <c r="B4" t="s">
        <v>5</v>
      </c>
      <c r="C4" t="str">
        <f>TEXT(FromDate,DateFormat) &amp; " .. " &amp; TEXT(ToDate,DateFormat)</f>
        <v>02.01.2018 .. 03.07.2018</v>
      </c>
      <c r="F4" t="s">
        <v>74</v>
      </c>
      <c r="G4" t="str">
        <f>TEXT(FromDate,DateFormat)&amp;" .. "&amp;TEXT(DATE(2099,12,31),DateFormat)</f>
        <v>02.01.2018 .. 12.31.2099</v>
      </c>
      <c r="P4" s="16" t="s">
        <v>263</v>
      </c>
      <c r="Q4" s="15">
        <v>0.3715162037037037</v>
      </c>
    </row>
    <row r="5" spans="2:17">
      <c r="F5" t="s">
        <v>75</v>
      </c>
      <c r="G5" t="str">
        <f>TEXT(ToDate+1,DateFormat)&amp;" .. "&amp;TEXT(DATE(2099,12,31),DateFormat)</f>
        <v>03.08.2018 .. 12.31.2099</v>
      </c>
    </row>
    <row r="7" spans="2:17">
      <c r="B7" t="s">
        <v>192</v>
      </c>
      <c r="C7" t="s">
        <v>199</v>
      </c>
    </row>
    <row r="8" spans="2:17">
      <c r="B8" t="s">
        <v>157</v>
      </c>
      <c r="C8" t="s">
        <v>257</v>
      </c>
    </row>
    <row r="9" spans="2:17">
      <c r="P9" t="s">
        <v>264</v>
      </c>
      <c r="Q9" s="15">
        <v>0.36861111111111106</v>
      </c>
    </row>
    <row r="10" spans="2:17">
      <c r="P10" t="s">
        <v>265</v>
      </c>
      <c r="Q10" s="15">
        <v>0.36862268518518521</v>
      </c>
    </row>
    <row r="11" spans="2:17">
      <c r="B11" t="s">
        <v>258</v>
      </c>
      <c r="P11" s="17" t="s">
        <v>263</v>
      </c>
      <c r="Q11" s="15">
        <v>0.36885416666666665</v>
      </c>
    </row>
    <row r="12" spans="2:17">
      <c r="B12">
        <v>1</v>
      </c>
      <c r="C12" t="s">
        <v>269</v>
      </c>
    </row>
    <row r="13" spans="2:17">
      <c r="C13" t="s">
        <v>270</v>
      </c>
    </row>
    <row r="14" spans="2:17">
      <c r="C14" t="s">
        <v>271</v>
      </c>
    </row>
    <row r="15" spans="2:17">
      <c r="C15" s="19" t="s">
        <v>292</v>
      </c>
    </row>
    <row r="16" spans="2:17">
      <c r="B16">
        <v>2</v>
      </c>
      <c r="C16" t="s">
        <v>272</v>
      </c>
      <c r="P16" t="s">
        <v>266</v>
      </c>
      <c r="Q16" s="15">
        <v>0.42908564814814815</v>
      </c>
    </row>
    <row r="17" spans="2:13">
      <c r="C17" t="s">
        <v>273</v>
      </c>
    </row>
    <row r="18" spans="2:13">
      <c r="C18" t="s">
        <v>274</v>
      </c>
    </row>
    <row r="19" spans="2:13">
      <c r="C19" s="18" t="s">
        <v>275</v>
      </c>
    </row>
    <row r="20" spans="2:13">
      <c r="C20" s="19" t="s">
        <v>276</v>
      </c>
    </row>
    <row r="21" spans="2:13">
      <c r="C21" s="19" t="s">
        <v>277</v>
      </c>
    </row>
    <row r="22" spans="2:13">
      <c r="B22">
        <v>3</v>
      </c>
      <c r="C22" t="s">
        <v>278</v>
      </c>
    </row>
    <row r="23" spans="2:13">
      <c r="C23" t="s">
        <v>279</v>
      </c>
      <c r="L23" t="s">
        <v>150</v>
      </c>
      <c r="M23" t="s">
        <v>205</v>
      </c>
    </row>
    <row r="24" spans="2:13">
      <c r="C24" t="s">
        <v>280</v>
      </c>
      <c r="L24" t="s">
        <v>6</v>
      </c>
      <c r="M24" t="s">
        <v>197</v>
      </c>
    </row>
    <row r="25" spans="2:13">
      <c r="C25" s="19" t="s">
        <v>281</v>
      </c>
      <c r="L25" t="s">
        <v>44</v>
      </c>
      <c r="M25" t="s">
        <v>197</v>
      </c>
    </row>
    <row r="26" spans="2:13">
      <c r="C26" s="19" t="s">
        <v>282</v>
      </c>
      <c r="L26" t="s">
        <v>247</v>
      </c>
      <c r="M26" t="s">
        <v>201</v>
      </c>
    </row>
    <row r="27" spans="2:13">
      <c r="B27">
        <v>4</v>
      </c>
      <c r="C27" t="s">
        <v>283</v>
      </c>
      <c r="L27" t="s">
        <v>8</v>
      </c>
      <c r="M27" t="s">
        <v>201</v>
      </c>
    </row>
    <row r="28" spans="2:13">
      <c r="C28" t="s">
        <v>284</v>
      </c>
      <c r="L28" t="s">
        <v>41</v>
      </c>
      <c r="M28" t="s">
        <v>201</v>
      </c>
    </row>
    <row r="29" spans="2:13">
      <c r="C29" s="19" t="s">
        <v>285</v>
      </c>
    </row>
    <row r="30" spans="2:13">
      <c r="C30" s="19" t="s">
        <v>286</v>
      </c>
    </row>
    <row r="31" spans="2:13">
      <c r="C31" s="19" t="s">
        <v>287</v>
      </c>
    </row>
    <row r="32" spans="2:13">
      <c r="B32">
        <v>5</v>
      </c>
      <c r="C32" s="20" t="s">
        <v>288</v>
      </c>
    </row>
    <row r="33" spans="2:4">
      <c r="C33" s="19" t="s">
        <v>289</v>
      </c>
    </row>
    <row r="34" spans="2:4">
      <c r="C34" s="19" t="s">
        <v>290</v>
      </c>
    </row>
    <row r="36" spans="2:4">
      <c r="B36" t="s">
        <v>291</v>
      </c>
    </row>
    <row r="37" spans="2:4">
      <c r="B37" t="s">
        <v>259</v>
      </c>
      <c r="C37" s="1">
        <v>43100</v>
      </c>
      <c r="D37" t="s">
        <v>260</v>
      </c>
    </row>
    <row r="38" spans="2:4">
      <c r="B38" t="s">
        <v>295</v>
      </c>
      <c r="C38" s="1">
        <v>43123</v>
      </c>
      <c r="D38" t="s">
        <v>296</v>
      </c>
    </row>
    <row r="39" spans="2:4">
      <c r="B39" t="s">
        <v>364</v>
      </c>
      <c r="C39" s="1">
        <v>43137</v>
      </c>
      <c r="D39" t="s">
        <v>365</v>
      </c>
    </row>
    <row r="40" spans="2:4">
      <c r="D40" t="s">
        <v>366</v>
      </c>
    </row>
    <row r="41" spans="2:4">
      <c r="B41" t="s">
        <v>367</v>
      </c>
      <c r="C41" s="1">
        <v>43166</v>
      </c>
      <c r="D41" t="s">
        <v>368</v>
      </c>
    </row>
  </sheetData>
  <phoneticPr fontId="6" type="noConversion"/>
  <dataValidations disablePrompts="1" count="3">
    <dataValidation type="list" allowBlank="1" showInputMessage="1" showErrorMessage="1" sqref="F1">
      <formula1>"MM.DD.YYYY, DD.MM.YYYY"</formula1>
    </dataValidation>
    <dataValidation type="list" allowBlank="1" showInputMessage="1" showErrorMessage="1" sqref="M24:M28">
      <formula1>"Yes,No"</formula1>
    </dataValidation>
    <dataValidation type="list" allowBlank="1" showInputMessage="1" showErrorMessage="1" sqref="H1">
      <formula1>Region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OnHandStatement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djustmentList">
                <anchor moveWithCells="1" sizeWithCells="1">
                  <from>
                    <xdr:col>11</xdr:col>
                    <xdr:colOff>9525</xdr:colOff>
                    <xdr:row>8</xdr:row>
                    <xdr:rowOff>0</xdr:rowOff>
                  </from>
                  <to>
                    <xdr:col>13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TPPAdjJournal">
                <anchor moveWithCells="1" sizeWithCells="1">
                  <from>
                    <xdr:col>10</xdr:col>
                    <xdr:colOff>600075</xdr:colOff>
                    <xdr:row>15</xdr:row>
                    <xdr:rowOff>0</xdr:rowOff>
                  </from>
                  <to>
                    <xdr:col>14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14"/>
  <sheetViews>
    <sheetView tabSelected="1" workbookViewId="0">
      <pane xSplit="3" ySplit="1" topLeftCell="J86" activePane="bottomRight" state="frozen"/>
      <selection pane="topRight" activeCell="D1" sqref="D1"/>
      <selection pane="bottomLeft" activeCell="A2" sqref="A2"/>
      <selection pane="bottomRight" activeCell="P26" sqref="P26"/>
    </sheetView>
  </sheetViews>
  <sheetFormatPr defaultRowHeight="15"/>
  <cols>
    <col min="1" max="1" width="20.5703125" customWidth="1"/>
    <col min="2" max="2" width="6.7109375" customWidth="1"/>
    <col min="3" max="3" width="13.42578125" customWidth="1"/>
    <col min="4" max="4" width="26" customWidth="1"/>
    <col min="5" max="5" width="23.5703125" customWidth="1"/>
    <col min="6" max="6" width="27.85546875" customWidth="1"/>
    <col min="7" max="7" width="23" customWidth="1"/>
    <col min="8" max="8" width="24.85546875" customWidth="1"/>
    <col min="9" max="9" width="19.42578125" customWidth="1"/>
    <col min="10" max="10" width="17" customWidth="1"/>
    <col min="11" max="11" width="22.7109375" customWidth="1"/>
    <col min="12" max="12" width="28.140625" customWidth="1"/>
    <col min="13" max="13" width="26.140625" customWidth="1"/>
    <col min="14" max="14" width="20.140625" customWidth="1"/>
    <col min="15" max="15" width="22" customWidth="1"/>
    <col min="16" max="16" width="13.5703125" customWidth="1"/>
  </cols>
  <sheetData>
    <row r="1" spans="1:16">
      <c r="A1" t="s">
        <v>159</v>
      </c>
      <c r="B1" t="s">
        <v>43</v>
      </c>
      <c r="C1" t="s">
        <v>44</v>
      </c>
      <c r="D1" t="s">
        <v>180</v>
      </c>
      <c r="E1" t="s">
        <v>181</v>
      </c>
      <c r="F1" t="s">
        <v>182</v>
      </c>
      <c r="G1" t="s">
        <v>188</v>
      </c>
      <c r="H1" t="s">
        <v>190</v>
      </c>
      <c r="I1" t="s">
        <v>183</v>
      </c>
      <c r="J1" t="s">
        <v>184</v>
      </c>
      <c r="K1" t="s">
        <v>185</v>
      </c>
      <c r="L1" t="s">
        <v>186</v>
      </c>
      <c r="M1" t="s">
        <v>187</v>
      </c>
      <c r="N1" t="s">
        <v>189</v>
      </c>
      <c r="O1" t="s">
        <v>191</v>
      </c>
      <c r="P1" t="s">
        <v>196</v>
      </c>
    </row>
    <row r="2" spans="1:16">
      <c r="A2" t="s">
        <v>206</v>
      </c>
      <c r="B2">
        <v>164</v>
      </c>
      <c r="C2" t="s">
        <v>372</v>
      </c>
      <c r="D2" s="14">
        <v>0</v>
      </c>
      <c r="E2" s="14">
        <v>0</v>
      </c>
      <c r="F2" s="14">
        <v>0</v>
      </c>
      <c r="G2" s="14">
        <v>-3.79316593E-3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4">
        <v>0</v>
      </c>
      <c r="N2" s="14">
        <v>-3.79316593E-3</v>
      </c>
      <c r="O2" s="14">
        <v>0</v>
      </c>
      <c r="P2" t="s">
        <v>201</v>
      </c>
    </row>
    <row r="3" spans="1:16">
      <c r="A3" t="s">
        <v>207</v>
      </c>
      <c r="B3">
        <v>164</v>
      </c>
      <c r="C3" t="s">
        <v>372</v>
      </c>
      <c r="D3" s="14">
        <v>0</v>
      </c>
      <c r="E3" s="14">
        <v>0</v>
      </c>
      <c r="F3" s="14">
        <v>0</v>
      </c>
      <c r="G3" s="14">
        <v>4.2848765889999998E-3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4.2848765889999998E-3</v>
      </c>
      <c r="O3" s="14">
        <v>0</v>
      </c>
      <c r="P3" t="s">
        <v>201</v>
      </c>
    </row>
    <row r="4" spans="1:16">
      <c r="A4" t="s">
        <v>46</v>
      </c>
      <c r="B4">
        <v>164</v>
      </c>
      <c r="C4" t="s">
        <v>372</v>
      </c>
      <c r="D4" s="14">
        <v>7408.05</v>
      </c>
      <c r="E4" s="14">
        <v>7408.05</v>
      </c>
      <c r="F4" s="14">
        <v>0</v>
      </c>
      <c r="G4" s="14">
        <v>12530.6597379632</v>
      </c>
      <c r="H4" s="14">
        <v>1.6914923276656071</v>
      </c>
      <c r="I4" s="14">
        <v>-195</v>
      </c>
      <c r="J4" s="14">
        <v>-195</v>
      </c>
      <c r="K4" s="14">
        <v>7213.05</v>
      </c>
      <c r="L4" s="14">
        <v>7213.05</v>
      </c>
      <c r="M4" s="14">
        <v>0</v>
      </c>
      <c r="N4" s="14">
        <v>12200.8197379632</v>
      </c>
      <c r="O4" s="14">
        <v>1.6914924668431801</v>
      </c>
      <c r="P4" t="s">
        <v>201</v>
      </c>
    </row>
    <row r="5" spans="1:16">
      <c r="A5" t="s">
        <v>119</v>
      </c>
      <c r="B5">
        <v>164</v>
      </c>
      <c r="C5" t="s">
        <v>372</v>
      </c>
      <c r="D5" s="14">
        <v>2925</v>
      </c>
      <c r="E5" s="14">
        <v>2925</v>
      </c>
      <c r="F5" s="14">
        <v>0</v>
      </c>
      <c r="G5" s="14">
        <v>5761.69</v>
      </c>
      <c r="H5" s="14">
        <v>1.9698085470085469</v>
      </c>
      <c r="I5" s="14">
        <v>0</v>
      </c>
      <c r="J5" s="14">
        <v>0</v>
      </c>
      <c r="K5" s="14">
        <v>2925</v>
      </c>
      <c r="L5" s="14">
        <v>2925</v>
      </c>
      <c r="M5" s="14">
        <v>0</v>
      </c>
      <c r="N5" s="14">
        <v>5761.69</v>
      </c>
      <c r="O5" s="14">
        <v>1.9698085470085469</v>
      </c>
      <c r="P5" t="s">
        <v>201</v>
      </c>
    </row>
    <row r="6" spans="1:16">
      <c r="A6" t="s">
        <v>433</v>
      </c>
      <c r="B6">
        <v>164</v>
      </c>
      <c r="C6" t="s">
        <v>372</v>
      </c>
      <c r="D6" s="14">
        <v>2</v>
      </c>
      <c r="E6" s="14">
        <v>2</v>
      </c>
      <c r="F6" s="14">
        <v>0</v>
      </c>
      <c r="G6" s="14">
        <v>21.315793106093</v>
      </c>
      <c r="H6" s="14">
        <v>10.6578965530465</v>
      </c>
      <c r="I6" s="14">
        <v>0</v>
      </c>
      <c r="J6" s="14">
        <v>0</v>
      </c>
      <c r="K6" s="14">
        <v>2</v>
      </c>
      <c r="L6" s="14">
        <v>2</v>
      </c>
      <c r="M6" s="14">
        <v>0</v>
      </c>
      <c r="N6" s="14">
        <v>21.315793106093</v>
      </c>
      <c r="O6" s="14">
        <v>10.6578965530465</v>
      </c>
      <c r="P6" t="s">
        <v>201</v>
      </c>
    </row>
    <row r="7" spans="1:16">
      <c r="A7" t="s">
        <v>447</v>
      </c>
      <c r="B7">
        <v>164</v>
      </c>
      <c r="C7" t="s">
        <v>372</v>
      </c>
      <c r="D7" s="14">
        <v>1500</v>
      </c>
      <c r="E7" s="14">
        <v>1500</v>
      </c>
      <c r="F7" s="14">
        <v>0</v>
      </c>
      <c r="G7" s="14">
        <v>-4.0603088849999998E-3</v>
      </c>
      <c r="H7" s="14">
        <v>-2.7068725899999998E-6</v>
      </c>
      <c r="I7" s="14">
        <v>0</v>
      </c>
      <c r="J7" s="14">
        <v>0</v>
      </c>
      <c r="K7" s="14">
        <v>1500</v>
      </c>
      <c r="L7" s="14">
        <v>1500</v>
      </c>
      <c r="M7" s="14">
        <v>0</v>
      </c>
      <c r="N7" s="14">
        <v>-4.0603088849999998E-3</v>
      </c>
      <c r="O7" s="14">
        <v>-2.7068725899999998E-6</v>
      </c>
      <c r="P7" t="s">
        <v>201</v>
      </c>
    </row>
    <row r="8" spans="1:16">
      <c r="A8" t="s">
        <v>120</v>
      </c>
      <c r="B8">
        <v>164</v>
      </c>
      <c r="C8" t="s">
        <v>372</v>
      </c>
      <c r="D8" s="14">
        <v>2419.9499999999998</v>
      </c>
      <c r="E8" s="14">
        <v>2419.9499999999998</v>
      </c>
      <c r="F8" s="14">
        <v>0</v>
      </c>
      <c r="G8" s="14">
        <v>3495.3016982312829</v>
      </c>
      <c r="H8" s="14">
        <v>1.4443693870663787</v>
      </c>
      <c r="I8" s="14">
        <v>0</v>
      </c>
      <c r="J8" s="14">
        <v>0</v>
      </c>
      <c r="K8" s="14">
        <v>2419.9499999999998</v>
      </c>
      <c r="L8" s="14">
        <v>2419.9499999999998</v>
      </c>
      <c r="M8" s="14">
        <v>0</v>
      </c>
      <c r="N8" s="14">
        <v>3495.3016982312829</v>
      </c>
      <c r="O8" s="14">
        <v>1.4443693870663787</v>
      </c>
      <c r="P8" t="s">
        <v>201</v>
      </c>
    </row>
    <row r="9" spans="1:16">
      <c r="A9" t="s">
        <v>211</v>
      </c>
      <c r="B9">
        <v>164</v>
      </c>
      <c r="C9" t="s">
        <v>372</v>
      </c>
      <c r="D9" s="14">
        <v>2145</v>
      </c>
      <c r="E9" s="14">
        <v>2145</v>
      </c>
      <c r="F9" s="14">
        <v>0</v>
      </c>
      <c r="G9" s="14">
        <v>3682.77</v>
      </c>
      <c r="H9" s="14">
        <v>1.7169090909090909</v>
      </c>
      <c r="I9" s="14">
        <v>0</v>
      </c>
      <c r="J9" s="14">
        <v>0</v>
      </c>
      <c r="K9" s="14">
        <v>2145</v>
      </c>
      <c r="L9" s="14">
        <v>2145</v>
      </c>
      <c r="M9" s="14">
        <v>0</v>
      </c>
      <c r="N9" s="14">
        <v>3682.77</v>
      </c>
      <c r="O9" s="14">
        <v>1.7169090909090909</v>
      </c>
      <c r="P9" t="s">
        <v>201</v>
      </c>
    </row>
    <row r="10" spans="1:16">
      <c r="A10" t="s">
        <v>455</v>
      </c>
      <c r="B10">
        <v>164</v>
      </c>
      <c r="C10" t="s">
        <v>372</v>
      </c>
      <c r="D10" s="14">
        <v>770</v>
      </c>
      <c r="E10" s="14">
        <v>770</v>
      </c>
      <c r="F10" s="14">
        <v>0</v>
      </c>
      <c r="G10" s="14">
        <v>96.532624114428998</v>
      </c>
      <c r="H10" s="14">
        <v>0.12536704430445325</v>
      </c>
      <c r="I10" s="14">
        <v>0</v>
      </c>
      <c r="J10" s="14">
        <v>0</v>
      </c>
      <c r="K10" s="14">
        <v>770</v>
      </c>
      <c r="L10" s="14">
        <v>770</v>
      </c>
      <c r="M10" s="14">
        <v>0</v>
      </c>
      <c r="N10" s="14">
        <v>96.532624114428998</v>
      </c>
      <c r="O10" s="14">
        <v>0.12536704430445325</v>
      </c>
      <c r="P10" t="s">
        <v>201</v>
      </c>
    </row>
    <row r="11" spans="1:16">
      <c r="A11" t="s">
        <v>370</v>
      </c>
      <c r="B11">
        <v>164</v>
      </c>
      <c r="C11" t="s">
        <v>372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-1</v>
      </c>
      <c r="J11" s="14">
        <v>-1</v>
      </c>
      <c r="K11" s="14">
        <v>-1</v>
      </c>
      <c r="L11" s="14">
        <v>-1</v>
      </c>
      <c r="M11" s="14">
        <v>0</v>
      </c>
      <c r="N11" s="14">
        <v>0</v>
      </c>
      <c r="O11" s="14">
        <v>0</v>
      </c>
      <c r="P11" t="s">
        <v>201</v>
      </c>
    </row>
    <row r="12" spans="1:16">
      <c r="A12" t="s">
        <v>472</v>
      </c>
      <c r="B12">
        <v>164</v>
      </c>
      <c r="C12" t="s">
        <v>372</v>
      </c>
      <c r="D12" s="14">
        <v>0</v>
      </c>
      <c r="E12" s="14">
        <v>0</v>
      </c>
      <c r="F12" s="14">
        <v>0</v>
      </c>
      <c r="G12" s="14">
        <v>-4.9171065400000001E-4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-4.9171065400000001E-4</v>
      </c>
      <c r="O12" s="14">
        <v>0</v>
      </c>
      <c r="P12" t="s">
        <v>201</v>
      </c>
    </row>
    <row r="13" spans="1:16">
      <c r="A13" t="s">
        <v>297</v>
      </c>
      <c r="B13">
        <v>164</v>
      </c>
      <c r="C13" t="s">
        <v>372</v>
      </c>
      <c r="D13" s="14">
        <v>1195</v>
      </c>
      <c r="E13" s="14">
        <v>1195</v>
      </c>
      <c r="F13" s="14">
        <v>0</v>
      </c>
      <c r="G13" s="14">
        <v>0</v>
      </c>
      <c r="H13" s="14">
        <v>0</v>
      </c>
      <c r="I13" s="14">
        <v>-120</v>
      </c>
      <c r="J13" s="14">
        <v>-120</v>
      </c>
      <c r="K13" s="14">
        <v>1075</v>
      </c>
      <c r="L13" s="14">
        <v>1075</v>
      </c>
      <c r="M13" s="14">
        <v>0</v>
      </c>
      <c r="N13" s="14">
        <v>0</v>
      </c>
      <c r="O13" s="14">
        <v>0</v>
      </c>
      <c r="P13" t="s">
        <v>201</v>
      </c>
    </row>
    <row r="14" spans="1:16">
      <c r="A14" t="s">
        <v>343</v>
      </c>
      <c r="B14">
        <v>164</v>
      </c>
      <c r="C14" t="s">
        <v>372</v>
      </c>
      <c r="D14" s="14">
        <v>3.18</v>
      </c>
      <c r="E14" s="14">
        <v>3.18</v>
      </c>
      <c r="F14" s="14">
        <v>0</v>
      </c>
      <c r="G14" s="14">
        <v>15.81</v>
      </c>
      <c r="H14" s="14">
        <v>4.9716981132075473</v>
      </c>
      <c r="I14" s="14">
        <v>0</v>
      </c>
      <c r="J14" s="14">
        <v>0</v>
      </c>
      <c r="K14" s="14">
        <v>3.18</v>
      </c>
      <c r="L14" s="14">
        <v>3.18</v>
      </c>
      <c r="M14" s="14">
        <v>0</v>
      </c>
      <c r="N14" s="14">
        <v>15.81</v>
      </c>
      <c r="O14" s="14">
        <v>4.9716981132075473</v>
      </c>
      <c r="P14" t="s">
        <v>201</v>
      </c>
    </row>
    <row r="15" spans="1:16">
      <c r="A15" t="s">
        <v>486</v>
      </c>
      <c r="B15">
        <v>164</v>
      </c>
      <c r="C15" t="s">
        <v>372</v>
      </c>
      <c r="D15" s="14">
        <v>1</v>
      </c>
      <c r="E15" s="14">
        <v>1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1</v>
      </c>
      <c r="L15" s="14">
        <v>1</v>
      </c>
      <c r="M15" s="14">
        <v>0</v>
      </c>
      <c r="N15" s="14">
        <v>0</v>
      </c>
      <c r="O15" s="14">
        <v>0</v>
      </c>
      <c r="P15" t="s">
        <v>201</v>
      </c>
    </row>
    <row r="16" spans="1:16">
      <c r="A16" t="s">
        <v>492</v>
      </c>
      <c r="B16">
        <v>164</v>
      </c>
      <c r="C16" t="s">
        <v>372</v>
      </c>
      <c r="D16" s="14">
        <v>46</v>
      </c>
      <c r="E16" s="14">
        <v>46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46</v>
      </c>
      <c r="L16" s="14">
        <v>46</v>
      </c>
      <c r="M16" s="14">
        <v>0</v>
      </c>
      <c r="N16" s="14">
        <v>0</v>
      </c>
      <c r="O16" s="14">
        <v>0</v>
      </c>
      <c r="P16" t="s">
        <v>201</v>
      </c>
    </row>
    <row r="17" spans="1:16">
      <c r="A17" t="s">
        <v>495</v>
      </c>
      <c r="B17">
        <v>164</v>
      </c>
      <c r="C17" t="s">
        <v>372</v>
      </c>
      <c r="D17" s="14">
        <v>20</v>
      </c>
      <c r="E17" s="14">
        <v>20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20</v>
      </c>
      <c r="L17" s="14">
        <v>20</v>
      </c>
      <c r="M17" s="14">
        <v>0</v>
      </c>
      <c r="N17" s="14">
        <v>0</v>
      </c>
      <c r="O17" s="14">
        <v>0</v>
      </c>
      <c r="P17" t="s">
        <v>201</v>
      </c>
    </row>
    <row r="18" spans="1:16">
      <c r="A18" t="s">
        <v>497</v>
      </c>
      <c r="B18">
        <v>164</v>
      </c>
      <c r="C18" t="s">
        <v>372</v>
      </c>
      <c r="D18" s="14">
        <v>230</v>
      </c>
      <c r="E18" s="14">
        <v>230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230</v>
      </c>
      <c r="L18" s="14">
        <v>230</v>
      </c>
      <c r="M18" s="14">
        <v>0</v>
      </c>
      <c r="N18" s="14">
        <v>0</v>
      </c>
      <c r="O18" s="14">
        <v>0</v>
      </c>
      <c r="P18" t="s">
        <v>201</v>
      </c>
    </row>
    <row r="19" spans="1:16">
      <c r="A19" t="s">
        <v>499</v>
      </c>
      <c r="B19">
        <v>164</v>
      </c>
      <c r="C19" t="s">
        <v>372</v>
      </c>
      <c r="D19" s="14">
        <v>82</v>
      </c>
      <c r="E19" s="14">
        <v>82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82</v>
      </c>
      <c r="L19" s="14">
        <v>82</v>
      </c>
      <c r="M19" s="14">
        <v>0</v>
      </c>
      <c r="N19" s="14">
        <v>0</v>
      </c>
      <c r="O19" s="14">
        <v>0</v>
      </c>
      <c r="P19" t="s">
        <v>201</v>
      </c>
    </row>
    <row r="20" spans="1:16">
      <c r="A20" t="s">
        <v>501</v>
      </c>
      <c r="B20">
        <v>164</v>
      </c>
      <c r="C20" t="s">
        <v>372</v>
      </c>
      <c r="D20" s="14">
        <v>485</v>
      </c>
      <c r="E20" s="14">
        <v>485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485</v>
      </c>
      <c r="L20" s="14">
        <v>485</v>
      </c>
      <c r="M20" s="14">
        <v>0</v>
      </c>
      <c r="N20" s="14">
        <v>0</v>
      </c>
      <c r="O20" s="14">
        <v>0</v>
      </c>
      <c r="P20" t="s">
        <v>201</v>
      </c>
    </row>
    <row r="21" spans="1:16">
      <c r="A21" t="s">
        <v>507</v>
      </c>
      <c r="B21">
        <v>164</v>
      </c>
      <c r="C21" t="s">
        <v>372</v>
      </c>
      <c r="D21" s="14">
        <v>19</v>
      </c>
      <c r="E21" s="14">
        <v>19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19</v>
      </c>
      <c r="L21" s="14">
        <v>19</v>
      </c>
      <c r="M21" s="14">
        <v>0</v>
      </c>
      <c r="N21" s="14">
        <v>0</v>
      </c>
      <c r="O21" s="14">
        <v>0</v>
      </c>
      <c r="P21" t="s">
        <v>201</v>
      </c>
    </row>
    <row r="22" spans="1:16">
      <c r="A22" t="s">
        <v>509</v>
      </c>
      <c r="B22">
        <v>164</v>
      </c>
      <c r="C22" t="s">
        <v>372</v>
      </c>
      <c r="D22" s="14">
        <v>40</v>
      </c>
      <c r="E22" s="14">
        <v>40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40</v>
      </c>
      <c r="L22" s="14">
        <v>40</v>
      </c>
      <c r="M22" s="14">
        <v>0</v>
      </c>
      <c r="N22" s="14">
        <v>0</v>
      </c>
      <c r="O22" s="14">
        <v>0</v>
      </c>
      <c r="P22" t="s">
        <v>201</v>
      </c>
    </row>
    <row r="23" spans="1:16">
      <c r="A23" t="s">
        <v>511</v>
      </c>
      <c r="B23">
        <v>164</v>
      </c>
      <c r="C23" t="s">
        <v>372</v>
      </c>
      <c r="D23" s="14">
        <v>30</v>
      </c>
      <c r="E23" s="14">
        <v>30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30</v>
      </c>
      <c r="L23" s="14">
        <v>30</v>
      </c>
      <c r="M23" s="14">
        <v>0</v>
      </c>
      <c r="N23" s="14">
        <v>0</v>
      </c>
      <c r="O23" s="14">
        <v>0</v>
      </c>
      <c r="P23" t="s">
        <v>201</v>
      </c>
    </row>
    <row r="24" spans="1:16">
      <c r="A24" t="s">
        <v>513</v>
      </c>
      <c r="B24">
        <v>164</v>
      </c>
      <c r="C24" t="s">
        <v>372</v>
      </c>
      <c r="D24" s="14">
        <v>1</v>
      </c>
      <c r="E24" s="14">
        <v>1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1</v>
      </c>
      <c r="L24" s="14">
        <v>1</v>
      </c>
      <c r="M24" s="14">
        <v>0</v>
      </c>
      <c r="N24" s="14">
        <v>0</v>
      </c>
      <c r="O24" s="14">
        <v>0</v>
      </c>
      <c r="P24" t="s">
        <v>201</v>
      </c>
    </row>
    <row r="25" spans="1:16">
      <c r="A25" t="s">
        <v>519</v>
      </c>
      <c r="B25">
        <v>164</v>
      </c>
      <c r="C25" t="s">
        <v>372</v>
      </c>
      <c r="D25" s="14">
        <v>2700</v>
      </c>
      <c r="E25" s="14">
        <v>2700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2700</v>
      </c>
      <c r="L25" s="14">
        <v>2700</v>
      </c>
      <c r="M25" s="14">
        <v>0</v>
      </c>
      <c r="N25" s="14">
        <v>0</v>
      </c>
      <c r="O25" s="14">
        <v>0</v>
      </c>
      <c r="P25" t="s">
        <v>201</v>
      </c>
    </row>
    <row r="26" spans="1:16">
      <c r="A26" t="s">
        <v>521</v>
      </c>
      <c r="B26">
        <v>164</v>
      </c>
      <c r="C26" t="s">
        <v>372</v>
      </c>
      <c r="D26" s="14">
        <v>120</v>
      </c>
      <c r="E26" s="14">
        <v>120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120</v>
      </c>
      <c r="L26" s="14">
        <v>120</v>
      </c>
      <c r="M26" s="14">
        <v>0</v>
      </c>
      <c r="N26" s="14">
        <v>0</v>
      </c>
      <c r="O26" s="14">
        <v>0</v>
      </c>
      <c r="P26" t="s">
        <v>201</v>
      </c>
    </row>
    <row r="27" spans="1:16">
      <c r="A27" t="s">
        <v>527</v>
      </c>
      <c r="B27">
        <v>164</v>
      </c>
      <c r="C27" t="s">
        <v>372</v>
      </c>
      <c r="D27" s="14">
        <v>1680</v>
      </c>
      <c r="E27" s="14">
        <v>1680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1680</v>
      </c>
      <c r="L27" s="14">
        <v>1680</v>
      </c>
      <c r="M27" s="14">
        <v>0</v>
      </c>
      <c r="N27" s="14">
        <v>0</v>
      </c>
      <c r="O27" s="14">
        <v>0</v>
      </c>
      <c r="P27" t="s">
        <v>201</v>
      </c>
    </row>
    <row r="28" spans="1:16">
      <c r="A28" t="s">
        <v>529</v>
      </c>
      <c r="B28">
        <v>164</v>
      </c>
      <c r="C28" t="s">
        <v>372</v>
      </c>
      <c r="D28" s="14">
        <v>920</v>
      </c>
      <c r="E28" s="14">
        <v>920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920</v>
      </c>
      <c r="L28" s="14">
        <v>920</v>
      </c>
      <c r="M28" s="14">
        <v>0</v>
      </c>
      <c r="N28" s="14">
        <v>0</v>
      </c>
      <c r="O28" s="14">
        <v>0</v>
      </c>
      <c r="P28" t="s">
        <v>201</v>
      </c>
    </row>
    <row r="29" spans="1:16">
      <c r="A29" t="s">
        <v>541</v>
      </c>
      <c r="B29">
        <v>164</v>
      </c>
      <c r="C29" t="s">
        <v>372</v>
      </c>
      <c r="D29" s="14">
        <v>23</v>
      </c>
      <c r="E29" s="14">
        <v>23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23</v>
      </c>
      <c r="L29" s="14">
        <v>23</v>
      </c>
      <c r="M29" s="14">
        <v>0</v>
      </c>
      <c r="N29" s="14">
        <v>0</v>
      </c>
      <c r="O29" s="14">
        <v>0</v>
      </c>
      <c r="P29" t="s">
        <v>201</v>
      </c>
    </row>
    <row r="30" spans="1:16">
      <c r="A30" t="s">
        <v>544</v>
      </c>
      <c r="B30">
        <v>164</v>
      </c>
      <c r="C30" t="s">
        <v>372</v>
      </c>
      <c r="D30" s="14">
        <v>4485</v>
      </c>
      <c r="E30" s="14">
        <v>4485</v>
      </c>
      <c r="F30" s="14">
        <v>0</v>
      </c>
      <c r="G30" s="14">
        <v>-3.3379195479999999E-3</v>
      </c>
      <c r="H30" s="14">
        <v>-7.442407018952062E-7</v>
      </c>
      <c r="I30" s="14">
        <v>0</v>
      </c>
      <c r="J30" s="14">
        <v>0</v>
      </c>
      <c r="K30" s="14">
        <v>4485</v>
      </c>
      <c r="L30" s="14">
        <v>4485</v>
      </c>
      <c r="M30" s="14">
        <v>0</v>
      </c>
      <c r="N30" s="14">
        <v>-3.3379195479999999E-3</v>
      </c>
      <c r="O30" s="14">
        <v>-7.442407018952062E-7</v>
      </c>
      <c r="P30" t="s">
        <v>201</v>
      </c>
    </row>
    <row r="31" spans="1:16">
      <c r="A31" t="s">
        <v>19</v>
      </c>
      <c r="B31">
        <v>164</v>
      </c>
      <c r="C31" t="s">
        <v>372</v>
      </c>
      <c r="D31" s="14">
        <v>12028</v>
      </c>
      <c r="E31" s="14">
        <v>12028</v>
      </c>
      <c r="F31" s="14">
        <v>0</v>
      </c>
      <c r="G31" s="14">
        <v>6351.6118887821804</v>
      </c>
      <c r="H31" s="14">
        <v>0.52806883012821582</v>
      </c>
      <c r="I31" s="14">
        <v>0</v>
      </c>
      <c r="J31" s="14">
        <v>0</v>
      </c>
      <c r="K31" s="14">
        <v>12028</v>
      </c>
      <c r="L31" s="14">
        <v>12028</v>
      </c>
      <c r="M31" s="14">
        <v>0</v>
      </c>
      <c r="N31" s="14">
        <v>6351.6118887821804</v>
      </c>
      <c r="O31" s="14">
        <v>0.52806883012821582</v>
      </c>
      <c r="P31" t="s">
        <v>201</v>
      </c>
    </row>
    <row r="32" spans="1:16">
      <c r="A32" t="s">
        <v>554</v>
      </c>
      <c r="B32">
        <v>164</v>
      </c>
      <c r="C32" t="s">
        <v>372</v>
      </c>
      <c r="D32" s="14">
        <v>48.75</v>
      </c>
      <c r="E32" s="14">
        <v>48.75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48.75</v>
      </c>
      <c r="L32" s="14">
        <v>48.75</v>
      </c>
      <c r="M32" s="14">
        <v>0</v>
      </c>
      <c r="N32" s="14">
        <v>0</v>
      </c>
      <c r="O32" s="14">
        <v>0</v>
      </c>
      <c r="P32" t="s">
        <v>201</v>
      </c>
    </row>
    <row r="33" spans="1:16">
      <c r="A33" t="s">
        <v>555</v>
      </c>
      <c r="B33">
        <v>164</v>
      </c>
      <c r="C33" t="s">
        <v>372</v>
      </c>
      <c r="D33" s="14">
        <v>4221</v>
      </c>
      <c r="E33" s="14">
        <v>4221</v>
      </c>
      <c r="F33" s="14">
        <v>0</v>
      </c>
      <c r="G33" s="14">
        <v>1581.3112150380712</v>
      </c>
      <c r="H33" s="14">
        <v>0.37462952263398985</v>
      </c>
      <c r="I33" s="14">
        <v>0</v>
      </c>
      <c r="J33" s="14">
        <v>0</v>
      </c>
      <c r="K33" s="14">
        <v>4221</v>
      </c>
      <c r="L33" s="14">
        <v>4221</v>
      </c>
      <c r="M33" s="14">
        <v>0</v>
      </c>
      <c r="N33" s="14">
        <v>1581.3112150380712</v>
      </c>
      <c r="O33" s="14">
        <v>0.37462952263398985</v>
      </c>
      <c r="P33" t="s">
        <v>201</v>
      </c>
    </row>
    <row r="34" spans="1:16">
      <c r="A34" t="s">
        <v>556</v>
      </c>
      <c r="B34">
        <v>164</v>
      </c>
      <c r="C34" t="s">
        <v>372</v>
      </c>
      <c r="D34" s="14">
        <v>12300</v>
      </c>
      <c r="E34" s="14">
        <v>12300</v>
      </c>
      <c r="F34" s="14">
        <v>0</v>
      </c>
      <c r="G34" s="14">
        <v>14360.091285114779</v>
      </c>
      <c r="H34" s="14">
        <v>1.1674870963507951</v>
      </c>
      <c r="I34" s="14">
        <v>0</v>
      </c>
      <c r="J34" s="14">
        <v>0</v>
      </c>
      <c r="K34" s="14">
        <v>12300</v>
      </c>
      <c r="L34" s="14">
        <v>12300</v>
      </c>
      <c r="M34" s="14">
        <v>0</v>
      </c>
      <c r="N34" s="14">
        <v>14360.091285114779</v>
      </c>
      <c r="O34" s="14">
        <v>1.1674870963507951</v>
      </c>
      <c r="P34" t="s">
        <v>201</v>
      </c>
    </row>
    <row r="35" spans="1:16">
      <c r="A35" t="s">
        <v>557</v>
      </c>
      <c r="B35">
        <v>164</v>
      </c>
      <c r="C35" t="s">
        <v>372</v>
      </c>
      <c r="D35" s="14">
        <v>7875</v>
      </c>
      <c r="E35" s="14">
        <v>7875</v>
      </c>
      <c r="F35" s="14">
        <v>0</v>
      </c>
      <c r="G35" s="14">
        <v>2553.0517978092985</v>
      </c>
      <c r="H35" s="14">
        <v>0.32419705369006963</v>
      </c>
      <c r="I35" s="14">
        <v>0</v>
      </c>
      <c r="J35" s="14">
        <v>0</v>
      </c>
      <c r="K35" s="14">
        <v>7875</v>
      </c>
      <c r="L35" s="14">
        <v>7875</v>
      </c>
      <c r="M35" s="14">
        <v>0</v>
      </c>
      <c r="N35" s="14">
        <v>2553.0517978092985</v>
      </c>
      <c r="O35" s="14">
        <v>0.32419705369006963</v>
      </c>
      <c r="P35" t="s">
        <v>201</v>
      </c>
    </row>
    <row r="36" spans="1:16">
      <c r="A36" t="s">
        <v>18</v>
      </c>
      <c r="B36">
        <v>164</v>
      </c>
      <c r="C36" t="s">
        <v>372</v>
      </c>
      <c r="D36" s="14">
        <v>25545</v>
      </c>
      <c r="E36" s="14">
        <v>25545</v>
      </c>
      <c r="F36" s="14">
        <v>0</v>
      </c>
      <c r="G36" s="14">
        <v>36205.138663510705</v>
      </c>
      <c r="H36" s="14">
        <v>1.4173082271877355</v>
      </c>
      <c r="I36" s="14">
        <v>0</v>
      </c>
      <c r="J36" s="14">
        <v>0</v>
      </c>
      <c r="K36" s="14">
        <v>25545</v>
      </c>
      <c r="L36" s="14">
        <v>25545</v>
      </c>
      <c r="M36" s="14">
        <v>0</v>
      </c>
      <c r="N36" s="14">
        <v>36205.138663510705</v>
      </c>
      <c r="O36" s="14">
        <v>1.4173082271877355</v>
      </c>
      <c r="P36" t="s">
        <v>201</v>
      </c>
    </row>
    <row r="37" spans="1:16">
      <c r="A37" t="s">
        <v>336</v>
      </c>
      <c r="B37">
        <v>164</v>
      </c>
      <c r="C37" t="s">
        <v>372</v>
      </c>
      <c r="D37" s="14">
        <v>8775</v>
      </c>
      <c r="E37" s="14">
        <v>8775</v>
      </c>
      <c r="F37" s="14">
        <v>0</v>
      </c>
      <c r="G37" s="14">
        <v>3285.3282296960024</v>
      </c>
      <c r="H37" s="14">
        <v>0.3743963794525359</v>
      </c>
      <c r="I37" s="14">
        <v>0</v>
      </c>
      <c r="J37" s="14">
        <v>0</v>
      </c>
      <c r="K37" s="14">
        <v>8775</v>
      </c>
      <c r="L37" s="14">
        <v>8775</v>
      </c>
      <c r="M37" s="14">
        <v>0</v>
      </c>
      <c r="N37" s="14">
        <v>3285.3282296960024</v>
      </c>
      <c r="O37" s="14">
        <v>0.3743963794525359</v>
      </c>
      <c r="P37" t="s">
        <v>201</v>
      </c>
    </row>
    <row r="38" spans="1:16">
      <c r="A38" t="s">
        <v>404</v>
      </c>
      <c r="B38">
        <v>164</v>
      </c>
      <c r="C38" t="s">
        <v>372</v>
      </c>
      <c r="D38" s="14">
        <v>2632.5</v>
      </c>
      <c r="E38" s="14">
        <v>2632.5</v>
      </c>
      <c r="F38" s="14">
        <v>0</v>
      </c>
      <c r="G38" s="14">
        <v>5647.0456398804963</v>
      </c>
      <c r="H38" s="14">
        <v>2.1451265488624869</v>
      </c>
      <c r="I38" s="14">
        <v>25350</v>
      </c>
      <c r="J38" s="14">
        <v>25350</v>
      </c>
      <c r="K38" s="14">
        <v>27982.5</v>
      </c>
      <c r="L38" s="14">
        <v>27982.5</v>
      </c>
      <c r="M38" s="14">
        <v>0</v>
      </c>
      <c r="N38" s="14">
        <v>71443.985639880484</v>
      </c>
      <c r="O38" s="14">
        <v>2.5531666448630568</v>
      </c>
      <c r="P38" t="s">
        <v>201</v>
      </c>
    </row>
    <row r="39" spans="1:16">
      <c r="A39" t="s">
        <v>22</v>
      </c>
      <c r="B39">
        <v>164</v>
      </c>
      <c r="C39" t="s">
        <v>372</v>
      </c>
      <c r="D39" s="14">
        <v>195.96000000000004</v>
      </c>
      <c r="E39" s="14">
        <v>195.96000000000004</v>
      </c>
      <c r="F39" s="14">
        <v>0</v>
      </c>
      <c r="G39" s="14">
        <v>271.26689216528621</v>
      </c>
      <c r="H39" s="14">
        <v>1.3842972655913766</v>
      </c>
      <c r="I39" s="14">
        <v>0</v>
      </c>
      <c r="J39" s="14">
        <v>0</v>
      </c>
      <c r="K39" s="14">
        <v>195.96000000000004</v>
      </c>
      <c r="L39" s="14">
        <v>195.96000000000004</v>
      </c>
      <c r="M39" s="14">
        <v>0</v>
      </c>
      <c r="N39" s="14">
        <v>271.26689216528621</v>
      </c>
      <c r="O39" s="14">
        <v>1.3842972655913766</v>
      </c>
      <c r="P39" t="s">
        <v>201</v>
      </c>
    </row>
    <row r="40" spans="1:16">
      <c r="A40" t="s">
        <v>62</v>
      </c>
      <c r="B40">
        <v>164</v>
      </c>
      <c r="C40" t="s">
        <v>372</v>
      </c>
      <c r="D40" s="14">
        <v>300</v>
      </c>
      <c r="E40" s="14">
        <v>300</v>
      </c>
      <c r="F40" s="14">
        <v>0</v>
      </c>
      <c r="G40" s="14">
        <v>1215.31</v>
      </c>
      <c r="H40" s="14">
        <v>4.0510333333333328</v>
      </c>
      <c r="I40" s="14">
        <v>-300</v>
      </c>
      <c r="J40" s="14">
        <v>-300</v>
      </c>
      <c r="K40" s="14">
        <v>0</v>
      </c>
      <c r="L40" s="14">
        <v>0</v>
      </c>
      <c r="M40" s="14">
        <v>0</v>
      </c>
      <c r="N40" s="14">
        <v>0.01</v>
      </c>
      <c r="O40" s="14">
        <v>0</v>
      </c>
      <c r="P40" t="s">
        <v>201</v>
      </c>
    </row>
    <row r="41" spans="1:16">
      <c r="A41" t="s">
        <v>63</v>
      </c>
      <c r="B41">
        <v>164</v>
      </c>
      <c r="C41" t="s">
        <v>372</v>
      </c>
      <c r="D41" s="14">
        <v>1.9500000000000455</v>
      </c>
      <c r="E41" s="14">
        <v>1.9500000000000455</v>
      </c>
      <c r="F41" s="14">
        <v>0</v>
      </c>
      <c r="G41" s="14">
        <v>3.2325466286065421</v>
      </c>
      <c r="H41" s="14">
        <v>1.6577162197981881</v>
      </c>
      <c r="I41" s="14">
        <v>0</v>
      </c>
      <c r="J41" s="14">
        <v>0</v>
      </c>
      <c r="K41" s="14">
        <v>1.9500000000000455</v>
      </c>
      <c r="L41" s="14">
        <v>1.9500000000000455</v>
      </c>
      <c r="M41" s="14">
        <v>0</v>
      </c>
      <c r="N41" s="14">
        <v>3.2325466286065421</v>
      </c>
      <c r="O41" s="14">
        <v>1.6577162197981881</v>
      </c>
      <c r="P41" t="s">
        <v>201</v>
      </c>
    </row>
    <row r="42" spans="1:16">
      <c r="A42" t="s">
        <v>23</v>
      </c>
      <c r="B42">
        <v>164</v>
      </c>
      <c r="C42" t="s">
        <v>372</v>
      </c>
      <c r="D42" s="14">
        <v>10.800000000000011</v>
      </c>
      <c r="E42" s="14">
        <v>10.799999999999955</v>
      </c>
      <c r="F42" s="14">
        <v>5.6843418860808015E-14</v>
      </c>
      <c r="G42" s="14">
        <v>229.50056120610861</v>
      </c>
      <c r="H42" s="14">
        <v>21.250051963528666</v>
      </c>
      <c r="I42" s="14">
        <v>0</v>
      </c>
      <c r="J42" s="14">
        <v>0</v>
      </c>
      <c r="K42" s="14">
        <v>10.800000000000011</v>
      </c>
      <c r="L42" s="14">
        <v>10.799999999999955</v>
      </c>
      <c r="M42" s="14">
        <v>5.6843418860808015E-14</v>
      </c>
      <c r="N42" s="14">
        <v>229.50056120610861</v>
      </c>
      <c r="O42" s="14">
        <v>21.250051963528666</v>
      </c>
      <c r="P42" t="s">
        <v>201</v>
      </c>
    </row>
    <row r="43" spans="1:16">
      <c r="A43" t="s">
        <v>353</v>
      </c>
      <c r="B43">
        <v>164</v>
      </c>
      <c r="C43" t="s">
        <v>372</v>
      </c>
      <c r="D43" s="14">
        <v>270</v>
      </c>
      <c r="E43" s="14">
        <v>270</v>
      </c>
      <c r="F43" s="14">
        <v>0</v>
      </c>
      <c r="G43" s="14">
        <v>198.88912429392502</v>
      </c>
      <c r="H43" s="14">
        <v>0.7366263862737964</v>
      </c>
      <c r="I43" s="14">
        <v>0</v>
      </c>
      <c r="J43" s="14">
        <v>0</v>
      </c>
      <c r="K43" s="14">
        <v>270</v>
      </c>
      <c r="L43" s="14">
        <v>270</v>
      </c>
      <c r="M43" s="14">
        <v>0</v>
      </c>
      <c r="N43" s="14">
        <v>198.88912429392502</v>
      </c>
      <c r="O43" s="14">
        <v>0.7366263862737964</v>
      </c>
      <c r="P43" t="s">
        <v>201</v>
      </c>
    </row>
    <row r="44" spans="1:16">
      <c r="A44" t="s">
        <v>15</v>
      </c>
      <c r="B44">
        <v>164</v>
      </c>
      <c r="C44" t="s">
        <v>372</v>
      </c>
      <c r="D44" s="14">
        <v>7275</v>
      </c>
      <c r="E44" s="14">
        <v>7275</v>
      </c>
      <c r="F44" s="14">
        <v>0</v>
      </c>
      <c r="G44" s="14">
        <v>1065.1232343297288</v>
      </c>
      <c r="H44" s="14">
        <v>0.14640869200408643</v>
      </c>
      <c r="I44" s="14">
        <v>0</v>
      </c>
      <c r="J44" s="14">
        <v>0</v>
      </c>
      <c r="K44" s="14">
        <v>7275</v>
      </c>
      <c r="L44" s="14">
        <v>7275</v>
      </c>
      <c r="M44" s="14">
        <v>0</v>
      </c>
      <c r="N44" s="14">
        <v>1065.1232343297288</v>
      </c>
      <c r="O44" s="14">
        <v>0.14640869200408643</v>
      </c>
      <c r="P44" t="s">
        <v>201</v>
      </c>
    </row>
    <row r="45" spans="1:16">
      <c r="A45" t="s">
        <v>337</v>
      </c>
      <c r="B45">
        <v>164</v>
      </c>
      <c r="C45" t="s">
        <v>372</v>
      </c>
      <c r="D45" s="14">
        <v>8148</v>
      </c>
      <c r="E45" s="14">
        <v>8148</v>
      </c>
      <c r="F45" s="14">
        <v>0</v>
      </c>
      <c r="G45" s="14">
        <v>1011.65195406813</v>
      </c>
      <c r="H45" s="14">
        <v>0.124159542718229</v>
      </c>
      <c r="I45" s="14">
        <v>0</v>
      </c>
      <c r="J45" s="14">
        <v>0</v>
      </c>
      <c r="K45" s="14">
        <v>8148</v>
      </c>
      <c r="L45" s="14">
        <v>8148</v>
      </c>
      <c r="M45" s="14">
        <v>0</v>
      </c>
      <c r="N45" s="14">
        <v>1011.65195406813</v>
      </c>
      <c r="O45" s="14">
        <v>0.124159542718229</v>
      </c>
      <c r="P45" t="s">
        <v>201</v>
      </c>
    </row>
    <row r="46" spans="1:16">
      <c r="A46" t="s">
        <v>337</v>
      </c>
      <c r="B46">
        <v>164</v>
      </c>
      <c r="C46" t="s">
        <v>748</v>
      </c>
      <c r="D46" s="14">
        <v>0</v>
      </c>
      <c r="E46" s="14">
        <v>1212.5</v>
      </c>
      <c r="F46" s="14">
        <v>-1212.5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1212.5</v>
      </c>
      <c r="M46" s="14">
        <v>-1212.5</v>
      </c>
      <c r="N46" s="14">
        <v>0</v>
      </c>
      <c r="O46" s="14">
        <v>0</v>
      </c>
      <c r="P46" t="s">
        <v>201</v>
      </c>
    </row>
    <row r="47" spans="1:16">
      <c r="A47" t="s">
        <v>591</v>
      </c>
      <c r="B47">
        <v>164</v>
      </c>
      <c r="C47" t="s">
        <v>372</v>
      </c>
      <c r="D47" s="14">
        <v>15374.5</v>
      </c>
      <c r="E47" s="14">
        <v>15374.5</v>
      </c>
      <c r="F47" s="14">
        <v>0</v>
      </c>
      <c r="G47" s="14">
        <v>2102.0887144953804</v>
      </c>
      <c r="H47" s="14">
        <v>0.13672566356599436</v>
      </c>
      <c r="I47" s="14">
        <v>0</v>
      </c>
      <c r="J47" s="14">
        <v>0</v>
      </c>
      <c r="K47" s="14">
        <v>15374.5</v>
      </c>
      <c r="L47" s="14">
        <v>15374.5</v>
      </c>
      <c r="M47" s="14">
        <v>0</v>
      </c>
      <c r="N47" s="14">
        <v>2102.0887144953804</v>
      </c>
      <c r="O47" s="14">
        <v>0.13672566356599436</v>
      </c>
      <c r="P47" t="s">
        <v>201</v>
      </c>
    </row>
    <row r="48" spans="1:16">
      <c r="A48" t="s">
        <v>214</v>
      </c>
      <c r="B48">
        <v>164</v>
      </c>
      <c r="C48" t="s">
        <v>372</v>
      </c>
      <c r="D48" s="14">
        <v>20</v>
      </c>
      <c r="E48" s="14">
        <v>20</v>
      </c>
      <c r="F48" s="14">
        <v>0</v>
      </c>
      <c r="G48" s="14">
        <v>22.379387350239998</v>
      </c>
      <c r="H48" s="14">
        <v>1.1189693675119998</v>
      </c>
      <c r="I48" s="14">
        <v>0</v>
      </c>
      <c r="J48" s="14">
        <v>0</v>
      </c>
      <c r="K48" s="14">
        <v>20</v>
      </c>
      <c r="L48" s="14">
        <v>20</v>
      </c>
      <c r="M48" s="14">
        <v>0</v>
      </c>
      <c r="N48" s="14">
        <v>22.379387350239998</v>
      </c>
      <c r="O48" s="14">
        <v>1.1189693675119998</v>
      </c>
      <c r="P48" t="s">
        <v>201</v>
      </c>
    </row>
    <row r="49" spans="1:16">
      <c r="A49" t="s">
        <v>598</v>
      </c>
      <c r="B49">
        <v>164</v>
      </c>
      <c r="C49" t="s">
        <v>372</v>
      </c>
      <c r="D49" s="14">
        <v>21600</v>
      </c>
      <c r="E49" s="14">
        <v>21600</v>
      </c>
      <c r="F49" s="14">
        <v>0</v>
      </c>
      <c r="G49" s="14">
        <v>9267.7672369511802</v>
      </c>
      <c r="H49" s="14">
        <v>0.42906329800699911</v>
      </c>
      <c r="I49" s="14">
        <v>0</v>
      </c>
      <c r="J49" s="14">
        <v>0</v>
      </c>
      <c r="K49" s="14">
        <v>21600</v>
      </c>
      <c r="L49" s="14">
        <v>21600</v>
      </c>
      <c r="M49" s="14">
        <v>0</v>
      </c>
      <c r="N49" s="14">
        <v>9267.7672369511802</v>
      </c>
      <c r="O49" s="14">
        <v>0.42906329800699911</v>
      </c>
      <c r="P49" t="s">
        <v>201</v>
      </c>
    </row>
    <row r="50" spans="1:16">
      <c r="A50" t="s">
        <v>167</v>
      </c>
      <c r="B50">
        <v>164</v>
      </c>
      <c r="C50" t="s">
        <v>372</v>
      </c>
      <c r="D50" s="14">
        <v>0</v>
      </c>
      <c r="E50" s="14">
        <v>0</v>
      </c>
      <c r="F50" s="14">
        <v>0</v>
      </c>
      <c r="G50" s="14">
        <v>-1.4667019713670015E-3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-1.4667019713670015E-3</v>
      </c>
      <c r="O50" s="14">
        <v>0</v>
      </c>
      <c r="P50" t="s">
        <v>201</v>
      </c>
    </row>
    <row r="51" spans="1:16">
      <c r="A51" t="s">
        <v>167</v>
      </c>
      <c r="B51">
        <v>164</v>
      </c>
      <c r="C51" t="s">
        <v>748</v>
      </c>
      <c r="D51" s="14">
        <v>0</v>
      </c>
      <c r="E51" s="14">
        <v>675</v>
      </c>
      <c r="F51" s="14">
        <v>-675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675</v>
      </c>
      <c r="M51" s="14">
        <v>-675</v>
      </c>
      <c r="N51" s="14">
        <v>0</v>
      </c>
      <c r="O51" s="14">
        <v>0</v>
      </c>
      <c r="P51" t="s">
        <v>201</v>
      </c>
    </row>
    <row r="52" spans="1:16">
      <c r="A52" t="s">
        <v>599</v>
      </c>
      <c r="B52">
        <v>164</v>
      </c>
      <c r="C52" t="s">
        <v>372</v>
      </c>
      <c r="D52" s="14">
        <v>17250</v>
      </c>
      <c r="E52" s="14">
        <v>17250</v>
      </c>
      <c r="F52" s="14">
        <v>0</v>
      </c>
      <c r="G52" s="14">
        <v>8824.1516706039802</v>
      </c>
      <c r="H52" s="14">
        <v>0.51154502438283944</v>
      </c>
      <c r="I52" s="14">
        <v>0</v>
      </c>
      <c r="J52" s="14">
        <v>0</v>
      </c>
      <c r="K52" s="14">
        <v>17250</v>
      </c>
      <c r="L52" s="14">
        <v>17250</v>
      </c>
      <c r="M52" s="14">
        <v>0</v>
      </c>
      <c r="N52" s="14">
        <v>8824.1516706039802</v>
      </c>
      <c r="O52" s="14">
        <v>0.51154502438283944</v>
      </c>
      <c r="P52" t="s">
        <v>201</v>
      </c>
    </row>
    <row r="53" spans="1:16">
      <c r="A53" t="s">
        <v>599</v>
      </c>
      <c r="B53">
        <v>164</v>
      </c>
      <c r="C53" t="s">
        <v>748</v>
      </c>
      <c r="D53" s="14">
        <v>0</v>
      </c>
      <c r="E53" s="14">
        <v>6075</v>
      </c>
      <c r="F53" s="14">
        <v>-6075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6075</v>
      </c>
      <c r="M53" s="14">
        <v>-6075</v>
      </c>
      <c r="N53" s="14">
        <v>0</v>
      </c>
      <c r="O53" s="14">
        <v>0</v>
      </c>
      <c r="P53" t="s">
        <v>201</v>
      </c>
    </row>
    <row r="54" spans="1:16">
      <c r="A54" t="s">
        <v>16</v>
      </c>
      <c r="B54">
        <v>164</v>
      </c>
      <c r="C54" t="s">
        <v>372</v>
      </c>
      <c r="D54" s="14">
        <v>27690</v>
      </c>
      <c r="E54" s="14">
        <v>27690</v>
      </c>
      <c r="F54" s="14">
        <v>0</v>
      </c>
      <c r="G54" s="14">
        <v>10767.16040908373</v>
      </c>
      <c r="H54" s="14">
        <v>0.38884652976105921</v>
      </c>
      <c r="I54" s="14">
        <v>0</v>
      </c>
      <c r="J54" s="14">
        <v>0</v>
      </c>
      <c r="K54" s="14">
        <v>27690</v>
      </c>
      <c r="L54" s="14">
        <v>27690</v>
      </c>
      <c r="M54" s="14">
        <v>0</v>
      </c>
      <c r="N54" s="14">
        <v>10767.16040908373</v>
      </c>
      <c r="O54" s="14">
        <v>0.38884652976105921</v>
      </c>
      <c r="P54" t="s">
        <v>201</v>
      </c>
    </row>
    <row r="55" spans="1:16">
      <c r="A55" t="s">
        <v>338</v>
      </c>
      <c r="B55">
        <v>164</v>
      </c>
      <c r="C55" t="s">
        <v>372</v>
      </c>
      <c r="D55" s="14">
        <v>6630</v>
      </c>
      <c r="E55" s="14">
        <v>6630</v>
      </c>
      <c r="F55" s="14">
        <v>0</v>
      </c>
      <c r="G55" s="14">
        <v>1453.5860569331016</v>
      </c>
      <c r="H55" s="14">
        <v>0.21924374916034717</v>
      </c>
      <c r="I55" s="14">
        <v>0</v>
      </c>
      <c r="J55" s="14">
        <v>0</v>
      </c>
      <c r="K55" s="14">
        <v>6630</v>
      </c>
      <c r="L55" s="14">
        <v>6630</v>
      </c>
      <c r="M55" s="14">
        <v>0</v>
      </c>
      <c r="N55" s="14">
        <v>1453.5860569331016</v>
      </c>
      <c r="O55" s="14">
        <v>0.21924374916034717</v>
      </c>
      <c r="P55" t="s">
        <v>201</v>
      </c>
    </row>
    <row r="56" spans="1:16">
      <c r="A56" t="s">
        <v>338</v>
      </c>
      <c r="B56">
        <v>164</v>
      </c>
      <c r="C56" t="s">
        <v>748</v>
      </c>
      <c r="D56" s="14">
        <v>0</v>
      </c>
      <c r="E56" s="14">
        <v>7215</v>
      </c>
      <c r="F56" s="14">
        <v>-7215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7215</v>
      </c>
      <c r="M56" s="14">
        <v>-7215</v>
      </c>
      <c r="N56" s="14">
        <v>0</v>
      </c>
      <c r="O56" s="14">
        <v>0</v>
      </c>
      <c r="P56" t="s">
        <v>201</v>
      </c>
    </row>
    <row r="57" spans="1:16">
      <c r="A57" t="s">
        <v>602</v>
      </c>
      <c r="B57">
        <v>164</v>
      </c>
      <c r="C57" t="s">
        <v>372</v>
      </c>
      <c r="D57" s="14">
        <v>8190</v>
      </c>
      <c r="E57" s="14">
        <v>8190</v>
      </c>
      <c r="F57" s="14">
        <v>0</v>
      </c>
      <c r="G57" s="14">
        <v>4373.2622049872198</v>
      </c>
      <c r="H57" s="14">
        <v>0.53397584920478869</v>
      </c>
      <c r="I57" s="14">
        <v>0</v>
      </c>
      <c r="J57" s="14">
        <v>0</v>
      </c>
      <c r="K57" s="14">
        <v>8190</v>
      </c>
      <c r="L57" s="14">
        <v>8190</v>
      </c>
      <c r="M57" s="14">
        <v>0</v>
      </c>
      <c r="N57" s="14">
        <v>4373.2622049872198</v>
      </c>
      <c r="O57" s="14">
        <v>0.53397584920478869</v>
      </c>
      <c r="P57" t="s">
        <v>201</v>
      </c>
    </row>
    <row r="58" spans="1:16">
      <c r="A58" t="s">
        <v>604</v>
      </c>
      <c r="B58">
        <v>164</v>
      </c>
      <c r="C58" t="s">
        <v>372</v>
      </c>
      <c r="D58" s="14">
        <v>8775</v>
      </c>
      <c r="E58" s="14">
        <v>8775</v>
      </c>
      <c r="F58" s="14">
        <v>0</v>
      </c>
      <c r="G58" s="14">
        <v>3146.4827537739297</v>
      </c>
      <c r="H58" s="14">
        <v>0.35857353319361024</v>
      </c>
      <c r="I58" s="14">
        <v>0</v>
      </c>
      <c r="J58" s="14">
        <v>0</v>
      </c>
      <c r="K58" s="14">
        <v>8775</v>
      </c>
      <c r="L58" s="14">
        <v>8775</v>
      </c>
      <c r="M58" s="14">
        <v>0</v>
      </c>
      <c r="N58" s="14">
        <v>3146.4827537739297</v>
      </c>
      <c r="O58" s="14">
        <v>0.35857353319361024</v>
      </c>
      <c r="P58" t="s">
        <v>201</v>
      </c>
    </row>
    <row r="59" spans="1:16">
      <c r="A59" t="s">
        <v>126</v>
      </c>
      <c r="B59">
        <v>164</v>
      </c>
      <c r="C59" t="s">
        <v>372</v>
      </c>
      <c r="D59" s="14">
        <v>403.74</v>
      </c>
      <c r="E59" s="14">
        <v>403.74</v>
      </c>
      <c r="F59" s="14">
        <v>0</v>
      </c>
      <c r="G59" s="14">
        <v>409.44335139528602</v>
      </c>
      <c r="H59" s="14">
        <v>1.0141262976056027</v>
      </c>
      <c r="I59" s="14">
        <v>0</v>
      </c>
      <c r="J59" s="14">
        <v>0</v>
      </c>
      <c r="K59" s="14">
        <v>403.74</v>
      </c>
      <c r="L59" s="14">
        <v>403.74</v>
      </c>
      <c r="M59" s="14">
        <v>0</v>
      </c>
      <c r="N59" s="14">
        <v>409.44335139528602</v>
      </c>
      <c r="O59" s="14">
        <v>1.0141262976056027</v>
      </c>
      <c r="P59" t="s">
        <v>201</v>
      </c>
    </row>
    <row r="60" spans="1:16">
      <c r="A60" t="s">
        <v>356</v>
      </c>
      <c r="B60">
        <v>164</v>
      </c>
      <c r="C60" t="s">
        <v>372</v>
      </c>
      <c r="D60" s="14">
        <v>100.5</v>
      </c>
      <c r="E60" s="14">
        <v>100.5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K60" s="14">
        <v>100.5</v>
      </c>
      <c r="L60" s="14">
        <v>100.5</v>
      </c>
      <c r="M60" s="14">
        <v>0</v>
      </c>
      <c r="N60" s="14">
        <v>0</v>
      </c>
      <c r="O60" s="14">
        <v>0</v>
      </c>
      <c r="P60" t="s">
        <v>201</v>
      </c>
    </row>
    <row r="61" spans="1:16">
      <c r="A61" t="s">
        <v>345</v>
      </c>
      <c r="B61">
        <v>164</v>
      </c>
      <c r="C61" t="s">
        <v>372</v>
      </c>
      <c r="D61" s="14">
        <v>100.5</v>
      </c>
      <c r="E61" s="14">
        <v>100.5</v>
      </c>
      <c r="F61" s="14">
        <v>0</v>
      </c>
      <c r="G61" s="14">
        <v>124.146648604714</v>
      </c>
      <c r="H61" s="14">
        <v>1.235290035867801</v>
      </c>
      <c r="I61" s="14">
        <v>0</v>
      </c>
      <c r="J61" s="14">
        <v>0</v>
      </c>
      <c r="K61" s="14">
        <v>100.5</v>
      </c>
      <c r="L61" s="14">
        <v>100.5</v>
      </c>
      <c r="M61" s="14">
        <v>0</v>
      </c>
      <c r="N61" s="14">
        <v>124.146648604714</v>
      </c>
      <c r="O61" s="14">
        <v>1.235290035867801</v>
      </c>
      <c r="P61" t="s">
        <v>201</v>
      </c>
    </row>
    <row r="62" spans="1:16">
      <c r="A62" t="s">
        <v>64</v>
      </c>
      <c r="B62">
        <v>164</v>
      </c>
      <c r="C62" t="s">
        <v>372</v>
      </c>
      <c r="D62" s="14">
        <v>100</v>
      </c>
      <c r="E62" s="14">
        <v>100</v>
      </c>
      <c r="F62" s="14">
        <v>0</v>
      </c>
      <c r="G62" s="14">
        <v>71.166900066645994</v>
      </c>
      <c r="H62" s="14">
        <v>0.71166900066645988</v>
      </c>
      <c r="I62" s="14">
        <v>0</v>
      </c>
      <c r="J62" s="14">
        <v>0</v>
      </c>
      <c r="K62" s="14">
        <v>100</v>
      </c>
      <c r="L62" s="14">
        <v>100</v>
      </c>
      <c r="M62" s="14">
        <v>0</v>
      </c>
      <c r="N62" s="14">
        <v>71.166900066645994</v>
      </c>
      <c r="O62" s="14">
        <v>0.71166900066645988</v>
      </c>
      <c r="P62" t="s">
        <v>201</v>
      </c>
    </row>
    <row r="63" spans="1:16">
      <c r="A63" t="s">
        <v>90</v>
      </c>
      <c r="B63">
        <v>164</v>
      </c>
      <c r="C63" t="s">
        <v>372</v>
      </c>
      <c r="D63" s="14">
        <v>2724.4</v>
      </c>
      <c r="E63" s="14">
        <v>2724.4</v>
      </c>
      <c r="F63" s="14">
        <v>0</v>
      </c>
      <c r="G63" s="14">
        <v>824.32424739556006</v>
      </c>
      <c r="H63" s="14">
        <v>0.30257093209351049</v>
      </c>
      <c r="I63" s="14">
        <v>0</v>
      </c>
      <c r="J63" s="14">
        <v>0</v>
      </c>
      <c r="K63" s="14">
        <v>2724.4</v>
      </c>
      <c r="L63" s="14">
        <v>2724.4</v>
      </c>
      <c r="M63" s="14">
        <v>0</v>
      </c>
      <c r="N63" s="14">
        <v>824.32424739556006</v>
      </c>
      <c r="O63" s="14">
        <v>0.30257093209351049</v>
      </c>
      <c r="P63" t="s">
        <v>201</v>
      </c>
    </row>
    <row r="64" spans="1:16">
      <c r="A64" t="s">
        <v>65</v>
      </c>
      <c r="B64">
        <v>164</v>
      </c>
      <c r="C64" t="s">
        <v>372</v>
      </c>
      <c r="D64" s="14">
        <v>532</v>
      </c>
      <c r="E64" s="14">
        <v>532</v>
      </c>
      <c r="F64" s="14">
        <v>0</v>
      </c>
      <c r="G64" s="14">
        <v>453.926233610439</v>
      </c>
      <c r="H64" s="14">
        <v>0.85324480001962222</v>
      </c>
      <c r="I64" s="14">
        <v>0</v>
      </c>
      <c r="J64" s="14">
        <v>0</v>
      </c>
      <c r="K64" s="14">
        <v>532</v>
      </c>
      <c r="L64" s="14">
        <v>532</v>
      </c>
      <c r="M64" s="14">
        <v>0</v>
      </c>
      <c r="N64" s="14">
        <v>453.926233610439</v>
      </c>
      <c r="O64" s="14">
        <v>0.85324480001962222</v>
      </c>
      <c r="P64" t="s">
        <v>201</v>
      </c>
    </row>
    <row r="65" spans="1:16">
      <c r="A65" t="s">
        <v>98</v>
      </c>
      <c r="B65">
        <v>164</v>
      </c>
      <c r="C65" t="s">
        <v>372</v>
      </c>
      <c r="D65" s="14">
        <v>797.72</v>
      </c>
      <c r="E65" s="14">
        <v>797.72</v>
      </c>
      <c r="F65" s="14">
        <v>0</v>
      </c>
      <c r="G65" s="14">
        <v>847.70304952822005</v>
      </c>
      <c r="H65" s="14">
        <v>1.0626573854588326</v>
      </c>
      <c r="I65" s="14">
        <v>-12.44</v>
      </c>
      <c r="J65" s="14">
        <v>-12.44</v>
      </c>
      <c r="K65" s="14">
        <v>785.28</v>
      </c>
      <c r="L65" s="14">
        <v>785.28</v>
      </c>
      <c r="M65" s="14">
        <v>0</v>
      </c>
      <c r="N65" s="14">
        <v>834.48304952822002</v>
      </c>
      <c r="O65" s="14">
        <v>1.0626566951001173</v>
      </c>
      <c r="P65" t="s">
        <v>201</v>
      </c>
    </row>
    <row r="66" spans="1:16">
      <c r="A66" t="s">
        <v>50</v>
      </c>
      <c r="B66">
        <v>164</v>
      </c>
      <c r="C66" t="s">
        <v>372</v>
      </c>
      <c r="D66" s="14">
        <v>445.56</v>
      </c>
      <c r="E66" s="14">
        <v>445.56</v>
      </c>
      <c r="F66" s="14">
        <v>0</v>
      </c>
      <c r="G66" s="14">
        <v>509.08491300992705</v>
      </c>
      <c r="H66" s="14">
        <v>1.1425731955515015</v>
      </c>
      <c r="I66" s="14">
        <v>0</v>
      </c>
      <c r="J66" s="14">
        <v>0</v>
      </c>
      <c r="K66" s="14">
        <v>445.56</v>
      </c>
      <c r="L66" s="14">
        <v>445.56</v>
      </c>
      <c r="M66" s="14">
        <v>0</v>
      </c>
      <c r="N66" s="14">
        <v>509.08491300992705</v>
      </c>
      <c r="O66" s="14">
        <v>1.1425731955515015</v>
      </c>
      <c r="P66" t="s">
        <v>201</v>
      </c>
    </row>
    <row r="67" spans="1:16">
      <c r="A67" t="s">
        <v>51</v>
      </c>
      <c r="B67">
        <v>164</v>
      </c>
      <c r="C67" t="s">
        <v>372</v>
      </c>
      <c r="D67" s="14">
        <v>277.89999999999998</v>
      </c>
      <c r="E67" s="14">
        <v>277.89999999999998</v>
      </c>
      <c r="F67" s="14">
        <v>0</v>
      </c>
      <c r="G67" s="14">
        <v>455.48132137219801</v>
      </c>
      <c r="H67" s="14">
        <v>1.6390115918395036</v>
      </c>
      <c r="I67" s="14">
        <v>0</v>
      </c>
      <c r="J67" s="14">
        <v>0</v>
      </c>
      <c r="K67" s="14">
        <v>277.89999999999998</v>
      </c>
      <c r="L67" s="14">
        <v>277.89999999999998</v>
      </c>
      <c r="M67" s="14">
        <v>0</v>
      </c>
      <c r="N67" s="14">
        <v>455.48132137219801</v>
      </c>
      <c r="O67" s="14">
        <v>1.6390115918395036</v>
      </c>
      <c r="P67" t="s">
        <v>201</v>
      </c>
    </row>
    <row r="68" spans="1:16">
      <c r="A68" t="s">
        <v>86</v>
      </c>
      <c r="B68">
        <v>164</v>
      </c>
      <c r="C68" t="s">
        <v>372</v>
      </c>
      <c r="D68" s="14">
        <v>1006.42</v>
      </c>
      <c r="E68" s="14">
        <v>1006.42</v>
      </c>
      <c r="F68" s="14">
        <v>0</v>
      </c>
      <c r="G68" s="14">
        <v>1198.711656845207</v>
      </c>
      <c r="H68" s="14">
        <v>1.1910650194205272</v>
      </c>
      <c r="I68" s="14">
        <v>-600.80000000000007</v>
      </c>
      <c r="J68" s="14">
        <v>-600.79999999999995</v>
      </c>
      <c r="K68" s="14">
        <v>405.62</v>
      </c>
      <c r="L68" s="14">
        <v>405.62</v>
      </c>
      <c r="M68" s="14">
        <v>0</v>
      </c>
      <c r="N68" s="14">
        <v>479.95165684520703</v>
      </c>
      <c r="O68" s="14">
        <v>1.1832544175464894</v>
      </c>
      <c r="P68" t="s">
        <v>201</v>
      </c>
    </row>
    <row r="69" spans="1:16">
      <c r="A69" t="s">
        <v>24</v>
      </c>
      <c r="B69">
        <v>164</v>
      </c>
      <c r="C69" t="s">
        <v>372</v>
      </c>
      <c r="D69" s="14">
        <v>481.34</v>
      </c>
      <c r="E69" s="14">
        <v>481.34</v>
      </c>
      <c r="F69" s="14">
        <v>0</v>
      </c>
      <c r="G69" s="14">
        <v>594.14935287102298</v>
      </c>
      <c r="H69" s="14">
        <v>1.234365215587782</v>
      </c>
      <c r="I69" s="14">
        <v>0</v>
      </c>
      <c r="J69" s="14">
        <v>0</v>
      </c>
      <c r="K69" s="14">
        <v>481.34</v>
      </c>
      <c r="L69" s="14">
        <v>481.34</v>
      </c>
      <c r="M69" s="14">
        <v>0</v>
      </c>
      <c r="N69" s="14">
        <v>594.14935287102298</v>
      </c>
      <c r="O69" s="14">
        <v>1.234365215587782</v>
      </c>
      <c r="P69" t="s">
        <v>201</v>
      </c>
    </row>
    <row r="70" spans="1:16">
      <c r="A70" t="s">
        <v>107</v>
      </c>
      <c r="B70">
        <v>164</v>
      </c>
      <c r="C70" t="s">
        <v>372</v>
      </c>
      <c r="D70" s="14">
        <v>366.68</v>
      </c>
      <c r="E70" s="14">
        <v>366.68</v>
      </c>
      <c r="F70" s="14">
        <v>0</v>
      </c>
      <c r="G70" s="14">
        <v>623.70124034515402</v>
      </c>
      <c r="H70" s="14">
        <v>1.7009415303402258</v>
      </c>
      <c r="I70" s="14">
        <v>0</v>
      </c>
      <c r="J70" s="14">
        <v>0</v>
      </c>
      <c r="K70" s="14">
        <v>366.68</v>
      </c>
      <c r="L70" s="14">
        <v>366.68</v>
      </c>
      <c r="M70" s="14">
        <v>0</v>
      </c>
      <c r="N70" s="14">
        <v>623.70124034515402</v>
      </c>
      <c r="O70" s="14">
        <v>1.7009415303402258</v>
      </c>
      <c r="P70" t="s">
        <v>201</v>
      </c>
    </row>
    <row r="71" spans="1:16">
      <c r="A71" t="s">
        <v>93</v>
      </c>
      <c r="B71">
        <v>164</v>
      </c>
      <c r="C71" t="s">
        <v>372</v>
      </c>
      <c r="D71" s="14">
        <v>1336.53</v>
      </c>
      <c r="E71" s="14">
        <v>1336.5300000000002</v>
      </c>
      <c r="F71" s="14">
        <v>-2.2737367544323206E-13</v>
      </c>
      <c r="G71" s="14">
        <v>4234.6703324564205</v>
      </c>
      <c r="H71" s="14">
        <v>3.168406494771101</v>
      </c>
      <c r="I71" s="14">
        <v>0</v>
      </c>
      <c r="J71" s="14">
        <v>0</v>
      </c>
      <c r="K71" s="14">
        <v>1336.53</v>
      </c>
      <c r="L71" s="14">
        <v>1336.5300000000002</v>
      </c>
      <c r="M71" s="14">
        <v>-2.2737367544323206E-13</v>
      </c>
      <c r="N71" s="14">
        <v>4234.6703324564205</v>
      </c>
      <c r="O71" s="14">
        <v>3.168406494771101</v>
      </c>
      <c r="P71" t="s">
        <v>201</v>
      </c>
    </row>
    <row r="72" spans="1:16">
      <c r="A72" t="s">
        <v>52</v>
      </c>
      <c r="B72">
        <v>164</v>
      </c>
      <c r="C72" t="s">
        <v>372</v>
      </c>
      <c r="D72" s="14">
        <v>704.56000000000006</v>
      </c>
      <c r="E72" s="14">
        <v>704.56000000000006</v>
      </c>
      <c r="F72" s="14">
        <v>0</v>
      </c>
      <c r="G72" s="14">
        <v>823.65399926339103</v>
      </c>
      <c r="H72" s="14">
        <v>1.1690331543990446</v>
      </c>
      <c r="I72" s="14">
        <v>0</v>
      </c>
      <c r="J72" s="14">
        <v>0</v>
      </c>
      <c r="K72" s="14">
        <v>704.56000000000006</v>
      </c>
      <c r="L72" s="14">
        <v>704.56000000000006</v>
      </c>
      <c r="M72" s="14">
        <v>0</v>
      </c>
      <c r="N72" s="14">
        <v>823.65399926339103</v>
      </c>
      <c r="O72" s="14">
        <v>1.1690331543990446</v>
      </c>
      <c r="P72" t="s">
        <v>201</v>
      </c>
    </row>
    <row r="73" spans="1:16">
      <c r="A73" t="s">
        <v>88</v>
      </c>
      <c r="B73">
        <v>164</v>
      </c>
      <c r="C73" t="s">
        <v>372</v>
      </c>
      <c r="D73" s="14">
        <v>2507.86</v>
      </c>
      <c r="E73" s="14">
        <v>2507.86</v>
      </c>
      <c r="F73" s="14">
        <v>0</v>
      </c>
      <c r="G73" s="14">
        <v>9146.7699276368858</v>
      </c>
      <c r="H73" s="14">
        <v>3.6472410452086184</v>
      </c>
      <c r="I73" s="14">
        <v>-549.5</v>
      </c>
      <c r="J73" s="14">
        <v>-549.5</v>
      </c>
      <c r="K73" s="14">
        <v>1958.3600000000001</v>
      </c>
      <c r="L73" s="14">
        <v>1958.36</v>
      </c>
      <c r="M73" s="14">
        <v>2.2737367544323206E-13</v>
      </c>
      <c r="N73" s="14">
        <v>7142.6099276368859</v>
      </c>
      <c r="O73" s="14">
        <v>3.6472405112629374</v>
      </c>
      <c r="P73" t="s">
        <v>201</v>
      </c>
    </row>
    <row r="74" spans="1:16">
      <c r="A74" t="s">
        <v>53</v>
      </c>
      <c r="B74">
        <v>164</v>
      </c>
      <c r="C74" t="s">
        <v>372</v>
      </c>
      <c r="D74" s="14">
        <v>1882</v>
      </c>
      <c r="E74" s="14">
        <v>1882</v>
      </c>
      <c r="F74" s="14">
        <v>0</v>
      </c>
      <c r="G74" s="14">
        <v>3750.4889437019901</v>
      </c>
      <c r="H74" s="14">
        <v>1.9928209052614188</v>
      </c>
      <c r="I74" s="14">
        <v>-2.35</v>
      </c>
      <c r="J74" s="14">
        <v>-2.35</v>
      </c>
      <c r="K74" s="14">
        <v>1879.6499999999999</v>
      </c>
      <c r="L74" s="14">
        <v>1879.65</v>
      </c>
      <c r="M74" s="14">
        <v>-2.2737367544323206E-13</v>
      </c>
      <c r="N74" s="14">
        <v>3745.8089437019898</v>
      </c>
      <c r="O74" s="14">
        <v>1.9928225700007924</v>
      </c>
      <c r="P74" t="s">
        <v>201</v>
      </c>
    </row>
    <row r="75" spans="1:16">
      <c r="A75" t="s">
        <v>109</v>
      </c>
      <c r="B75">
        <v>164</v>
      </c>
      <c r="C75" t="s">
        <v>372</v>
      </c>
      <c r="D75" s="14">
        <v>234</v>
      </c>
      <c r="E75" s="14">
        <v>234</v>
      </c>
      <c r="F75" s="14">
        <v>0</v>
      </c>
      <c r="G75" s="14">
        <v>402.43000000000006</v>
      </c>
      <c r="H75" s="14">
        <v>1.719786324786325</v>
      </c>
      <c r="I75" s="14">
        <v>0</v>
      </c>
      <c r="J75" s="14">
        <v>0</v>
      </c>
      <c r="K75" s="14">
        <v>234</v>
      </c>
      <c r="L75" s="14">
        <v>234</v>
      </c>
      <c r="M75" s="14">
        <v>0</v>
      </c>
      <c r="N75" s="14">
        <v>402.43000000000006</v>
      </c>
      <c r="O75" s="14">
        <v>1.719786324786325</v>
      </c>
      <c r="P75" t="s">
        <v>201</v>
      </c>
    </row>
    <row r="76" spans="1:16">
      <c r="A76" t="s">
        <v>66</v>
      </c>
      <c r="B76">
        <v>164</v>
      </c>
      <c r="C76" t="s">
        <v>372</v>
      </c>
      <c r="D76" s="14">
        <v>10</v>
      </c>
      <c r="E76" s="14">
        <v>10</v>
      </c>
      <c r="F76" s="14">
        <v>0</v>
      </c>
      <c r="G76" s="14">
        <v>26.853697113191998</v>
      </c>
      <c r="H76" s="14">
        <v>2.6853697113191997</v>
      </c>
      <c r="I76" s="14">
        <v>0</v>
      </c>
      <c r="J76" s="14">
        <v>0</v>
      </c>
      <c r="K76" s="14">
        <v>10</v>
      </c>
      <c r="L76" s="14">
        <v>10</v>
      </c>
      <c r="M76" s="14">
        <v>0</v>
      </c>
      <c r="N76" s="14">
        <v>26.853697113191998</v>
      </c>
      <c r="O76" s="14">
        <v>2.6853697113191997</v>
      </c>
      <c r="P76" t="s">
        <v>201</v>
      </c>
    </row>
    <row r="77" spans="1:16">
      <c r="A77" t="s">
        <v>54</v>
      </c>
      <c r="B77">
        <v>164</v>
      </c>
      <c r="C77" t="s">
        <v>372</v>
      </c>
      <c r="D77" s="14">
        <v>820</v>
      </c>
      <c r="E77" s="14">
        <v>820</v>
      </c>
      <c r="F77" s="14">
        <v>0</v>
      </c>
      <c r="G77" s="14">
        <v>1184.922417622505</v>
      </c>
      <c r="H77" s="14">
        <v>1.4450273385640304</v>
      </c>
      <c r="I77" s="14">
        <v>-100</v>
      </c>
      <c r="J77" s="14">
        <v>-100</v>
      </c>
      <c r="K77" s="14">
        <v>720</v>
      </c>
      <c r="L77" s="14">
        <v>720</v>
      </c>
      <c r="M77" s="14">
        <v>0</v>
      </c>
      <c r="N77" s="14">
        <v>1040.422417622505</v>
      </c>
      <c r="O77" s="14">
        <v>1.4450311355868126</v>
      </c>
      <c r="P77" t="s">
        <v>201</v>
      </c>
    </row>
    <row r="78" spans="1:16">
      <c r="A78" t="s">
        <v>55</v>
      </c>
      <c r="B78">
        <v>164</v>
      </c>
      <c r="C78" t="s">
        <v>372</v>
      </c>
      <c r="D78" s="14">
        <v>494.53999999999996</v>
      </c>
      <c r="E78" s="14">
        <v>494.53999999999996</v>
      </c>
      <c r="F78" s="14">
        <v>0</v>
      </c>
      <c r="G78" s="14">
        <v>918.07783145673307</v>
      </c>
      <c r="H78" s="14">
        <v>1.8564278550910607</v>
      </c>
      <c r="I78" s="14">
        <v>0</v>
      </c>
      <c r="J78" s="14">
        <v>0</v>
      </c>
      <c r="K78" s="14">
        <v>494.53999999999996</v>
      </c>
      <c r="L78" s="14">
        <v>494.53999999999996</v>
      </c>
      <c r="M78" s="14">
        <v>0</v>
      </c>
      <c r="N78" s="14">
        <v>918.07783145673307</v>
      </c>
      <c r="O78" s="14">
        <v>1.8564278550910607</v>
      </c>
      <c r="P78" t="s">
        <v>201</v>
      </c>
    </row>
    <row r="79" spans="1:16">
      <c r="A79" t="s">
        <v>21</v>
      </c>
      <c r="B79">
        <v>164</v>
      </c>
      <c r="C79" t="s">
        <v>372</v>
      </c>
      <c r="D79" s="14">
        <v>232.8</v>
      </c>
      <c r="E79" s="14">
        <v>232.8</v>
      </c>
      <c r="F79" s="14">
        <v>0</v>
      </c>
      <c r="G79" s="14">
        <v>847.10500554211012</v>
      </c>
      <c r="H79" s="14">
        <v>3.6387672059368992</v>
      </c>
      <c r="I79" s="14">
        <v>0</v>
      </c>
      <c r="J79" s="14">
        <v>0</v>
      </c>
      <c r="K79" s="14">
        <v>232.8</v>
      </c>
      <c r="L79" s="14">
        <v>232.8</v>
      </c>
      <c r="M79" s="14">
        <v>0</v>
      </c>
      <c r="N79" s="14">
        <v>847.10500554211012</v>
      </c>
      <c r="O79" s="14">
        <v>3.6387672059368992</v>
      </c>
      <c r="P79" t="s">
        <v>201</v>
      </c>
    </row>
    <row r="80" spans="1:16">
      <c r="A80" t="s">
        <v>68</v>
      </c>
      <c r="B80">
        <v>164</v>
      </c>
      <c r="C80" t="s">
        <v>372</v>
      </c>
      <c r="D80" s="14">
        <v>235</v>
      </c>
      <c r="E80" s="14">
        <v>235</v>
      </c>
      <c r="F80" s="14">
        <v>0</v>
      </c>
      <c r="G80" s="14">
        <v>1215.8515271317801</v>
      </c>
      <c r="H80" s="14">
        <v>5.1738362856671491</v>
      </c>
      <c r="I80" s="14">
        <v>0</v>
      </c>
      <c r="J80" s="14">
        <v>0</v>
      </c>
      <c r="K80" s="14">
        <v>235</v>
      </c>
      <c r="L80" s="14">
        <v>235</v>
      </c>
      <c r="M80" s="14">
        <v>0</v>
      </c>
      <c r="N80" s="14">
        <v>1215.8515271317801</v>
      </c>
      <c r="O80" s="14">
        <v>5.1738362856671491</v>
      </c>
      <c r="P80" t="s">
        <v>201</v>
      </c>
    </row>
    <row r="81" spans="1:16">
      <c r="A81" t="s">
        <v>56</v>
      </c>
      <c r="B81">
        <v>164</v>
      </c>
      <c r="C81" t="s">
        <v>372</v>
      </c>
      <c r="D81" s="14">
        <v>705.06999999999994</v>
      </c>
      <c r="E81" s="14">
        <v>705.06999999999994</v>
      </c>
      <c r="F81" s="14">
        <v>0</v>
      </c>
      <c r="G81" s="14">
        <v>2213.7289694833198</v>
      </c>
      <c r="H81" s="14">
        <v>3.1397293452895743</v>
      </c>
      <c r="I81" s="14">
        <v>0</v>
      </c>
      <c r="J81" s="14">
        <v>0</v>
      </c>
      <c r="K81" s="14">
        <v>705.06999999999994</v>
      </c>
      <c r="L81" s="14">
        <v>705.06999999999994</v>
      </c>
      <c r="M81" s="14">
        <v>0</v>
      </c>
      <c r="N81" s="14">
        <v>2213.7289694833198</v>
      </c>
      <c r="O81" s="14">
        <v>3.1397293452895743</v>
      </c>
      <c r="P81" t="s">
        <v>201</v>
      </c>
    </row>
    <row r="82" spans="1:16">
      <c r="A82" t="s">
        <v>57</v>
      </c>
      <c r="B82">
        <v>164</v>
      </c>
      <c r="C82" t="s">
        <v>372</v>
      </c>
      <c r="D82" s="14">
        <v>803.78</v>
      </c>
      <c r="E82" s="14">
        <v>803.78</v>
      </c>
      <c r="F82" s="14">
        <v>0</v>
      </c>
      <c r="G82" s="14">
        <v>2777.708433547301</v>
      </c>
      <c r="H82" s="14">
        <v>3.4558068545463945</v>
      </c>
      <c r="I82" s="14">
        <v>0</v>
      </c>
      <c r="J82" s="14">
        <v>0</v>
      </c>
      <c r="K82" s="14">
        <v>803.78</v>
      </c>
      <c r="L82" s="14">
        <v>803.78</v>
      </c>
      <c r="M82" s="14">
        <v>0</v>
      </c>
      <c r="N82" s="14">
        <v>2777.708433547301</v>
      </c>
      <c r="O82" s="14">
        <v>3.4558068545463945</v>
      </c>
      <c r="P82" t="s">
        <v>201</v>
      </c>
    </row>
    <row r="83" spans="1:16">
      <c r="A83" t="s">
        <v>421</v>
      </c>
      <c r="B83">
        <v>164</v>
      </c>
      <c r="C83" t="s">
        <v>372</v>
      </c>
      <c r="D83" s="14">
        <v>12.68</v>
      </c>
      <c r="E83" s="14">
        <v>12.68</v>
      </c>
      <c r="F83" s="14">
        <v>0</v>
      </c>
      <c r="G83" s="14">
        <v>0</v>
      </c>
      <c r="H83" s="14">
        <v>0</v>
      </c>
      <c r="I83" s="14">
        <v>5.9</v>
      </c>
      <c r="J83" s="14">
        <v>5.9</v>
      </c>
      <c r="K83" s="14">
        <v>18.579999999999998</v>
      </c>
      <c r="L83" s="14">
        <v>18.579999999999998</v>
      </c>
      <c r="M83" s="14">
        <v>0</v>
      </c>
      <c r="N83" s="14">
        <v>0</v>
      </c>
      <c r="O83" s="14">
        <v>0</v>
      </c>
      <c r="P83" t="s">
        <v>201</v>
      </c>
    </row>
    <row r="84" spans="1:16">
      <c r="A84" t="s">
        <v>616</v>
      </c>
      <c r="B84">
        <v>164</v>
      </c>
      <c r="C84" t="s">
        <v>372</v>
      </c>
      <c r="D84" s="14">
        <v>996</v>
      </c>
      <c r="E84" s="14">
        <v>996</v>
      </c>
      <c r="F84" s="14">
        <v>0</v>
      </c>
      <c r="G84" s="14">
        <v>0</v>
      </c>
      <c r="H84" s="14">
        <v>0</v>
      </c>
      <c r="I84" s="14">
        <v>0</v>
      </c>
      <c r="J84" s="14">
        <v>0</v>
      </c>
      <c r="K84" s="14">
        <v>996</v>
      </c>
      <c r="L84" s="14">
        <v>996</v>
      </c>
      <c r="M84" s="14">
        <v>0</v>
      </c>
      <c r="N84" s="14">
        <v>0</v>
      </c>
      <c r="O84" s="14">
        <v>0</v>
      </c>
      <c r="P84" t="s">
        <v>201</v>
      </c>
    </row>
    <row r="85" spans="1:16">
      <c r="A85" t="s">
        <v>624</v>
      </c>
      <c r="B85">
        <v>164</v>
      </c>
      <c r="C85" t="s">
        <v>372</v>
      </c>
      <c r="D85" s="14">
        <v>864</v>
      </c>
      <c r="E85" s="14">
        <v>864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  <c r="K85" s="14">
        <v>864</v>
      </c>
      <c r="L85" s="14">
        <v>864</v>
      </c>
      <c r="M85" s="14">
        <v>0</v>
      </c>
      <c r="N85" s="14">
        <v>0</v>
      </c>
      <c r="O85" s="14">
        <v>0</v>
      </c>
      <c r="P85" t="s">
        <v>201</v>
      </c>
    </row>
    <row r="86" spans="1:16">
      <c r="A86" t="s">
        <v>387</v>
      </c>
      <c r="B86">
        <v>164</v>
      </c>
      <c r="C86" t="s">
        <v>372</v>
      </c>
      <c r="D86" s="14">
        <v>2584</v>
      </c>
      <c r="E86" s="14">
        <v>2584</v>
      </c>
      <c r="F86" s="14">
        <v>0</v>
      </c>
      <c r="G86" s="14">
        <v>0</v>
      </c>
      <c r="H86" s="14">
        <v>0</v>
      </c>
      <c r="I86" s="14">
        <v>-10</v>
      </c>
      <c r="J86" s="14">
        <v>-10</v>
      </c>
      <c r="K86" s="14">
        <v>2574</v>
      </c>
      <c r="L86" s="14">
        <v>2574</v>
      </c>
      <c r="M86" s="14">
        <v>0</v>
      </c>
      <c r="N86" s="14">
        <v>0</v>
      </c>
      <c r="O86" s="14">
        <v>0</v>
      </c>
      <c r="P86" t="s">
        <v>201</v>
      </c>
    </row>
    <row r="87" spans="1:16">
      <c r="A87" t="s">
        <v>377</v>
      </c>
      <c r="B87">
        <v>164</v>
      </c>
      <c r="C87" t="s">
        <v>372</v>
      </c>
      <c r="D87" s="14">
        <v>738</v>
      </c>
      <c r="E87" s="14">
        <v>738</v>
      </c>
      <c r="F87" s="14">
        <v>0</v>
      </c>
      <c r="G87" s="14">
        <v>0</v>
      </c>
      <c r="H87" s="14">
        <v>0</v>
      </c>
      <c r="I87" s="14">
        <v>-12</v>
      </c>
      <c r="J87" s="14">
        <v>-12</v>
      </c>
      <c r="K87" s="14">
        <v>726</v>
      </c>
      <c r="L87" s="14">
        <v>726</v>
      </c>
      <c r="M87" s="14">
        <v>0</v>
      </c>
      <c r="N87" s="14">
        <v>0</v>
      </c>
      <c r="O87" s="14">
        <v>0</v>
      </c>
      <c r="P87" t="s">
        <v>201</v>
      </c>
    </row>
    <row r="88" spans="1:16">
      <c r="A88" t="s">
        <v>632</v>
      </c>
      <c r="B88">
        <v>164</v>
      </c>
      <c r="C88" t="s">
        <v>372</v>
      </c>
      <c r="D88" s="14">
        <v>11</v>
      </c>
      <c r="E88" s="14">
        <v>11</v>
      </c>
      <c r="F88" s="14">
        <v>0</v>
      </c>
      <c r="G88" s="14">
        <v>36.525232854637999</v>
      </c>
      <c r="H88" s="14">
        <v>3.3204757140579999</v>
      </c>
      <c r="I88" s="14">
        <v>0</v>
      </c>
      <c r="J88" s="14">
        <v>0</v>
      </c>
      <c r="K88" s="14">
        <v>11</v>
      </c>
      <c r="L88" s="14">
        <v>11</v>
      </c>
      <c r="M88" s="14">
        <v>0</v>
      </c>
      <c r="N88" s="14">
        <v>36.525232854637999</v>
      </c>
      <c r="O88" s="14">
        <v>3.3204757140579999</v>
      </c>
      <c r="P88" t="s">
        <v>201</v>
      </c>
    </row>
    <row r="89" spans="1:16">
      <c r="A89" t="s">
        <v>636</v>
      </c>
      <c r="B89">
        <v>164</v>
      </c>
      <c r="C89" t="s">
        <v>372</v>
      </c>
      <c r="D89" s="14">
        <v>10</v>
      </c>
      <c r="E89" s="14">
        <v>10</v>
      </c>
      <c r="F89" s="14">
        <v>0</v>
      </c>
      <c r="G89" s="14">
        <v>109.28224480743101</v>
      </c>
      <c r="H89" s="14">
        <v>10.928224480743101</v>
      </c>
      <c r="I89" s="14">
        <v>0</v>
      </c>
      <c r="J89" s="14">
        <v>0</v>
      </c>
      <c r="K89" s="14">
        <v>10</v>
      </c>
      <c r="L89" s="14">
        <v>10</v>
      </c>
      <c r="M89" s="14">
        <v>0</v>
      </c>
      <c r="N89" s="14">
        <v>109.28224480743101</v>
      </c>
      <c r="O89" s="14">
        <v>10.928224480743101</v>
      </c>
      <c r="P89" t="s">
        <v>201</v>
      </c>
    </row>
    <row r="90" spans="1:16">
      <c r="A90" t="s">
        <v>640</v>
      </c>
      <c r="B90">
        <v>164</v>
      </c>
      <c r="C90" t="s">
        <v>372</v>
      </c>
      <c r="D90" s="14">
        <v>17</v>
      </c>
      <c r="E90" s="14">
        <v>17</v>
      </c>
      <c r="F90" s="14">
        <v>0</v>
      </c>
      <c r="G90" s="14">
        <v>72.849939647602</v>
      </c>
      <c r="H90" s="14">
        <v>4.2852905675060002</v>
      </c>
      <c r="I90" s="14">
        <v>0</v>
      </c>
      <c r="J90" s="14">
        <v>0</v>
      </c>
      <c r="K90" s="14">
        <v>17</v>
      </c>
      <c r="L90" s="14">
        <v>17</v>
      </c>
      <c r="M90" s="14">
        <v>0</v>
      </c>
      <c r="N90" s="14">
        <v>72.849939647602</v>
      </c>
      <c r="O90" s="14">
        <v>4.2852905675060002</v>
      </c>
      <c r="P90" t="s">
        <v>201</v>
      </c>
    </row>
    <row r="91" spans="1:16">
      <c r="A91" t="s">
        <v>300</v>
      </c>
      <c r="B91">
        <v>164</v>
      </c>
      <c r="C91" t="s">
        <v>372</v>
      </c>
      <c r="D91" s="14">
        <v>10</v>
      </c>
      <c r="E91" s="14">
        <v>10</v>
      </c>
      <c r="F91" s="14">
        <v>0</v>
      </c>
      <c r="G91" s="14">
        <v>81.002845577686998</v>
      </c>
      <c r="H91" s="14">
        <v>8.100284557768699</v>
      </c>
      <c r="I91" s="14">
        <v>0</v>
      </c>
      <c r="J91" s="14">
        <v>0</v>
      </c>
      <c r="K91" s="14">
        <v>10</v>
      </c>
      <c r="L91" s="14">
        <v>10</v>
      </c>
      <c r="M91" s="14">
        <v>0</v>
      </c>
      <c r="N91" s="14">
        <v>81.002845577686998</v>
      </c>
      <c r="O91" s="14">
        <v>8.100284557768699</v>
      </c>
      <c r="P91" t="s">
        <v>201</v>
      </c>
    </row>
    <row r="92" spans="1:16">
      <c r="A92" t="s">
        <v>301</v>
      </c>
      <c r="B92">
        <v>164</v>
      </c>
      <c r="C92" t="s">
        <v>372</v>
      </c>
      <c r="D92" s="14">
        <v>65</v>
      </c>
      <c r="E92" s="14">
        <v>65</v>
      </c>
      <c r="F92" s="14">
        <v>0</v>
      </c>
      <c r="G92" s="14">
        <v>554.24412232578993</v>
      </c>
      <c r="H92" s="14">
        <v>8.5268326511659982</v>
      </c>
      <c r="I92" s="14">
        <v>0</v>
      </c>
      <c r="J92" s="14">
        <v>0</v>
      </c>
      <c r="K92" s="14">
        <v>65</v>
      </c>
      <c r="L92" s="14">
        <v>65</v>
      </c>
      <c r="M92" s="14">
        <v>0</v>
      </c>
      <c r="N92" s="14">
        <v>554.24412232578993</v>
      </c>
      <c r="O92" s="14">
        <v>8.5268326511659982</v>
      </c>
      <c r="P92" t="s">
        <v>201</v>
      </c>
    </row>
    <row r="93" spans="1:16">
      <c r="A93" t="s">
        <v>303</v>
      </c>
      <c r="B93">
        <v>164</v>
      </c>
      <c r="C93" t="s">
        <v>372</v>
      </c>
      <c r="D93" s="14">
        <v>38</v>
      </c>
      <c r="E93" s="14">
        <v>38</v>
      </c>
      <c r="F93" s="14">
        <v>0</v>
      </c>
      <c r="G93" s="14">
        <v>381.40564199052699</v>
      </c>
      <c r="H93" s="14">
        <v>10.036990578698079</v>
      </c>
      <c r="I93" s="14">
        <v>0</v>
      </c>
      <c r="J93" s="14">
        <v>0</v>
      </c>
      <c r="K93" s="14">
        <v>38</v>
      </c>
      <c r="L93" s="14">
        <v>38</v>
      </c>
      <c r="M93" s="14">
        <v>0</v>
      </c>
      <c r="N93" s="14">
        <v>381.40564199052699</v>
      </c>
      <c r="O93" s="14">
        <v>10.036990578698079</v>
      </c>
      <c r="P93" t="s">
        <v>201</v>
      </c>
    </row>
    <row r="94" spans="1:16">
      <c r="A94" t="s">
        <v>298</v>
      </c>
      <c r="B94">
        <v>164</v>
      </c>
      <c r="C94" t="s">
        <v>372</v>
      </c>
      <c r="D94" s="14">
        <v>61</v>
      </c>
      <c r="E94" s="14">
        <v>61</v>
      </c>
      <c r="F94" s="14">
        <v>0</v>
      </c>
      <c r="G94" s="14">
        <v>273.637390105995</v>
      </c>
      <c r="H94" s="14">
        <v>4.4858588541966391</v>
      </c>
      <c r="I94" s="14">
        <v>0</v>
      </c>
      <c r="J94" s="14">
        <v>0</v>
      </c>
      <c r="K94" s="14">
        <v>61</v>
      </c>
      <c r="L94" s="14">
        <v>61</v>
      </c>
      <c r="M94" s="14">
        <v>0</v>
      </c>
      <c r="N94" s="14">
        <v>273.637390105995</v>
      </c>
      <c r="O94" s="14">
        <v>4.4858588541966391</v>
      </c>
      <c r="P94" t="s">
        <v>201</v>
      </c>
    </row>
    <row r="95" spans="1:16">
      <c r="A95" t="s">
        <v>58</v>
      </c>
      <c r="B95">
        <v>164</v>
      </c>
      <c r="C95" t="s">
        <v>372</v>
      </c>
      <c r="D95" s="14">
        <v>3</v>
      </c>
      <c r="E95" s="14">
        <v>3</v>
      </c>
      <c r="F95" s="14">
        <v>0</v>
      </c>
      <c r="G95" s="14">
        <v>413.22773091522595</v>
      </c>
      <c r="H95" s="14">
        <v>137.74257697174198</v>
      </c>
      <c r="I95" s="14">
        <v>0</v>
      </c>
      <c r="J95" s="14">
        <v>0</v>
      </c>
      <c r="K95" s="14">
        <v>3</v>
      </c>
      <c r="L95" s="14">
        <v>3</v>
      </c>
      <c r="M95" s="14">
        <v>0</v>
      </c>
      <c r="N95" s="14">
        <v>413.22773091522595</v>
      </c>
      <c r="O95" s="14">
        <v>137.74257697174198</v>
      </c>
      <c r="P95" t="s">
        <v>201</v>
      </c>
    </row>
    <row r="96" spans="1:16">
      <c r="A96" t="s">
        <v>59</v>
      </c>
      <c r="B96">
        <v>164</v>
      </c>
      <c r="C96" t="s">
        <v>372</v>
      </c>
      <c r="D96" s="14">
        <v>3</v>
      </c>
      <c r="E96" s="14">
        <v>3</v>
      </c>
      <c r="F96" s="14">
        <v>0</v>
      </c>
      <c r="G96" s="14">
        <v>23.095818987001998</v>
      </c>
      <c r="H96" s="14">
        <v>7.6986063290006657</v>
      </c>
      <c r="I96" s="14">
        <v>0</v>
      </c>
      <c r="J96" s="14">
        <v>0</v>
      </c>
      <c r="K96" s="14">
        <v>3</v>
      </c>
      <c r="L96" s="14">
        <v>3</v>
      </c>
      <c r="M96" s="14">
        <v>0</v>
      </c>
      <c r="N96" s="14">
        <v>23.095818987001998</v>
      </c>
      <c r="O96" s="14">
        <v>7.6986063290006657</v>
      </c>
      <c r="P96" t="s">
        <v>201</v>
      </c>
    </row>
    <row r="97" spans="1:16">
      <c r="A97" t="s">
        <v>651</v>
      </c>
      <c r="B97">
        <v>164</v>
      </c>
      <c r="C97" t="s">
        <v>372</v>
      </c>
      <c r="D97" s="14">
        <v>48</v>
      </c>
      <c r="E97" s="14">
        <v>48</v>
      </c>
      <c r="F97" s="14">
        <v>0</v>
      </c>
      <c r="G97" s="14">
        <v>0</v>
      </c>
      <c r="H97" s="14">
        <v>0</v>
      </c>
      <c r="I97" s="14">
        <v>0</v>
      </c>
      <c r="J97" s="14">
        <v>0</v>
      </c>
      <c r="K97" s="14">
        <v>48</v>
      </c>
      <c r="L97" s="14">
        <v>48</v>
      </c>
      <c r="M97" s="14">
        <v>0</v>
      </c>
      <c r="N97" s="14">
        <v>0</v>
      </c>
      <c r="O97" s="14">
        <v>0</v>
      </c>
      <c r="P97" t="s">
        <v>201</v>
      </c>
    </row>
    <row r="98" spans="1:16">
      <c r="A98" t="s">
        <v>653</v>
      </c>
      <c r="B98">
        <v>164</v>
      </c>
      <c r="C98" t="s">
        <v>372</v>
      </c>
      <c r="D98" s="14">
        <v>108</v>
      </c>
      <c r="E98" s="14">
        <v>108</v>
      </c>
      <c r="F98" s="14">
        <v>0</v>
      </c>
      <c r="G98" s="14">
        <v>0</v>
      </c>
      <c r="H98" s="14">
        <v>0</v>
      </c>
      <c r="I98" s="14">
        <v>0</v>
      </c>
      <c r="J98" s="14">
        <v>0</v>
      </c>
      <c r="K98" s="14">
        <v>108</v>
      </c>
      <c r="L98" s="14">
        <v>108</v>
      </c>
      <c r="M98" s="14">
        <v>0</v>
      </c>
      <c r="N98" s="14">
        <v>0</v>
      </c>
      <c r="O98" s="14">
        <v>0</v>
      </c>
      <c r="P98" t="s">
        <v>201</v>
      </c>
    </row>
    <row r="99" spans="1:16">
      <c r="A99" t="s">
        <v>101</v>
      </c>
      <c r="B99">
        <v>164</v>
      </c>
      <c r="C99" t="s">
        <v>372</v>
      </c>
      <c r="D99" s="14">
        <v>47</v>
      </c>
      <c r="E99" s="14">
        <v>47</v>
      </c>
      <c r="F99" s="14">
        <v>0</v>
      </c>
      <c r="G99" s="14">
        <v>57.077150853836002</v>
      </c>
      <c r="H99" s="14">
        <v>1.2144074649752341</v>
      </c>
      <c r="I99" s="14">
        <v>0</v>
      </c>
      <c r="J99" s="14">
        <v>0</v>
      </c>
      <c r="K99" s="14">
        <v>47</v>
      </c>
      <c r="L99" s="14">
        <v>47</v>
      </c>
      <c r="M99" s="14">
        <v>0</v>
      </c>
      <c r="N99" s="14">
        <v>57.077150853836002</v>
      </c>
      <c r="O99" s="14">
        <v>1.2144074649752341</v>
      </c>
      <c r="P99" t="s">
        <v>201</v>
      </c>
    </row>
    <row r="100" spans="1:16">
      <c r="A100" t="s">
        <v>20</v>
      </c>
      <c r="B100">
        <v>164</v>
      </c>
      <c r="C100" t="s">
        <v>372</v>
      </c>
      <c r="D100" s="14">
        <v>819</v>
      </c>
      <c r="E100" s="14">
        <v>819</v>
      </c>
      <c r="F100" s="14">
        <v>0</v>
      </c>
      <c r="G100" s="14">
        <v>1526.6049570743571</v>
      </c>
      <c r="H100" s="14">
        <v>1.8639865165743066</v>
      </c>
      <c r="I100" s="14">
        <v>0</v>
      </c>
      <c r="J100" s="14">
        <v>0</v>
      </c>
      <c r="K100" s="14">
        <v>819</v>
      </c>
      <c r="L100" s="14">
        <v>819</v>
      </c>
      <c r="M100" s="14">
        <v>0</v>
      </c>
      <c r="N100" s="14">
        <v>1526.6049570743571</v>
      </c>
      <c r="O100" s="14">
        <v>1.8639865165743066</v>
      </c>
      <c r="P100" t="s">
        <v>201</v>
      </c>
    </row>
    <row r="101" spans="1:16">
      <c r="A101" t="s">
        <v>60</v>
      </c>
      <c r="B101">
        <v>164</v>
      </c>
      <c r="C101" t="s">
        <v>372</v>
      </c>
      <c r="D101" s="14">
        <v>238</v>
      </c>
      <c r="E101" s="14">
        <v>238</v>
      </c>
      <c r="F101" s="14">
        <v>0</v>
      </c>
      <c r="G101" s="14">
        <v>947.35032638577002</v>
      </c>
      <c r="H101" s="14">
        <v>3.9804635562427313</v>
      </c>
      <c r="I101" s="14">
        <v>-5</v>
      </c>
      <c r="J101" s="14">
        <v>-5</v>
      </c>
      <c r="K101" s="14">
        <v>233</v>
      </c>
      <c r="L101" s="14">
        <v>233</v>
      </c>
      <c r="M101" s="14">
        <v>0</v>
      </c>
      <c r="N101" s="14">
        <v>927.45032638577004</v>
      </c>
      <c r="O101" s="14">
        <v>3.9804735038015884</v>
      </c>
      <c r="P101" t="s">
        <v>201</v>
      </c>
    </row>
    <row r="102" spans="1:16">
      <c r="A102" t="s">
        <v>673</v>
      </c>
      <c r="B102">
        <v>164</v>
      </c>
      <c r="C102" t="s">
        <v>372</v>
      </c>
      <c r="D102" s="14">
        <v>34</v>
      </c>
      <c r="E102" s="14">
        <v>34</v>
      </c>
      <c r="F102" s="14">
        <v>0</v>
      </c>
      <c r="G102" s="14">
        <v>402.06975859040898</v>
      </c>
      <c r="H102" s="14">
        <v>11.82558113501203</v>
      </c>
      <c r="I102" s="14">
        <v>0</v>
      </c>
      <c r="J102" s="14">
        <v>0</v>
      </c>
      <c r="K102" s="14">
        <v>34</v>
      </c>
      <c r="L102" s="14">
        <v>34</v>
      </c>
      <c r="M102" s="14">
        <v>0</v>
      </c>
      <c r="N102" s="14">
        <v>402.06975859040898</v>
      </c>
      <c r="O102" s="14">
        <v>11.82558113501203</v>
      </c>
      <c r="P102" t="s">
        <v>201</v>
      </c>
    </row>
    <row r="103" spans="1:16">
      <c r="A103" t="s">
        <v>679</v>
      </c>
      <c r="B103">
        <v>164</v>
      </c>
      <c r="C103" t="s">
        <v>372</v>
      </c>
      <c r="D103" s="14">
        <v>122</v>
      </c>
      <c r="E103" s="14">
        <v>122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14">
        <v>122</v>
      </c>
      <c r="L103" s="14">
        <v>122</v>
      </c>
      <c r="M103" s="14">
        <v>0</v>
      </c>
      <c r="N103" s="14">
        <v>0</v>
      </c>
      <c r="O103" s="14">
        <v>0</v>
      </c>
      <c r="P103" t="s">
        <v>201</v>
      </c>
    </row>
    <row r="104" spans="1:16">
      <c r="A104" t="s">
        <v>217</v>
      </c>
      <c r="B104">
        <v>164</v>
      </c>
      <c r="C104" t="s">
        <v>372</v>
      </c>
      <c r="D104" s="14">
        <v>3</v>
      </c>
      <c r="E104" s="14">
        <v>3</v>
      </c>
      <c r="F104" s="14">
        <v>0</v>
      </c>
      <c r="G104" s="14">
        <v>3.9359884590309995</v>
      </c>
      <c r="H104" s="14">
        <v>1.3119961530103332</v>
      </c>
      <c r="I104" s="14">
        <v>0</v>
      </c>
      <c r="J104" s="14">
        <v>0</v>
      </c>
      <c r="K104" s="14">
        <v>3</v>
      </c>
      <c r="L104" s="14">
        <v>3</v>
      </c>
      <c r="M104" s="14">
        <v>0</v>
      </c>
      <c r="N104" s="14">
        <v>3.9359884590309995</v>
      </c>
      <c r="O104" s="14">
        <v>1.3119961530103332</v>
      </c>
      <c r="P104" t="s">
        <v>201</v>
      </c>
    </row>
    <row r="105" spans="1:16">
      <c r="A105" t="s">
        <v>692</v>
      </c>
      <c r="B105">
        <v>164</v>
      </c>
      <c r="C105" t="s">
        <v>372</v>
      </c>
      <c r="D105" s="14">
        <v>0</v>
      </c>
      <c r="E105" s="14">
        <v>0</v>
      </c>
      <c r="F105" s="14">
        <v>0</v>
      </c>
      <c r="G105" s="14">
        <v>-4.8758702060000001E-3</v>
      </c>
      <c r="H105" s="14">
        <v>0</v>
      </c>
      <c r="I105" s="14">
        <v>0</v>
      </c>
      <c r="J105" s="14">
        <v>0</v>
      </c>
      <c r="K105" s="14">
        <v>0</v>
      </c>
      <c r="L105" s="14">
        <v>0</v>
      </c>
      <c r="M105" s="14">
        <v>0</v>
      </c>
      <c r="N105" s="14">
        <v>-4.8758702060000001E-3</v>
      </c>
      <c r="O105" s="14">
        <v>0</v>
      </c>
      <c r="P105" t="s">
        <v>201</v>
      </c>
    </row>
    <row r="106" spans="1:16">
      <c r="A106" t="s">
        <v>61</v>
      </c>
      <c r="B106">
        <v>164</v>
      </c>
      <c r="C106" t="s">
        <v>372</v>
      </c>
      <c r="D106" s="14">
        <v>62</v>
      </c>
      <c r="E106" s="14">
        <v>62</v>
      </c>
      <c r="F106" s="14">
        <v>0</v>
      </c>
      <c r="G106" s="14">
        <v>503.36539843144101</v>
      </c>
      <c r="H106" s="14">
        <v>8.1187967488942103</v>
      </c>
      <c r="I106" s="14">
        <v>0</v>
      </c>
      <c r="J106" s="14">
        <v>0</v>
      </c>
      <c r="K106" s="14">
        <v>62</v>
      </c>
      <c r="L106" s="14">
        <v>62</v>
      </c>
      <c r="M106" s="14">
        <v>0</v>
      </c>
      <c r="N106" s="14">
        <v>503.36539843144101</v>
      </c>
      <c r="O106" s="14">
        <v>8.1187967488942103</v>
      </c>
      <c r="P106" t="s">
        <v>201</v>
      </c>
    </row>
    <row r="107" spans="1:16">
      <c r="A107" t="s">
        <v>193</v>
      </c>
      <c r="B107">
        <v>164</v>
      </c>
      <c r="C107" t="s">
        <v>372</v>
      </c>
      <c r="D107" s="14">
        <v>191</v>
      </c>
      <c r="E107" s="14">
        <v>191</v>
      </c>
      <c r="F107" s="14">
        <v>0</v>
      </c>
      <c r="G107" s="14">
        <v>1185.6199999999999</v>
      </c>
      <c r="H107" s="14">
        <v>6.2074345549738217</v>
      </c>
      <c r="I107" s="14">
        <v>-40</v>
      </c>
      <c r="J107" s="14">
        <v>-40</v>
      </c>
      <c r="K107" s="14">
        <v>151</v>
      </c>
      <c r="L107" s="14">
        <v>151</v>
      </c>
      <c r="M107" s="14">
        <v>0</v>
      </c>
      <c r="N107" s="14">
        <v>937.31999999999994</v>
      </c>
      <c r="O107" s="14">
        <v>6.2074172185430463</v>
      </c>
      <c r="P107" t="s">
        <v>201</v>
      </c>
    </row>
    <row r="108" spans="1:16">
      <c r="A108" t="s">
        <v>104</v>
      </c>
      <c r="B108">
        <v>164</v>
      </c>
      <c r="C108" t="s">
        <v>372</v>
      </c>
      <c r="D108" s="14">
        <v>7</v>
      </c>
      <c r="E108" s="14">
        <v>7</v>
      </c>
      <c r="F108" s="14">
        <v>0</v>
      </c>
      <c r="G108" s="14">
        <v>186.99986722472499</v>
      </c>
      <c r="H108" s="14">
        <v>26.714266746389285</v>
      </c>
      <c r="I108" s="14">
        <v>0</v>
      </c>
      <c r="J108" s="14">
        <v>0</v>
      </c>
      <c r="K108" s="14">
        <v>7</v>
      </c>
      <c r="L108" s="14">
        <v>7</v>
      </c>
      <c r="M108" s="14">
        <v>0</v>
      </c>
      <c r="N108" s="14">
        <v>186.99986722472499</v>
      </c>
      <c r="O108" s="14">
        <v>26.714266746389285</v>
      </c>
      <c r="P108" t="s">
        <v>201</v>
      </c>
    </row>
    <row r="109" spans="1:16">
      <c r="A109" t="s">
        <v>220</v>
      </c>
      <c r="B109">
        <v>164</v>
      </c>
      <c r="C109" t="s">
        <v>372</v>
      </c>
      <c r="D109" s="14">
        <v>6</v>
      </c>
      <c r="E109" s="14">
        <v>6</v>
      </c>
      <c r="F109" s="14">
        <v>0</v>
      </c>
      <c r="G109" s="14">
        <v>64.52321805145499</v>
      </c>
      <c r="H109" s="14">
        <v>10.753869675242498</v>
      </c>
      <c r="I109" s="14">
        <v>0</v>
      </c>
      <c r="J109" s="14">
        <v>0</v>
      </c>
      <c r="K109" s="14">
        <v>6</v>
      </c>
      <c r="L109" s="14">
        <v>6</v>
      </c>
      <c r="M109" s="14">
        <v>0</v>
      </c>
      <c r="N109" s="14">
        <v>64.52321805145499</v>
      </c>
      <c r="O109" s="14">
        <v>10.753869675242498</v>
      </c>
      <c r="P109" t="s">
        <v>201</v>
      </c>
    </row>
    <row r="110" spans="1:16">
      <c r="A110" t="s">
        <v>221</v>
      </c>
      <c r="B110">
        <v>164</v>
      </c>
      <c r="C110" t="s">
        <v>372</v>
      </c>
      <c r="D110" s="14">
        <v>4</v>
      </c>
      <c r="E110" s="14">
        <v>4</v>
      </c>
      <c r="F110" s="14">
        <v>0</v>
      </c>
      <c r="G110" s="14">
        <v>56.911450481192993</v>
      </c>
      <c r="H110" s="14">
        <v>14.227862620298248</v>
      </c>
      <c r="I110" s="14">
        <v>0</v>
      </c>
      <c r="J110" s="14">
        <v>0</v>
      </c>
      <c r="K110" s="14">
        <v>4</v>
      </c>
      <c r="L110" s="14">
        <v>4</v>
      </c>
      <c r="M110" s="14">
        <v>0</v>
      </c>
      <c r="N110" s="14">
        <v>56.911450481192993</v>
      </c>
      <c r="O110" s="14">
        <v>14.227862620298248</v>
      </c>
      <c r="P110" t="s">
        <v>201</v>
      </c>
    </row>
    <row r="111" spans="1:16">
      <c r="A111" t="s">
        <v>709</v>
      </c>
      <c r="B111">
        <v>164</v>
      </c>
      <c r="C111" t="s">
        <v>372</v>
      </c>
      <c r="D111" s="14">
        <v>1</v>
      </c>
      <c r="E111" s="14">
        <v>1</v>
      </c>
      <c r="F111" s="14">
        <v>0</v>
      </c>
      <c r="G111" s="14">
        <v>45</v>
      </c>
      <c r="H111" s="14">
        <v>45</v>
      </c>
      <c r="I111" s="14">
        <v>0</v>
      </c>
      <c r="J111" s="14">
        <v>0</v>
      </c>
      <c r="K111" s="14">
        <v>1</v>
      </c>
      <c r="L111" s="14">
        <v>1</v>
      </c>
      <c r="M111" s="14">
        <v>0</v>
      </c>
      <c r="N111" s="14">
        <v>45</v>
      </c>
      <c r="O111" s="14">
        <v>45</v>
      </c>
      <c r="P111" t="s">
        <v>201</v>
      </c>
    </row>
    <row r="112" spans="1:16">
      <c r="A112" t="s">
        <v>222</v>
      </c>
      <c r="B112">
        <v>164</v>
      </c>
      <c r="C112" t="s">
        <v>372</v>
      </c>
      <c r="D112" s="14">
        <v>130</v>
      </c>
      <c r="E112" s="14">
        <v>130</v>
      </c>
      <c r="F112" s="14">
        <v>0</v>
      </c>
      <c r="G112" s="14">
        <v>126.28333791954802</v>
      </c>
      <c r="H112" s="14">
        <v>0.97141029168883086</v>
      </c>
      <c r="I112" s="14">
        <v>0</v>
      </c>
      <c r="J112" s="14">
        <v>0</v>
      </c>
      <c r="K112" s="14">
        <v>130</v>
      </c>
      <c r="L112" s="14">
        <v>130</v>
      </c>
      <c r="M112" s="14">
        <v>0</v>
      </c>
      <c r="N112" s="14">
        <v>126.28333791954802</v>
      </c>
      <c r="O112" s="14">
        <v>0.97141029168883086</v>
      </c>
      <c r="P112" t="s">
        <v>201</v>
      </c>
    </row>
    <row r="113" spans="1:16">
      <c r="A113" t="s">
        <v>374</v>
      </c>
      <c r="B113">
        <v>164</v>
      </c>
      <c r="C113" t="s">
        <v>372</v>
      </c>
      <c r="D113" s="14">
        <v>1</v>
      </c>
      <c r="E113" s="14">
        <v>1</v>
      </c>
      <c r="F113" s="14">
        <v>0</v>
      </c>
      <c r="G113" s="14">
        <v>0</v>
      </c>
      <c r="H113" s="14">
        <v>0</v>
      </c>
      <c r="I113" s="14">
        <v>-1</v>
      </c>
      <c r="J113" s="14">
        <v>-1</v>
      </c>
      <c r="K113" s="14">
        <v>0</v>
      </c>
      <c r="L113" s="14">
        <v>0</v>
      </c>
      <c r="M113" s="14">
        <v>0</v>
      </c>
      <c r="N113" s="14">
        <v>0</v>
      </c>
      <c r="O113" s="14">
        <v>0</v>
      </c>
      <c r="P113" t="s">
        <v>201</v>
      </c>
    </row>
    <row r="114" spans="1:16"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</row>
  </sheetData>
  <phoneticPr fontId="6" type="noConversion"/>
  <dataValidations count="1">
    <dataValidation type="list" allowBlank="1" showInputMessage="1" showErrorMessage="1" sqref="P2:P114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"/>
  <sheetViews>
    <sheetView workbookViewId="0">
      <selection activeCell="J26" sqref="J26"/>
    </sheetView>
  </sheetViews>
  <sheetFormatPr defaultRowHeight="15"/>
  <cols>
    <col min="1" max="1" width="14.7109375" customWidth="1"/>
    <col min="2" max="2" width="12.7109375" customWidth="1"/>
    <col min="4" max="4" width="13.42578125" customWidth="1"/>
    <col min="5" max="5" width="13.85546875" customWidth="1"/>
    <col min="6" max="6" width="17.7109375" customWidth="1"/>
    <col min="7" max="7" width="12.28515625" customWidth="1"/>
    <col min="8" max="8" width="10.85546875" customWidth="1"/>
    <col min="10" max="10" width="21.7109375" customWidth="1"/>
    <col min="11" max="11" width="24.42578125" customWidth="1"/>
    <col min="12" max="12" width="11" customWidth="1"/>
    <col min="13" max="13" width="19.7109375" customWidth="1"/>
    <col min="15" max="15" width="21.140625" customWidth="1"/>
    <col min="16" max="16" width="23.85546875" customWidth="1"/>
    <col min="17" max="17" width="14.5703125" customWidth="1"/>
  </cols>
  <sheetData>
    <row r="1" spans="1:17">
      <c r="A1" t="s">
        <v>6</v>
      </c>
      <c r="B1" t="s">
        <v>25</v>
      </c>
      <c r="C1" t="s">
        <v>43</v>
      </c>
      <c r="D1" t="s">
        <v>44</v>
      </c>
      <c r="E1" t="s">
        <v>41</v>
      </c>
      <c r="F1" t="s">
        <v>242</v>
      </c>
      <c r="G1" t="s">
        <v>8</v>
      </c>
      <c r="H1" t="s">
        <v>12</v>
      </c>
      <c r="I1" t="s">
        <v>30</v>
      </c>
      <c r="J1" t="s">
        <v>243</v>
      </c>
      <c r="K1" t="s">
        <v>244</v>
      </c>
      <c r="L1" t="s">
        <v>39</v>
      </c>
      <c r="M1" t="s">
        <v>202</v>
      </c>
      <c r="N1" t="s">
        <v>203</v>
      </c>
      <c r="O1" t="s">
        <v>245</v>
      </c>
      <c r="P1" t="s">
        <v>246</v>
      </c>
      <c r="Q1" t="s">
        <v>204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"/>
  <sheetViews>
    <sheetView workbookViewId="0">
      <selection activeCell="F25" sqref="F25"/>
    </sheetView>
  </sheetViews>
  <sheetFormatPr defaultRowHeight="15"/>
  <cols>
    <col min="2" max="2" width="14.7109375" customWidth="1"/>
    <col min="3" max="3" width="12.7109375" customWidth="1"/>
    <col min="4" max="4" width="13.42578125" customWidth="1"/>
    <col min="5" max="5" width="17.28515625" customWidth="1"/>
    <col min="6" max="6" width="12.28515625" customWidth="1"/>
    <col min="7" max="7" width="10.85546875" customWidth="1"/>
    <col min="8" max="8" width="15.5703125" customWidth="1"/>
    <col min="9" max="9" width="18.28515625" customWidth="1"/>
  </cols>
  <sheetData>
    <row r="1" spans="1:9">
      <c r="A1" t="s">
        <v>41</v>
      </c>
      <c r="B1" t="s">
        <v>6</v>
      </c>
      <c r="C1" t="s">
        <v>25</v>
      </c>
      <c r="D1" t="s">
        <v>44</v>
      </c>
      <c r="E1" t="s">
        <v>198</v>
      </c>
      <c r="F1" t="s">
        <v>8</v>
      </c>
      <c r="G1" t="s">
        <v>12</v>
      </c>
      <c r="H1" t="s">
        <v>267</v>
      </c>
      <c r="I1" t="s">
        <v>268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9"/>
  <sheetViews>
    <sheetView topLeftCell="A2" workbookViewId="0">
      <selection activeCell="A2" sqref="A2"/>
    </sheetView>
  </sheetViews>
  <sheetFormatPr defaultRowHeight="15"/>
  <cols>
    <col min="1" max="1" width="14.42578125" customWidth="1"/>
    <col min="2" max="2" width="11.5703125" customWidth="1"/>
    <col min="3" max="3" width="14.42578125" customWidth="1"/>
    <col min="4" max="4" width="34.85546875" customWidth="1"/>
    <col min="5" max="5" width="6.7109375" customWidth="1"/>
    <col min="6" max="6" width="13.5703125" customWidth="1"/>
    <col min="7" max="7" width="14.85546875" customWidth="1"/>
    <col min="8" max="8" width="15.7109375" customWidth="1"/>
    <col min="9" max="9" width="11" customWidth="1"/>
    <col min="10" max="10" width="7.140625" customWidth="1"/>
    <col min="11" max="11" width="10.140625" customWidth="1"/>
    <col min="12" max="12" width="21.140625" customWidth="1"/>
    <col min="13" max="13" width="11.140625" customWidth="1"/>
    <col min="14" max="14" width="28.7109375" customWidth="1"/>
    <col min="15" max="15" width="13.5703125" bestFit="1" customWidth="1"/>
  </cols>
  <sheetData>
    <row r="1" spans="1:14" ht="22.5">
      <c r="A1" s="2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8</v>
      </c>
      <c r="B2" s="3" t="s">
        <v>9</v>
      </c>
      <c r="C2" s="3" t="s">
        <v>6</v>
      </c>
      <c r="D2" s="3" t="s">
        <v>25</v>
      </c>
      <c r="E2" s="3" t="s">
        <v>43</v>
      </c>
      <c r="F2" s="3" t="s">
        <v>44</v>
      </c>
      <c r="G2" s="5" t="s">
        <v>10</v>
      </c>
      <c r="H2" s="5" t="s">
        <v>11</v>
      </c>
      <c r="I2" s="3" t="s">
        <v>12</v>
      </c>
      <c r="J2" s="3" t="s">
        <v>30</v>
      </c>
      <c r="K2" s="3" t="s">
        <v>7</v>
      </c>
      <c r="L2" s="3" t="s">
        <v>131</v>
      </c>
      <c r="M2" s="3" t="s">
        <v>39</v>
      </c>
      <c r="N2" s="3" t="s">
        <v>81</v>
      </c>
    </row>
    <row r="3" spans="1:14">
      <c r="A3" s="8" t="s">
        <v>200</v>
      </c>
      <c r="B3" s="8" t="s">
        <v>369</v>
      </c>
      <c r="C3" s="8" t="s">
        <v>370</v>
      </c>
      <c r="D3" s="8" t="s">
        <v>304</v>
      </c>
      <c r="E3" s="8" t="s">
        <v>371</v>
      </c>
      <c r="F3" s="8" t="s">
        <v>372</v>
      </c>
      <c r="G3" s="6">
        <v>43129</v>
      </c>
      <c r="H3" s="6">
        <v>43129</v>
      </c>
      <c r="I3" s="4">
        <v>-1</v>
      </c>
      <c r="J3" s="8" t="s">
        <v>31</v>
      </c>
      <c r="K3" s="8" t="s">
        <v>373</v>
      </c>
      <c r="L3" s="4" t="str">
        <f>IF(AtlasReport_1_Table_1[[#This Row],[Reference]]="Purchase order",_xll.AtlasFormulas.AtlasFunctions.AtlasTable("UAT",DataAreaId,"T.VendInvoiceTrans","%RecId","","","","","","","ItemId|PurchID|InventTransId",$C3,$B3,$K3),"")</f>
        <v/>
      </c>
      <c r="M3" s="4" t="str">
        <f>IF(AtlasReport_1_Table_1[[#This Row],[Reference]]="Purchase order",_xll.AtlasFormulas.AtlasFunctions.AtlasTable("UAT",DataAreaId,"T.MarkupTrans","%CurrencyCode","","","","","","","MarkupCode|TransRecId|TransTableId","TPP",$L3,"492"),"")</f>
        <v/>
      </c>
      <c r="N3" s="4" t="str">
        <f>IF(AtlasReport_1_Table_1[[#This Row],[Reference]]="Purchase order",_xll.AtlasFormulas.AtlasFunctions.AtlasBalance("UAT",DataAreaId,"T.MarkupTrans","Sum|Posted|0","","","","","","","MarkupCode|TransTableId|TransRecId","TPP","492",$L3),"")</f>
        <v/>
      </c>
    </row>
    <row r="4" spans="1:14">
      <c r="A4" s="8" t="s">
        <v>200</v>
      </c>
      <c r="B4" s="8" t="s">
        <v>369</v>
      </c>
      <c r="C4" s="8" t="s">
        <v>374</v>
      </c>
      <c r="D4" s="8" t="s">
        <v>374</v>
      </c>
      <c r="E4" s="8" t="s">
        <v>371</v>
      </c>
      <c r="F4" s="8" t="s">
        <v>372</v>
      </c>
      <c r="G4" s="6">
        <v>43129</v>
      </c>
      <c r="H4" s="6">
        <v>43129</v>
      </c>
      <c r="I4" s="4">
        <v>-1</v>
      </c>
      <c r="J4" s="8" t="s">
        <v>31</v>
      </c>
      <c r="K4" s="8" t="s">
        <v>375</v>
      </c>
      <c r="L4" s="4" t="str">
        <f>IF(AtlasReport_1_Table_1[[#This Row],[Reference]]="Purchase order",_xll.AtlasFormulas.AtlasFunctions.AtlasTable("UAT",DataAreaId,"T.VendInvoiceTrans","%RecId","","","","","","","ItemId|PurchID|InventTransId",$C4,$B4,$K4),"")</f>
        <v/>
      </c>
      <c r="M4" s="4" t="str">
        <f>IF(AtlasReport_1_Table_1[[#This Row],[Reference]]="Purchase order",_xll.AtlasFormulas.AtlasFunctions.AtlasTable("UAT",DataAreaId,"T.MarkupTrans","%CurrencyCode","","","","","","","MarkupCode|TransRecId|TransTableId","TPP",$L4,"492"),"")</f>
        <v/>
      </c>
      <c r="N4" s="4" t="str">
        <f>IF(AtlasReport_1_Table_1[[#This Row],[Reference]]="Purchase order",_xll.AtlasFormulas.AtlasFunctions.AtlasBalance("UAT",DataAreaId,"T.MarkupTrans","Sum|Posted|0","","","","","","","MarkupCode|TransTableId|TransRecId","TPP","492",$L4),"")</f>
        <v/>
      </c>
    </row>
    <row r="5" spans="1:14">
      <c r="A5" s="8" t="s">
        <v>200</v>
      </c>
      <c r="B5" s="8" t="s">
        <v>376</v>
      </c>
      <c r="C5" s="8" t="s">
        <v>377</v>
      </c>
      <c r="D5" s="8" t="s">
        <v>378</v>
      </c>
      <c r="E5" s="8" t="s">
        <v>371</v>
      </c>
      <c r="F5" s="8" t="s">
        <v>372</v>
      </c>
      <c r="G5" s="6">
        <v>43111</v>
      </c>
      <c r="H5" s="6">
        <v>43131</v>
      </c>
      <c r="I5" s="4">
        <v>-12</v>
      </c>
      <c r="J5" s="8" t="s">
        <v>33</v>
      </c>
      <c r="K5" s="8" t="s">
        <v>379</v>
      </c>
      <c r="L5" s="4" t="str">
        <f>IF(AtlasReport_1_Table_1[[#This Row],[Reference]]="Purchase order",_xll.AtlasFormulas.AtlasFunctions.AtlasTable("UAT",DataAreaId,"T.VendInvoiceTrans","%RecId","","","","","","","ItemId|PurchID|InventTransId",$C5,$B5,$K5),"")</f>
        <v/>
      </c>
      <c r="M5" s="4" t="str">
        <f>IF(AtlasReport_1_Table_1[[#This Row],[Reference]]="Purchase order",_xll.AtlasFormulas.AtlasFunctions.AtlasTable("UAT",DataAreaId,"T.MarkupTrans","%CurrencyCode","","","","","","","MarkupCode|TransRecId|TransTableId","TPP",$L5,"492"),"")</f>
        <v/>
      </c>
      <c r="N5" s="4" t="str">
        <f>IF(AtlasReport_1_Table_1[[#This Row],[Reference]]="Purchase order",_xll.AtlasFormulas.AtlasFunctions.AtlasBalance("UAT",DataAreaId,"T.MarkupTrans","Sum|Posted|0","","","","","","","MarkupCode|TransTableId|TransRecId","TPP","492",$L5),"")</f>
        <v/>
      </c>
    </row>
    <row r="6" spans="1:14">
      <c r="A6" s="8" t="s">
        <v>200</v>
      </c>
      <c r="B6" s="8" t="s">
        <v>380</v>
      </c>
      <c r="C6" s="8" t="s">
        <v>88</v>
      </c>
      <c r="D6" s="8" t="s">
        <v>89</v>
      </c>
      <c r="E6" s="8" t="s">
        <v>371</v>
      </c>
      <c r="F6" s="8" t="s">
        <v>372</v>
      </c>
      <c r="G6" s="6">
        <v>43119</v>
      </c>
      <c r="H6" s="6">
        <v>43131</v>
      </c>
      <c r="I6" s="4">
        <v>-549.5</v>
      </c>
      <c r="J6" s="8" t="s">
        <v>33</v>
      </c>
      <c r="K6" s="8" t="s">
        <v>381</v>
      </c>
      <c r="L6" s="4" t="str">
        <f>IF(AtlasReport_1_Table_1[[#This Row],[Reference]]="Purchase order",_xll.AtlasFormulas.AtlasFunctions.AtlasTable("UAT",DataAreaId,"T.VendInvoiceTrans","%RecId","","","","","","","ItemId|PurchID|InventTransId",$C6,$B6,$K6),"")</f>
        <v/>
      </c>
      <c r="M6" s="4" t="str">
        <f>IF(AtlasReport_1_Table_1[[#This Row],[Reference]]="Purchase order",_xll.AtlasFormulas.AtlasFunctions.AtlasTable("UAT",DataAreaId,"T.MarkupTrans","%CurrencyCode","","","","","","","MarkupCode|TransRecId|TransTableId","TPP",$L6,"492"),"")</f>
        <v/>
      </c>
      <c r="N6" s="4" t="str">
        <f>IF(AtlasReport_1_Table_1[[#This Row],[Reference]]="Purchase order",_xll.AtlasFormulas.AtlasFunctions.AtlasBalance("UAT",DataAreaId,"T.MarkupTrans","Sum|Posted|0","","","","","","","MarkupCode|TransTableId|TransRecId","TPP","492",$L6),"")</f>
        <v/>
      </c>
    </row>
    <row r="7" spans="1:14">
      <c r="A7" s="8" t="s">
        <v>200</v>
      </c>
      <c r="B7" s="8" t="s">
        <v>382</v>
      </c>
      <c r="C7" s="8" t="s">
        <v>53</v>
      </c>
      <c r="D7" s="8" t="s">
        <v>82</v>
      </c>
      <c r="E7" s="8" t="s">
        <v>371</v>
      </c>
      <c r="F7" s="8" t="s">
        <v>372</v>
      </c>
      <c r="G7" s="6">
        <v>43117</v>
      </c>
      <c r="H7" s="6">
        <v>43131</v>
      </c>
      <c r="I7" s="4">
        <v>-2.35</v>
      </c>
      <c r="J7" s="8" t="s">
        <v>33</v>
      </c>
      <c r="K7" s="8" t="s">
        <v>383</v>
      </c>
      <c r="L7" s="4" t="str">
        <f>IF(AtlasReport_1_Table_1[[#This Row],[Reference]]="Purchase order",_xll.AtlasFormulas.AtlasFunctions.AtlasTable("UAT",DataAreaId,"T.VendInvoiceTrans","%RecId","","","","","","","ItemId|PurchID|InventTransId",$C7,$B7,$K7),"")</f>
        <v/>
      </c>
      <c r="M7" s="4" t="str">
        <f>IF(AtlasReport_1_Table_1[[#This Row],[Reference]]="Purchase order",_xll.AtlasFormulas.AtlasFunctions.AtlasTable("UAT",DataAreaId,"T.MarkupTrans","%CurrencyCode","","","","","","","MarkupCode|TransRecId|TransTableId","TPP",$L7,"492"),"")</f>
        <v/>
      </c>
      <c r="N7" s="4" t="str">
        <f>IF(AtlasReport_1_Table_1[[#This Row],[Reference]]="Purchase order",_xll.AtlasFormulas.AtlasFunctions.AtlasBalance("UAT",DataAreaId,"T.MarkupTrans","Sum|Posted|0","","","","","","","MarkupCode|TransTableId|TransRecId","TPP","492",$L7),"")</f>
        <v/>
      </c>
    </row>
    <row r="8" spans="1:14">
      <c r="A8" s="8" t="s">
        <v>200</v>
      </c>
      <c r="B8" s="8" t="s">
        <v>384</v>
      </c>
      <c r="C8" s="8" t="s">
        <v>86</v>
      </c>
      <c r="D8" s="8" t="s">
        <v>87</v>
      </c>
      <c r="E8" s="8" t="s">
        <v>371</v>
      </c>
      <c r="F8" s="8" t="s">
        <v>372</v>
      </c>
      <c r="G8" s="6">
        <v>43118</v>
      </c>
      <c r="H8" s="6">
        <v>43131</v>
      </c>
      <c r="I8" s="4">
        <v>-600</v>
      </c>
      <c r="J8" s="8" t="s">
        <v>33</v>
      </c>
      <c r="K8" s="8" t="s">
        <v>385</v>
      </c>
      <c r="L8" s="4" t="str">
        <f>IF(AtlasReport_1_Table_1[[#This Row],[Reference]]="Purchase order",_xll.AtlasFormulas.AtlasFunctions.AtlasTable("UAT",DataAreaId,"T.VendInvoiceTrans","%RecId","","","","","","","ItemId|PurchID|InventTransId",$C8,$B8,$K8),"")</f>
        <v/>
      </c>
      <c r="M8" s="4" t="str">
        <f>IF(AtlasReport_1_Table_1[[#This Row],[Reference]]="Purchase order",_xll.AtlasFormulas.AtlasFunctions.AtlasTable("UAT",DataAreaId,"T.MarkupTrans","%CurrencyCode","","","","","","","MarkupCode|TransRecId|TransTableId","TPP",$L8,"492"),"")</f>
        <v/>
      </c>
      <c r="N8" s="4" t="str">
        <f>IF(AtlasReport_1_Table_1[[#This Row],[Reference]]="Purchase order",_xll.AtlasFormulas.AtlasFunctions.AtlasBalance("UAT",DataAreaId,"T.MarkupTrans","Sum|Posted|0","","","","","","","MarkupCode|TransTableId|TransRecId","TPP","492",$L8),"")</f>
        <v/>
      </c>
    </row>
    <row r="9" spans="1:14">
      <c r="A9" s="8" t="s">
        <v>200</v>
      </c>
      <c r="B9" s="8" t="s">
        <v>386</v>
      </c>
      <c r="C9" s="8" t="s">
        <v>387</v>
      </c>
      <c r="D9" s="8" t="s">
        <v>388</v>
      </c>
      <c r="E9" s="8" t="s">
        <v>371</v>
      </c>
      <c r="F9" s="8" t="s">
        <v>372</v>
      </c>
      <c r="G9" s="6">
        <v>43118</v>
      </c>
      <c r="H9" s="6">
        <v>43131</v>
      </c>
      <c r="I9" s="4">
        <v>-10</v>
      </c>
      <c r="J9" s="8" t="s">
        <v>33</v>
      </c>
      <c r="K9" s="8" t="s">
        <v>389</v>
      </c>
      <c r="L9" s="4" t="str">
        <f>IF(AtlasReport_1_Table_1[[#This Row],[Reference]]="Purchase order",_xll.AtlasFormulas.AtlasFunctions.AtlasTable("UAT",DataAreaId,"T.VendInvoiceTrans","%RecId","","","","","","","ItemId|PurchID|InventTransId",$C9,$B9,$K9),"")</f>
        <v/>
      </c>
      <c r="M9" s="4" t="str">
        <f>IF(AtlasReport_1_Table_1[[#This Row],[Reference]]="Purchase order",_xll.AtlasFormulas.AtlasFunctions.AtlasTable("UAT",DataAreaId,"T.MarkupTrans","%CurrencyCode","","","","","","","MarkupCode|TransRecId|TransTableId","TPP",$L9,"492"),"")</f>
        <v/>
      </c>
      <c r="N9" s="4" t="str">
        <f>IF(AtlasReport_1_Table_1[[#This Row],[Reference]]="Purchase order",_xll.AtlasFormulas.AtlasFunctions.AtlasBalance("UAT",DataAreaId,"T.MarkupTrans","Sum|Posted|0","","","","","","","MarkupCode|TransTableId|TransRecId","TPP","492",$L9),"")</f>
        <v/>
      </c>
    </row>
    <row r="10" spans="1:14">
      <c r="A10" s="8" t="s">
        <v>200</v>
      </c>
      <c r="B10" s="8" t="s">
        <v>386</v>
      </c>
      <c r="C10" s="8" t="s">
        <v>60</v>
      </c>
      <c r="D10" s="8" t="s">
        <v>390</v>
      </c>
      <c r="E10" s="8" t="s">
        <v>371</v>
      </c>
      <c r="F10" s="8" t="s">
        <v>372</v>
      </c>
      <c r="G10" s="6">
        <v>43118</v>
      </c>
      <c r="H10" s="6">
        <v>43131</v>
      </c>
      <c r="I10" s="4">
        <v>-5</v>
      </c>
      <c r="J10" s="8" t="s">
        <v>31</v>
      </c>
      <c r="K10" s="8" t="s">
        <v>391</v>
      </c>
      <c r="L10" s="4" t="str">
        <f>IF(AtlasReport_1_Table_1[[#This Row],[Reference]]="Purchase order",_xll.AtlasFormulas.AtlasFunctions.AtlasTable("UAT",DataAreaId,"T.VendInvoiceTrans","%RecId","","","","","","","ItemId|PurchID|InventTransId",$C10,$B10,$K10),"")</f>
        <v/>
      </c>
      <c r="M10" s="4" t="str">
        <f>IF(AtlasReport_1_Table_1[[#This Row],[Reference]]="Purchase order",_xll.AtlasFormulas.AtlasFunctions.AtlasTable("UAT",DataAreaId,"T.MarkupTrans","%CurrencyCode","","","","","","","MarkupCode|TransRecId|TransTableId","TPP",$L10,"492"),"")</f>
        <v/>
      </c>
      <c r="N10" s="4" t="str">
        <f>IF(AtlasReport_1_Table_1[[#This Row],[Reference]]="Purchase order",_xll.AtlasFormulas.AtlasFunctions.AtlasBalance("UAT",DataAreaId,"T.MarkupTrans","Sum|Posted|0","","","","","","","MarkupCode|TransTableId|TransRecId","TPP","492",$L10),"")</f>
        <v/>
      </c>
    </row>
    <row r="11" spans="1:14">
      <c r="A11" s="8" t="s">
        <v>200</v>
      </c>
      <c r="B11" s="8" t="s">
        <v>392</v>
      </c>
      <c r="C11" s="8" t="s">
        <v>46</v>
      </c>
      <c r="D11" s="8" t="s">
        <v>85</v>
      </c>
      <c r="E11" s="8" t="s">
        <v>371</v>
      </c>
      <c r="F11" s="8" t="s">
        <v>372</v>
      </c>
      <c r="G11" s="6">
        <v>43119</v>
      </c>
      <c r="H11" s="6">
        <v>43131</v>
      </c>
      <c r="I11" s="4">
        <v>-195</v>
      </c>
      <c r="J11" s="8" t="s">
        <v>32</v>
      </c>
      <c r="K11" s="8" t="s">
        <v>393</v>
      </c>
      <c r="L11" s="4" t="str">
        <f>IF(AtlasReport_1_Table_1[[#This Row],[Reference]]="Purchase order",_xll.AtlasFormulas.AtlasFunctions.AtlasTable("UAT",DataAreaId,"T.VendInvoiceTrans","%RecId","","","","","","","ItemId|PurchID|InventTransId",$C11,$B11,$K11),"")</f>
        <v/>
      </c>
      <c r="M11" s="4" t="str">
        <f>IF(AtlasReport_1_Table_1[[#This Row],[Reference]]="Purchase order",_xll.AtlasFormulas.AtlasFunctions.AtlasTable("UAT",DataAreaId,"T.MarkupTrans","%CurrencyCode","","","","","","","MarkupCode|TransRecId|TransTableId","TPP",$L11,"492"),"")</f>
        <v/>
      </c>
      <c r="N11" s="4" t="str">
        <f>IF(AtlasReport_1_Table_1[[#This Row],[Reference]]="Purchase order",_xll.AtlasFormulas.AtlasFunctions.AtlasBalance("UAT",DataAreaId,"T.MarkupTrans","Sum|Posted|0","","","","","","","MarkupCode|TransTableId|TransRecId","TPP","492",$L11),"")</f>
        <v/>
      </c>
    </row>
    <row r="12" spans="1:14">
      <c r="A12" s="8" t="s">
        <v>200</v>
      </c>
      <c r="B12" s="8" t="s">
        <v>392</v>
      </c>
      <c r="C12" s="8" t="s">
        <v>297</v>
      </c>
      <c r="D12" s="8" t="s">
        <v>299</v>
      </c>
      <c r="E12" s="8" t="s">
        <v>371</v>
      </c>
      <c r="F12" s="8" t="s">
        <v>372</v>
      </c>
      <c r="G12" s="6">
        <v>43119</v>
      </c>
      <c r="H12" s="6">
        <v>43131</v>
      </c>
      <c r="I12" s="4">
        <v>-120</v>
      </c>
      <c r="J12" s="8" t="s">
        <v>31</v>
      </c>
      <c r="K12" s="8" t="s">
        <v>394</v>
      </c>
      <c r="L12" s="4" t="str">
        <f>IF(AtlasReport_1_Table_1[[#This Row],[Reference]]="Purchase order",_xll.AtlasFormulas.AtlasFunctions.AtlasTable("UAT",DataAreaId,"T.VendInvoiceTrans","%RecId","","","","","","","ItemId|PurchID|InventTransId",$C12,$B12,$K12),"")</f>
        <v/>
      </c>
      <c r="M12" s="4" t="str">
        <f>IF(AtlasReport_1_Table_1[[#This Row],[Reference]]="Purchase order",_xll.AtlasFormulas.AtlasFunctions.AtlasTable("UAT",DataAreaId,"T.MarkupTrans","%CurrencyCode","","","","","","","MarkupCode|TransRecId|TransTableId","TPP",$L12,"492"),"")</f>
        <v/>
      </c>
      <c r="N12" s="4" t="str">
        <f>IF(AtlasReport_1_Table_1[[#This Row],[Reference]]="Purchase order",_xll.AtlasFormulas.AtlasFunctions.AtlasBalance("UAT",DataAreaId,"T.MarkupTrans","Sum|Posted|0","","","","","","","MarkupCode|TransTableId|TransRecId","TPP","492",$L12),"")</f>
        <v/>
      </c>
    </row>
    <row r="13" spans="1:14">
      <c r="A13" s="8" t="s">
        <v>200</v>
      </c>
      <c r="B13" s="8" t="s">
        <v>392</v>
      </c>
      <c r="C13" s="8" t="s">
        <v>54</v>
      </c>
      <c r="D13" s="8" t="s">
        <v>173</v>
      </c>
      <c r="E13" s="8" t="s">
        <v>371</v>
      </c>
      <c r="F13" s="8" t="s">
        <v>372</v>
      </c>
      <c r="G13" s="6">
        <v>43119</v>
      </c>
      <c r="H13" s="6">
        <v>43131</v>
      </c>
      <c r="I13" s="4">
        <v>-100</v>
      </c>
      <c r="J13" s="8" t="s">
        <v>33</v>
      </c>
      <c r="K13" s="8" t="s">
        <v>395</v>
      </c>
      <c r="L13" s="4" t="str">
        <f>IF(AtlasReport_1_Table_1[[#This Row],[Reference]]="Purchase order",_xll.AtlasFormulas.AtlasFunctions.AtlasTable("UAT",DataAreaId,"T.VendInvoiceTrans","%RecId","","","","","","","ItemId|PurchID|InventTransId",$C13,$B13,$K13),"")</f>
        <v/>
      </c>
      <c r="M13" s="4" t="str">
        <f>IF(AtlasReport_1_Table_1[[#This Row],[Reference]]="Purchase order",_xll.AtlasFormulas.AtlasFunctions.AtlasTable("UAT",DataAreaId,"T.MarkupTrans","%CurrencyCode","","","","","","","MarkupCode|TransRecId|TransTableId","TPP",$L13,"492"),"")</f>
        <v/>
      </c>
      <c r="N13" s="4" t="str">
        <f>IF(AtlasReport_1_Table_1[[#This Row],[Reference]]="Purchase order",_xll.AtlasFormulas.AtlasFunctions.AtlasBalance("UAT",DataAreaId,"T.MarkupTrans","Sum|Posted|0","","","","","","","MarkupCode|TransTableId|TransRecId","TPP","492",$L13),"")</f>
        <v/>
      </c>
    </row>
    <row r="14" spans="1:14">
      <c r="A14" s="8" t="s">
        <v>200</v>
      </c>
      <c r="B14" s="8" t="s">
        <v>396</v>
      </c>
      <c r="C14" s="8" t="s">
        <v>98</v>
      </c>
      <c r="D14" s="8" t="s">
        <v>99</v>
      </c>
      <c r="E14" s="8" t="s">
        <v>371</v>
      </c>
      <c r="F14" s="8" t="s">
        <v>372</v>
      </c>
      <c r="G14" s="6">
        <v>43122</v>
      </c>
      <c r="H14" s="6">
        <v>43131</v>
      </c>
      <c r="I14" s="4">
        <v>-12.44</v>
      </c>
      <c r="J14" s="8" t="s">
        <v>33</v>
      </c>
      <c r="K14" s="8" t="s">
        <v>397</v>
      </c>
      <c r="L14" s="4" t="str">
        <f>IF(AtlasReport_1_Table_1[[#This Row],[Reference]]="Purchase order",_xll.AtlasFormulas.AtlasFunctions.AtlasTable("UAT",DataAreaId,"T.VendInvoiceTrans","%RecId","","","","","","","ItemId|PurchID|InventTransId",$C14,$B14,$K14),"")</f>
        <v/>
      </c>
      <c r="M14" s="4" t="str">
        <f>IF(AtlasReport_1_Table_1[[#This Row],[Reference]]="Purchase order",_xll.AtlasFormulas.AtlasFunctions.AtlasTable("UAT",DataAreaId,"T.MarkupTrans","%CurrencyCode","","","","","","","MarkupCode|TransRecId|TransTableId","TPP",$L14,"492"),"")</f>
        <v/>
      </c>
      <c r="N14" s="4" t="str">
        <f>IF(AtlasReport_1_Table_1[[#This Row],[Reference]]="Purchase order",_xll.AtlasFormulas.AtlasFunctions.AtlasBalance("UAT",DataAreaId,"T.MarkupTrans","Sum|Posted|0","","","","","","","MarkupCode|TransTableId|TransRecId","TPP","492",$L14),"")</f>
        <v/>
      </c>
    </row>
    <row r="15" spans="1:14">
      <c r="A15" s="8" t="s">
        <v>200</v>
      </c>
      <c r="B15" s="8" t="s">
        <v>398</v>
      </c>
      <c r="C15" s="8" t="s">
        <v>62</v>
      </c>
      <c r="D15" s="8" t="s">
        <v>26</v>
      </c>
      <c r="E15" s="8" t="s">
        <v>371</v>
      </c>
      <c r="F15" s="8" t="s">
        <v>372</v>
      </c>
      <c r="G15" s="6">
        <v>43125</v>
      </c>
      <c r="H15" s="6">
        <v>43131</v>
      </c>
      <c r="I15" s="4">
        <v>-300</v>
      </c>
      <c r="J15" s="8" t="s">
        <v>32</v>
      </c>
      <c r="K15" s="8" t="s">
        <v>399</v>
      </c>
      <c r="L15" s="4" t="str">
        <f>IF(AtlasReport_1_Table_1[[#This Row],[Reference]]="Purchase order",_xll.AtlasFormulas.AtlasFunctions.AtlasTable("UAT",DataAreaId,"T.VendInvoiceTrans","%RecId","","","","","","","ItemId|PurchID|InventTransId",$C15,$B15,$K15),"")</f>
        <v/>
      </c>
      <c r="M15" s="4" t="str">
        <f>IF(AtlasReport_1_Table_1[[#This Row],[Reference]]="Purchase order",_xll.AtlasFormulas.AtlasFunctions.AtlasTable("UAT",DataAreaId,"T.MarkupTrans","%CurrencyCode","","","","","","","MarkupCode|TransRecId|TransTableId","TPP",$L15,"492"),"")</f>
        <v/>
      </c>
      <c r="N15" s="4" t="str">
        <f>IF(AtlasReport_1_Table_1[[#This Row],[Reference]]="Purchase order",_xll.AtlasFormulas.AtlasFunctions.AtlasBalance("UAT",DataAreaId,"T.MarkupTrans","Sum|Posted|0","","","","","","","MarkupCode|TransTableId|TransRecId","TPP","492",$L15),"")</f>
        <v/>
      </c>
    </row>
    <row r="16" spans="1:14" ht="30">
      <c r="A16" s="8" t="s">
        <v>200</v>
      </c>
      <c r="B16" s="8" t="s">
        <v>398</v>
      </c>
      <c r="C16" s="8" t="s">
        <v>193</v>
      </c>
      <c r="D16" s="11" t="s">
        <v>194</v>
      </c>
      <c r="E16" s="8" t="s">
        <v>371</v>
      </c>
      <c r="F16" s="8" t="s">
        <v>372</v>
      </c>
      <c r="G16" s="6">
        <v>43125</v>
      </c>
      <c r="H16" s="6">
        <v>43131</v>
      </c>
      <c r="I16" s="4">
        <v>-40</v>
      </c>
      <c r="J16" s="8" t="s">
        <v>31</v>
      </c>
      <c r="K16" s="8" t="s">
        <v>400</v>
      </c>
      <c r="L16" s="4" t="str">
        <f>IF(AtlasReport_1_Table_1[[#This Row],[Reference]]="Purchase order",_xll.AtlasFormulas.AtlasFunctions.AtlasTable("UAT",DataAreaId,"T.VendInvoiceTrans","%RecId","","","","","","","ItemId|PurchID|InventTransId",$C16,$B16,$K16),"")</f>
        <v/>
      </c>
      <c r="M16" s="4" t="str">
        <f>IF(AtlasReport_1_Table_1[[#This Row],[Reference]]="Purchase order",_xll.AtlasFormulas.AtlasFunctions.AtlasTable("UAT",DataAreaId,"T.MarkupTrans","%CurrencyCode","","","","","","","MarkupCode|TransRecId|TransTableId","TPP",$L16,"492"),"")</f>
        <v/>
      </c>
      <c r="N16" s="4" t="str">
        <f>IF(AtlasReport_1_Table_1[[#This Row],[Reference]]="Purchase order",_xll.AtlasFormulas.AtlasFunctions.AtlasBalance("UAT",DataAreaId,"T.MarkupTrans","Sum|Posted|0","","","","","","","MarkupCode|TransTableId|TransRecId","TPP","492",$L16),"")</f>
        <v/>
      </c>
    </row>
    <row r="17" spans="1:14">
      <c r="A17" s="8" t="s">
        <v>200</v>
      </c>
      <c r="B17" s="8" t="s">
        <v>401</v>
      </c>
      <c r="C17" s="8" t="s">
        <v>88</v>
      </c>
      <c r="D17" s="8" t="s">
        <v>89</v>
      </c>
      <c r="E17" s="8" t="s">
        <v>371</v>
      </c>
      <c r="F17" s="8" t="s">
        <v>372</v>
      </c>
      <c r="G17" s="6">
        <v>43130</v>
      </c>
      <c r="H17" s="6">
        <v>43130</v>
      </c>
      <c r="I17" s="4">
        <v>0</v>
      </c>
      <c r="J17" s="8" t="s">
        <v>33</v>
      </c>
      <c r="K17" s="8" t="s">
        <v>402</v>
      </c>
      <c r="L17" s="4" t="str">
        <f>IF(AtlasReport_1_Table_1[[#This Row],[Reference]]="Purchase order",_xll.AtlasFormulas.AtlasFunctions.AtlasTable("UAT",DataAreaId,"T.VendInvoiceTrans","%RecId","","","","","","","ItemId|PurchID|InventTransId",$C17,$B17,$K17),"")</f>
        <v/>
      </c>
      <c r="M17" s="4" t="str">
        <f>IF(AtlasReport_1_Table_1[[#This Row],[Reference]]="Purchase order",_xll.AtlasFormulas.AtlasFunctions.AtlasTable("UAT",DataAreaId,"T.MarkupTrans","%CurrencyCode","","","","","","","MarkupCode|TransRecId|TransTableId","TPP",$L17,"492"),"")</f>
        <v/>
      </c>
      <c r="N17" s="4" t="str">
        <f>IF(AtlasReport_1_Table_1[[#This Row],[Reference]]="Purchase order",_xll.AtlasFormulas.AtlasFunctions.AtlasBalance("UAT",DataAreaId,"T.MarkupTrans","Sum|Posted|0","","","","","","","MarkupCode|TransTableId|TransRecId","TPP","492",$L17),"")</f>
        <v/>
      </c>
    </row>
    <row r="18" spans="1:14">
      <c r="A18" s="8" t="s">
        <v>17</v>
      </c>
      <c r="B18" s="8" t="s">
        <v>403</v>
      </c>
      <c r="C18" s="8" t="s">
        <v>404</v>
      </c>
      <c r="D18" s="8" t="s">
        <v>405</v>
      </c>
      <c r="E18" s="8" t="s">
        <v>371</v>
      </c>
      <c r="F18" s="8" t="s">
        <v>372</v>
      </c>
      <c r="G18" s="6">
        <v>43130</v>
      </c>
      <c r="H18" s="6">
        <v>43130</v>
      </c>
      <c r="I18" s="4">
        <v>25350</v>
      </c>
      <c r="J18" s="8" t="s">
        <v>32</v>
      </c>
      <c r="K18" s="8" t="s">
        <v>406</v>
      </c>
      <c r="L18" s="4" t="str">
        <f>IF(AtlasReport_1_Table_1[[#This Row],[Reference]]="Purchase order",_xll.AtlasFormulas.AtlasFunctions.AtlasTable("UAT",DataAreaId,"T.VendInvoiceTrans","%RecId","","","","","","","ItemId|PurchID|InventTransId",$C18,$B18,$K18),"")</f>
        <v>5637299199</v>
      </c>
      <c r="M18" s="4" t="str">
        <f>IF(AtlasReport_1_Table_1[[#This Row],[Reference]]="Purchase order",_xll.AtlasFormulas.AtlasFunctions.AtlasTable("UAT",DataAreaId,"T.MarkupTrans","%CurrencyCode","","","","","","","MarkupCode|TransRecId|TransTableId","TPP",$L18,"492"),"")</f>
        <v>EUR</v>
      </c>
      <c r="N18" s="4">
        <f>IF(AtlasReport_1_Table_1[[#This Row],[Reference]]="Purchase order",_xll.AtlasFormulas.AtlasFunctions.AtlasBalance("UAT",DataAreaId,"T.MarkupTrans","Sum|Posted|0","","","","","","","MarkupCode|TransTableId|TransRecId","TPP","492",$L18),"")</f>
        <v>65796.94</v>
      </c>
    </row>
    <row r="19" spans="1:14">
      <c r="A19" s="8" t="s">
        <v>17</v>
      </c>
      <c r="B19" s="8" t="s">
        <v>407</v>
      </c>
      <c r="C19" s="8" t="s">
        <v>404</v>
      </c>
      <c r="D19" s="8" t="s">
        <v>405</v>
      </c>
      <c r="E19" s="8" t="s">
        <v>371</v>
      </c>
      <c r="F19" s="8" t="s">
        <v>372</v>
      </c>
      <c r="G19" s="6">
        <v>43130</v>
      </c>
      <c r="H19" s="6">
        <v>43130</v>
      </c>
      <c r="I19" s="4">
        <v>-25350</v>
      </c>
      <c r="J19" s="8" t="s">
        <v>32</v>
      </c>
      <c r="K19" s="8" t="s">
        <v>408</v>
      </c>
      <c r="L19" s="4" t="str">
        <f>IF(AtlasReport_1_Table_1[[#This Row],[Reference]]="Purchase order",_xll.AtlasFormulas.AtlasFunctions.AtlasTable("UAT",DataAreaId,"T.VendInvoiceTrans","%RecId","","","","","","","ItemId|PurchID|InventTransId",$C19,$B19,$K19),"")</f>
        <v>5637299930</v>
      </c>
      <c r="M19" s="4" t="str">
        <f>IF(AtlasReport_1_Table_1[[#This Row],[Reference]]="Purchase order",_xll.AtlasFormulas.AtlasFunctions.AtlasTable("UAT",DataAreaId,"T.MarkupTrans","%CurrencyCode","","","","","","","MarkupCode|TransRecId|TransTableId","TPP",$L19,"492"),"")</f>
        <v>EUR</v>
      </c>
      <c r="N19" s="4">
        <f>IF(AtlasReport_1_Table_1[[#This Row],[Reference]]="Purchase order",_xll.AtlasFormulas.AtlasFunctions.AtlasBalance("UAT",DataAreaId,"T.MarkupTrans","Sum|Posted|0","","","","","","","MarkupCode|TransTableId|TransRecId","TPP","492",$L19),"")</f>
        <v>29473.18</v>
      </c>
    </row>
    <row r="20" spans="1:14">
      <c r="A20" s="8" t="s">
        <v>17</v>
      </c>
      <c r="B20" s="8" t="s">
        <v>407</v>
      </c>
      <c r="C20" s="8" t="s">
        <v>404</v>
      </c>
      <c r="D20" s="8" t="s">
        <v>405</v>
      </c>
      <c r="E20" s="8" t="s">
        <v>371</v>
      </c>
      <c r="F20" s="8" t="s">
        <v>372</v>
      </c>
      <c r="G20" s="6">
        <v>43131</v>
      </c>
      <c r="H20" s="6">
        <v>43130</v>
      </c>
      <c r="I20" s="4">
        <v>25350</v>
      </c>
      <c r="J20" s="8" t="s">
        <v>32</v>
      </c>
      <c r="K20" s="8" t="s">
        <v>408</v>
      </c>
      <c r="L20" s="4" t="str">
        <f>IF(AtlasReport_1_Table_1[[#This Row],[Reference]]="Purchase order",_xll.AtlasFormulas.AtlasFunctions.AtlasTable("UAT",DataAreaId,"T.VendInvoiceTrans","%RecId","","","","","","","ItemId|PurchID|InventTransId",$C20,$B20,$K20),"")</f>
        <v>5637299930</v>
      </c>
      <c r="M20" s="4" t="str">
        <f>IF(AtlasReport_1_Table_1[[#This Row],[Reference]]="Purchase order",_xll.AtlasFormulas.AtlasFunctions.AtlasTable("UAT",DataAreaId,"T.MarkupTrans","%CurrencyCode","","","","","","","MarkupCode|TransRecId|TransTableId","TPP",$L20,"492"),"")</f>
        <v>EUR</v>
      </c>
      <c r="N20" s="4">
        <f>IF(AtlasReport_1_Table_1[[#This Row],[Reference]]="Purchase order",_xll.AtlasFormulas.AtlasFunctions.AtlasBalance("UAT",DataAreaId,"T.MarkupTrans","Sum|Posted|0","","","","","","","MarkupCode|TransTableId|TransRecId","TPP","492",$L20),"")</f>
        <v>29473.18</v>
      </c>
    </row>
    <row r="21" spans="1:14">
      <c r="A21" s="8" t="s">
        <v>17</v>
      </c>
      <c r="B21" s="8" t="s">
        <v>409</v>
      </c>
      <c r="C21" s="8" t="s">
        <v>48</v>
      </c>
      <c r="D21" s="8" t="s">
        <v>138</v>
      </c>
      <c r="E21" s="8" t="s">
        <v>371</v>
      </c>
      <c r="F21" s="8" t="s">
        <v>372</v>
      </c>
      <c r="G21" s="6">
        <v>43131</v>
      </c>
      <c r="H21" s="6">
        <v>43131</v>
      </c>
      <c r="I21" s="4">
        <v>0</v>
      </c>
      <c r="J21" s="8" t="s">
        <v>32</v>
      </c>
      <c r="K21" s="8" t="s">
        <v>410</v>
      </c>
      <c r="L21" s="4" t="str">
        <f>IF(AtlasReport_1_Table_1[[#This Row],[Reference]]="Purchase order",_xll.AtlasFormulas.AtlasFunctions.AtlasTable("UAT",DataAreaId,"T.VendInvoiceTrans","%RecId","","","","","","","ItemId|PurchID|InventTransId",$C21,$B21,$K21),"")</f>
        <v>5637299423</v>
      </c>
      <c r="M21" s="4" t="str">
        <f>IF(AtlasReport_1_Table_1[[#This Row],[Reference]]="Purchase order",_xll.AtlasFormulas.AtlasFunctions.AtlasTable("UAT",DataAreaId,"T.MarkupTrans","%CurrencyCode","","","","","","","MarkupCode|TransRecId|TransTableId","TPP",$L21,"492"),"")</f>
        <v>EUR</v>
      </c>
      <c r="N21" s="4">
        <f>IF(AtlasReport_1_Table_1[[#This Row],[Reference]]="Purchase order",_xll.AtlasFormulas.AtlasFunctions.AtlasBalance("UAT",DataAreaId,"T.MarkupTrans","Sum|Posted|0","","","","","","","MarkupCode|TransTableId|TransRecId","TPP","492",$L21),"")</f>
        <v>1822.97</v>
      </c>
    </row>
    <row r="22" spans="1:14">
      <c r="A22" s="8" t="s">
        <v>17</v>
      </c>
      <c r="B22" s="8" t="s">
        <v>409</v>
      </c>
      <c r="C22" s="8" t="s">
        <v>22</v>
      </c>
      <c r="D22" s="8" t="s">
        <v>26</v>
      </c>
      <c r="E22" s="8" t="s">
        <v>371</v>
      </c>
      <c r="F22" s="8" t="s">
        <v>372</v>
      </c>
      <c r="G22" s="6">
        <v>43131</v>
      </c>
      <c r="H22" s="6">
        <v>43131</v>
      </c>
      <c r="I22" s="4">
        <v>0</v>
      </c>
      <c r="J22" s="8" t="s">
        <v>32</v>
      </c>
      <c r="K22" s="8" t="s">
        <v>411</v>
      </c>
      <c r="L22" s="4" t="str">
        <f>IF(AtlasReport_1_Table_1[[#This Row],[Reference]]="Purchase order",_xll.AtlasFormulas.AtlasFunctions.AtlasTable("UAT",DataAreaId,"T.VendInvoiceTrans","%RecId","","","","","","","ItemId|PurchID|InventTransId",$C22,$B22,$K22),"")</f>
        <v>5637299424</v>
      </c>
      <c r="M22" s="4" t="str">
        <f>IF(AtlasReport_1_Table_1[[#This Row],[Reference]]="Purchase order",_xll.AtlasFormulas.AtlasFunctions.AtlasTable("UAT",DataAreaId,"T.MarkupTrans","%CurrencyCode","","","","","","","MarkupCode|TransRecId|TransTableId","TPP",$L22,"492"),"")</f>
        <v>EUR</v>
      </c>
      <c r="N22" s="4">
        <f>IF(AtlasReport_1_Table_1[[#This Row],[Reference]]="Purchase order",_xll.AtlasFormulas.AtlasFunctions.AtlasBalance("UAT",DataAreaId,"T.MarkupTrans","Sum|Posted|0","","","","","","","MarkupCode|TransTableId|TransRecId","TPP","492",$L22),"")</f>
        <v>2792</v>
      </c>
    </row>
    <row r="23" spans="1:14">
      <c r="A23" s="8" t="s">
        <v>17</v>
      </c>
      <c r="B23" s="8" t="s">
        <v>409</v>
      </c>
      <c r="C23" s="8" t="s">
        <v>63</v>
      </c>
      <c r="D23" s="8" t="s">
        <v>111</v>
      </c>
      <c r="E23" s="8" t="s">
        <v>371</v>
      </c>
      <c r="F23" s="8" t="s">
        <v>372</v>
      </c>
      <c r="G23" s="6">
        <v>43131</v>
      </c>
      <c r="H23" s="6">
        <v>43131</v>
      </c>
      <c r="I23" s="4">
        <v>0</v>
      </c>
      <c r="J23" s="8" t="s">
        <v>32</v>
      </c>
      <c r="K23" s="8" t="s">
        <v>412</v>
      </c>
      <c r="L23" s="4" t="str">
        <f>IF(AtlasReport_1_Table_1[[#This Row],[Reference]]="Purchase order",_xll.AtlasFormulas.AtlasFunctions.AtlasTable("UAT",DataAreaId,"T.VendInvoiceTrans","%RecId","","","","","","","ItemId|PurchID|InventTransId",$C23,$B23,$K23),"")</f>
        <v>5637299425</v>
      </c>
      <c r="M23" s="4" t="str">
        <f>IF(AtlasReport_1_Table_1[[#This Row],[Reference]]="Purchase order",_xll.AtlasFormulas.AtlasFunctions.AtlasTable("UAT",DataAreaId,"T.MarkupTrans","%CurrencyCode","","","","","","","MarkupCode|TransRecId|TransTableId","TPP",$L23,"492"),"")</f>
        <v>EUR</v>
      </c>
      <c r="N23" s="4">
        <f>IF(AtlasReport_1_Table_1[[#This Row],[Reference]]="Purchase order",_xll.AtlasFormulas.AtlasFunctions.AtlasBalance("UAT",DataAreaId,"T.MarkupTrans","Sum|Posted|0","","","","","","","MarkupCode|TransTableId|TransRecId","TPP","492",$L23),"")</f>
        <v>3398.58</v>
      </c>
    </row>
    <row r="24" spans="1:14">
      <c r="A24" s="8" t="s">
        <v>17</v>
      </c>
      <c r="B24" s="8" t="s">
        <v>409</v>
      </c>
      <c r="C24" s="8" t="s">
        <v>23</v>
      </c>
      <c r="D24" s="8" t="s">
        <v>166</v>
      </c>
      <c r="E24" s="8" t="s">
        <v>371</v>
      </c>
      <c r="F24" s="8" t="s">
        <v>372</v>
      </c>
      <c r="G24" s="6">
        <v>43131</v>
      </c>
      <c r="H24" s="6">
        <v>43131</v>
      </c>
      <c r="I24" s="4">
        <v>0</v>
      </c>
      <c r="J24" s="8" t="s">
        <v>32</v>
      </c>
      <c r="K24" s="8" t="s">
        <v>413</v>
      </c>
      <c r="L24" s="4" t="str">
        <f>IF(AtlasReport_1_Table_1[[#This Row],[Reference]]="Purchase order",_xll.AtlasFormulas.AtlasFunctions.AtlasTable("UAT",DataAreaId,"T.VendInvoiceTrans","%RecId","","","","","","","ItemId|PurchID|InventTransId",$C24,$B24,$K24),"")</f>
        <v>5637299426</v>
      </c>
      <c r="M24" s="4" t="str">
        <f>IF(AtlasReport_1_Table_1[[#This Row],[Reference]]="Purchase order",_xll.AtlasFormulas.AtlasFunctions.AtlasTable("UAT",DataAreaId,"T.MarkupTrans","%CurrencyCode","","","","","","","MarkupCode|TransRecId|TransTableId","TPP",$L24,"492"),"")</f>
        <v>EUR</v>
      </c>
      <c r="N24" s="4">
        <f>IF(AtlasReport_1_Table_1[[#This Row],[Reference]]="Purchase order",_xll.AtlasFormulas.AtlasFunctions.AtlasBalance("UAT",DataAreaId,"T.MarkupTrans","Sum|Posted|0","","","","","","","MarkupCode|TransTableId|TransRecId","TPP","492",$L24),"")</f>
        <v>6536.89</v>
      </c>
    </row>
    <row r="25" spans="1:14">
      <c r="A25" s="8" t="s">
        <v>414</v>
      </c>
      <c r="B25" s="8" t="s">
        <v>415</v>
      </c>
      <c r="C25" s="8" t="s">
        <v>86</v>
      </c>
      <c r="D25" s="8" t="s">
        <v>87</v>
      </c>
      <c r="E25" s="8" t="s">
        <v>371</v>
      </c>
      <c r="F25" s="8" t="s">
        <v>372</v>
      </c>
      <c r="G25" s="6">
        <v>43129</v>
      </c>
      <c r="H25" s="6">
        <v>43129</v>
      </c>
      <c r="I25" s="4">
        <v>-2.7800000000000002</v>
      </c>
      <c r="J25" s="8" t="s">
        <v>33</v>
      </c>
      <c r="K25" s="8" t="s">
        <v>416</v>
      </c>
      <c r="L25" s="4" t="str">
        <f>IF(AtlasReport_1_Table_1[[#This Row],[Reference]]="Purchase order",_xll.AtlasFormulas.AtlasFunctions.AtlasTable("UAT",DataAreaId,"T.VendInvoiceTrans","%RecId","","","","","","","ItemId|PurchID|InventTransId",$C25,$B25,$K25),"")</f>
        <v/>
      </c>
      <c r="M25" s="4" t="str">
        <f>IF(AtlasReport_1_Table_1[[#This Row],[Reference]]="Purchase order",_xll.AtlasFormulas.AtlasFunctions.AtlasTable("UAT",DataAreaId,"T.MarkupTrans","%CurrencyCode","","","","","","","MarkupCode|TransRecId|TransTableId","TPP",$L25,"492"),"")</f>
        <v/>
      </c>
      <c r="N25" s="4" t="str">
        <f>IF(AtlasReport_1_Table_1[[#This Row],[Reference]]="Purchase order",_xll.AtlasFormulas.AtlasFunctions.AtlasBalance("UAT",DataAreaId,"T.MarkupTrans","Sum|Posted|0","","","","","","","MarkupCode|TransTableId|TransRecId","TPP","492",$L25),"")</f>
        <v/>
      </c>
    </row>
    <row r="26" spans="1:14">
      <c r="A26" s="8" t="s">
        <v>414</v>
      </c>
      <c r="B26" s="8" t="s">
        <v>415</v>
      </c>
      <c r="C26" s="8" t="s">
        <v>86</v>
      </c>
      <c r="D26" s="8" t="s">
        <v>87</v>
      </c>
      <c r="E26" s="8" t="s">
        <v>371</v>
      </c>
      <c r="F26" s="8" t="s">
        <v>372</v>
      </c>
      <c r="G26" s="6">
        <v>43129</v>
      </c>
      <c r="H26" s="6">
        <v>43129</v>
      </c>
      <c r="I26" s="4">
        <v>-0.32</v>
      </c>
      <c r="J26" s="8" t="s">
        <v>33</v>
      </c>
      <c r="K26" s="8" t="s">
        <v>417</v>
      </c>
      <c r="L26" s="4" t="str">
        <f>IF(AtlasReport_1_Table_1[[#This Row],[Reference]]="Purchase order",_xll.AtlasFormulas.AtlasFunctions.AtlasTable("UAT",DataAreaId,"T.VendInvoiceTrans","%RecId","","","","","","","ItemId|PurchID|InventTransId",$C26,$B26,$K26),"")</f>
        <v/>
      </c>
      <c r="M26" s="4" t="str">
        <f>IF(AtlasReport_1_Table_1[[#This Row],[Reference]]="Purchase order",_xll.AtlasFormulas.AtlasFunctions.AtlasTable("UAT",DataAreaId,"T.MarkupTrans","%CurrencyCode","","","","","","","MarkupCode|TransRecId|TransTableId","TPP",$L26,"492"),"")</f>
        <v/>
      </c>
      <c r="N26" s="4" t="str">
        <f>IF(AtlasReport_1_Table_1[[#This Row],[Reference]]="Purchase order",_xll.AtlasFormulas.AtlasFunctions.AtlasBalance("UAT",DataAreaId,"T.MarkupTrans","Sum|Posted|0","","","","","","","MarkupCode|TransTableId|TransRecId","TPP","492",$L26),"")</f>
        <v/>
      </c>
    </row>
    <row r="27" spans="1:14">
      <c r="A27" s="8" t="s">
        <v>414</v>
      </c>
      <c r="B27" s="8" t="s">
        <v>415</v>
      </c>
      <c r="C27" s="8" t="s">
        <v>86</v>
      </c>
      <c r="D27" s="8" t="s">
        <v>87</v>
      </c>
      <c r="E27" s="8" t="s">
        <v>371</v>
      </c>
      <c r="F27" s="8" t="s">
        <v>372</v>
      </c>
      <c r="G27" s="6">
        <v>43129</v>
      </c>
      <c r="H27" s="6">
        <v>43129</v>
      </c>
      <c r="I27" s="4">
        <v>-0.35</v>
      </c>
      <c r="J27" s="8" t="s">
        <v>33</v>
      </c>
      <c r="K27" s="8" t="s">
        <v>418</v>
      </c>
      <c r="L27" s="4" t="str">
        <f>IF(AtlasReport_1_Table_1[[#This Row],[Reference]]="Purchase order",_xll.AtlasFormulas.AtlasFunctions.AtlasTable("UAT",DataAreaId,"T.VendInvoiceTrans","%RecId","","","","","","","ItemId|PurchID|InventTransId",$C27,$B27,$K27),"")</f>
        <v/>
      </c>
      <c r="M27" s="4" t="str">
        <f>IF(AtlasReport_1_Table_1[[#This Row],[Reference]]="Purchase order",_xll.AtlasFormulas.AtlasFunctions.AtlasTable("UAT",DataAreaId,"T.MarkupTrans","%CurrencyCode","","","","","","","MarkupCode|TransRecId|TransTableId","TPP",$L27,"492"),"")</f>
        <v/>
      </c>
      <c r="N27" s="4" t="str">
        <f>IF(AtlasReport_1_Table_1[[#This Row],[Reference]]="Purchase order",_xll.AtlasFormulas.AtlasFunctions.AtlasBalance("UAT",DataAreaId,"T.MarkupTrans","Sum|Posted|0","","","","","","","MarkupCode|TransTableId|TransRecId","TPP","492",$L27),"")</f>
        <v/>
      </c>
    </row>
    <row r="28" spans="1:14">
      <c r="A28" s="8" t="s">
        <v>414</v>
      </c>
      <c r="B28" s="8" t="s">
        <v>415</v>
      </c>
      <c r="C28" s="8" t="s">
        <v>86</v>
      </c>
      <c r="D28" s="8" t="s">
        <v>87</v>
      </c>
      <c r="E28" s="8" t="s">
        <v>371</v>
      </c>
      <c r="F28" s="8" t="s">
        <v>372</v>
      </c>
      <c r="G28" s="6">
        <v>43129</v>
      </c>
      <c r="H28" s="6">
        <v>43129</v>
      </c>
      <c r="I28" s="4">
        <v>2.65</v>
      </c>
      <c r="J28" s="8" t="s">
        <v>33</v>
      </c>
      <c r="K28" s="8" t="s">
        <v>419</v>
      </c>
      <c r="L28" s="4" t="str">
        <f>IF(AtlasReport_1_Table_1[[#This Row],[Reference]]="Purchase order",_xll.AtlasFormulas.AtlasFunctions.AtlasTable("UAT",DataAreaId,"T.VendInvoiceTrans","%RecId","","","","","","","ItemId|PurchID|InventTransId",$C28,$B28,$K28),"")</f>
        <v/>
      </c>
      <c r="M28" s="4" t="str">
        <f>IF(AtlasReport_1_Table_1[[#This Row],[Reference]]="Purchase order",_xll.AtlasFormulas.AtlasFunctions.AtlasTable("UAT",DataAreaId,"T.MarkupTrans","%CurrencyCode","","","","","","","MarkupCode|TransRecId|TransTableId","TPP",$L28,"492"),"")</f>
        <v/>
      </c>
      <c r="N28" s="4" t="str">
        <f>IF(AtlasReport_1_Table_1[[#This Row],[Reference]]="Purchase order",_xll.AtlasFormulas.AtlasFunctions.AtlasBalance("UAT",DataAreaId,"T.MarkupTrans","Sum|Posted|0","","","","","","","MarkupCode|TransTableId|TransRecId","TPP","492",$L28),"")</f>
        <v/>
      </c>
    </row>
    <row r="29" spans="1:14">
      <c r="A29" s="8" t="s">
        <v>414</v>
      </c>
      <c r="B29" s="8" t="s">
        <v>420</v>
      </c>
      <c r="C29" s="8" t="s">
        <v>421</v>
      </c>
      <c r="D29" s="8" t="s">
        <v>422</v>
      </c>
      <c r="E29" s="8" t="s">
        <v>371</v>
      </c>
      <c r="F29" s="8" t="s">
        <v>372</v>
      </c>
      <c r="G29" s="6">
        <v>43129</v>
      </c>
      <c r="H29" s="6">
        <v>43129</v>
      </c>
      <c r="I29" s="4">
        <v>3.7</v>
      </c>
      <c r="J29" s="8" t="s">
        <v>33</v>
      </c>
      <c r="K29" s="8" t="s">
        <v>423</v>
      </c>
      <c r="L29" s="4" t="str">
        <f>IF(AtlasReport_1_Table_1[[#This Row],[Reference]]="Purchase order",_xll.AtlasFormulas.AtlasFunctions.AtlasTable("UAT",DataAreaId,"T.VendInvoiceTrans","%RecId","","","","","","","ItemId|PurchID|InventTransId",$C29,$B29,$K29),"")</f>
        <v/>
      </c>
      <c r="M29" s="4" t="str">
        <f>IF(AtlasReport_1_Table_1[[#This Row],[Reference]]="Purchase order",_xll.AtlasFormulas.AtlasFunctions.AtlasTable("UAT",DataAreaId,"T.MarkupTrans","%CurrencyCode","","","","","","","MarkupCode|TransRecId|TransTableId","TPP",$L29,"492"),"")</f>
        <v/>
      </c>
      <c r="N29" s="4" t="str">
        <f>IF(AtlasReport_1_Table_1[[#This Row],[Reference]]="Purchase order",_xll.AtlasFormulas.AtlasFunctions.AtlasBalance("UAT",DataAreaId,"T.MarkupTrans","Sum|Posted|0","","","","","","","MarkupCode|TransTableId|TransRecId","TPP","492",$L29),"")</f>
        <v/>
      </c>
    </row>
    <row r="30" spans="1:14">
      <c r="A30" s="8" t="s">
        <v>414</v>
      </c>
      <c r="B30" s="8" t="s">
        <v>420</v>
      </c>
      <c r="C30" s="8" t="s">
        <v>421</v>
      </c>
      <c r="D30" s="8" t="s">
        <v>422</v>
      </c>
      <c r="E30" s="8" t="s">
        <v>371</v>
      </c>
      <c r="F30" s="8" t="s">
        <v>372</v>
      </c>
      <c r="G30" s="6">
        <v>43129</v>
      </c>
      <c r="H30" s="6">
        <v>43129</v>
      </c>
      <c r="I30" s="4">
        <v>2.2000000000000002</v>
      </c>
      <c r="J30" s="8" t="s">
        <v>33</v>
      </c>
      <c r="K30" s="8" t="s">
        <v>424</v>
      </c>
      <c r="L30" s="4" t="str">
        <f>IF(AtlasReport_1_Table_1[[#This Row],[Reference]]="Purchase order",_xll.AtlasFormulas.AtlasFunctions.AtlasTable("UAT",DataAreaId,"T.VendInvoiceTrans","%RecId","","","","","","","ItemId|PurchID|InventTransId",$C30,$B30,$K30),"")</f>
        <v/>
      </c>
      <c r="M30" s="4" t="str">
        <f>IF(AtlasReport_1_Table_1[[#This Row],[Reference]]="Purchase order",_xll.AtlasFormulas.AtlasFunctions.AtlasTable("UAT",DataAreaId,"T.MarkupTrans","%CurrencyCode","","","","","","","MarkupCode|TransRecId|TransTableId","TPP",$L30,"492"),"")</f>
        <v/>
      </c>
      <c r="N30" s="4" t="str">
        <f>IF(AtlasReport_1_Table_1[[#This Row],[Reference]]="Purchase order",_xll.AtlasFormulas.AtlasFunctions.AtlasBalance("UAT",DataAreaId,"T.MarkupTrans","Sum|Posted|0","","","","","","","MarkupCode|TransTableId|TransRecId","TPP","492",$L30),"")</f>
        <v/>
      </c>
    </row>
    <row r="31" spans="1:14">
      <c r="A31" s="8" t="s">
        <v>293</v>
      </c>
      <c r="B31" s="8" t="s">
        <v>70</v>
      </c>
      <c r="C31" s="8" t="s">
        <v>46</v>
      </c>
      <c r="D31" s="8" t="s">
        <v>85</v>
      </c>
      <c r="E31" s="8" t="s">
        <v>371</v>
      </c>
      <c r="F31" s="8" t="s">
        <v>70</v>
      </c>
      <c r="G31" s="6">
        <v>43131</v>
      </c>
      <c r="H31" s="6">
        <v>43131</v>
      </c>
      <c r="I31" s="4">
        <v>0</v>
      </c>
      <c r="J31" s="8" t="s">
        <v>32</v>
      </c>
      <c r="K31" s="8" t="s">
        <v>425</v>
      </c>
      <c r="L31" s="4" t="str">
        <f>IF(AtlasReport_1_Table_1[[#This Row],[Reference]]="Purchase order",_xll.AtlasFormulas.AtlasFunctions.AtlasTable("UAT",DataAreaId,"T.VendInvoiceTrans","%RecId","","","","","","","ItemId|PurchID|InventTransId",$C31,$B31,$K31),"")</f>
        <v/>
      </c>
      <c r="M31" s="4" t="str">
        <f>IF(AtlasReport_1_Table_1[[#This Row],[Reference]]="Purchase order",_xll.AtlasFormulas.AtlasFunctions.AtlasTable("UAT",DataAreaId,"T.MarkupTrans","%CurrencyCode","","","","","","","MarkupCode|TransRecId|TransTableId","TPP",$L31,"492"),"")</f>
        <v/>
      </c>
      <c r="N31" s="4" t="str">
        <f>IF(AtlasReport_1_Table_1[[#This Row],[Reference]]="Purchase order",_xll.AtlasFormulas.AtlasFunctions.AtlasBalance("UAT",DataAreaId,"T.MarkupTrans","Sum|Posted|0","","","","","","","MarkupCode|TransTableId|TransRecId","TPP","492",$L31),"")</f>
        <v/>
      </c>
    </row>
    <row r="32" spans="1:14">
      <c r="A32" s="8" t="s">
        <v>293</v>
      </c>
      <c r="B32" s="8" t="s">
        <v>70</v>
      </c>
      <c r="C32" s="8" t="s">
        <v>297</v>
      </c>
      <c r="D32" s="8" t="s">
        <v>299</v>
      </c>
      <c r="E32" s="8" t="s">
        <v>371</v>
      </c>
      <c r="F32" s="8" t="s">
        <v>70</v>
      </c>
      <c r="G32" s="6">
        <v>43131</v>
      </c>
      <c r="H32" s="6">
        <v>43131</v>
      </c>
      <c r="I32" s="4">
        <v>0</v>
      </c>
      <c r="J32" s="8" t="s">
        <v>31</v>
      </c>
      <c r="K32" s="8" t="s">
        <v>426</v>
      </c>
      <c r="L32" s="4" t="str">
        <f>IF(AtlasReport_1_Table_1[[#This Row],[Reference]]="Purchase order",_xll.AtlasFormulas.AtlasFunctions.AtlasTable("UAT",DataAreaId,"T.VendInvoiceTrans","%RecId","","","","","","","ItemId|PurchID|InventTransId",$C32,$B32,$K32),"")</f>
        <v/>
      </c>
      <c r="M32" s="4" t="str">
        <f>IF(AtlasReport_1_Table_1[[#This Row],[Reference]]="Purchase order",_xll.AtlasFormulas.AtlasFunctions.AtlasTable("UAT",DataAreaId,"T.MarkupTrans","%CurrencyCode","","","","","","","MarkupCode|TransRecId|TransTableId","TPP",$L32,"492"),"")</f>
        <v/>
      </c>
      <c r="N32" s="4" t="str">
        <f>IF(AtlasReport_1_Table_1[[#This Row],[Reference]]="Purchase order",_xll.AtlasFormulas.AtlasFunctions.AtlasBalance("UAT",DataAreaId,"T.MarkupTrans","Sum|Posted|0","","","","","","","MarkupCode|TransTableId|TransRecId","TPP","492",$L32),"")</f>
        <v/>
      </c>
    </row>
    <row r="33" spans="1:14">
      <c r="A33" s="8" t="s">
        <v>293</v>
      </c>
      <c r="B33" s="8" t="s">
        <v>70</v>
      </c>
      <c r="C33" s="8" t="s">
        <v>62</v>
      </c>
      <c r="D33" s="8" t="s">
        <v>26</v>
      </c>
      <c r="E33" s="8" t="s">
        <v>371</v>
      </c>
      <c r="F33" s="8" t="s">
        <v>70</v>
      </c>
      <c r="G33" s="6">
        <v>43131</v>
      </c>
      <c r="H33" s="6">
        <v>43131</v>
      </c>
      <c r="I33" s="4">
        <v>0</v>
      </c>
      <c r="J33" s="8" t="s">
        <v>32</v>
      </c>
      <c r="K33" s="8" t="s">
        <v>427</v>
      </c>
      <c r="L33" s="4" t="str">
        <f>IF(AtlasReport_1_Table_1[[#This Row],[Reference]]="Purchase order",_xll.AtlasFormulas.AtlasFunctions.AtlasTable("UAT",DataAreaId,"T.VendInvoiceTrans","%RecId","","","","","","","ItemId|PurchID|InventTransId",$C33,$B33,$K33),"")</f>
        <v/>
      </c>
      <c r="M33" s="4" t="str">
        <f>IF(AtlasReport_1_Table_1[[#This Row],[Reference]]="Purchase order",_xll.AtlasFormulas.AtlasFunctions.AtlasTable("UAT",DataAreaId,"T.MarkupTrans","%CurrencyCode","","","","","","","MarkupCode|TransRecId|TransTableId","TPP",$L33,"492"),"")</f>
        <v/>
      </c>
      <c r="N33" s="4" t="str">
        <f>IF(AtlasReport_1_Table_1[[#This Row],[Reference]]="Purchase order",_xll.AtlasFormulas.AtlasFunctions.AtlasBalance("UAT",DataAreaId,"T.MarkupTrans","Sum|Posted|0","","","","","","","MarkupCode|TransTableId|TransRecId","TPP","492",$L33),"")</f>
        <v/>
      </c>
    </row>
    <row r="34" spans="1:14">
      <c r="A34" s="8" t="s">
        <v>293</v>
      </c>
      <c r="B34" s="8" t="s">
        <v>70</v>
      </c>
      <c r="C34" s="8" t="s">
        <v>86</v>
      </c>
      <c r="D34" s="8" t="s">
        <v>87</v>
      </c>
      <c r="E34" s="8" t="s">
        <v>371</v>
      </c>
      <c r="F34" s="8" t="s">
        <v>70</v>
      </c>
      <c r="G34" s="6">
        <v>43129</v>
      </c>
      <c r="H34" s="6">
        <v>43129</v>
      </c>
      <c r="I34" s="4">
        <v>0</v>
      </c>
      <c r="J34" s="8" t="s">
        <v>33</v>
      </c>
      <c r="K34" s="8" t="s">
        <v>428</v>
      </c>
      <c r="L34" s="4" t="str">
        <f>IF(AtlasReport_1_Table_1[[#This Row],[Reference]]="Purchase order",_xll.AtlasFormulas.AtlasFunctions.AtlasTable("UAT",DataAreaId,"T.VendInvoiceTrans","%RecId","","","","","","","ItemId|PurchID|InventTransId",$C34,$B34,$K34),"")</f>
        <v/>
      </c>
      <c r="M34" s="4" t="str">
        <f>IF(AtlasReport_1_Table_1[[#This Row],[Reference]]="Purchase order",_xll.AtlasFormulas.AtlasFunctions.AtlasTable("UAT",DataAreaId,"T.MarkupTrans","%CurrencyCode","","","","","","","MarkupCode|TransRecId|TransTableId","TPP",$L34,"492"),"")</f>
        <v/>
      </c>
      <c r="N34" s="4" t="str">
        <f>IF(AtlasReport_1_Table_1[[#This Row],[Reference]]="Purchase order",_xll.AtlasFormulas.AtlasFunctions.AtlasBalance("UAT",DataAreaId,"T.MarkupTrans","Sum|Posted|0","","","","","","","MarkupCode|TransTableId|TransRecId","TPP","492",$L34),"")</f>
        <v/>
      </c>
    </row>
    <row r="35" spans="1:14">
      <c r="A35" s="8" t="s">
        <v>293</v>
      </c>
      <c r="B35" s="8" t="s">
        <v>70</v>
      </c>
      <c r="C35" s="8" t="s">
        <v>88</v>
      </c>
      <c r="D35" s="8" t="s">
        <v>89</v>
      </c>
      <c r="E35" s="8" t="s">
        <v>371</v>
      </c>
      <c r="F35" s="8" t="s">
        <v>70</v>
      </c>
      <c r="G35" s="6">
        <v>43131</v>
      </c>
      <c r="H35" s="6">
        <v>43131</v>
      </c>
      <c r="I35" s="4">
        <v>0</v>
      </c>
      <c r="J35" s="8" t="s">
        <v>33</v>
      </c>
      <c r="K35" s="8" t="s">
        <v>429</v>
      </c>
      <c r="L35" s="4" t="str">
        <f>IF(AtlasReport_1_Table_1[[#This Row],[Reference]]="Purchase order",_xll.AtlasFormulas.AtlasFunctions.AtlasTable("UAT",DataAreaId,"T.VendInvoiceTrans","%RecId","","","","","","","ItemId|PurchID|InventTransId",$C35,$B35,$K35),"")</f>
        <v/>
      </c>
      <c r="M35" s="4" t="str">
        <f>IF(AtlasReport_1_Table_1[[#This Row],[Reference]]="Purchase order",_xll.AtlasFormulas.AtlasFunctions.AtlasTable("UAT",DataAreaId,"T.MarkupTrans","%CurrencyCode","","","","","","","MarkupCode|TransRecId|TransTableId","TPP",$L35,"492"),"")</f>
        <v/>
      </c>
      <c r="N35" s="4" t="str">
        <f>IF(AtlasReport_1_Table_1[[#This Row],[Reference]]="Purchase order",_xll.AtlasFormulas.AtlasFunctions.AtlasBalance("UAT",DataAreaId,"T.MarkupTrans","Sum|Posted|0","","","","","","","MarkupCode|TransTableId|TransRecId","TPP","492",$L35),"")</f>
        <v/>
      </c>
    </row>
    <row r="36" spans="1:14" ht="30">
      <c r="A36" s="8" t="s">
        <v>293</v>
      </c>
      <c r="B36" s="8" t="s">
        <v>70</v>
      </c>
      <c r="C36" s="8" t="s">
        <v>193</v>
      </c>
      <c r="D36" s="11" t="s">
        <v>194</v>
      </c>
      <c r="E36" s="8" t="s">
        <v>371</v>
      </c>
      <c r="F36" s="8" t="s">
        <v>70</v>
      </c>
      <c r="G36" s="6">
        <v>43131</v>
      </c>
      <c r="H36" s="6">
        <v>43131</v>
      </c>
      <c r="I36" s="4">
        <v>0</v>
      </c>
      <c r="J36" s="8" t="s">
        <v>31</v>
      </c>
      <c r="K36" s="8" t="s">
        <v>430</v>
      </c>
      <c r="L36" s="4" t="str">
        <f>IF(AtlasReport_1_Table_1[[#This Row],[Reference]]="Purchase order",_xll.AtlasFormulas.AtlasFunctions.AtlasTable("UAT",DataAreaId,"T.VendInvoiceTrans","%RecId","","","","","","","ItemId|PurchID|InventTransId",$C36,$B36,$K36),"")</f>
        <v/>
      </c>
      <c r="M36" s="4" t="str">
        <f>IF(AtlasReport_1_Table_1[[#This Row],[Reference]]="Purchase order",_xll.AtlasFormulas.AtlasFunctions.AtlasTable("UAT",DataAreaId,"T.MarkupTrans","%CurrencyCode","","","","","","","MarkupCode|TransRecId|TransTableId","TPP",$L36,"492"),"")</f>
        <v/>
      </c>
      <c r="N36" s="4" t="str">
        <f>IF(AtlasReport_1_Table_1[[#This Row],[Reference]]="Purchase order",_xll.AtlasFormulas.AtlasFunctions.AtlasBalance("UAT",DataAreaId,"T.MarkupTrans","Sum|Posted|0","","","","","","","MarkupCode|TransTableId|TransRecId","TPP","492",$L36),"")</f>
        <v/>
      </c>
    </row>
    <row r="37" spans="1:14">
      <c r="A37" s="3" t="s">
        <v>13</v>
      </c>
      <c r="B37" s="7"/>
      <c r="C37" s="7" t="s">
        <v>13</v>
      </c>
      <c r="D37" s="3"/>
      <c r="E37" s="7"/>
      <c r="F37" s="7"/>
      <c r="G37" s="5"/>
      <c r="H37" s="5"/>
      <c r="I37" s="3">
        <f>SUBTOTAL(109,AtlasReport_1_Table_1[Quantity])</f>
        <v>23406.810000000005</v>
      </c>
      <c r="J37" s="7"/>
      <c r="K37" s="7"/>
      <c r="L37" s="3"/>
      <c r="M37" s="3"/>
      <c r="N37" s="3"/>
    </row>
    <row r="38" spans="1:14">
      <c r="A38" s="3"/>
      <c r="B38" s="3"/>
      <c r="C38" s="3"/>
      <c r="D38" s="3"/>
      <c r="E38" s="3"/>
      <c r="F38" s="3"/>
      <c r="G38" s="5"/>
      <c r="H38" s="5"/>
      <c r="I38" s="3"/>
      <c r="J38" s="3"/>
      <c r="K38" s="3"/>
      <c r="L38" s="3"/>
      <c r="M38" s="3"/>
      <c r="N38" s="3"/>
    </row>
    <row r="39" spans="1:14">
      <c r="A39" s="3"/>
      <c r="B39" s="3"/>
      <c r="C39" s="3"/>
      <c r="D39" s="3"/>
      <c r="E39" s="3"/>
      <c r="F39" s="3"/>
      <c r="G39" s="5"/>
      <c r="H39" s="5"/>
      <c r="I39" s="3"/>
      <c r="J39" s="3"/>
      <c r="K39" s="3"/>
      <c r="L39" s="3"/>
      <c r="M39" s="3"/>
      <c r="N39" s="3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3"/>
  <sheetViews>
    <sheetView workbookViewId="0">
      <selection activeCell="C9" sqref="C9"/>
    </sheetView>
  </sheetViews>
  <sheetFormatPr defaultRowHeight="15"/>
  <cols>
    <col min="1" max="1" width="14.42578125" customWidth="1"/>
    <col min="2" max="2" width="11.5703125" customWidth="1"/>
    <col min="3" max="3" width="14.85546875" customWidth="1"/>
    <col min="4" max="4" width="26.140625" customWidth="1"/>
    <col min="5" max="5" width="9.7109375" customWidth="1"/>
    <col min="6" max="6" width="6.7109375" customWidth="1"/>
    <col min="7" max="7" width="5.85546875" customWidth="1"/>
    <col min="8" max="8" width="11" customWidth="1"/>
    <col min="9" max="9" width="7.140625" customWidth="1"/>
    <col min="10" max="10" width="10" customWidth="1"/>
    <col min="11" max="12" width="11.140625" customWidth="1"/>
    <col min="13" max="13" width="9.7109375" customWidth="1"/>
    <col min="14" max="14" width="18.85546875" customWidth="1"/>
    <col min="15" max="15" width="10.140625" customWidth="1"/>
    <col min="16" max="16" width="8.7109375" customWidth="1"/>
    <col min="17" max="17" width="13.42578125" customWidth="1"/>
  </cols>
  <sheetData>
    <row r="1" spans="1:17" ht="22.5">
      <c r="A1" s="2" t="s">
        <v>34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3" t="s">
        <v>8</v>
      </c>
      <c r="B2" s="3" t="s">
        <v>9</v>
      </c>
      <c r="C2" s="3" t="s">
        <v>6</v>
      </c>
      <c r="D2" s="3" t="s">
        <v>25</v>
      </c>
      <c r="E2" s="5" t="s">
        <v>41</v>
      </c>
      <c r="F2" s="3" t="s">
        <v>43</v>
      </c>
      <c r="G2" s="3" t="s">
        <v>44</v>
      </c>
      <c r="H2" s="3" t="s">
        <v>12</v>
      </c>
      <c r="I2" s="3" t="s">
        <v>30</v>
      </c>
      <c r="J2" s="3" t="s">
        <v>35</v>
      </c>
      <c r="K2" s="3" t="s">
        <v>36</v>
      </c>
      <c r="L2" s="3" t="s">
        <v>39</v>
      </c>
      <c r="M2" s="3" t="s">
        <v>37</v>
      </c>
      <c r="N2" s="3" t="s">
        <v>38</v>
      </c>
      <c r="O2" s="3" t="s">
        <v>7</v>
      </c>
      <c r="P2" s="3" t="s">
        <v>40</v>
      </c>
      <c r="Q2" s="3" t="s">
        <v>42</v>
      </c>
    </row>
    <row r="3" spans="1:17">
      <c r="A3" s="8" t="s">
        <v>200</v>
      </c>
      <c r="B3" s="8" t="s">
        <v>392</v>
      </c>
      <c r="C3" s="8" t="s">
        <v>46</v>
      </c>
      <c r="D3" s="8" t="s">
        <v>85</v>
      </c>
      <c r="E3" s="6">
        <v>43131</v>
      </c>
      <c r="F3" s="8" t="s">
        <v>371</v>
      </c>
      <c r="G3" s="8" t="s">
        <v>372</v>
      </c>
      <c r="H3" s="4">
        <v>-195</v>
      </c>
      <c r="I3" s="8" t="s">
        <v>32</v>
      </c>
      <c r="J3" s="4">
        <v>1.6914923276659999</v>
      </c>
      <c r="K3" s="4">
        <v>-329.84000000000003</v>
      </c>
      <c r="L3" s="8" t="s">
        <v>195</v>
      </c>
      <c r="M3" s="4">
        <v>-329.84000000000003</v>
      </c>
      <c r="N3" s="8" t="s">
        <v>734</v>
      </c>
      <c r="O3" s="8" t="s">
        <v>393</v>
      </c>
      <c r="P3" s="8" t="s">
        <v>363</v>
      </c>
      <c r="Q3" s="4">
        <v>5637703155</v>
      </c>
    </row>
    <row r="4" spans="1:17">
      <c r="A4" s="8" t="s">
        <v>200</v>
      </c>
      <c r="B4" s="8" t="s">
        <v>369</v>
      </c>
      <c r="C4" s="8" t="s">
        <v>370</v>
      </c>
      <c r="D4" s="8" t="s">
        <v>304</v>
      </c>
      <c r="E4" s="6">
        <v>43129</v>
      </c>
      <c r="F4" s="8" t="s">
        <v>371</v>
      </c>
      <c r="G4" s="8" t="s">
        <v>372</v>
      </c>
      <c r="H4" s="4">
        <v>-1</v>
      </c>
      <c r="I4" s="8" t="s">
        <v>31</v>
      </c>
      <c r="J4" s="4">
        <v>0</v>
      </c>
      <c r="K4" s="4">
        <v>0</v>
      </c>
      <c r="L4" s="8" t="s">
        <v>195</v>
      </c>
      <c r="M4" s="4">
        <v>0</v>
      </c>
      <c r="N4" s="8" t="s">
        <v>735</v>
      </c>
      <c r="O4" s="8" t="s">
        <v>373</v>
      </c>
      <c r="P4" s="8" t="s">
        <v>363</v>
      </c>
      <c r="Q4" s="4">
        <v>5637705401</v>
      </c>
    </row>
    <row r="5" spans="1:17">
      <c r="A5" s="8" t="s">
        <v>200</v>
      </c>
      <c r="B5" s="8" t="s">
        <v>392</v>
      </c>
      <c r="C5" s="8" t="s">
        <v>297</v>
      </c>
      <c r="D5" s="8" t="s">
        <v>299</v>
      </c>
      <c r="E5" s="6">
        <v>43131</v>
      </c>
      <c r="F5" s="8" t="s">
        <v>371</v>
      </c>
      <c r="G5" s="8" t="s">
        <v>372</v>
      </c>
      <c r="H5" s="4">
        <v>-120</v>
      </c>
      <c r="I5" s="8" t="s">
        <v>31</v>
      </c>
      <c r="J5" s="4">
        <v>0</v>
      </c>
      <c r="K5" s="4">
        <v>0</v>
      </c>
      <c r="L5" s="8" t="s">
        <v>195</v>
      </c>
      <c r="M5" s="4">
        <v>0</v>
      </c>
      <c r="N5" s="8" t="s">
        <v>734</v>
      </c>
      <c r="O5" s="8" t="s">
        <v>394</v>
      </c>
      <c r="P5" s="8" t="s">
        <v>363</v>
      </c>
      <c r="Q5" s="4">
        <v>5637703154</v>
      </c>
    </row>
    <row r="6" spans="1:17">
      <c r="A6" s="8" t="s">
        <v>17</v>
      </c>
      <c r="B6" s="8" t="s">
        <v>403</v>
      </c>
      <c r="C6" s="8" t="s">
        <v>404</v>
      </c>
      <c r="D6" s="8" t="s">
        <v>405</v>
      </c>
      <c r="E6" s="6">
        <v>43130</v>
      </c>
      <c r="F6" s="8" t="s">
        <v>371</v>
      </c>
      <c r="G6" s="8" t="s">
        <v>372</v>
      </c>
      <c r="H6" s="4">
        <v>25350</v>
      </c>
      <c r="I6" s="8" t="s">
        <v>32</v>
      </c>
      <c r="J6" s="4">
        <v>2.5955400394480002</v>
      </c>
      <c r="K6" s="4">
        <v>65796.94</v>
      </c>
      <c r="L6" s="8" t="s">
        <v>195</v>
      </c>
      <c r="M6" s="4">
        <v>65796.94</v>
      </c>
      <c r="N6" s="8" t="s">
        <v>736</v>
      </c>
      <c r="O6" s="8" t="s">
        <v>406</v>
      </c>
      <c r="P6" s="8" t="s">
        <v>363</v>
      </c>
      <c r="Q6" s="4">
        <v>5637701084</v>
      </c>
    </row>
    <row r="7" spans="1:17">
      <c r="A7" s="8" t="s">
        <v>200</v>
      </c>
      <c r="B7" s="8" t="s">
        <v>398</v>
      </c>
      <c r="C7" s="8" t="s">
        <v>62</v>
      </c>
      <c r="D7" s="8" t="s">
        <v>26</v>
      </c>
      <c r="E7" s="6">
        <v>43131</v>
      </c>
      <c r="F7" s="8" t="s">
        <v>371</v>
      </c>
      <c r="G7" s="8" t="s">
        <v>372</v>
      </c>
      <c r="H7" s="4">
        <v>-60</v>
      </c>
      <c r="I7" s="8" t="s">
        <v>32</v>
      </c>
      <c r="J7" s="4">
        <v>4.0510333333330006</v>
      </c>
      <c r="K7" s="4">
        <v>-243.06</v>
      </c>
      <c r="L7" s="8" t="s">
        <v>195</v>
      </c>
      <c r="M7" s="4">
        <v>-243.06</v>
      </c>
      <c r="N7" s="8" t="s">
        <v>737</v>
      </c>
      <c r="O7" s="8" t="s">
        <v>399</v>
      </c>
      <c r="P7" s="8" t="s">
        <v>363</v>
      </c>
      <c r="Q7" s="4">
        <v>5637703831</v>
      </c>
    </row>
    <row r="8" spans="1:17">
      <c r="A8" s="8" t="s">
        <v>200</v>
      </c>
      <c r="B8" s="8" t="s">
        <v>398</v>
      </c>
      <c r="C8" s="8" t="s">
        <v>62</v>
      </c>
      <c r="D8" s="8" t="s">
        <v>26</v>
      </c>
      <c r="E8" s="6">
        <v>43131</v>
      </c>
      <c r="F8" s="8" t="s">
        <v>371</v>
      </c>
      <c r="G8" s="8" t="s">
        <v>372</v>
      </c>
      <c r="H8" s="4">
        <v>-60</v>
      </c>
      <c r="I8" s="8" t="s">
        <v>32</v>
      </c>
      <c r="J8" s="4">
        <v>4.0510333333330006</v>
      </c>
      <c r="K8" s="4">
        <v>-243.06</v>
      </c>
      <c r="L8" s="8" t="s">
        <v>195</v>
      </c>
      <c r="M8" s="4">
        <v>-243.06</v>
      </c>
      <c r="N8" s="8" t="s">
        <v>737</v>
      </c>
      <c r="O8" s="8" t="s">
        <v>399</v>
      </c>
      <c r="P8" s="8" t="s">
        <v>363</v>
      </c>
      <c r="Q8" s="4">
        <v>5637703832</v>
      </c>
    </row>
    <row r="9" spans="1:17">
      <c r="A9" s="8" t="s">
        <v>200</v>
      </c>
      <c r="B9" s="8" t="s">
        <v>398</v>
      </c>
      <c r="C9" s="8" t="s">
        <v>62</v>
      </c>
      <c r="D9" s="8" t="s">
        <v>26</v>
      </c>
      <c r="E9" s="6">
        <v>43131</v>
      </c>
      <c r="F9" s="8" t="s">
        <v>371</v>
      </c>
      <c r="G9" s="8" t="s">
        <v>372</v>
      </c>
      <c r="H9" s="4">
        <v>-60</v>
      </c>
      <c r="I9" s="8" t="s">
        <v>32</v>
      </c>
      <c r="J9" s="4">
        <v>4.0510333333330006</v>
      </c>
      <c r="K9" s="4">
        <v>-243.06</v>
      </c>
      <c r="L9" s="8" t="s">
        <v>195</v>
      </c>
      <c r="M9" s="4">
        <v>-243.06</v>
      </c>
      <c r="N9" s="8" t="s">
        <v>737</v>
      </c>
      <c r="O9" s="8" t="s">
        <v>399</v>
      </c>
      <c r="P9" s="8" t="s">
        <v>363</v>
      </c>
      <c r="Q9" s="4">
        <v>5637703833</v>
      </c>
    </row>
    <row r="10" spans="1:17">
      <c r="A10" s="8" t="s">
        <v>200</v>
      </c>
      <c r="B10" s="8" t="s">
        <v>398</v>
      </c>
      <c r="C10" s="8" t="s">
        <v>62</v>
      </c>
      <c r="D10" s="8" t="s">
        <v>26</v>
      </c>
      <c r="E10" s="6">
        <v>43131</v>
      </c>
      <c r="F10" s="8" t="s">
        <v>371</v>
      </c>
      <c r="G10" s="8" t="s">
        <v>372</v>
      </c>
      <c r="H10" s="4">
        <v>-60</v>
      </c>
      <c r="I10" s="8" t="s">
        <v>32</v>
      </c>
      <c r="J10" s="4">
        <v>4.0510333333330006</v>
      </c>
      <c r="K10" s="4">
        <v>-243.06</v>
      </c>
      <c r="L10" s="8" t="s">
        <v>195</v>
      </c>
      <c r="M10" s="4">
        <v>-243.06</v>
      </c>
      <c r="N10" s="8" t="s">
        <v>737</v>
      </c>
      <c r="O10" s="8" t="s">
        <v>399</v>
      </c>
      <c r="P10" s="8" t="s">
        <v>363</v>
      </c>
      <c r="Q10" s="4">
        <v>5637703834</v>
      </c>
    </row>
    <row r="11" spans="1:17">
      <c r="A11" s="8" t="s">
        <v>200</v>
      </c>
      <c r="B11" s="8" t="s">
        <v>398</v>
      </c>
      <c r="C11" s="8" t="s">
        <v>62</v>
      </c>
      <c r="D11" s="8" t="s">
        <v>26</v>
      </c>
      <c r="E11" s="6">
        <v>43131</v>
      </c>
      <c r="F11" s="8" t="s">
        <v>371</v>
      </c>
      <c r="G11" s="8" t="s">
        <v>372</v>
      </c>
      <c r="H11" s="4">
        <v>-60</v>
      </c>
      <c r="I11" s="8" t="s">
        <v>32</v>
      </c>
      <c r="J11" s="4">
        <v>4.0510333333330006</v>
      </c>
      <c r="K11" s="4">
        <v>-243.06</v>
      </c>
      <c r="L11" s="8" t="s">
        <v>195</v>
      </c>
      <c r="M11" s="4">
        <v>-243.06</v>
      </c>
      <c r="N11" s="8" t="s">
        <v>737</v>
      </c>
      <c r="O11" s="8" t="s">
        <v>399</v>
      </c>
      <c r="P11" s="8" t="s">
        <v>363</v>
      </c>
      <c r="Q11" s="4">
        <v>5637703830</v>
      </c>
    </row>
    <row r="12" spans="1:17">
      <c r="A12" s="8" t="s">
        <v>200</v>
      </c>
      <c r="B12" s="8" t="s">
        <v>396</v>
      </c>
      <c r="C12" s="8" t="s">
        <v>98</v>
      </c>
      <c r="D12" s="8" t="s">
        <v>99</v>
      </c>
      <c r="E12" s="6">
        <v>43131</v>
      </c>
      <c r="F12" s="8" t="s">
        <v>371</v>
      </c>
      <c r="G12" s="8" t="s">
        <v>372</v>
      </c>
      <c r="H12" s="4">
        <v>-12.44</v>
      </c>
      <c r="I12" s="8" t="s">
        <v>33</v>
      </c>
      <c r="J12" s="4">
        <v>1.062657385459</v>
      </c>
      <c r="K12" s="4">
        <v>-13.22</v>
      </c>
      <c r="L12" s="8" t="s">
        <v>195</v>
      </c>
      <c r="M12" s="4">
        <v>-13.22</v>
      </c>
      <c r="N12" s="8" t="s">
        <v>738</v>
      </c>
      <c r="O12" s="8" t="s">
        <v>397</v>
      </c>
      <c r="P12" s="8" t="s">
        <v>363</v>
      </c>
      <c r="Q12" s="4">
        <v>5637703191</v>
      </c>
    </row>
    <row r="13" spans="1:17">
      <c r="A13" s="8" t="s">
        <v>739</v>
      </c>
      <c r="B13" s="8" t="s">
        <v>70</v>
      </c>
      <c r="C13" s="8" t="s">
        <v>86</v>
      </c>
      <c r="D13" s="8" t="s">
        <v>87</v>
      </c>
      <c r="E13" s="6">
        <v>43131</v>
      </c>
      <c r="F13" s="8" t="s">
        <v>371</v>
      </c>
      <c r="G13" s="8" t="s">
        <v>372</v>
      </c>
      <c r="H13" s="4">
        <v>-0.8</v>
      </c>
      <c r="I13" s="8" t="s">
        <v>33</v>
      </c>
      <c r="J13" s="4">
        <v>5.1364700000000001</v>
      </c>
      <c r="K13" s="4">
        <v>-4.1100000000000003</v>
      </c>
      <c r="L13" s="8" t="s">
        <v>195</v>
      </c>
      <c r="M13" s="4">
        <v>-4.1100000000000003</v>
      </c>
      <c r="N13" s="8" t="s">
        <v>740</v>
      </c>
      <c r="O13" s="8" t="s">
        <v>741</v>
      </c>
      <c r="P13" s="8" t="s">
        <v>363</v>
      </c>
      <c r="Q13" s="4">
        <v>0</v>
      </c>
    </row>
    <row r="14" spans="1:17">
      <c r="A14" s="8" t="s">
        <v>200</v>
      </c>
      <c r="B14" s="8" t="s">
        <v>384</v>
      </c>
      <c r="C14" s="8" t="s">
        <v>86</v>
      </c>
      <c r="D14" s="8" t="s">
        <v>87</v>
      </c>
      <c r="E14" s="6">
        <v>43131</v>
      </c>
      <c r="F14" s="8" t="s">
        <v>371</v>
      </c>
      <c r="G14" s="8" t="s">
        <v>372</v>
      </c>
      <c r="H14" s="4">
        <v>-150</v>
      </c>
      <c r="I14" s="8" t="s">
        <v>33</v>
      </c>
      <c r="J14" s="4">
        <v>1.191065019421</v>
      </c>
      <c r="K14" s="4">
        <v>-178.66</v>
      </c>
      <c r="L14" s="8" t="s">
        <v>195</v>
      </c>
      <c r="M14" s="4">
        <v>-178.66</v>
      </c>
      <c r="N14" s="8" t="s">
        <v>742</v>
      </c>
      <c r="O14" s="8" t="s">
        <v>385</v>
      </c>
      <c r="P14" s="8" t="s">
        <v>363</v>
      </c>
      <c r="Q14" s="4">
        <v>5637702749</v>
      </c>
    </row>
    <row r="15" spans="1:17">
      <c r="A15" s="8" t="s">
        <v>200</v>
      </c>
      <c r="B15" s="8" t="s">
        <v>384</v>
      </c>
      <c r="C15" s="8" t="s">
        <v>86</v>
      </c>
      <c r="D15" s="8" t="s">
        <v>87</v>
      </c>
      <c r="E15" s="6">
        <v>43131</v>
      </c>
      <c r="F15" s="8" t="s">
        <v>371</v>
      </c>
      <c r="G15" s="8" t="s">
        <v>372</v>
      </c>
      <c r="H15" s="4">
        <v>-150</v>
      </c>
      <c r="I15" s="8" t="s">
        <v>33</v>
      </c>
      <c r="J15" s="4">
        <v>1.191065019421</v>
      </c>
      <c r="K15" s="4">
        <v>-178.66</v>
      </c>
      <c r="L15" s="8" t="s">
        <v>195</v>
      </c>
      <c r="M15" s="4">
        <v>-178.66</v>
      </c>
      <c r="N15" s="8" t="s">
        <v>742</v>
      </c>
      <c r="O15" s="8" t="s">
        <v>385</v>
      </c>
      <c r="P15" s="8" t="s">
        <v>363</v>
      </c>
      <c r="Q15" s="4">
        <v>5637702750</v>
      </c>
    </row>
    <row r="16" spans="1:17">
      <c r="A16" s="8" t="s">
        <v>200</v>
      </c>
      <c r="B16" s="8" t="s">
        <v>384</v>
      </c>
      <c r="C16" s="8" t="s">
        <v>86</v>
      </c>
      <c r="D16" s="8" t="s">
        <v>87</v>
      </c>
      <c r="E16" s="6">
        <v>43131</v>
      </c>
      <c r="F16" s="8" t="s">
        <v>371</v>
      </c>
      <c r="G16" s="8" t="s">
        <v>372</v>
      </c>
      <c r="H16" s="4">
        <v>-100</v>
      </c>
      <c r="I16" s="8" t="s">
        <v>33</v>
      </c>
      <c r="J16" s="4">
        <v>1.191065019421</v>
      </c>
      <c r="K16" s="4">
        <v>-119.10999999999999</v>
      </c>
      <c r="L16" s="8" t="s">
        <v>195</v>
      </c>
      <c r="M16" s="4">
        <v>-119.10999999999999</v>
      </c>
      <c r="N16" s="8" t="s">
        <v>742</v>
      </c>
      <c r="O16" s="8" t="s">
        <v>385</v>
      </c>
      <c r="P16" s="8" t="s">
        <v>363</v>
      </c>
      <c r="Q16" s="4">
        <v>5637702748</v>
      </c>
    </row>
    <row r="17" spans="1:17">
      <c r="A17" s="8" t="s">
        <v>200</v>
      </c>
      <c r="B17" s="8" t="s">
        <v>384</v>
      </c>
      <c r="C17" s="8" t="s">
        <v>86</v>
      </c>
      <c r="D17" s="8" t="s">
        <v>87</v>
      </c>
      <c r="E17" s="6">
        <v>43131</v>
      </c>
      <c r="F17" s="8" t="s">
        <v>371</v>
      </c>
      <c r="G17" s="8" t="s">
        <v>372</v>
      </c>
      <c r="H17" s="4">
        <v>-100</v>
      </c>
      <c r="I17" s="8" t="s">
        <v>33</v>
      </c>
      <c r="J17" s="4">
        <v>1.191065019421</v>
      </c>
      <c r="K17" s="4">
        <v>-119.10999999999999</v>
      </c>
      <c r="L17" s="8" t="s">
        <v>195</v>
      </c>
      <c r="M17" s="4">
        <v>-119.10999999999999</v>
      </c>
      <c r="N17" s="8" t="s">
        <v>742</v>
      </c>
      <c r="O17" s="8" t="s">
        <v>385</v>
      </c>
      <c r="P17" s="8" t="s">
        <v>363</v>
      </c>
      <c r="Q17" s="4">
        <v>5637702751</v>
      </c>
    </row>
    <row r="18" spans="1:17">
      <c r="A18" s="8" t="s">
        <v>200</v>
      </c>
      <c r="B18" s="8" t="s">
        <v>384</v>
      </c>
      <c r="C18" s="8" t="s">
        <v>86</v>
      </c>
      <c r="D18" s="8" t="s">
        <v>87</v>
      </c>
      <c r="E18" s="6">
        <v>43131</v>
      </c>
      <c r="F18" s="8" t="s">
        <v>371</v>
      </c>
      <c r="G18" s="8" t="s">
        <v>372</v>
      </c>
      <c r="H18" s="4">
        <v>-100</v>
      </c>
      <c r="I18" s="8" t="s">
        <v>33</v>
      </c>
      <c r="J18" s="4">
        <v>1.191065019421</v>
      </c>
      <c r="K18" s="4">
        <v>-119.10999999999999</v>
      </c>
      <c r="L18" s="8" t="s">
        <v>195</v>
      </c>
      <c r="M18" s="4">
        <v>-119.10999999999999</v>
      </c>
      <c r="N18" s="8" t="s">
        <v>742</v>
      </c>
      <c r="O18" s="8" t="s">
        <v>385</v>
      </c>
      <c r="P18" s="8" t="s">
        <v>363</v>
      </c>
      <c r="Q18" s="4">
        <v>5637702739</v>
      </c>
    </row>
    <row r="19" spans="1:17">
      <c r="A19" s="8" t="s">
        <v>200</v>
      </c>
      <c r="B19" s="8" t="s">
        <v>380</v>
      </c>
      <c r="C19" s="8" t="s">
        <v>88</v>
      </c>
      <c r="D19" s="8" t="s">
        <v>89</v>
      </c>
      <c r="E19" s="6">
        <v>43131</v>
      </c>
      <c r="F19" s="8" t="s">
        <v>371</v>
      </c>
      <c r="G19" s="8" t="s">
        <v>372</v>
      </c>
      <c r="H19" s="4">
        <v>-153</v>
      </c>
      <c r="I19" s="8" t="s">
        <v>33</v>
      </c>
      <c r="J19" s="4">
        <v>3.6472410452090003</v>
      </c>
      <c r="K19" s="4">
        <v>-558.03</v>
      </c>
      <c r="L19" s="8" t="s">
        <v>195</v>
      </c>
      <c r="M19" s="4">
        <v>-558.03</v>
      </c>
      <c r="N19" s="8" t="s">
        <v>743</v>
      </c>
      <c r="O19" s="8" t="s">
        <v>381</v>
      </c>
      <c r="P19" s="8" t="s">
        <v>363</v>
      </c>
      <c r="Q19" s="4">
        <v>5637703152</v>
      </c>
    </row>
    <row r="20" spans="1:17">
      <c r="A20" s="8" t="s">
        <v>200</v>
      </c>
      <c r="B20" s="8" t="s">
        <v>380</v>
      </c>
      <c r="C20" s="8" t="s">
        <v>88</v>
      </c>
      <c r="D20" s="8" t="s">
        <v>89</v>
      </c>
      <c r="E20" s="6">
        <v>43131</v>
      </c>
      <c r="F20" s="8" t="s">
        <v>371</v>
      </c>
      <c r="G20" s="8" t="s">
        <v>372</v>
      </c>
      <c r="H20" s="4">
        <v>-151.69999999999999</v>
      </c>
      <c r="I20" s="8" t="s">
        <v>33</v>
      </c>
      <c r="J20" s="4">
        <v>3.6472410452090003</v>
      </c>
      <c r="K20" s="4">
        <v>-553.29</v>
      </c>
      <c r="L20" s="8" t="s">
        <v>195</v>
      </c>
      <c r="M20" s="4">
        <v>-553.29</v>
      </c>
      <c r="N20" s="8" t="s">
        <v>743</v>
      </c>
      <c r="O20" s="8" t="s">
        <v>381</v>
      </c>
      <c r="P20" s="8" t="s">
        <v>363</v>
      </c>
      <c r="Q20" s="4">
        <v>5637703153</v>
      </c>
    </row>
    <row r="21" spans="1:17">
      <c r="A21" s="8" t="s">
        <v>200</v>
      </c>
      <c r="B21" s="8" t="s">
        <v>380</v>
      </c>
      <c r="C21" s="8" t="s">
        <v>88</v>
      </c>
      <c r="D21" s="8" t="s">
        <v>89</v>
      </c>
      <c r="E21" s="6">
        <v>43131</v>
      </c>
      <c r="F21" s="8" t="s">
        <v>371</v>
      </c>
      <c r="G21" s="8" t="s">
        <v>372</v>
      </c>
      <c r="H21" s="4">
        <v>-151.19999999999999</v>
      </c>
      <c r="I21" s="8" t="s">
        <v>33</v>
      </c>
      <c r="J21" s="4">
        <v>3.6472410452090003</v>
      </c>
      <c r="K21" s="4">
        <v>-551.46</v>
      </c>
      <c r="L21" s="8" t="s">
        <v>195</v>
      </c>
      <c r="M21" s="4">
        <v>-551.46</v>
      </c>
      <c r="N21" s="8" t="s">
        <v>743</v>
      </c>
      <c r="O21" s="8" t="s">
        <v>381</v>
      </c>
      <c r="P21" s="8" t="s">
        <v>363</v>
      </c>
      <c r="Q21" s="4">
        <v>5637702638</v>
      </c>
    </row>
    <row r="22" spans="1:17">
      <c r="A22" s="8" t="s">
        <v>200</v>
      </c>
      <c r="B22" s="8" t="s">
        <v>380</v>
      </c>
      <c r="C22" s="8" t="s">
        <v>88</v>
      </c>
      <c r="D22" s="8" t="s">
        <v>89</v>
      </c>
      <c r="E22" s="6">
        <v>43131</v>
      </c>
      <c r="F22" s="8" t="s">
        <v>371</v>
      </c>
      <c r="G22" s="8" t="s">
        <v>372</v>
      </c>
      <c r="H22" s="4">
        <v>-93.6</v>
      </c>
      <c r="I22" s="8" t="s">
        <v>33</v>
      </c>
      <c r="J22" s="4">
        <v>3.6472410452090003</v>
      </c>
      <c r="K22" s="4">
        <v>-341.38</v>
      </c>
      <c r="L22" s="8" t="s">
        <v>195</v>
      </c>
      <c r="M22" s="4">
        <v>-341.38</v>
      </c>
      <c r="N22" s="8" t="s">
        <v>743</v>
      </c>
      <c r="O22" s="8" t="s">
        <v>381</v>
      </c>
      <c r="P22" s="8" t="s">
        <v>363</v>
      </c>
      <c r="Q22" s="4">
        <v>5637703151</v>
      </c>
    </row>
    <row r="23" spans="1:17">
      <c r="A23" s="8" t="s">
        <v>200</v>
      </c>
      <c r="B23" s="8" t="s">
        <v>382</v>
      </c>
      <c r="C23" s="8" t="s">
        <v>53</v>
      </c>
      <c r="D23" s="8" t="s">
        <v>82</v>
      </c>
      <c r="E23" s="6">
        <v>43131</v>
      </c>
      <c r="F23" s="8" t="s">
        <v>371</v>
      </c>
      <c r="G23" s="8" t="s">
        <v>372</v>
      </c>
      <c r="H23" s="4">
        <v>-2.35</v>
      </c>
      <c r="I23" s="8" t="s">
        <v>33</v>
      </c>
      <c r="J23" s="4">
        <v>1.9928209052609998</v>
      </c>
      <c r="K23" s="4">
        <v>-4.68</v>
      </c>
      <c r="L23" s="8" t="s">
        <v>195</v>
      </c>
      <c r="M23" s="4">
        <v>-4.68</v>
      </c>
      <c r="N23" s="8" t="s">
        <v>744</v>
      </c>
      <c r="O23" s="8" t="s">
        <v>383</v>
      </c>
      <c r="P23" s="8" t="s">
        <v>363</v>
      </c>
      <c r="Q23" s="4">
        <v>5637702653</v>
      </c>
    </row>
    <row r="24" spans="1:17">
      <c r="A24" s="8" t="s">
        <v>200</v>
      </c>
      <c r="B24" s="8" t="s">
        <v>392</v>
      </c>
      <c r="C24" s="8" t="s">
        <v>54</v>
      </c>
      <c r="D24" s="8" t="s">
        <v>173</v>
      </c>
      <c r="E24" s="6">
        <v>43131</v>
      </c>
      <c r="F24" s="8" t="s">
        <v>371</v>
      </c>
      <c r="G24" s="8" t="s">
        <v>372</v>
      </c>
      <c r="H24" s="4">
        <v>-100</v>
      </c>
      <c r="I24" s="8" t="s">
        <v>33</v>
      </c>
      <c r="J24" s="4">
        <v>1.445027338564</v>
      </c>
      <c r="K24" s="4">
        <v>-144.5</v>
      </c>
      <c r="L24" s="8" t="s">
        <v>195</v>
      </c>
      <c r="M24" s="4">
        <v>-144.5</v>
      </c>
      <c r="N24" s="8" t="s">
        <v>734</v>
      </c>
      <c r="O24" s="8" t="s">
        <v>395</v>
      </c>
      <c r="P24" s="8" t="s">
        <v>363</v>
      </c>
      <c r="Q24" s="4">
        <v>5637703157</v>
      </c>
    </row>
    <row r="25" spans="1:17">
      <c r="A25" s="8" t="s">
        <v>739</v>
      </c>
      <c r="B25" s="8" t="s">
        <v>70</v>
      </c>
      <c r="C25" s="8" t="s">
        <v>421</v>
      </c>
      <c r="D25" s="8" t="s">
        <v>422</v>
      </c>
      <c r="E25" s="6">
        <v>43131</v>
      </c>
      <c r="F25" s="8" t="s">
        <v>371</v>
      </c>
      <c r="G25" s="8" t="s">
        <v>372</v>
      </c>
      <c r="H25" s="4">
        <v>5.9</v>
      </c>
      <c r="I25" s="8" t="s">
        <v>33</v>
      </c>
      <c r="J25" s="4">
        <v>0</v>
      </c>
      <c r="K25" s="4">
        <v>0</v>
      </c>
      <c r="L25" s="8" t="s">
        <v>195</v>
      </c>
      <c r="M25" s="4">
        <v>0</v>
      </c>
      <c r="N25" s="8" t="s">
        <v>740</v>
      </c>
      <c r="O25" s="8" t="s">
        <v>745</v>
      </c>
      <c r="P25" s="8" t="s">
        <v>363</v>
      </c>
      <c r="Q25" s="4">
        <v>0</v>
      </c>
    </row>
    <row r="26" spans="1:17">
      <c r="A26" s="8" t="s">
        <v>200</v>
      </c>
      <c r="B26" s="8" t="s">
        <v>386</v>
      </c>
      <c r="C26" s="8" t="s">
        <v>387</v>
      </c>
      <c r="D26" s="8" t="s">
        <v>388</v>
      </c>
      <c r="E26" s="6">
        <v>43131</v>
      </c>
      <c r="F26" s="8" t="s">
        <v>371</v>
      </c>
      <c r="G26" s="8" t="s">
        <v>372</v>
      </c>
      <c r="H26" s="4">
        <v>-10</v>
      </c>
      <c r="I26" s="8" t="s">
        <v>33</v>
      </c>
      <c r="J26" s="4">
        <v>0</v>
      </c>
      <c r="K26" s="4">
        <v>0</v>
      </c>
      <c r="L26" s="8" t="s">
        <v>195</v>
      </c>
      <c r="M26" s="4">
        <v>0</v>
      </c>
      <c r="N26" s="8" t="s">
        <v>746</v>
      </c>
      <c r="O26" s="8" t="s">
        <v>389</v>
      </c>
      <c r="P26" s="8" t="s">
        <v>363</v>
      </c>
      <c r="Q26" s="4">
        <v>5637703080</v>
      </c>
    </row>
    <row r="27" spans="1:17">
      <c r="A27" s="8" t="s">
        <v>200</v>
      </c>
      <c r="B27" s="8" t="s">
        <v>376</v>
      </c>
      <c r="C27" s="8" t="s">
        <v>377</v>
      </c>
      <c r="D27" s="8" t="s">
        <v>378</v>
      </c>
      <c r="E27" s="6">
        <v>43131</v>
      </c>
      <c r="F27" s="8" t="s">
        <v>371</v>
      </c>
      <c r="G27" s="8" t="s">
        <v>372</v>
      </c>
      <c r="H27" s="4">
        <v>-12</v>
      </c>
      <c r="I27" s="8" t="s">
        <v>33</v>
      </c>
      <c r="J27" s="4">
        <v>0</v>
      </c>
      <c r="K27" s="4">
        <v>0</v>
      </c>
      <c r="L27" s="8" t="s">
        <v>195</v>
      </c>
      <c r="M27" s="4">
        <v>0</v>
      </c>
      <c r="N27" s="8" t="s">
        <v>747</v>
      </c>
      <c r="O27" s="8" t="s">
        <v>379</v>
      </c>
      <c r="P27" s="8" t="s">
        <v>363</v>
      </c>
      <c r="Q27" s="4">
        <v>5637701282</v>
      </c>
    </row>
    <row r="28" spans="1:17">
      <c r="A28" s="8" t="s">
        <v>200</v>
      </c>
      <c r="B28" s="8" t="s">
        <v>386</v>
      </c>
      <c r="C28" s="8" t="s">
        <v>60</v>
      </c>
      <c r="D28" s="8" t="s">
        <v>390</v>
      </c>
      <c r="E28" s="6">
        <v>43131</v>
      </c>
      <c r="F28" s="8" t="s">
        <v>371</v>
      </c>
      <c r="G28" s="8" t="s">
        <v>372</v>
      </c>
      <c r="H28" s="4">
        <v>-5</v>
      </c>
      <c r="I28" s="8" t="s">
        <v>31</v>
      </c>
      <c r="J28" s="4">
        <v>3.980463556243</v>
      </c>
      <c r="K28" s="4">
        <v>-19.899999999999999</v>
      </c>
      <c r="L28" s="8" t="s">
        <v>195</v>
      </c>
      <c r="M28" s="4">
        <v>-19.899999999999999</v>
      </c>
      <c r="N28" s="8" t="s">
        <v>746</v>
      </c>
      <c r="O28" s="8" t="s">
        <v>391</v>
      </c>
      <c r="P28" s="8" t="s">
        <v>363</v>
      </c>
      <c r="Q28" s="4">
        <v>5637703081</v>
      </c>
    </row>
    <row r="29" spans="1:17" ht="30">
      <c r="A29" s="8" t="s">
        <v>200</v>
      </c>
      <c r="B29" s="8" t="s">
        <v>398</v>
      </c>
      <c r="C29" s="8" t="s">
        <v>193</v>
      </c>
      <c r="D29" s="11" t="s">
        <v>194</v>
      </c>
      <c r="E29" s="6">
        <v>43131</v>
      </c>
      <c r="F29" s="8" t="s">
        <v>371</v>
      </c>
      <c r="G29" s="8" t="s">
        <v>372</v>
      </c>
      <c r="H29" s="4">
        <v>-40</v>
      </c>
      <c r="I29" s="8" t="s">
        <v>31</v>
      </c>
      <c r="J29" s="4">
        <v>6.2074345549740002</v>
      </c>
      <c r="K29" s="4">
        <v>-248.3</v>
      </c>
      <c r="L29" s="8" t="s">
        <v>195</v>
      </c>
      <c r="M29" s="4">
        <v>-248.3</v>
      </c>
      <c r="N29" s="8" t="s">
        <v>737</v>
      </c>
      <c r="O29" s="8" t="s">
        <v>400</v>
      </c>
      <c r="P29" s="8" t="s">
        <v>363</v>
      </c>
      <c r="Q29" s="4">
        <v>5637703216</v>
      </c>
    </row>
    <row r="30" spans="1:17">
      <c r="A30" s="8" t="s">
        <v>200</v>
      </c>
      <c r="B30" s="8" t="s">
        <v>369</v>
      </c>
      <c r="C30" s="8" t="s">
        <v>374</v>
      </c>
      <c r="D30" s="8" t="s">
        <v>374</v>
      </c>
      <c r="E30" s="6">
        <v>43129</v>
      </c>
      <c r="F30" s="8" t="s">
        <v>371</v>
      </c>
      <c r="G30" s="8" t="s">
        <v>372</v>
      </c>
      <c r="H30" s="4">
        <v>-1</v>
      </c>
      <c r="I30" s="8" t="s">
        <v>31</v>
      </c>
      <c r="J30" s="4">
        <v>0</v>
      </c>
      <c r="K30" s="4">
        <v>0</v>
      </c>
      <c r="L30" s="8" t="s">
        <v>195</v>
      </c>
      <c r="M30" s="4">
        <v>0</v>
      </c>
      <c r="N30" s="8" t="s">
        <v>735</v>
      </c>
      <c r="O30" s="8" t="s">
        <v>375</v>
      </c>
      <c r="P30" s="8" t="s">
        <v>363</v>
      </c>
      <c r="Q30" s="4">
        <v>5637705403</v>
      </c>
    </row>
    <row r="31" spans="1:17">
      <c r="A31" s="3" t="s">
        <v>13</v>
      </c>
      <c r="B31" s="7"/>
      <c r="C31" s="7"/>
      <c r="D31" s="7"/>
      <c r="E31" s="5"/>
      <c r="F31" s="7"/>
      <c r="G31" s="7"/>
      <c r="H31" s="3">
        <f>SUBTOTAL(109,AtlasReport_2_Table_1[Quantity])</f>
        <v>23406.810000000005</v>
      </c>
      <c r="I31" s="7"/>
      <c r="J31" s="3">
        <f>SUBTOTAL(109,AtlasReport_2_Table_1[TPP cost price])</f>
        <v>64.911362052221023</v>
      </c>
      <c r="K31" s="3">
        <f>SUBTOTAL(109,AtlasReport_2_Table_1[TPP cost amount])</f>
        <v>61098.280000000006</v>
      </c>
      <c r="L31" s="7"/>
      <c r="M31" s="3">
        <f>SUBTOTAL(109,AtlasReport_2_Table_1[TPP cost amount currency])</f>
        <v>61098.280000000006</v>
      </c>
      <c r="N31" s="7"/>
      <c r="O31" s="7"/>
      <c r="P31" s="7"/>
      <c r="Q31" s="3">
        <f>SUBTOTAL(109,AtlasReport_2_Table_1[InventTransRecId])</f>
        <v>146580282848</v>
      </c>
    </row>
    <row r="32" spans="1:17">
      <c r="A32" s="3"/>
      <c r="B32" s="3"/>
      <c r="C32" s="3"/>
      <c r="D32" s="3"/>
      <c r="E32" s="5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>
      <c r="A33" s="3"/>
      <c r="B33" s="3"/>
      <c r="C33" s="3"/>
      <c r="D33" s="3"/>
      <c r="E33" s="5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55"/>
  <sheetViews>
    <sheetView workbookViewId="0">
      <selection activeCell="A7" sqref="A7"/>
    </sheetView>
  </sheetViews>
  <sheetFormatPr defaultRowHeight="15"/>
  <cols>
    <col min="1" max="1" width="32" customWidth="1"/>
    <col min="2" max="2" width="6.7109375" customWidth="1"/>
    <col min="3" max="3" width="13.5703125" customWidth="1"/>
    <col min="4" max="4" width="17.42578125" customWidth="1"/>
    <col min="5" max="5" width="20.5703125" customWidth="1"/>
    <col min="6" max="6" width="17.5703125" customWidth="1"/>
    <col min="7" max="7" width="20.5703125" customWidth="1"/>
    <col min="8" max="8" width="17.5703125" customWidth="1"/>
    <col min="9" max="9" width="10.7109375" bestFit="1" customWidth="1"/>
  </cols>
  <sheetData>
    <row r="1" spans="1:8" ht="22.5">
      <c r="A1" s="2" t="s">
        <v>45</v>
      </c>
      <c r="B1" s="2"/>
      <c r="C1" s="2"/>
      <c r="D1" s="2"/>
      <c r="E1" s="2"/>
      <c r="F1" s="2"/>
      <c r="G1" s="2"/>
      <c r="H1" s="2"/>
    </row>
    <row r="2" spans="1:8">
      <c r="A2" s="3" t="s">
        <v>6</v>
      </c>
      <c r="B2" s="3" t="s">
        <v>43</v>
      </c>
      <c r="C2" s="3" t="s">
        <v>44</v>
      </c>
      <c r="D2" s="9" t="s">
        <v>71</v>
      </c>
      <c r="E2" s="9" t="s">
        <v>76</v>
      </c>
      <c r="F2" s="9" t="s">
        <v>77</v>
      </c>
      <c r="G2" s="9" t="s">
        <v>72</v>
      </c>
      <c r="H2" s="9" t="s">
        <v>73</v>
      </c>
    </row>
    <row r="3" spans="1:8">
      <c r="A3" s="8" t="s">
        <v>206</v>
      </c>
      <c r="B3" s="8" t="s">
        <v>371</v>
      </c>
      <c r="C3" s="8" t="s">
        <v>70</v>
      </c>
      <c r="D3" s="10">
        <v>0</v>
      </c>
      <c r="E3" s="10">
        <f>_xll.AtlasFormulas.AtlasFunctions.AtlasBalance("PROD",DataAreaId,"T.InventTrans|inventDimId~inventDimId@T.InventDim","Sum|Qty|0","","","","","","","DateFinancial|ItemId|T2.InventSiteId|T2.InventLocationId",PeriodBeginning,$A3,$B3,$C3)</f>
        <v>0</v>
      </c>
      <c r="F3" s="10">
        <f>_xll.AtlasFormulas.AtlasFunctions.AtlasBalance("PROD",DataAreaId,"T.InventTrans|inventDimId~inventDimId@T.InventDim","Sum|Qty|0","","","","","","","DateFinancial|ItemId|T2.InventSiteId|T2.InventLocationId",PeriodEnding,$A3,$B3,$C3)</f>
        <v>0</v>
      </c>
      <c r="G3" s="10">
        <f>AtlasReport_3_Table_1[[#This Row],[Current On-hand]]-AtlasReport_3_Table_1[[#This Row],[Trans backwords (Beginning)]]</f>
        <v>0</v>
      </c>
      <c r="H3" s="10">
        <f>AtlasReport_3_Table_1[[#This Row],[Current On-hand]]-AtlasReport_3_Table_1[[#This Row],[Trans backwords (Ending)]]</f>
        <v>0</v>
      </c>
    </row>
    <row r="4" spans="1:8">
      <c r="A4" s="8" t="s">
        <v>206</v>
      </c>
      <c r="B4" s="8" t="s">
        <v>371</v>
      </c>
      <c r="C4" s="8" t="s">
        <v>372</v>
      </c>
      <c r="D4" s="10">
        <v>0</v>
      </c>
      <c r="E4" s="10">
        <f>_xll.AtlasFormulas.AtlasFunctions.AtlasBalance("PROD",DataAreaId,"T.InventTrans|inventDimId~inventDimId@T.InventDim","Sum|Qty|0","","","","","","","DateFinancial|ItemId|T2.InventSiteId|T2.InventLocationId",PeriodBeginning,$A4,$B4,$C4)</f>
        <v>0</v>
      </c>
      <c r="F4" s="10">
        <f>_xll.AtlasFormulas.AtlasFunctions.AtlasBalance("PROD",DataAreaId,"T.InventTrans|inventDimId~inventDimId@T.InventDim","Sum|Qty|0","","","","","","","DateFinancial|ItemId|T2.InventSiteId|T2.InventLocationId",PeriodEnding,$A4,$B4,$C4)</f>
        <v>0</v>
      </c>
      <c r="G4" s="10">
        <f>AtlasReport_3_Table_1[[#This Row],[Current On-hand]]-AtlasReport_3_Table_1[[#This Row],[Trans backwords (Beginning)]]</f>
        <v>0</v>
      </c>
      <c r="H4" s="10">
        <f>AtlasReport_3_Table_1[[#This Row],[Current On-hand]]-AtlasReport_3_Table_1[[#This Row],[Trans backwords (Ending)]]</f>
        <v>0</v>
      </c>
    </row>
    <row r="5" spans="1:8">
      <c r="A5" s="8" t="s">
        <v>207</v>
      </c>
      <c r="B5" s="8" t="s">
        <v>371</v>
      </c>
      <c r="C5" s="8" t="s">
        <v>70</v>
      </c>
      <c r="D5" s="10">
        <v>0</v>
      </c>
      <c r="E5" s="10">
        <f>_xll.AtlasFormulas.AtlasFunctions.AtlasBalance("PROD",DataAreaId,"T.InventTrans|inventDimId~inventDimId@T.InventDim","Sum|Qty|0","","","","","","","DateFinancial|ItemId|T2.InventSiteId|T2.InventLocationId",PeriodBeginning,$A5,$B5,$C5)</f>
        <v>0</v>
      </c>
      <c r="F5" s="10">
        <f>_xll.AtlasFormulas.AtlasFunctions.AtlasBalance("PROD",DataAreaId,"T.InventTrans|inventDimId~inventDimId@T.InventDim","Sum|Qty|0","","","","","","","DateFinancial|ItemId|T2.InventSiteId|T2.InventLocationId",PeriodEnding,$A5,$B5,$C5)</f>
        <v>0</v>
      </c>
      <c r="G5" s="10">
        <f>AtlasReport_3_Table_1[[#This Row],[Current On-hand]]-AtlasReport_3_Table_1[[#This Row],[Trans backwords (Beginning)]]</f>
        <v>0</v>
      </c>
      <c r="H5" s="10">
        <f>AtlasReport_3_Table_1[[#This Row],[Current On-hand]]-AtlasReport_3_Table_1[[#This Row],[Trans backwords (Ending)]]</f>
        <v>0</v>
      </c>
    </row>
    <row r="6" spans="1:8">
      <c r="A6" s="8" t="s">
        <v>207</v>
      </c>
      <c r="B6" s="8" t="s">
        <v>371</v>
      </c>
      <c r="C6" s="8" t="s">
        <v>372</v>
      </c>
      <c r="D6" s="10">
        <v>0</v>
      </c>
      <c r="E6" s="10">
        <f>_xll.AtlasFormulas.AtlasFunctions.AtlasBalance("PROD",DataAreaId,"T.InventTrans|inventDimId~inventDimId@T.InventDim","Sum|Qty|0","","","","","","","DateFinancial|ItemId|T2.InventSiteId|T2.InventLocationId",PeriodBeginning,$A6,$B6,$C6)</f>
        <v>0</v>
      </c>
      <c r="F6" s="10">
        <f>_xll.AtlasFormulas.AtlasFunctions.AtlasBalance("PROD",DataAreaId,"T.InventTrans|inventDimId~inventDimId@T.InventDim","Sum|Qty|0","","","","","","","DateFinancial|ItemId|T2.InventSiteId|T2.InventLocationId",PeriodEnding,$A6,$B6,$C6)</f>
        <v>0</v>
      </c>
      <c r="G6" s="10">
        <f>AtlasReport_3_Table_1[[#This Row],[Current On-hand]]-AtlasReport_3_Table_1[[#This Row],[Trans backwords (Beginning)]]</f>
        <v>0</v>
      </c>
      <c r="H6" s="10">
        <f>AtlasReport_3_Table_1[[#This Row],[Current On-hand]]-AtlasReport_3_Table_1[[#This Row],[Trans backwords (Ending)]]</f>
        <v>0</v>
      </c>
    </row>
    <row r="7" spans="1:8">
      <c r="A7" s="8" t="s">
        <v>46</v>
      </c>
      <c r="B7" s="8" t="s">
        <v>371</v>
      </c>
      <c r="C7" s="8" t="s">
        <v>70</v>
      </c>
      <c r="D7" s="10">
        <v>0</v>
      </c>
      <c r="E7" s="10">
        <f>_xll.AtlasFormulas.AtlasFunctions.AtlasBalance("PROD",DataAreaId,"T.InventTrans|inventDimId~inventDimId@T.InventDim","Sum|Qty|0","","","","","","","DateFinancial|ItemId|T2.InventSiteId|T2.InventLocationId",PeriodBeginning,$A7,$B7,$C7)</f>
        <v>0</v>
      </c>
      <c r="F7" s="10">
        <f>_xll.AtlasFormulas.AtlasFunctions.AtlasBalance("PROD",DataAreaId,"T.InventTrans|inventDimId~inventDimId@T.InventDim","Sum|Qty|0","","","","","","","DateFinancial|ItemId|T2.InventSiteId|T2.InventLocationId",PeriodEnding,$A7,$B7,$C7)</f>
        <v>0</v>
      </c>
      <c r="G7" s="10">
        <f>AtlasReport_3_Table_1[[#This Row],[Current On-hand]]-AtlasReport_3_Table_1[[#This Row],[Trans backwords (Beginning)]]</f>
        <v>0</v>
      </c>
      <c r="H7" s="10">
        <f>AtlasReport_3_Table_1[[#This Row],[Current On-hand]]-AtlasReport_3_Table_1[[#This Row],[Trans backwords (Ending)]]</f>
        <v>0</v>
      </c>
    </row>
    <row r="8" spans="1:8">
      <c r="A8" s="8" t="s">
        <v>46</v>
      </c>
      <c r="B8" s="8" t="s">
        <v>371</v>
      </c>
      <c r="C8" s="8" t="s">
        <v>372</v>
      </c>
      <c r="D8" s="10">
        <v>6823.05</v>
      </c>
      <c r="E8" s="10">
        <f>_xll.AtlasFormulas.AtlasFunctions.AtlasBalance("PROD",DataAreaId,"T.InventTrans|inventDimId~inventDimId@T.InventDim","Sum|Qty|0","","","","","","","DateFinancial|ItemId|T2.InventSiteId|T2.InventLocationId",PeriodBeginning,$A8,$B8,$C8)</f>
        <v>-390</v>
      </c>
      <c r="F8" s="10">
        <f>_xll.AtlasFormulas.AtlasFunctions.AtlasBalance("PROD",DataAreaId,"T.InventTrans|inventDimId~inventDimId@T.InventDim","Sum|Qty|0","","","","","","","DateFinancial|ItemId|T2.InventSiteId|T2.InventLocationId",PeriodEnding,$A8,$B8,$C8)</f>
        <v>0</v>
      </c>
      <c r="G8" s="10">
        <f>AtlasReport_3_Table_1[[#This Row],[Current On-hand]]-AtlasReport_3_Table_1[[#This Row],[Trans backwords (Beginning)]]</f>
        <v>7213.05</v>
      </c>
      <c r="H8" s="10">
        <f>AtlasReport_3_Table_1[[#This Row],[Current On-hand]]-AtlasReport_3_Table_1[[#This Row],[Trans backwords (Ending)]]</f>
        <v>6823.05</v>
      </c>
    </row>
    <row r="9" spans="1:8">
      <c r="A9" s="8" t="s">
        <v>119</v>
      </c>
      <c r="B9" s="8" t="s">
        <v>371</v>
      </c>
      <c r="C9" s="8" t="s">
        <v>70</v>
      </c>
      <c r="D9" s="10">
        <v>0</v>
      </c>
      <c r="E9" s="10">
        <f>_xll.AtlasFormulas.AtlasFunctions.AtlasBalance("PROD",DataAreaId,"T.InventTrans|inventDimId~inventDimId@T.InventDim","Sum|Qty|0","","","","","","","DateFinancial|ItemId|T2.InventSiteId|T2.InventLocationId",PeriodBeginning,$A9,$B9,$C9)</f>
        <v>0</v>
      </c>
      <c r="F9" s="10">
        <f>_xll.AtlasFormulas.AtlasFunctions.AtlasBalance("PROD",DataAreaId,"T.InventTrans|inventDimId~inventDimId@T.InventDim","Sum|Qty|0","","","","","","","DateFinancial|ItemId|T2.InventSiteId|T2.InventLocationId",PeriodEnding,$A9,$B9,$C9)</f>
        <v>0</v>
      </c>
      <c r="G9" s="10">
        <f>AtlasReport_3_Table_1[[#This Row],[Current On-hand]]-AtlasReport_3_Table_1[[#This Row],[Trans backwords (Beginning)]]</f>
        <v>0</v>
      </c>
      <c r="H9" s="10">
        <f>AtlasReport_3_Table_1[[#This Row],[Current On-hand]]-AtlasReport_3_Table_1[[#This Row],[Trans backwords (Ending)]]</f>
        <v>0</v>
      </c>
    </row>
    <row r="10" spans="1:8">
      <c r="A10" s="8" t="s">
        <v>119</v>
      </c>
      <c r="B10" s="8" t="s">
        <v>371</v>
      </c>
      <c r="C10" s="8" t="s">
        <v>372</v>
      </c>
      <c r="D10" s="10">
        <v>2925</v>
      </c>
      <c r="E10" s="10">
        <f>_xll.AtlasFormulas.AtlasFunctions.AtlasBalance("PROD",DataAreaId,"T.InventTrans|inventDimId~inventDimId@T.InventDim","Sum|Qty|0","","","","","","","DateFinancial|ItemId|T2.InventSiteId|T2.InventLocationId",PeriodBeginning,$A10,$B10,$C10)</f>
        <v>0</v>
      </c>
      <c r="F10" s="10">
        <f>_xll.AtlasFormulas.AtlasFunctions.AtlasBalance("PROD",DataAreaId,"T.InventTrans|inventDimId~inventDimId@T.InventDim","Sum|Qty|0","","","","","","","DateFinancial|ItemId|T2.InventSiteId|T2.InventLocationId",PeriodEnding,$A10,$B10,$C10)</f>
        <v>0</v>
      </c>
      <c r="G10" s="10">
        <f>AtlasReport_3_Table_1[[#This Row],[Current On-hand]]-AtlasReport_3_Table_1[[#This Row],[Trans backwords (Beginning)]]</f>
        <v>2925</v>
      </c>
      <c r="H10" s="10">
        <f>AtlasReport_3_Table_1[[#This Row],[Current On-hand]]-AtlasReport_3_Table_1[[#This Row],[Trans backwords (Ending)]]</f>
        <v>2925</v>
      </c>
    </row>
    <row r="11" spans="1:8">
      <c r="A11" s="8" t="s">
        <v>208</v>
      </c>
      <c r="B11" s="8" t="s">
        <v>371</v>
      </c>
      <c r="C11" s="8" t="s">
        <v>372</v>
      </c>
      <c r="D11" s="10">
        <v>0</v>
      </c>
      <c r="E11" s="10">
        <f>_xll.AtlasFormulas.AtlasFunctions.AtlasBalance("PROD",DataAreaId,"T.InventTrans|inventDimId~inventDimId@T.InventDim","Sum|Qty|0","","","","","","","DateFinancial|ItemId|T2.InventSiteId|T2.InventLocationId",PeriodBeginning,$A11,$B11,$C11)</f>
        <v>0</v>
      </c>
      <c r="F11" s="10">
        <f>_xll.AtlasFormulas.AtlasFunctions.AtlasBalance("PROD",DataAreaId,"T.InventTrans|inventDimId~inventDimId@T.InventDim","Sum|Qty|0","","","","","","","DateFinancial|ItemId|T2.InventSiteId|T2.InventLocationId",PeriodEnding,$A11,$B11,$C11)</f>
        <v>0</v>
      </c>
      <c r="G11" s="10">
        <f>AtlasReport_3_Table_1[[#This Row],[Current On-hand]]-AtlasReport_3_Table_1[[#This Row],[Trans backwords (Beginning)]]</f>
        <v>0</v>
      </c>
      <c r="H11" s="10">
        <f>AtlasReport_3_Table_1[[#This Row],[Current On-hand]]-AtlasReport_3_Table_1[[#This Row],[Trans backwords (Ending)]]</f>
        <v>0</v>
      </c>
    </row>
    <row r="12" spans="1:8">
      <c r="A12" s="8" t="s">
        <v>433</v>
      </c>
      <c r="B12" s="8" t="s">
        <v>371</v>
      </c>
      <c r="C12" s="8" t="s">
        <v>70</v>
      </c>
      <c r="D12" s="10">
        <v>0</v>
      </c>
      <c r="E12" s="10">
        <f>_xll.AtlasFormulas.AtlasFunctions.AtlasBalance("PROD",DataAreaId,"T.InventTrans|inventDimId~inventDimId@T.InventDim","Sum|Qty|0","","","","","","","DateFinancial|ItemId|T2.InventSiteId|T2.InventLocationId",PeriodBeginning,$A12,$B12,$C12)</f>
        <v>0</v>
      </c>
      <c r="F12" s="10">
        <f>_xll.AtlasFormulas.AtlasFunctions.AtlasBalance("PROD",DataAreaId,"T.InventTrans|inventDimId~inventDimId@T.InventDim","Sum|Qty|0","","","","","","","DateFinancial|ItemId|T2.InventSiteId|T2.InventLocationId",PeriodEnding,$A12,$B12,$C12)</f>
        <v>0</v>
      </c>
      <c r="G12" s="10">
        <f>AtlasReport_3_Table_1[[#This Row],[Current On-hand]]-AtlasReport_3_Table_1[[#This Row],[Trans backwords (Beginning)]]</f>
        <v>0</v>
      </c>
      <c r="H12" s="10">
        <f>AtlasReport_3_Table_1[[#This Row],[Current On-hand]]-AtlasReport_3_Table_1[[#This Row],[Trans backwords (Ending)]]</f>
        <v>0</v>
      </c>
    </row>
    <row r="13" spans="1:8">
      <c r="A13" s="8" t="s">
        <v>433</v>
      </c>
      <c r="B13" s="8" t="s">
        <v>371</v>
      </c>
      <c r="C13" s="8" t="s">
        <v>372</v>
      </c>
      <c r="D13" s="10">
        <v>2</v>
      </c>
      <c r="E13" s="10">
        <f>_xll.AtlasFormulas.AtlasFunctions.AtlasBalance("PROD",DataAreaId,"T.InventTrans|inventDimId~inventDimId@T.InventDim","Sum|Qty|0","","","","","","","DateFinancial|ItemId|T2.InventSiteId|T2.InventLocationId",PeriodBeginning,$A13,$B13,$C13)</f>
        <v>0</v>
      </c>
      <c r="F13" s="10">
        <f>_xll.AtlasFormulas.AtlasFunctions.AtlasBalance("PROD",DataAreaId,"T.InventTrans|inventDimId~inventDimId@T.InventDim","Sum|Qty|0","","","","","","","DateFinancial|ItemId|T2.InventSiteId|T2.InventLocationId",PeriodEnding,$A13,$B13,$C13)</f>
        <v>0</v>
      </c>
      <c r="G13" s="10">
        <f>AtlasReport_3_Table_1[[#This Row],[Current On-hand]]-AtlasReport_3_Table_1[[#This Row],[Trans backwords (Beginning)]]</f>
        <v>2</v>
      </c>
      <c r="H13" s="10">
        <f>AtlasReport_3_Table_1[[#This Row],[Current On-hand]]-AtlasReport_3_Table_1[[#This Row],[Trans backwords (Ending)]]</f>
        <v>2</v>
      </c>
    </row>
    <row r="14" spans="1:8">
      <c r="A14" s="8" t="s">
        <v>447</v>
      </c>
      <c r="B14" s="8" t="s">
        <v>371</v>
      </c>
      <c r="C14" s="8" t="s">
        <v>70</v>
      </c>
      <c r="D14" s="10">
        <v>0</v>
      </c>
      <c r="E14" s="10">
        <f>_xll.AtlasFormulas.AtlasFunctions.AtlasBalance("PROD",DataAreaId,"T.InventTrans|inventDimId~inventDimId@T.InventDim","Sum|Qty|0","","","","","","","DateFinancial|ItemId|T2.InventSiteId|T2.InventLocationId",PeriodBeginning,$A14,$B14,$C14)</f>
        <v>0</v>
      </c>
      <c r="F14" s="10">
        <f>_xll.AtlasFormulas.AtlasFunctions.AtlasBalance("PROD",DataAreaId,"T.InventTrans|inventDimId~inventDimId@T.InventDim","Sum|Qty|0","","","","","","","DateFinancial|ItemId|T2.InventSiteId|T2.InventLocationId",PeriodEnding,$A14,$B14,$C14)</f>
        <v>0</v>
      </c>
      <c r="G14" s="10">
        <f>AtlasReport_3_Table_1[[#This Row],[Current On-hand]]-AtlasReport_3_Table_1[[#This Row],[Trans backwords (Beginning)]]</f>
        <v>0</v>
      </c>
      <c r="H14" s="10">
        <f>AtlasReport_3_Table_1[[#This Row],[Current On-hand]]-AtlasReport_3_Table_1[[#This Row],[Trans backwords (Ending)]]</f>
        <v>0</v>
      </c>
    </row>
    <row r="15" spans="1:8">
      <c r="A15" s="8" t="s">
        <v>447</v>
      </c>
      <c r="B15" s="8" t="s">
        <v>371</v>
      </c>
      <c r="C15" s="8" t="s">
        <v>372</v>
      </c>
      <c r="D15" s="10">
        <v>1500</v>
      </c>
      <c r="E15" s="10">
        <f>_xll.AtlasFormulas.AtlasFunctions.AtlasBalance("PROD",DataAreaId,"T.InventTrans|inventDimId~inventDimId@T.InventDim","Sum|Qty|0","","","","","","","DateFinancial|ItemId|T2.InventSiteId|T2.InventLocationId",PeriodBeginning,$A15,$B15,$C15)</f>
        <v>0</v>
      </c>
      <c r="F15" s="10">
        <f>_xll.AtlasFormulas.AtlasFunctions.AtlasBalance("PROD",DataAreaId,"T.InventTrans|inventDimId~inventDimId@T.InventDim","Sum|Qty|0","","","","","","","DateFinancial|ItemId|T2.InventSiteId|T2.InventLocationId",PeriodEnding,$A15,$B15,$C15)</f>
        <v>0</v>
      </c>
      <c r="G15" s="10">
        <f>AtlasReport_3_Table_1[[#This Row],[Current On-hand]]-AtlasReport_3_Table_1[[#This Row],[Trans backwords (Beginning)]]</f>
        <v>1500</v>
      </c>
      <c r="H15" s="10">
        <f>AtlasReport_3_Table_1[[#This Row],[Current On-hand]]-AtlasReport_3_Table_1[[#This Row],[Trans backwords (Ending)]]</f>
        <v>1500</v>
      </c>
    </row>
    <row r="16" spans="1:8">
      <c r="A16" s="8" t="s">
        <v>120</v>
      </c>
      <c r="B16" s="8" t="s">
        <v>371</v>
      </c>
      <c r="C16" s="8" t="s">
        <v>70</v>
      </c>
      <c r="D16" s="10">
        <v>0</v>
      </c>
      <c r="E16" s="10">
        <f>_xll.AtlasFormulas.AtlasFunctions.AtlasBalance("PROD",DataAreaId,"T.InventTrans|inventDimId~inventDimId@T.InventDim","Sum|Qty|0","","","","","","","DateFinancial|ItemId|T2.InventSiteId|T2.InventLocationId",PeriodBeginning,$A16,$B16,$C16)</f>
        <v>0</v>
      </c>
      <c r="F16" s="10">
        <f>_xll.AtlasFormulas.AtlasFunctions.AtlasBalance("PROD",DataAreaId,"T.InventTrans|inventDimId~inventDimId@T.InventDim","Sum|Qty|0","","","","","","","DateFinancial|ItemId|T2.InventSiteId|T2.InventLocationId",PeriodEnding,$A16,$B16,$C16)</f>
        <v>0</v>
      </c>
      <c r="G16" s="10">
        <f>AtlasReport_3_Table_1[[#This Row],[Current On-hand]]-AtlasReport_3_Table_1[[#This Row],[Trans backwords (Beginning)]]</f>
        <v>0</v>
      </c>
      <c r="H16" s="10">
        <f>AtlasReport_3_Table_1[[#This Row],[Current On-hand]]-AtlasReport_3_Table_1[[#This Row],[Trans backwords (Ending)]]</f>
        <v>0</v>
      </c>
    </row>
    <row r="17" spans="1:8">
      <c r="A17" s="8" t="s">
        <v>120</v>
      </c>
      <c r="B17" s="8" t="s">
        <v>371</v>
      </c>
      <c r="C17" s="8" t="s">
        <v>372</v>
      </c>
      <c r="D17" s="10">
        <v>2419.9499999999998</v>
      </c>
      <c r="E17" s="10">
        <f>_xll.AtlasFormulas.AtlasFunctions.AtlasBalance("PROD",DataAreaId,"T.InventTrans|inventDimId~inventDimId@T.InventDim","Sum|Qty|0","","","","","","","DateFinancial|ItemId|T2.InventSiteId|T2.InventLocationId",PeriodBeginning,$A17,$B17,$C17)</f>
        <v>0</v>
      </c>
      <c r="F17" s="10">
        <f>_xll.AtlasFormulas.AtlasFunctions.AtlasBalance("PROD",DataAreaId,"T.InventTrans|inventDimId~inventDimId@T.InventDim","Sum|Qty|0","","","","","","","DateFinancial|ItemId|T2.InventSiteId|T2.InventLocationId",PeriodEnding,$A17,$B17,$C17)</f>
        <v>0</v>
      </c>
      <c r="G17" s="10">
        <f>AtlasReport_3_Table_1[[#This Row],[Current On-hand]]-AtlasReport_3_Table_1[[#This Row],[Trans backwords (Beginning)]]</f>
        <v>2419.9499999999998</v>
      </c>
      <c r="H17" s="10">
        <f>AtlasReport_3_Table_1[[#This Row],[Current On-hand]]-AtlasReport_3_Table_1[[#This Row],[Trans backwords (Ending)]]</f>
        <v>2419.9499999999998</v>
      </c>
    </row>
    <row r="18" spans="1:8">
      <c r="A18" s="8" t="s">
        <v>211</v>
      </c>
      <c r="B18" s="8" t="s">
        <v>371</v>
      </c>
      <c r="C18" s="8" t="s">
        <v>70</v>
      </c>
      <c r="D18" s="10">
        <v>0</v>
      </c>
      <c r="E18" s="10">
        <f>_xll.AtlasFormulas.AtlasFunctions.AtlasBalance("PROD",DataAreaId,"T.InventTrans|inventDimId~inventDimId@T.InventDim","Sum|Qty|0","","","","","","","DateFinancial|ItemId|T2.InventSiteId|T2.InventLocationId",PeriodBeginning,$A18,$B18,$C18)</f>
        <v>0</v>
      </c>
      <c r="F18" s="10">
        <f>_xll.AtlasFormulas.AtlasFunctions.AtlasBalance("PROD",DataAreaId,"T.InventTrans|inventDimId~inventDimId@T.InventDim","Sum|Qty|0","","","","","","","DateFinancial|ItemId|T2.InventSiteId|T2.InventLocationId",PeriodEnding,$A18,$B18,$C18)</f>
        <v>0</v>
      </c>
      <c r="G18" s="10">
        <f>AtlasReport_3_Table_1[[#This Row],[Current On-hand]]-AtlasReport_3_Table_1[[#This Row],[Trans backwords (Beginning)]]</f>
        <v>0</v>
      </c>
      <c r="H18" s="10">
        <f>AtlasReport_3_Table_1[[#This Row],[Current On-hand]]-AtlasReport_3_Table_1[[#This Row],[Trans backwords (Ending)]]</f>
        <v>0</v>
      </c>
    </row>
    <row r="19" spans="1:8">
      <c r="A19" s="8" t="s">
        <v>211</v>
      </c>
      <c r="B19" s="8" t="s">
        <v>371</v>
      </c>
      <c r="C19" s="8" t="s">
        <v>372</v>
      </c>
      <c r="D19" s="10">
        <v>2145</v>
      </c>
      <c r="E19" s="10">
        <f>_xll.AtlasFormulas.AtlasFunctions.AtlasBalance("PROD",DataAreaId,"T.InventTrans|inventDimId~inventDimId@T.InventDim","Sum|Qty|0","","","","","","","DateFinancial|ItemId|T2.InventSiteId|T2.InventLocationId",PeriodBeginning,$A19,$B19,$C19)</f>
        <v>0</v>
      </c>
      <c r="F19" s="10">
        <f>_xll.AtlasFormulas.AtlasFunctions.AtlasBalance("PROD",DataAreaId,"T.InventTrans|inventDimId~inventDimId@T.InventDim","Sum|Qty|0","","","","","","","DateFinancial|ItemId|T2.InventSiteId|T2.InventLocationId",PeriodEnding,$A19,$B19,$C19)</f>
        <v>0</v>
      </c>
      <c r="G19" s="10">
        <f>AtlasReport_3_Table_1[[#This Row],[Current On-hand]]-AtlasReport_3_Table_1[[#This Row],[Trans backwords (Beginning)]]</f>
        <v>2145</v>
      </c>
      <c r="H19" s="10">
        <f>AtlasReport_3_Table_1[[#This Row],[Current On-hand]]-AtlasReport_3_Table_1[[#This Row],[Trans backwords (Ending)]]</f>
        <v>2145</v>
      </c>
    </row>
    <row r="20" spans="1:8">
      <c r="A20" s="8" t="s">
        <v>455</v>
      </c>
      <c r="B20" s="8" t="s">
        <v>371</v>
      </c>
      <c r="C20" s="8" t="s">
        <v>70</v>
      </c>
      <c r="D20" s="10">
        <v>0</v>
      </c>
      <c r="E20" s="10">
        <f>_xll.AtlasFormulas.AtlasFunctions.AtlasBalance("PROD",DataAreaId,"T.InventTrans|inventDimId~inventDimId@T.InventDim","Sum|Qty|0","","","","","","","DateFinancial|ItemId|T2.InventSiteId|T2.InventLocationId",PeriodBeginning,$A20,$B20,$C20)</f>
        <v>0</v>
      </c>
      <c r="F20" s="10">
        <f>_xll.AtlasFormulas.AtlasFunctions.AtlasBalance("PROD",DataAreaId,"T.InventTrans|inventDimId~inventDimId@T.InventDim","Sum|Qty|0","","","","","","","DateFinancial|ItemId|T2.InventSiteId|T2.InventLocationId",PeriodEnding,$A20,$B20,$C20)</f>
        <v>0</v>
      </c>
      <c r="G20" s="10">
        <f>AtlasReport_3_Table_1[[#This Row],[Current On-hand]]-AtlasReport_3_Table_1[[#This Row],[Trans backwords (Beginning)]]</f>
        <v>0</v>
      </c>
      <c r="H20" s="10">
        <f>AtlasReport_3_Table_1[[#This Row],[Current On-hand]]-AtlasReport_3_Table_1[[#This Row],[Trans backwords (Ending)]]</f>
        <v>0</v>
      </c>
    </row>
    <row r="21" spans="1:8">
      <c r="A21" s="8" t="s">
        <v>455</v>
      </c>
      <c r="B21" s="8" t="s">
        <v>371</v>
      </c>
      <c r="C21" s="8" t="s">
        <v>372</v>
      </c>
      <c r="D21" s="10">
        <v>770</v>
      </c>
      <c r="E21" s="10">
        <f>_xll.AtlasFormulas.AtlasFunctions.AtlasBalance("PROD",DataAreaId,"T.InventTrans|inventDimId~inventDimId@T.InventDim","Sum|Qty|0","","","","","","","DateFinancial|ItemId|T2.InventSiteId|T2.InventLocationId",PeriodBeginning,$A21,$B21,$C21)</f>
        <v>0</v>
      </c>
      <c r="F21" s="10">
        <f>_xll.AtlasFormulas.AtlasFunctions.AtlasBalance("PROD",DataAreaId,"T.InventTrans|inventDimId~inventDimId@T.InventDim","Sum|Qty|0","","","","","","","DateFinancial|ItemId|T2.InventSiteId|T2.InventLocationId",PeriodEnding,$A21,$B21,$C21)</f>
        <v>0</v>
      </c>
      <c r="G21" s="10">
        <f>AtlasReport_3_Table_1[[#This Row],[Current On-hand]]-AtlasReport_3_Table_1[[#This Row],[Trans backwords (Beginning)]]</f>
        <v>770</v>
      </c>
      <c r="H21" s="10">
        <f>AtlasReport_3_Table_1[[#This Row],[Current On-hand]]-AtlasReport_3_Table_1[[#This Row],[Trans backwords (Ending)]]</f>
        <v>770</v>
      </c>
    </row>
    <row r="22" spans="1:8">
      <c r="A22" s="8" t="s">
        <v>456</v>
      </c>
      <c r="B22" s="8" t="s">
        <v>371</v>
      </c>
      <c r="C22" s="8" t="s">
        <v>70</v>
      </c>
      <c r="D22" s="10">
        <v>0</v>
      </c>
      <c r="E22" s="10">
        <f>_xll.AtlasFormulas.AtlasFunctions.AtlasBalance("PROD",DataAreaId,"T.InventTrans|inventDimId~inventDimId@T.InventDim","Sum|Qty|0","","","","","","","DateFinancial|ItemId|T2.InventSiteId|T2.InventLocationId",PeriodBeginning,$A22,$B22,$C22)</f>
        <v>0</v>
      </c>
      <c r="F22" s="10">
        <f>_xll.AtlasFormulas.AtlasFunctions.AtlasBalance("PROD",DataAreaId,"T.InventTrans|inventDimId~inventDimId@T.InventDim","Sum|Qty|0","","","","","","","DateFinancial|ItemId|T2.InventSiteId|T2.InventLocationId",PeriodEnding,$A22,$B22,$C22)</f>
        <v>0</v>
      </c>
      <c r="G22" s="10">
        <f>AtlasReport_3_Table_1[[#This Row],[Current On-hand]]-AtlasReport_3_Table_1[[#This Row],[Trans backwords (Beginning)]]</f>
        <v>0</v>
      </c>
      <c r="H22" s="10">
        <f>AtlasReport_3_Table_1[[#This Row],[Current On-hand]]-AtlasReport_3_Table_1[[#This Row],[Trans backwords (Ending)]]</f>
        <v>0</v>
      </c>
    </row>
    <row r="23" spans="1:8">
      <c r="A23" s="8" t="s">
        <v>456</v>
      </c>
      <c r="B23" s="8" t="s">
        <v>371</v>
      </c>
      <c r="C23" s="8" t="s">
        <v>372</v>
      </c>
      <c r="D23" s="10">
        <v>0</v>
      </c>
      <c r="E23" s="10">
        <f>_xll.AtlasFormulas.AtlasFunctions.AtlasBalance("PROD",DataAreaId,"T.InventTrans|inventDimId~inventDimId@T.InventDim","Sum|Qty|0","","","","","","","DateFinancial|ItemId|T2.InventSiteId|T2.InventLocationId",PeriodBeginning,$A23,$B23,$C23)</f>
        <v>0</v>
      </c>
      <c r="F23" s="10">
        <f>_xll.AtlasFormulas.AtlasFunctions.AtlasBalance("PROD",DataAreaId,"T.InventTrans|inventDimId~inventDimId@T.InventDim","Sum|Qty|0","","","","","","","DateFinancial|ItemId|T2.InventSiteId|T2.InventLocationId",PeriodEnding,$A23,$B23,$C23)</f>
        <v>0</v>
      </c>
      <c r="G23" s="10">
        <f>AtlasReport_3_Table_1[[#This Row],[Current On-hand]]-AtlasReport_3_Table_1[[#This Row],[Trans backwords (Beginning)]]</f>
        <v>0</v>
      </c>
      <c r="H23" s="10">
        <f>AtlasReport_3_Table_1[[#This Row],[Current On-hand]]-AtlasReport_3_Table_1[[#This Row],[Trans backwords (Ending)]]</f>
        <v>0</v>
      </c>
    </row>
    <row r="24" spans="1:8">
      <c r="A24" s="8" t="s">
        <v>370</v>
      </c>
      <c r="B24" s="8" t="s">
        <v>371</v>
      </c>
      <c r="C24" s="8" t="s">
        <v>372</v>
      </c>
      <c r="D24" s="10">
        <v>-1</v>
      </c>
      <c r="E24" s="10">
        <f>_xll.AtlasFormulas.AtlasFunctions.AtlasBalance("PROD",DataAreaId,"T.InventTrans|inventDimId~inventDimId@T.InventDim","Sum|Qty|0","","","","","","","DateFinancial|ItemId|T2.InventSiteId|T2.InventLocationId",PeriodBeginning,$A24,$B24,$C24)</f>
        <v>0</v>
      </c>
      <c r="F24" s="10">
        <f>_xll.AtlasFormulas.AtlasFunctions.AtlasBalance("PROD",DataAreaId,"T.InventTrans|inventDimId~inventDimId@T.InventDim","Sum|Qty|0","","","","","","","DateFinancial|ItemId|T2.InventSiteId|T2.InventLocationId",PeriodEnding,$A24,$B24,$C24)</f>
        <v>0</v>
      </c>
      <c r="G24" s="10">
        <f>AtlasReport_3_Table_1[[#This Row],[Current On-hand]]-AtlasReport_3_Table_1[[#This Row],[Trans backwords (Beginning)]]</f>
        <v>-1</v>
      </c>
      <c r="H24" s="10">
        <f>AtlasReport_3_Table_1[[#This Row],[Current On-hand]]-AtlasReport_3_Table_1[[#This Row],[Trans backwords (Ending)]]</f>
        <v>-1</v>
      </c>
    </row>
    <row r="25" spans="1:8">
      <c r="A25" s="8" t="s">
        <v>342</v>
      </c>
      <c r="B25" s="8" t="s">
        <v>371</v>
      </c>
      <c r="C25" s="8" t="s">
        <v>372</v>
      </c>
      <c r="D25" s="10">
        <v>0</v>
      </c>
      <c r="E25" s="10">
        <f>_xll.AtlasFormulas.AtlasFunctions.AtlasBalance("PROD",DataAreaId,"T.InventTrans|inventDimId~inventDimId@T.InventDim","Sum|Qty|0","","","","","","","DateFinancial|ItemId|T2.InventSiteId|T2.InventLocationId",PeriodBeginning,$A25,$B25,$C25)</f>
        <v>0</v>
      </c>
      <c r="F25" s="10">
        <f>_xll.AtlasFormulas.AtlasFunctions.AtlasBalance("PROD",DataAreaId,"T.InventTrans|inventDimId~inventDimId@T.InventDim","Sum|Qty|0","","","","","","","DateFinancial|ItemId|T2.InventSiteId|T2.InventLocationId",PeriodEnding,$A25,$B25,$C25)</f>
        <v>0</v>
      </c>
      <c r="G25" s="10">
        <f>AtlasReport_3_Table_1[[#This Row],[Current On-hand]]-AtlasReport_3_Table_1[[#This Row],[Trans backwords (Beginning)]]</f>
        <v>0</v>
      </c>
      <c r="H25" s="10">
        <f>AtlasReport_3_Table_1[[#This Row],[Current On-hand]]-AtlasReport_3_Table_1[[#This Row],[Trans backwords (Ending)]]</f>
        <v>0</v>
      </c>
    </row>
    <row r="26" spans="1:8">
      <c r="A26" s="8" t="s">
        <v>472</v>
      </c>
      <c r="B26" s="8" t="s">
        <v>371</v>
      </c>
      <c r="C26" s="8" t="s">
        <v>70</v>
      </c>
      <c r="D26" s="10">
        <v>0</v>
      </c>
      <c r="E26" s="10">
        <f>_xll.AtlasFormulas.AtlasFunctions.AtlasBalance("PROD",DataAreaId,"T.InventTrans|inventDimId~inventDimId@T.InventDim","Sum|Qty|0","","","","","","","DateFinancial|ItemId|T2.InventSiteId|T2.InventLocationId",PeriodBeginning,$A26,$B26,$C26)</f>
        <v>0</v>
      </c>
      <c r="F26" s="10">
        <f>_xll.AtlasFormulas.AtlasFunctions.AtlasBalance("PROD",DataAreaId,"T.InventTrans|inventDimId~inventDimId@T.InventDim","Sum|Qty|0","","","","","","","DateFinancial|ItemId|T2.InventSiteId|T2.InventLocationId",PeriodEnding,$A26,$B26,$C26)</f>
        <v>0</v>
      </c>
      <c r="G26" s="10">
        <f>AtlasReport_3_Table_1[[#This Row],[Current On-hand]]-AtlasReport_3_Table_1[[#This Row],[Trans backwords (Beginning)]]</f>
        <v>0</v>
      </c>
      <c r="H26" s="10">
        <f>AtlasReport_3_Table_1[[#This Row],[Current On-hand]]-AtlasReport_3_Table_1[[#This Row],[Trans backwords (Ending)]]</f>
        <v>0</v>
      </c>
    </row>
    <row r="27" spans="1:8">
      <c r="A27" s="8" t="s">
        <v>472</v>
      </c>
      <c r="B27" s="8" t="s">
        <v>371</v>
      </c>
      <c r="C27" s="8" t="s">
        <v>372</v>
      </c>
      <c r="D27" s="10">
        <v>0</v>
      </c>
      <c r="E27" s="10">
        <f>_xll.AtlasFormulas.AtlasFunctions.AtlasBalance("PROD",DataAreaId,"T.InventTrans|inventDimId~inventDimId@T.InventDim","Sum|Qty|0","","","","","","","DateFinancial|ItemId|T2.InventSiteId|T2.InventLocationId",PeriodBeginning,$A27,$B27,$C27)</f>
        <v>0</v>
      </c>
      <c r="F27" s="10">
        <f>_xll.AtlasFormulas.AtlasFunctions.AtlasBalance("PROD",DataAreaId,"T.InventTrans|inventDimId~inventDimId@T.InventDim","Sum|Qty|0","","","","","","","DateFinancial|ItemId|T2.InventSiteId|T2.InventLocationId",PeriodEnding,$A27,$B27,$C27)</f>
        <v>0</v>
      </c>
      <c r="G27" s="10">
        <f>AtlasReport_3_Table_1[[#This Row],[Current On-hand]]-AtlasReport_3_Table_1[[#This Row],[Trans backwords (Beginning)]]</f>
        <v>0</v>
      </c>
      <c r="H27" s="10">
        <f>AtlasReport_3_Table_1[[#This Row],[Current On-hand]]-AtlasReport_3_Table_1[[#This Row],[Trans backwords (Ending)]]</f>
        <v>0</v>
      </c>
    </row>
    <row r="28" spans="1:8">
      <c r="A28" s="8" t="s">
        <v>297</v>
      </c>
      <c r="B28" s="8" t="s">
        <v>371</v>
      </c>
      <c r="C28" s="8" t="s">
        <v>70</v>
      </c>
      <c r="D28" s="10">
        <v>0</v>
      </c>
      <c r="E28" s="10">
        <f>_xll.AtlasFormulas.AtlasFunctions.AtlasBalance("PROD",DataAreaId,"T.InventTrans|inventDimId~inventDimId@T.InventDim","Sum|Qty|0","","","","","","","DateFinancial|ItemId|T2.InventSiteId|T2.InventLocationId",PeriodBeginning,$A28,$B28,$C28)</f>
        <v>0</v>
      </c>
      <c r="F28" s="10">
        <f>_xll.AtlasFormulas.AtlasFunctions.AtlasBalance("PROD",DataAreaId,"T.InventTrans|inventDimId~inventDimId@T.InventDim","Sum|Qty|0","","","","","","","DateFinancial|ItemId|T2.InventSiteId|T2.InventLocationId",PeriodEnding,$A28,$B28,$C28)</f>
        <v>0</v>
      </c>
      <c r="G28" s="10">
        <f>AtlasReport_3_Table_1[[#This Row],[Current On-hand]]-AtlasReport_3_Table_1[[#This Row],[Trans backwords (Beginning)]]</f>
        <v>0</v>
      </c>
      <c r="H28" s="10">
        <f>AtlasReport_3_Table_1[[#This Row],[Current On-hand]]-AtlasReport_3_Table_1[[#This Row],[Trans backwords (Ending)]]</f>
        <v>0</v>
      </c>
    </row>
    <row r="29" spans="1:8">
      <c r="A29" s="8" t="s">
        <v>297</v>
      </c>
      <c r="B29" s="8" t="s">
        <v>371</v>
      </c>
      <c r="C29" s="8" t="s">
        <v>372</v>
      </c>
      <c r="D29" s="10">
        <v>1595</v>
      </c>
      <c r="E29" s="10">
        <f>_xll.AtlasFormulas.AtlasFunctions.AtlasBalance("PROD",DataAreaId,"T.InventTrans|inventDimId~inventDimId@T.InventDim","Sum|Qty|0","","","","","","","DateFinancial|ItemId|T2.InventSiteId|T2.InventLocationId",PeriodBeginning,$A29,$B29,$C29)</f>
        <v>520</v>
      </c>
      <c r="F29" s="10">
        <f>_xll.AtlasFormulas.AtlasFunctions.AtlasBalance("PROD",DataAreaId,"T.InventTrans|inventDimId~inventDimId@T.InventDim","Sum|Qty|0","","","","","","","DateFinancial|ItemId|T2.InventSiteId|T2.InventLocationId",PeriodEnding,$A29,$B29,$C29)</f>
        <v>0</v>
      </c>
      <c r="G29" s="10">
        <f>AtlasReport_3_Table_1[[#This Row],[Current On-hand]]-AtlasReport_3_Table_1[[#This Row],[Trans backwords (Beginning)]]</f>
        <v>1075</v>
      </c>
      <c r="H29" s="10">
        <f>AtlasReport_3_Table_1[[#This Row],[Current On-hand]]-AtlasReport_3_Table_1[[#This Row],[Trans backwords (Ending)]]</f>
        <v>1595</v>
      </c>
    </row>
    <row r="30" spans="1:8">
      <c r="A30" s="8" t="s">
        <v>343</v>
      </c>
      <c r="B30" s="8" t="s">
        <v>371</v>
      </c>
      <c r="C30" s="8" t="s">
        <v>70</v>
      </c>
      <c r="D30" s="10">
        <v>0</v>
      </c>
      <c r="E30" s="10">
        <f>_xll.AtlasFormulas.AtlasFunctions.AtlasBalance("PROD",DataAreaId,"T.InventTrans|inventDimId~inventDimId@T.InventDim","Sum|Qty|0","","","","","","","DateFinancial|ItemId|T2.InventSiteId|T2.InventLocationId",PeriodBeginning,$A30,$B30,$C30)</f>
        <v>0</v>
      </c>
      <c r="F30" s="10">
        <f>_xll.AtlasFormulas.AtlasFunctions.AtlasBalance("PROD",DataAreaId,"T.InventTrans|inventDimId~inventDimId@T.InventDim","Sum|Qty|0","","","","","","","DateFinancial|ItemId|T2.InventSiteId|T2.InventLocationId",PeriodEnding,$A30,$B30,$C30)</f>
        <v>0</v>
      </c>
      <c r="G30" s="10">
        <f>AtlasReport_3_Table_1[[#This Row],[Current On-hand]]-AtlasReport_3_Table_1[[#This Row],[Trans backwords (Beginning)]]</f>
        <v>0</v>
      </c>
      <c r="H30" s="10">
        <f>AtlasReport_3_Table_1[[#This Row],[Current On-hand]]-AtlasReport_3_Table_1[[#This Row],[Trans backwords (Ending)]]</f>
        <v>0</v>
      </c>
    </row>
    <row r="31" spans="1:8">
      <c r="A31" s="8" t="s">
        <v>343</v>
      </c>
      <c r="B31" s="8" t="s">
        <v>371</v>
      </c>
      <c r="C31" s="8" t="s">
        <v>372</v>
      </c>
      <c r="D31" s="10">
        <v>3.18</v>
      </c>
      <c r="E31" s="10">
        <f>_xll.AtlasFormulas.AtlasFunctions.AtlasBalance("PROD",DataAreaId,"T.InventTrans|inventDimId~inventDimId@T.InventDim","Sum|Qty|0","","","","","","","DateFinancial|ItemId|T2.InventSiteId|T2.InventLocationId",PeriodBeginning,$A31,$B31,$C31)</f>
        <v>0</v>
      </c>
      <c r="F31" s="10">
        <f>_xll.AtlasFormulas.AtlasFunctions.AtlasBalance("PROD",DataAreaId,"T.InventTrans|inventDimId~inventDimId@T.InventDim","Sum|Qty|0","","","","","","","DateFinancial|ItemId|T2.InventSiteId|T2.InventLocationId",PeriodEnding,$A31,$B31,$C31)</f>
        <v>0</v>
      </c>
      <c r="G31" s="10">
        <f>AtlasReport_3_Table_1[[#This Row],[Current On-hand]]-AtlasReport_3_Table_1[[#This Row],[Trans backwords (Beginning)]]</f>
        <v>3.18</v>
      </c>
      <c r="H31" s="10">
        <f>AtlasReport_3_Table_1[[#This Row],[Current On-hand]]-AtlasReport_3_Table_1[[#This Row],[Trans backwords (Ending)]]</f>
        <v>3.18</v>
      </c>
    </row>
    <row r="32" spans="1:8">
      <c r="A32" s="8" t="s">
        <v>486</v>
      </c>
      <c r="B32" s="8" t="s">
        <v>371</v>
      </c>
      <c r="C32" s="8" t="s">
        <v>70</v>
      </c>
      <c r="D32" s="10">
        <v>0</v>
      </c>
      <c r="E32" s="10">
        <f>_xll.AtlasFormulas.AtlasFunctions.AtlasBalance("PROD",DataAreaId,"T.InventTrans|inventDimId~inventDimId@T.InventDim","Sum|Qty|0","","","","","","","DateFinancial|ItemId|T2.InventSiteId|T2.InventLocationId",PeriodBeginning,$A32,$B32,$C32)</f>
        <v>0</v>
      </c>
      <c r="F32" s="10">
        <f>_xll.AtlasFormulas.AtlasFunctions.AtlasBalance("PROD",DataAreaId,"T.InventTrans|inventDimId~inventDimId@T.InventDim","Sum|Qty|0","","","","","","","DateFinancial|ItemId|T2.InventSiteId|T2.InventLocationId",PeriodEnding,$A32,$B32,$C32)</f>
        <v>0</v>
      </c>
      <c r="G32" s="10">
        <f>AtlasReport_3_Table_1[[#This Row],[Current On-hand]]-AtlasReport_3_Table_1[[#This Row],[Trans backwords (Beginning)]]</f>
        <v>0</v>
      </c>
      <c r="H32" s="10">
        <f>AtlasReport_3_Table_1[[#This Row],[Current On-hand]]-AtlasReport_3_Table_1[[#This Row],[Trans backwords (Ending)]]</f>
        <v>0</v>
      </c>
    </row>
    <row r="33" spans="1:8">
      <c r="A33" s="8" t="s">
        <v>486</v>
      </c>
      <c r="B33" s="8" t="s">
        <v>371</v>
      </c>
      <c r="C33" s="8" t="s">
        <v>372</v>
      </c>
      <c r="D33" s="10">
        <v>1</v>
      </c>
      <c r="E33" s="10">
        <f>_xll.AtlasFormulas.AtlasFunctions.AtlasBalance("PROD",DataAreaId,"T.InventTrans|inventDimId~inventDimId@T.InventDim","Sum|Qty|0","","","","","","","DateFinancial|ItemId|T2.InventSiteId|T2.InventLocationId",PeriodBeginning,$A33,$B33,$C33)</f>
        <v>0</v>
      </c>
      <c r="F33" s="10">
        <f>_xll.AtlasFormulas.AtlasFunctions.AtlasBalance("PROD",DataAreaId,"T.InventTrans|inventDimId~inventDimId@T.InventDim","Sum|Qty|0","","","","","","","DateFinancial|ItemId|T2.InventSiteId|T2.InventLocationId",PeriodEnding,$A33,$B33,$C33)</f>
        <v>0</v>
      </c>
      <c r="G33" s="10">
        <f>AtlasReport_3_Table_1[[#This Row],[Current On-hand]]-AtlasReport_3_Table_1[[#This Row],[Trans backwords (Beginning)]]</f>
        <v>1</v>
      </c>
      <c r="H33" s="10">
        <f>AtlasReport_3_Table_1[[#This Row],[Current On-hand]]-AtlasReport_3_Table_1[[#This Row],[Trans backwords (Ending)]]</f>
        <v>1</v>
      </c>
    </row>
    <row r="34" spans="1:8">
      <c r="A34" s="8" t="s">
        <v>492</v>
      </c>
      <c r="B34" s="8" t="s">
        <v>371</v>
      </c>
      <c r="C34" s="8" t="s">
        <v>70</v>
      </c>
      <c r="D34" s="10">
        <v>0</v>
      </c>
      <c r="E34" s="10">
        <f>_xll.AtlasFormulas.AtlasFunctions.AtlasBalance("PROD",DataAreaId,"T.InventTrans|inventDimId~inventDimId@T.InventDim","Sum|Qty|0","","","","","","","DateFinancial|ItemId|T2.InventSiteId|T2.InventLocationId",PeriodBeginning,$A34,$B34,$C34)</f>
        <v>0</v>
      </c>
      <c r="F34" s="10">
        <f>_xll.AtlasFormulas.AtlasFunctions.AtlasBalance("PROD",DataAreaId,"T.InventTrans|inventDimId~inventDimId@T.InventDim","Sum|Qty|0","","","","","","","DateFinancial|ItemId|T2.InventSiteId|T2.InventLocationId",PeriodEnding,$A34,$B34,$C34)</f>
        <v>0</v>
      </c>
      <c r="G34" s="10">
        <f>AtlasReport_3_Table_1[[#This Row],[Current On-hand]]-AtlasReport_3_Table_1[[#This Row],[Trans backwords (Beginning)]]</f>
        <v>0</v>
      </c>
      <c r="H34" s="10">
        <f>AtlasReport_3_Table_1[[#This Row],[Current On-hand]]-AtlasReport_3_Table_1[[#This Row],[Trans backwords (Ending)]]</f>
        <v>0</v>
      </c>
    </row>
    <row r="35" spans="1:8">
      <c r="A35" s="8" t="s">
        <v>492</v>
      </c>
      <c r="B35" s="8" t="s">
        <v>371</v>
      </c>
      <c r="C35" s="8" t="s">
        <v>372</v>
      </c>
      <c r="D35" s="10">
        <v>46</v>
      </c>
      <c r="E35" s="10">
        <f>_xll.AtlasFormulas.AtlasFunctions.AtlasBalance("PROD",DataAreaId,"T.InventTrans|inventDimId~inventDimId@T.InventDim","Sum|Qty|0","","","","","","","DateFinancial|ItemId|T2.InventSiteId|T2.InventLocationId",PeriodBeginning,$A35,$B35,$C35)</f>
        <v>0</v>
      </c>
      <c r="F35" s="10">
        <f>_xll.AtlasFormulas.AtlasFunctions.AtlasBalance("PROD",DataAreaId,"T.InventTrans|inventDimId~inventDimId@T.InventDim","Sum|Qty|0","","","","","","","DateFinancial|ItemId|T2.InventSiteId|T2.InventLocationId",PeriodEnding,$A35,$B35,$C35)</f>
        <v>0</v>
      </c>
      <c r="G35" s="10">
        <f>AtlasReport_3_Table_1[[#This Row],[Current On-hand]]-AtlasReport_3_Table_1[[#This Row],[Trans backwords (Beginning)]]</f>
        <v>46</v>
      </c>
      <c r="H35" s="10">
        <f>AtlasReport_3_Table_1[[#This Row],[Current On-hand]]-AtlasReport_3_Table_1[[#This Row],[Trans backwords (Ending)]]</f>
        <v>46</v>
      </c>
    </row>
    <row r="36" spans="1:8">
      <c r="A36" s="8" t="s">
        <v>495</v>
      </c>
      <c r="B36" s="8" t="s">
        <v>371</v>
      </c>
      <c r="C36" s="8" t="s">
        <v>70</v>
      </c>
      <c r="D36" s="10">
        <v>0</v>
      </c>
      <c r="E36" s="10">
        <f>_xll.AtlasFormulas.AtlasFunctions.AtlasBalance("PROD",DataAreaId,"T.InventTrans|inventDimId~inventDimId@T.InventDim","Sum|Qty|0","","","","","","","DateFinancial|ItemId|T2.InventSiteId|T2.InventLocationId",PeriodBeginning,$A36,$B36,$C36)</f>
        <v>0</v>
      </c>
      <c r="F36" s="10">
        <f>_xll.AtlasFormulas.AtlasFunctions.AtlasBalance("PROD",DataAreaId,"T.InventTrans|inventDimId~inventDimId@T.InventDim","Sum|Qty|0","","","","","","","DateFinancial|ItemId|T2.InventSiteId|T2.InventLocationId",PeriodEnding,$A36,$B36,$C36)</f>
        <v>0</v>
      </c>
      <c r="G36" s="10">
        <f>AtlasReport_3_Table_1[[#This Row],[Current On-hand]]-AtlasReport_3_Table_1[[#This Row],[Trans backwords (Beginning)]]</f>
        <v>0</v>
      </c>
      <c r="H36" s="10">
        <f>AtlasReport_3_Table_1[[#This Row],[Current On-hand]]-AtlasReport_3_Table_1[[#This Row],[Trans backwords (Ending)]]</f>
        <v>0</v>
      </c>
    </row>
    <row r="37" spans="1:8">
      <c r="A37" s="8" t="s">
        <v>495</v>
      </c>
      <c r="B37" s="8" t="s">
        <v>371</v>
      </c>
      <c r="C37" s="8" t="s">
        <v>372</v>
      </c>
      <c r="D37" s="10">
        <v>20</v>
      </c>
      <c r="E37" s="10">
        <f>_xll.AtlasFormulas.AtlasFunctions.AtlasBalance("PROD",DataAreaId,"T.InventTrans|inventDimId~inventDimId@T.InventDim","Sum|Qty|0","","","","","","","DateFinancial|ItemId|T2.InventSiteId|T2.InventLocationId",PeriodBeginning,$A37,$B37,$C37)</f>
        <v>0</v>
      </c>
      <c r="F37" s="10">
        <f>_xll.AtlasFormulas.AtlasFunctions.AtlasBalance("PROD",DataAreaId,"T.InventTrans|inventDimId~inventDimId@T.InventDim","Sum|Qty|0","","","","","","","DateFinancial|ItemId|T2.InventSiteId|T2.InventLocationId",PeriodEnding,$A37,$B37,$C37)</f>
        <v>0</v>
      </c>
      <c r="G37" s="10">
        <f>AtlasReport_3_Table_1[[#This Row],[Current On-hand]]-AtlasReport_3_Table_1[[#This Row],[Trans backwords (Beginning)]]</f>
        <v>20</v>
      </c>
      <c r="H37" s="10">
        <f>AtlasReport_3_Table_1[[#This Row],[Current On-hand]]-AtlasReport_3_Table_1[[#This Row],[Trans backwords (Ending)]]</f>
        <v>20</v>
      </c>
    </row>
    <row r="38" spans="1:8">
      <c r="A38" s="8" t="s">
        <v>497</v>
      </c>
      <c r="B38" s="8" t="s">
        <v>371</v>
      </c>
      <c r="C38" s="8" t="s">
        <v>70</v>
      </c>
      <c r="D38" s="10">
        <v>0</v>
      </c>
      <c r="E38" s="10">
        <f>_xll.AtlasFormulas.AtlasFunctions.AtlasBalance("PROD",DataAreaId,"T.InventTrans|inventDimId~inventDimId@T.InventDim","Sum|Qty|0","","","","","","","DateFinancial|ItemId|T2.InventSiteId|T2.InventLocationId",PeriodBeginning,$A38,$B38,$C38)</f>
        <v>0</v>
      </c>
      <c r="F38" s="10">
        <f>_xll.AtlasFormulas.AtlasFunctions.AtlasBalance("PROD",DataAreaId,"T.InventTrans|inventDimId~inventDimId@T.InventDim","Sum|Qty|0","","","","","","","DateFinancial|ItemId|T2.InventSiteId|T2.InventLocationId",PeriodEnding,$A38,$B38,$C38)</f>
        <v>0</v>
      </c>
      <c r="G38" s="10">
        <f>AtlasReport_3_Table_1[[#This Row],[Current On-hand]]-AtlasReport_3_Table_1[[#This Row],[Trans backwords (Beginning)]]</f>
        <v>0</v>
      </c>
      <c r="H38" s="10">
        <f>AtlasReport_3_Table_1[[#This Row],[Current On-hand]]-AtlasReport_3_Table_1[[#This Row],[Trans backwords (Ending)]]</f>
        <v>0</v>
      </c>
    </row>
    <row r="39" spans="1:8">
      <c r="A39" s="8" t="s">
        <v>497</v>
      </c>
      <c r="B39" s="8" t="s">
        <v>371</v>
      </c>
      <c r="C39" s="8" t="s">
        <v>372</v>
      </c>
      <c r="D39" s="10">
        <v>230</v>
      </c>
      <c r="E39" s="10">
        <f>_xll.AtlasFormulas.AtlasFunctions.AtlasBalance("PROD",DataAreaId,"T.InventTrans|inventDimId~inventDimId@T.InventDim","Sum|Qty|0","","","","","","","DateFinancial|ItemId|T2.InventSiteId|T2.InventLocationId",PeriodBeginning,$A39,$B39,$C39)</f>
        <v>0</v>
      </c>
      <c r="F39" s="10">
        <f>_xll.AtlasFormulas.AtlasFunctions.AtlasBalance("PROD",DataAreaId,"T.InventTrans|inventDimId~inventDimId@T.InventDim","Sum|Qty|0","","","","","","","DateFinancial|ItemId|T2.InventSiteId|T2.InventLocationId",PeriodEnding,$A39,$B39,$C39)</f>
        <v>0</v>
      </c>
      <c r="G39" s="10">
        <f>AtlasReport_3_Table_1[[#This Row],[Current On-hand]]-AtlasReport_3_Table_1[[#This Row],[Trans backwords (Beginning)]]</f>
        <v>230</v>
      </c>
      <c r="H39" s="10">
        <f>AtlasReport_3_Table_1[[#This Row],[Current On-hand]]-AtlasReport_3_Table_1[[#This Row],[Trans backwords (Ending)]]</f>
        <v>230</v>
      </c>
    </row>
    <row r="40" spans="1:8">
      <c r="A40" s="8" t="s">
        <v>499</v>
      </c>
      <c r="B40" s="8" t="s">
        <v>371</v>
      </c>
      <c r="C40" s="8" t="s">
        <v>70</v>
      </c>
      <c r="D40" s="10">
        <v>0</v>
      </c>
      <c r="E40" s="10">
        <f>_xll.AtlasFormulas.AtlasFunctions.AtlasBalance("PROD",DataAreaId,"T.InventTrans|inventDimId~inventDimId@T.InventDim","Sum|Qty|0","","","","","","","DateFinancial|ItemId|T2.InventSiteId|T2.InventLocationId",PeriodBeginning,$A40,$B40,$C40)</f>
        <v>0</v>
      </c>
      <c r="F40" s="10">
        <f>_xll.AtlasFormulas.AtlasFunctions.AtlasBalance("PROD",DataAreaId,"T.InventTrans|inventDimId~inventDimId@T.InventDim","Sum|Qty|0","","","","","","","DateFinancial|ItemId|T2.InventSiteId|T2.InventLocationId",PeriodEnding,$A40,$B40,$C40)</f>
        <v>0</v>
      </c>
      <c r="G40" s="10">
        <f>AtlasReport_3_Table_1[[#This Row],[Current On-hand]]-AtlasReport_3_Table_1[[#This Row],[Trans backwords (Beginning)]]</f>
        <v>0</v>
      </c>
      <c r="H40" s="10">
        <f>AtlasReport_3_Table_1[[#This Row],[Current On-hand]]-AtlasReport_3_Table_1[[#This Row],[Trans backwords (Ending)]]</f>
        <v>0</v>
      </c>
    </row>
    <row r="41" spans="1:8">
      <c r="A41" s="8" t="s">
        <v>499</v>
      </c>
      <c r="B41" s="8" t="s">
        <v>371</v>
      </c>
      <c r="C41" s="8" t="s">
        <v>372</v>
      </c>
      <c r="D41" s="10">
        <v>61</v>
      </c>
      <c r="E41" s="10">
        <f>_xll.AtlasFormulas.AtlasFunctions.AtlasBalance("PROD",DataAreaId,"T.InventTrans|inventDimId~inventDimId@T.InventDim","Sum|Qty|0","","","","","","","DateFinancial|ItemId|T2.InventSiteId|T2.InventLocationId",PeriodBeginning,$A41,$B41,$C41)</f>
        <v>-21</v>
      </c>
      <c r="F41" s="10">
        <f>_xll.AtlasFormulas.AtlasFunctions.AtlasBalance("PROD",DataAreaId,"T.InventTrans|inventDimId~inventDimId@T.InventDim","Sum|Qty|0","","","","","","","DateFinancial|ItemId|T2.InventSiteId|T2.InventLocationId",PeriodEnding,$A41,$B41,$C41)</f>
        <v>0</v>
      </c>
      <c r="G41" s="10">
        <f>AtlasReport_3_Table_1[[#This Row],[Current On-hand]]-AtlasReport_3_Table_1[[#This Row],[Trans backwords (Beginning)]]</f>
        <v>82</v>
      </c>
      <c r="H41" s="10">
        <f>AtlasReport_3_Table_1[[#This Row],[Current On-hand]]-AtlasReport_3_Table_1[[#This Row],[Trans backwords (Ending)]]</f>
        <v>61</v>
      </c>
    </row>
    <row r="42" spans="1:8">
      <c r="A42" s="8" t="s">
        <v>501</v>
      </c>
      <c r="B42" s="8" t="s">
        <v>371</v>
      </c>
      <c r="C42" s="8" t="s">
        <v>70</v>
      </c>
      <c r="D42" s="10">
        <v>0</v>
      </c>
      <c r="E42" s="10">
        <f>_xll.AtlasFormulas.AtlasFunctions.AtlasBalance("PROD",DataAreaId,"T.InventTrans|inventDimId~inventDimId@T.InventDim","Sum|Qty|0","","","","","","","DateFinancial|ItemId|T2.InventSiteId|T2.InventLocationId",PeriodBeginning,$A42,$B42,$C42)</f>
        <v>0</v>
      </c>
      <c r="F42" s="10">
        <f>_xll.AtlasFormulas.AtlasFunctions.AtlasBalance("PROD",DataAreaId,"T.InventTrans|inventDimId~inventDimId@T.InventDim","Sum|Qty|0","","","","","","","DateFinancial|ItemId|T2.InventSiteId|T2.InventLocationId",PeriodEnding,$A42,$B42,$C42)</f>
        <v>0</v>
      </c>
      <c r="G42" s="10">
        <f>AtlasReport_3_Table_1[[#This Row],[Current On-hand]]-AtlasReport_3_Table_1[[#This Row],[Trans backwords (Beginning)]]</f>
        <v>0</v>
      </c>
      <c r="H42" s="10">
        <f>AtlasReport_3_Table_1[[#This Row],[Current On-hand]]-AtlasReport_3_Table_1[[#This Row],[Trans backwords (Ending)]]</f>
        <v>0</v>
      </c>
    </row>
    <row r="43" spans="1:8">
      <c r="A43" s="8" t="s">
        <v>501</v>
      </c>
      <c r="B43" s="8" t="s">
        <v>371</v>
      </c>
      <c r="C43" s="8" t="s">
        <v>372</v>
      </c>
      <c r="D43" s="10">
        <v>395</v>
      </c>
      <c r="E43" s="10">
        <f>_xll.AtlasFormulas.AtlasFunctions.AtlasBalance("PROD",DataAreaId,"T.InventTrans|inventDimId~inventDimId@T.InventDim","Sum|Qty|0","","","","","","","DateFinancial|ItemId|T2.InventSiteId|T2.InventLocationId",PeriodBeginning,$A43,$B43,$C43)</f>
        <v>-90</v>
      </c>
      <c r="F43" s="10">
        <f>_xll.AtlasFormulas.AtlasFunctions.AtlasBalance("PROD",DataAreaId,"T.InventTrans|inventDimId~inventDimId@T.InventDim","Sum|Qty|0","","","","","","","DateFinancial|ItemId|T2.InventSiteId|T2.InventLocationId",PeriodEnding,$A43,$B43,$C43)</f>
        <v>0</v>
      </c>
      <c r="G43" s="10">
        <f>AtlasReport_3_Table_1[[#This Row],[Current On-hand]]-AtlasReport_3_Table_1[[#This Row],[Trans backwords (Beginning)]]</f>
        <v>485</v>
      </c>
      <c r="H43" s="10">
        <f>AtlasReport_3_Table_1[[#This Row],[Current On-hand]]-AtlasReport_3_Table_1[[#This Row],[Trans backwords (Ending)]]</f>
        <v>395</v>
      </c>
    </row>
    <row r="44" spans="1:8">
      <c r="A44" s="8" t="s">
        <v>507</v>
      </c>
      <c r="B44" s="8" t="s">
        <v>371</v>
      </c>
      <c r="C44" s="8" t="s">
        <v>70</v>
      </c>
      <c r="D44" s="10">
        <v>0</v>
      </c>
      <c r="E44" s="10">
        <f>_xll.AtlasFormulas.AtlasFunctions.AtlasBalance("PROD",DataAreaId,"T.InventTrans|inventDimId~inventDimId@T.InventDim","Sum|Qty|0","","","","","","","DateFinancial|ItemId|T2.InventSiteId|T2.InventLocationId",PeriodBeginning,$A44,$B44,$C44)</f>
        <v>0</v>
      </c>
      <c r="F44" s="10">
        <f>_xll.AtlasFormulas.AtlasFunctions.AtlasBalance("PROD",DataAreaId,"T.InventTrans|inventDimId~inventDimId@T.InventDim","Sum|Qty|0","","","","","","","DateFinancial|ItemId|T2.InventSiteId|T2.InventLocationId",PeriodEnding,$A44,$B44,$C44)</f>
        <v>0</v>
      </c>
      <c r="G44" s="10">
        <f>AtlasReport_3_Table_1[[#This Row],[Current On-hand]]-AtlasReport_3_Table_1[[#This Row],[Trans backwords (Beginning)]]</f>
        <v>0</v>
      </c>
      <c r="H44" s="10">
        <f>AtlasReport_3_Table_1[[#This Row],[Current On-hand]]-AtlasReport_3_Table_1[[#This Row],[Trans backwords (Ending)]]</f>
        <v>0</v>
      </c>
    </row>
    <row r="45" spans="1:8">
      <c r="A45" s="8" t="s">
        <v>507</v>
      </c>
      <c r="B45" s="8" t="s">
        <v>371</v>
      </c>
      <c r="C45" s="8" t="s">
        <v>372</v>
      </c>
      <c r="D45" s="10">
        <v>19</v>
      </c>
      <c r="E45" s="10">
        <f>_xll.AtlasFormulas.AtlasFunctions.AtlasBalance("PROD",DataAreaId,"T.InventTrans|inventDimId~inventDimId@T.InventDim","Sum|Qty|0","","","","","","","DateFinancial|ItemId|T2.InventSiteId|T2.InventLocationId",PeriodBeginning,$A45,$B45,$C45)</f>
        <v>0</v>
      </c>
      <c r="F45" s="10">
        <f>_xll.AtlasFormulas.AtlasFunctions.AtlasBalance("PROD",DataAreaId,"T.InventTrans|inventDimId~inventDimId@T.InventDim","Sum|Qty|0","","","","","","","DateFinancial|ItemId|T2.InventSiteId|T2.InventLocationId",PeriodEnding,$A45,$B45,$C45)</f>
        <v>0</v>
      </c>
      <c r="G45" s="10">
        <f>AtlasReport_3_Table_1[[#This Row],[Current On-hand]]-AtlasReport_3_Table_1[[#This Row],[Trans backwords (Beginning)]]</f>
        <v>19</v>
      </c>
      <c r="H45" s="10">
        <f>AtlasReport_3_Table_1[[#This Row],[Current On-hand]]-AtlasReport_3_Table_1[[#This Row],[Trans backwords (Ending)]]</f>
        <v>19</v>
      </c>
    </row>
    <row r="46" spans="1:8">
      <c r="A46" s="8" t="s">
        <v>509</v>
      </c>
      <c r="B46" s="8" t="s">
        <v>371</v>
      </c>
      <c r="C46" s="8" t="s">
        <v>70</v>
      </c>
      <c r="D46" s="10">
        <v>0</v>
      </c>
      <c r="E46" s="10">
        <f>_xll.AtlasFormulas.AtlasFunctions.AtlasBalance("PROD",DataAreaId,"T.InventTrans|inventDimId~inventDimId@T.InventDim","Sum|Qty|0","","","","","","","DateFinancial|ItemId|T2.InventSiteId|T2.InventLocationId",PeriodBeginning,$A46,$B46,$C46)</f>
        <v>0</v>
      </c>
      <c r="F46" s="10">
        <f>_xll.AtlasFormulas.AtlasFunctions.AtlasBalance("PROD",DataAreaId,"T.InventTrans|inventDimId~inventDimId@T.InventDim","Sum|Qty|0","","","","","","","DateFinancial|ItemId|T2.InventSiteId|T2.InventLocationId",PeriodEnding,$A46,$B46,$C46)</f>
        <v>0</v>
      </c>
      <c r="G46" s="10">
        <f>AtlasReport_3_Table_1[[#This Row],[Current On-hand]]-AtlasReport_3_Table_1[[#This Row],[Trans backwords (Beginning)]]</f>
        <v>0</v>
      </c>
      <c r="H46" s="10">
        <f>AtlasReport_3_Table_1[[#This Row],[Current On-hand]]-AtlasReport_3_Table_1[[#This Row],[Trans backwords (Ending)]]</f>
        <v>0</v>
      </c>
    </row>
    <row r="47" spans="1:8">
      <c r="A47" s="8" t="s">
        <v>509</v>
      </c>
      <c r="B47" s="8" t="s">
        <v>371</v>
      </c>
      <c r="C47" s="8" t="s">
        <v>372</v>
      </c>
      <c r="D47" s="10">
        <v>0</v>
      </c>
      <c r="E47" s="10">
        <f>_xll.AtlasFormulas.AtlasFunctions.AtlasBalance("PROD",DataAreaId,"T.InventTrans|inventDimId~inventDimId@T.InventDim","Sum|Qty|0","","","","","","","DateFinancial|ItemId|T2.InventSiteId|T2.InventLocationId",PeriodBeginning,$A47,$B47,$C47)</f>
        <v>-40</v>
      </c>
      <c r="F47" s="10">
        <f>_xll.AtlasFormulas.AtlasFunctions.AtlasBalance("PROD",DataAreaId,"T.InventTrans|inventDimId~inventDimId@T.InventDim","Sum|Qty|0","","","","","","","DateFinancial|ItemId|T2.InventSiteId|T2.InventLocationId",PeriodEnding,$A47,$B47,$C47)</f>
        <v>0</v>
      </c>
      <c r="G47" s="10">
        <f>AtlasReport_3_Table_1[[#This Row],[Current On-hand]]-AtlasReport_3_Table_1[[#This Row],[Trans backwords (Beginning)]]</f>
        <v>40</v>
      </c>
      <c r="H47" s="10">
        <f>AtlasReport_3_Table_1[[#This Row],[Current On-hand]]-AtlasReport_3_Table_1[[#This Row],[Trans backwords (Ending)]]</f>
        <v>0</v>
      </c>
    </row>
    <row r="48" spans="1:8">
      <c r="A48" s="8" t="s">
        <v>511</v>
      </c>
      <c r="B48" s="8" t="s">
        <v>371</v>
      </c>
      <c r="C48" s="8" t="s">
        <v>70</v>
      </c>
      <c r="D48" s="10">
        <v>0</v>
      </c>
      <c r="E48" s="10">
        <f>_xll.AtlasFormulas.AtlasFunctions.AtlasBalance("PROD",DataAreaId,"T.InventTrans|inventDimId~inventDimId@T.InventDim","Sum|Qty|0","","","","","","","DateFinancial|ItemId|T2.InventSiteId|T2.InventLocationId",PeriodBeginning,$A48,$B48,$C48)</f>
        <v>0</v>
      </c>
      <c r="F48" s="10">
        <f>_xll.AtlasFormulas.AtlasFunctions.AtlasBalance("PROD",DataAreaId,"T.InventTrans|inventDimId~inventDimId@T.InventDim","Sum|Qty|0","","","","","","","DateFinancial|ItemId|T2.InventSiteId|T2.InventLocationId",PeriodEnding,$A48,$B48,$C48)</f>
        <v>0</v>
      </c>
      <c r="G48" s="10">
        <f>AtlasReport_3_Table_1[[#This Row],[Current On-hand]]-AtlasReport_3_Table_1[[#This Row],[Trans backwords (Beginning)]]</f>
        <v>0</v>
      </c>
      <c r="H48" s="10">
        <f>AtlasReport_3_Table_1[[#This Row],[Current On-hand]]-AtlasReport_3_Table_1[[#This Row],[Trans backwords (Ending)]]</f>
        <v>0</v>
      </c>
    </row>
    <row r="49" spans="1:8">
      <c r="A49" s="8" t="s">
        <v>511</v>
      </c>
      <c r="B49" s="8" t="s">
        <v>371</v>
      </c>
      <c r="C49" s="8" t="s">
        <v>372</v>
      </c>
      <c r="D49" s="10">
        <v>0</v>
      </c>
      <c r="E49" s="10">
        <f>_xll.AtlasFormulas.AtlasFunctions.AtlasBalance("PROD",DataAreaId,"T.InventTrans|inventDimId~inventDimId@T.InventDim","Sum|Qty|0","","","","","","","DateFinancial|ItemId|T2.InventSiteId|T2.InventLocationId",PeriodBeginning,$A49,$B49,$C49)</f>
        <v>-30</v>
      </c>
      <c r="F49" s="10">
        <f>_xll.AtlasFormulas.AtlasFunctions.AtlasBalance("PROD",DataAreaId,"T.InventTrans|inventDimId~inventDimId@T.InventDim","Sum|Qty|0","","","","","","","DateFinancial|ItemId|T2.InventSiteId|T2.InventLocationId",PeriodEnding,$A49,$B49,$C49)</f>
        <v>0</v>
      </c>
      <c r="G49" s="10">
        <f>AtlasReport_3_Table_1[[#This Row],[Current On-hand]]-AtlasReport_3_Table_1[[#This Row],[Trans backwords (Beginning)]]</f>
        <v>30</v>
      </c>
      <c r="H49" s="10">
        <f>AtlasReport_3_Table_1[[#This Row],[Current On-hand]]-AtlasReport_3_Table_1[[#This Row],[Trans backwords (Ending)]]</f>
        <v>0</v>
      </c>
    </row>
    <row r="50" spans="1:8">
      <c r="A50" s="8" t="s">
        <v>513</v>
      </c>
      <c r="B50" s="8" t="s">
        <v>371</v>
      </c>
      <c r="C50" s="8" t="s">
        <v>70</v>
      </c>
      <c r="D50" s="10">
        <v>0</v>
      </c>
      <c r="E50" s="10">
        <f>_xll.AtlasFormulas.AtlasFunctions.AtlasBalance("PROD",DataAreaId,"T.InventTrans|inventDimId~inventDimId@T.InventDim","Sum|Qty|0","","","","","","","DateFinancial|ItemId|T2.InventSiteId|T2.InventLocationId",PeriodBeginning,$A50,$B50,$C50)</f>
        <v>0</v>
      </c>
      <c r="F50" s="10">
        <f>_xll.AtlasFormulas.AtlasFunctions.AtlasBalance("PROD",DataAreaId,"T.InventTrans|inventDimId~inventDimId@T.InventDim","Sum|Qty|0","","","","","","","DateFinancial|ItemId|T2.InventSiteId|T2.InventLocationId",PeriodEnding,$A50,$B50,$C50)</f>
        <v>0</v>
      </c>
      <c r="G50" s="10">
        <f>AtlasReport_3_Table_1[[#This Row],[Current On-hand]]-AtlasReport_3_Table_1[[#This Row],[Trans backwords (Beginning)]]</f>
        <v>0</v>
      </c>
      <c r="H50" s="10">
        <f>AtlasReport_3_Table_1[[#This Row],[Current On-hand]]-AtlasReport_3_Table_1[[#This Row],[Trans backwords (Ending)]]</f>
        <v>0</v>
      </c>
    </row>
    <row r="51" spans="1:8">
      <c r="A51" s="8" t="s">
        <v>513</v>
      </c>
      <c r="B51" s="8" t="s">
        <v>371</v>
      </c>
      <c r="C51" s="8" t="s">
        <v>372</v>
      </c>
      <c r="D51" s="10">
        <v>1</v>
      </c>
      <c r="E51" s="10">
        <f>_xll.AtlasFormulas.AtlasFunctions.AtlasBalance("PROD",DataAreaId,"T.InventTrans|inventDimId~inventDimId@T.InventDim","Sum|Qty|0","","","","","","","DateFinancial|ItemId|T2.InventSiteId|T2.InventLocationId",PeriodBeginning,$A51,$B51,$C51)</f>
        <v>0</v>
      </c>
      <c r="F51" s="10">
        <f>_xll.AtlasFormulas.AtlasFunctions.AtlasBalance("PROD",DataAreaId,"T.InventTrans|inventDimId~inventDimId@T.InventDim","Sum|Qty|0","","","","","","","DateFinancial|ItemId|T2.InventSiteId|T2.InventLocationId",PeriodEnding,$A51,$B51,$C51)</f>
        <v>0</v>
      </c>
      <c r="G51" s="10">
        <f>AtlasReport_3_Table_1[[#This Row],[Current On-hand]]-AtlasReport_3_Table_1[[#This Row],[Trans backwords (Beginning)]]</f>
        <v>1</v>
      </c>
      <c r="H51" s="10">
        <f>AtlasReport_3_Table_1[[#This Row],[Current On-hand]]-AtlasReport_3_Table_1[[#This Row],[Trans backwords (Ending)]]</f>
        <v>1</v>
      </c>
    </row>
    <row r="52" spans="1:8">
      <c r="A52" s="8" t="s">
        <v>519</v>
      </c>
      <c r="B52" s="8" t="s">
        <v>371</v>
      </c>
      <c r="C52" s="8" t="s">
        <v>70</v>
      </c>
      <c r="D52" s="10">
        <v>0</v>
      </c>
      <c r="E52" s="10">
        <f>_xll.AtlasFormulas.AtlasFunctions.AtlasBalance("PROD",DataAreaId,"T.InventTrans|inventDimId~inventDimId@T.InventDim","Sum|Qty|0","","","","","","","DateFinancial|ItemId|T2.InventSiteId|T2.InventLocationId",PeriodBeginning,$A52,$B52,$C52)</f>
        <v>0</v>
      </c>
      <c r="F52" s="10">
        <f>_xll.AtlasFormulas.AtlasFunctions.AtlasBalance("PROD",DataAreaId,"T.InventTrans|inventDimId~inventDimId@T.InventDim","Sum|Qty|0","","","","","","","DateFinancial|ItemId|T2.InventSiteId|T2.InventLocationId",PeriodEnding,$A52,$B52,$C52)</f>
        <v>0</v>
      </c>
      <c r="G52" s="10">
        <f>AtlasReport_3_Table_1[[#This Row],[Current On-hand]]-AtlasReport_3_Table_1[[#This Row],[Trans backwords (Beginning)]]</f>
        <v>0</v>
      </c>
      <c r="H52" s="10">
        <f>AtlasReport_3_Table_1[[#This Row],[Current On-hand]]-AtlasReport_3_Table_1[[#This Row],[Trans backwords (Ending)]]</f>
        <v>0</v>
      </c>
    </row>
    <row r="53" spans="1:8">
      <c r="A53" s="8" t="s">
        <v>519</v>
      </c>
      <c r="B53" s="8" t="s">
        <v>371</v>
      </c>
      <c r="C53" s="8" t="s">
        <v>372</v>
      </c>
      <c r="D53" s="10">
        <v>2700</v>
      </c>
      <c r="E53" s="10">
        <f>_xll.AtlasFormulas.AtlasFunctions.AtlasBalance("PROD",DataAreaId,"T.InventTrans|inventDimId~inventDimId@T.InventDim","Sum|Qty|0","","","","","","","DateFinancial|ItemId|T2.InventSiteId|T2.InventLocationId",PeriodBeginning,$A53,$B53,$C53)</f>
        <v>0</v>
      </c>
      <c r="F53" s="10">
        <f>_xll.AtlasFormulas.AtlasFunctions.AtlasBalance("PROD",DataAreaId,"T.InventTrans|inventDimId~inventDimId@T.InventDim","Sum|Qty|0","","","","","","","DateFinancial|ItemId|T2.InventSiteId|T2.InventLocationId",PeriodEnding,$A53,$B53,$C53)</f>
        <v>0</v>
      </c>
      <c r="G53" s="10">
        <f>AtlasReport_3_Table_1[[#This Row],[Current On-hand]]-AtlasReport_3_Table_1[[#This Row],[Trans backwords (Beginning)]]</f>
        <v>2700</v>
      </c>
      <c r="H53" s="10">
        <f>AtlasReport_3_Table_1[[#This Row],[Current On-hand]]-AtlasReport_3_Table_1[[#This Row],[Trans backwords (Ending)]]</f>
        <v>2700</v>
      </c>
    </row>
    <row r="54" spans="1:8">
      <c r="A54" s="8" t="s">
        <v>521</v>
      </c>
      <c r="B54" s="8" t="s">
        <v>371</v>
      </c>
      <c r="C54" s="8" t="s">
        <v>70</v>
      </c>
      <c r="D54" s="10">
        <v>0</v>
      </c>
      <c r="E54" s="10">
        <f>_xll.AtlasFormulas.AtlasFunctions.AtlasBalance("PROD",DataAreaId,"T.InventTrans|inventDimId~inventDimId@T.InventDim","Sum|Qty|0","","","","","","","DateFinancial|ItemId|T2.InventSiteId|T2.InventLocationId",PeriodBeginning,$A54,$B54,$C54)</f>
        <v>0</v>
      </c>
      <c r="F54" s="10">
        <f>_xll.AtlasFormulas.AtlasFunctions.AtlasBalance("PROD",DataAreaId,"T.InventTrans|inventDimId~inventDimId@T.InventDim","Sum|Qty|0","","","","","","","DateFinancial|ItemId|T2.InventSiteId|T2.InventLocationId",PeriodEnding,$A54,$B54,$C54)</f>
        <v>0</v>
      </c>
      <c r="G54" s="10">
        <f>AtlasReport_3_Table_1[[#This Row],[Current On-hand]]-AtlasReport_3_Table_1[[#This Row],[Trans backwords (Beginning)]]</f>
        <v>0</v>
      </c>
      <c r="H54" s="10">
        <f>AtlasReport_3_Table_1[[#This Row],[Current On-hand]]-AtlasReport_3_Table_1[[#This Row],[Trans backwords (Ending)]]</f>
        <v>0</v>
      </c>
    </row>
    <row r="55" spans="1:8">
      <c r="A55" s="8" t="s">
        <v>521</v>
      </c>
      <c r="B55" s="8" t="s">
        <v>371</v>
      </c>
      <c r="C55" s="8" t="s">
        <v>372</v>
      </c>
      <c r="D55" s="10">
        <v>120</v>
      </c>
      <c r="E55" s="10">
        <f>_xll.AtlasFormulas.AtlasFunctions.AtlasBalance("PROD",DataAreaId,"T.InventTrans|inventDimId~inventDimId@T.InventDim","Sum|Qty|0","","","","","","","DateFinancial|ItemId|T2.InventSiteId|T2.InventLocationId",PeriodBeginning,$A55,$B55,$C55)</f>
        <v>0</v>
      </c>
      <c r="F55" s="10">
        <f>_xll.AtlasFormulas.AtlasFunctions.AtlasBalance("PROD",DataAreaId,"T.InventTrans|inventDimId~inventDimId@T.InventDim","Sum|Qty|0","","","","","","","DateFinancial|ItemId|T2.InventSiteId|T2.InventLocationId",PeriodEnding,$A55,$B55,$C55)</f>
        <v>0</v>
      </c>
      <c r="G55" s="10">
        <f>AtlasReport_3_Table_1[[#This Row],[Current On-hand]]-AtlasReport_3_Table_1[[#This Row],[Trans backwords (Beginning)]]</f>
        <v>120</v>
      </c>
      <c r="H55" s="10">
        <f>AtlasReport_3_Table_1[[#This Row],[Current On-hand]]-AtlasReport_3_Table_1[[#This Row],[Trans backwords (Ending)]]</f>
        <v>120</v>
      </c>
    </row>
    <row r="56" spans="1:8">
      <c r="A56" s="8" t="s">
        <v>527</v>
      </c>
      <c r="B56" s="8" t="s">
        <v>371</v>
      </c>
      <c r="C56" s="8" t="s">
        <v>70</v>
      </c>
      <c r="D56" s="10">
        <v>0</v>
      </c>
      <c r="E56" s="10">
        <f>_xll.AtlasFormulas.AtlasFunctions.AtlasBalance("PROD",DataAreaId,"T.InventTrans|inventDimId~inventDimId@T.InventDim","Sum|Qty|0","","","","","","","DateFinancial|ItemId|T2.InventSiteId|T2.InventLocationId",PeriodBeginning,$A56,$B56,$C56)</f>
        <v>0</v>
      </c>
      <c r="F56" s="10">
        <f>_xll.AtlasFormulas.AtlasFunctions.AtlasBalance("PROD",DataAreaId,"T.InventTrans|inventDimId~inventDimId@T.InventDim","Sum|Qty|0","","","","","","","DateFinancial|ItemId|T2.InventSiteId|T2.InventLocationId",PeriodEnding,$A56,$B56,$C56)</f>
        <v>0</v>
      </c>
      <c r="G56" s="10">
        <f>AtlasReport_3_Table_1[[#This Row],[Current On-hand]]-AtlasReport_3_Table_1[[#This Row],[Trans backwords (Beginning)]]</f>
        <v>0</v>
      </c>
      <c r="H56" s="10">
        <f>AtlasReport_3_Table_1[[#This Row],[Current On-hand]]-AtlasReport_3_Table_1[[#This Row],[Trans backwords (Ending)]]</f>
        <v>0</v>
      </c>
    </row>
    <row r="57" spans="1:8">
      <c r="A57" s="8" t="s">
        <v>527</v>
      </c>
      <c r="B57" s="8" t="s">
        <v>371</v>
      </c>
      <c r="C57" s="8" t="s">
        <v>372</v>
      </c>
      <c r="D57" s="10">
        <v>1680</v>
      </c>
      <c r="E57" s="10">
        <f>_xll.AtlasFormulas.AtlasFunctions.AtlasBalance("PROD",DataAreaId,"T.InventTrans|inventDimId~inventDimId@T.InventDim","Sum|Qty|0","","","","","","","DateFinancial|ItemId|T2.InventSiteId|T2.InventLocationId",PeriodBeginning,$A57,$B57,$C57)</f>
        <v>0</v>
      </c>
      <c r="F57" s="10">
        <f>_xll.AtlasFormulas.AtlasFunctions.AtlasBalance("PROD",DataAreaId,"T.InventTrans|inventDimId~inventDimId@T.InventDim","Sum|Qty|0","","","","","","","DateFinancial|ItemId|T2.InventSiteId|T2.InventLocationId",PeriodEnding,$A57,$B57,$C57)</f>
        <v>0</v>
      </c>
      <c r="G57" s="10">
        <f>AtlasReport_3_Table_1[[#This Row],[Current On-hand]]-AtlasReport_3_Table_1[[#This Row],[Trans backwords (Beginning)]]</f>
        <v>1680</v>
      </c>
      <c r="H57" s="10">
        <f>AtlasReport_3_Table_1[[#This Row],[Current On-hand]]-AtlasReport_3_Table_1[[#This Row],[Trans backwords (Ending)]]</f>
        <v>1680</v>
      </c>
    </row>
    <row r="58" spans="1:8">
      <c r="A58" s="8" t="s">
        <v>529</v>
      </c>
      <c r="B58" s="8" t="s">
        <v>371</v>
      </c>
      <c r="C58" s="8" t="s">
        <v>70</v>
      </c>
      <c r="D58" s="10">
        <v>0</v>
      </c>
      <c r="E58" s="10">
        <f>_xll.AtlasFormulas.AtlasFunctions.AtlasBalance("PROD",DataAreaId,"T.InventTrans|inventDimId~inventDimId@T.InventDim","Sum|Qty|0","","","","","","","DateFinancial|ItemId|T2.InventSiteId|T2.InventLocationId",PeriodBeginning,$A58,$B58,$C58)</f>
        <v>0</v>
      </c>
      <c r="F58" s="10">
        <f>_xll.AtlasFormulas.AtlasFunctions.AtlasBalance("PROD",DataAreaId,"T.InventTrans|inventDimId~inventDimId@T.InventDim","Sum|Qty|0","","","","","","","DateFinancial|ItemId|T2.InventSiteId|T2.InventLocationId",PeriodEnding,$A58,$B58,$C58)</f>
        <v>0</v>
      </c>
      <c r="G58" s="10">
        <f>AtlasReport_3_Table_1[[#This Row],[Current On-hand]]-AtlasReport_3_Table_1[[#This Row],[Trans backwords (Beginning)]]</f>
        <v>0</v>
      </c>
      <c r="H58" s="10">
        <f>AtlasReport_3_Table_1[[#This Row],[Current On-hand]]-AtlasReport_3_Table_1[[#This Row],[Trans backwords (Ending)]]</f>
        <v>0</v>
      </c>
    </row>
    <row r="59" spans="1:8">
      <c r="A59" s="8" t="s">
        <v>529</v>
      </c>
      <c r="B59" s="8" t="s">
        <v>371</v>
      </c>
      <c r="C59" s="8" t="s">
        <v>372</v>
      </c>
      <c r="D59" s="10">
        <v>920</v>
      </c>
      <c r="E59" s="10">
        <f>_xll.AtlasFormulas.AtlasFunctions.AtlasBalance("PROD",DataAreaId,"T.InventTrans|inventDimId~inventDimId@T.InventDim","Sum|Qty|0","","","","","","","DateFinancial|ItemId|T2.InventSiteId|T2.InventLocationId",PeriodBeginning,$A59,$B59,$C59)</f>
        <v>0</v>
      </c>
      <c r="F59" s="10">
        <f>_xll.AtlasFormulas.AtlasFunctions.AtlasBalance("PROD",DataAreaId,"T.InventTrans|inventDimId~inventDimId@T.InventDim","Sum|Qty|0","","","","","","","DateFinancial|ItemId|T2.InventSiteId|T2.InventLocationId",PeriodEnding,$A59,$B59,$C59)</f>
        <v>0</v>
      </c>
      <c r="G59" s="10">
        <f>AtlasReport_3_Table_1[[#This Row],[Current On-hand]]-AtlasReport_3_Table_1[[#This Row],[Trans backwords (Beginning)]]</f>
        <v>920</v>
      </c>
      <c r="H59" s="10">
        <f>AtlasReport_3_Table_1[[#This Row],[Current On-hand]]-AtlasReport_3_Table_1[[#This Row],[Trans backwords (Ending)]]</f>
        <v>920</v>
      </c>
    </row>
    <row r="60" spans="1:8">
      <c r="A60" s="8" t="s">
        <v>537</v>
      </c>
      <c r="B60" s="8" t="s">
        <v>371</v>
      </c>
      <c r="C60" s="8" t="s">
        <v>70</v>
      </c>
      <c r="D60" s="10">
        <v>0</v>
      </c>
      <c r="E60" s="10">
        <f>_xll.AtlasFormulas.AtlasFunctions.AtlasBalance("PROD",DataAreaId,"T.InventTrans|inventDimId~inventDimId@T.InventDim","Sum|Qty|0","","","","","","","DateFinancial|ItemId|T2.InventSiteId|T2.InventLocationId",PeriodBeginning,$A60,$B60,$C60)</f>
        <v>0</v>
      </c>
      <c r="F60" s="10">
        <f>_xll.AtlasFormulas.AtlasFunctions.AtlasBalance("PROD",DataAreaId,"T.InventTrans|inventDimId~inventDimId@T.InventDim","Sum|Qty|0","","","","","","","DateFinancial|ItemId|T2.InventSiteId|T2.InventLocationId",PeriodEnding,$A60,$B60,$C60)</f>
        <v>0</v>
      </c>
      <c r="G60" s="10">
        <f>AtlasReport_3_Table_1[[#This Row],[Current On-hand]]-AtlasReport_3_Table_1[[#This Row],[Trans backwords (Beginning)]]</f>
        <v>0</v>
      </c>
      <c r="H60" s="10">
        <f>AtlasReport_3_Table_1[[#This Row],[Current On-hand]]-AtlasReport_3_Table_1[[#This Row],[Trans backwords (Ending)]]</f>
        <v>0</v>
      </c>
    </row>
    <row r="61" spans="1:8">
      <c r="A61" s="8" t="s">
        <v>537</v>
      </c>
      <c r="B61" s="8" t="s">
        <v>371</v>
      </c>
      <c r="C61" s="8" t="s">
        <v>372</v>
      </c>
      <c r="D61" s="10">
        <v>0</v>
      </c>
      <c r="E61" s="10">
        <f>_xll.AtlasFormulas.AtlasFunctions.AtlasBalance("PROD",DataAreaId,"T.InventTrans|inventDimId~inventDimId@T.InventDim","Sum|Qty|0","","","","","","","DateFinancial|ItemId|T2.InventSiteId|T2.InventLocationId",PeriodBeginning,$A61,$B61,$C61)</f>
        <v>0</v>
      </c>
      <c r="F61" s="10">
        <f>_xll.AtlasFormulas.AtlasFunctions.AtlasBalance("PROD",DataAreaId,"T.InventTrans|inventDimId~inventDimId@T.InventDim","Sum|Qty|0","","","","","","","DateFinancial|ItemId|T2.InventSiteId|T2.InventLocationId",PeriodEnding,$A61,$B61,$C61)</f>
        <v>0</v>
      </c>
      <c r="G61" s="10">
        <f>AtlasReport_3_Table_1[[#This Row],[Current On-hand]]-AtlasReport_3_Table_1[[#This Row],[Trans backwords (Beginning)]]</f>
        <v>0</v>
      </c>
      <c r="H61" s="10">
        <f>AtlasReport_3_Table_1[[#This Row],[Current On-hand]]-AtlasReport_3_Table_1[[#This Row],[Trans backwords (Ending)]]</f>
        <v>0</v>
      </c>
    </row>
    <row r="62" spans="1:8">
      <c r="A62" s="8" t="s">
        <v>541</v>
      </c>
      <c r="B62" s="8" t="s">
        <v>371</v>
      </c>
      <c r="C62" s="8" t="s">
        <v>70</v>
      </c>
      <c r="D62" s="10">
        <v>0</v>
      </c>
      <c r="E62" s="10">
        <f>_xll.AtlasFormulas.AtlasFunctions.AtlasBalance("PROD",DataAreaId,"T.InventTrans|inventDimId~inventDimId@T.InventDim","Sum|Qty|0","","","","","","","DateFinancial|ItemId|T2.InventSiteId|T2.InventLocationId",PeriodBeginning,$A62,$B62,$C62)</f>
        <v>0</v>
      </c>
      <c r="F62" s="10">
        <f>_xll.AtlasFormulas.AtlasFunctions.AtlasBalance("PROD",DataAreaId,"T.InventTrans|inventDimId~inventDimId@T.InventDim","Sum|Qty|0","","","","","","","DateFinancial|ItemId|T2.InventSiteId|T2.InventLocationId",PeriodEnding,$A62,$B62,$C62)</f>
        <v>0</v>
      </c>
      <c r="G62" s="10">
        <f>AtlasReport_3_Table_1[[#This Row],[Current On-hand]]-AtlasReport_3_Table_1[[#This Row],[Trans backwords (Beginning)]]</f>
        <v>0</v>
      </c>
      <c r="H62" s="10">
        <f>AtlasReport_3_Table_1[[#This Row],[Current On-hand]]-AtlasReport_3_Table_1[[#This Row],[Trans backwords (Ending)]]</f>
        <v>0</v>
      </c>
    </row>
    <row r="63" spans="1:8">
      <c r="A63" s="8" t="s">
        <v>541</v>
      </c>
      <c r="B63" s="8" t="s">
        <v>371</v>
      </c>
      <c r="C63" s="8" t="s">
        <v>372</v>
      </c>
      <c r="D63" s="10">
        <v>23</v>
      </c>
      <c r="E63" s="10">
        <f>_xll.AtlasFormulas.AtlasFunctions.AtlasBalance("PROD",DataAreaId,"T.InventTrans|inventDimId~inventDimId@T.InventDim","Sum|Qty|0","","","","","","","DateFinancial|ItemId|T2.InventSiteId|T2.InventLocationId",PeriodBeginning,$A63,$B63,$C63)</f>
        <v>0</v>
      </c>
      <c r="F63" s="10">
        <f>_xll.AtlasFormulas.AtlasFunctions.AtlasBalance("PROD",DataAreaId,"T.InventTrans|inventDimId~inventDimId@T.InventDim","Sum|Qty|0","","","","","","","DateFinancial|ItemId|T2.InventSiteId|T2.InventLocationId",PeriodEnding,$A63,$B63,$C63)</f>
        <v>0</v>
      </c>
      <c r="G63" s="10">
        <f>AtlasReport_3_Table_1[[#This Row],[Current On-hand]]-AtlasReport_3_Table_1[[#This Row],[Trans backwords (Beginning)]]</f>
        <v>23</v>
      </c>
      <c r="H63" s="10">
        <f>AtlasReport_3_Table_1[[#This Row],[Current On-hand]]-AtlasReport_3_Table_1[[#This Row],[Trans backwords (Ending)]]</f>
        <v>23</v>
      </c>
    </row>
    <row r="64" spans="1:8">
      <c r="A64" s="8" t="s">
        <v>544</v>
      </c>
      <c r="B64" s="8" t="s">
        <v>371</v>
      </c>
      <c r="C64" s="8" t="s">
        <v>70</v>
      </c>
      <c r="D64" s="10">
        <v>0</v>
      </c>
      <c r="E64" s="10">
        <f>_xll.AtlasFormulas.AtlasFunctions.AtlasBalance("PROD",DataAreaId,"T.InventTrans|inventDimId~inventDimId@T.InventDim","Sum|Qty|0","","","","","","","DateFinancial|ItemId|T2.InventSiteId|T2.InventLocationId",PeriodBeginning,$A64,$B64,$C64)</f>
        <v>0</v>
      </c>
      <c r="F64" s="10">
        <f>_xll.AtlasFormulas.AtlasFunctions.AtlasBalance("PROD",DataAreaId,"T.InventTrans|inventDimId~inventDimId@T.InventDim","Sum|Qty|0","","","","","","","DateFinancial|ItemId|T2.InventSiteId|T2.InventLocationId",PeriodEnding,$A64,$B64,$C64)</f>
        <v>0</v>
      </c>
      <c r="G64" s="10">
        <f>AtlasReport_3_Table_1[[#This Row],[Current On-hand]]-AtlasReport_3_Table_1[[#This Row],[Trans backwords (Beginning)]]</f>
        <v>0</v>
      </c>
      <c r="H64" s="10">
        <f>AtlasReport_3_Table_1[[#This Row],[Current On-hand]]-AtlasReport_3_Table_1[[#This Row],[Trans backwords (Ending)]]</f>
        <v>0</v>
      </c>
    </row>
    <row r="65" spans="1:8">
      <c r="A65" s="8" t="s">
        <v>544</v>
      </c>
      <c r="B65" s="8" t="s">
        <v>371</v>
      </c>
      <c r="C65" s="8" t="s">
        <v>372</v>
      </c>
      <c r="D65" s="10">
        <v>2485</v>
      </c>
      <c r="E65" s="10">
        <f>_xll.AtlasFormulas.AtlasFunctions.AtlasBalance("PROD",DataAreaId,"T.InventTrans|inventDimId~inventDimId@T.InventDim","Sum|Qty|0","","","","","","","DateFinancial|ItemId|T2.InventSiteId|T2.InventLocationId",PeriodBeginning,$A65,$B65,$C65)</f>
        <v>-2000</v>
      </c>
      <c r="F65" s="10">
        <f>_xll.AtlasFormulas.AtlasFunctions.AtlasBalance("PROD",DataAreaId,"T.InventTrans|inventDimId~inventDimId@T.InventDim","Sum|Qty|0","","","","","","","DateFinancial|ItemId|T2.InventSiteId|T2.InventLocationId",PeriodEnding,$A65,$B65,$C65)</f>
        <v>0</v>
      </c>
      <c r="G65" s="10">
        <f>AtlasReport_3_Table_1[[#This Row],[Current On-hand]]-AtlasReport_3_Table_1[[#This Row],[Trans backwords (Beginning)]]</f>
        <v>4485</v>
      </c>
      <c r="H65" s="10">
        <f>AtlasReport_3_Table_1[[#This Row],[Current On-hand]]-AtlasReport_3_Table_1[[#This Row],[Trans backwords (Ending)]]</f>
        <v>2485</v>
      </c>
    </row>
    <row r="66" spans="1:8">
      <c r="A66" s="8" t="s">
        <v>19</v>
      </c>
      <c r="B66" s="8" t="s">
        <v>371</v>
      </c>
      <c r="C66" s="8" t="s">
        <v>70</v>
      </c>
      <c r="D66" s="10">
        <v>0</v>
      </c>
      <c r="E66" s="10">
        <f>_xll.AtlasFormulas.AtlasFunctions.AtlasBalance("PROD",DataAreaId,"T.InventTrans|inventDimId~inventDimId@T.InventDim","Sum|Qty|0","","","","","","","DateFinancial|ItemId|T2.InventSiteId|T2.InventLocationId",PeriodBeginning,$A66,$B66,$C66)</f>
        <v>0</v>
      </c>
      <c r="F66" s="10">
        <f>_xll.AtlasFormulas.AtlasFunctions.AtlasBalance("PROD",DataAreaId,"T.InventTrans|inventDimId~inventDimId@T.InventDim","Sum|Qty|0","","","","","","","DateFinancial|ItemId|T2.InventSiteId|T2.InventLocationId",PeriodEnding,$A66,$B66,$C66)</f>
        <v>0</v>
      </c>
      <c r="G66" s="10">
        <f>AtlasReport_3_Table_1[[#This Row],[Current On-hand]]-AtlasReport_3_Table_1[[#This Row],[Trans backwords (Beginning)]]</f>
        <v>0</v>
      </c>
      <c r="H66" s="10">
        <f>AtlasReport_3_Table_1[[#This Row],[Current On-hand]]-AtlasReport_3_Table_1[[#This Row],[Trans backwords (Ending)]]</f>
        <v>0</v>
      </c>
    </row>
    <row r="67" spans="1:8">
      <c r="A67" s="8" t="s">
        <v>19</v>
      </c>
      <c r="B67" s="8" t="s">
        <v>371</v>
      </c>
      <c r="C67" s="8" t="s">
        <v>372</v>
      </c>
      <c r="D67" s="10">
        <v>12028</v>
      </c>
      <c r="E67" s="10">
        <f>_xll.AtlasFormulas.AtlasFunctions.AtlasBalance("PROD",DataAreaId,"T.InventTrans|inventDimId~inventDimId@T.InventDim","Sum|Qty|0","","","","","","","DateFinancial|ItemId|T2.InventSiteId|T2.InventLocationId",PeriodBeginning,$A67,$B67,$C67)</f>
        <v>0</v>
      </c>
      <c r="F67" s="10">
        <f>_xll.AtlasFormulas.AtlasFunctions.AtlasBalance("PROD",DataAreaId,"T.InventTrans|inventDimId~inventDimId@T.InventDim","Sum|Qty|0","","","","","","","DateFinancial|ItemId|T2.InventSiteId|T2.InventLocationId",PeriodEnding,$A67,$B67,$C67)</f>
        <v>0</v>
      </c>
      <c r="G67" s="10">
        <f>AtlasReport_3_Table_1[[#This Row],[Current On-hand]]-AtlasReport_3_Table_1[[#This Row],[Trans backwords (Beginning)]]</f>
        <v>12028</v>
      </c>
      <c r="H67" s="10">
        <f>AtlasReport_3_Table_1[[#This Row],[Current On-hand]]-AtlasReport_3_Table_1[[#This Row],[Trans backwords (Ending)]]</f>
        <v>12028</v>
      </c>
    </row>
    <row r="68" spans="1:8">
      <c r="A68" s="8" t="s">
        <v>554</v>
      </c>
      <c r="B68" s="8" t="s">
        <v>371</v>
      </c>
      <c r="C68" s="8" t="s">
        <v>70</v>
      </c>
      <c r="D68" s="10">
        <v>0</v>
      </c>
      <c r="E68" s="10">
        <f>_xll.AtlasFormulas.AtlasFunctions.AtlasBalance("PROD",DataAreaId,"T.InventTrans|inventDimId~inventDimId@T.InventDim","Sum|Qty|0","","","","","","","DateFinancial|ItemId|T2.InventSiteId|T2.InventLocationId",PeriodBeginning,$A68,$B68,$C68)</f>
        <v>0</v>
      </c>
      <c r="F68" s="10">
        <f>_xll.AtlasFormulas.AtlasFunctions.AtlasBalance("PROD",DataAreaId,"T.InventTrans|inventDimId~inventDimId@T.InventDim","Sum|Qty|0","","","","","","","DateFinancial|ItemId|T2.InventSiteId|T2.InventLocationId",PeriodEnding,$A68,$B68,$C68)</f>
        <v>0</v>
      </c>
      <c r="G68" s="10">
        <f>AtlasReport_3_Table_1[[#This Row],[Current On-hand]]-AtlasReport_3_Table_1[[#This Row],[Trans backwords (Beginning)]]</f>
        <v>0</v>
      </c>
      <c r="H68" s="10">
        <f>AtlasReport_3_Table_1[[#This Row],[Current On-hand]]-AtlasReport_3_Table_1[[#This Row],[Trans backwords (Ending)]]</f>
        <v>0</v>
      </c>
    </row>
    <row r="69" spans="1:8">
      <c r="A69" s="8" t="s">
        <v>554</v>
      </c>
      <c r="B69" s="8" t="s">
        <v>371</v>
      </c>
      <c r="C69" s="8" t="s">
        <v>372</v>
      </c>
      <c r="D69" s="10">
        <v>48.75</v>
      </c>
      <c r="E69" s="10">
        <f>_xll.AtlasFormulas.AtlasFunctions.AtlasBalance("PROD",DataAreaId,"T.InventTrans|inventDimId~inventDimId@T.InventDim","Sum|Qty|0","","","","","","","DateFinancial|ItemId|T2.InventSiteId|T2.InventLocationId",PeriodBeginning,$A69,$B69,$C69)</f>
        <v>0</v>
      </c>
      <c r="F69" s="10">
        <f>_xll.AtlasFormulas.AtlasFunctions.AtlasBalance("PROD",DataAreaId,"T.InventTrans|inventDimId~inventDimId@T.InventDim","Sum|Qty|0","","","","","","","DateFinancial|ItemId|T2.InventSiteId|T2.InventLocationId",PeriodEnding,$A69,$B69,$C69)</f>
        <v>0</v>
      </c>
      <c r="G69" s="10">
        <f>AtlasReport_3_Table_1[[#This Row],[Current On-hand]]-AtlasReport_3_Table_1[[#This Row],[Trans backwords (Beginning)]]</f>
        <v>48.75</v>
      </c>
      <c r="H69" s="10">
        <f>AtlasReport_3_Table_1[[#This Row],[Current On-hand]]-AtlasReport_3_Table_1[[#This Row],[Trans backwords (Ending)]]</f>
        <v>48.75</v>
      </c>
    </row>
    <row r="70" spans="1:8">
      <c r="A70" s="8" t="s">
        <v>555</v>
      </c>
      <c r="B70" s="8" t="s">
        <v>371</v>
      </c>
      <c r="C70" s="8" t="s">
        <v>70</v>
      </c>
      <c r="D70" s="10">
        <v>0</v>
      </c>
      <c r="E70" s="10">
        <f>_xll.AtlasFormulas.AtlasFunctions.AtlasBalance("PROD",DataAreaId,"T.InventTrans|inventDimId~inventDimId@T.InventDim","Sum|Qty|0","","","","","","","DateFinancial|ItemId|T2.InventSiteId|T2.InventLocationId",PeriodBeginning,$A70,$B70,$C70)</f>
        <v>0</v>
      </c>
      <c r="F70" s="10">
        <f>_xll.AtlasFormulas.AtlasFunctions.AtlasBalance("PROD",DataAreaId,"T.InventTrans|inventDimId~inventDimId@T.InventDim","Sum|Qty|0","","","","","","","DateFinancial|ItemId|T2.InventSiteId|T2.InventLocationId",PeriodEnding,$A70,$B70,$C70)</f>
        <v>0</v>
      </c>
      <c r="G70" s="10">
        <f>AtlasReport_3_Table_1[[#This Row],[Current On-hand]]-AtlasReport_3_Table_1[[#This Row],[Trans backwords (Beginning)]]</f>
        <v>0</v>
      </c>
      <c r="H70" s="10">
        <f>AtlasReport_3_Table_1[[#This Row],[Current On-hand]]-AtlasReport_3_Table_1[[#This Row],[Trans backwords (Ending)]]</f>
        <v>0</v>
      </c>
    </row>
    <row r="71" spans="1:8">
      <c r="A71" s="8" t="s">
        <v>555</v>
      </c>
      <c r="B71" s="8" t="s">
        <v>371</v>
      </c>
      <c r="C71" s="8" t="s">
        <v>372</v>
      </c>
      <c r="D71" s="10">
        <v>19741</v>
      </c>
      <c r="E71" s="10">
        <f>_xll.AtlasFormulas.AtlasFunctions.AtlasBalance("PROD",DataAreaId,"T.InventTrans|inventDimId~inventDimId@T.InventDim","Sum|Qty|0","","","","","","","DateFinancial|ItemId|T2.InventSiteId|T2.InventLocationId",PeriodBeginning,$A71,$B71,$C71)</f>
        <v>15520</v>
      </c>
      <c r="F71" s="10">
        <f>_xll.AtlasFormulas.AtlasFunctions.AtlasBalance("PROD",DataAreaId,"T.InventTrans|inventDimId~inventDimId@T.InventDim","Sum|Qty|0","","","","","","","DateFinancial|ItemId|T2.InventSiteId|T2.InventLocationId",PeriodEnding,$A71,$B71,$C71)</f>
        <v>0</v>
      </c>
      <c r="G71" s="10">
        <f>AtlasReport_3_Table_1[[#This Row],[Current On-hand]]-AtlasReport_3_Table_1[[#This Row],[Trans backwords (Beginning)]]</f>
        <v>4221</v>
      </c>
      <c r="H71" s="10">
        <f>AtlasReport_3_Table_1[[#This Row],[Current On-hand]]-AtlasReport_3_Table_1[[#This Row],[Trans backwords (Ending)]]</f>
        <v>19741</v>
      </c>
    </row>
    <row r="72" spans="1:8">
      <c r="A72" s="8" t="s">
        <v>556</v>
      </c>
      <c r="B72" s="8" t="s">
        <v>371</v>
      </c>
      <c r="C72" s="8" t="s">
        <v>70</v>
      </c>
      <c r="D72" s="10">
        <v>0</v>
      </c>
      <c r="E72" s="10">
        <f>_xll.AtlasFormulas.AtlasFunctions.AtlasBalance("PROD",DataAreaId,"T.InventTrans|inventDimId~inventDimId@T.InventDim","Sum|Qty|0","","","","","","","DateFinancial|ItemId|T2.InventSiteId|T2.InventLocationId",PeriodBeginning,$A72,$B72,$C72)</f>
        <v>0</v>
      </c>
      <c r="F72" s="10">
        <f>_xll.AtlasFormulas.AtlasFunctions.AtlasBalance("PROD",DataAreaId,"T.InventTrans|inventDimId~inventDimId@T.InventDim","Sum|Qty|0","","","","","","","DateFinancial|ItemId|T2.InventSiteId|T2.InventLocationId",PeriodEnding,$A72,$B72,$C72)</f>
        <v>0</v>
      </c>
      <c r="G72" s="10">
        <f>AtlasReport_3_Table_1[[#This Row],[Current On-hand]]-AtlasReport_3_Table_1[[#This Row],[Trans backwords (Beginning)]]</f>
        <v>0</v>
      </c>
      <c r="H72" s="10">
        <f>AtlasReport_3_Table_1[[#This Row],[Current On-hand]]-AtlasReport_3_Table_1[[#This Row],[Trans backwords (Ending)]]</f>
        <v>0</v>
      </c>
    </row>
    <row r="73" spans="1:8">
      <c r="A73" s="8" t="s">
        <v>556</v>
      </c>
      <c r="B73" s="8" t="s">
        <v>371</v>
      </c>
      <c r="C73" s="8" t="s">
        <v>372</v>
      </c>
      <c r="D73" s="10">
        <v>12300</v>
      </c>
      <c r="E73" s="10">
        <f>_xll.AtlasFormulas.AtlasFunctions.AtlasBalance("PROD",DataAreaId,"T.InventTrans|inventDimId~inventDimId@T.InventDim","Sum|Qty|0","","","","","","","DateFinancial|ItemId|T2.InventSiteId|T2.InventLocationId",PeriodBeginning,$A73,$B73,$C73)</f>
        <v>0</v>
      </c>
      <c r="F73" s="10">
        <f>_xll.AtlasFormulas.AtlasFunctions.AtlasBalance("PROD",DataAreaId,"T.InventTrans|inventDimId~inventDimId@T.InventDim","Sum|Qty|0","","","","","","","DateFinancial|ItemId|T2.InventSiteId|T2.InventLocationId",PeriodEnding,$A73,$B73,$C73)</f>
        <v>0</v>
      </c>
      <c r="G73" s="10">
        <f>AtlasReport_3_Table_1[[#This Row],[Current On-hand]]-AtlasReport_3_Table_1[[#This Row],[Trans backwords (Beginning)]]</f>
        <v>12300</v>
      </c>
      <c r="H73" s="10">
        <f>AtlasReport_3_Table_1[[#This Row],[Current On-hand]]-AtlasReport_3_Table_1[[#This Row],[Trans backwords (Ending)]]</f>
        <v>12300</v>
      </c>
    </row>
    <row r="74" spans="1:8">
      <c r="A74" s="8" t="s">
        <v>557</v>
      </c>
      <c r="B74" s="8" t="s">
        <v>371</v>
      </c>
      <c r="C74" s="8" t="s">
        <v>70</v>
      </c>
      <c r="D74" s="10">
        <v>0</v>
      </c>
      <c r="E74" s="10">
        <f>_xll.AtlasFormulas.AtlasFunctions.AtlasBalance("PROD",DataAreaId,"T.InventTrans|inventDimId~inventDimId@T.InventDim","Sum|Qty|0","","","","","","","DateFinancial|ItemId|T2.InventSiteId|T2.InventLocationId",PeriodBeginning,$A74,$B74,$C74)</f>
        <v>0</v>
      </c>
      <c r="F74" s="10">
        <f>_xll.AtlasFormulas.AtlasFunctions.AtlasBalance("PROD",DataAreaId,"T.InventTrans|inventDimId~inventDimId@T.InventDim","Sum|Qty|0","","","","","","","DateFinancial|ItemId|T2.InventSiteId|T2.InventLocationId",PeriodEnding,$A74,$B74,$C74)</f>
        <v>0</v>
      </c>
      <c r="G74" s="10">
        <f>AtlasReport_3_Table_1[[#This Row],[Current On-hand]]-AtlasReport_3_Table_1[[#This Row],[Trans backwords (Beginning)]]</f>
        <v>0</v>
      </c>
      <c r="H74" s="10">
        <f>AtlasReport_3_Table_1[[#This Row],[Current On-hand]]-AtlasReport_3_Table_1[[#This Row],[Trans backwords (Ending)]]</f>
        <v>0</v>
      </c>
    </row>
    <row r="75" spans="1:8">
      <c r="A75" s="8" t="s">
        <v>557</v>
      </c>
      <c r="B75" s="8" t="s">
        <v>371</v>
      </c>
      <c r="C75" s="8" t="s">
        <v>372</v>
      </c>
      <c r="D75" s="10">
        <v>15150</v>
      </c>
      <c r="E75" s="10">
        <f>_xll.AtlasFormulas.AtlasFunctions.AtlasBalance("PROD",DataAreaId,"T.InventTrans|inventDimId~inventDimId@T.InventDim","Sum|Qty|0","","","","","","","DateFinancial|ItemId|T2.InventSiteId|T2.InventLocationId",PeriodBeginning,$A75,$B75,$C75)</f>
        <v>7275</v>
      </c>
      <c r="F75" s="10">
        <f>_xll.AtlasFormulas.AtlasFunctions.AtlasBalance("PROD",DataAreaId,"T.InventTrans|inventDimId~inventDimId@T.InventDim","Sum|Qty|0","","","","","","","DateFinancial|ItemId|T2.InventSiteId|T2.InventLocationId",PeriodEnding,$A75,$B75,$C75)</f>
        <v>0</v>
      </c>
      <c r="G75" s="10">
        <f>AtlasReport_3_Table_1[[#This Row],[Current On-hand]]-AtlasReport_3_Table_1[[#This Row],[Trans backwords (Beginning)]]</f>
        <v>7875</v>
      </c>
      <c r="H75" s="10">
        <f>AtlasReport_3_Table_1[[#This Row],[Current On-hand]]-AtlasReport_3_Table_1[[#This Row],[Trans backwords (Ending)]]</f>
        <v>15150</v>
      </c>
    </row>
    <row r="76" spans="1:8">
      <c r="A76" s="8" t="s">
        <v>18</v>
      </c>
      <c r="B76" s="8" t="s">
        <v>371</v>
      </c>
      <c r="C76" s="8" t="s">
        <v>70</v>
      </c>
      <c r="D76" s="10">
        <v>0</v>
      </c>
      <c r="E76" s="10">
        <f>_xll.AtlasFormulas.AtlasFunctions.AtlasBalance("PROD",DataAreaId,"T.InventTrans|inventDimId~inventDimId@T.InventDim","Sum|Qty|0","","","","","","","DateFinancial|ItemId|T2.InventSiteId|T2.InventLocationId",PeriodBeginning,$A76,$B76,$C76)</f>
        <v>0</v>
      </c>
      <c r="F76" s="10">
        <f>_xll.AtlasFormulas.AtlasFunctions.AtlasBalance("PROD",DataAreaId,"T.InventTrans|inventDimId~inventDimId@T.InventDim","Sum|Qty|0","","","","","","","DateFinancial|ItemId|T2.InventSiteId|T2.InventLocationId",PeriodEnding,$A76,$B76,$C76)</f>
        <v>0</v>
      </c>
      <c r="G76" s="10">
        <f>AtlasReport_3_Table_1[[#This Row],[Current On-hand]]-AtlasReport_3_Table_1[[#This Row],[Trans backwords (Beginning)]]</f>
        <v>0</v>
      </c>
      <c r="H76" s="10">
        <f>AtlasReport_3_Table_1[[#This Row],[Current On-hand]]-AtlasReport_3_Table_1[[#This Row],[Trans backwords (Ending)]]</f>
        <v>0</v>
      </c>
    </row>
    <row r="77" spans="1:8">
      <c r="A77" s="8" t="s">
        <v>18</v>
      </c>
      <c r="B77" s="8" t="s">
        <v>371</v>
      </c>
      <c r="C77" s="8" t="s">
        <v>372</v>
      </c>
      <c r="D77" s="10">
        <v>25545</v>
      </c>
      <c r="E77" s="10">
        <f>_xll.AtlasFormulas.AtlasFunctions.AtlasBalance("PROD",DataAreaId,"T.InventTrans|inventDimId~inventDimId@T.InventDim","Sum|Qty|0","","","","","","","DateFinancial|ItemId|T2.InventSiteId|T2.InventLocationId",PeriodBeginning,$A77,$B77,$C77)</f>
        <v>0</v>
      </c>
      <c r="F77" s="10">
        <f>_xll.AtlasFormulas.AtlasFunctions.AtlasBalance("PROD",DataAreaId,"T.InventTrans|inventDimId~inventDimId@T.InventDim","Sum|Qty|0","","","","","","","DateFinancial|ItemId|T2.InventSiteId|T2.InventLocationId",PeriodEnding,$A77,$B77,$C77)</f>
        <v>0</v>
      </c>
      <c r="G77" s="10">
        <f>AtlasReport_3_Table_1[[#This Row],[Current On-hand]]-AtlasReport_3_Table_1[[#This Row],[Trans backwords (Beginning)]]</f>
        <v>25545</v>
      </c>
      <c r="H77" s="10">
        <f>AtlasReport_3_Table_1[[#This Row],[Current On-hand]]-AtlasReport_3_Table_1[[#This Row],[Trans backwords (Ending)]]</f>
        <v>25545</v>
      </c>
    </row>
    <row r="78" spans="1:8">
      <c r="A78" s="8" t="s">
        <v>336</v>
      </c>
      <c r="B78" s="8" t="s">
        <v>371</v>
      </c>
      <c r="C78" s="8" t="s">
        <v>70</v>
      </c>
      <c r="D78" s="10">
        <v>0</v>
      </c>
      <c r="E78" s="10">
        <f>_xll.AtlasFormulas.AtlasFunctions.AtlasBalance("PROD",DataAreaId,"T.InventTrans|inventDimId~inventDimId@T.InventDim","Sum|Qty|0","","","","","","","DateFinancial|ItemId|T2.InventSiteId|T2.InventLocationId",PeriodBeginning,$A78,$B78,$C78)</f>
        <v>0</v>
      </c>
      <c r="F78" s="10">
        <f>_xll.AtlasFormulas.AtlasFunctions.AtlasBalance("PROD",DataAreaId,"T.InventTrans|inventDimId~inventDimId@T.InventDim","Sum|Qty|0","","","","","","","DateFinancial|ItemId|T2.InventSiteId|T2.InventLocationId",PeriodEnding,$A78,$B78,$C78)</f>
        <v>0</v>
      </c>
      <c r="G78" s="10">
        <f>AtlasReport_3_Table_1[[#This Row],[Current On-hand]]-AtlasReport_3_Table_1[[#This Row],[Trans backwords (Beginning)]]</f>
        <v>0</v>
      </c>
      <c r="H78" s="10">
        <f>AtlasReport_3_Table_1[[#This Row],[Current On-hand]]-AtlasReport_3_Table_1[[#This Row],[Trans backwords (Ending)]]</f>
        <v>0</v>
      </c>
    </row>
    <row r="79" spans="1:8">
      <c r="A79" s="8" t="s">
        <v>336</v>
      </c>
      <c r="B79" s="8" t="s">
        <v>371</v>
      </c>
      <c r="C79" s="8" t="s">
        <v>372</v>
      </c>
      <c r="D79" s="10">
        <v>32662.5</v>
      </c>
      <c r="E79" s="10">
        <f>_xll.AtlasFormulas.AtlasFunctions.AtlasBalance("PROD",DataAreaId,"T.InventTrans|inventDimId~inventDimId@T.InventDim","Sum|Qty|0","","","","","","","DateFinancial|ItemId|T2.InventSiteId|T2.InventLocationId",PeriodBeginning,$A79,$B79,$C79)</f>
        <v>23887.5</v>
      </c>
      <c r="F79" s="10">
        <f>_xll.AtlasFormulas.AtlasFunctions.AtlasBalance("PROD",DataAreaId,"T.InventTrans|inventDimId~inventDimId@T.InventDim","Sum|Qty|0","","","","","","","DateFinancial|ItemId|T2.InventSiteId|T2.InventLocationId",PeriodEnding,$A79,$B79,$C79)</f>
        <v>0</v>
      </c>
      <c r="G79" s="10">
        <f>AtlasReport_3_Table_1[[#This Row],[Current On-hand]]-AtlasReport_3_Table_1[[#This Row],[Trans backwords (Beginning)]]</f>
        <v>8775</v>
      </c>
      <c r="H79" s="10">
        <f>AtlasReport_3_Table_1[[#This Row],[Current On-hand]]-AtlasReport_3_Table_1[[#This Row],[Trans backwords (Ending)]]</f>
        <v>32662.5</v>
      </c>
    </row>
    <row r="80" spans="1:8">
      <c r="A80" s="8" t="s">
        <v>404</v>
      </c>
      <c r="B80" s="8" t="s">
        <v>371</v>
      </c>
      <c r="C80" s="8" t="s">
        <v>70</v>
      </c>
      <c r="D80" s="10">
        <v>0</v>
      </c>
      <c r="E80" s="10">
        <f>_xll.AtlasFormulas.AtlasFunctions.AtlasBalance("PROD",DataAreaId,"T.InventTrans|inventDimId~inventDimId@T.InventDim","Sum|Qty|0","","","","","","","DateFinancial|ItemId|T2.InventSiteId|T2.InventLocationId",PeriodBeginning,$A80,$B80,$C80)</f>
        <v>0</v>
      </c>
      <c r="F80" s="10">
        <f>_xll.AtlasFormulas.AtlasFunctions.AtlasBalance("PROD",DataAreaId,"T.InventTrans|inventDimId~inventDimId@T.InventDim","Sum|Qty|0","","","","","","","DateFinancial|ItemId|T2.InventSiteId|T2.InventLocationId",PeriodEnding,$A80,$B80,$C80)</f>
        <v>0</v>
      </c>
      <c r="G80" s="10">
        <f>AtlasReport_3_Table_1[[#This Row],[Current On-hand]]-AtlasReport_3_Table_1[[#This Row],[Trans backwords (Beginning)]]</f>
        <v>0</v>
      </c>
      <c r="H80" s="10">
        <f>AtlasReport_3_Table_1[[#This Row],[Current On-hand]]-AtlasReport_3_Table_1[[#This Row],[Trans backwords (Ending)]]</f>
        <v>0</v>
      </c>
    </row>
    <row r="81" spans="1:8">
      <c r="A81" s="8" t="s">
        <v>404</v>
      </c>
      <c r="B81" s="8" t="s">
        <v>371</v>
      </c>
      <c r="C81" s="8" t="s">
        <v>372</v>
      </c>
      <c r="D81" s="10">
        <v>53332.5</v>
      </c>
      <c r="E81" s="10">
        <f>_xll.AtlasFormulas.AtlasFunctions.AtlasBalance("PROD",DataAreaId,"T.InventTrans|inventDimId~inventDimId@T.InventDim","Sum|Qty|0","","","","","","","DateFinancial|ItemId|T2.InventSiteId|T2.InventLocationId",PeriodBeginning,$A81,$B81,$C81)</f>
        <v>25350</v>
      </c>
      <c r="F81" s="10">
        <f>_xll.AtlasFormulas.AtlasFunctions.AtlasBalance("PROD",DataAreaId,"T.InventTrans|inventDimId~inventDimId@T.InventDim","Sum|Qty|0","","","","","","","DateFinancial|ItemId|T2.InventSiteId|T2.InventLocationId",PeriodEnding,$A81,$B81,$C81)</f>
        <v>0</v>
      </c>
      <c r="G81" s="10">
        <f>AtlasReport_3_Table_1[[#This Row],[Current On-hand]]-AtlasReport_3_Table_1[[#This Row],[Trans backwords (Beginning)]]</f>
        <v>27982.5</v>
      </c>
      <c r="H81" s="10">
        <f>AtlasReport_3_Table_1[[#This Row],[Current On-hand]]-AtlasReport_3_Table_1[[#This Row],[Trans backwords (Ending)]]</f>
        <v>53332.5</v>
      </c>
    </row>
    <row r="82" spans="1:8">
      <c r="A82" s="8" t="s">
        <v>558</v>
      </c>
      <c r="B82" s="8" t="s">
        <v>371</v>
      </c>
      <c r="C82" s="8" t="s">
        <v>70</v>
      </c>
      <c r="D82" s="10">
        <v>0</v>
      </c>
      <c r="E82" s="10">
        <f>_xll.AtlasFormulas.AtlasFunctions.AtlasBalance("PROD",DataAreaId,"T.InventTrans|inventDimId~inventDimId@T.InventDim","Sum|Qty|0","","","","","","","DateFinancial|ItemId|T2.InventSiteId|T2.InventLocationId",PeriodBeginning,$A82,$B82,$C82)</f>
        <v>0</v>
      </c>
      <c r="F82" s="10">
        <f>_xll.AtlasFormulas.AtlasFunctions.AtlasBalance("PROD",DataAreaId,"T.InventTrans|inventDimId~inventDimId@T.InventDim","Sum|Qty|0","","","","","","","DateFinancial|ItemId|T2.InventSiteId|T2.InventLocationId",PeriodEnding,$A82,$B82,$C82)</f>
        <v>0</v>
      </c>
      <c r="G82" s="10">
        <f>AtlasReport_3_Table_1[[#This Row],[Current On-hand]]-AtlasReport_3_Table_1[[#This Row],[Trans backwords (Beginning)]]</f>
        <v>0</v>
      </c>
      <c r="H82" s="10">
        <f>AtlasReport_3_Table_1[[#This Row],[Current On-hand]]-AtlasReport_3_Table_1[[#This Row],[Trans backwords (Ending)]]</f>
        <v>0</v>
      </c>
    </row>
    <row r="83" spans="1:8">
      <c r="A83" s="8" t="s">
        <v>558</v>
      </c>
      <c r="B83" s="8" t="s">
        <v>371</v>
      </c>
      <c r="C83" s="8" t="s">
        <v>372</v>
      </c>
      <c r="D83" s="10">
        <v>0</v>
      </c>
      <c r="E83" s="10">
        <f>_xll.AtlasFormulas.AtlasFunctions.AtlasBalance("PROD",DataAreaId,"T.InventTrans|inventDimId~inventDimId@T.InventDim","Sum|Qty|0","","","","","","","DateFinancial|ItemId|T2.InventSiteId|T2.InventLocationId",PeriodBeginning,$A83,$B83,$C83)</f>
        <v>0</v>
      </c>
      <c r="F83" s="10">
        <f>_xll.AtlasFormulas.AtlasFunctions.AtlasBalance("PROD",DataAreaId,"T.InventTrans|inventDimId~inventDimId@T.InventDim","Sum|Qty|0","","","","","","","DateFinancial|ItemId|T2.InventSiteId|T2.InventLocationId",PeriodEnding,$A83,$B83,$C83)</f>
        <v>0</v>
      </c>
      <c r="G83" s="10">
        <f>AtlasReport_3_Table_1[[#This Row],[Current On-hand]]-AtlasReport_3_Table_1[[#This Row],[Trans backwords (Beginning)]]</f>
        <v>0</v>
      </c>
      <c r="H83" s="10">
        <f>AtlasReport_3_Table_1[[#This Row],[Current On-hand]]-AtlasReport_3_Table_1[[#This Row],[Trans backwords (Ending)]]</f>
        <v>0</v>
      </c>
    </row>
    <row r="84" spans="1:8">
      <c r="A84" s="8" t="s">
        <v>560</v>
      </c>
      <c r="B84" s="8" t="s">
        <v>371</v>
      </c>
      <c r="C84" s="8" t="s">
        <v>70</v>
      </c>
      <c r="D84" s="10">
        <v>0</v>
      </c>
      <c r="E84" s="10">
        <f>_xll.AtlasFormulas.AtlasFunctions.AtlasBalance("PROD",DataAreaId,"T.InventTrans|inventDimId~inventDimId@T.InventDim","Sum|Qty|0","","","","","","","DateFinancial|ItemId|T2.InventSiteId|T2.InventLocationId",PeriodBeginning,$A84,$B84,$C84)</f>
        <v>0</v>
      </c>
      <c r="F84" s="10">
        <f>_xll.AtlasFormulas.AtlasFunctions.AtlasBalance("PROD",DataAreaId,"T.InventTrans|inventDimId~inventDimId@T.InventDim","Sum|Qty|0","","","","","","","DateFinancial|ItemId|T2.InventSiteId|T2.InventLocationId",PeriodEnding,$A84,$B84,$C84)</f>
        <v>0</v>
      </c>
      <c r="G84" s="10">
        <f>AtlasReport_3_Table_1[[#This Row],[Current On-hand]]-AtlasReport_3_Table_1[[#This Row],[Trans backwords (Beginning)]]</f>
        <v>0</v>
      </c>
      <c r="H84" s="10">
        <f>AtlasReport_3_Table_1[[#This Row],[Current On-hand]]-AtlasReport_3_Table_1[[#This Row],[Trans backwords (Ending)]]</f>
        <v>0</v>
      </c>
    </row>
    <row r="85" spans="1:8">
      <c r="A85" s="8" t="s">
        <v>560</v>
      </c>
      <c r="B85" s="8" t="s">
        <v>371</v>
      </c>
      <c r="C85" s="8" t="s">
        <v>372</v>
      </c>
      <c r="D85" s="10">
        <v>0</v>
      </c>
      <c r="E85" s="10">
        <f>_xll.AtlasFormulas.AtlasFunctions.AtlasBalance("PROD",DataAreaId,"T.InventTrans|inventDimId~inventDimId@T.InventDim","Sum|Qty|0","","","","","","","DateFinancial|ItemId|T2.InventSiteId|T2.InventLocationId",PeriodBeginning,$A85,$B85,$C85)</f>
        <v>0</v>
      </c>
      <c r="F85" s="10">
        <f>_xll.AtlasFormulas.AtlasFunctions.AtlasBalance("PROD",DataAreaId,"T.InventTrans|inventDimId~inventDimId@T.InventDim","Sum|Qty|0","","","","","","","DateFinancial|ItemId|T2.InventSiteId|T2.InventLocationId",PeriodEnding,$A85,$B85,$C85)</f>
        <v>0</v>
      </c>
      <c r="G85" s="10">
        <f>AtlasReport_3_Table_1[[#This Row],[Current On-hand]]-AtlasReport_3_Table_1[[#This Row],[Trans backwords (Beginning)]]</f>
        <v>0</v>
      </c>
      <c r="H85" s="10">
        <f>AtlasReport_3_Table_1[[#This Row],[Current On-hand]]-AtlasReport_3_Table_1[[#This Row],[Trans backwords (Ending)]]</f>
        <v>0</v>
      </c>
    </row>
    <row r="86" spans="1:8">
      <c r="A86" s="8" t="s">
        <v>562</v>
      </c>
      <c r="B86" s="8" t="s">
        <v>371</v>
      </c>
      <c r="C86" s="8" t="s">
        <v>372</v>
      </c>
      <c r="D86" s="10">
        <v>0</v>
      </c>
      <c r="E86" s="10">
        <f>_xll.AtlasFormulas.AtlasFunctions.AtlasBalance("PROD",DataAreaId,"T.InventTrans|inventDimId~inventDimId@T.InventDim","Sum|Qty|0","","","","","","","DateFinancial|ItemId|T2.InventSiteId|T2.InventLocationId",PeriodBeginning,$A86,$B86,$C86)</f>
        <v>0</v>
      </c>
      <c r="F86" s="10">
        <f>_xll.AtlasFormulas.AtlasFunctions.AtlasBalance("PROD",DataAreaId,"T.InventTrans|inventDimId~inventDimId@T.InventDim","Sum|Qty|0","","","","","","","DateFinancial|ItemId|T2.InventSiteId|T2.InventLocationId",PeriodEnding,$A86,$B86,$C86)</f>
        <v>0</v>
      </c>
      <c r="G86" s="10">
        <f>AtlasReport_3_Table_1[[#This Row],[Current On-hand]]-AtlasReport_3_Table_1[[#This Row],[Trans backwords (Beginning)]]</f>
        <v>0</v>
      </c>
      <c r="H86" s="10">
        <f>AtlasReport_3_Table_1[[#This Row],[Current On-hand]]-AtlasReport_3_Table_1[[#This Row],[Trans backwords (Ending)]]</f>
        <v>0</v>
      </c>
    </row>
    <row r="87" spans="1:8">
      <c r="A87" s="8" t="s">
        <v>48</v>
      </c>
      <c r="B87" s="8" t="s">
        <v>371</v>
      </c>
      <c r="C87" s="8" t="s">
        <v>372</v>
      </c>
      <c r="D87" s="10">
        <v>450</v>
      </c>
      <c r="E87" s="10">
        <f>_xll.AtlasFormulas.AtlasFunctions.AtlasBalance("PROD",DataAreaId,"T.InventTrans|inventDimId~inventDimId@T.InventDim","Sum|Qty|0","","","","","","","DateFinancial|ItemId|T2.InventSiteId|T2.InventLocationId",PeriodBeginning,$A87,$B87,$C87)</f>
        <v>450</v>
      </c>
      <c r="F87" s="10">
        <f>_xll.AtlasFormulas.AtlasFunctions.AtlasBalance("PROD",DataAreaId,"T.InventTrans|inventDimId~inventDimId@T.InventDim","Sum|Qty|0","","","","","","","DateFinancial|ItemId|T2.InventSiteId|T2.InventLocationId",PeriodEnding,$A87,$B87,$C87)</f>
        <v>0</v>
      </c>
      <c r="G87" s="10">
        <f>AtlasReport_3_Table_1[[#This Row],[Current On-hand]]-AtlasReport_3_Table_1[[#This Row],[Trans backwords (Beginning)]]</f>
        <v>0</v>
      </c>
      <c r="H87" s="10">
        <f>AtlasReport_3_Table_1[[#This Row],[Current On-hand]]-AtlasReport_3_Table_1[[#This Row],[Trans backwords (Ending)]]</f>
        <v>450</v>
      </c>
    </row>
    <row r="88" spans="1:8">
      <c r="A88" s="8" t="s">
        <v>22</v>
      </c>
      <c r="B88" s="8" t="s">
        <v>371</v>
      </c>
      <c r="C88" s="8" t="s">
        <v>70</v>
      </c>
      <c r="D88" s="10">
        <v>0</v>
      </c>
      <c r="E88" s="10">
        <f>_xll.AtlasFormulas.AtlasFunctions.AtlasBalance("PROD",DataAreaId,"T.InventTrans|inventDimId~inventDimId@T.InventDim","Sum|Qty|0","","","","","","","DateFinancial|ItemId|T2.InventSiteId|T2.InventLocationId",PeriodBeginning,$A88,$B88,$C88)</f>
        <v>0</v>
      </c>
      <c r="F88" s="10">
        <f>_xll.AtlasFormulas.AtlasFunctions.AtlasBalance("PROD",DataAreaId,"T.InventTrans|inventDimId~inventDimId@T.InventDim","Sum|Qty|0","","","","","","","DateFinancial|ItemId|T2.InventSiteId|T2.InventLocationId",PeriodEnding,$A88,$B88,$C88)</f>
        <v>0</v>
      </c>
      <c r="G88" s="10">
        <f>AtlasReport_3_Table_1[[#This Row],[Current On-hand]]-AtlasReport_3_Table_1[[#This Row],[Trans backwords (Beginning)]]</f>
        <v>0</v>
      </c>
      <c r="H88" s="10">
        <f>AtlasReport_3_Table_1[[#This Row],[Current On-hand]]-AtlasReport_3_Table_1[[#This Row],[Trans backwords (Ending)]]</f>
        <v>0</v>
      </c>
    </row>
    <row r="89" spans="1:8">
      <c r="A89" s="8" t="s">
        <v>22</v>
      </c>
      <c r="B89" s="8" t="s">
        <v>371</v>
      </c>
      <c r="C89" s="8" t="s">
        <v>372</v>
      </c>
      <c r="D89" s="10">
        <v>495.96000000000004</v>
      </c>
      <c r="E89" s="10">
        <f>_xll.AtlasFormulas.AtlasFunctions.AtlasBalance("PROD",DataAreaId,"T.InventTrans|inventDimId~inventDimId@T.InventDim","Sum|Qty|0","","","","","","","DateFinancial|ItemId|T2.InventSiteId|T2.InventLocationId",PeriodBeginning,$A89,$B89,$C89)</f>
        <v>300</v>
      </c>
      <c r="F89" s="10">
        <f>_xll.AtlasFormulas.AtlasFunctions.AtlasBalance("PROD",DataAreaId,"T.InventTrans|inventDimId~inventDimId@T.InventDim","Sum|Qty|0","","","","","","","DateFinancial|ItemId|T2.InventSiteId|T2.InventLocationId",PeriodEnding,$A89,$B89,$C89)</f>
        <v>0</v>
      </c>
      <c r="G89" s="10">
        <f>AtlasReport_3_Table_1[[#This Row],[Current On-hand]]-AtlasReport_3_Table_1[[#This Row],[Trans backwords (Beginning)]]</f>
        <v>195.96000000000004</v>
      </c>
      <c r="H89" s="10">
        <f>AtlasReport_3_Table_1[[#This Row],[Current On-hand]]-AtlasReport_3_Table_1[[#This Row],[Trans backwords (Ending)]]</f>
        <v>495.96000000000004</v>
      </c>
    </row>
    <row r="90" spans="1:8">
      <c r="A90" s="8" t="s">
        <v>62</v>
      </c>
      <c r="B90" s="8" t="s">
        <v>371</v>
      </c>
      <c r="C90" s="8" t="s">
        <v>70</v>
      </c>
      <c r="D90" s="10">
        <v>0</v>
      </c>
      <c r="E90" s="10">
        <f>_xll.AtlasFormulas.AtlasFunctions.AtlasBalance("PROD",DataAreaId,"T.InventTrans|inventDimId~inventDimId@T.InventDim","Sum|Qty|0","","","","","","","DateFinancial|ItemId|T2.InventSiteId|T2.InventLocationId",PeriodBeginning,$A90,$B90,$C90)</f>
        <v>0</v>
      </c>
      <c r="F90" s="10">
        <f>_xll.AtlasFormulas.AtlasFunctions.AtlasBalance("PROD",DataAreaId,"T.InventTrans|inventDimId~inventDimId@T.InventDim","Sum|Qty|0","","","","","","","DateFinancial|ItemId|T2.InventSiteId|T2.InventLocationId",PeriodEnding,$A90,$B90,$C90)</f>
        <v>0</v>
      </c>
      <c r="G90" s="10">
        <f>AtlasReport_3_Table_1[[#This Row],[Current On-hand]]-AtlasReport_3_Table_1[[#This Row],[Trans backwords (Beginning)]]</f>
        <v>0</v>
      </c>
      <c r="H90" s="10">
        <f>AtlasReport_3_Table_1[[#This Row],[Current On-hand]]-AtlasReport_3_Table_1[[#This Row],[Trans backwords (Ending)]]</f>
        <v>0</v>
      </c>
    </row>
    <row r="91" spans="1:8">
      <c r="A91" s="8" t="s">
        <v>62</v>
      </c>
      <c r="B91" s="8" t="s">
        <v>371</v>
      </c>
      <c r="C91" s="8" t="s">
        <v>372</v>
      </c>
      <c r="D91" s="10">
        <v>0</v>
      </c>
      <c r="E91" s="10">
        <f>_xll.AtlasFormulas.AtlasFunctions.AtlasBalance("PROD",DataAreaId,"T.InventTrans|inventDimId~inventDimId@T.InventDim","Sum|Qty|0","","","","","","","DateFinancial|ItemId|T2.InventSiteId|T2.InventLocationId",PeriodBeginning,$A91,$B91,$C91)</f>
        <v>0</v>
      </c>
      <c r="F91" s="10">
        <f>_xll.AtlasFormulas.AtlasFunctions.AtlasBalance("PROD",DataAreaId,"T.InventTrans|inventDimId~inventDimId@T.InventDim","Sum|Qty|0","","","","","","","DateFinancial|ItemId|T2.InventSiteId|T2.InventLocationId",PeriodEnding,$A91,$B91,$C91)</f>
        <v>0</v>
      </c>
      <c r="G91" s="10">
        <f>AtlasReport_3_Table_1[[#This Row],[Current On-hand]]-AtlasReport_3_Table_1[[#This Row],[Trans backwords (Beginning)]]</f>
        <v>0</v>
      </c>
      <c r="H91" s="10">
        <f>AtlasReport_3_Table_1[[#This Row],[Current On-hand]]-AtlasReport_3_Table_1[[#This Row],[Trans backwords (Ending)]]</f>
        <v>0</v>
      </c>
    </row>
    <row r="92" spans="1:8">
      <c r="A92" s="8" t="s">
        <v>63</v>
      </c>
      <c r="B92" s="8" t="s">
        <v>371</v>
      </c>
      <c r="C92" s="8" t="s">
        <v>70</v>
      </c>
      <c r="D92" s="10">
        <v>0</v>
      </c>
      <c r="E92" s="10">
        <f>_xll.AtlasFormulas.AtlasFunctions.AtlasBalance("PROD",DataAreaId,"T.InventTrans|inventDimId~inventDimId@T.InventDim","Sum|Qty|0","","","","","","","DateFinancial|ItemId|T2.InventSiteId|T2.InventLocationId",PeriodBeginning,$A92,$B92,$C92)</f>
        <v>0</v>
      </c>
      <c r="F92" s="10">
        <f>_xll.AtlasFormulas.AtlasFunctions.AtlasBalance("PROD",DataAreaId,"T.InventTrans|inventDimId~inventDimId@T.InventDim","Sum|Qty|0","","","","","","","DateFinancial|ItemId|T2.InventSiteId|T2.InventLocationId",PeriodEnding,$A92,$B92,$C92)</f>
        <v>0</v>
      </c>
      <c r="G92" s="10">
        <f>AtlasReport_3_Table_1[[#This Row],[Current On-hand]]-AtlasReport_3_Table_1[[#This Row],[Trans backwords (Beginning)]]</f>
        <v>0</v>
      </c>
      <c r="H92" s="10">
        <f>AtlasReport_3_Table_1[[#This Row],[Current On-hand]]-AtlasReport_3_Table_1[[#This Row],[Trans backwords (Ending)]]</f>
        <v>0</v>
      </c>
    </row>
    <row r="93" spans="1:8">
      <c r="A93" s="8" t="s">
        <v>63</v>
      </c>
      <c r="B93" s="8" t="s">
        <v>371</v>
      </c>
      <c r="C93" s="8" t="s">
        <v>372</v>
      </c>
      <c r="D93" s="10">
        <v>601.95000000000005</v>
      </c>
      <c r="E93" s="10">
        <f>_xll.AtlasFormulas.AtlasFunctions.AtlasBalance("PROD",DataAreaId,"T.InventTrans|inventDimId~inventDimId@T.InventDim","Sum|Qty|0","","","","","","","DateFinancial|ItemId|T2.InventSiteId|T2.InventLocationId",PeriodBeginning,$A93,$B93,$C93)</f>
        <v>600</v>
      </c>
      <c r="F93" s="10">
        <f>_xll.AtlasFormulas.AtlasFunctions.AtlasBalance("PROD",DataAreaId,"T.InventTrans|inventDimId~inventDimId@T.InventDim","Sum|Qty|0","","","","","","","DateFinancial|ItemId|T2.InventSiteId|T2.InventLocationId",PeriodEnding,$A93,$B93,$C93)</f>
        <v>0</v>
      </c>
      <c r="G93" s="10">
        <f>AtlasReport_3_Table_1[[#This Row],[Current On-hand]]-AtlasReport_3_Table_1[[#This Row],[Trans backwords (Beginning)]]</f>
        <v>1.9500000000000455</v>
      </c>
      <c r="H93" s="10">
        <f>AtlasReport_3_Table_1[[#This Row],[Current On-hand]]-AtlasReport_3_Table_1[[#This Row],[Trans backwords (Ending)]]</f>
        <v>601.95000000000005</v>
      </c>
    </row>
    <row r="94" spans="1:8">
      <c r="A94" s="8" t="s">
        <v>23</v>
      </c>
      <c r="B94" s="8" t="s">
        <v>371</v>
      </c>
      <c r="C94" s="8" t="s">
        <v>372</v>
      </c>
      <c r="D94" s="10">
        <v>310.8</v>
      </c>
      <c r="E94" s="10">
        <f>_xll.AtlasFormulas.AtlasFunctions.AtlasBalance("PROD",DataAreaId,"T.InventTrans|inventDimId~inventDimId@T.InventDim","Sum|Qty|0","","","","","","","DateFinancial|ItemId|T2.InventSiteId|T2.InventLocationId",PeriodBeginning,$A94,$B94,$C94)</f>
        <v>300</v>
      </c>
      <c r="F94" s="10">
        <f>_xll.AtlasFormulas.AtlasFunctions.AtlasBalance("PROD",DataAreaId,"T.InventTrans|inventDimId~inventDimId@T.InventDim","Sum|Qty|0","","","","","","","DateFinancial|ItemId|T2.InventSiteId|T2.InventLocationId",PeriodEnding,$A94,$B94,$C94)</f>
        <v>0</v>
      </c>
      <c r="G94" s="10">
        <f>AtlasReport_3_Table_1[[#This Row],[Current On-hand]]-AtlasReport_3_Table_1[[#This Row],[Trans backwords (Beginning)]]</f>
        <v>10.800000000000011</v>
      </c>
      <c r="H94" s="10">
        <f>AtlasReport_3_Table_1[[#This Row],[Current On-hand]]-AtlasReport_3_Table_1[[#This Row],[Trans backwords (Ending)]]</f>
        <v>310.8</v>
      </c>
    </row>
    <row r="95" spans="1:8">
      <c r="A95" s="8" t="s">
        <v>585</v>
      </c>
      <c r="B95" s="8" t="s">
        <v>371</v>
      </c>
      <c r="C95" s="8" t="s">
        <v>70</v>
      </c>
      <c r="D95" s="10">
        <v>0</v>
      </c>
      <c r="E95" s="10">
        <f>_xll.AtlasFormulas.AtlasFunctions.AtlasBalance("PROD",DataAreaId,"T.InventTrans|inventDimId~inventDimId@T.InventDim","Sum|Qty|0","","","","","","","DateFinancial|ItemId|T2.InventSiteId|T2.InventLocationId",PeriodBeginning,$A95,$B95,$C95)</f>
        <v>0</v>
      </c>
      <c r="F95" s="10">
        <f>_xll.AtlasFormulas.AtlasFunctions.AtlasBalance("PROD",DataAreaId,"T.InventTrans|inventDimId~inventDimId@T.InventDim","Sum|Qty|0","","","","","","","DateFinancial|ItemId|T2.InventSiteId|T2.InventLocationId",PeriodEnding,$A95,$B95,$C95)</f>
        <v>0</v>
      </c>
      <c r="G95" s="10">
        <f>AtlasReport_3_Table_1[[#This Row],[Current On-hand]]-AtlasReport_3_Table_1[[#This Row],[Trans backwords (Beginning)]]</f>
        <v>0</v>
      </c>
      <c r="H95" s="10">
        <f>AtlasReport_3_Table_1[[#This Row],[Current On-hand]]-AtlasReport_3_Table_1[[#This Row],[Trans backwords (Ending)]]</f>
        <v>0</v>
      </c>
    </row>
    <row r="96" spans="1:8">
      <c r="A96" s="8" t="s">
        <v>585</v>
      </c>
      <c r="B96" s="8" t="s">
        <v>371</v>
      </c>
      <c r="C96" s="8" t="s">
        <v>372</v>
      </c>
      <c r="D96" s="10">
        <v>0</v>
      </c>
      <c r="E96" s="10">
        <f>_xll.AtlasFormulas.AtlasFunctions.AtlasBalance("PROD",DataAreaId,"T.InventTrans|inventDimId~inventDimId@T.InventDim","Sum|Qty|0","","","","","","","DateFinancial|ItemId|T2.InventSiteId|T2.InventLocationId",PeriodBeginning,$A96,$B96,$C96)</f>
        <v>0</v>
      </c>
      <c r="F96" s="10">
        <f>_xll.AtlasFormulas.AtlasFunctions.AtlasBalance("PROD",DataAreaId,"T.InventTrans|inventDimId~inventDimId@T.InventDim","Sum|Qty|0","","","","","","","DateFinancial|ItemId|T2.InventSiteId|T2.InventLocationId",PeriodEnding,$A96,$B96,$C96)</f>
        <v>0</v>
      </c>
      <c r="G96" s="10">
        <f>AtlasReport_3_Table_1[[#This Row],[Current On-hand]]-AtlasReport_3_Table_1[[#This Row],[Trans backwords (Beginning)]]</f>
        <v>0</v>
      </c>
      <c r="H96" s="10">
        <f>AtlasReport_3_Table_1[[#This Row],[Current On-hand]]-AtlasReport_3_Table_1[[#This Row],[Trans backwords (Ending)]]</f>
        <v>0</v>
      </c>
    </row>
    <row r="97" spans="1:8">
      <c r="A97" s="8" t="s">
        <v>344</v>
      </c>
      <c r="B97" s="8" t="s">
        <v>371</v>
      </c>
      <c r="C97" s="8" t="s">
        <v>70</v>
      </c>
      <c r="D97" s="10">
        <v>0</v>
      </c>
      <c r="E97" s="10">
        <f>_xll.AtlasFormulas.AtlasFunctions.AtlasBalance("PROD",DataAreaId,"T.InventTrans|inventDimId~inventDimId@T.InventDim","Sum|Qty|0","","","","","","","DateFinancial|ItemId|T2.InventSiteId|T2.InventLocationId",PeriodBeginning,$A97,$B97,$C97)</f>
        <v>0</v>
      </c>
      <c r="F97" s="10">
        <f>_xll.AtlasFormulas.AtlasFunctions.AtlasBalance("PROD",DataAreaId,"T.InventTrans|inventDimId~inventDimId@T.InventDim","Sum|Qty|0","","","","","","","DateFinancial|ItemId|T2.InventSiteId|T2.InventLocationId",PeriodEnding,$A97,$B97,$C97)</f>
        <v>0</v>
      </c>
      <c r="G97" s="10">
        <f>AtlasReport_3_Table_1[[#This Row],[Current On-hand]]-AtlasReport_3_Table_1[[#This Row],[Trans backwords (Beginning)]]</f>
        <v>0</v>
      </c>
      <c r="H97" s="10">
        <f>AtlasReport_3_Table_1[[#This Row],[Current On-hand]]-AtlasReport_3_Table_1[[#This Row],[Trans backwords (Ending)]]</f>
        <v>0</v>
      </c>
    </row>
    <row r="98" spans="1:8">
      <c r="A98" s="8" t="s">
        <v>344</v>
      </c>
      <c r="B98" s="8" t="s">
        <v>371</v>
      </c>
      <c r="C98" s="8" t="s">
        <v>372</v>
      </c>
      <c r="D98" s="10">
        <v>0</v>
      </c>
      <c r="E98" s="10">
        <f>_xll.AtlasFormulas.AtlasFunctions.AtlasBalance("PROD",DataAreaId,"T.InventTrans|inventDimId~inventDimId@T.InventDim","Sum|Qty|0","","","","","","","DateFinancial|ItemId|T2.InventSiteId|T2.InventLocationId",PeriodBeginning,$A98,$B98,$C98)</f>
        <v>0</v>
      </c>
      <c r="F98" s="10">
        <f>_xll.AtlasFormulas.AtlasFunctions.AtlasBalance("PROD",DataAreaId,"T.InventTrans|inventDimId~inventDimId@T.InventDim","Sum|Qty|0","","","","","","","DateFinancial|ItemId|T2.InventSiteId|T2.InventLocationId",PeriodEnding,$A98,$B98,$C98)</f>
        <v>0</v>
      </c>
      <c r="G98" s="10">
        <f>AtlasReport_3_Table_1[[#This Row],[Current On-hand]]-AtlasReport_3_Table_1[[#This Row],[Trans backwords (Beginning)]]</f>
        <v>0</v>
      </c>
      <c r="H98" s="10">
        <f>AtlasReport_3_Table_1[[#This Row],[Current On-hand]]-AtlasReport_3_Table_1[[#This Row],[Trans backwords (Ending)]]</f>
        <v>0</v>
      </c>
    </row>
    <row r="99" spans="1:8">
      <c r="A99" s="8" t="s">
        <v>353</v>
      </c>
      <c r="B99" s="8" t="s">
        <v>371</v>
      </c>
      <c r="C99" s="8" t="s">
        <v>70</v>
      </c>
      <c r="D99" s="10">
        <v>0</v>
      </c>
      <c r="E99" s="10">
        <f>_xll.AtlasFormulas.AtlasFunctions.AtlasBalance("PROD",DataAreaId,"T.InventTrans|inventDimId~inventDimId@T.InventDim","Sum|Qty|0","","","","","","","DateFinancial|ItemId|T2.InventSiteId|T2.InventLocationId",PeriodBeginning,$A99,$B99,$C99)</f>
        <v>0</v>
      </c>
      <c r="F99" s="10">
        <f>_xll.AtlasFormulas.AtlasFunctions.AtlasBalance("PROD",DataAreaId,"T.InventTrans|inventDimId~inventDimId@T.InventDim","Sum|Qty|0","","","","","","","DateFinancial|ItemId|T2.InventSiteId|T2.InventLocationId",PeriodEnding,$A99,$B99,$C99)</f>
        <v>0</v>
      </c>
      <c r="G99" s="10">
        <f>AtlasReport_3_Table_1[[#This Row],[Current On-hand]]-AtlasReport_3_Table_1[[#This Row],[Trans backwords (Beginning)]]</f>
        <v>0</v>
      </c>
      <c r="H99" s="10">
        <f>AtlasReport_3_Table_1[[#This Row],[Current On-hand]]-AtlasReport_3_Table_1[[#This Row],[Trans backwords (Ending)]]</f>
        <v>0</v>
      </c>
    </row>
    <row r="100" spans="1:8">
      <c r="A100" s="8" t="s">
        <v>353</v>
      </c>
      <c r="B100" s="8" t="s">
        <v>371</v>
      </c>
      <c r="C100" s="8" t="s">
        <v>372</v>
      </c>
      <c r="D100" s="10">
        <v>270</v>
      </c>
      <c r="E100" s="10">
        <f>_xll.AtlasFormulas.AtlasFunctions.AtlasBalance("PROD",DataAreaId,"T.InventTrans|inventDimId~inventDimId@T.InventDim","Sum|Qty|0","","","","","","","DateFinancial|ItemId|T2.InventSiteId|T2.InventLocationId",PeriodBeginning,$A100,$B100,$C100)</f>
        <v>0</v>
      </c>
      <c r="F100" s="10">
        <f>_xll.AtlasFormulas.AtlasFunctions.AtlasBalance("PROD",DataAreaId,"T.InventTrans|inventDimId~inventDimId@T.InventDim","Sum|Qty|0","","","","","","","DateFinancial|ItemId|T2.InventSiteId|T2.InventLocationId",PeriodEnding,$A100,$B100,$C100)</f>
        <v>0</v>
      </c>
      <c r="G100" s="10">
        <f>AtlasReport_3_Table_1[[#This Row],[Current On-hand]]-AtlasReport_3_Table_1[[#This Row],[Trans backwords (Beginning)]]</f>
        <v>270</v>
      </c>
      <c r="H100" s="10">
        <f>AtlasReport_3_Table_1[[#This Row],[Current On-hand]]-AtlasReport_3_Table_1[[#This Row],[Trans backwords (Ending)]]</f>
        <v>270</v>
      </c>
    </row>
    <row r="101" spans="1:8">
      <c r="A101" s="8" t="s">
        <v>15</v>
      </c>
      <c r="B101" s="8" t="s">
        <v>371</v>
      </c>
      <c r="C101" s="8" t="s">
        <v>70</v>
      </c>
      <c r="D101" s="10">
        <v>0</v>
      </c>
      <c r="E101" s="10">
        <f>_xll.AtlasFormulas.AtlasFunctions.AtlasBalance("PROD",DataAreaId,"T.InventTrans|inventDimId~inventDimId@T.InventDim","Sum|Qty|0","","","","","","","DateFinancial|ItemId|T2.InventSiteId|T2.InventLocationId",PeriodBeginning,$A101,$B101,$C101)</f>
        <v>0</v>
      </c>
      <c r="F101" s="10">
        <f>_xll.AtlasFormulas.AtlasFunctions.AtlasBalance("PROD",DataAreaId,"T.InventTrans|inventDimId~inventDimId@T.InventDim","Sum|Qty|0","","","","","","","DateFinancial|ItemId|T2.InventSiteId|T2.InventLocationId",PeriodEnding,$A101,$B101,$C101)</f>
        <v>0</v>
      </c>
      <c r="G101" s="10">
        <f>AtlasReport_3_Table_1[[#This Row],[Current On-hand]]-AtlasReport_3_Table_1[[#This Row],[Trans backwords (Beginning)]]</f>
        <v>0</v>
      </c>
      <c r="H101" s="10">
        <f>AtlasReport_3_Table_1[[#This Row],[Current On-hand]]-AtlasReport_3_Table_1[[#This Row],[Trans backwords (Ending)]]</f>
        <v>0</v>
      </c>
    </row>
    <row r="102" spans="1:8">
      <c r="A102" s="8" t="s">
        <v>15</v>
      </c>
      <c r="B102" s="8" t="s">
        <v>371</v>
      </c>
      <c r="C102" s="8" t="s">
        <v>372</v>
      </c>
      <c r="D102" s="10">
        <v>18915</v>
      </c>
      <c r="E102" s="10">
        <f>_xll.AtlasFormulas.AtlasFunctions.AtlasBalance("PROD",DataAreaId,"T.InventTrans|inventDimId~inventDimId@T.InventDim","Sum|Qty|0","","","","","","","DateFinancial|ItemId|T2.InventSiteId|T2.InventLocationId",PeriodBeginning,$A102,$B102,$C102)</f>
        <v>11640</v>
      </c>
      <c r="F102" s="10">
        <f>_xll.AtlasFormulas.AtlasFunctions.AtlasBalance("PROD",DataAreaId,"T.InventTrans|inventDimId~inventDimId@T.InventDim","Sum|Qty|0","","","","","","","DateFinancial|ItemId|T2.InventSiteId|T2.InventLocationId",PeriodEnding,$A102,$B102,$C102)</f>
        <v>0</v>
      </c>
      <c r="G102" s="10">
        <f>AtlasReport_3_Table_1[[#This Row],[Current On-hand]]-AtlasReport_3_Table_1[[#This Row],[Trans backwords (Beginning)]]</f>
        <v>7275</v>
      </c>
      <c r="H102" s="10">
        <f>AtlasReport_3_Table_1[[#This Row],[Current On-hand]]-AtlasReport_3_Table_1[[#This Row],[Trans backwords (Ending)]]</f>
        <v>18915</v>
      </c>
    </row>
    <row r="103" spans="1:8">
      <c r="A103" s="8" t="s">
        <v>337</v>
      </c>
      <c r="B103" s="8" t="s">
        <v>371</v>
      </c>
      <c r="C103" s="8" t="s">
        <v>70</v>
      </c>
      <c r="D103" s="10">
        <v>0</v>
      </c>
      <c r="E103" s="10">
        <f>_xll.AtlasFormulas.AtlasFunctions.AtlasBalance("PROD",DataAreaId,"T.InventTrans|inventDimId~inventDimId@T.InventDim","Sum|Qty|0","","","","","","","DateFinancial|ItemId|T2.InventSiteId|T2.InventLocationId",PeriodBeginning,$A103,$B103,$C103)</f>
        <v>0</v>
      </c>
      <c r="F103" s="10">
        <f>_xll.AtlasFormulas.AtlasFunctions.AtlasBalance("PROD",DataAreaId,"T.InventTrans|inventDimId~inventDimId@T.InventDim","Sum|Qty|0","","","","","","","DateFinancial|ItemId|T2.InventSiteId|T2.InventLocationId",PeriodEnding,$A103,$B103,$C103)</f>
        <v>0</v>
      </c>
      <c r="G103" s="10">
        <f>AtlasReport_3_Table_1[[#This Row],[Current On-hand]]-AtlasReport_3_Table_1[[#This Row],[Trans backwords (Beginning)]]</f>
        <v>0</v>
      </c>
      <c r="H103" s="10">
        <f>AtlasReport_3_Table_1[[#This Row],[Current On-hand]]-AtlasReport_3_Table_1[[#This Row],[Trans backwords (Ending)]]</f>
        <v>0</v>
      </c>
    </row>
    <row r="104" spans="1:8">
      <c r="A104" s="8" t="s">
        <v>337</v>
      </c>
      <c r="B104" s="8" t="s">
        <v>371</v>
      </c>
      <c r="C104" s="8" t="s">
        <v>372</v>
      </c>
      <c r="D104" s="10">
        <v>6984</v>
      </c>
      <c r="E104" s="10">
        <f>_xll.AtlasFormulas.AtlasFunctions.AtlasBalance("PROD",DataAreaId,"T.InventTrans|inventDimId~inventDimId@T.InventDim","Sum|Qty|0","","","","","","","DateFinancial|ItemId|T2.InventSiteId|T2.InventLocationId",PeriodBeginning,$A104,$B104,$C104)</f>
        <v>-1164</v>
      </c>
      <c r="F104" s="10">
        <f>_xll.AtlasFormulas.AtlasFunctions.AtlasBalance("PROD",DataAreaId,"T.InventTrans|inventDimId~inventDimId@T.InventDim","Sum|Qty|0","","","","","","","DateFinancial|ItemId|T2.InventSiteId|T2.InventLocationId",PeriodEnding,$A104,$B104,$C104)</f>
        <v>0</v>
      </c>
      <c r="G104" s="10">
        <f>AtlasReport_3_Table_1[[#This Row],[Current On-hand]]-AtlasReport_3_Table_1[[#This Row],[Trans backwords (Beginning)]]</f>
        <v>8148</v>
      </c>
      <c r="H104" s="10">
        <f>AtlasReport_3_Table_1[[#This Row],[Current On-hand]]-AtlasReport_3_Table_1[[#This Row],[Trans backwords (Ending)]]</f>
        <v>6984</v>
      </c>
    </row>
    <row r="105" spans="1:8">
      <c r="A105" s="8" t="s">
        <v>337</v>
      </c>
      <c r="B105" s="8" t="s">
        <v>371</v>
      </c>
      <c r="C105" s="8" t="s">
        <v>748</v>
      </c>
      <c r="D105" s="10">
        <v>0</v>
      </c>
      <c r="E105" s="10">
        <f>_xll.AtlasFormulas.AtlasFunctions.AtlasBalance("PROD",DataAreaId,"T.InventTrans|inventDimId~inventDimId@T.InventDim","Sum|Qty|0","","","","","","","DateFinancial|ItemId|T2.InventSiteId|T2.InventLocationId",PeriodBeginning,$A105,$B105,$C105)</f>
        <v>0</v>
      </c>
      <c r="F105" s="10">
        <f>_xll.AtlasFormulas.AtlasFunctions.AtlasBalance("PROD",DataAreaId,"T.InventTrans|inventDimId~inventDimId@T.InventDim","Sum|Qty|0","","","","","","","DateFinancial|ItemId|T2.InventSiteId|T2.InventLocationId",PeriodEnding,$A105,$B105,$C105)</f>
        <v>0</v>
      </c>
      <c r="G105" s="10">
        <f>AtlasReport_3_Table_1[[#This Row],[Current On-hand]]-AtlasReport_3_Table_1[[#This Row],[Trans backwords (Beginning)]]</f>
        <v>0</v>
      </c>
      <c r="H105" s="10">
        <f>AtlasReport_3_Table_1[[#This Row],[Current On-hand]]-AtlasReport_3_Table_1[[#This Row],[Trans backwords (Ending)]]</f>
        <v>0</v>
      </c>
    </row>
    <row r="106" spans="1:8">
      <c r="A106" s="8" t="s">
        <v>591</v>
      </c>
      <c r="B106" s="8" t="s">
        <v>371</v>
      </c>
      <c r="C106" s="8" t="s">
        <v>70</v>
      </c>
      <c r="D106" s="10">
        <v>0</v>
      </c>
      <c r="E106" s="10">
        <f>_xll.AtlasFormulas.AtlasFunctions.AtlasBalance("PROD",DataAreaId,"T.InventTrans|inventDimId~inventDimId@T.InventDim","Sum|Qty|0","","","","","","","DateFinancial|ItemId|T2.InventSiteId|T2.InventLocationId",PeriodBeginning,$A106,$B106,$C106)</f>
        <v>0</v>
      </c>
      <c r="F106" s="10">
        <f>_xll.AtlasFormulas.AtlasFunctions.AtlasBalance("PROD",DataAreaId,"T.InventTrans|inventDimId~inventDimId@T.InventDim","Sum|Qty|0","","","","","","","DateFinancial|ItemId|T2.InventSiteId|T2.InventLocationId",PeriodEnding,$A106,$B106,$C106)</f>
        <v>0</v>
      </c>
      <c r="G106" s="10">
        <f>AtlasReport_3_Table_1[[#This Row],[Current On-hand]]-AtlasReport_3_Table_1[[#This Row],[Trans backwords (Beginning)]]</f>
        <v>0</v>
      </c>
      <c r="H106" s="10">
        <f>AtlasReport_3_Table_1[[#This Row],[Current On-hand]]-AtlasReport_3_Table_1[[#This Row],[Trans backwords (Ending)]]</f>
        <v>0</v>
      </c>
    </row>
    <row r="107" spans="1:8">
      <c r="A107" s="8" t="s">
        <v>591</v>
      </c>
      <c r="B107" s="8" t="s">
        <v>371</v>
      </c>
      <c r="C107" s="8" t="s">
        <v>372</v>
      </c>
      <c r="D107" s="10">
        <v>25559.5</v>
      </c>
      <c r="E107" s="10">
        <f>_xll.AtlasFormulas.AtlasFunctions.AtlasBalance("PROD",DataAreaId,"T.InventTrans|inventDimId~inventDimId@T.InventDim","Sum|Qty|0","","","","","","","DateFinancial|ItemId|T2.InventSiteId|T2.InventLocationId",PeriodBeginning,$A107,$B107,$C107)</f>
        <v>10185</v>
      </c>
      <c r="F107" s="10">
        <f>_xll.AtlasFormulas.AtlasFunctions.AtlasBalance("PROD",DataAreaId,"T.InventTrans|inventDimId~inventDimId@T.InventDim","Sum|Qty|0","","","","","","","DateFinancial|ItemId|T2.InventSiteId|T2.InventLocationId",PeriodEnding,$A107,$B107,$C107)</f>
        <v>0</v>
      </c>
      <c r="G107" s="10">
        <f>AtlasReport_3_Table_1[[#This Row],[Current On-hand]]-AtlasReport_3_Table_1[[#This Row],[Trans backwords (Beginning)]]</f>
        <v>15374.5</v>
      </c>
      <c r="H107" s="10">
        <f>AtlasReport_3_Table_1[[#This Row],[Current On-hand]]-AtlasReport_3_Table_1[[#This Row],[Trans backwords (Ending)]]</f>
        <v>25559.5</v>
      </c>
    </row>
    <row r="108" spans="1:8">
      <c r="A108" s="8" t="s">
        <v>214</v>
      </c>
      <c r="B108" s="8" t="s">
        <v>371</v>
      </c>
      <c r="C108" s="8" t="s">
        <v>70</v>
      </c>
      <c r="D108" s="10">
        <v>0</v>
      </c>
      <c r="E108" s="10">
        <f>_xll.AtlasFormulas.AtlasFunctions.AtlasBalance("PROD",DataAreaId,"T.InventTrans|inventDimId~inventDimId@T.InventDim","Sum|Qty|0","","","","","","","DateFinancial|ItemId|T2.InventSiteId|T2.InventLocationId",PeriodBeginning,$A108,$B108,$C108)</f>
        <v>0</v>
      </c>
      <c r="F108" s="10">
        <f>_xll.AtlasFormulas.AtlasFunctions.AtlasBalance("PROD",DataAreaId,"T.InventTrans|inventDimId~inventDimId@T.InventDim","Sum|Qty|0","","","","","","","DateFinancial|ItemId|T2.InventSiteId|T2.InventLocationId",PeriodEnding,$A108,$B108,$C108)</f>
        <v>0</v>
      </c>
      <c r="G108" s="10">
        <f>AtlasReport_3_Table_1[[#This Row],[Current On-hand]]-AtlasReport_3_Table_1[[#This Row],[Trans backwords (Beginning)]]</f>
        <v>0</v>
      </c>
      <c r="H108" s="10">
        <f>AtlasReport_3_Table_1[[#This Row],[Current On-hand]]-AtlasReport_3_Table_1[[#This Row],[Trans backwords (Ending)]]</f>
        <v>0</v>
      </c>
    </row>
    <row r="109" spans="1:8">
      <c r="A109" s="8" t="s">
        <v>214</v>
      </c>
      <c r="B109" s="8" t="s">
        <v>371</v>
      </c>
      <c r="C109" s="8" t="s">
        <v>372</v>
      </c>
      <c r="D109" s="10">
        <v>20</v>
      </c>
      <c r="E109" s="10">
        <f>_xll.AtlasFormulas.AtlasFunctions.AtlasBalance("PROD",DataAreaId,"T.InventTrans|inventDimId~inventDimId@T.InventDim","Sum|Qty|0","","","","","","","DateFinancial|ItemId|T2.InventSiteId|T2.InventLocationId",PeriodBeginning,$A109,$B109,$C109)</f>
        <v>0</v>
      </c>
      <c r="F109" s="10">
        <f>_xll.AtlasFormulas.AtlasFunctions.AtlasBalance("PROD",DataAreaId,"T.InventTrans|inventDimId~inventDimId@T.InventDim","Sum|Qty|0","","","","","","","DateFinancial|ItemId|T2.InventSiteId|T2.InventLocationId",PeriodEnding,$A109,$B109,$C109)</f>
        <v>0</v>
      </c>
      <c r="G109" s="10">
        <f>AtlasReport_3_Table_1[[#This Row],[Current On-hand]]-AtlasReport_3_Table_1[[#This Row],[Trans backwords (Beginning)]]</f>
        <v>20</v>
      </c>
      <c r="H109" s="10">
        <f>AtlasReport_3_Table_1[[#This Row],[Current On-hand]]-AtlasReport_3_Table_1[[#This Row],[Trans backwords (Ending)]]</f>
        <v>20</v>
      </c>
    </row>
    <row r="110" spans="1:8">
      <c r="A110" s="8" t="s">
        <v>598</v>
      </c>
      <c r="B110" s="8" t="s">
        <v>371</v>
      </c>
      <c r="C110" s="8" t="s">
        <v>70</v>
      </c>
      <c r="D110" s="10">
        <v>0</v>
      </c>
      <c r="E110" s="10">
        <f>_xll.AtlasFormulas.AtlasFunctions.AtlasBalance("PROD",DataAreaId,"T.InventTrans|inventDimId~inventDimId@T.InventDim","Sum|Qty|0","","","","","","","DateFinancial|ItemId|T2.InventSiteId|T2.InventLocationId",PeriodBeginning,$A110,$B110,$C110)</f>
        <v>0</v>
      </c>
      <c r="F110" s="10">
        <f>_xll.AtlasFormulas.AtlasFunctions.AtlasBalance("PROD",DataAreaId,"T.InventTrans|inventDimId~inventDimId@T.InventDim","Sum|Qty|0","","","","","","","DateFinancial|ItemId|T2.InventSiteId|T2.InventLocationId",PeriodEnding,$A110,$B110,$C110)</f>
        <v>0</v>
      </c>
      <c r="G110" s="10">
        <f>AtlasReport_3_Table_1[[#This Row],[Current On-hand]]-AtlasReport_3_Table_1[[#This Row],[Trans backwords (Beginning)]]</f>
        <v>0</v>
      </c>
      <c r="H110" s="10">
        <f>AtlasReport_3_Table_1[[#This Row],[Current On-hand]]-AtlasReport_3_Table_1[[#This Row],[Trans backwords (Ending)]]</f>
        <v>0</v>
      </c>
    </row>
    <row r="111" spans="1:8">
      <c r="A111" s="8" t="s">
        <v>598</v>
      </c>
      <c r="B111" s="8" t="s">
        <v>371</v>
      </c>
      <c r="C111" s="8" t="s">
        <v>372</v>
      </c>
      <c r="D111" s="10">
        <v>21600</v>
      </c>
      <c r="E111" s="10">
        <f>_xll.AtlasFormulas.AtlasFunctions.AtlasBalance("PROD",DataAreaId,"T.InventTrans|inventDimId~inventDimId@T.InventDim","Sum|Qty|0","","","","","","","DateFinancial|ItemId|T2.InventSiteId|T2.InventLocationId",PeriodBeginning,$A111,$B111,$C111)</f>
        <v>0</v>
      </c>
      <c r="F111" s="10">
        <f>_xll.AtlasFormulas.AtlasFunctions.AtlasBalance("PROD",DataAreaId,"T.InventTrans|inventDimId~inventDimId@T.InventDim","Sum|Qty|0","","","","","","","DateFinancial|ItemId|T2.InventSiteId|T2.InventLocationId",PeriodEnding,$A111,$B111,$C111)</f>
        <v>0</v>
      </c>
      <c r="G111" s="10">
        <f>AtlasReport_3_Table_1[[#This Row],[Current On-hand]]-AtlasReport_3_Table_1[[#This Row],[Trans backwords (Beginning)]]</f>
        <v>21600</v>
      </c>
      <c r="H111" s="10">
        <f>AtlasReport_3_Table_1[[#This Row],[Current On-hand]]-AtlasReport_3_Table_1[[#This Row],[Trans backwords (Ending)]]</f>
        <v>21600</v>
      </c>
    </row>
    <row r="112" spans="1:8">
      <c r="A112" s="8" t="s">
        <v>167</v>
      </c>
      <c r="B112" s="8" t="s">
        <v>371</v>
      </c>
      <c r="C112" s="8" t="s">
        <v>70</v>
      </c>
      <c r="D112" s="10">
        <v>0</v>
      </c>
      <c r="E112" s="10">
        <f>_xll.AtlasFormulas.AtlasFunctions.AtlasBalance("PROD",DataAreaId,"T.InventTrans|inventDimId~inventDimId@T.InventDim","Sum|Qty|0","","","","","","","DateFinancial|ItemId|T2.InventSiteId|T2.InventLocationId",PeriodBeginning,$A112,$B112,$C112)</f>
        <v>0</v>
      </c>
      <c r="F112" s="10">
        <f>_xll.AtlasFormulas.AtlasFunctions.AtlasBalance("PROD",DataAreaId,"T.InventTrans|inventDimId~inventDimId@T.InventDim","Sum|Qty|0","","","","","","","DateFinancial|ItemId|T2.InventSiteId|T2.InventLocationId",PeriodEnding,$A112,$B112,$C112)</f>
        <v>0</v>
      </c>
      <c r="G112" s="10">
        <f>AtlasReport_3_Table_1[[#This Row],[Current On-hand]]-AtlasReport_3_Table_1[[#This Row],[Trans backwords (Beginning)]]</f>
        <v>0</v>
      </c>
      <c r="H112" s="10">
        <f>AtlasReport_3_Table_1[[#This Row],[Current On-hand]]-AtlasReport_3_Table_1[[#This Row],[Trans backwords (Ending)]]</f>
        <v>0</v>
      </c>
    </row>
    <row r="113" spans="1:8">
      <c r="A113" s="8" t="s">
        <v>167</v>
      </c>
      <c r="B113" s="8" t="s">
        <v>371</v>
      </c>
      <c r="C113" s="8" t="s">
        <v>372</v>
      </c>
      <c r="D113" s="10">
        <v>19500</v>
      </c>
      <c r="E113" s="10">
        <f>_xll.AtlasFormulas.AtlasFunctions.AtlasBalance("PROD",DataAreaId,"T.InventTrans|inventDimId~inventDimId@T.InventDim","Sum|Qty|0","","","","","","","DateFinancial|ItemId|T2.InventSiteId|T2.InventLocationId",PeriodBeginning,$A113,$B113,$C113)</f>
        <v>19500</v>
      </c>
      <c r="F113" s="10">
        <f>_xll.AtlasFormulas.AtlasFunctions.AtlasBalance("PROD",DataAreaId,"T.InventTrans|inventDimId~inventDimId@T.InventDim","Sum|Qty|0","","","","","","","DateFinancial|ItemId|T2.InventSiteId|T2.InventLocationId",PeriodEnding,$A113,$B113,$C113)</f>
        <v>0</v>
      </c>
      <c r="G113" s="10">
        <f>AtlasReport_3_Table_1[[#This Row],[Current On-hand]]-AtlasReport_3_Table_1[[#This Row],[Trans backwords (Beginning)]]</f>
        <v>0</v>
      </c>
      <c r="H113" s="10">
        <f>AtlasReport_3_Table_1[[#This Row],[Current On-hand]]-AtlasReport_3_Table_1[[#This Row],[Trans backwords (Ending)]]</f>
        <v>19500</v>
      </c>
    </row>
    <row r="114" spans="1:8">
      <c r="A114" s="8" t="s">
        <v>167</v>
      </c>
      <c r="B114" s="8" t="s">
        <v>371</v>
      </c>
      <c r="C114" s="8" t="s">
        <v>748</v>
      </c>
      <c r="D114" s="10">
        <v>0</v>
      </c>
      <c r="E114" s="10">
        <f>_xll.AtlasFormulas.AtlasFunctions.AtlasBalance("PROD",DataAreaId,"T.InventTrans|inventDimId~inventDimId@T.InventDim","Sum|Qty|0","","","","","","","DateFinancial|ItemId|T2.InventSiteId|T2.InventLocationId",PeriodBeginning,$A114,$B114,$C114)</f>
        <v>0</v>
      </c>
      <c r="F114" s="10">
        <f>_xll.AtlasFormulas.AtlasFunctions.AtlasBalance("PROD",DataAreaId,"T.InventTrans|inventDimId~inventDimId@T.InventDim","Sum|Qty|0","","","","","","","DateFinancial|ItemId|T2.InventSiteId|T2.InventLocationId",PeriodEnding,$A114,$B114,$C114)</f>
        <v>0</v>
      </c>
      <c r="G114" s="10">
        <f>AtlasReport_3_Table_1[[#This Row],[Current On-hand]]-AtlasReport_3_Table_1[[#This Row],[Trans backwords (Beginning)]]</f>
        <v>0</v>
      </c>
      <c r="H114" s="10">
        <f>AtlasReport_3_Table_1[[#This Row],[Current On-hand]]-AtlasReport_3_Table_1[[#This Row],[Trans backwords (Ending)]]</f>
        <v>0</v>
      </c>
    </row>
    <row r="115" spans="1:8">
      <c r="A115" s="8" t="s">
        <v>599</v>
      </c>
      <c r="B115" s="8" t="s">
        <v>371</v>
      </c>
      <c r="C115" s="8" t="s">
        <v>70</v>
      </c>
      <c r="D115" s="10">
        <v>0</v>
      </c>
      <c r="E115" s="10">
        <f>_xll.AtlasFormulas.AtlasFunctions.AtlasBalance("PROD",DataAreaId,"T.InventTrans|inventDimId~inventDimId@T.InventDim","Sum|Qty|0","","","","","","","DateFinancial|ItemId|T2.InventSiteId|T2.InventLocationId",PeriodBeginning,$A115,$B115,$C115)</f>
        <v>0</v>
      </c>
      <c r="F115" s="10">
        <f>_xll.AtlasFormulas.AtlasFunctions.AtlasBalance("PROD",DataAreaId,"T.InventTrans|inventDimId~inventDimId@T.InventDim","Sum|Qty|0","","","","","","","DateFinancial|ItemId|T2.InventSiteId|T2.InventLocationId",PeriodEnding,$A115,$B115,$C115)</f>
        <v>0</v>
      </c>
      <c r="G115" s="10">
        <f>AtlasReport_3_Table_1[[#This Row],[Current On-hand]]-AtlasReport_3_Table_1[[#This Row],[Trans backwords (Beginning)]]</f>
        <v>0</v>
      </c>
      <c r="H115" s="10">
        <f>AtlasReport_3_Table_1[[#This Row],[Current On-hand]]-AtlasReport_3_Table_1[[#This Row],[Trans backwords (Ending)]]</f>
        <v>0</v>
      </c>
    </row>
    <row r="116" spans="1:8">
      <c r="A116" s="8" t="s">
        <v>599</v>
      </c>
      <c r="B116" s="8" t="s">
        <v>371</v>
      </c>
      <c r="C116" s="8" t="s">
        <v>372</v>
      </c>
      <c r="D116" s="10">
        <v>12750</v>
      </c>
      <c r="E116" s="10">
        <f>_xll.AtlasFormulas.AtlasFunctions.AtlasBalance("PROD",DataAreaId,"T.InventTrans|inventDimId~inventDimId@T.InventDim","Sum|Qty|0","","","","","","","DateFinancial|ItemId|T2.InventSiteId|T2.InventLocationId",PeriodBeginning,$A116,$B116,$C116)</f>
        <v>-4500</v>
      </c>
      <c r="F116" s="10">
        <f>_xll.AtlasFormulas.AtlasFunctions.AtlasBalance("PROD",DataAreaId,"T.InventTrans|inventDimId~inventDimId@T.InventDim","Sum|Qty|0","","","","","","","DateFinancial|ItemId|T2.InventSiteId|T2.InventLocationId",PeriodEnding,$A116,$B116,$C116)</f>
        <v>0</v>
      </c>
      <c r="G116" s="10">
        <f>AtlasReport_3_Table_1[[#This Row],[Current On-hand]]-AtlasReport_3_Table_1[[#This Row],[Trans backwords (Beginning)]]</f>
        <v>17250</v>
      </c>
      <c r="H116" s="10">
        <f>AtlasReport_3_Table_1[[#This Row],[Current On-hand]]-AtlasReport_3_Table_1[[#This Row],[Trans backwords (Ending)]]</f>
        <v>12750</v>
      </c>
    </row>
    <row r="117" spans="1:8">
      <c r="A117" s="8" t="s">
        <v>599</v>
      </c>
      <c r="B117" s="8" t="s">
        <v>371</v>
      </c>
      <c r="C117" s="8" t="s">
        <v>748</v>
      </c>
      <c r="D117" s="10">
        <v>0</v>
      </c>
      <c r="E117" s="10">
        <f>_xll.AtlasFormulas.AtlasFunctions.AtlasBalance("PROD",DataAreaId,"T.InventTrans|inventDimId~inventDimId@T.InventDim","Sum|Qty|0","","","","","","","DateFinancial|ItemId|T2.InventSiteId|T2.InventLocationId",PeriodBeginning,$A117,$B117,$C117)</f>
        <v>0</v>
      </c>
      <c r="F117" s="10">
        <f>_xll.AtlasFormulas.AtlasFunctions.AtlasBalance("PROD",DataAreaId,"T.InventTrans|inventDimId~inventDimId@T.InventDim","Sum|Qty|0","","","","","","","DateFinancial|ItemId|T2.InventSiteId|T2.InventLocationId",PeriodEnding,$A117,$B117,$C117)</f>
        <v>0</v>
      </c>
      <c r="G117" s="10">
        <f>AtlasReport_3_Table_1[[#This Row],[Current On-hand]]-AtlasReport_3_Table_1[[#This Row],[Trans backwords (Beginning)]]</f>
        <v>0</v>
      </c>
      <c r="H117" s="10">
        <f>AtlasReport_3_Table_1[[#This Row],[Current On-hand]]-AtlasReport_3_Table_1[[#This Row],[Trans backwords (Ending)]]</f>
        <v>0</v>
      </c>
    </row>
    <row r="118" spans="1:8">
      <c r="A118" s="8" t="s">
        <v>16</v>
      </c>
      <c r="B118" s="8" t="s">
        <v>371</v>
      </c>
      <c r="C118" s="8" t="s">
        <v>70</v>
      </c>
      <c r="D118" s="10">
        <v>0</v>
      </c>
      <c r="E118" s="10">
        <f>_xll.AtlasFormulas.AtlasFunctions.AtlasBalance("PROD",DataAreaId,"T.InventTrans|inventDimId~inventDimId@T.InventDim","Sum|Qty|0","","","","","","","DateFinancial|ItemId|T2.InventSiteId|T2.InventLocationId",PeriodBeginning,$A118,$B118,$C118)</f>
        <v>0</v>
      </c>
      <c r="F118" s="10">
        <f>_xll.AtlasFormulas.AtlasFunctions.AtlasBalance("PROD",DataAreaId,"T.InventTrans|inventDimId~inventDimId@T.InventDim","Sum|Qty|0","","","","","","","DateFinancial|ItemId|T2.InventSiteId|T2.InventLocationId",PeriodEnding,$A118,$B118,$C118)</f>
        <v>0</v>
      </c>
      <c r="G118" s="10">
        <f>AtlasReport_3_Table_1[[#This Row],[Current On-hand]]-AtlasReport_3_Table_1[[#This Row],[Trans backwords (Beginning)]]</f>
        <v>0</v>
      </c>
      <c r="H118" s="10">
        <f>AtlasReport_3_Table_1[[#This Row],[Current On-hand]]-AtlasReport_3_Table_1[[#This Row],[Trans backwords (Ending)]]</f>
        <v>0</v>
      </c>
    </row>
    <row r="119" spans="1:8">
      <c r="A119" s="8" t="s">
        <v>16</v>
      </c>
      <c r="B119" s="8" t="s">
        <v>371</v>
      </c>
      <c r="C119" s="8" t="s">
        <v>372</v>
      </c>
      <c r="D119" s="10">
        <v>27690</v>
      </c>
      <c r="E119" s="10">
        <f>_xll.AtlasFormulas.AtlasFunctions.AtlasBalance("PROD",DataAreaId,"T.InventTrans|inventDimId~inventDimId@T.InventDim","Sum|Qty|0","","","","","","","DateFinancial|ItemId|T2.InventSiteId|T2.InventLocationId",PeriodBeginning,$A119,$B119,$C119)</f>
        <v>0</v>
      </c>
      <c r="F119" s="10">
        <f>_xll.AtlasFormulas.AtlasFunctions.AtlasBalance("PROD",DataAreaId,"T.InventTrans|inventDimId~inventDimId@T.InventDim","Sum|Qty|0","","","","","","","DateFinancial|ItemId|T2.InventSiteId|T2.InventLocationId",PeriodEnding,$A119,$B119,$C119)</f>
        <v>0</v>
      </c>
      <c r="G119" s="10">
        <f>AtlasReport_3_Table_1[[#This Row],[Current On-hand]]-AtlasReport_3_Table_1[[#This Row],[Trans backwords (Beginning)]]</f>
        <v>27690</v>
      </c>
      <c r="H119" s="10">
        <f>AtlasReport_3_Table_1[[#This Row],[Current On-hand]]-AtlasReport_3_Table_1[[#This Row],[Trans backwords (Ending)]]</f>
        <v>27690</v>
      </c>
    </row>
    <row r="120" spans="1:8">
      <c r="A120" s="8" t="s">
        <v>338</v>
      </c>
      <c r="B120" s="8" t="s">
        <v>371</v>
      </c>
      <c r="C120" s="8" t="s">
        <v>70</v>
      </c>
      <c r="D120" s="10">
        <v>0</v>
      </c>
      <c r="E120" s="10">
        <f>_xll.AtlasFormulas.AtlasFunctions.AtlasBalance("PROD",DataAreaId,"T.InventTrans|inventDimId~inventDimId@T.InventDim","Sum|Qty|0","","","","","","","DateFinancial|ItemId|T2.InventSiteId|T2.InventLocationId",PeriodBeginning,$A120,$B120,$C120)</f>
        <v>0</v>
      </c>
      <c r="F120" s="10">
        <f>_xll.AtlasFormulas.AtlasFunctions.AtlasBalance("PROD",DataAreaId,"T.InventTrans|inventDimId~inventDimId@T.InventDim","Sum|Qty|0","","","","","","","DateFinancial|ItemId|T2.InventSiteId|T2.InventLocationId",PeriodEnding,$A120,$B120,$C120)</f>
        <v>0</v>
      </c>
      <c r="G120" s="10">
        <f>AtlasReport_3_Table_1[[#This Row],[Current On-hand]]-AtlasReport_3_Table_1[[#This Row],[Trans backwords (Beginning)]]</f>
        <v>0</v>
      </c>
      <c r="H120" s="10">
        <f>AtlasReport_3_Table_1[[#This Row],[Current On-hand]]-AtlasReport_3_Table_1[[#This Row],[Trans backwords (Ending)]]</f>
        <v>0</v>
      </c>
    </row>
    <row r="121" spans="1:8">
      <c r="A121" s="8" t="s">
        <v>338</v>
      </c>
      <c r="B121" s="8" t="s">
        <v>371</v>
      </c>
      <c r="C121" s="8" t="s">
        <v>372</v>
      </c>
      <c r="D121" s="10">
        <v>28080</v>
      </c>
      <c r="E121" s="10">
        <f>_xll.AtlasFormulas.AtlasFunctions.AtlasBalance("PROD",DataAreaId,"T.InventTrans|inventDimId~inventDimId@T.InventDim","Sum|Qty|0","","","","","","","DateFinancial|ItemId|T2.InventSiteId|T2.InventLocationId",PeriodBeginning,$A121,$B121,$C121)</f>
        <v>21450</v>
      </c>
      <c r="F121" s="10">
        <f>_xll.AtlasFormulas.AtlasFunctions.AtlasBalance("PROD",DataAreaId,"T.InventTrans|inventDimId~inventDimId@T.InventDim","Sum|Qty|0","","","","","","","DateFinancial|ItemId|T2.InventSiteId|T2.InventLocationId",PeriodEnding,$A121,$B121,$C121)</f>
        <v>0</v>
      </c>
      <c r="G121" s="10">
        <f>AtlasReport_3_Table_1[[#This Row],[Current On-hand]]-AtlasReport_3_Table_1[[#This Row],[Trans backwords (Beginning)]]</f>
        <v>6630</v>
      </c>
      <c r="H121" s="10">
        <f>AtlasReport_3_Table_1[[#This Row],[Current On-hand]]-AtlasReport_3_Table_1[[#This Row],[Trans backwords (Ending)]]</f>
        <v>28080</v>
      </c>
    </row>
    <row r="122" spans="1:8">
      <c r="A122" s="8" t="s">
        <v>338</v>
      </c>
      <c r="B122" s="8" t="s">
        <v>371</v>
      </c>
      <c r="C122" s="8" t="s">
        <v>748</v>
      </c>
      <c r="D122" s="10">
        <v>0</v>
      </c>
      <c r="E122" s="10">
        <f>_xll.AtlasFormulas.AtlasFunctions.AtlasBalance("PROD",DataAreaId,"T.InventTrans|inventDimId~inventDimId@T.InventDim","Sum|Qty|0","","","","","","","DateFinancial|ItemId|T2.InventSiteId|T2.InventLocationId",PeriodBeginning,$A122,$B122,$C122)</f>
        <v>0</v>
      </c>
      <c r="F122" s="10">
        <f>_xll.AtlasFormulas.AtlasFunctions.AtlasBalance("PROD",DataAreaId,"T.InventTrans|inventDimId~inventDimId@T.InventDim","Sum|Qty|0","","","","","","","DateFinancial|ItemId|T2.InventSiteId|T2.InventLocationId",PeriodEnding,$A122,$B122,$C122)</f>
        <v>0</v>
      </c>
      <c r="G122" s="10">
        <f>AtlasReport_3_Table_1[[#This Row],[Current On-hand]]-AtlasReport_3_Table_1[[#This Row],[Trans backwords (Beginning)]]</f>
        <v>0</v>
      </c>
      <c r="H122" s="10">
        <f>AtlasReport_3_Table_1[[#This Row],[Current On-hand]]-AtlasReport_3_Table_1[[#This Row],[Trans backwords (Ending)]]</f>
        <v>0</v>
      </c>
    </row>
    <row r="123" spans="1:8">
      <c r="A123" s="8" t="s">
        <v>602</v>
      </c>
      <c r="B123" s="8" t="s">
        <v>371</v>
      </c>
      <c r="C123" s="8" t="s">
        <v>70</v>
      </c>
      <c r="D123" s="10">
        <v>0</v>
      </c>
      <c r="E123" s="10">
        <f>_xll.AtlasFormulas.AtlasFunctions.AtlasBalance("PROD",DataAreaId,"T.InventTrans|inventDimId~inventDimId@T.InventDim","Sum|Qty|0","","","","","","","DateFinancial|ItemId|T2.InventSiteId|T2.InventLocationId",PeriodBeginning,$A123,$B123,$C123)</f>
        <v>0</v>
      </c>
      <c r="F123" s="10">
        <f>_xll.AtlasFormulas.AtlasFunctions.AtlasBalance("PROD",DataAreaId,"T.InventTrans|inventDimId~inventDimId@T.InventDim","Sum|Qty|0","","","","","","","DateFinancial|ItemId|T2.InventSiteId|T2.InventLocationId",PeriodEnding,$A123,$B123,$C123)</f>
        <v>0</v>
      </c>
      <c r="G123" s="10">
        <f>AtlasReport_3_Table_1[[#This Row],[Current On-hand]]-AtlasReport_3_Table_1[[#This Row],[Trans backwords (Beginning)]]</f>
        <v>0</v>
      </c>
      <c r="H123" s="10">
        <f>AtlasReport_3_Table_1[[#This Row],[Current On-hand]]-AtlasReport_3_Table_1[[#This Row],[Trans backwords (Ending)]]</f>
        <v>0</v>
      </c>
    </row>
    <row r="124" spans="1:8">
      <c r="A124" s="8" t="s">
        <v>602</v>
      </c>
      <c r="B124" s="8" t="s">
        <v>371</v>
      </c>
      <c r="C124" s="8" t="s">
        <v>372</v>
      </c>
      <c r="D124" s="10">
        <v>8190</v>
      </c>
      <c r="E124" s="10">
        <f>_xll.AtlasFormulas.AtlasFunctions.AtlasBalance("PROD",DataAreaId,"T.InventTrans|inventDimId~inventDimId@T.InventDim","Sum|Qty|0","","","","","","","DateFinancial|ItemId|T2.InventSiteId|T2.InventLocationId",PeriodBeginning,$A124,$B124,$C124)</f>
        <v>0</v>
      </c>
      <c r="F124" s="10">
        <f>_xll.AtlasFormulas.AtlasFunctions.AtlasBalance("PROD",DataAreaId,"T.InventTrans|inventDimId~inventDimId@T.InventDim","Sum|Qty|0","","","","","","","DateFinancial|ItemId|T2.InventSiteId|T2.InventLocationId",PeriodEnding,$A124,$B124,$C124)</f>
        <v>0</v>
      </c>
      <c r="G124" s="10">
        <f>AtlasReport_3_Table_1[[#This Row],[Current On-hand]]-AtlasReport_3_Table_1[[#This Row],[Trans backwords (Beginning)]]</f>
        <v>8190</v>
      </c>
      <c r="H124" s="10">
        <f>AtlasReport_3_Table_1[[#This Row],[Current On-hand]]-AtlasReport_3_Table_1[[#This Row],[Trans backwords (Ending)]]</f>
        <v>8190</v>
      </c>
    </row>
    <row r="125" spans="1:8">
      <c r="A125" s="8" t="s">
        <v>604</v>
      </c>
      <c r="B125" s="8" t="s">
        <v>371</v>
      </c>
      <c r="C125" s="8" t="s">
        <v>70</v>
      </c>
      <c r="D125" s="10">
        <v>0</v>
      </c>
      <c r="E125" s="10">
        <f>_xll.AtlasFormulas.AtlasFunctions.AtlasBalance("PROD",DataAreaId,"T.InventTrans|inventDimId~inventDimId@T.InventDim","Sum|Qty|0","","","","","","","DateFinancial|ItemId|T2.InventSiteId|T2.InventLocationId",PeriodBeginning,$A125,$B125,$C125)</f>
        <v>0</v>
      </c>
      <c r="F125" s="10">
        <f>_xll.AtlasFormulas.AtlasFunctions.AtlasBalance("PROD",DataAreaId,"T.InventTrans|inventDimId~inventDimId@T.InventDim","Sum|Qty|0","","","","","","","DateFinancial|ItemId|T2.InventSiteId|T2.InventLocationId",PeriodEnding,$A125,$B125,$C125)</f>
        <v>0</v>
      </c>
      <c r="G125" s="10">
        <f>AtlasReport_3_Table_1[[#This Row],[Current On-hand]]-AtlasReport_3_Table_1[[#This Row],[Trans backwords (Beginning)]]</f>
        <v>0</v>
      </c>
      <c r="H125" s="10">
        <f>AtlasReport_3_Table_1[[#This Row],[Current On-hand]]-AtlasReport_3_Table_1[[#This Row],[Trans backwords (Ending)]]</f>
        <v>0</v>
      </c>
    </row>
    <row r="126" spans="1:8">
      <c r="A126" s="8" t="s">
        <v>604</v>
      </c>
      <c r="B126" s="8" t="s">
        <v>371</v>
      </c>
      <c r="C126" s="8" t="s">
        <v>372</v>
      </c>
      <c r="D126" s="10">
        <v>8775</v>
      </c>
      <c r="E126" s="10">
        <f>_xll.AtlasFormulas.AtlasFunctions.AtlasBalance("PROD",DataAreaId,"T.InventTrans|inventDimId~inventDimId@T.InventDim","Sum|Qty|0","","","","","","","DateFinancial|ItemId|T2.InventSiteId|T2.InventLocationId",PeriodBeginning,$A126,$B126,$C126)</f>
        <v>0</v>
      </c>
      <c r="F126" s="10">
        <f>_xll.AtlasFormulas.AtlasFunctions.AtlasBalance("PROD",DataAreaId,"T.InventTrans|inventDimId~inventDimId@T.InventDim","Sum|Qty|0","","","","","","","DateFinancial|ItemId|T2.InventSiteId|T2.InventLocationId",PeriodEnding,$A126,$B126,$C126)</f>
        <v>0</v>
      </c>
      <c r="G126" s="10">
        <f>AtlasReport_3_Table_1[[#This Row],[Current On-hand]]-AtlasReport_3_Table_1[[#This Row],[Trans backwords (Beginning)]]</f>
        <v>8775</v>
      </c>
      <c r="H126" s="10">
        <f>AtlasReport_3_Table_1[[#This Row],[Current On-hand]]-AtlasReport_3_Table_1[[#This Row],[Trans backwords (Ending)]]</f>
        <v>8775</v>
      </c>
    </row>
    <row r="127" spans="1:8">
      <c r="A127" s="8" t="s">
        <v>608</v>
      </c>
      <c r="B127" s="8" t="s">
        <v>371</v>
      </c>
      <c r="C127" s="8" t="s">
        <v>70</v>
      </c>
      <c r="D127" s="10">
        <v>0</v>
      </c>
      <c r="E127" s="10">
        <f>_xll.AtlasFormulas.AtlasFunctions.AtlasBalance("PROD",DataAreaId,"T.InventTrans|inventDimId~inventDimId@T.InventDim","Sum|Qty|0","","","","","","","DateFinancial|ItemId|T2.InventSiteId|T2.InventLocationId",PeriodBeginning,$A127,$B127,$C127)</f>
        <v>0</v>
      </c>
      <c r="F127" s="10">
        <f>_xll.AtlasFormulas.AtlasFunctions.AtlasBalance("PROD",DataAreaId,"T.InventTrans|inventDimId~inventDimId@T.InventDim","Sum|Qty|0","","","","","","","DateFinancial|ItemId|T2.InventSiteId|T2.InventLocationId",PeriodEnding,$A127,$B127,$C127)</f>
        <v>0</v>
      </c>
      <c r="G127" s="10">
        <f>AtlasReport_3_Table_1[[#This Row],[Current On-hand]]-AtlasReport_3_Table_1[[#This Row],[Trans backwords (Beginning)]]</f>
        <v>0</v>
      </c>
      <c r="H127" s="10">
        <f>AtlasReport_3_Table_1[[#This Row],[Current On-hand]]-AtlasReport_3_Table_1[[#This Row],[Trans backwords (Ending)]]</f>
        <v>0</v>
      </c>
    </row>
    <row r="128" spans="1:8">
      <c r="A128" s="8" t="s">
        <v>608</v>
      </c>
      <c r="B128" s="8" t="s">
        <v>371</v>
      </c>
      <c r="C128" s="8" t="s">
        <v>372</v>
      </c>
      <c r="D128" s="10">
        <v>0</v>
      </c>
      <c r="E128" s="10">
        <f>_xll.AtlasFormulas.AtlasFunctions.AtlasBalance("PROD",DataAreaId,"T.InventTrans|inventDimId~inventDimId@T.InventDim","Sum|Qty|0","","","","","","","DateFinancial|ItemId|T2.InventSiteId|T2.InventLocationId",PeriodBeginning,$A128,$B128,$C128)</f>
        <v>0</v>
      </c>
      <c r="F128" s="10">
        <f>_xll.AtlasFormulas.AtlasFunctions.AtlasBalance("PROD",DataAreaId,"T.InventTrans|inventDimId~inventDimId@T.InventDim","Sum|Qty|0","","","","","","","DateFinancial|ItemId|T2.InventSiteId|T2.InventLocationId",PeriodEnding,$A128,$B128,$C128)</f>
        <v>0</v>
      </c>
      <c r="G128" s="10">
        <f>AtlasReport_3_Table_1[[#This Row],[Current On-hand]]-AtlasReport_3_Table_1[[#This Row],[Trans backwords (Beginning)]]</f>
        <v>0</v>
      </c>
      <c r="H128" s="10">
        <f>AtlasReport_3_Table_1[[#This Row],[Current On-hand]]-AtlasReport_3_Table_1[[#This Row],[Trans backwords (Ending)]]</f>
        <v>0</v>
      </c>
    </row>
    <row r="129" spans="1:8">
      <c r="A129" s="8" t="s">
        <v>610</v>
      </c>
      <c r="B129" s="8" t="s">
        <v>371</v>
      </c>
      <c r="C129" s="8" t="s">
        <v>70</v>
      </c>
      <c r="D129" s="10">
        <v>0</v>
      </c>
      <c r="E129" s="10">
        <f>_xll.AtlasFormulas.AtlasFunctions.AtlasBalance("PROD",DataAreaId,"T.InventTrans|inventDimId~inventDimId@T.InventDim","Sum|Qty|0","","","","","","","DateFinancial|ItemId|T2.InventSiteId|T2.InventLocationId",PeriodBeginning,$A129,$B129,$C129)</f>
        <v>0</v>
      </c>
      <c r="F129" s="10">
        <f>_xll.AtlasFormulas.AtlasFunctions.AtlasBalance("PROD",DataAreaId,"T.InventTrans|inventDimId~inventDimId@T.InventDim","Sum|Qty|0","","","","","","","DateFinancial|ItemId|T2.InventSiteId|T2.InventLocationId",PeriodEnding,$A129,$B129,$C129)</f>
        <v>0</v>
      </c>
      <c r="G129" s="10">
        <f>AtlasReport_3_Table_1[[#This Row],[Current On-hand]]-AtlasReport_3_Table_1[[#This Row],[Trans backwords (Beginning)]]</f>
        <v>0</v>
      </c>
      <c r="H129" s="10">
        <f>AtlasReport_3_Table_1[[#This Row],[Current On-hand]]-AtlasReport_3_Table_1[[#This Row],[Trans backwords (Ending)]]</f>
        <v>0</v>
      </c>
    </row>
    <row r="130" spans="1:8">
      <c r="A130" s="8" t="s">
        <v>610</v>
      </c>
      <c r="B130" s="8" t="s">
        <v>371</v>
      </c>
      <c r="C130" s="8" t="s">
        <v>372</v>
      </c>
      <c r="D130" s="10">
        <v>0</v>
      </c>
      <c r="E130" s="10">
        <f>_xll.AtlasFormulas.AtlasFunctions.AtlasBalance("PROD",DataAreaId,"T.InventTrans|inventDimId~inventDimId@T.InventDim","Sum|Qty|0","","","","","","","DateFinancial|ItemId|T2.InventSiteId|T2.InventLocationId",PeriodBeginning,$A130,$B130,$C130)</f>
        <v>0</v>
      </c>
      <c r="F130" s="10">
        <f>_xll.AtlasFormulas.AtlasFunctions.AtlasBalance("PROD",DataAreaId,"T.InventTrans|inventDimId~inventDimId@T.InventDim","Sum|Qty|0","","","","","","","DateFinancial|ItemId|T2.InventSiteId|T2.InventLocationId",PeriodEnding,$A130,$B130,$C130)</f>
        <v>0</v>
      </c>
      <c r="G130" s="10">
        <f>AtlasReport_3_Table_1[[#This Row],[Current On-hand]]-AtlasReport_3_Table_1[[#This Row],[Trans backwords (Beginning)]]</f>
        <v>0</v>
      </c>
      <c r="H130" s="10">
        <f>AtlasReport_3_Table_1[[#This Row],[Current On-hand]]-AtlasReport_3_Table_1[[#This Row],[Trans backwords (Ending)]]</f>
        <v>0</v>
      </c>
    </row>
    <row r="131" spans="1:8">
      <c r="A131" s="8" t="s">
        <v>612</v>
      </c>
      <c r="B131" s="8" t="s">
        <v>371</v>
      </c>
      <c r="C131" s="8" t="s">
        <v>70</v>
      </c>
      <c r="D131" s="10">
        <v>0</v>
      </c>
      <c r="E131" s="10">
        <f>_xll.AtlasFormulas.AtlasFunctions.AtlasBalance("PROD",DataAreaId,"T.InventTrans|inventDimId~inventDimId@T.InventDim","Sum|Qty|0","","","","","","","DateFinancial|ItemId|T2.InventSiteId|T2.InventLocationId",PeriodBeginning,$A131,$B131,$C131)</f>
        <v>0</v>
      </c>
      <c r="F131" s="10">
        <f>_xll.AtlasFormulas.AtlasFunctions.AtlasBalance("PROD",DataAreaId,"T.InventTrans|inventDimId~inventDimId@T.InventDim","Sum|Qty|0","","","","","","","DateFinancial|ItemId|T2.InventSiteId|T2.InventLocationId",PeriodEnding,$A131,$B131,$C131)</f>
        <v>0</v>
      </c>
      <c r="G131" s="10">
        <f>AtlasReport_3_Table_1[[#This Row],[Current On-hand]]-AtlasReport_3_Table_1[[#This Row],[Trans backwords (Beginning)]]</f>
        <v>0</v>
      </c>
      <c r="H131" s="10">
        <f>AtlasReport_3_Table_1[[#This Row],[Current On-hand]]-AtlasReport_3_Table_1[[#This Row],[Trans backwords (Ending)]]</f>
        <v>0</v>
      </c>
    </row>
    <row r="132" spans="1:8">
      <c r="A132" s="8" t="s">
        <v>612</v>
      </c>
      <c r="B132" s="8" t="s">
        <v>371</v>
      </c>
      <c r="C132" s="8" t="s">
        <v>372</v>
      </c>
      <c r="D132" s="10">
        <v>0</v>
      </c>
      <c r="E132" s="10">
        <f>_xll.AtlasFormulas.AtlasFunctions.AtlasBalance("PROD",DataAreaId,"T.InventTrans|inventDimId~inventDimId@T.InventDim","Sum|Qty|0","","","","","","","DateFinancial|ItemId|T2.InventSiteId|T2.InventLocationId",PeriodBeginning,$A132,$B132,$C132)</f>
        <v>0</v>
      </c>
      <c r="F132" s="10">
        <f>_xll.AtlasFormulas.AtlasFunctions.AtlasBalance("PROD",DataAreaId,"T.InventTrans|inventDimId~inventDimId@T.InventDim","Sum|Qty|0","","","","","","","DateFinancial|ItemId|T2.InventSiteId|T2.InventLocationId",PeriodEnding,$A132,$B132,$C132)</f>
        <v>0</v>
      </c>
      <c r="G132" s="10">
        <f>AtlasReport_3_Table_1[[#This Row],[Current On-hand]]-AtlasReport_3_Table_1[[#This Row],[Trans backwords (Beginning)]]</f>
        <v>0</v>
      </c>
      <c r="H132" s="10">
        <f>AtlasReport_3_Table_1[[#This Row],[Current On-hand]]-AtlasReport_3_Table_1[[#This Row],[Trans backwords (Ending)]]</f>
        <v>0</v>
      </c>
    </row>
    <row r="133" spans="1:8">
      <c r="A133" s="8" t="s">
        <v>126</v>
      </c>
      <c r="B133" s="8" t="s">
        <v>371</v>
      </c>
      <c r="C133" s="8" t="s">
        <v>70</v>
      </c>
      <c r="D133" s="10">
        <v>0</v>
      </c>
      <c r="E133" s="10">
        <f>_xll.AtlasFormulas.AtlasFunctions.AtlasBalance("PROD",DataAreaId,"T.InventTrans|inventDimId~inventDimId@T.InventDim","Sum|Qty|0","","","","","","","DateFinancial|ItemId|T2.InventSiteId|T2.InventLocationId",PeriodBeginning,$A133,$B133,$C133)</f>
        <v>0</v>
      </c>
      <c r="F133" s="10">
        <f>_xll.AtlasFormulas.AtlasFunctions.AtlasBalance("PROD",DataAreaId,"T.InventTrans|inventDimId~inventDimId@T.InventDim","Sum|Qty|0","","","","","","","DateFinancial|ItemId|T2.InventSiteId|T2.InventLocationId",PeriodEnding,$A133,$B133,$C133)</f>
        <v>0</v>
      </c>
      <c r="G133" s="10">
        <f>AtlasReport_3_Table_1[[#This Row],[Current On-hand]]-AtlasReport_3_Table_1[[#This Row],[Trans backwords (Beginning)]]</f>
        <v>0</v>
      </c>
      <c r="H133" s="10">
        <f>AtlasReport_3_Table_1[[#This Row],[Current On-hand]]-AtlasReport_3_Table_1[[#This Row],[Trans backwords (Ending)]]</f>
        <v>0</v>
      </c>
    </row>
    <row r="134" spans="1:8">
      <c r="A134" s="8" t="s">
        <v>126</v>
      </c>
      <c r="B134" s="8" t="s">
        <v>371</v>
      </c>
      <c r="C134" s="8" t="s">
        <v>372</v>
      </c>
      <c r="D134" s="10">
        <v>403.74</v>
      </c>
      <c r="E134" s="10">
        <f>_xll.AtlasFormulas.AtlasFunctions.AtlasBalance("PROD",DataAreaId,"T.InventTrans|inventDimId~inventDimId@T.InventDim","Sum|Qty|0","","","","","","","DateFinancial|ItemId|T2.InventSiteId|T2.InventLocationId",PeriodBeginning,$A134,$B134,$C134)</f>
        <v>0</v>
      </c>
      <c r="F134" s="10">
        <f>_xll.AtlasFormulas.AtlasFunctions.AtlasBalance("PROD",DataAreaId,"T.InventTrans|inventDimId~inventDimId@T.InventDim","Sum|Qty|0","","","","","","","DateFinancial|ItemId|T2.InventSiteId|T2.InventLocationId",PeriodEnding,$A134,$B134,$C134)</f>
        <v>0</v>
      </c>
      <c r="G134" s="10">
        <f>AtlasReport_3_Table_1[[#This Row],[Current On-hand]]-AtlasReport_3_Table_1[[#This Row],[Trans backwords (Beginning)]]</f>
        <v>403.74</v>
      </c>
      <c r="H134" s="10">
        <f>AtlasReport_3_Table_1[[#This Row],[Current On-hand]]-AtlasReport_3_Table_1[[#This Row],[Trans backwords (Ending)]]</f>
        <v>403.74</v>
      </c>
    </row>
    <row r="135" spans="1:8">
      <c r="A135" s="8" t="s">
        <v>356</v>
      </c>
      <c r="B135" s="8" t="s">
        <v>371</v>
      </c>
      <c r="C135" s="8" t="s">
        <v>372</v>
      </c>
      <c r="D135" s="10">
        <v>100.5</v>
      </c>
      <c r="E135" s="10">
        <f>_xll.AtlasFormulas.AtlasFunctions.AtlasBalance("PROD",DataAreaId,"T.InventTrans|inventDimId~inventDimId@T.InventDim","Sum|Qty|0","","","","","","","DateFinancial|ItemId|T2.InventSiteId|T2.InventLocationId",PeriodBeginning,$A135,$B135,$C135)</f>
        <v>0</v>
      </c>
      <c r="F135" s="10">
        <f>_xll.AtlasFormulas.AtlasFunctions.AtlasBalance("PROD",DataAreaId,"T.InventTrans|inventDimId~inventDimId@T.InventDim","Sum|Qty|0","","","","","","","DateFinancial|ItemId|T2.InventSiteId|T2.InventLocationId",PeriodEnding,$A135,$B135,$C135)</f>
        <v>0</v>
      </c>
      <c r="G135" s="10">
        <f>AtlasReport_3_Table_1[[#This Row],[Current On-hand]]-AtlasReport_3_Table_1[[#This Row],[Trans backwords (Beginning)]]</f>
        <v>100.5</v>
      </c>
      <c r="H135" s="10">
        <f>AtlasReport_3_Table_1[[#This Row],[Current On-hand]]-AtlasReport_3_Table_1[[#This Row],[Trans backwords (Ending)]]</f>
        <v>100.5</v>
      </c>
    </row>
    <row r="136" spans="1:8">
      <c r="A136" s="8" t="s">
        <v>345</v>
      </c>
      <c r="B136" s="8" t="s">
        <v>371</v>
      </c>
      <c r="C136" s="8" t="s">
        <v>70</v>
      </c>
      <c r="D136" s="10">
        <v>0</v>
      </c>
      <c r="E136" s="10">
        <f>_xll.AtlasFormulas.AtlasFunctions.AtlasBalance("PROD",DataAreaId,"T.InventTrans|inventDimId~inventDimId@T.InventDim","Sum|Qty|0","","","","","","","DateFinancial|ItemId|T2.InventSiteId|T2.InventLocationId",PeriodBeginning,$A136,$B136,$C136)</f>
        <v>0</v>
      </c>
      <c r="F136" s="10">
        <f>_xll.AtlasFormulas.AtlasFunctions.AtlasBalance("PROD",DataAreaId,"T.InventTrans|inventDimId~inventDimId@T.InventDim","Sum|Qty|0","","","","","","","DateFinancial|ItemId|T2.InventSiteId|T2.InventLocationId",PeriodEnding,$A136,$B136,$C136)</f>
        <v>0</v>
      </c>
      <c r="G136" s="10">
        <f>AtlasReport_3_Table_1[[#This Row],[Current On-hand]]-AtlasReport_3_Table_1[[#This Row],[Trans backwords (Beginning)]]</f>
        <v>0</v>
      </c>
      <c r="H136" s="10">
        <f>AtlasReport_3_Table_1[[#This Row],[Current On-hand]]-AtlasReport_3_Table_1[[#This Row],[Trans backwords (Ending)]]</f>
        <v>0</v>
      </c>
    </row>
    <row r="137" spans="1:8">
      <c r="A137" s="8" t="s">
        <v>345</v>
      </c>
      <c r="B137" s="8" t="s">
        <v>371</v>
      </c>
      <c r="C137" s="8" t="s">
        <v>372</v>
      </c>
      <c r="D137" s="10">
        <v>100.5</v>
      </c>
      <c r="E137" s="10">
        <f>_xll.AtlasFormulas.AtlasFunctions.AtlasBalance("PROD",DataAreaId,"T.InventTrans|inventDimId~inventDimId@T.InventDim","Sum|Qty|0","","","","","","","DateFinancial|ItemId|T2.InventSiteId|T2.InventLocationId",PeriodBeginning,$A137,$B137,$C137)</f>
        <v>0</v>
      </c>
      <c r="F137" s="10">
        <f>_xll.AtlasFormulas.AtlasFunctions.AtlasBalance("PROD",DataAreaId,"T.InventTrans|inventDimId~inventDimId@T.InventDim","Sum|Qty|0","","","","","","","DateFinancial|ItemId|T2.InventSiteId|T2.InventLocationId",PeriodEnding,$A137,$B137,$C137)</f>
        <v>0</v>
      </c>
      <c r="G137" s="10">
        <f>AtlasReport_3_Table_1[[#This Row],[Current On-hand]]-AtlasReport_3_Table_1[[#This Row],[Trans backwords (Beginning)]]</f>
        <v>100.5</v>
      </c>
      <c r="H137" s="10">
        <f>AtlasReport_3_Table_1[[#This Row],[Current On-hand]]-AtlasReport_3_Table_1[[#This Row],[Trans backwords (Ending)]]</f>
        <v>100.5</v>
      </c>
    </row>
    <row r="138" spans="1:8">
      <c r="A138" s="8" t="s">
        <v>64</v>
      </c>
      <c r="B138" s="8" t="s">
        <v>371</v>
      </c>
      <c r="C138" s="8" t="s">
        <v>70</v>
      </c>
      <c r="D138" s="10">
        <v>0</v>
      </c>
      <c r="E138" s="10">
        <f>_xll.AtlasFormulas.AtlasFunctions.AtlasBalance("PROD",DataAreaId,"T.InventTrans|inventDimId~inventDimId@T.InventDim","Sum|Qty|0","","","","","","","DateFinancial|ItemId|T2.InventSiteId|T2.InventLocationId",PeriodBeginning,$A138,$B138,$C138)</f>
        <v>0</v>
      </c>
      <c r="F138" s="10">
        <f>_xll.AtlasFormulas.AtlasFunctions.AtlasBalance("PROD",DataAreaId,"T.InventTrans|inventDimId~inventDimId@T.InventDim","Sum|Qty|0","","","","","","","DateFinancial|ItemId|T2.InventSiteId|T2.InventLocationId",PeriodEnding,$A138,$B138,$C138)</f>
        <v>0</v>
      </c>
      <c r="G138" s="10">
        <f>AtlasReport_3_Table_1[[#This Row],[Current On-hand]]-AtlasReport_3_Table_1[[#This Row],[Trans backwords (Beginning)]]</f>
        <v>0</v>
      </c>
      <c r="H138" s="10">
        <f>AtlasReport_3_Table_1[[#This Row],[Current On-hand]]-AtlasReport_3_Table_1[[#This Row],[Trans backwords (Ending)]]</f>
        <v>0</v>
      </c>
    </row>
    <row r="139" spans="1:8">
      <c r="A139" s="8" t="s">
        <v>64</v>
      </c>
      <c r="B139" s="8" t="s">
        <v>371</v>
      </c>
      <c r="C139" s="8" t="s">
        <v>372</v>
      </c>
      <c r="D139" s="10">
        <v>100</v>
      </c>
      <c r="E139" s="10">
        <f>_xll.AtlasFormulas.AtlasFunctions.AtlasBalance("PROD",DataAreaId,"T.InventTrans|inventDimId~inventDimId@T.InventDim","Sum|Qty|0","","","","","","","DateFinancial|ItemId|T2.InventSiteId|T2.InventLocationId",PeriodBeginning,$A139,$B139,$C139)</f>
        <v>0</v>
      </c>
      <c r="F139" s="10">
        <f>_xll.AtlasFormulas.AtlasFunctions.AtlasBalance("PROD",DataAreaId,"T.InventTrans|inventDimId~inventDimId@T.InventDim","Sum|Qty|0","","","","","","","DateFinancial|ItemId|T2.InventSiteId|T2.InventLocationId",PeriodEnding,$A139,$B139,$C139)</f>
        <v>0</v>
      </c>
      <c r="G139" s="10">
        <f>AtlasReport_3_Table_1[[#This Row],[Current On-hand]]-AtlasReport_3_Table_1[[#This Row],[Trans backwords (Beginning)]]</f>
        <v>100</v>
      </c>
      <c r="H139" s="10">
        <f>AtlasReport_3_Table_1[[#This Row],[Current On-hand]]-AtlasReport_3_Table_1[[#This Row],[Trans backwords (Ending)]]</f>
        <v>100</v>
      </c>
    </row>
    <row r="140" spans="1:8">
      <c r="A140" s="8" t="s">
        <v>90</v>
      </c>
      <c r="B140" s="8" t="s">
        <v>371</v>
      </c>
      <c r="C140" s="8" t="s">
        <v>70</v>
      </c>
      <c r="D140" s="10">
        <v>0</v>
      </c>
      <c r="E140" s="10">
        <f>_xll.AtlasFormulas.AtlasFunctions.AtlasBalance("PROD",DataAreaId,"T.InventTrans|inventDimId~inventDimId@T.InventDim","Sum|Qty|0","","","","","","","DateFinancial|ItemId|T2.InventSiteId|T2.InventLocationId",PeriodBeginning,$A140,$B140,$C140)</f>
        <v>0</v>
      </c>
      <c r="F140" s="10">
        <f>_xll.AtlasFormulas.AtlasFunctions.AtlasBalance("PROD",DataAreaId,"T.InventTrans|inventDimId~inventDimId@T.InventDim","Sum|Qty|0","","","","","","","DateFinancial|ItemId|T2.InventSiteId|T2.InventLocationId",PeriodEnding,$A140,$B140,$C140)</f>
        <v>0</v>
      </c>
      <c r="G140" s="10">
        <f>AtlasReport_3_Table_1[[#This Row],[Current On-hand]]-AtlasReport_3_Table_1[[#This Row],[Trans backwords (Beginning)]]</f>
        <v>0</v>
      </c>
      <c r="H140" s="10">
        <f>AtlasReport_3_Table_1[[#This Row],[Current On-hand]]-AtlasReport_3_Table_1[[#This Row],[Trans backwords (Ending)]]</f>
        <v>0</v>
      </c>
    </row>
    <row r="141" spans="1:8">
      <c r="A141" s="8" t="s">
        <v>90</v>
      </c>
      <c r="B141" s="8" t="s">
        <v>371</v>
      </c>
      <c r="C141" s="8" t="s">
        <v>372</v>
      </c>
      <c r="D141" s="10">
        <v>2724.4</v>
      </c>
      <c r="E141" s="10">
        <f>_xll.AtlasFormulas.AtlasFunctions.AtlasBalance("PROD",DataAreaId,"T.InventTrans|inventDimId~inventDimId@T.InventDim","Sum|Qty|0","","","","","","","DateFinancial|ItemId|T2.InventSiteId|T2.InventLocationId",PeriodBeginning,$A141,$B141,$C141)</f>
        <v>0</v>
      </c>
      <c r="F141" s="10">
        <f>_xll.AtlasFormulas.AtlasFunctions.AtlasBalance("PROD",DataAreaId,"T.InventTrans|inventDimId~inventDimId@T.InventDim","Sum|Qty|0","","","","","","","DateFinancial|ItemId|T2.InventSiteId|T2.InventLocationId",PeriodEnding,$A141,$B141,$C141)</f>
        <v>0</v>
      </c>
      <c r="G141" s="10">
        <f>AtlasReport_3_Table_1[[#This Row],[Current On-hand]]-AtlasReport_3_Table_1[[#This Row],[Trans backwords (Beginning)]]</f>
        <v>2724.4</v>
      </c>
      <c r="H141" s="10">
        <f>AtlasReport_3_Table_1[[#This Row],[Current On-hand]]-AtlasReport_3_Table_1[[#This Row],[Trans backwords (Ending)]]</f>
        <v>2724.4</v>
      </c>
    </row>
    <row r="142" spans="1:8">
      <c r="A142" s="8" t="s">
        <v>65</v>
      </c>
      <c r="B142" s="8" t="s">
        <v>371</v>
      </c>
      <c r="C142" s="8" t="s">
        <v>70</v>
      </c>
      <c r="D142" s="10">
        <v>0</v>
      </c>
      <c r="E142" s="10">
        <f>_xll.AtlasFormulas.AtlasFunctions.AtlasBalance("PROD",DataAreaId,"T.InventTrans|inventDimId~inventDimId@T.InventDim","Sum|Qty|0","","","","","","","DateFinancial|ItemId|T2.InventSiteId|T2.InventLocationId",PeriodBeginning,$A142,$B142,$C142)</f>
        <v>0</v>
      </c>
      <c r="F142" s="10">
        <f>_xll.AtlasFormulas.AtlasFunctions.AtlasBalance("PROD",DataAreaId,"T.InventTrans|inventDimId~inventDimId@T.InventDim","Sum|Qty|0","","","","","","","DateFinancial|ItemId|T2.InventSiteId|T2.InventLocationId",PeriodEnding,$A142,$B142,$C142)</f>
        <v>0</v>
      </c>
      <c r="G142" s="10">
        <f>AtlasReport_3_Table_1[[#This Row],[Current On-hand]]-AtlasReport_3_Table_1[[#This Row],[Trans backwords (Beginning)]]</f>
        <v>0</v>
      </c>
      <c r="H142" s="10">
        <f>AtlasReport_3_Table_1[[#This Row],[Current On-hand]]-AtlasReport_3_Table_1[[#This Row],[Trans backwords (Ending)]]</f>
        <v>0</v>
      </c>
    </row>
    <row r="143" spans="1:8">
      <c r="A143" s="8" t="s">
        <v>65</v>
      </c>
      <c r="B143" s="8" t="s">
        <v>371</v>
      </c>
      <c r="C143" s="8" t="s">
        <v>372</v>
      </c>
      <c r="D143" s="10">
        <v>532</v>
      </c>
      <c r="E143" s="10">
        <f>_xll.AtlasFormulas.AtlasFunctions.AtlasBalance("PROD",DataAreaId,"T.InventTrans|inventDimId~inventDimId@T.InventDim","Sum|Qty|0","","","","","","","DateFinancial|ItemId|T2.InventSiteId|T2.InventLocationId",PeriodBeginning,$A143,$B143,$C143)</f>
        <v>0</v>
      </c>
      <c r="F143" s="10">
        <f>_xll.AtlasFormulas.AtlasFunctions.AtlasBalance("PROD",DataAreaId,"T.InventTrans|inventDimId~inventDimId@T.InventDim","Sum|Qty|0","","","","","","","DateFinancial|ItemId|T2.InventSiteId|T2.InventLocationId",PeriodEnding,$A143,$B143,$C143)</f>
        <v>0</v>
      </c>
      <c r="G143" s="10">
        <f>AtlasReport_3_Table_1[[#This Row],[Current On-hand]]-AtlasReport_3_Table_1[[#This Row],[Trans backwords (Beginning)]]</f>
        <v>532</v>
      </c>
      <c r="H143" s="10">
        <f>AtlasReport_3_Table_1[[#This Row],[Current On-hand]]-AtlasReport_3_Table_1[[#This Row],[Trans backwords (Ending)]]</f>
        <v>532</v>
      </c>
    </row>
    <row r="144" spans="1:8">
      <c r="A144" s="8" t="s">
        <v>49</v>
      </c>
      <c r="B144" s="8" t="s">
        <v>371</v>
      </c>
      <c r="C144" s="8" t="s">
        <v>372</v>
      </c>
      <c r="D144" s="10">
        <v>0</v>
      </c>
      <c r="E144" s="10">
        <f>_xll.AtlasFormulas.AtlasFunctions.AtlasBalance("PROD",DataAreaId,"T.InventTrans|inventDimId~inventDimId@T.InventDim","Sum|Qty|0","","","","","","","DateFinancial|ItemId|T2.InventSiteId|T2.InventLocationId",PeriodBeginning,$A144,$B144,$C144)</f>
        <v>0</v>
      </c>
      <c r="F144" s="10">
        <f>_xll.AtlasFormulas.AtlasFunctions.AtlasBalance("PROD",DataAreaId,"T.InventTrans|inventDimId~inventDimId@T.InventDim","Sum|Qty|0","","","","","","","DateFinancial|ItemId|T2.InventSiteId|T2.InventLocationId",PeriodEnding,$A144,$B144,$C144)</f>
        <v>0</v>
      </c>
      <c r="G144" s="10">
        <f>AtlasReport_3_Table_1[[#This Row],[Current On-hand]]-AtlasReport_3_Table_1[[#This Row],[Trans backwords (Beginning)]]</f>
        <v>0</v>
      </c>
      <c r="H144" s="10">
        <f>AtlasReport_3_Table_1[[#This Row],[Current On-hand]]-AtlasReport_3_Table_1[[#This Row],[Trans backwords (Ending)]]</f>
        <v>0</v>
      </c>
    </row>
    <row r="145" spans="1:8">
      <c r="A145" s="8" t="s">
        <v>98</v>
      </c>
      <c r="B145" s="8" t="s">
        <v>371</v>
      </c>
      <c r="C145" s="8" t="s">
        <v>70</v>
      </c>
      <c r="D145" s="10">
        <v>0</v>
      </c>
      <c r="E145" s="10">
        <f>_xll.AtlasFormulas.AtlasFunctions.AtlasBalance("PROD",DataAreaId,"T.InventTrans|inventDimId~inventDimId@T.InventDim","Sum|Qty|0","","","","","","","DateFinancial|ItemId|T2.InventSiteId|T2.InventLocationId",PeriodBeginning,$A145,$B145,$C145)</f>
        <v>0</v>
      </c>
      <c r="F145" s="10">
        <f>_xll.AtlasFormulas.AtlasFunctions.AtlasBalance("PROD",DataAreaId,"T.InventTrans|inventDimId~inventDimId@T.InventDim","Sum|Qty|0","","","","","","","DateFinancial|ItemId|T2.InventSiteId|T2.InventLocationId",PeriodEnding,$A145,$B145,$C145)</f>
        <v>0</v>
      </c>
      <c r="G145" s="10">
        <f>AtlasReport_3_Table_1[[#This Row],[Current On-hand]]-AtlasReport_3_Table_1[[#This Row],[Trans backwords (Beginning)]]</f>
        <v>0</v>
      </c>
      <c r="H145" s="10">
        <f>AtlasReport_3_Table_1[[#This Row],[Current On-hand]]-AtlasReport_3_Table_1[[#This Row],[Trans backwords (Ending)]]</f>
        <v>0</v>
      </c>
    </row>
    <row r="146" spans="1:8">
      <c r="A146" s="8" t="s">
        <v>98</v>
      </c>
      <c r="B146" s="8" t="s">
        <v>371</v>
      </c>
      <c r="C146" s="8" t="s">
        <v>372</v>
      </c>
      <c r="D146" s="10">
        <v>785.28</v>
      </c>
      <c r="E146" s="10">
        <f>_xll.AtlasFormulas.AtlasFunctions.AtlasBalance("PROD",DataAreaId,"T.InventTrans|inventDimId~inventDimId@T.InventDim","Sum|Qty|0","","","","","","","DateFinancial|ItemId|T2.InventSiteId|T2.InventLocationId",PeriodBeginning,$A146,$B146,$C146)</f>
        <v>0</v>
      </c>
      <c r="F146" s="10">
        <f>_xll.AtlasFormulas.AtlasFunctions.AtlasBalance("PROD",DataAreaId,"T.InventTrans|inventDimId~inventDimId@T.InventDim","Sum|Qty|0","","","","","","","DateFinancial|ItemId|T2.InventSiteId|T2.InventLocationId",PeriodEnding,$A146,$B146,$C146)</f>
        <v>0</v>
      </c>
      <c r="G146" s="10">
        <f>AtlasReport_3_Table_1[[#This Row],[Current On-hand]]-AtlasReport_3_Table_1[[#This Row],[Trans backwords (Beginning)]]</f>
        <v>785.28</v>
      </c>
      <c r="H146" s="10">
        <f>AtlasReport_3_Table_1[[#This Row],[Current On-hand]]-AtlasReport_3_Table_1[[#This Row],[Trans backwords (Ending)]]</f>
        <v>785.28</v>
      </c>
    </row>
    <row r="147" spans="1:8">
      <c r="A147" s="8" t="s">
        <v>50</v>
      </c>
      <c r="B147" s="8" t="s">
        <v>371</v>
      </c>
      <c r="C147" s="8" t="s">
        <v>70</v>
      </c>
      <c r="D147" s="10">
        <v>0</v>
      </c>
      <c r="E147" s="10">
        <f>_xll.AtlasFormulas.AtlasFunctions.AtlasBalance("PROD",DataAreaId,"T.InventTrans|inventDimId~inventDimId@T.InventDim","Sum|Qty|0","","","","","","","DateFinancial|ItemId|T2.InventSiteId|T2.InventLocationId",PeriodBeginning,$A147,$B147,$C147)</f>
        <v>0</v>
      </c>
      <c r="F147" s="10">
        <f>_xll.AtlasFormulas.AtlasFunctions.AtlasBalance("PROD",DataAreaId,"T.InventTrans|inventDimId~inventDimId@T.InventDim","Sum|Qty|0","","","","","","","DateFinancial|ItemId|T2.InventSiteId|T2.InventLocationId",PeriodEnding,$A147,$B147,$C147)</f>
        <v>0</v>
      </c>
      <c r="G147" s="10">
        <f>AtlasReport_3_Table_1[[#This Row],[Current On-hand]]-AtlasReport_3_Table_1[[#This Row],[Trans backwords (Beginning)]]</f>
        <v>0</v>
      </c>
      <c r="H147" s="10">
        <f>AtlasReport_3_Table_1[[#This Row],[Current On-hand]]-AtlasReport_3_Table_1[[#This Row],[Trans backwords (Ending)]]</f>
        <v>0</v>
      </c>
    </row>
    <row r="148" spans="1:8">
      <c r="A148" s="8" t="s">
        <v>50</v>
      </c>
      <c r="B148" s="8" t="s">
        <v>371</v>
      </c>
      <c r="C148" s="8" t="s">
        <v>372</v>
      </c>
      <c r="D148" s="10">
        <v>176.06</v>
      </c>
      <c r="E148" s="10">
        <f>_xll.AtlasFormulas.AtlasFunctions.AtlasBalance("PROD",DataAreaId,"T.InventTrans|inventDimId~inventDimId@T.InventDim","Sum|Qty|0","","","","","","","DateFinancial|ItemId|T2.InventSiteId|T2.InventLocationId",PeriodBeginning,$A148,$B148,$C148)</f>
        <v>-269.5</v>
      </c>
      <c r="F148" s="10">
        <f>_xll.AtlasFormulas.AtlasFunctions.AtlasBalance("PROD",DataAreaId,"T.InventTrans|inventDimId~inventDimId@T.InventDim","Sum|Qty|0","","","","","","","DateFinancial|ItemId|T2.InventSiteId|T2.InventLocationId",PeriodEnding,$A148,$B148,$C148)</f>
        <v>0</v>
      </c>
      <c r="G148" s="10">
        <f>AtlasReport_3_Table_1[[#This Row],[Current On-hand]]-AtlasReport_3_Table_1[[#This Row],[Trans backwords (Beginning)]]</f>
        <v>445.56</v>
      </c>
      <c r="H148" s="10">
        <f>AtlasReport_3_Table_1[[#This Row],[Current On-hand]]-AtlasReport_3_Table_1[[#This Row],[Trans backwords (Ending)]]</f>
        <v>176.06</v>
      </c>
    </row>
    <row r="149" spans="1:8">
      <c r="A149" s="8" t="s">
        <v>51</v>
      </c>
      <c r="B149" s="8" t="s">
        <v>371</v>
      </c>
      <c r="C149" s="8" t="s">
        <v>70</v>
      </c>
      <c r="D149" s="10">
        <v>0</v>
      </c>
      <c r="E149" s="10">
        <f>_xll.AtlasFormulas.AtlasFunctions.AtlasBalance("PROD",DataAreaId,"T.InventTrans|inventDimId~inventDimId@T.InventDim","Sum|Qty|0","","","","","","","DateFinancial|ItemId|T2.InventSiteId|T2.InventLocationId",PeriodBeginning,$A149,$B149,$C149)</f>
        <v>0</v>
      </c>
      <c r="F149" s="10">
        <f>_xll.AtlasFormulas.AtlasFunctions.AtlasBalance("PROD",DataAreaId,"T.InventTrans|inventDimId~inventDimId@T.InventDim","Sum|Qty|0","","","","","","","DateFinancial|ItemId|T2.InventSiteId|T2.InventLocationId",PeriodEnding,$A149,$B149,$C149)</f>
        <v>0</v>
      </c>
      <c r="G149" s="10">
        <f>AtlasReport_3_Table_1[[#This Row],[Current On-hand]]-AtlasReport_3_Table_1[[#This Row],[Trans backwords (Beginning)]]</f>
        <v>0</v>
      </c>
      <c r="H149" s="10">
        <f>AtlasReport_3_Table_1[[#This Row],[Current On-hand]]-AtlasReport_3_Table_1[[#This Row],[Trans backwords (Ending)]]</f>
        <v>0</v>
      </c>
    </row>
    <row r="150" spans="1:8">
      <c r="A150" s="8" t="s">
        <v>51</v>
      </c>
      <c r="B150" s="8" t="s">
        <v>371</v>
      </c>
      <c r="C150" s="8" t="s">
        <v>372</v>
      </c>
      <c r="D150" s="10">
        <v>277.89999999999998</v>
      </c>
      <c r="E150" s="10">
        <f>_xll.AtlasFormulas.AtlasFunctions.AtlasBalance("PROD",DataAreaId,"T.InventTrans|inventDimId~inventDimId@T.InventDim","Sum|Qty|0","","","","","","","DateFinancial|ItemId|T2.InventSiteId|T2.InventLocationId",PeriodBeginning,$A150,$B150,$C150)</f>
        <v>0</v>
      </c>
      <c r="F150" s="10">
        <f>_xll.AtlasFormulas.AtlasFunctions.AtlasBalance("PROD",DataAreaId,"T.InventTrans|inventDimId~inventDimId@T.InventDim","Sum|Qty|0","","","","","","","DateFinancial|ItemId|T2.InventSiteId|T2.InventLocationId",PeriodEnding,$A150,$B150,$C150)</f>
        <v>0</v>
      </c>
      <c r="G150" s="10">
        <f>AtlasReport_3_Table_1[[#This Row],[Current On-hand]]-AtlasReport_3_Table_1[[#This Row],[Trans backwords (Beginning)]]</f>
        <v>277.89999999999998</v>
      </c>
      <c r="H150" s="10">
        <f>AtlasReport_3_Table_1[[#This Row],[Current On-hand]]-AtlasReport_3_Table_1[[#This Row],[Trans backwords (Ending)]]</f>
        <v>277.89999999999998</v>
      </c>
    </row>
    <row r="151" spans="1:8">
      <c r="A151" s="8" t="s">
        <v>86</v>
      </c>
      <c r="B151" s="8" t="s">
        <v>371</v>
      </c>
      <c r="C151" s="8" t="s">
        <v>70</v>
      </c>
      <c r="D151" s="10">
        <v>0</v>
      </c>
      <c r="E151" s="10">
        <f>_xll.AtlasFormulas.AtlasFunctions.AtlasBalance("PROD",DataAreaId,"T.InventTrans|inventDimId~inventDimId@T.InventDim","Sum|Qty|0","","","","","","","DateFinancial|ItemId|T2.InventSiteId|T2.InventLocationId",PeriodBeginning,$A151,$B151,$C151)</f>
        <v>0</v>
      </c>
      <c r="F151" s="10">
        <f>_xll.AtlasFormulas.AtlasFunctions.AtlasBalance("PROD",DataAreaId,"T.InventTrans|inventDimId~inventDimId@T.InventDim","Sum|Qty|0","","","","","","","DateFinancial|ItemId|T2.InventSiteId|T2.InventLocationId",PeriodEnding,$A151,$B151,$C151)</f>
        <v>0</v>
      </c>
      <c r="G151" s="10">
        <f>AtlasReport_3_Table_1[[#This Row],[Current On-hand]]-AtlasReport_3_Table_1[[#This Row],[Trans backwords (Beginning)]]</f>
        <v>0</v>
      </c>
      <c r="H151" s="10">
        <f>AtlasReport_3_Table_1[[#This Row],[Current On-hand]]-AtlasReport_3_Table_1[[#This Row],[Trans backwords (Ending)]]</f>
        <v>0</v>
      </c>
    </row>
    <row r="152" spans="1:8">
      <c r="A152" s="8" t="s">
        <v>86</v>
      </c>
      <c r="B152" s="8" t="s">
        <v>371</v>
      </c>
      <c r="C152" s="8" t="s">
        <v>372</v>
      </c>
      <c r="D152" s="10">
        <v>128.53</v>
      </c>
      <c r="E152" s="10">
        <f>_xll.AtlasFormulas.AtlasFunctions.AtlasBalance("PROD",DataAreaId,"T.InventTrans|inventDimId~inventDimId@T.InventDim","Sum|Qty|0","","","","","","","DateFinancial|ItemId|T2.InventSiteId|T2.InventLocationId",PeriodBeginning,$A152,$B152,$C152)</f>
        <v>-277.08999999999997</v>
      </c>
      <c r="F152" s="10">
        <f>_xll.AtlasFormulas.AtlasFunctions.AtlasBalance("PROD",DataAreaId,"T.InventTrans|inventDimId~inventDimId@T.InventDim","Sum|Qty|0","","","","","","","DateFinancial|ItemId|T2.InventSiteId|T2.InventLocationId",PeriodEnding,$A152,$B152,$C152)</f>
        <v>0</v>
      </c>
      <c r="G152" s="10">
        <f>AtlasReport_3_Table_1[[#This Row],[Current On-hand]]-AtlasReport_3_Table_1[[#This Row],[Trans backwords (Beginning)]]</f>
        <v>405.62</v>
      </c>
      <c r="H152" s="10">
        <f>AtlasReport_3_Table_1[[#This Row],[Current On-hand]]-AtlasReport_3_Table_1[[#This Row],[Trans backwords (Ending)]]</f>
        <v>128.53</v>
      </c>
    </row>
    <row r="153" spans="1:8">
      <c r="A153" s="8" t="s">
        <v>24</v>
      </c>
      <c r="B153" s="8" t="s">
        <v>371</v>
      </c>
      <c r="C153" s="8" t="s">
        <v>70</v>
      </c>
      <c r="D153" s="10">
        <v>0</v>
      </c>
      <c r="E153" s="10">
        <f>_xll.AtlasFormulas.AtlasFunctions.AtlasBalance("PROD",DataAreaId,"T.InventTrans|inventDimId~inventDimId@T.InventDim","Sum|Qty|0","","","","","","","DateFinancial|ItemId|T2.InventSiteId|T2.InventLocationId",PeriodBeginning,$A153,$B153,$C153)</f>
        <v>0</v>
      </c>
      <c r="F153" s="10">
        <f>_xll.AtlasFormulas.AtlasFunctions.AtlasBalance("PROD",DataAreaId,"T.InventTrans|inventDimId~inventDimId@T.InventDim","Sum|Qty|0","","","","","","","DateFinancial|ItemId|T2.InventSiteId|T2.InventLocationId",PeriodEnding,$A153,$B153,$C153)</f>
        <v>0</v>
      </c>
      <c r="G153" s="10">
        <f>AtlasReport_3_Table_1[[#This Row],[Current On-hand]]-AtlasReport_3_Table_1[[#This Row],[Trans backwords (Beginning)]]</f>
        <v>0</v>
      </c>
      <c r="H153" s="10">
        <f>AtlasReport_3_Table_1[[#This Row],[Current On-hand]]-AtlasReport_3_Table_1[[#This Row],[Trans backwords (Ending)]]</f>
        <v>0</v>
      </c>
    </row>
    <row r="154" spans="1:8">
      <c r="A154" s="8" t="s">
        <v>24</v>
      </c>
      <c r="B154" s="8" t="s">
        <v>371</v>
      </c>
      <c r="C154" s="8" t="s">
        <v>372</v>
      </c>
      <c r="D154" s="10">
        <v>481.34</v>
      </c>
      <c r="E154" s="10">
        <f>_xll.AtlasFormulas.AtlasFunctions.AtlasBalance("PROD",DataAreaId,"T.InventTrans|inventDimId~inventDimId@T.InventDim","Sum|Qty|0","","","","","","","DateFinancial|ItemId|T2.InventSiteId|T2.InventLocationId",PeriodBeginning,$A154,$B154,$C154)</f>
        <v>0</v>
      </c>
      <c r="F154" s="10">
        <f>_xll.AtlasFormulas.AtlasFunctions.AtlasBalance("PROD",DataAreaId,"T.InventTrans|inventDimId~inventDimId@T.InventDim","Sum|Qty|0","","","","","","","DateFinancial|ItemId|T2.InventSiteId|T2.InventLocationId",PeriodEnding,$A154,$B154,$C154)</f>
        <v>0</v>
      </c>
      <c r="G154" s="10">
        <f>AtlasReport_3_Table_1[[#This Row],[Current On-hand]]-AtlasReport_3_Table_1[[#This Row],[Trans backwords (Beginning)]]</f>
        <v>481.34</v>
      </c>
      <c r="H154" s="10">
        <f>AtlasReport_3_Table_1[[#This Row],[Current On-hand]]-AtlasReport_3_Table_1[[#This Row],[Trans backwords (Ending)]]</f>
        <v>481.34</v>
      </c>
    </row>
    <row r="155" spans="1:8">
      <c r="A155" s="8" t="s">
        <v>107</v>
      </c>
      <c r="B155" s="8" t="s">
        <v>371</v>
      </c>
      <c r="C155" s="8" t="s">
        <v>70</v>
      </c>
      <c r="D155" s="10">
        <v>0</v>
      </c>
      <c r="E155" s="10">
        <f>_xll.AtlasFormulas.AtlasFunctions.AtlasBalance("PROD",DataAreaId,"T.InventTrans|inventDimId~inventDimId@T.InventDim","Sum|Qty|0","","","","","","","DateFinancial|ItemId|T2.InventSiteId|T2.InventLocationId",PeriodBeginning,$A155,$B155,$C155)</f>
        <v>0</v>
      </c>
      <c r="F155" s="10">
        <f>_xll.AtlasFormulas.AtlasFunctions.AtlasBalance("PROD",DataAreaId,"T.InventTrans|inventDimId~inventDimId@T.InventDim","Sum|Qty|0","","","","","","","DateFinancial|ItemId|T2.InventSiteId|T2.InventLocationId",PeriodEnding,$A155,$B155,$C155)</f>
        <v>0</v>
      </c>
      <c r="G155" s="10">
        <f>AtlasReport_3_Table_1[[#This Row],[Current On-hand]]-AtlasReport_3_Table_1[[#This Row],[Trans backwords (Beginning)]]</f>
        <v>0</v>
      </c>
      <c r="H155" s="10">
        <f>AtlasReport_3_Table_1[[#This Row],[Current On-hand]]-AtlasReport_3_Table_1[[#This Row],[Trans backwords (Ending)]]</f>
        <v>0</v>
      </c>
    </row>
    <row r="156" spans="1:8">
      <c r="A156" s="8" t="s">
        <v>107</v>
      </c>
      <c r="B156" s="8" t="s">
        <v>371</v>
      </c>
      <c r="C156" s="8" t="s">
        <v>372</v>
      </c>
      <c r="D156" s="10">
        <v>366.68</v>
      </c>
      <c r="E156" s="10">
        <f>_xll.AtlasFormulas.AtlasFunctions.AtlasBalance("PROD",DataAreaId,"T.InventTrans|inventDimId~inventDimId@T.InventDim","Sum|Qty|0","","","","","","","DateFinancial|ItemId|T2.InventSiteId|T2.InventLocationId",PeriodBeginning,$A156,$B156,$C156)</f>
        <v>0</v>
      </c>
      <c r="F156" s="10">
        <f>_xll.AtlasFormulas.AtlasFunctions.AtlasBalance("PROD",DataAreaId,"T.InventTrans|inventDimId~inventDimId@T.InventDim","Sum|Qty|0","","","","","","","DateFinancial|ItemId|T2.InventSiteId|T2.InventLocationId",PeriodEnding,$A156,$B156,$C156)</f>
        <v>0</v>
      </c>
      <c r="G156" s="10">
        <f>AtlasReport_3_Table_1[[#This Row],[Current On-hand]]-AtlasReport_3_Table_1[[#This Row],[Trans backwords (Beginning)]]</f>
        <v>366.68</v>
      </c>
      <c r="H156" s="10">
        <f>AtlasReport_3_Table_1[[#This Row],[Current On-hand]]-AtlasReport_3_Table_1[[#This Row],[Trans backwords (Ending)]]</f>
        <v>366.68</v>
      </c>
    </row>
    <row r="157" spans="1:8">
      <c r="A157" s="8" t="s">
        <v>93</v>
      </c>
      <c r="B157" s="8" t="s">
        <v>371</v>
      </c>
      <c r="C157" s="8" t="s">
        <v>70</v>
      </c>
      <c r="D157" s="10">
        <v>0</v>
      </c>
      <c r="E157" s="10">
        <f>_xll.AtlasFormulas.AtlasFunctions.AtlasBalance("PROD",DataAreaId,"T.InventTrans|inventDimId~inventDimId@T.InventDim","Sum|Qty|0","","","","","","","DateFinancial|ItemId|T2.InventSiteId|T2.InventLocationId",PeriodBeginning,$A157,$B157,$C157)</f>
        <v>0</v>
      </c>
      <c r="F157" s="10">
        <f>_xll.AtlasFormulas.AtlasFunctions.AtlasBalance("PROD",DataAreaId,"T.InventTrans|inventDimId~inventDimId@T.InventDim","Sum|Qty|0","","","","","","","DateFinancial|ItemId|T2.InventSiteId|T2.InventLocationId",PeriodEnding,$A157,$B157,$C157)</f>
        <v>0</v>
      </c>
      <c r="G157" s="10">
        <f>AtlasReport_3_Table_1[[#This Row],[Current On-hand]]-AtlasReport_3_Table_1[[#This Row],[Trans backwords (Beginning)]]</f>
        <v>0</v>
      </c>
      <c r="H157" s="10">
        <f>AtlasReport_3_Table_1[[#This Row],[Current On-hand]]-AtlasReport_3_Table_1[[#This Row],[Trans backwords (Ending)]]</f>
        <v>0</v>
      </c>
    </row>
    <row r="158" spans="1:8">
      <c r="A158" s="8" t="s">
        <v>93</v>
      </c>
      <c r="B158" s="8" t="s">
        <v>371</v>
      </c>
      <c r="C158" s="8" t="s">
        <v>372</v>
      </c>
      <c r="D158" s="10">
        <v>1258.53</v>
      </c>
      <c r="E158" s="10">
        <f>_xll.AtlasFormulas.AtlasFunctions.AtlasBalance("PROD",DataAreaId,"T.InventTrans|inventDimId~inventDimId@T.InventDim","Sum|Qty|0","","","","","","","DateFinancial|ItemId|T2.InventSiteId|T2.InventLocationId",PeriodBeginning,$A158,$B158,$C158)</f>
        <v>-78</v>
      </c>
      <c r="F158" s="10">
        <f>_xll.AtlasFormulas.AtlasFunctions.AtlasBalance("PROD",DataAreaId,"T.InventTrans|inventDimId~inventDimId@T.InventDim","Sum|Qty|0","","","","","","","DateFinancial|ItemId|T2.InventSiteId|T2.InventLocationId",PeriodEnding,$A158,$B158,$C158)</f>
        <v>0</v>
      </c>
      <c r="G158" s="10">
        <f>AtlasReport_3_Table_1[[#This Row],[Current On-hand]]-AtlasReport_3_Table_1[[#This Row],[Trans backwords (Beginning)]]</f>
        <v>1336.53</v>
      </c>
      <c r="H158" s="10">
        <f>AtlasReport_3_Table_1[[#This Row],[Current On-hand]]-AtlasReport_3_Table_1[[#This Row],[Trans backwords (Ending)]]</f>
        <v>1258.53</v>
      </c>
    </row>
    <row r="159" spans="1:8">
      <c r="A159" s="8" t="s">
        <v>52</v>
      </c>
      <c r="B159" s="8" t="s">
        <v>371</v>
      </c>
      <c r="C159" s="8" t="s">
        <v>70</v>
      </c>
      <c r="D159" s="10">
        <v>0</v>
      </c>
      <c r="E159" s="10">
        <f>_xll.AtlasFormulas.AtlasFunctions.AtlasBalance("PROD",DataAreaId,"T.InventTrans|inventDimId~inventDimId@T.InventDim","Sum|Qty|0","","","","","","","DateFinancial|ItemId|T2.InventSiteId|T2.InventLocationId",PeriodBeginning,$A159,$B159,$C159)</f>
        <v>0</v>
      </c>
      <c r="F159" s="10">
        <f>_xll.AtlasFormulas.AtlasFunctions.AtlasBalance("PROD",DataAreaId,"T.InventTrans|inventDimId~inventDimId@T.InventDim","Sum|Qty|0","","","","","","","DateFinancial|ItemId|T2.InventSiteId|T2.InventLocationId",PeriodEnding,$A159,$B159,$C159)</f>
        <v>0</v>
      </c>
      <c r="G159" s="10">
        <f>AtlasReport_3_Table_1[[#This Row],[Current On-hand]]-AtlasReport_3_Table_1[[#This Row],[Trans backwords (Beginning)]]</f>
        <v>0</v>
      </c>
      <c r="H159" s="10">
        <f>AtlasReport_3_Table_1[[#This Row],[Current On-hand]]-AtlasReport_3_Table_1[[#This Row],[Trans backwords (Ending)]]</f>
        <v>0</v>
      </c>
    </row>
    <row r="160" spans="1:8">
      <c r="A160" s="8" t="s">
        <v>52</v>
      </c>
      <c r="B160" s="8" t="s">
        <v>371</v>
      </c>
      <c r="C160" s="8" t="s">
        <v>372</v>
      </c>
      <c r="D160" s="10">
        <v>704.56000000000006</v>
      </c>
      <c r="E160" s="10">
        <f>_xll.AtlasFormulas.AtlasFunctions.AtlasBalance("PROD",DataAreaId,"T.InventTrans|inventDimId~inventDimId@T.InventDim","Sum|Qty|0","","","","","","","DateFinancial|ItemId|T2.InventSiteId|T2.InventLocationId",PeriodBeginning,$A160,$B160,$C160)</f>
        <v>0</v>
      </c>
      <c r="F160" s="10">
        <f>_xll.AtlasFormulas.AtlasFunctions.AtlasBalance("PROD",DataAreaId,"T.InventTrans|inventDimId~inventDimId@T.InventDim","Sum|Qty|0","","","","","","","DateFinancial|ItemId|T2.InventSiteId|T2.InventLocationId",PeriodEnding,$A160,$B160,$C160)</f>
        <v>0</v>
      </c>
      <c r="G160" s="10">
        <f>AtlasReport_3_Table_1[[#This Row],[Current On-hand]]-AtlasReport_3_Table_1[[#This Row],[Trans backwords (Beginning)]]</f>
        <v>704.56000000000006</v>
      </c>
      <c r="H160" s="10">
        <f>AtlasReport_3_Table_1[[#This Row],[Current On-hand]]-AtlasReport_3_Table_1[[#This Row],[Trans backwords (Ending)]]</f>
        <v>704.56000000000006</v>
      </c>
    </row>
    <row r="161" spans="1:8">
      <c r="A161" s="8" t="s">
        <v>88</v>
      </c>
      <c r="B161" s="8" t="s">
        <v>371</v>
      </c>
      <c r="C161" s="8" t="s">
        <v>70</v>
      </c>
      <c r="D161" s="10">
        <v>0</v>
      </c>
      <c r="E161" s="10">
        <f>_xll.AtlasFormulas.AtlasFunctions.AtlasBalance("PROD",DataAreaId,"T.InventTrans|inventDimId~inventDimId@T.InventDim","Sum|Qty|0","","","","","","","DateFinancial|ItemId|T2.InventSiteId|T2.InventLocationId",PeriodBeginning,$A161,$B161,$C161)</f>
        <v>0</v>
      </c>
      <c r="F161" s="10">
        <f>_xll.AtlasFormulas.AtlasFunctions.AtlasBalance("PROD",DataAreaId,"T.InventTrans|inventDimId~inventDimId@T.InventDim","Sum|Qty|0","","","","","","","DateFinancial|ItemId|T2.InventSiteId|T2.InventLocationId",PeriodEnding,$A161,$B161,$C161)</f>
        <v>0</v>
      </c>
      <c r="G161" s="10">
        <f>AtlasReport_3_Table_1[[#This Row],[Current On-hand]]-AtlasReport_3_Table_1[[#This Row],[Trans backwords (Beginning)]]</f>
        <v>0</v>
      </c>
      <c r="H161" s="10">
        <f>AtlasReport_3_Table_1[[#This Row],[Current On-hand]]-AtlasReport_3_Table_1[[#This Row],[Trans backwords (Ending)]]</f>
        <v>0</v>
      </c>
    </row>
    <row r="162" spans="1:8">
      <c r="A162" s="8" t="s">
        <v>88</v>
      </c>
      <c r="B162" s="8" t="s">
        <v>371</v>
      </c>
      <c r="C162" s="8" t="s">
        <v>372</v>
      </c>
      <c r="D162" s="10">
        <v>1638.88</v>
      </c>
      <c r="E162" s="10">
        <f>_xll.AtlasFormulas.AtlasFunctions.AtlasBalance("PROD",DataAreaId,"T.InventTrans|inventDimId~inventDimId@T.InventDim","Sum|Qty|0","","","","","","","DateFinancial|ItemId|T2.InventSiteId|T2.InventLocationId",PeriodBeginning,$A162,$B162,$C162)</f>
        <v>-319.48</v>
      </c>
      <c r="F162" s="10">
        <f>_xll.AtlasFormulas.AtlasFunctions.AtlasBalance("PROD",DataAreaId,"T.InventTrans|inventDimId~inventDimId@T.InventDim","Sum|Qty|0","","","","","","","DateFinancial|ItemId|T2.InventSiteId|T2.InventLocationId",PeriodEnding,$A162,$B162,$C162)</f>
        <v>0</v>
      </c>
      <c r="G162" s="10">
        <f>AtlasReport_3_Table_1[[#This Row],[Current On-hand]]-AtlasReport_3_Table_1[[#This Row],[Trans backwords (Beginning)]]</f>
        <v>1958.3600000000001</v>
      </c>
      <c r="H162" s="10">
        <f>AtlasReport_3_Table_1[[#This Row],[Current On-hand]]-AtlasReport_3_Table_1[[#This Row],[Trans backwords (Ending)]]</f>
        <v>1638.88</v>
      </c>
    </row>
    <row r="163" spans="1:8">
      <c r="A163" s="8" t="s">
        <v>53</v>
      </c>
      <c r="B163" s="8" t="s">
        <v>371</v>
      </c>
      <c r="C163" s="8" t="s">
        <v>70</v>
      </c>
      <c r="D163" s="10">
        <v>0</v>
      </c>
      <c r="E163" s="10">
        <f>_xll.AtlasFormulas.AtlasFunctions.AtlasBalance("PROD",DataAreaId,"T.InventTrans|inventDimId~inventDimId@T.InventDim","Sum|Qty|0","","","","","","","DateFinancial|ItemId|T2.InventSiteId|T2.InventLocationId",PeriodBeginning,$A163,$B163,$C163)</f>
        <v>0</v>
      </c>
      <c r="F163" s="10">
        <f>_xll.AtlasFormulas.AtlasFunctions.AtlasBalance("PROD",DataAreaId,"T.InventTrans|inventDimId~inventDimId@T.InventDim","Sum|Qty|0","","","","","","","DateFinancial|ItemId|T2.InventSiteId|T2.InventLocationId",PeriodEnding,$A163,$B163,$C163)</f>
        <v>0</v>
      </c>
      <c r="G163" s="10">
        <f>AtlasReport_3_Table_1[[#This Row],[Current On-hand]]-AtlasReport_3_Table_1[[#This Row],[Trans backwords (Beginning)]]</f>
        <v>0</v>
      </c>
      <c r="H163" s="10">
        <f>AtlasReport_3_Table_1[[#This Row],[Current On-hand]]-AtlasReport_3_Table_1[[#This Row],[Trans backwords (Ending)]]</f>
        <v>0</v>
      </c>
    </row>
    <row r="164" spans="1:8">
      <c r="A164" s="8" t="s">
        <v>53</v>
      </c>
      <c r="B164" s="8" t="s">
        <v>371</v>
      </c>
      <c r="C164" s="8" t="s">
        <v>372</v>
      </c>
      <c r="D164" s="10">
        <v>1676.37</v>
      </c>
      <c r="E164" s="10">
        <f>_xll.AtlasFormulas.AtlasFunctions.AtlasBalance("PROD",DataAreaId,"T.InventTrans|inventDimId~inventDimId@T.InventDim","Sum|Qty|0","","","","","","","DateFinancial|ItemId|T2.InventSiteId|T2.InventLocationId",PeriodBeginning,$A164,$B164,$C164)</f>
        <v>-203.28</v>
      </c>
      <c r="F164" s="10">
        <f>_xll.AtlasFormulas.AtlasFunctions.AtlasBalance("PROD",DataAreaId,"T.InventTrans|inventDimId~inventDimId@T.InventDim","Sum|Qty|0","","","","","","","DateFinancial|ItemId|T2.InventSiteId|T2.InventLocationId",PeriodEnding,$A164,$B164,$C164)</f>
        <v>0</v>
      </c>
      <c r="G164" s="10">
        <f>AtlasReport_3_Table_1[[#This Row],[Current On-hand]]-AtlasReport_3_Table_1[[#This Row],[Trans backwords (Beginning)]]</f>
        <v>1879.6499999999999</v>
      </c>
      <c r="H164" s="10">
        <f>AtlasReport_3_Table_1[[#This Row],[Current On-hand]]-AtlasReport_3_Table_1[[#This Row],[Trans backwords (Ending)]]</f>
        <v>1676.37</v>
      </c>
    </row>
    <row r="165" spans="1:8">
      <c r="A165" s="8" t="s">
        <v>109</v>
      </c>
      <c r="B165" s="8" t="s">
        <v>371</v>
      </c>
      <c r="C165" s="8" t="s">
        <v>70</v>
      </c>
      <c r="D165" s="10">
        <v>0</v>
      </c>
      <c r="E165" s="10">
        <f>_xll.AtlasFormulas.AtlasFunctions.AtlasBalance("PROD",DataAreaId,"T.InventTrans|inventDimId~inventDimId@T.InventDim","Sum|Qty|0","","","","","","","DateFinancial|ItemId|T2.InventSiteId|T2.InventLocationId",PeriodBeginning,$A165,$B165,$C165)</f>
        <v>0</v>
      </c>
      <c r="F165" s="10">
        <f>_xll.AtlasFormulas.AtlasFunctions.AtlasBalance("PROD",DataAreaId,"T.InventTrans|inventDimId~inventDimId@T.InventDim","Sum|Qty|0","","","","","","","DateFinancial|ItemId|T2.InventSiteId|T2.InventLocationId",PeriodEnding,$A165,$B165,$C165)</f>
        <v>0</v>
      </c>
      <c r="G165" s="10">
        <f>AtlasReport_3_Table_1[[#This Row],[Current On-hand]]-AtlasReport_3_Table_1[[#This Row],[Trans backwords (Beginning)]]</f>
        <v>0</v>
      </c>
      <c r="H165" s="10">
        <f>AtlasReport_3_Table_1[[#This Row],[Current On-hand]]-AtlasReport_3_Table_1[[#This Row],[Trans backwords (Ending)]]</f>
        <v>0</v>
      </c>
    </row>
    <row r="166" spans="1:8">
      <c r="A166" s="8" t="s">
        <v>109</v>
      </c>
      <c r="B166" s="8" t="s">
        <v>371</v>
      </c>
      <c r="C166" s="8" t="s">
        <v>372</v>
      </c>
      <c r="D166" s="10">
        <v>229</v>
      </c>
      <c r="E166" s="10">
        <f>_xll.AtlasFormulas.AtlasFunctions.AtlasBalance("PROD",DataAreaId,"T.InventTrans|inventDimId~inventDimId@T.InventDim","Sum|Qty|0","","","","","","","DateFinancial|ItemId|T2.InventSiteId|T2.InventLocationId",PeriodBeginning,$A166,$B166,$C166)</f>
        <v>-5</v>
      </c>
      <c r="F166" s="10">
        <f>_xll.AtlasFormulas.AtlasFunctions.AtlasBalance("PROD",DataAreaId,"T.InventTrans|inventDimId~inventDimId@T.InventDim","Sum|Qty|0","","","","","","","DateFinancial|ItemId|T2.InventSiteId|T2.InventLocationId",PeriodEnding,$A166,$B166,$C166)</f>
        <v>0</v>
      </c>
      <c r="G166" s="10">
        <f>AtlasReport_3_Table_1[[#This Row],[Current On-hand]]-AtlasReport_3_Table_1[[#This Row],[Trans backwords (Beginning)]]</f>
        <v>234</v>
      </c>
      <c r="H166" s="10">
        <f>AtlasReport_3_Table_1[[#This Row],[Current On-hand]]-AtlasReport_3_Table_1[[#This Row],[Trans backwords (Ending)]]</f>
        <v>229</v>
      </c>
    </row>
    <row r="167" spans="1:8">
      <c r="A167" s="8" t="s">
        <v>66</v>
      </c>
      <c r="B167" s="8" t="s">
        <v>371</v>
      </c>
      <c r="C167" s="8" t="s">
        <v>70</v>
      </c>
      <c r="D167" s="10">
        <v>0</v>
      </c>
      <c r="E167" s="10">
        <f>_xll.AtlasFormulas.AtlasFunctions.AtlasBalance("PROD",DataAreaId,"T.InventTrans|inventDimId~inventDimId@T.InventDim","Sum|Qty|0","","","","","","","DateFinancial|ItemId|T2.InventSiteId|T2.InventLocationId",PeriodBeginning,$A167,$B167,$C167)</f>
        <v>0</v>
      </c>
      <c r="F167" s="10">
        <f>_xll.AtlasFormulas.AtlasFunctions.AtlasBalance("PROD",DataAreaId,"T.InventTrans|inventDimId~inventDimId@T.InventDim","Sum|Qty|0","","","","","","","DateFinancial|ItemId|T2.InventSiteId|T2.InventLocationId",PeriodEnding,$A167,$B167,$C167)</f>
        <v>0</v>
      </c>
      <c r="G167" s="10">
        <f>AtlasReport_3_Table_1[[#This Row],[Current On-hand]]-AtlasReport_3_Table_1[[#This Row],[Trans backwords (Beginning)]]</f>
        <v>0</v>
      </c>
      <c r="H167" s="10">
        <f>AtlasReport_3_Table_1[[#This Row],[Current On-hand]]-AtlasReport_3_Table_1[[#This Row],[Trans backwords (Ending)]]</f>
        <v>0</v>
      </c>
    </row>
    <row r="168" spans="1:8">
      <c r="A168" s="8" t="s">
        <v>66</v>
      </c>
      <c r="B168" s="8" t="s">
        <v>371</v>
      </c>
      <c r="C168" s="8" t="s">
        <v>372</v>
      </c>
      <c r="D168" s="10">
        <v>10</v>
      </c>
      <c r="E168" s="10">
        <f>_xll.AtlasFormulas.AtlasFunctions.AtlasBalance("PROD",DataAreaId,"T.InventTrans|inventDimId~inventDimId@T.InventDim","Sum|Qty|0","","","","","","","DateFinancial|ItemId|T2.InventSiteId|T2.InventLocationId",PeriodBeginning,$A168,$B168,$C168)</f>
        <v>0</v>
      </c>
      <c r="F168" s="10">
        <f>_xll.AtlasFormulas.AtlasFunctions.AtlasBalance("PROD",DataAreaId,"T.InventTrans|inventDimId~inventDimId@T.InventDim","Sum|Qty|0","","","","","","","DateFinancial|ItemId|T2.InventSiteId|T2.InventLocationId",PeriodEnding,$A168,$B168,$C168)</f>
        <v>0</v>
      </c>
      <c r="G168" s="10">
        <f>AtlasReport_3_Table_1[[#This Row],[Current On-hand]]-AtlasReport_3_Table_1[[#This Row],[Trans backwords (Beginning)]]</f>
        <v>10</v>
      </c>
      <c r="H168" s="10">
        <f>AtlasReport_3_Table_1[[#This Row],[Current On-hand]]-AtlasReport_3_Table_1[[#This Row],[Trans backwords (Ending)]]</f>
        <v>10</v>
      </c>
    </row>
    <row r="169" spans="1:8">
      <c r="A169" s="8" t="s">
        <v>54</v>
      </c>
      <c r="B169" s="8" t="s">
        <v>371</v>
      </c>
      <c r="C169" s="8" t="s">
        <v>70</v>
      </c>
      <c r="D169" s="10">
        <v>0</v>
      </c>
      <c r="E169" s="10">
        <f>_xll.AtlasFormulas.AtlasFunctions.AtlasBalance("PROD",DataAreaId,"T.InventTrans|inventDimId~inventDimId@T.InventDim","Sum|Qty|0","","","","","","","DateFinancial|ItemId|T2.InventSiteId|T2.InventLocationId",PeriodBeginning,$A169,$B169,$C169)</f>
        <v>0</v>
      </c>
      <c r="F169" s="10">
        <f>_xll.AtlasFormulas.AtlasFunctions.AtlasBalance("PROD",DataAreaId,"T.InventTrans|inventDimId~inventDimId@T.InventDim","Sum|Qty|0","","","","","","","DateFinancial|ItemId|T2.InventSiteId|T2.InventLocationId",PeriodEnding,$A169,$B169,$C169)</f>
        <v>0</v>
      </c>
      <c r="G169" s="10">
        <f>AtlasReport_3_Table_1[[#This Row],[Current On-hand]]-AtlasReport_3_Table_1[[#This Row],[Trans backwords (Beginning)]]</f>
        <v>0</v>
      </c>
      <c r="H169" s="10">
        <f>AtlasReport_3_Table_1[[#This Row],[Current On-hand]]-AtlasReport_3_Table_1[[#This Row],[Trans backwords (Ending)]]</f>
        <v>0</v>
      </c>
    </row>
    <row r="170" spans="1:8">
      <c r="A170" s="8" t="s">
        <v>54</v>
      </c>
      <c r="B170" s="8" t="s">
        <v>371</v>
      </c>
      <c r="C170" s="8" t="s">
        <v>372</v>
      </c>
      <c r="D170" s="10">
        <v>420</v>
      </c>
      <c r="E170" s="10">
        <f>_xll.AtlasFormulas.AtlasFunctions.AtlasBalance("PROD",DataAreaId,"T.InventTrans|inventDimId~inventDimId@T.InventDim","Sum|Qty|0","","","","","","","DateFinancial|ItemId|T2.InventSiteId|T2.InventLocationId",PeriodBeginning,$A170,$B170,$C170)</f>
        <v>-300</v>
      </c>
      <c r="F170" s="10">
        <f>_xll.AtlasFormulas.AtlasFunctions.AtlasBalance("PROD",DataAreaId,"T.InventTrans|inventDimId~inventDimId@T.InventDim","Sum|Qty|0","","","","","","","DateFinancial|ItemId|T2.InventSiteId|T2.InventLocationId",PeriodEnding,$A170,$B170,$C170)</f>
        <v>0</v>
      </c>
      <c r="G170" s="10">
        <f>AtlasReport_3_Table_1[[#This Row],[Current On-hand]]-AtlasReport_3_Table_1[[#This Row],[Trans backwords (Beginning)]]</f>
        <v>720</v>
      </c>
      <c r="H170" s="10">
        <f>AtlasReport_3_Table_1[[#This Row],[Current On-hand]]-AtlasReport_3_Table_1[[#This Row],[Trans backwords (Ending)]]</f>
        <v>420</v>
      </c>
    </row>
    <row r="171" spans="1:8">
      <c r="A171" s="8" t="s">
        <v>55</v>
      </c>
      <c r="B171" s="8" t="s">
        <v>371</v>
      </c>
      <c r="C171" s="8" t="s">
        <v>70</v>
      </c>
      <c r="D171" s="10">
        <v>0</v>
      </c>
      <c r="E171" s="10">
        <f>_xll.AtlasFormulas.AtlasFunctions.AtlasBalance("PROD",DataAreaId,"T.InventTrans|inventDimId~inventDimId@T.InventDim","Sum|Qty|0","","","","","","","DateFinancial|ItemId|T2.InventSiteId|T2.InventLocationId",PeriodBeginning,$A171,$B171,$C171)</f>
        <v>0</v>
      </c>
      <c r="F171" s="10">
        <f>_xll.AtlasFormulas.AtlasFunctions.AtlasBalance("PROD",DataAreaId,"T.InventTrans|inventDimId~inventDimId@T.InventDim","Sum|Qty|0","","","","","","","DateFinancial|ItemId|T2.InventSiteId|T2.InventLocationId",PeriodEnding,$A171,$B171,$C171)</f>
        <v>0</v>
      </c>
      <c r="G171" s="10">
        <f>AtlasReport_3_Table_1[[#This Row],[Current On-hand]]-AtlasReport_3_Table_1[[#This Row],[Trans backwords (Beginning)]]</f>
        <v>0</v>
      </c>
      <c r="H171" s="10">
        <f>AtlasReport_3_Table_1[[#This Row],[Current On-hand]]-AtlasReport_3_Table_1[[#This Row],[Trans backwords (Ending)]]</f>
        <v>0</v>
      </c>
    </row>
    <row r="172" spans="1:8">
      <c r="A172" s="8" t="s">
        <v>55</v>
      </c>
      <c r="B172" s="8" t="s">
        <v>371</v>
      </c>
      <c r="C172" s="8" t="s">
        <v>372</v>
      </c>
      <c r="D172" s="10">
        <v>437.53999999999996</v>
      </c>
      <c r="E172" s="10">
        <f>_xll.AtlasFormulas.AtlasFunctions.AtlasBalance("PROD",DataAreaId,"T.InventTrans|inventDimId~inventDimId@T.InventDim","Sum|Qty|0","","","","","","","DateFinancial|ItemId|T2.InventSiteId|T2.InventLocationId",PeriodBeginning,$A172,$B172,$C172)</f>
        <v>-57</v>
      </c>
      <c r="F172" s="10">
        <f>_xll.AtlasFormulas.AtlasFunctions.AtlasBalance("PROD",DataAreaId,"T.InventTrans|inventDimId~inventDimId@T.InventDim","Sum|Qty|0","","","","","","","DateFinancial|ItemId|T2.InventSiteId|T2.InventLocationId",PeriodEnding,$A172,$B172,$C172)</f>
        <v>0</v>
      </c>
      <c r="G172" s="10">
        <f>AtlasReport_3_Table_1[[#This Row],[Current On-hand]]-AtlasReport_3_Table_1[[#This Row],[Trans backwords (Beginning)]]</f>
        <v>494.53999999999996</v>
      </c>
      <c r="H172" s="10">
        <f>AtlasReport_3_Table_1[[#This Row],[Current On-hand]]-AtlasReport_3_Table_1[[#This Row],[Trans backwords (Ending)]]</f>
        <v>437.53999999999996</v>
      </c>
    </row>
    <row r="173" spans="1:8">
      <c r="A173" s="8" t="s">
        <v>21</v>
      </c>
      <c r="B173" s="8" t="s">
        <v>371</v>
      </c>
      <c r="C173" s="8" t="s">
        <v>372</v>
      </c>
      <c r="D173" s="10">
        <v>232.8</v>
      </c>
      <c r="E173" s="10">
        <f>_xll.AtlasFormulas.AtlasFunctions.AtlasBalance("PROD",DataAreaId,"T.InventTrans|inventDimId~inventDimId@T.InventDim","Sum|Qty|0","","","","","","","DateFinancial|ItemId|T2.InventSiteId|T2.InventLocationId",PeriodBeginning,$A173,$B173,$C173)</f>
        <v>0</v>
      </c>
      <c r="F173" s="10">
        <f>_xll.AtlasFormulas.AtlasFunctions.AtlasBalance("PROD",DataAreaId,"T.InventTrans|inventDimId~inventDimId@T.InventDim","Sum|Qty|0","","","","","","","DateFinancial|ItemId|T2.InventSiteId|T2.InventLocationId",PeriodEnding,$A173,$B173,$C173)</f>
        <v>0</v>
      </c>
      <c r="G173" s="10">
        <f>AtlasReport_3_Table_1[[#This Row],[Current On-hand]]-AtlasReport_3_Table_1[[#This Row],[Trans backwords (Beginning)]]</f>
        <v>232.8</v>
      </c>
      <c r="H173" s="10">
        <f>AtlasReport_3_Table_1[[#This Row],[Current On-hand]]-AtlasReport_3_Table_1[[#This Row],[Trans backwords (Ending)]]</f>
        <v>232.8</v>
      </c>
    </row>
    <row r="174" spans="1:8">
      <c r="A174" s="8" t="s">
        <v>68</v>
      </c>
      <c r="B174" s="8" t="s">
        <v>371</v>
      </c>
      <c r="C174" s="8" t="s">
        <v>372</v>
      </c>
      <c r="D174" s="10">
        <v>235</v>
      </c>
      <c r="E174" s="10">
        <f>_xll.AtlasFormulas.AtlasFunctions.AtlasBalance("PROD",DataAreaId,"T.InventTrans|inventDimId~inventDimId@T.InventDim","Sum|Qty|0","","","","","","","DateFinancial|ItemId|T2.InventSiteId|T2.InventLocationId",PeriodBeginning,$A174,$B174,$C174)</f>
        <v>0</v>
      </c>
      <c r="F174" s="10">
        <f>_xll.AtlasFormulas.AtlasFunctions.AtlasBalance("PROD",DataAreaId,"T.InventTrans|inventDimId~inventDimId@T.InventDim","Sum|Qty|0","","","","","","","DateFinancial|ItemId|T2.InventSiteId|T2.InventLocationId",PeriodEnding,$A174,$B174,$C174)</f>
        <v>0</v>
      </c>
      <c r="G174" s="10">
        <f>AtlasReport_3_Table_1[[#This Row],[Current On-hand]]-AtlasReport_3_Table_1[[#This Row],[Trans backwords (Beginning)]]</f>
        <v>235</v>
      </c>
      <c r="H174" s="10">
        <f>AtlasReport_3_Table_1[[#This Row],[Current On-hand]]-AtlasReport_3_Table_1[[#This Row],[Trans backwords (Ending)]]</f>
        <v>235</v>
      </c>
    </row>
    <row r="175" spans="1:8">
      <c r="A175" s="8" t="s">
        <v>56</v>
      </c>
      <c r="B175" s="8" t="s">
        <v>371</v>
      </c>
      <c r="C175" s="8" t="s">
        <v>70</v>
      </c>
      <c r="D175" s="10">
        <v>0</v>
      </c>
      <c r="E175" s="10">
        <f>_xll.AtlasFormulas.AtlasFunctions.AtlasBalance("PROD",DataAreaId,"T.InventTrans|inventDimId~inventDimId@T.InventDim","Sum|Qty|0","","","","","","","DateFinancial|ItemId|T2.InventSiteId|T2.InventLocationId",PeriodBeginning,$A175,$B175,$C175)</f>
        <v>0</v>
      </c>
      <c r="F175" s="10">
        <f>_xll.AtlasFormulas.AtlasFunctions.AtlasBalance("PROD",DataAreaId,"T.InventTrans|inventDimId~inventDimId@T.InventDim","Sum|Qty|0","","","","","","","DateFinancial|ItemId|T2.InventSiteId|T2.InventLocationId",PeriodEnding,$A175,$B175,$C175)</f>
        <v>0</v>
      </c>
      <c r="G175" s="10">
        <f>AtlasReport_3_Table_1[[#This Row],[Current On-hand]]-AtlasReport_3_Table_1[[#This Row],[Trans backwords (Beginning)]]</f>
        <v>0</v>
      </c>
      <c r="H175" s="10">
        <f>AtlasReport_3_Table_1[[#This Row],[Current On-hand]]-AtlasReport_3_Table_1[[#This Row],[Trans backwords (Ending)]]</f>
        <v>0</v>
      </c>
    </row>
    <row r="176" spans="1:8">
      <c r="A176" s="8" t="s">
        <v>56</v>
      </c>
      <c r="B176" s="8" t="s">
        <v>371</v>
      </c>
      <c r="C176" s="8" t="s">
        <v>372</v>
      </c>
      <c r="D176" s="10">
        <v>705.06999999999994</v>
      </c>
      <c r="E176" s="10">
        <f>_xll.AtlasFormulas.AtlasFunctions.AtlasBalance("PROD",DataAreaId,"T.InventTrans|inventDimId~inventDimId@T.InventDim","Sum|Qty|0","","","","","","","DateFinancial|ItemId|T2.InventSiteId|T2.InventLocationId",PeriodBeginning,$A176,$B176,$C176)</f>
        <v>0</v>
      </c>
      <c r="F176" s="10">
        <f>_xll.AtlasFormulas.AtlasFunctions.AtlasBalance("PROD",DataAreaId,"T.InventTrans|inventDimId~inventDimId@T.InventDim","Sum|Qty|0","","","","","","","DateFinancial|ItemId|T2.InventSiteId|T2.InventLocationId",PeriodEnding,$A176,$B176,$C176)</f>
        <v>0</v>
      </c>
      <c r="G176" s="10">
        <f>AtlasReport_3_Table_1[[#This Row],[Current On-hand]]-AtlasReport_3_Table_1[[#This Row],[Trans backwords (Beginning)]]</f>
        <v>705.06999999999994</v>
      </c>
      <c r="H176" s="10">
        <f>AtlasReport_3_Table_1[[#This Row],[Current On-hand]]-AtlasReport_3_Table_1[[#This Row],[Trans backwords (Ending)]]</f>
        <v>705.06999999999994</v>
      </c>
    </row>
    <row r="177" spans="1:8">
      <c r="A177" s="8" t="s">
        <v>57</v>
      </c>
      <c r="B177" s="8" t="s">
        <v>371</v>
      </c>
      <c r="C177" s="8" t="s">
        <v>70</v>
      </c>
      <c r="D177" s="10">
        <v>0</v>
      </c>
      <c r="E177" s="10">
        <f>_xll.AtlasFormulas.AtlasFunctions.AtlasBalance("PROD",DataAreaId,"T.InventTrans|inventDimId~inventDimId@T.InventDim","Sum|Qty|0","","","","","","","DateFinancial|ItemId|T2.InventSiteId|T2.InventLocationId",PeriodBeginning,$A177,$B177,$C177)</f>
        <v>0</v>
      </c>
      <c r="F177" s="10">
        <f>_xll.AtlasFormulas.AtlasFunctions.AtlasBalance("PROD",DataAreaId,"T.InventTrans|inventDimId~inventDimId@T.InventDim","Sum|Qty|0","","","","","","","DateFinancial|ItemId|T2.InventSiteId|T2.InventLocationId",PeriodEnding,$A177,$B177,$C177)</f>
        <v>0</v>
      </c>
      <c r="G177" s="10">
        <f>AtlasReport_3_Table_1[[#This Row],[Current On-hand]]-AtlasReport_3_Table_1[[#This Row],[Trans backwords (Beginning)]]</f>
        <v>0</v>
      </c>
      <c r="H177" s="10">
        <f>AtlasReport_3_Table_1[[#This Row],[Current On-hand]]-AtlasReport_3_Table_1[[#This Row],[Trans backwords (Ending)]]</f>
        <v>0</v>
      </c>
    </row>
    <row r="178" spans="1:8">
      <c r="A178" s="8" t="s">
        <v>57</v>
      </c>
      <c r="B178" s="8" t="s">
        <v>371</v>
      </c>
      <c r="C178" s="8" t="s">
        <v>372</v>
      </c>
      <c r="D178" s="10">
        <v>578.78</v>
      </c>
      <c r="E178" s="10">
        <f>_xll.AtlasFormulas.AtlasFunctions.AtlasBalance("PROD",DataAreaId,"T.InventTrans|inventDimId~inventDimId@T.InventDim","Sum|Qty|0","","","","","","","DateFinancial|ItemId|T2.InventSiteId|T2.InventLocationId",PeriodBeginning,$A178,$B178,$C178)</f>
        <v>-225</v>
      </c>
      <c r="F178" s="10">
        <f>_xll.AtlasFormulas.AtlasFunctions.AtlasBalance("PROD",DataAreaId,"T.InventTrans|inventDimId~inventDimId@T.InventDim","Sum|Qty|0","","","","","","","DateFinancial|ItemId|T2.InventSiteId|T2.InventLocationId",PeriodEnding,$A178,$B178,$C178)</f>
        <v>0</v>
      </c>
      <c r="G178" s="10">
        <f>AtlasReport_3_Table_1[[#This Row],[Current On-hand]]-AtlasReport_3_Table_1[[#This Row],[Trans backwords (Beginning)]]</f>
        <v>803.78</v>
      </c>
      <c r="H178" s="10">
        <f>AtlasReport_3_Table_1[[#This Row],[Current On-hand]]-AtlasReport_3_Table_1[[#This Row],[Trans backwords (Ending)]]</f>
        <v>578.78</v>
      </c>
    </row>
    <row r="179" spans="1:8">
      <c r="A179" s="8" t="s">
        <v>421</v>
      </c>
      <c r="B179" s="8" t="s">
        <v>371</v>
      </c>
      <c r="C179" s="8" t="s">
        <v>70</v>
      </c>
      <c r="D179" s="10">
        <v>0</v>
      </c>
      <c r="E179" s="10">
        <f>_xll.AtlasFormulas.AtlasFunctions.AtlasBalance("PROD",DataAreaId,"T.InventTrans|inventDimId~inventDimId@T.InventDim","Sum|Qty|0","","","","","","","DateFinancial|ItemId|T2.InventSiteId|T2.InventLocationId",PeriodBeginning,$A179,$B179,$C179)</f>
        <v>0</v>
      </c>
      <c r="F179" s="10">
        <f>_xll.AtlasFormulas.AtlasFunctions.AtlasBalance("PROD",DataAreaId,"T.InventTrans|inventDimId~inventDimId@T.InventDim","Sum|Qty|0","","","","","","","DateFinancial|ItemId|T2.InventSiteId|T2.InventLocationId",PeriodEnding,$A179,$B179,$C179)</f>
        <v>0</v>
      </c>
      <c r="G179" s="10">
        <f>AtlasReport_3_Table_1[[#This Row],[Current On-hand]]-AtlasReport_3_Table_1[[#This Row],[Trans backwords (Beginning)]]</f>
        <v>0</v>
      </c>
      <c r="H179" s="10">
        <f>AtlasReport_3_Table_1[[#This Row],[Current On-hand]]-AtlasReport_3_Table_1[[#This Row],[Trans backwords (Ending)]]</f>
        <v>0</v>
      </c>
    </row>
    <row r="180" spans="1:8">
      <c r="A180" s="8" t="s">
        <v>421</v>
      </c>
      <c r="B180" s="8" t="s">
        <v>371</v>
      </c>
      <c r="C180" s="8" t="s">
        <v>372</v>
      </c>
      <c r="D180" s="10">
        <v>9.58</v>
      </c>
      <c r="E180" s="10">
        <f>_xll.AtlasFormulas.AtlasFunctions.AtlasBalance("PROD",DataAreaId,"T.InventTrans|inventDimId~inventDimId@T.InventDim","Sum|Qty|0","","","","","","","DateFinancial|ItemId|T2.InventSiteId|T2.InventLocationId",PeriodBeginning,$A180,$B180,$C180)</f>
        <v>-9</v>
      </c>
      <c r="F180" s="10">
        <f>_xll.AtlasFormulas.AtlasFunctions.AtlasBalance("PROD",DataAreaId,"T.InventTrans|inventDimId~inventDimId@T.InventDim","Sum|Qty|0","","","","","","","DateFinancial|ItemId|T2.InventSiteId|T2.InventLocationId",PeriodEnding,$A180,$B180,$C180)</f>
        <v>0</v>
      </c>
      <c r="G180" s="10">
        <f>AtlasReport_3_Table_1[[#This Row],[Current On-hand]]-AtlasReport_3_Table_1[[#This Row],[Trans backwords (Beginning)]]</f>
        <v>18.579999999999998</v>
      </c>
      <c r="H180" s="10">
        <f>AtlasReport_3_Table_1[[#This Row],[Current On-hand]]-AtlasReport_3_Table_1[[#This Row],[Trans backwords (Ending)]]</f>
        <v>9.58</v>
      </c>
    </row>
    <row r="181" spans="1:8">
      <c r="A181" s="8" t="s">
        <v>616</v>
      </c>
      <c r="B181" s="8" t="s">
        <v>371</v>
      </c>
      <c r="C181" s="8" t="s">
        <v>70</v>
      </c>
      <c r="D181" s="10">
        <v>0</v>
      </c>
      <c r="E181" s="10">
        <f>_xll.AtlasFormulas.AtlasFunctions.AtlasBalance("PROD",DataAreaId,"T.InventTrans|inventDimId~inventDimId@T.InventDim","Sum|Qty|0","","","","","","","DateFinancial|ItemId|T2.InventSiteId|T2.InventLocationId",PeriodBeginning,$A181,$B181,$C181)</f>
        <v>0</v>
      </c>
      <c r="F181" s="10">
        <f>_xll.AtlasFormulas.AtlasFunctions.AtlasBalance("PROD",DataAreaId,"T.InventTrans|inventDimId~inventDimId@T.InventDim","Sum|Qty|0","","","","","","","DateFinancial|ItemId|T2.InventSiteId|T2.InventLocationId",PeriodEnding,$A181,$B181,$C181)</f>
        <v>0</v>
      </c>
      <c r="G181" s="10">
        <f>AtlasReport_3_Table_1[[#This Row],[Current On-hand]]-AtlasReport_3_Table_1[[#This Row],[Trans backwords (Beginning)]]</f>
        <v>0</v>
      </c>
      <c r="H181" s="10">
        <f>AtlasReport_3_Table_1[[#This Row],[Current On-hand]]-AtlasReport_3_Table_1[[#This Row],[Trans backwords (Ending)]]</f>
        <v>0</v>
      </c>
    </row>
    <row r="182" spans="1:8">
      <c r="A182" s="8" t="s">
        <v>616</v>
      </c>
      <c r="B182" s="8" t="s">
        <v>371</v>
      </c>
      <c r="C182" s="8" t="s">
        <v>372</v>
      </c>
      <c r="D182" s="10">
        <v>984</v>
      </c>
      <c r="E182" s="10">
        <f>_xll.AtlasFormulas.AtlasFunctions.AtlasBalance("PROD",DataAreaId,"T.InventTrans|inventDimId~inventDimId@T.InventDim","Sum|Qty|0","","","","","","","DateFinancial|ItemId|T2.InventSiteId|T2.InventLocationId",PeriodBeginning,$A182,$B182,$C182)</f>
        <v>-12</v>
      </c>
      <c r="F182" s="10">
        <f>_xll.AtlasFormulas.AtlasFunctions.AtlasBalance("PROD",DataAreaId,"T.InventTrans|inventDimId~inventDimId@T.InventDim","Sum|Qty|0","","","","","","","DateFinancial|ItemId|T2.InventSiteId|T2.InventLocationId",PeriodEnding,$A182,$B182,$C182)</f>
        <v>0</v>
      </c>
      <c r="G182" s="10">
        <f>AtlasReport_3_Table_1[[#This Row],[Current On-hand]]-AtlasReport_3_Table_1[[#This Row],[Trans backwords (Beginning)]]</f>
        <v>996</v>
      </c>
      <c r="H182" s="10">
        <f>AtlasReport_3_Table_1[[#This Row],[Current On-hand]]-AtlasReport_3_Table_1[[#This Row],[Trans backwords (Ending)]]</f>
        <v>984</v>
      </c>
    </row>
    <row r="183" spans="1:8">
      <c r="A183" s="8" t="s">
        <v>618</v>
      </c>
      <c r="B183" s="8" t="s">
        <v>371</v>
      </c>
      <c r="C183" s="8" t="s">
        <v>70</v>
      </c>
      <c r="D183" s="10">
        <v>0</v>
      </c>
      <c r="E183" s="10">
        <f>_xll.AtlasFormulas.AtlasFunctions.AtlasBalance("PROD",DataAreaId,"T.InventTrans|inventDimId~inventDimId@T.InventDim","Sum|Qty|0","","","","","","","DateFinancial|ItemId|T2.InventSiteId|T2.InventLocationId",PeriodBeginning,$A183,$B183,$C183)</f>
        <v>0</v>
      </c>
      <c r="F183" s="10">
        <f>_xll.AtlasFormulas.AtlasFunctions.AtlasBalance("PROD",DataAreaId,"T.InventTrans|inventDimId~inventDimId@T.InventDim","Sum|Qty|0","","","","","","","DateFinancial|ItemId|T2.InventSiteId|T2.InventLocationId",PeriodEnding,$A183,$B183,$C183)</f>
        <v>0</v>
      </c>
      <c r="G183" s="10">
        <f>AtlasReport_3_Table_1[[#This Row],[Current On-hand]]-AtlasReport_3_Table_1[[#This Row],[Trans backwords (Beginning)]]</f>
        <v>0</v>
      </c>
      <c r="H183" s="10">
        <f>AtlasReport_3_Table_1[[#This Row],[Current On-hand]]-AtlasReport_3_Table_1[[#This Row],[Trans backwords (Ending)]]</f>
        <v>0</v>
      </c>
    </row>
    <row r="184" spans="1:8">
      <c r="A184" s="8" t="s">
        <v>618</v>
      </c>
      <c r="B184" s="8" t="s">
        <v>371</v>
      </c>
      <c r="C184" s="8" t="s">
        <v>372</v>
      </c>
      <c r="D184" s="10">
        <v>0</v>
      </c>
      <c r="E184" s="10">
        <f>_xll.AtlasFormulas.AtlasFunctions.AtlasBalance("PROD",DataAreaId,"T.InventTrans|inventDimId~inventDimId@T.InventDim","Sum|Qty|0","","","","","","","DateFinancial|ItemId|T2.InventSiteId|T2.InventLocationId",PeriodBeginning,$A184,$B184,$C184)</f>
        <v>0</v>
      </c>
      <c r="F184" s="10">
        <f>_xll.AtlasFormulas.AtlasFunctions.AtlasBalance("PROD",DataAreaId,"T.InventTrans|inventDimId~inventDimId@T.InventDim","Sum|Qty|0","","","","","","","DateFinancial|ItemId|T2.InventSiteId|T2.InventLocationId",PeriodEnding,$A184,$B184,$C184)</f>
        <v>0</v>
      </c>
      <c r="G184" s="10">
        <f>AtlasReport_3_Table_1[[#This Row],[Current On-hand]]-AtlasReport_3_Table_1[[#This Row],[Trans backwords (Beginning)]]</f>
        <v>0</v>
      </c>
      <c r="H184" s="10">
        <f>AtlasReport_3_Table_1[[#This Row],[Current On-hand]]-AtlasReport_3_Table_1[[#This Row],[Trans backwords (Ending)]]</f>
        <v>0</v>
      </c>
    </row>
    <row r="185" spans="1:8">
      <c r="A185" s="8" t="s">
        <v>624</v>
      </c>
      <c r="B185" s="8" t="s">
        <v>371</v>
      </c>
      <c r="C185" s="8" t="s">
        <v>70</v>
      </c>
      <c r="D185" s="10">
        <v>0</v>
      </c>
      <c r="E185" s="10">
        <f>_xll.AtlasFormulas.AtlasFunctions.AtlasBalance("PROD",DataAreaId,"T.InventTrans|inventDimId~inventDimId@T.InventDim","Sum|Qty|0","","","","","","","DateFinancial|ItemId|T2.InventSiteId|T2.InventLocationId",PeriodBeginning,$A185,$B185,$C185)</f>
        <v>0</v>
      </c>
      <c r="F185" s="10">
        <f>_xll.AtlasFormulas.AtlasFunctions.AtlasBalance("PROD",DataAreaId,"T.InventTrans|inventDimId~inventDimId@T.InventDim","Sum|Qty|0","","","","","","","DateFinancial|ItemId|T2.InventSiteId|T2.InventLocationId",PeriodEnding,$A185,$B185,$C185)</f>
        <v>0</v>
      </c>
      <c r="G185" s="10">
        <f>AtlasReport_3_Table_1[[#This Row],[Current On-hand]]-AtlasReport_3_Table_1[[#This Row],[Trans backwords (Beginning)]]</f>
        <v>0</v>
      </c>
      <c r="H185" s="10">
        <f>AtlasReport_3_Table_1[[#This Row],[Current On-hand]]-AtlasReport_3_Table_1[[#This Row],[Trans backwords (Ending)]]</f>
        <v>0</v>
      </c>
    </row>
    <row r="186" spans="1:8">
      <c r="A186" s="8" t="s">
        <v>624</v>
      </c>
      <c r="B186" s="8" t="s">
        <v>371</v>
      </c>
      <c r="C186" s="8" t="s">
        <v>372</v>
      </c>
      <c r="D186" s="10">
        <v>833</v>
      </c>
      <c r="E186" s="10">
        <f>_xll.AtlasFormulas.AtlasFunctions.AtlasBalance("PROD",DataAreaId,"T.InventTrans|inventDimId~inventDimId@T.InventDim","Sum|Qty|0","","","","","","","DateFinancial|ItemId|T2.InventSiteId|T2.InventLocationId",PeriodBeginning,$A186,$B186,$C186)</f>
        <v>-31</v>
      </c>
      <c r="F186" s="10">
        <f>_xll.AtlasFormulas.AtlasFunctions.AtlasBalance("PROD",DataAreaId,"T.InventTrans|inventDimId~inventDimId@T.InventDim","Sum|Qty|0","","","","","","","DateFinancial|ItemId|T2.InventSiteId|T2.InventLocationId",PeriodEnding,$A186,$B186,$C186)</f>
        <v>0</v>
      </c>
      <c r="G186" s="10">
        <f>AtlasReport_3_Table_1[[#This Row],[Current On-hand]]-AtlasReport_3_Table_1[[#This Row],[Trans backwords (Beginning)]]</f>
        <v>864</v>
      </c>
      <c r="H186" s="10">
        <f>AtlasReport_3_Table_1[[#This Row],[Current On-hand]]-AtlasReport_3_Table_1[[#This Row],[Trans backwords (Ending)]]</f>
        <v>833</v>
      </c>
    </row>
    <row r="187" spans="1:8">
      <c r="A187" s="8" t="s">
        <v>626</v>
      </c>
      <c r="B187" s="8" t="s">
        <v>371</v>
      </c>
      <c r="C187" s="8" t="s">
        <v>70</v>
      </c>
      <c r="D187" s="10">
        <v>0</v>
      </c>
      <c r="E187" s="10">
        <f>_xll.AtlasFormulas.AtlasFunctions.AtlasBalance("PROD",DataAreaId,"T.InventTrans|inventDimId~inventDimId@T.InventDim","Sum|Qty|0","","","","","","","DateFinancial|ItemId|T2.InventSiteId|T2.InventLocationId",PeriodBeginning,$A187,$B187,$C187)</f>
        <v>0</v>
      </c>
      <c r="F187" s="10">
        <f>_xll.AtlasFormulas.AtlasFunctions.AtlasBalance("PROD",DataAreaId,"T.InventTrans|inventDimId~inventDimId@T.InventDim","Sum|Qty|0","","","","","","","DateFinancial|ItemId|T2.InventSiteId|T2.InventLocationId",PeriodEnding,$A187,$B187,$C187)</f>
        <v>0</v>
      </c>
      <c r="G187" s="10">
        <f>AtlasReport_3_Table_1[[#This Row],[Current On-hand]]-AtlasReport_3_Table_1[[#This Row],[Trans backwords (Beginning)]]</f>
        <v>0</v>
      </c>
      <c r="H187" s="10">
        <f>AtlasReport_3_Table_1[[#This Row],[Current On-hand]]-AtlasReport_3_Table_1[[#This Row],[Trans backwords (Ending)]]</f>
        <v>0</v>
      </c>
    </row>
    <row r="188" spans="1:8">
      <c r="A188" s="8" t="s">
        <v>626</v>
      </c>
      <c r="B188" s="8" t="s">
        <v>371</v>
      </c>
      <c r="C188" s="8" t="s">
        <v>372</v>
      </c>
      <c r="D188" s="10">
        <v>0</v>
      </c>
      <c r="E188" s="10">
        <f>_xll.AtlasFormulas.AtlasFunctions.AtlasBalance("PROD",DataAreaId,"T.InventTrans|inventDimId~inventDimId@T.InventDim","Sum|Qty|0","","","","","","","DateFinancial|ItemId|T2.InventSiteId|T2.InventLocationId",PeriodBeginning,$A188,$B188,$C188)</f>
        <v>0</v>
      </c>
      <c r="F188" s="10">
        <f>_xll.AtlasFormulas.AtlasFunctions.AtlasBalance("PROD",DataAreaId,"T.InventTrans|inventDimId~inventDimId@T.InventDim","Sum|Qty|0","","","","","","","DateFinancial|ItemId|T2.InventSiteId|T2.InventLocationId",PeriodEnding,$A188,$B188,$C188)</f>
        <v>0</v>
      </c>
      <c r="G188" s="10">
        <f>AtlasReport_3_Table_1[[#This Row],[Current On-hand]]-AtlasReport_3_Table_1[[#This Row],[Trans backwords (Beginning)]]</f>
        <v>0</v>
      </c>
      <c r="H188" s="10">
        <f>AtlasReport_3_Table_1[[#This Row],[Current On-hand]]-AtlasReport_3_Table_1[[#This Row],[Trans backwords (Ending)]]</f>
        <v>0</v>
      </c>
    </row>
    <row r="189" spans="1:8">
      <c r="A189" s="8" t="s">
        <v>387</v>
      </c>
      <c r="B189" s="8" t="s">
        <v>371</v>
      </c>
      <c r="C189" s="8" t="s">
        <v>70</v>
      </c>
      <c r="D189" s="10">
        <v>0</v>
      </c>
      <c r="E189" s="10">
        <f>_xll.AtlasFormulas.AtlasFunctions.AtlasBalance("PROD",DataAreaId,"T.InventTrans|inventDimId~inventDimId@T.InventDim","Sum|Qty|0","","","","","","","DateFinancial|ItemId|T2.InventSiteId|T2.InventLocationId",PeriodBeginning,$A189,$B189,$C189)</f>
        <v>0</v>
      </c>
      <c r="F189" s="10">
        <f>_xll.AtlasFormulas.AtlasFunctions.AtlasBalance("PROD",DataAreaId,"T.InventTrans|inventDimId~inventDimId@T.InventDim","Sum|Qty|0","","","","","","","DateFinancial|ItemId|T2.InventSiteId|T2.InventLocationId",PeriodEnding,$A189,$B189,$C189)</f>
        <v>0</v>
      </c>
      <c r="G189" s="10">
        <f>AtlasReport_3_Table_1[[#This Row],[Current On-hand]]-AtlasReport_3_Table_1[[#This Row],[Trans backwords (Beginning)]]</f>
        <v>0</v>
      </c>
      <c r="H189" s="10">
        <f>AtlasReport_3_Table_1[[#This Row],[Current On-hand]]-AtlasReport_3_Table_1[[#This Row],[Trans backwords (Ending)]]</f>
        <v>0</v>
      </c>
    </row>
    <row r="190" spans="1:8">
      <c r="A190" s="8" t="s">
        <v>387</v>
      </c>
      <c r="B190" s="8" t="s">
        <v>371</v>
      </c>
      <c r="C190" s="8" t="s">
        <v>372</v>
      </c>
      <c r="D190" s="10">
        <v>1746</v>
      </c>
      <c r="E190" s="10">
        <f>_xll.AtlasFormulas.AtlasFunctions.AtlasBalance("PROD",DataAreaId,"T.InventTrans|inventDimId~inventDimId@T.InventDim","Sum|Qty|0","","","","","","","DateFinancial|ItemId|T2.InventSiteId|T2.InventLocationId",PeriodBeginning,$A190,$B190,$C190)</f>
        <v>-828</v>
      </c>
      <c r="F190" s="10">
        <f>_xll.AtlasFormulas.AtlasFunctions.AtlasBalance("PROD",DataAreaId,"T.InventTrans|inventDimId~inventDimId@T.InventDim","Sum|Qty|0","","","","","","","DateFinancial|ItemId|T2.InventSiteId|T2.InventLocationId",PeriodEnding,$A190,$B190,$C190)</f>
        <v>0</v>
      </c>
      <c r="G190" s="10">
        <f>AtlasReport_3_Table_1[[#This Row],[Current On-hand]]-AtlasReport_3_Table_1[[#This Row],[Trans backwords (Beginning)]]</f>
        <v>2574</v>
      </c>
      <c r="H190" s="10">
        <f>AtlasReport_3_Table_1[[#This Row],[Current On-hand]]-AtlasReport_3_Table_1[[#This Row],[Trans backwords (Ending)]]</f>
        <v>1746</v>
      </c>
    </row>
    <row r="191" spans="1:8">
      <c r="A191" s="8" t="s">
        <v>377</v>
      </c>
      <c r="B191" s="8" t="s">
        <v>371</v>
      </c>
      <c r="C191" s="8" t="s">
        <v>70</v>
      </c>
      <c r="D191" s="10">
        <v>0</v>
      </c>
      <c r="E191" s="10">
        <f>_xll.AtlasFormulas.AtlasFunctions.AtlasBalance("PROD",DataAreaId,"T.InventTrans|inventDimId~inventDimId@T.InventDim","Sum|Qty|0","","","","","","","DateFinancial|ItemId|T2.InventSiteId|T2.InventLocationId",PeriodBeginning,$A191,$B191,$C191)</f>
        <v>0</v>
      </c>
      <c r="F191" s="10">
        <f>_xll.AtlasFormulas.AtlasFunctions.AtlasBalance("PROD",DataAreaId,"T.InventTrans|inventDimId~inventDimId@T.InventDim","Sum|Qty|0","","","","","","","DateFinancial|ItemId|T2.InventSiteId|T2.InventLocationId",PeriodEnding,$A191,$B191,$C191)</f>
        <v>0</v>
      </c>
      <c r="G191" s="10">
        <f>AtlasReport_3_Table_1[[#This Row],[Current On-hand]]-AtlasReport_3_Table_1[[#This Row],[Trans backwords (Beginning)]]</f>
        <v>0</v>
      </c>
      <c r="H191" s="10">
        <f>AtlasReport_3_Table_1[[#This Row],[Current On-hand]]-AtlasReport_3_Table_1[[#This Row],[Trans backwords (Ending)]]</f>
        <v>0</v>
      </c>
    </row>
    <row r="192" spans="1:8">
      <c r="A192" s="8" t="s">
        <v>377</v>
      </c>
      <c r="B192" s="8" t="s">
        <v>371</v>
      </c>
      <c r="C192" s="8" t="s">
        <v>372</v>
      </c>
      <c r="D192" s="10">
        <v>687</v>
      </c>
      <c r="E192" s="10">
        <f>_xll.AtlasFormulas.AtlasFunctions.AtlasBalance("PROD",DataAreaId,"T.InventTrans|inventDimId~inventDimId@T.InventDim","Sum|Qty|0","","","","","","","DateFinancial|ItemId|T2.InventSiteId|T2.InventLocationId",PeriodBeginning,$A192,$B192,$C192)</f>
        <v>-39</v>
      </c>
      <c r="F192" s="10">
        <f>_xll.AtlasFormulas.AtlasFunctions.AtlasBalance("PROD",DataAreaId,"T.InventTrans|inventDimId~inventDimId@T.InventDim","Sum|Qty|0","","","","","","","DateFinancial|ItemId|T2.InventSiteId|T2.InventLocationId",PeriodEnding,$A192,$B192,$C192)</f>
        <v>0</v>
      </c>
      <c r="G192" s="10">
        <f>AtlasReport_3_Table_1[[#This Row],[Current On-hand]]-AtlasReport_3_Table_1[[#This Row],[Trans backwords (Beginning)]]</f>
        <v>726</v>
      </c>
      <c r="H192" s="10">
        <f>AtlasReport_3_Table_1[[#This Row],[Current On-hand]]-AtlasReport_3_Table_1[[#This Row],[Trans backwords (Ending)]]</f>
        <v>687</v>
      </c>
    </row>
    <row r="193" spans="1:8">
      <c r="A193" s="8" t="s">
        <v>628</v>
      </c>
      <c r="B193" s="8" t="s">
        <v>371</v>
      </c>
      <c r="C193" s="8" t="s">
        <v>70</v>
      </c>
      <c r="D193" s="10">
        <v>0</v>
      </c>
      <c r="E193" s="10">
        <f>_xll.AtlasFormulas.AtlasFunctions.AtlasBalance("PROD",DataAreaId,"T.InventTrans|inventDimId~inventDimId@T.InventDim","Sum|Qty|0","","","","","","","DateFinancial|ItemId|T2.InventSiteId|T2.InventLocationId",PeriodBeginning,$A193,$B193,$C193)</f>
        <v>0</v>
      </c>
      <c r="F193" s="10">
        <f>_xll.AtlasFormulas.AtlasFunctions.AtlasBalance("PROD",DataAreaId,"T.InventTrans|inventDimId~inventDimId@T.InventDim","Sum|Qty|0","","","","","","","DateFinancial|ItemId|T2.InventSiteId|T2.InventLocationId",PeriodEnding,$A193,$B193,$C193)</f>
        <v>0</v>
      </c>
      <c r="G193" s="10">
        <f>AtlasReport_3_Table_1[[#This Row],[Current On-hand]]-AtlasReport_3_Table_1[[#This Row],[Trans backwords (Beginning)]]</f>
        <v>0</v>
      </c>
      <c r="H193" s="10">
        <f>AtlasReport_3_Table_1[[#This Row],[Current On-hand]]-AtlasReport_3_Table_1[[#This Row],[Trans backwords (Ending)]]</f>
        <v>0</v>
      </c>
    </row>
    <row r="194" spans="1:8">
      <c r="A194" s="8" t="s">
        <v>628</v>
      </c>
      <c r="B194" s="8" t="s">
        <v>371</v>
      </c>
      <c r="C194" s="8" t="s">
        <v>372</v>
      </c>
      <c r="D194" s="10">
        <v>26</v>
      </c>
      <c r="E194" s="10">
        <f>_xll.AtlasFormulas.AtlasFunctions.AtlasBalance("PROD",DataAreaId,"T.InventTrans|inventDimId~inventDimId@T.InventDim","Sum|Qty|0","","","","","","","DateFinancial|ItemId|T2.InventSiteId|T2.InventLocationId",PeriodBeginning,$A194,$B194,$C194)</f>
        <v>26</v>
      </c>
      <c r="F194" s="10">
        <f>_xll.AtlasFormulas.AtlasFunctions.AtlasBalance("PROD",DataAreaId,"T.InventTrans|inventDimId~inventDimId@T.InventDim","Sum|Qty|0","","","","","","","DateFinancial|ItemId|T2.InventSiteId|T2.InventLocationId",PeriodEnding,$A194,$B194,$C194)</f>
        <v>0</v>
      </c>
      <c r="G194" s="10">
        <f>AtlasReport_3_Table_1[[#This Row],[Current On-hand]]-AtlasReport_3_Table_1[[#This Row],[Trans backwords (Beginning)]]</f>
        <v>0</v>
      </c>
      <c r="H194" s="10">
        <f>AtlasReport_3_Table_1[[#This Row],[Current On-hand]]-AtlasReport_3_Table_1[[#This Row],[Trans backwords (Ending)]]</f>
        <v>26</v>
      </c>
    </row>
    <row r="195" spans="1:8">
      <c r="A195" s="8" t="s">
        <v>632</v>
      </c>
      <c r="B195" s="8" t="s">
        <v>371</v>
      </c>
      <c r="C195" s="8" t="s">
        <v>70</v>
      </c>
      <c r="D195" s="10">
        <v>0</v>
      </c>
      <c r="E195" s="10">
        <f>_xll.AtlasFormulas.AtlasFunctions.AtlasBalance("PROD",DataAreaId,"T.InventTrans|inventDimId~inventDimId@T.InventDim","Sum|Qty|0","","","","","","","DateFinancial|ItemId|T2.InventSiteId|T2.InventLocationId",PeriodBeginning,$A195,$B195,$C195)</f>
        <v>0</v>
      </c>
      <c r="F195" s="10">
        <f>_xll.AtlasFormulas.AtlasFunctions.AtlasBalance("PROD",DataAreaId,"T.InventTrans|inventDimId~inventDimId@T.InventDim","Sum|Qty|0","","","","","","","DateFinancial|ItemId|T2.InventSiteId|T2.InventLocationId",PeriodEnding,$A195,$B195,$C195)</f>
        <v>0</v>
      </c>
      <c r="G195" s="10">
        <f>AtlasReport_3_Table_1[[#This Row],[Current On-hand]]-AtlasReport_3_Table_1[[#This Row],[Trans backwords (Beginning)]]</f>
        <v>0</v>
      </c>
      <c r="H195" s="10">
        <f>AtlasReport_3_Table_1[[#This Row],[Current On-hand]]-AtlasReport_3_Table_1[[#This Row],[Trans backwords (Ending)]]</f>
        <v>0</v>
      </c>
    </row>
    <row r="196" spans="1:8">
      <c r="A196" s="8" t="s">
        <v>632</v>
      </c>
      <c r="B196" s="8" t="s">
        <v>371</v>
      </c>
      <c r="C196" s="8" t="s">
        <v>372</v>
      </c>
      <c r="D196" s="10">
        <v>118</v>
      </c>
      <c r="E196" s="10">
        <f>_xll.AtlasFormulas.AtlasFunctions.AtlasBalance("PROD",DataAreaId,"T.InventTrans|inventDimId~inventDimId@T.InventDim","Sum|Qty|0","","","","","","","DateFinancial|ItemId|T2.InventSiteId|T2.InventLocationId",PeriodBeginning,$A196,$B196,$C196)</f>
        <v>107</v>
      </c>
      <c r="F196" s="10">
        <f>_xll.AtlasFormulas.AtlasFunctions.AtlasBalance("PROD",DataAreaId,"T.InventTrans|inventDimId~inventDimId@T.InventDim","Sum|Qty|0","","","","","","","DateFinancial|ItemId|T2.InventSiteId|T2.InventLocationId",PeriodEnding,$A196,$B196,$C196)</f>
        <v>0</v>
      </c>
      <c r="G196" s="10">
        <f>AtlasReport_3_Table_1[[#This Row],[Current On-hand]]-AtlasReport_3_Table_1[[#This Row],[Trans backwords (Beginning)]]</f>
        <v>11</v>
      </c>
      <c r="H196" s="10">
        <f>AtlasReport_3_Table_1[[#This Row],[Current On-hand]]-AtlasReport_3_Table_1[[#This Row],[Trans backwords (Ending)]]</f>
        <v>118</v>
      </c>
    </row>
    <row r="197" spans="1:8">
      <c r="A197" s="8" t="s">
        <v>636</v>
      </c>
      <c r="B197" s="8" t="s">
        <v>371</v>
      </c>
      <c r="C197" s="8" t="s">
        <v>70</v>
      </c>
      <c r="D197" s="10">
        <v>0</v>
      </c>
      <c r="E197" s="10">
        <f>_xll.AtlasFormulas.AtlasFunctions.AtlasBalance("PROD",DataAreaId,"T.InventTrans|inventDimId~inventDimId@T.InventDim","Sum|Qty|0","","","","","","","DateFinancial|ItemId|T2.InventSiteId|T2.InventLocationId",PeriodBeginning,$A197,$B197,$C197)</f>
        <v>0</v>
      </c>
      <c r="F197" s="10">
        <f>_xll.AtlasFormulas.AtlasFunctions.AtlasBalance("PROD",DataAreaId,"T.InventTrans|inventDimId~inventDimId@T.InventDim","Sum|Qty|0","","","","","","","DateFinancial|ItemId|T2.InventSiteId|T2.InventLocationId",PeriodEnding,$A197,$B197,$C197)</f>
        <v>0</v>
      </c>
      <c r="G197" s="10">
        <f>AtlasReport_3_Table_1[[#This Row],[Current On-hand]]-AtlasReport_3_Table_1[[#This Row],[Trans backwords (Beginning)]]</f>
        <v>0</v>
      </c>
      <c r="H197" s="10">
        <f>AtlasReport_3_Table_1[[#This Row],[Current On-hand]]-AtlasReport_3_Table_1[[#This Row],[Trans backwords (Ending)]]</f>
        <v>0</v>
      </c>
    </row>
    <row r="198" spans="1:8">
      <c r="A198" s="8" t="s">
        <v>636</v>
      </c>
      <c r="B198" s="8" t="s">
        <v>371</v>
      </c>
      <c r="C198" s="8" t="s">
        <v>372</v>
      </c>
      <c r="D198" s="10">
        <v>10</v>
      </c>
      <c r="E198" s="10">
        <f>_xll.AtlasFormulas.AtlasFunctions.AtlasBalance("PROD",DataAreaId,"T.InventTrans|inventDimId~inventDimId@T.InventDim","Sum|Qty|0","","","","","","","DateFinancial|ItemId|T2.InventSiteId|T2.InventLocationId",PeriodBeginning,$A198,$B198,$C198)</f>
        <v>0</v>
      </c>
      <c r="F198" s="10">
        <f>_xll.AtlasFormulas.AtlasFunctions.AtlasBalance("PROD",DataAreaId,"T.InventTrans|inventDimId~inventDimId@T.InventDim","Sum|Qty|0","","","","","","","DateFinancial|ItemId|T2.InventSiteId|T2.InventLocationId",PeriodEnding,$A198,$B198,$C198)</f>
        <v>0</v>
      </c>
      <c r="G198" s="10">
        <f>AtlasReport_3_Table_1[[#This Row],[Current On-hand]]-AtlasReport_3_Table_1[[#This Row],[Trans backwords (Beginning)]]</f>
        <v>10</v>
      </c>
      <c r="H198" s="10">
        <f>AtlasReport_3_Table_1[[#This Row],[Current On-hand]]-AtlasReport_3_Table_1[[#This Row],[Trans backwords (Ending)]]</f>
        <v>10</v>
      </c>
    </row>
    <row r="199" spans="1:8">
      <c r="A199" s="8" t="s">
        <v>640</v>
      </c>
      <c r="B199" s="8" t="s">
        <v>371</v>
      </c>
      <c r="C199" s="8" t="s">
        <v>70</v>
      </c>
      <c r="D199" s="10">
        <v>0</v>
      </c>
      <c r="E199" s="10">
        <f>_xll.AtlasFormulas.AtlasFunctions.AtlasBalance("PROD",DataAreaId,"T.InventTrans|inventDimId~inventDimId@T.InventDim","Sum|Qty|0","","","","","","","DateFinancial|ItemId|T2.InventSiteId|T2.InventLocationId",PeriodBeginning,$A199,$B199,$C199)</f>
        <v>0</v>
      </c>
      <c r="F199" s="10">
        <f>_xll.AtlasFormulas.AtlasFunctions.AtlasBalance("PROD",DataAreaId,"T.InventTrans|inventDimId~inventDimId@T.InventDim","Sum|Qty|0","","","","","","","DateFinancial|ItemId|T2.InventSiteId|T2.InventLocationId",PeriodEnding,$A199,$B199,$C199)</f>
        <v>0</v>
      </c>
      <c r="G199" s="10">
        <f>AtlasReport_3_Table_1[[#This Row],[Current On-hand]]-AtlasReport_3_Table_1[[#This Row],[Trans backwords (Beginning)]]</f>
        <v>0</v>
      </c>
      <c r="H199" s="10">
        <f>AtlasReport_3_Table_1[[#This Row],[Current On-hand]]-AtlasReport_3_Table_1[[#This Row],[Trans backwords (Ending)]]</f>
        <v>0</v>
      </c>
    </row>
    <row r="200" spans="1:8">
      <c r="A200" s="8" t="s">
        <v>640</v>
      </c>
      <c r="B200" s="8" t="s">
        <v>371</v>
      </c>
      <c r="C200" s="8" t="s">
        <v>372</v>
      </c>
      <c r="D200" s="10">
        <v>17</v>
      </c>
      <c r="E200" s="10">
        <f>_xll.AtlasFormulas.AtlasFunctions.AtlasBalance("PROD",DataAreaId,"T.InventTrans|inventDimId~inventDimId@T.InventDim","Sum|Qty|0","","","","","","","DateFinancial|ItemId|T2.InventSiteId|T2.InventLocationId",PeriodBeginning,$A200,$B200,$C200)</f>
        <v>0</v>
      </c>
      <c r="F200" s="10">
        <f>_xll.AtlasFormulas.AtlasFunctions.AtlasBalance("PROD",DataAreaId,"T.InventTrans|inventDimId~inventDimId@T.InventDim","Sum|Qty|0","","","","","","","DateFinancial|ItemId|T2.InventSiteId|T2.InventLocationId",PeriodEnding,$A200,$B200,$C200)</f>
        <v>0</v>
      </c>
      <c r="G200" s="10">
        <f>AtlasReport_3_Table_1[[#This Row],[Current On-hand]]-AtlasReport_3_Table_1[[#This Row],[Trans backwords (Beginning)]]</f>
        <v>17</v>
      </c>
      <c r="H200" s="10">
        <f>AtlasReport_3_Table_1[[#This Row],[Current On-hand]]-AtlasReport_3_Table_1[[#This Row],[Trans backwords (Ending)]]</f>
        <v>17</v>
      </c>
    </row>
    <row r="201" spans="1:8">
      <c r="A201" s="8" t="s">
        <v>300</v>
      </c>
      <c r="B201" s="8" t="s">
        <v>371</v>
      </c>
      <c r="C201" s="8" t="s">
        <v>70</v>
      </c>
      <c r="D201" s="10">
        <v>0</v>
      </c>
      <c r="E201" s="10">
        <f>_xll.AtlasFormulas.AtlasFunctions.AtlasBalance("PROD",DataAreaId,"T.InventTrans|inventDimId~inventDimId@T.InventDim","Sum|Qty|0","","","","","","","DateFinancial|ItemId|T2.InventSiteId|T2.InventLocationId",PeriodBeginning,$A201,$B201,$C201)</f>
        <v>0</v>
      </c>
      <c r="F201" s="10">
        <f>_xll.AtlasFormulas.AtlasFunctions.AtlasBalance("PROD",DataAreaId,"T.InventTrans|inventDimId~inventDimId@T.InventDim","Sum|Qty|0","","","","","","","DateFinancial|ItemId|T2.InventSiteId|T2.InventLocationId",PeriodEnding,$A201,$B201,$C201)</f>
        <v>0</v>
      </c>
      <c r="G201" s="10">
        <f>AtlasReport_3_Table_1[[#This Row],[Current On-hand]]-AtlasReport_3_Table_1[[#This Row],[Trans backwords (Beginning)]]</f>
        <v>0</v>
      </c>
      <c r="H201" s="10">
        <f>AtlasReport_3_Table_1[[#This Row],[Current On-hand]]-AtlasReport_3_Table_1[[#This Row],[Trans backwords (Ending)]]</f>
        <v>0</v>
      </c>
    </row>
    <row r="202" spans="1:8">
      <c r="A202" s="8" t="s">
        <v>300</v>
      </c>
      <c r="B202" s="8" t="s">
        <v>371</v>
      </c>
      <c r="C202" s="8" t="s">
        <v>372</v>
      </c>
      <c r="D202" s="10">
        <v>10</v>
      </c>
      <c r="E202" s="10">
        <f>_xll.AtlasFormulas.AtlasFunctions.AtlasBalance("PROD",DataAreaId,"T.InventTrans|inventDimId~inventDimId@T.InventDim","Sum|Qty|0","","","","","","","DateFinancial|ItemId|T2.InventSiteId|T2.InventLocationId",PeriodBeginning,$A202,$B202,$C202)</f>
        <v>0</v>
      </c>
      <c r="F202" s="10">
        <f>_xll.AtlasFormulas.AtlasFunctions.AtlasBalance("PROD",DataAreaId,"T.InventTrans|inventDimId~inventDimId@T.InventDim","Sum|Qty|0","","","","","","","DateFinancial|ItemId|T2.InventSiteId|T2.InventLocationId",PeriodEnding,$A202,$B202,$C202)</f>
        <v>0</v>
      </c>
      <c r="G202" s="10">
        <f>AtlasReport_3_Table_1[[#This Row],[Current On-hand]]-AtlasReport_3_Table_1[[#This Row],[Trans backwords (Beginning)]]</f>
        <v>10</v>
      </c>
      <c r="H202" s="10">
        <f>AtlasReport_3_Table_1[[#This Row],[Current On-hand]]-AtlasReport_3_Table_1[[#This Row],[Trans backwords (Ending)]]</f>
        <v>10</v>
      </c>
    </row>
    <row r="203" spans="1:8">
      <c r="A203" s="8" t="s">
        <v>301</v>
      </c>
      <c r="B203" s="8" t="s">
        <v>371</v>
      </c>
      <c r="C203" s="8" t="s">
        <v>70</v>
      </c>
      <c r="D203" s="10">
        <v>0</v>
      </c>
      <c r="E203" s="10">
        <f>_xll.AtlasFormulas.AtlasFunctions.AtlasBalance("PROD",DataAreaId,"T.InventTrans|inventDimId~inventDimId@T.InventDim","Sum|Qty|0","","","","","","","DateFinancial|ItemId|T2.InventSiteId|T2.InventLocationId",PeriodBeginning,$A203,$B203,$C203)</f>
        <v>0</v>
      </c>
      <c r="F203" s="10">
        <f>_xll.AtlasFormulas.AtlasFunctions.AtlasBalance("PROD",DataAreaId,"T.InventTrans|inventDimId~inventDimId@T.InventDim","Sum|Qty|0","","","","","","","DateFinancial|ItemId|T2.InventSiteId|T2.InventLocationId",PeriodEnding,$A203,$B203,$C203)</f>
        <v>0</v>
      </c>
      <c r="G203" s="10">
        <f>AtlasReport_3_Table_1[[#This Row],[Current On-hand]]-AtlasReport_3_Table_1[[#This Row],[Trans backwords (Beginning)]]</f>
        <v>0</v>
      </c>
      <c r="H203" s="10">
        <f>AtlasReport_3_Table_1[[#This Row],[Current On-hand]]-AtlasReport_3_Table_1[[#This Row],[Trans backwords (Ending)]]</f>
        <v>0</v>
      </c>
    </row>
    <row r="204" spans="1:8">
      <c r="A204" s="8" t="s">
        <v>301</v>
      </c>
      <c r="B204" s="8" t="s">
        <v>371</v>
      </c>
      <c r="C204" s="8" t="s">
        <v>372</v>
      </c>
      <c r="D204" s="10">
        <v>65</v>
      </c>
      <c r="E204" s="10">
        <f>_xll.AtlasFormulas.AtlasFunctions.AtlasBalance("PROD",DataAreaId,"T.InventTrans|inventDimId~inventDimId@T.InventDim","Sum|Qty|0","","","","","","","DateFinancial|ItemId|T2.InventSiteId|T2.InventLocationId",PeriodBeginning,$A204,$B204,$C204)</f>
        <v>0</v>
      </c>
      <c r="F204" s="10">
        <f>_xll.AtlasFormulas.AtlasFunctions.AtlasBalance("PROD",DataAreaId,"T.InventTrans|inventDimId~inventDimId@T.InventDim","Sum|Qty|0","","","","","","","DateFinancial|ItemId|T2.InventSiteId|T2.InventLocationId",PeriodEnding,$A204,$B204,$C204)</f>
        <v>0</v>
      </c>
      <c r="G204" s="10">
        <f>AtlasReport_3_Table_1[[#This Row],[Current On-hand]]-AtlasReport_3_Table_1[[#This Row],[Trans backwords (Beginning)]]</f>
        <v>65</v>
      </c>
      <c r="H204" s="10">
        <f>AtlasReport_3_Table_1[[#This Row],[Current On-hand]]-AtlasReport_3_Table_1[[#This Row],[Trans backwords (Ending)]]</f>
        <v>65</v>
      </c>
    </row>
    <row r="205" spans="1:8">
      <c r="A205" s="8" t="s">
        <v>303</v>
      </c>
      <c r="B205" s="8" t="s">
        <v>371</v>
      </c>
      <c r="C205" s="8" t="s">
        <v>70</v>
      </c>
      <c r="D205" s="10">
        <v>0</v>
      </c>
      <c r="E205" s="10">
        <f>_xll.AtlasFormulas.AtlasFunctions.AtlasBalance("PROD",DataAreaId,"T.InventTrans|inventDimId~inventDimId@T.InventDim","Sum|Qty|0","","","","","","","DateFinancial|ItemId|T2.InventSiteId|T2.InventLocationId",PeriodBeginning,$A205,$B205,$C205)</f>
        <v>0</v>
      </c>
      <c r="F205" s="10">
        <f>_xll.AtlasFormulas.AtlasFunctions.AtlasBalance("PROD",DataAreaId,"T.InventTrans|inventDimId~inventDimId@T.InventDim","Sum|Qty|0","","","","","","","DateFinancial|ItemId|T2.InventSiteId|T2.InventLocationId",PeriodEnding,$A205,$B205,$C205)</f>
        <v>0</v>
      </c>
      <c r="G205" s="10">
        <f>AtlasReport_3_Table_1[[#This Row],[Current On-hand]]-AtlasReport_3_Table_1[[#This Row],[Trans backwords (Beginning)]]</f>
        <v>0</v>
      </c>
      <c r="H205" s="10">
        <f>AtlasReport_3_Table_1[[#This Row],[Current On-hand]]-AtlasReport_3_Table_1[[#This Row],[Trans backwords (Ending)]]</f>
        <v>0</v>
      </c>
    </row>
    <row r="206" spans="1:8">
      <c r="A206" s="8" t="s">
        <v>303</v>
      </c>
      <c r="B206" s="8" t="s">
        <v>371</v>
      </c>
      <c r="C206" s="8" t="s">
        <v>372</v>
      </c>
      <c r="D206" s="10">
        <v>38</v>
      </c>
      <c r="E206" s="10">
        <f>_xll.AtlasFormulas.AtlasFunctions.AtlasBalance("PROD",DataAreaId,"T.InventTrans|inventDimId~inventDimId@T.InventDim","Sum|Qty|0","","","","","","","DateFinancial|ItemId|T2.InventSiteId|T2.InventLocationId",PeriodBeginning,$A206,$B206,$C206)</f>
        <v>0</v>
      </c>
      <c r="F206" s="10">
        <f>_xll.AtlasFormulas.AtlasFunctions.AtlasBalance("PROD",DataAreaId,"T.InventTrans|inventDimId~inventDimId@T.InventDim","Sum|Qty|0","","","","","","","DateFinancial|ItemId|T2.InventSiteId|T2.InventLocationId",PeriodEnding,$A206,$B206,$C206)</f>
        <v>0</v>
      </c>
      <c r="G206" s="10">
        <f>AtlasReport_3_Table_1[[#This Row],[Current On-hand]]-AtlasReport_3_Table_1[[#This Row],[Trans backwords (Beginning)]]</f>
        <v>38</v>
      </c>
      <c r="H206" s="10">
        <f>AtlasReport_3_Table_1[[#This Row],[Current On-hand]]-AtlasReport_3_Table_1[[#This Row],[Trans backwords (Ending)]]</f>
        <v>38</v>
      </c>
    </row>
    <row r="207" spans="1:8">
      <c r="A207" s="8" t="s">
        <v>298</v>
      </c>
      <c r="B207" s="8" t="s">
        <v>371</v>
      </c>
      <c r="C207" s="8" t="s">
        <v>70</v>
      </c>
      <c r="D207" s="10">
        <v>0</v>
      </c>
      <c r="E207" s="10">
        <f>_xll.AtlasFormulas.AtlasFunctions.AtlasBalance("PROD",DataAreaId,"T.InventTrans|inventDimId~inventDimId@T.InventDim","Sum|Qty|0","","","","","","","DateFinancial|ItemId|T2.InventSiteId|T2.InventLocationId",PeriodBeginning,$A207,$B207,$C207)</f>
        <v>0</v>
      </c>
      <c r="F207" s="10">
        <f>_xll.AtlasFormulas.AtlasFunctions.AtlasBalance("PROD",DataAreaId,"T.InventTrans|inventDimId~inventDimId@T.InventDim","Sum|Qty|0","","","","","","","DateFinancial|ItemId|T2.InventSiteId|T2.InventLocationId",PeriodEnding,$A207,$B207,$C207)</f>
        <v>0</v>
      </c>
      <c r="G207" s="10">
        <f>AtlasReport_3_Table_1[[#This Row],[Current On-hand]]-AtlasReport_3_Table_1[[#This Row],[Trans backwords (Beginning)]]</f>
        <v>0</v>
      </c>
      <c r="H207" s="10">
        <f>AtlasReport_3_Table_1[[#This Row],[Current On-hand]]-AtlasReport_3_Table_1[[#This Row],[Trans backwords (Ending)]]</f>
        <v>0</v>
      </c>
    </row>
    <row r="208" spans="1:8">
      <c r="A208" s="8" t="s">
        <v>298</v>
      </c>
      <c r="B208" s="8" t="s">
        <v>371</v>
      </c>
      <c r="C208" s="8" t="s">
        <v>372</v>
      </c>
      <c r="D208" s="10">
        <v>61</v>
      </c>
      <c r="E208" s="10">
        <f>_xll.AtlasFormulas.AtlasFunctions.AtlasBalance("PROD",DataAreaId,"T.InventTrans|inventDimId~inventDimId@T.InventDim","Sum|Qty|0","","","","","","","DateFinancial|ItemId|T2.InventSiteId|T2.InventLocationId",PeriodBeginning,$A208,$B208,$C208)</f>
        <v>0</v>
      </c>
      <c r="F208" s="10">
        <f>_xll.AtlasFormulas.AtlasFunctions.AtlasBalance("PROD",DataAreaId,"T.InventTrans|inventDimId~inventDimId@T.InventDim","Sum|Qty|0","","","","","","","DateFinancial|ItemId|T2.InventSiteId|T2.InventLocationId",PeriodEnding,$A208,$B208,$C208)</f>
        <v>0</v>
      </c>
      <c r="G208" s="10">
        <f>AtlasReport_3_Table_1[[#This Row],[Current On-hand]]-AtlasReport_3_Table_1[[#This Row],[Trans backwords (Beginning)]]</f>
        <v>61</v>
      </c>
      <c r="H208" s="10">
        <f>AtlasReport_3_Table_1[[#This Row],[Current On-hand]]-AtlasReport_3_Table_1[[#This Row],[Trans backwords (Ending)]]</f>
        <v>61</v>
      </c>
    </row>
    <row r="209" spans="1:8">
      <c r="A209" s="8" t="s">
        <v>58</v>
      </c>
      <c r="B209" s="8" t="s">
        <v>371</v>
      </c>
      <c r="C209" s="8" t="s">
        <v>70</v>
      </c>
      <c r="D209" s="10">
        <v>0</v>
      </c>
      <c r="E209" s="10">
        <f>_xll.AtlasFormulas.AtlasFunctions.AtlasBalance("PROD",DataAreaId,"T.InventTrans|inventDimId~inventDimId@T.InventDim","Sum|Qty|0","","","","","","","DateFinancial|ItemId|T2.InventSiteId|T2.InventLocationId",PeriodBeginning,$A209,$B209,$C209)</f>
        <v>0</v>
      </c>
      <c r="F209" s="10">
        <f>_xll.AtlasFormulas.AtlasFunctions.AtlasBalance("PROD",DataAreaId,"T.InventTrans|inventDimId~inventDimId@T.InventDim","Sum|Qty|0","","","","","","","DateFinancial|ItemId|T2.InventSiteId|T2.InventLocationId",PeriodEnding,$A209,$B209,$C209)</f>
        <v>0</v>
      </c>
      <c r="G209" s="10">
        <f>AtlasReport_3_Table_1[[#This Row],[Current On-hand]]-AtlasReport_3_Table_1[[#This Row],[Trans backwords (Beginning)]]</f>
        <v>0</v>
      </c>
      <c r="H209" s="10">
        <f>AtlasReport_3_Table_1[[#This Row],[Current On-hand]]-AtlasReport_3_Table_1[[#This Row],[Trans backwords (Ending)]]</f>
        <v>0</v>
      </c>
    </row>
    <row r="210" spans="1:8">
      <c r="A210" s="8" t="s">
        <v>58</v>
      </c>
      <c r="B210" s="8" t="s">
        <v>371</v>
      </c>
      <c r="C210" s="8" t="s">
        <v>372</v>
      </c>
      <c r="D210" s="10">
        <v>3</v>
      </c>
      <c r="E210" s="10">
        <f>_xll.AtlasFormulas.AtlasFunctions.AtlasBalance("PROD",DataAreaId,"T.InventTrans|inventDimId~inventDimId@T.InventDim","Sum|Qty|0","","","","","","","DateFinancial|ItemId|T2.InventSiteId|T2.InventLocationId",PeriodBeginning,$A210,$B210,$C210)</f>
        <v>0</v>
      </c>
      <c r="F210" s="10">
        <f>_xll.AtlasFormulas.AtlasFunctions.AtlasBalance("PROD",DataAreaId,"T.InventTrans|inventDimId~inventDimId@T.InventDim","Sum|Qty|0","","","","","","","DateFinancial|ItemId|T2.InventSiteId|T2.InventLocationId",PeriodEnding,$A210,$B210,$C210)</f>
        <v>0</v>
      </c>
      <c r="G210" s="10">
        <f>AtlasReport_3_Table_1[[#This Row],[Current On-hand]]-AtlasReport_3_Table_1[[#This Row],[Trans backwords (Beginning)]]</f>
        <v>3</v>
      </c>
      <c r="H210" s="10">
        <f>AtlasReport_3_Table_1[[#This Row],[Current On-hand]]-AtlasReport_3_Table_1[[#This Row],[Trans backwords (Ending)]]</f>
        <v>3</v>
      </c>
    </row>
    <row r="211" spans="1:8">
      <c r="A211" s="8" t="s">
        <v>59</v>
      </c>
      <c r="B211" s="8" t="s">
        <v>371</v>
      </c>
      <c r="C211" s="8" t="s">
        <v>70</v>
      </c>
      <c r="D211" s="10">
        <v>0</v>
      </c>
      <c r="E211" s="10">
        <f>_xll.AtlasFormulas.AtlasFunctions.AtlasBalance("PROD",DataAreaId,"T.InventTrans|inventDimId~inventDimId@T.InventDim","Sum|Qty|0","","","","","","","DateFinancial|ItemId|T2.InventSiteId|T2.InventLocationId",PeriodBeginning,$A211,$B211,$C211)</f>
        <v>0</v>
      </c>
      <c r="F211" s="10">
        <f>_xll.AtlasFormulas.AtlasFunctions.AtlasBalance("PROD",DataAreaId,"T.InventTrans|inventDimId~inventDimId@T.InventDim","Sum|Qty|0","","","","","","","DateFinancial|ItemId|T2.InventSiteId|T2.InventLocationId",PeriodEnding,$A211,$B211,$C211)</f>
        <v>0</v>
      </c>
      <c r="G211" s="10">
        <f>AtlasReport_3_Table_1[[#This Row],[Current On-hand]]-AtlasReport_3_Table_1[[#This Row],[Trans backwords (Beginning)]]</f>
        <v>0</v>
      </c>
      <c r="H211" s="10">
        <f>AtlasReport_3_Table_1[[#This Row],[Current On-hand]]-AtlasReport_3_Table_1[[#This Row],[Trans backwords (Ending)]]</f>
        <v>0</v>
      </c>
    </row>
    <row r="212" spans="1:8">
      <c r="A212" s="8" t="s">
        <v>59</v>
      </c>
      <c r="B212" s="8" t="s">
        <v>371</v>
      </c>
      <c r="C212" s="8" t="s">
        <v>372</v>
      </c>
      <c r="D212" s="10">
        <v>3</v>
      </c>
      <c r="E212" s="10">
        <f>_xll.AtlasFormulas.AtlasFunctions.AtlasBalance("PROD",DataAreaId,"T.InventTrans|inventDimId~inventDimId@T.InventDim","Sum|Qty|0","","","","","","","DateFinancial|ItemId|T2.InventSiteId|T2.InventLocationId",PeriodBeginning,$A212,$B212,$C212)</f>
        <v>0</v>
      </c>
      <c r="F212" s="10">
        <f>_xll.AtlasFormulas.AtlasFunctions.AtlasBalance("PROD",DataAreaId,"T.InventTrans|inventDimId~inventDimId@T.InventDim","Sum|Qty|0","","","","","","","DateFinancial|ItemId|T2.InventSiteId|T2.InventLocationId",PeriodEnding,$A212,$B212,$C212)</f>
        <v>0</v>
      </c>
      <c r="G212" s="10">
        <f>AtlasReport_3_Table_1[[#This Row],[Current On-hand]]-AtlasReport_3_Table_1[[#This Row],[Trans backwords (Beginning)]]</f>
        <v>3</v>
      </c>
      <c r="H212" s="10">
        <f>AtlasReport_3_Table_1[[#This Row],[Current On-hand]]-AtlasReport_3_Table_1[[#This Row],[Trans backwords (Ending)]]</f>
        <v>3</v>
      </c>
    </row>
    <row r="213" spans="1:8">
      <c r="A213" s="8" t="s">
        <v>651</v>
      </c>
      <c r="B213" s="8" t="s">
        <v>371</v>
      </c>
      <c r="C213" s="8" t="s">
        <v>70</v>
      </c>
      <c r="D213" s="10">
        <v>0</v>
      </c>
      <c r="E213" s="10">
        <f>_xll.AtlasFormulas.AtlasFunctions.AtlasBalance("PROD",DataAreaId,"T.InventTrans|inventDimId~inventDimId@T.InventDim","Sum|Qty|0","","","","","","","DateFinancial|ItemId|T2.InventSiteId|T2.InventLocationId",PeriodBeginning,$A213,$B213,$C213)</f>
        <v>0</v>
      </c>
      <c r="F213" s="10">
        <f>_xll.AtlasFormulas.AtlasFunctions.AtlasBalance("PROD",DataAreaId,"T.InventTrans|inventDimId~inventDimId@T.InventDim","Sum|Qty|0","","","","","","","DateFinancial|ItemId|T2.InventSiteId|T2.InventLocationId",PeriodEnding,$A213,$B213,$C213)</f>
        <v>0</v>
      </c>
      <c r="G213" s="10">
        <f>AtlasReport_3_Table_1[[#This Row],[Current On-hand]]-AtlasReport_3_Table_1[[#This Row],[Trans backwords (Beginning)]]</f>
        <v>0</v>
      </c>
      <c r="H213" s="10">
        <f>AtlasReport_3_Table_1[[#This Row],[Current On-hand]]-AtlasReport_3_Table_1[[#This Row],[Trans backwords (Ending)]]</f>
        <v>0</v>
      </c>
    </row>
    <row r="214" spans="1:8">
      <c r="A214" s="8" t="s">
        <v>651</v>
      </c>
      <c r="B214" s="8" t="s">
        <v>371</v>
      </c>
      <c r="C214" s="8" t="s">
        <v>372</v>
      </c>
      <c r="D214" s="10">
        <v>18</v>
      </c>
      <c r="E214" s="10">
        <f>_xll.AtlasFormulas.AtlasFunctions.AtlasBalance("PROD",DataAreaId,"T.InventTrans|inventDimId~inventDimId@T.InventDim","Sum|Qty|0","","","","","","","DateFinancial|ItemId|T2.InventSiteId|T2.InventLocationId",PeriodBeginning,$A214,$B214,$C214)</f>
        <v>-30</v>
      </c>
      <c r="F214" s="10">
        <f>_xll.AtlasFormulas.AtlasFunctions.AtlasBalance("PROD",DataAreaId,"T.InventTrans|inventDimId~inventDimId@T.InventDim","Sum|Qty|0","","","","","","","DateFinancial|ItemId|T2.InventSiteId|T2.InventLocationId",PeriodEnding,$A214,$B214,$C214)</f>
        <v>0</v>
      </c>
      <c r="G214" s="10">
        <f>AtlasReport_3_Table_1[[#This Row],[Current On-hand]]-AtlasReport_3_Table_1[[#This Row],[Trans backwords (Beginning)]]</f>
        <v>48</v>
      </c>
      <c r="H214" s="10">
        <f>AtlasReport_3_Table_1[[#This Row],[Current On-hand]]-AtlasReport_3_Table_1[[#This Row],[Trans backwords (Ending)]]</f>
        <v>18</v>
      </c>
    </row>
    <row r="215" spans="1:8">
      <c r="A215" s="8" t="s">
        <v>653</v>
      </c>
      <c r="B215" s="8" t="s">
        <v>371</v>
      </c>
      <c r="C215" s="8" t="s">
        <v>70</v>
      </c>
      <c r="D215" s="10">
        <v>0</v>
      </c>
      <c r="E215" s="10">
        <f>_xll.AtlasFormulas.AtlasFunctions.AtlasBalance("PROD",DataAreaId,"T.InventTrans|inventDimId~inventDimId@T.InventDim","Sum|Qty|0","","","","","","","DateFinancial|ItemId|T2.InventSiteId|T2.InventLocationId",PeriodBeginning,$A215,$B215,$C215)</f>
        <v>0</v>
      </c>
      <c r="F215" s="10">
        <f>_xll.AtlasFormulas.AtlasFunctions.AtlasBalance("PROD",DataAreaId,"T.InventTrans|inventDimId~inventDimId@T.InventDim","Sum|Qty|0","","","","","","","DateFinancial|ItemId|T2.InventSiteId|T2.InventLocationId",PeriodEnding,$A215,$B215,$C215)</f>
        <v>0</v>
      </c>
      <c r="G215" s="10">
        <f>AtlasReport_3_Table_1[[#This Row],[Current On-hand]]-AtlasReport_3_Table_1[[#This Row],[Trans backwords (Beginning)]]</f>
        <v>0</v>
      </c>
      <c r="H215" s="10">
        <f>AtlasReport_3_Table_1[[#This Row],[Current On-hand]]-AtlasReport_3_Table_1[[#This Row],[Trans backwords (Ending)]]</f>
        <v>0</v>
      </c>
    </row>
    <row r="216" spans="1:8">
      <c r="A216" s="8" t="s">
        <v>653</v>
      </c>
      <c r="B216" s="8" t="s">
        <v>371</v>
      </c>
      <c r="C216" s="8" t="s">
        <v>372</v>
      </c>
      <c r="D216" s="10">
        <v>96</v>
      </c>
      <c r="E216" s="10">
        <f>_xll.AtlasFormulas.AtlasFunctions.AtlasBalance("PROD",DataAreaId,"T.InventTrans|inventDimId~inventDimId@T.InventDim","Sum|Qty|0","","","","","","","DateFinancial|ItemId|T2.InventSiteId|T2.InventLocationId",PeriodBeginning,$A216,$B216,$C216)</f>
        <v>-12</v>
      </c>
      <c r="F216" s="10">
        <f>_xll.AtlasFormulas.AtlasFunctions.AtlasBalance("PROD",DataAreaId,"T.InventTrans|inventDimId~inventDimId@T.InventDim","Sum|Qty|0","","","","","","","DateFinancial|ItemId|T2.InventSiteId|T2.InventLocationId",PeriodEnding,$A216,$B216,$C216)</f>
        <v>0</v>
      </c>
      <c r="G216" s="10">
        <f>AtlasReport_3_Table_1[[#This Row],[Current On-hand]]-AtlasReport_3_Table_1[[#This Row],[Trans backwords (Beginning)]]</f>
        <v>108</v>
      </c>
      <c r="H216" s="10">
        <f>AtlasReport_3_Table_1[[#This Row],[Current On-hand]]-AtlasReport_3_Table_1[[#This Row],[Trans backwords (Ending)]]</f>
        <v>96</v>
      </c>
    </row>
    <row r="217" spans="1:8">
      <c r="A217" s="8" t="s">
        <v>657</v>
      </c>
      <c r="B217" s="8" t="s">
        <v>371</v>
      </c>
      <c r="C217" s="8" t="s">
        <v>70</v>
      </c>
      <c r="D217" s="10">
        <v>0</v>
      </c>
      <c r="E217" s="10">
        <f>_xll.AtlasFormulas.AtlasFunctions.AtlasBalance("PROD",DataAreaId,"T.InventTrans|inventDimId~inventDimId@T.InventDim","Sum|Qty|0","","","","","","","DateFinancial|ItemId|T2.InventSiteId|T2.InventLocationId",PeriodBeginning,$A217,$B217,$C217)</f>
        <v>0</v>
      </c>
      <c r="F217" s="10">
        <f>_xll.AtlasFormulas.AtlasFunctions.AtlasBalance("PROD",DataAreaId,"T.InventTrans|inventDimId~inventDimId@T.InventDim","Sum|Qty|0","","","","","","","DateFinancial|ItemId|T2.InventSiteId|T2.InventLocationId",PeriodEnding,$A217,$B217,$C217)</f>
        <v>0</v>
      </c>
      <c r="G217" s="10">
        <f>AtlasReport_3_Table_1[[#This Row],[Current On-hand]]-AtlasReport_3_Table_1[[#This Row],[Trans backwords (Beginning)]]</f>
        <v>0</v>
      </c>
      <c r="H217" s="10">
        <f>AtlasReport_3_Table_1[[#This Row],[Current On-hand]]-AtlasReport_3_Table_1[[#This Row],[Trans backwords (Ending)]]</f>
        <v>0</v>
      </c>
    </row>
    <row r="218" spans="1:8">
      <c r="A218" s="8" t="s">
        <v>657</v>
      </c>
      <c r="B218" s="8" t="s">
        <v>371</v>
      </c>
      <c r="C218" s="8" t="s">
        <v>372</v>
      </c>
      <c r="D218" s="10">
        <v>0</v>
      </c>
      <c r="E218" s="10">
        <f>_xll.AtlasFormulas.AtlasFunctions.AtlasBalance("PROD",DataAreaId,"T.InventTrans|inventDimId~inventDimId@T.InventDim","Sum|Qty|0","","","","","","","DateFinancial|ItemId|T2.InventSiteId|T2.InventLocationId",PeriodBeginning,$A218,$B218,$C218)</f>
        <v>0</v>
      </c>
      <c r="F218" s="10">
        <f>_xll.AtlasFormulas.AtlasFunctions.AtlasBalance("PROD",DataAreaId,"T.InventTrans|inventDimId~inventDimId@T.InventDim","Sum|Qty|0","","","","","","","DateFinancial|ItemId|T2.InventSiteId|T2.InventLocationId",PeriodEnding,$A218,$B218,$C218)</f>
        <v>0</v>
      </c>
      <c r="G218" s="10">
        <f>AtlasReport_3_Table_1[[#This Row],[Current On-hand]]-AtlasReport_3_Table_1[[#This Row],[Trans backwords (Beginning)]]</f>
        <v>0</v>
      </c>
      <c r="H218" s="10">
        <f>AtlasReport_3_Table_1[[#This Row],[Current On-hand]]-AtlasReport_3_Table_1[[#This Row],[Trans backwords (Ending)]]</f>
        <v>0</v>
      </c>
    </row>
    <row r="219" spans="1:8">
      <c r="A219" s="8" t="s">
        <v>101</v>
      </c>
      <c r="B219" s="8" t="s">
        <v>371</v>
      </c>
      <c r="C219" s="8" t="s">
        <v>70</v>
      </c>
      <c r="D219" s="10">
        <v>0</v>
      </c>
      <c r="E219" s="10">
        <f>_xll.AtlasFormulas.AtlasFunctions.AtlasBalance("PROD",DataAreaId,"T.InventTrans|inventDimId~inventDimId@T.InventDim","Sum|Qty|0","","","","","","","DateFinancial|ItemId|T2.InventSiteId|T2.InventLocationId",PeriodBeginning,$A219,$B219,$C219)</f>
        <v>0</v>
      </c>
      <c r="F219" s="10">
        <f>_xll.AtlasFormulas.AtlasFunctions.AtlasBalance("PROD",DataAreaId,"T.InventTrans|inventDimId~inventDimId@T.InventDim","Sum|Qty|0","","","","","","","DateFinancial|ItemId|T2.InventSiteId|T2.InventLocationId",PeriodEnding,$A219,$B219,$C219)</f>
        <v>0</v>
      </c>
      <c r="G219" s="10">
        <f>AtlasReport_3_Table_1[[#This Row],[Current On-hand]]-AtlasReport_3_Table_1[[#This Row],[Trans backwords (Beginning)]]</f>
        <v>0</v>
      </c>
      <c r="H219" s="10">
        <f>AtlasReport_3_Table_1[[#This Row],[Current On-hand]]-AtlasReport_3_Table_1[[#This Row],[Trans backwords (Ending)]]</f>
        <v>0</v>
      </c>
    </row>
    <row r="220" spans="1:8">
      <c r="A220" s="8" t="s">
        <v>101</v>
      </c>
      <c r="B220" s="8" t="s">
        <v>371</v>
      </c>
      <c r="C220" s="8" t="s">
        <v>372</v>
      </c>
      <c r="D220" s="10">
        <v>47</v>
      </c>
      <c r="E220" s="10">
        <f>_xll.AtlasFormulas.AtlasFunctions.AtlasBalance("PROD",DataAreaId,"T.InventTrans|inventDimId~inventDimId@T.InventDim","Sum|Qty|0","","","","","","","DateFinancial|ItemId|T2.InventSiteId|T2.InventLocationId",PeriodBeginning,$A220,$B220,$C220)</f>
        <v>0</v>
      </c>
      <c r="F220" s="10">
        <f>_xll.AtlasFormulas.AtlasFunctions.AtlasBalance("PROD",DataAreaId,"T.InventTrans|inventDimId~inventDimId@T.InventDim","Sum|Qty|0","","","","","","","DateFinancial|ItemId|T2.InventSiteId|T2.InventLocationId",PeriodEnding,$A220,$B220,$C220)</f>
        <v>0</v>
      </c>
      <c r="G220" s="10">
        <f>AtlasReport_3_Table_1[[#This Row],[Current On-hand]]-AtlasReport_3_Table_1[[#This Row],[Trans backwords (Beginning)]]</f>
        <v>47</v>
      </c>
      <c r="H220" s="10">
        <f>AtlasReport_3_Table_1[[#This Row],[Current On-hand]]-AtlasReport_3_Table_1[[#This Row],[Trans backwords (Ending)]]</f>
        <v>47</v>
      </c>
    </row>
    <row r="221" spans="1:8">
      <c r="A221" s="8" t="s">
        <v>216</v>
      </c>
      <c r="B221" s="8" t="s">
        <v>371</v>
      </c>
      <c r="C221" s="8" t="s">
        <v>372</v>
      </c>
      <c r="D221" s="10">
        <v>0</v>
      </c>
      <c r="E221" s="10">
        <f>_xll.AtlasFormulas.AtlasFunctions.AtlasBalance("PROD",DataAreaId,"T.InventTrans|inventDimId~inventDimId@T.InventDim","Sum|Qty|0","","","","","","","DateFinancial|ItemId|T2.InventSiteId|T2.InventLocationId",PeriodBeginning,$A221,$B221,$C221)</f>
        <v>0</v>
      </c>
      <c r="F221" s="10">
        <f>_xll.AtlasFormulas.AtlasFunctions.AtlasBalance("PROD",DataAreaId,"T.InventTrans|inventDimId~inventDimId@T.InventDim","Sum|Qty|0","","","","","","","DateFinancial|ItemId|T2.InventSiteId|T2.InventLocationId",PeriodEnding,$A221,$B221,$C221)</f>
        <v>0</v>
      </c>
      <c r="G221" s="10">
        <f>AtlasReport_3_Table_1[[#This Row],[Current On-hand]]-AtlasReport_3_Table_1[[#This Row],[Trans backwords (Beginning)]]</f>
        <v>0</v>
      </c>
      <c r="H221" s="10">
        <f>AtlasReport_3_Table_1[[#This Row],[Current On-hand]]-AtlasReport_3_Table_1[[#This Row],[Trans backwords (Ending)]]</f>
        <v>0</v>
      </c>
    </row>
    <row r="222" spans="1:8">
      <c r="A222" s="8" t="s">
        <v>20</v>
      </c>
      <c r="B222" s="8" t="s">
        <v>371</v>
      </c>
      <c r="C222" s="8" t="s">
        <v>70</v>
      </c>
      <c r="D222" s="10">
        <v>0</v>
      </c>
      <c r="E222" s="10">
        <f>_xll.AtlasFormulas.AtlasFunctions.AtlasBalance("PROD",DataAreaId,"T.InventTrans|inventDimId~inventDimId@T.InventDim","Sum|Qty|0","","","","","","","DateFinancial|ItemId|T2.InventSiteId|T2.InventLocationId",PeriodBeginning,$A222,$B222,$C222)</f>
        <v>0</v>
      </c>
      <c r="F222" s="10">
        <f>_xll.AtlasFormulas.AtlasFunctions.AtlasBalance("PROD",DataAreaId,"T.InventTrans|inventDimId~inventDimId@T.InventDim","Sum|Qty|0","","","","","","","DateFinancial|ItemId|T2.InventSiteId|T2.InventLocationId",PeriodEnding,$A222,$B222,$C222)</f>
        <v>0</v>
      </c>
      <c r="G222" s="10">
        <f>AtlasReport_3_Table_1[[#This Row],[Current On-hand]]-AtlasReport_3_Table_1[[#This Row],[Trans backwords (Beginning)]]</f>
        <v>0</v>
      </c>
      <c r="H222" s="10">
        <f>AtlasReport_3_Table_1[[#This Row],[Current On-hand]]-AtlasReport_3_Table_1[[#This Row],[Trans backwords (Ending)]]</f>
        <v>0</v>
      </c>
    </row>
    <row r="223" spans="1:8">
      <c r="A223" s="8" t="s">
        <v>20</v>
      </c>
      <c r="B223" s="8" t="s">
        <v>371</v>
      </c>
      <c r="C223" s="8" t="s">
        <v>372</v>
      </c>
      <c r="D223" s="10">
        <v>710</v>
      </c>
      <c r="E223" s="10">
        <f>_xll.AtlasFormulas.AtlasFunctions.AtlasBalance("PROD",DataAreaId,"T.InventTrans|inventDimId~inventDimId@T.InventDim","Sum|Qty|0","","","","","","","DateFinancial|ItemId|T2.InventSiteId|T2.InventLocationId",PeriodBeginning,$A223,$B223,$C223)</f>
        <v>-109</v>
      </c>
      <c r="F223" s="10">
        <f>_xll.AtlasFormulas.AtlasFunctions.AtlasBalance("PROD",DataAreaId,"T.InventTrans|inventDimId~inventDimId@T.InventDim","Sum|Qty|0","","","","","","","DateFinancial|ItemId|T2.InventSiteId|T2.InventLocationId",PeriodEnding,$A223,$B223,$C223)</f>
        <v>0</v>
      </c>
      <c r="G223" s="10">
        <f>AtlasReport_3_Table_1[[#This Row],[Current On-hand]]-AtlasReport_3_Table_1[[#This Row],[Trans backwords (Beginning)]]</f>
        <v>819</v>
      </c>
      <c r="H223" s="10">
        <f>AtlasReport_3_Table_1[[#This Row],[Current On-hand]]-AtlasReport_3_Table_1[[#This Row],[Trans backwords (Ending)]]</f>
        <v>710</v>
      </c>
    </row>
    <row r="224" spans="1:8">
      <c r="A224" s="8" t="s">
        <v>60</v>
      </c>
      <c r="B224" s="8" t="s">
        <v>371</v>
      </c>
      <c r="C224" s="8" t="s">
        <v>70</v>
      </c>
      <c r="D224" s="10">
        <v>0</v>
      </c>
      <c r="E224" s="10">
        <f>_xll.AtlasFormulas.AtlasFunctions.AtlasBalance("PROD",DataAreaId,"T.InventTrans|inventDimId~inventDimId@T.InventDim","Sum|Qty|0","","","","","","","DateFinancial|ItemId|T2.InventSiteId|T2.InventLocationId",PeriodBeginning,$A224,$B224,$C224)</f>
        <v>0</v>
      </c>
      <c r="F224" s="10">
        <f>_xll.AtlasFormulas.AtlasFunctions.AtlasBalance("PROD",DataAreaId,"T.InventTrans|inventDimId~inventDimId@T.InventDim","Sum|Qty|0","","","","","","","DateFinancial|ItemId|T2.InventSiteId|T2.InventLocationId",PeriodEnding,$A224,$B224,$C224)</f>
        <v>0</v>
      </c>
      <c r="G224" s="10">
        <f>AtlasReport_3_Table_1[[#This Row],[Current On-hand]]-AtlasReport_3_Table_1[[#This Row],[Trans backwords (Beginning)]]</f>
        <v>0</v>
      </c>
      <c r="H224" s="10">
        <f>AtlasReport_3_Table_1[[#This Row],[Current On-hand]]-AtlasReport_3_Table_1[[#This Row],[Trans backwords (Ending)]]</f>
        <v>0</v>
      </c>
    </row>
    <row r="225" spans="1:8">
      <c r="A225" s="8" t="s">
        <v>60</v>
      </c>
      <c r="B225" s="8" t="s">
        <v>371</v>
      </c>
      <c r="C225" s="8" t="s">
        <v>372</v>
      </c>
      <c r="D225" s="10">
        <v>189</v>
      </c>
      <c r="E225" s="10">
        <f>_xll.AtlasFormulas.AtlasFunctions.AtlasBalance("PROD",DataAreaId,"T.InventTrans|inventDimId~inventDimId@T.InventDim","Sum|Qty|0","","","","","","","DateFinancial|ItemId|T2.InventSiteId|T2.InventLocationId",PeriodBeginning,$A225,$B225,$C225)</f>
        <v>-44</v>
      </c>
      <c r="F225" s="10">
        <f>_xll.AtlasFormulas.AtlasFunctions.AtlasBalance("PROD",DataAreaId,"T.InventTrans|inventDimId~inventDimId@T.InventDim","Sum|Qty|0","","","","","","","DateFinancial|ItemId|T2.InventSiteId|T2.InventLocationId",PeriodEnding,$A225,$B225,$C225)</f>
        <v>0</v>
      </c>
      <c r="G225" s="10">
        <f>AtlasReport_3_Table_1[[#This Row],[Current On-hand]]-AtlasReport_3_Table_1[[#This Row],[Trans backwords (Beginning)]]</f>
        <v>233</v>
      </c>
      <c r="H225" s="10">
        <f>AtlasReport_3_Table_1[[#This Row],[Current On-hand]]-AtlasReport_3_Table_1[[#This Row],[Trans backwords (Ending)]]</f>
        <v>189</v>
      </c>
    </row>
    <row r="226" spans="1:8">
      <c r="A226" s="8" t="s">
        <v>673</v>
      </c>
      <c r="B226" s="8" t="s">
        <v>371</v>
      </c>
      <c r="C226" s="8" t="s">
        <v>70</v>
      </c>
      <c r="D226" s="10">
        <v>0</v>
      </c>
      <c r="E226" s="10">
        <f>_xll.AtlasFormulas.AtlasFunctions.AtlasBalance("PROD",DataAreaId,"T.InventTrans|inventDimId~inventDimId@T.InventDim","Sum|Qty|0","","","","","","","DateFinancial|ItemId|T2.InventSiteId|T2.InventLocationId",PeriodBeginning,$A226,$B226,$C226)</f>
        <v>0</v>
      </c>
      <c r="F226" s="10">
        <f>_xll.AtlasFormulas.AtlasFunctions.AtlasBalance("PROD",DataAreaId,"T.InventTrans|inventDimId~inventDimId@T.InventDim","Sum|Qty|0","","","","","","","DateFinancial|ItemId|T2.InventSiteId|T2.InventLocationId",PeriodEnding,$A226,$B226,$C226)</f>
        <v>0</v>
      </c>
      <c r="G226" s="10">
        <f>AtlasReport_3_Table_1[[#This Row],[Current On-hand]]-AtlasReport_3_Table_1[[#This Row],[Trans backwords (Beginning)]]</f>
        <v>0</v>
      </c>
      <c r="H226" s="10">
        <f>AtlasReport_3_Table_1[[#This Row],[Current On-hand]]-AtlasReport_3_Table_1[[#This Row],[Trans backwords (Ending)]]</f>
        <v>0</v>
      </c>
    </row>
    <row r="227" spans="1:8">
      <c r="A227" s="8" t="s">
        <v>673</v>
      </c>
      <c r="B227" s="8" t="s">
        <v>371</v>
      </c>
      <c r="C227" s="8" t="s">
        <v>372</v>
      </c>
      <c r="D227" s="10">
        <v>34</v>
      </c>
      <c r="E227" s="10">
        <f>_xll.AtlasFormulas.AtlasFunctions.AtlasBalance("PROD",DataAreaId,"T.InventTrans|inventDimId~inventDimId@T.InventDim","Sum|Qty|0","","","","","","","DateFinancial|ItemId|T2.InventSiteId|T2.InventLocationId",PeriodBeginning,$A227,$B227,$C227)</f>
        <v>0</v>
      </c>
      <c r="F227" s="10">
        <f>_xll.AtlasFormulas.AtlasFunctions.AtlasBalance("PROD",DataAreaId,"T.InventTrans|inventDimId~inventDimId@T.InventDim","Sum|Qty|0","","","","","","","DateFinancial|ItemId|T2.InventSiteId|T2.InventLocationId",PeriodEnding,$A227,$B227,$C227)</f>
        <v>0</v>
      </c>
      <c r="G227" s="10">
        <f>AtlasReport_3_Table_1[[#This Row],[Current On-hand]]-AtlasReport_3_Table_1[[#This Row],[Trans backwords (Beginning)]]</f>
        <v>34</v>
      </c>
      <c r="H227" s="10">
        <f>AtlasReport_3_Table_1[[#This Row],[Current On-hand]]-AtlasReport_3_Table_1[[#This Row],[Trans backwords (Ending)]]</f>
        <v>34</v>
      </c>
    </row>
    <row r="228" spans="1:8">
      <c r="A228" s="8" t="s">
        <v>677</v>
      </c>
      <c r="B228" s="8" t="s">
        <v>371</v>
      </c>
      <c r="C228" s="8" t="s">
        <v>70</v>
      </c>
      <c r="D228" s="10">
        <v>0</v>
      </c>
      <c r="E228" s="10">
        <f>_xll.AtlasFormulas.AtlasFunctions.AtlasBalance("PROD",DataAreaId,"T.InventTrans|inventDimId~inventDimId@T.InventDim","Sum|Qty|0","","","","","","","DateFinancial|ItemId|T2.InventSiteId|T2.InventLocationId",PeriodBeginning,$A228,$B228,$C228)</f>
        <v>0</v>
      </c>
      <c r="F228" s="10">
        <f>_xll.AtlasFormulas.AtlasFunctions.AtlasBalance("PROD",DataAreaId,"T.InventTrans|inventDimId~inventDimId@T.InventDim","Sum|Qty|0","","","","","","","DateFinancial|ItemId|T2.InventSiteId|T2.InventLocationId",PeriodEnding,$A228,$B228,$C228)</f>
        <v>0</v>
      </c>
      <c r="G228" s="10">
        <f>AtlasReport_3_Table_1[[#This Row],[Current On-hand]]-AtlasReport_3_Table_1[[#This Row],[Trans backwords (Beginning)]]</f>
        <v>0</v>
      </c>
      <c r="H228" s="10">
        <f>AtlasReport_3_Table_1[[#This Row],[Current On-hand]]-AtlasReport_3_Table_1[[#This Row],[Trans backwords (Ending)]]</f>
        <v>0</v>
      </c>
    </row>
    <row r="229" spans="1:8">
      <c r="A229" s="8" t="s">
        <v>677</v>
      </c>
      <c r="B229" s="8" t="s">
        <v>371</v>
      </c>
      <c r="C229" s="8" t="s">
        <v>372</v>
      </c>
      <c r="D229" s="10">
        <v>0</v>
      </c>
      <c r="E229" s="10">
        <f>_xll.AtlasFormulas.AtlasFunctions.AtlasBalance("PROD",DataAreaId,"T.InventTrans|inventDimId~inventDimId@T.InventDim","Sum|Qty|0","","","","","","","DateFinancial|ItemId|T2.InventSiteId|T2.InventLocationId",PeriodBeginning,$A229,$B229,$C229)</f>
        <v>0</v>
      </c>
      <c r="F229" s="10">
        <f>_xll.AtlasFormulas.AtlasFunctions.AtlasBalance("PROD",DataAreaId,"T.InventTrans|inventDimId~inventDimId@T.InventDim","Sum|Qty|0","","","","","","","DateFinancial|ItemId|T2.InventSiteId|T2.InventLocationId",PeriodEnding,$A229,$B229,$C229)</f>
        <v>0</v>
      </c>
      <c r="G229" s="10">
        <f>AtlasReport_3_Table_1[[#This Row],[Current On-hand]]-AtlasReport_3_Table_1[[#This Row],[Trans backwords (Beginning)]]</f>
        <v>0</v>
      </c>
      <c r="H229" s="10">
        <f>AtlasReport_3_Table_1[[#This Row],[Current On-hand]]-AtlasReport_3_Table_1[[#This Row],[Trans backwords (Ending)]]</f>
        <v>0</v>
      </c>
    </row>
    <row r="230" spans="1:8">
      <c r="A230" s="8" t="s">
        <v>679</v>
      </c>
      <c r="B230" s="8" t="s">
        <v>371</v>
      </c>
      <c r="C230" s="8" t="s">
        <v>70</v>
      </c>
      <c r="D230" s="10">
        <v>0</v>
      </c>
      <c r="E230" s="10">
        <f>_xll.AtlasFormulas.AtlasFunctions.AtlasBalance("PROD",DataAreaId,"T.InventTrans|inventDimId~inventDimId@T.InventDim","Sum|Qty|0","","","","","","","DateFinancial|ItemId|T2.InventSiteId|T2.InventLocationId",PeriodBeginning,$A230,$B230,$C230)</f>
        <v>0</v>
      </c>
      <c r="F230" s="10">
        <f>_xll.AtlasFormulas.AtlasFunctions.AtlasBalance("PROD",DataAreaId,"T.InventTrans|inventDimId~inventDimId@T.InventDim","Sum|Qty|0","","","","","","","DateFinancial|ItemId|T2.InventSiteId|T2.InventLocationId",PeriodEnding,$A230,$B230,$C230)</f>
        <v>0</v>
      </c>
      <c r="G230" s="10">
        <f>AtlasReport_3_Table_1[[#This Row],[Current On-hand]]-AtlasReport_3_Table_1[[#This Row],[Trans backwords (Beginning)]]</f>
        <v>0</v>
      </c>
      <c r="H230" s="10">
        <f>AtlasReport_3_Table_1[[#This Row],[Current On-hand]]-AtlasReport_3_Table_1[[#This Row],[Trans backwords (Ending)]]</f>
        <v>0</v>
      </c>
    </row>
    <row r="231" spans="1:8">
      <c r="A231" s="8" t="s">
        <v>679</v>
      </c>
      <c r="B231" s="8" t="s">
        <v>371</v>
      </c>
      <c r="C231" s="8" t="s">
        <v>372</v>
      </c>
      <c r="D231" s="10">
        <v>92</v>
      </c>
      <c r="E231" s="10">
        <f>_xll.AtlasFormulas.AtlasFunctions.AtlasBalance("PROD",DataAreaId,"T.InventTrans|inventDimId~inventDimId@T.InventDim","Sum|Qty|0","","","","","","","DateFinancial|ItemId|T2.InventSiteId|T2.InventLocationId",PeriodBeginning,$A231,$B231,$C231)</f>
        <v>-30</v>
      </c>
      <c r="F231" s="10">
        <f>_xll.AtlasFormulas.AtlasFunctions.AtlasBalance("PROD",DataAreaId,"T.InventTrans|inventDimId~inventDimId@T.InventDim","Sum|Qty|0","","","","","","","DateFinancial|ItemId|T2.InventSiteId|T2.InventLocationId",PeriodEnding,$A231,$B231,$C231)</f>
        <v>0</v>
      </c>
      <c r="G231" s="10">
        <f>AtlasReport_3_Table_1[[#This Row],[Current On-hand]]-AtlasReport_3_Table_1[[#This Row],[Trans backwords (Beginning)]]</f>
        <v>122</v>
      </c>
      <c r="H231" s="10">
        <f>AtlasReport_3_Table_1[[#This Row],[Current On-hand]]-AtlasReport_3_Table_1[[#This Row],[Trans backwords (Ending)]]</f>
        <v>92</v>
      </c>
    </row>
    <row r="232" spans="1:8">
      <c r="A232" s="8" t="s">
        <v>217</v>
      </c>
      <c r="B232" s="8" t="s">
        <v>371</v>
      </c>
      <c r="C232" s="8" t="s">
        <v>70</v>
      </c>
      <c r="D232" s="10">
        <v>0</v>
      </c>
      <c r="E232" s="10">
        <f>_xll.AtlasFormulas.AtlasFunctions.AtlasBalance("PROD",DataAreaId,"T.InventTrans|inventDimId~inventDimId@T.InventDim","Sum|Qty|0","","","","","","","DateFinancial|ItemId|T2.InventSiteId|T2.InventLocationId",PeriodBeginning,$A232,$B232,$C232)</f>
        <v>0</v>
      </c>
      <c r="F232" s="10">
        <f>_xll.AtlasFormulas.AtlasFunctions.AtlasBalance("PROD",DataAreaId,"T.InventTrans|inventDimId~inventDimId@T.InventDim","Sum|Qty|0","","","","","","","DateFinancial|ItemId|T2.InventSiteId|T2.InventLocationId",PeriodEnding,$A232,$B232,$C232)</f>
        <v>0</v>
      </c>
      <c r="G232" s="10">
        <f>AtlasReport_3_Table_1[[#This Row],[Current On-hand]]-AtlasReport_3_Table_1[[#This Row],[Trans backwords (Beginning)]]</f>
        <v>0</v>
      </c>
      <c r="H232" s="10">
        <f>AtlasReport_3_Table_1[[#This Row],[Current On-hand]]-AtlasReport_3_Table_1[[#This Row],[Trans backwords (Ending)]]</f>
        <v>0</v>
      </c>
    </row>
    <row r="233" spans="1:8">
      <c r="A233" s="8" t="s">
        <v>217</v>
      </c>
      <c r="B233" s="8" t="s">
        <v>371</v>
      </c>
      <c r="C233" s="8" t="s">
        <v>372</v>
      </c>
      <c r="D233" s="10">
        <v>3</v>
      </c>
      <c r="E233" s="10">
        <f>_xll.AtlasFormulas.AtlasFunctions.AtlasBalance("PROD",DataAreaId,"T.InventTrans|inventDimId~inventDimId@T.InventDim","Sum|Qty|0","","","","","","","DateFinancial|ItemId|T2.InventSiteId|T2.InventLocationId",PeriodBeginning,$A233,$B233,$C233)</f>
        <v>0</v>
      </c>
      <c r="F233" s="10">
        <f>_xll.AtlasFormulas.AtlasFunctions.AtlasBalance("PROD",DataAreaId,"T.InventTrans|inventDimId~inventDimId@T.InventDim","Sum|Qty|0","","","","","","","DateFinancial|ItemId|T2.InventSiteId|T2.InventLocationId",PeriodEnding,$A233,$B233,$C233)</f>
        <v>0</v>
      </c>
      <c r="G233" s="10">
        <f>AtlasReport_3_Table_1[[#This Row],[Current On-hand]]-AtlasReport_3_Table_1[[#This Row],[Trans backwords (Beginning)]]</f>
        <v>3</v>
      </c>
      <c r="H233" s="10">
        <f>AtlasReport_3_Table_1[[#This Row],[Current On-hand]]-AtlasReport_3_Table_1[[#This Row],[Trans backwords (Ending)]]</f>
        <v>3</v>
      </c>
    </row>
    <row r="234" spans="1:8">
      <c r="A234" s="8" t="s">
        <v>692</v>
      </c>
      <c r="B234" s="8" t="s">
        <v>371</v>
      </c>
      <c r="C234" s="8" t="s">
        <v>70</v>
      </c>
      <c r="D234" s="10">
        <v>0</v>
      </c>
      <c r="E234" s="10">
        <f>_xll.AtlasFormulas.AtlasFunctions.AtlasBalance("PROD",DataAreaId,"T.InventTrans|inventDimId~inventDimId@T.InventDim","Sum|Qty|0","","","","","","","DateFinancial|ItemId|T2.InventSiteId|T2.InventLocationId",PeriodBeginning,$A234,$B234,$C234)</f>
        <v>0</v>
      </c>
      <c r="F234" s="10">
        <f>_xll.AtlasFormulas.AtlasFunctions.AtlasBalance("PROD",DataAreaId,"T.InventTrans|inventDimId~inventDimId@T.InventDim","Sum|Qty|0","","","","","","","DateFinancial|ItemId|T2.InventSiteId|T2.InventLocationId",PeriodEnding,$A234,$B234,$C234)</f>
        <v>0</v>
      </c>
      <c r="G234" s="10">
        <f>AtlasReport_3_Table_1[[#This Row],[Current On-hand]]-AtlasReport_3_Table_1[[#This Row],[Trans backwords (Beginning)]]</f>
        <v>0</v>
      </c>
      <c r="H234" s="10">
        <f>AtlasReport_3_Table_1[[#This Row],[Current On-hand]]-AtlasReport_3_Table_1[[#This Row],[Trans backwords (Ending)]]</f>
        <v>0</v>
      </c>
    </row>
    <row r="235" spans="1:8">
      <c r="A235" s="8" t="s">
        <v>692</v>
      </c>
      <c r="B235" s="8" t="s">
        <v>371</v>
      </c>
      <c r="C235" s="8" t="s">
        <v>372</v>
      </c>
      <c r="D235" s="10">
        <v>0</v>
      </c>
      <c r="E235" s="10">
        <f>_xll.AtlasFormulas.AtlasFunctions.AtlasBalance("PROD",DataAreaId,"T.InventTrans|inventDimId~inventDimId@T.InventDim","Sum|Qty|0","","","","","","","DateFinancial|ItemId|T2.InventSiteId|T2.InventLocationId",PeriodBeginning,$A235,$B235,$C235)</f>
        <v>0</v>
      </c>
      <c r="F235" s="10">
        <f>_xll.AtlasFormulas.AtlasFunctions.AtlasBalance("PROD",DataAreaId,"T.InventTrans|inventDimId~inventDimId@T.InventDim","Sum|Qty|0","","","","","","","DateFinancial|ItemId|T2.InventSiteId|T2.InventLocationId",PeriodEnding,$A235,$B235,$C235)</f>
        <v>0</v>
      </c>
      <c r="G235" s="10">
        <f>AtlasReport_3_Table_1[[#This Row],[Current On-hand]]-AtlasReport_3_Table_1[[#This Row],[Trans backwords (Beginning)]]</f>
        <v>0</v>
      </c>
      <c r="H235" s="10">
        <f>AtlasReport_3_Table_1[[#This Row],[Current On-hand]]-AtlasReport_3_Table_1[[#This Row],[Trans backwords (Ending)]]</f>
        <v>0</v>
      </c>
    </row>
    <row r="236" spans="1:8">
      <c r="A236" s="8" t="s">
        <v>61</v>
      </c>
      <c r="B236" s="8" t="s">
        <v>371</v>
      </c>
      <c r="C236" s="8" t="s">
        <v>70</v>
      </c>
      <c r="D236" s="10">
        <v>0</v>
      </c>
      <c r="E236" s="10">
        <f>_xll.AtlasFormulas.AtlasFunctions.AtlasBalance("PROD",DataAreaId,"T.InventTrans|inventDimId~inventDimId@T.InventDim","Sum|Qty|0","","","","","","","DateFinancial|ItemId|T2.InventSiteId|T2.InventLocationId",PeriodBeginning,$A236,$B236,$C236)</f>
        <v>0</v>
      </c>
      <c r="F236" s="10">
        <f>_xll.AtlasFormulas.AtlasFunctions.AtlasBalance("PROD",DataAreaId,"T.InventTrans|inventDimId~inventDimId@T.InventDim","Sum|Qty|0","","","","","","","DateFinancial|ItemId|T2.InventSiteId|T2.InventLocationId",PeriodEnding,$A236,$B236,$C236)</f>
        <v>0</v>
      </c>
      <c r="G236" s="10">
        <f>AtlasReport_3_Table_1[[#This Row],[Current On-hand]]-AtlasReport_3_Table_1[[#This Row],[Trans backwords (Beginning)]]</f>
        <v>0</v>
      </c>
      <c r="H236" s="10">
        <f>AtlasReport_3_Table_1[[#This Row],[Current On-hand]]-AtlasReport_3_Table_1[[#This Row],[Trans backwords (Ending)]]</f>
        <v>0</v>
      </c>
    </row>
    <row r="237" spans="1:8">
      <c r="A237" s="8" t="s">
        <v>61</v>
      </c>
      <c r="B237" s="8" t="s">
        <v>371</v>
      </c>
      <c r="C237" s="8" t="s">
        <v>372</v>
      </c>
      <c r="D237" s="10">
        <v>62</v>
      </c>
      <c r="E237" s="10">
        <f>_xll.AtlasFormulas.AtlasFunctions.AtlasBalance("PROD",DataAreaId,"T.InventTrans|inventDimId~inventDimId@T.InventDim","Sum|Qty|0","","","","","","","DateFinancial|ItemId|T2.InventSiteId|T2.InventLocationId",PeriodBeginning,$A237,$B237,$C237)</f>
        <v>0</v>
      </c>
      <c r="F237" s="10">
        <f>_xll.AtlasFormulas.AtlasFunctions.AtlasBalance("PROD",DataAreaId,"T.InventTrans|inventDimId~inventDimId@T.InventDim","Sum|Qty|0","","","","","","","DateFinancial|ItemId|T2.InventSiteId|T2.InventLocationId",PeriodEnding,$A237,$B237,$C237)</f>
        <v>0</v>
      </c>
      <c r="G237" s="10">
        <f>AtlasReport_3_Table_1[[#This Row],[Current On-hand]]-AtlasReport_3_Table_1[[#This Row],[Trans backwords (Beginning)]]</f>
        <v>62</v>
      </c>
      <c r="H237" s="10">
        <f>AtlasReport_3_Table_1[[#This Row],[Current On-hand]]-AtlasReport_3_Table_1[[#This Row],[Trans backwords (Ending)]]</f>
        <v>62</v>
      </c>
    </row>
    <row r="238" spans="1:8">
      <c r="A238" s="8" t="s">
        <v>193</v>
      </c>
      <c r="B238" s="8" t="s">
        <v>371</v>
      </c>
      <c r="C238" s="8" t="s">
        <v>70</v>
      </c>
      <c r="D238" s="10">
        <v>0</v>
      </c>
      <c r="E238" s="10">
        <f>_xll.AtlasFormulas.AtlasFunctions.AtlasBalance("PROD",DataAreaId,"T.InventTrans|inventDimId~inventDimId@T.InventDim","Sum|Qty|0","","","","","","","DateFinancial|ItemId|T2.InventSiteId|T2.InventLocationId",PeriodBeginning,$A238,$B238,$C238)</f>
        <v>0</v>
      </c>
      <c r="F238" s="10">
        <f>_xll.AtlasFormulas.AtlasFunctions.AtlasBalance("PROD",DataAreaId,"T.InventTrans|inventDimId~inventDimId@T.InventDim","Sum|Qty|0","","","","","","","DateFinancial|ItemId|T2.InventSiteId|T2.InventLocationId",PeriodEnding,$A238,$B238,$C238)</f>
        <v>0</v>
      </c>
      <c r="G238" s="10">
        <f>AtlasReport_3_Table_1[[#This Row],[Current On-hand]]-AtlasReport_3_Table_1[[#This Row],[Trans backwords (Beginning)]]</f>
        <v>0</v>
      </c>
      <c r="H238" s="10">
        <f>AtlasReport_3_Table_1[[#This Row],[Current On-hand]]-AtlasReport_3_Table_1[[#This Row],[Trans backwords (Ending)]]</f>
        <v>0</v>
      </c>
    </row>
    <row r="239" spans="1:8">
      <c r="A239" s="8" t="s">
        <v>193</v>
      </c>
      <c r="B239" s="8" t="s">
        <v>371</v>
      </c>
      <c r="C239" s="8" t="s">
        <v>372</v>
      </c>
      <c r="D239" s="10">
        <v>117</v>
      </c>
      <c r="E239" s="10">
        <f>_xll.AtlasFormulas.AtlasFunctions.AtlasBalance("PROD",DataAreaId,"T.InventTrans|inventDimId~inventDimId@T.InventDim","Sum|Qty|0","","","","","","","DateFinancial|ItemId|T2.InventSiteId|T2.InventLocationId",PeriodBeginning,$A239,$B239,$C239)</f>
        <v>-34</v>
      </c>
      <c r="F239" s="10">
        <f>_xll.AtlasFormulas.AtlasFunctions.AtlasBalance("PROD",DataAreaId,"T.InventTrans|inventDimId~inventDimId@T.InventDim","Sum|Qty|0","","","","","","","DateFinancial|ItemId|T2.InventSiteId|T2.InventLocationId",PeriodEnding,$A239,$B239,$C239)</f>
        <v>0</v>
      </c>
      <c r="G239" s="10">
        <f>AtlasReport_3_Table_1[[#This Row],[Current On-hand]]-AtlasReport_3_Table_1[[#This Row],[Trans backwords (Beginning)]]</f>
        <v>151</v>
      </c>
      <c r="H239" s="10">
        <f>AtlasReport_3_Table_1[[#This Row],[Current On-hand]]-AtlasReport_3_Table_1[[#This Row],[Trans backwords (Ending)]]</f>
        <v>117</v>
      </c>
    </row>
    <row r="240" spans="1:8">
      <c r="A240" s="8" t="s">
        <v>104</v>
      </c>
      <c r="B240" s="8" t="s">
        <v>371</v>
      </c>
      <c r="C240" s="8" t="s">
        <v>70</v>
      </c>
      <c r="D240" s="10">
        <v>0</v>
      </c>
      <c r="E240" s="10">
        <f>_xll.AtlasFormulas.AtlasFunctions.AtlasBalance("PROD",DataAreaId,"T.InventTrans|inventDimId~inventDimId@T.InventDim","Sum|Qty|0","","","","","","","DateFinancial|ItemId|T2.InventSiteId|T2.InventLocationId",PeriodBeginning,$A240,$B240,$C240)</f>
        <v>0</v>
      </c>
      <c r="F240" s="10">
        <f>_xll.AtlasFormulas.AtlasFunctions.AtlasBalance("PROD",DataAreaId,"T.InventTrans|inventDimId~inventDimId@T.InventDim","Sum|Qty|0","","","","","","","DateFinancial|ItemId|T2.InventSiteId|T2.InventLocationId",PeriodEnding,$A240,$B240,$C240)</f>
        <v>0</v>
      </c>
      <c r="G240" s="10">
        <f>AtlasReport_3_Table_1[[#This Row],[Current On-hand]]-AtlasReport_3_Table_1[[#This Row],[Trans backwords (Beginning)]]</f>
        <v>0</v>
      </c>
      <c r="H240" s="10">
        <f>AtlasReport_3_Table_1[[#This Row],[Current On-hand]]-AtlasReport_3_Table_1[[#This Row],[Trans backwords (Ending)]]</f>
        <v>0</v>
      </c>
    </row>
    <row r="241" spans="1:8">
      <c r="A241" s="8" t="s">
        <v>104</v>
      </c>
      <c r="B241" s="8" t="s">
        <v>371</v>
      </c>
      <c r="C241" s="8" t="s">
        <v>372</v>
      </c>
      <c r="D241" s="10">
        <v>7</v>
      </c>
      <c r="E241" s="10">
        <f>_xll.AtlasFormulas.AtlasFunctions.AtlasBalance("PROD",DataAreaId,"T.InventTrans|inventDimId~inventDimId@T.InventDim","Sum|Qty|0","","","","","","","DateFinancial|ItemId|T2.InventSiteId|T2.InventLocationId",PeriodBeginning,$A241,$B241,$C241)</f>
        <v>0</v>
      </c>
      <c r="F241" s="10">
        <f>_xll.AtlasFormulas.AtlasFunctions.AtlasBalance("PROD",DataAreaId,"T.InventTrans|inventDimId~inventDimId@T.InventDim","Sum|Qty|0","","","","","","","DateFinancial|ItemId|T2.InventSiteId|T2.InventLocationId",PeriodEnding,$A241,$B241,$C241)</f>
        <v>0</v>
      </c>
      <c r="G241" s="10">
        <f>AtlasReport_3_Table_1[[#This Row],[Current On-hand]]-AtlasReport_3_Table_1[[#This Row],[Trans backwords (Beginning)]]</f>
        <v>7</v>
      </c>
      <c r="H241" s="10">
        <f>AtlasReport_3_Table_1[[#This Row],[Current On-hand]]-AtlasReport_3_Table_1[[#This Row],[Trans backwords (Ending)]]</f>
        <v>7</v>
      </c>
    </row>
    <row r="242" spans="1:8">
      <c r="A242" s="8" t="s">
        <v>220</v>
      </c>
      <c r="B242" s="8" t="s">
        <v>371</v>
      </c>
      <c r="C242" s="8" t="s">
        <v>70</v>
      </c>
      <c r="D242" s="10">
        <v>0</v>
      </c>
      <c r="E242" s="10">
        <f>_xll.AtlasFormulas.AtlasFunctions.AtlasBalance("PROD",DataAreaId,"T.InventTrans|inventDimId~inventDimId@T.InventDim","Sum|Qty|0","","","","","","","DateFinancial|ItemId|T2.InventSiteId|T2.InventLocationId",PeriodBeginning,$A242,$B242,$C242)</f>
        <v>0</v>
      </c>
      <c r="F242" s="10">
        <f>_xll.AtlasFormulas.AtlasFunctions.AtlasBalance("PROD",DataAreaId,"T.InventTrans|inventDimId~inventDimId@T.InventDim","Sum|Qty|0","","","","","","","DateFinancial|ItemId|T2.InventSiteId|T2.InventLocationId",PeriodEnding,$A242,$B242,$C242)</f>
        <v>0</v>
      </c>
      <c r="G242" s="10">
        <f>AtlasReport_3_Table_1[[#This Row],[Current On-hand]]-AtlasReport_3_Table_1[[#This Row],[Trans backwords (Beginning)]]</f>
        <v>0</v>
      </c>
      <c r="H242" s="10">
        <f>AtlasReport_3_Table_1[[#This Row],[Current On-hand]]-AtlasReport_3_Table_1[[#This Row],[Trans backwords (Ending)]]</f>
        <v>0</v>
      </c>
    </row>
    <row r="243" spans="1:8">
      <c r="A243" s="8" t="s">
        <v>220</v>
      </c>
      <c r="B243" s="8" t="s">
        <v>371</v>
      </c>
      <c r="C243" s="8" t="s">
        <v>372</v>
      </c>
      <c r="D243" s="10">
        <v>6</v>
      </c>
      <c r="E243" s="10">
        <f>_xll.AtlasFormulas.AtlasFunctions.AtlasBalance("PROD",DataAreaId,"T.InventTrans|inventDimId~inventDimId@T.InventDim","Sum|Qty|0","","","","","","","DateFinancial|ItemId|T2.InventSiteId|T2.InventLocationId",PeriodBeginning,$A243,$B243,$C243)</f>
        <v>0</v>
      </c>
      <c r="F243" s="10">
        <f>_xll.AtlasFormulas.AtlasFunctions.AtlasBalance("PROD",DataAreaId,"T.InventTrans|inventDimId~inventDimId@T.InventDim","Sum|Qty|0","","","","","","","DateFinancial|ItemId|T2.InventSiteId|T2.InventLocationId",PeriodEnding,$A243,$B243,$C243)</f>
        <v>0</v>
      </c>
      <c r="G243" s="10">
        <f>AtlasReport_3_Table_1[[#This Row],[Current On-hand]]-AtlasReport_3_Table_1[[#This Row],[Trans backwords (Beginning)]]</f>
        <v>6</v>
      </c>
      <c r="H243" s="10">
        <f>AtlasReport_3_Table_1[[#This Row],[Current On-hand]]-AtlasReport_3_Table_1[[#This Row],[Trans backwords (Ending)]]</f>
        <v>6</v>
      </c>
    </row>
    <row r="244" spans="1:8">
      <c r="A244" s="8" t="s">
        <v>221</v>
      </c>
      <c r="B244" s="8" t="s">
        <v>371</v>
      </c>
      <c r="C244" s="8" t="s">
        <v>70</v>
      </c>
      <c r="D244" s="10">
        <v>0</v>
      </c>
      <c r="E244" s="10">
        <f>_xll.AtlasFormulas.AtlasFunctions.AtlasBalance("PROD",DataAreaId,"T.InventTrans|inventDimId~inventDimId@T.InventDim","Sum|Qty|0","","","","","","","DateFinancial|ItemId|T2.InventSiteId|T2.InventLocationId",PeriodBeginning,$A244,$B244,$C244)</f>
        <v>0</v>
      </c>
      <c r="F244" s="10">
        <f>_xll.AtlasFormulas.AtlasFunctions.AtlasBalance("PROD",DataAreaId,"T.InventTrans|inventDimId~inventDimId@T.InventDim","Sum|Qty|0","","","","","","","DateFinancial|ItemId|T2.InventSiteId|T2.InventLocationId",PeriodEnding,$A244,$B244,$C244)</f>
        <v>0</v>
      </c>
      <c r="G244" s="10">
        <f>AtlasReport_3_Table_1[[#This Row],[Current On-hand]]-AtlasReport_3_Table_1[[#This Row],[Trans backwords (Beginning)]]</f>
        <v>0</v>
      </c>
      <c r="H244" s="10">
        <f>AtlasReport_3_Table_1[[#This Row],[Current On-hand]]-AtlasReport_3_Table_1[[#This Row],[Trans backwords (Ending)]]</f>
        <v>0</v>
      </c>
    </row>
    <row r="245" spans="1:8">
      <c r="A245" s="8" t="s">
        <v>221</v>
      </c>
      <c r="B245" s="8" t="s">
        <v>371</v>
      </c>
      <c r="C245" s="8" t="s">
        <v>372</v>
      </c>
      <c r="D245" s="10">
        <v>4</v>
      </c>
      <c r="E245" s="10">
        <f>_xll.AtlasFormulas.AtlasFunctions.AtlasBalance("PROD",DataAreaId,"T.InventTrans|inventDimId~inventDimId@T.InventDim","Sum|Qty|0","","","","","","","DateFinancial|ItemId|T2.InventSiteId|T2.InventLocationId",PeriodBeginning,$A245,$B245,$C245)</f>
        <v>0</v>
      </c>
      <c r="F245" s="10">
        <f>_xll.AtlasFormulas.AtlasFunctions.AtlasBalance("PROD",DataAreaId,"T.InventTrans|inventDimId~inventDimId@T.InventDim","Sum|Qty|0","","","","","","","DateFinancial|ItemId|T2.InventSiteId|T2.InventLocationId",PeriodEnding,$A245,$B245,$C245)</f>
        <v>0</v>
      </c>
      <c r="G245" s="10">
        <f>AtlasReport_3_Table_1[[#This Row],[Current On-hand]]-AtlasReport_3_Table_1[[#This Row],[Trans backwords (Beginning)]]</f>
        <v>4</v>
      </c>
      <c r="H245" s="10">
        <f>AtlasReport_3_Table_1[[#This Row],[Current On-hand]]-AtlasReport_3_Table_1[[#This Row],[Trans backwords (Ending)]]</f>
        <v>4</v>
      </c>
    </row>
    <row r="246" spans="1:8">
      <c r="A246" s="8" t="s">
        <v>92</v>
      </c>
      <c r="B246" s="8" t="s">
        <v>371</v>
      </c>
      <c r="C246" s="8" t="s">
        <v>372</v>
      </c>
      <c r="D246" s="10">
        <v>0</v>
      </c>
      <c r="E246" s="10">
        <f>_xll.AtlasFormulas.AtlasFunctions.AtlasBalance("PROD",DataAreaId,"T.InventTrans|inventDimId~inventDimId@T.InventDim","Sum|Qty|0","","","","","","","DateFinancial|ItemId|T2.InventSiteId|T2.InventLocationId",PeriodBeginning,$A246,$B246,$C246)</f>
        <v>0</v>
      </c>
      <c r="F246" s="10">
        <f>_xll.AtlasFormulas.AtlasFunctions.AtlasBalance("PROD",DataAreaId,"T.InventTrans|inventDimId~inventDimId@T.InventDim","Sum|Qty|0","","","","","","","DateFinancial|ItemId|T2.InventSiteId|T2.InventLocationId",PeriodEnding,$A246,$B246,$C246)</f>
        <v>0</v>
      </c>
      <c r="G246" s="10">
        <f>AtlasReport_3_Table_1[[#This Row],[Current On-hand]]-AtlasReport_3_Table_1[[#This Row],[Trans backwords (Beginning)]]</f>
        <v>0</v>
      </c>
      <c r="H246" s="10">
        <f>AtlasReport_3_Table_1[[#This Row],[Current On-hand]]-AtlasReport_3_Table_1[[#This Row],[Trans backwords (Ending)]]</f>
        <v>0</v>
      </c>
    </row>
    <row r="247" spans="1:8">
      <c r="A247" s="8" t="s">
        <v>709</v>
      </c>
      <c r="B247" s="8" t="s">
        <v>371</v>
      </c>
      <c r="C247" s="8" t="s">
        <v>70</v>
      </c>
      <c r="D247" s="10">
        <v>0</v>
      </c>
      <c r="E247" s="10">
        <f>_xll.AtlasFormulas.AtlasFunctions.AtlasBalance("PROD",DataAreaId,"T.InventTrans|inventDimId~inventDimId@T.InventDim","Sum|Qty|0","","","","","","","DateFinancial|ItemId|T2.InventSiteId|T2.InventLocationId",PeriodBeginning,$A247,$B247,$C247)</f>
        <v>0</v>
      </c>
      <c r="F247" s="10">
        <f>_xll.AtlasFormulas.AtlasFunctions.AtlasBalance("PROD",DataAreaId,"T.InventTrans|inventDimId~inventDimId@T.InventDim","Sum|Qty|0","","","","","","","DateFinancial|ItemId|T2.InventSiteId|T2.InventLocationId",PeriodEnding,$A247,$B247,$C247)</f>
        <v>0</v>
      </c>
      <c r="G247" s="10">
        <f>AtlasReport_3_Table_1[[#This Row],[Current On-hand]]-AtlasReport_3_Table_1[[#This Row],[Trans backwords (Beginning)]]</f>
        <v>0</v>
      </c>
      <c r="H247" s="10">
        <f>AtlasReport_3_Table_1[[#This Row],[Current On-hand]]-AtlasReport_3_Table_1[[#This Row],[Trans backwords (Ending)]]</f>
        <v>0</v>
      </c>
    </row>
    <row r="248" spans="1:8">
      <c r="A248" s="8" t="s">
        <v>709</v>
      </c>
      <c r="B248" s="8" t="s">
        <v>371</v>
      </c>
      <c r="C248" s="8" t="s">
        <v>372</v>
      </c>
      <c r="D248" s="10">
        <v>1</v>
      </c>
      <c r="E248" s="10">
        <f>_xll.AtlasFormulas.AtlasFunctions.AtlasBalance("PROD",DataAreaId,"T.InventTrans|inventDimId~inventDimId@T.InventDim","Sum|Qty|0","","","","","","","DateFinancial|ItemId|T2.InventSiteId|T2.InventLocationId",PeriodBeginning,$A248,$B248,$C248)</f>
        <v>0</v>
      </c>
      <c r="F248" s="10">
        <f>_xll.AtlasFormulas.AtlasFunctions.AtlasBalance("PROD",DataAreaId,"T.InventTrans|inventDimId~inventDimId@T.InventDim","Sum|Qty|0","","","","","","","DateFinancial|ItemId|T2.InventSiteId|T2.InventLocationId",PeriodEnding,$A248,$B248,$C248)</f>
        <v>0</v>
      </c>
      <c r="G248" s="10">
        <f>AtlasReport_3_Table_1[[#This Row],[Current On-hand]]-AtlasReport_3_Table_1[[#This Row],[Trans backwords (Beginning)]]</f>
        <v>1</v>
      </c>
      <c r="H248" s="10">
        <f>AtlasReport_3_Table_1[[#This Row],[Current On-hand]]-AtlasReport_3_Table_1[[#This Row],[Trans backwords (Ending)]]</f>
        <v>1</v>
      </c>
    </row>
    <row r="249" spans="1:8">
      <c r="A249" s="8" t="s">
        <v>222</v>
      </c>
      <c r="B249" s="8" t="s">
        <v>371</v>
      </c>
      <c r="C249" s="8" t="s">
        <v>70</v>
      </c>
      <c r="D249" s="10">
        <v>0</v>
      </c>
      <c r="E249" s="10">
        <f>_xll.AtlasFormulas.AtlasFunctions.AtlasBalance("PROD",DataAreaId,"T.InventTrans|inventDimId~inventDimId@T.InventDim","Sum|Qty|0","","","","","","","DateFinancial|ItemId|T2.InventSiteId|T2.InventLocationId",PeriodBeginning,$A249,$B249,$C249)</f>
        <v>0</v>
      </c>
      <c r="F249" s="10">
        <f>_xll.AtlasFormulas.AtlasFunctions.AtlasBalance("PROD",DataAreaId,"T.InventTrans|inventDimId~inventDimId@T.InventDim","Sum|Qty|0","","","","","","","DateFinancial|ItemId|T2.InventSiteId|T2.InventLocationId",PeriodEnding,$A249,$B249,$C249)</f>
        <v>0</v>
      </c>
      <c r="G249" s="10">
        <f>AtlasReport_3_Table_1[[#This Row],[Current On-hand]]-AtlasReport_3_Table_1[[#This Row],[Trans backwords (Beginning)]]</f>
        <v>0</v>
      </c>
      <c r="H249" s="10">
        <f>AtlasReport_3_Table_1[[#This Row],[Current On-hand]]-AtlasReport_3_Table_1[[#This Row],[Trans backwords (Ending)]]</f>
        <v>0</v>
      </c>
    </row>
    <row r="250" spans="1:8">
      <c r="A250" s="8" t="s">
        <v>222</v>
      </c>
      <c r="B250" s="8" t="s">
        <v>371</v>
      </c>
      <c r="C250" s="8" t="s">
        <v>372</v>
      </c>
      <c r="D250" s="10">
        <v>130</v>
      </c>
      <c r="E250" s="10">
        <f>_xll.AtlasFormulas.AtlasFunctions.AtlasBalance("PROD",DataAreaId,"T.InventTrans|inventDimId~inventDimId@T.InventDim","Sum|Qty|0","","","","","","","DateFinancial|ItemId|T2.InventSiteId|T2.InventLocationId",PeriodBeginning,$A250,$B250,$C250)</f>
        <v>0</v>
      </c>
      <c r="F250" s="10">
        <f>_xll.AtlasFormulas.AtlasFunctions.AtlasBalance("PROD",DataAreaId,"T.InventTrans|inventDimId~inventDimId@T.InventDim","Sum|Qty|0","","","","","","","DateFinancial|ItemId|T2.InventSiteId|T2.InventLocationId",PeriodEnding,$A250,$B250,$C250)</f>
        <v>0</v>
      </c>
      <c r="G250" s="10">
        <f>AtlasReport_3_Table_1[[#This Row],[Current On-hand]]-AtlasReport_3_Table_1[[#This Row],[Trans backwords (Beginning)]]</f>
        <v>130</v>
      </c>
      <c r="H250" s="10">
        <f>AtlasReport_3_Table_1[[#This Row],[Current On-hand]]-AtlasReport_3_Table_1[[#This Row],[Trans backwords (Ending)]]</f>
        <v>130</v>
      </c>
    </row>
    <row r="251" spans="1:8">
      <c r="A251" s="8" t="s">
        <v>719</v>
      </c>
      <c r="B251" s="8" t="s">
        <v>371</v>
      </c>
      <c r="C251" s="8" t="s">
        <v>372</v>
      </c>
      <c r="D251" s="10">
        <v>0</v>
      </c>
      <c r="E251" s="10">
        <f>_xll.AtlasFormulas.AtlasFunctions.AtlasBalance("PROD",DataAreaId,"T.InventTrans|inventDimId~inventDimId@T.InventDim","Sum|Qty|0","","","","","","","DateFinancial|ItemId|T2.InventSiteId|T2.InventLocationId",PeriodBeginning,$A251,$B251,$C251)</f>
        <v>0</v>
      </c>
      <c r="F251" s="10">
        <f>_xll.AtlasFormulas.AtlasFunctions.AtlasBalance("PROD",DataAreaId,"T.InventTrans|inventDimId~inventDimId@T.InventDim","Sum|Qty|0","","","","","","","DateFinancial|ItemId|T2.InventSiteId|T2.InventLocationId",PeriodEnding,$A251,$B251,$C251)</f>
        <v>0</v>
      </c>
      <c r="G251" s="10">
        <f>AtlasReport_3_Table_1[[#This Row],[Current On-hand]]-AtlasReport_3_Table_1[[#This Row],[Trans backwords (Beginning)]]</f>
        <v>0</v>
      </c>
      <c r="H251" s="10">
        <f>AtlasReport_3_Table_1[[#This Row],[Current On-hand]]-AtlasReport_3_Table_1[[#This Row],[Trans backwords (Ending)]]</f>
        <v>0</v>
      </c>
    </row>
    <row r="252" spans="1:8">
      <c r="A252" s="8" t="s">
        <v>374</v>
      </c>
      <c r="B252" s="8" t="s">
        <v>371</v>
      </c>
      <c r="C252" s="8" t="s">
        <v>372</v>
      </c>
      <c r="D252" s="10">
        <v>0</v>
      </c>
      <c r="E252" s="10">
        <f>_xll.AtlasFormulas.AtlasFunctions.AtlasBalance("PROD",DataAreaId,"T.InventTrans|inventDimId~inventDimId@T.InventDim","Sum|Qty|0","","","","","","","DateFinancial|ItemId|T2.InventSiteId|T2.InventLocationId",PeriodBeginning,$A252,$B252,$C252)</f>
        <v>0</v>
      </c>
      <c r="F252" s="10">
        <f>_xll.AtlasFormulas.AtlasFunctions.AtlasBalance("PROD",DataAreaId,"T.InventTrans|inventDimId~inventDimId@T.InventDim","Sum|Qty|0","","","","","","","DateFinancial|ItemId|T2.InventSiteId|T2.InventLocationId",PeriodEnding,$A252,$B252,$C252)</f>
        <v>0</v>
      </c>
      <c r="G252" s="10">
        <f>AtlasReport_3_Table_1[[#This Row],[Current On-hand]]-AtlasReport_3_Table_1[[#This Row],[Trans backwords (Beginning)]]</f>
        <v>0</v>
      </c>
      <c r="H252" s="10">
        <f>AtlasReport_3_Table_1[[#This Row],[Current On-hand]]-AtlasReport_3_Table_1[[#This Row],[Trans backwords (Ending)]]</f>
        <v>0</v>
      </c>
    </row>
    <row r="253" spans="1:8">
      <c r="A253" s="3" t="s">
        <v>13</v>
      </c>
      <c r="B253" s="7"/>
      <c r="C253" s="7"/>
      <c r="D253" s="9">
        <f>SUBTOTAL(109,AtlasReport_3_Table_1[Current On-hand])</f>
        <v>398313.18000000017</v>
      </c>
      <c r="E253" s="9">
        <f>SUBTOTAL(109,AtlasReport_3_Table_1[Trans backwords (Beginning)])</f>
        <v>125963.15000000001</v>
      </c>
      <c r="F253" s="9">
        <f>SUBTOTAL(109,AtlasReport_3_Table_1[Trans backwords (Ending)])</f>
        <v>0</v>
      </c>
      <c r="G253" s="9">
        <f>SUBTOTAL(109,AtlasReport_3_Table_1[Beginning On-hand])</f>
        <v>272350.02999999997</v>
      </c>
      <c r="H253" s="9">
        <f>SUBTOTAL(109,AtlasReport_3_Table_1[Ending On-hand])</f>
        <v>398313.18000000017</v>
      </c>
    </row>
    <row r="254" spans="1:8">
      <c r="A254" s="3"/>
      <c r="B254" s="3"/>
      <c r="C254" s="3"/>
      <c r="D254" s="9"/>
      <c r="E254" s="9"/>
      <c r="F254" s="9"/>
      <c r="G254" s="9"/>
      <c r="H254" s="9"/>
    </row>
    <row r="255" spans="1:8">
      <c r="A255" s="3"/>
      <c r="B255" s="3"/>
      <c r="C255" s="3"/>
      <c r="D255" s="9"/>
      <c r="E255" s="9"/>
      <c r="F255" s="9"/>
      <c r="G255" s="9"/>
      <c r="H255" s="9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20"/>
  <sheetViews>
    <sheetView topLeftCell="D1" workbookViewId="0">
      <selection activeCell="M4" sqref="M4"/>
    </sheetView>
  </sheetViews>
  <sheetFormatPr defaultRowHeight="15"/>
  <cols>
    <col min="1" max="1" width="15.42578125" customWidth="1"/>
    <col min="2" max="2" width="6.7109375" customWidth="1"/>
    <col min="3" max="3" width="13.5703125" customWidth="1"/>
    <col min="4" max="4" width="11" customWidth="1"/>
    <col min="5" max="5" width="18" customWidth="1"/>
    <col min="6" max="6" width="32.7109375" customWidth="1"/>
    <col min="7" max="7" width="29.7109375" customWidth="1"/>
    <col min="8" max="8" width="25.85546875" customWidth="1"/>
    <col min="9" max="9" width="22.85546875" customWidth="1"/>
    <col min="10" max="10" width="40" customWidth="1"/>
    <col min="11" max="11" width="37.140625" customWidth="1"/>
    <col min="12" max="12" width="25" customWidth="1"/>
    <col min="13" max="13" width="22" customWidth="1"/>
  </cols>
  <sheetData>
    <row r="1" spans="1:13" ht="22.5">
      <c r="A1" s="2" t="s">
        <v>78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>
      <c r="A2" s="3" t="s">
        <v>6</v>
      </c>
      <c r="B2" s="3" t="s">
        <v>43</v>
      </c>
      <c r="C2" s="3" t="s">
        <v>44</v>
      </c>
      <c r="D2" s="3" t="s">
        <v>12</v>
      </c>
      <c r="E2" s="3" t="s">
        <v>36</v>
      </c>
      <c r="F2" s="3" t="s">
        <v>134</v>
      </c>
      <c r="G2" s="3" t="s">
        <v>135</v>
      </c>
      <c r="H2" s="3" t="s">
        <v>79</v>
      </c>
      <c r="I2" s="3" t="s">
        <v>80</v>
      </c>
      <c r="J2" s="3" t="s">
        <v>136</v>
      </c>
      <c r="K2" s="3" t="s">
        <v>137</v>
      </c>
      <c r="L2" s="3" t="s">
        <v>132</v>
      </c>
      <c r="M2" s="3" t="s">
        <v>133</v>
      </c>
    </row>
    <row r="3" spans="1:13">
      <c r="A3" s="8" t="s">
        <v>206</v>
      </c>
      <c r="B3" s="8" t="s">
        <v>371</v>
      </c>
      <c r="C3" s="8" t="s">
        <v>372</v>
      </c>
      <c r="D3" s="4">
        <v>0</v>
      </c>
      <c r="E3" s="4">
        <v>-3.79316593E-3</v>
      </c>
      <c r="F3" s="4">
        <f>_xll.AtlasFormulas.AtlasFunctions.AtlasBalance("PROD",DataAreaId,"T.TPPTrans_sst|InventDimId~inventDimId@T.InventDim","Sum|Qty|0","","","","","","","ItemId|TransDate|T2.InventSiteId|T2.InventLocationId",$A3,PeriodBeginning,$B3,$C3)</f>
        <v>0</v>
      </c>
      <c r="G3" s="4">
        <f>_xll.AtlasFormulas.AtlasFunctions.AtlasBalance("PROD",DataAreaId,"T.TPPTrans_sst|InventDimId~inventDimId@T.InventDim","Sum|Qty|0","","","","","","","ItemId|TransDate|T2.InventSiteId|T2.InventLocationId",$A3,PeriodEnding,$B3,$C3)</f>
        <v>0</v>
      </c>
      <c r="H3" s="4">
        <f>AtlasReport_4_Table_1[[#This Row],[Quantity]]-AtlasReport_4_Table_1[[#This Row],[TPP trans backwards (Beginning)]]</f>
        <v>0</v>
      </c>
      <c r="I3" s="4">
        <f>AtlasReport_4_Table_1[[#This Row],[Quantity]]-AtlasReport_4_Table_1[[#This Row],[TPP trans backwards (Ending)]]</f>
        <v>0</v>
      </c>
      <c r="J3" s="4">
        <f>_xll.AtlasFormulas.AtlasFunctions.AtlasBalance("PROD",DataAreaId,"T.TPPTrans_sst|InventDimId~inventDimId@T.InventDim","Sum|CostAmount|0","","","","","","","ItemId|TransDate|T2.InventSiteId|T2.InventLocationId",$A3,PeriodBeginning,$B3,$C3)</f>
        <v>0</v>
      </c>
      <c r="K3" s="4">
        <f>_xll.AtlasFormulas.AtlasFunctions.AtlasBalance("PROD",DataAreaId,"T.TPPTrans_sst|InventDimId~inventDimId@T.InventDim","Sum|CostAmount|0","","","","","","","ItemId|TransDate|T2.InventSiteId|T2.InventLocationId",$A3,PeriodEnding,$B3,$C3)</f>
        <v>0</v>
      </c>
      <c r="L3" s="4">
        <f>AtlasReport_4_Table_1[[#This Row],[TPP cost amount]]-AtlasReport_4_Table_1[[#This Row],[TPP trans backwards balance (Beginning)]]</f>
        <v>-3.79316593E-3</v>
      </c>
      <c r="M3" s="4">
        <f>AtlasReport_4_Table_1[[#This Row],[TPP cost amount]]-AtlasReport_4_Table_1[[#This Row],[TPP trans backwards balance (Ending)]]</f>
        <v>-3.79316593E-3</v>
      </c>
    </row>
    <row r="4" spans="1:13">
      <c r="A4" s="8" t="s">
        <v>207</v>
      </c>
      <c r="B4" s="8" t="s">
        <v>371</v>
      </c>
      <c r="C4" s="8" t="s">
        <v>372</v>
      </c>
      <c r="D4" s="4">
        <v>0</v>
      </c>
      <c r="E4" s="4">
        <v>4.2848765889999998E-3</v>
      </c>
      <c r="F4" s="4">
        <f>_xll.AtlasFormulas.AtlasFunctions.AtlasBalance("PROD",DataAreaId,"T.TPPTrans_sst|InventDimId~inventDimId@T.InventDim","Sum|Qty|0","","","","","","","ItemId|TransDate|T2.InventSiteId|T2.InventLocationId",$A4,PeriodBeginning,$B4,$C4)</f>
        <v>0</v>
      </c>
      <c r="G4" s="4">
        <f>_xll.AtlasFormulas.AtlasFunctions.AtlasBalance("PROD",DataAreaId,"T.TPPTrans_sst|InventDimId~inventDimId@T.InventDim","Sum|Qty|0","","","","","","","ItemId|TransDate|T2.InventSiteId|T2.InventLocationId",$A4,PeriodEnding,$B4,$C4)</f>
        <v>0</v>
      </c>
      <c r="H4" s="4">
        <f>AtlasReport_4_Table_1[[#This Row],[Quantity]]-AtlasReport_4_Table_1[[#This Row],[TPP trans backwards (Beginning)]]</f>
        <v>0</v>
      </c>
      <c r="I4" s="4">
        <f>AtlasReport_4_Table_1[[#This Row],[Quantity]]-AtlasReport_4_Table_1[[#This Row],[TPP trans backwards (Ending)]]</f>
        <v>0</v>
      </c>
      <c r="J4" s="4">
        <f>_xll.AtlasFormulas.AtlasFunctions.AtlasBalance("PROD",DataAreaId,"T.TPPTrans_sst|InventDimId~inventDimId@T.InventDim","Sum|CostAmount|0","","","","","","","ItemId|TransDate|T2.InventSiteId|T2.InventLocationId",$A4,PeriodBeginning,$B4,$C4)</f>
        <v>0</v>
      </c>
      <c r="K4" s="4">
        <f>_xll.AtlasFormulas.AtlasFunctions.AtlasBalance("PROD",DataAreaId,"T.TPPTrans_sst|InventDimId~inventDimId@T.InventDim","Sum|CostAmount|0","","","","","","","ItemId|TransDate|T2.InventSiteId|T2.InventLocationId",$A4,PeriodEnding,$B4,$C4)</f>
        <v>0</v>
      </c>
      <c r="L4" s="4">
        <f>AtlasReport_4_Table_1[[#This Row],[TPP cost amount]]-AtlasReport_4_Table_1[[#This Row],[TPP trans backwards balance (Beginning)]]</f>
        <v>4.2848765889999998E-3</v>
      </c>
      <c r="M4" s="4">
        <f>AtlasReport_4_Table_1[[#This Row],[TPP cost amount]]-AtlasReport_4_Table_1[[#This Row],[TPP trans backwards balance (Ending)]]</f>
        <v>4.2848765889999998E-3</v>
      </c>
    </row>
    <row r="5" spans="1:13">
      <c r="A5" s="8" t="s">
        <v>46</v>
      </c>
      <c r="B5" s="8" t="s">
        <v>371</v>
      </c>
      <c r="C5" s="8" t="s">
        <v>372</v>
      </c>
      <c r="D5" s="4">
        <v>6823.05</v>
      </c>
      <c r="E5" s="4">
        <v>11541.1397379632</v>
      </c>
      <c r="F5" s="4">
        <f>_xll.AtlasFormulas.AtlasFunctions.AtlasBalance("PROD",DataAreaId,"T.TPPTrans_sst|InventDimId~inventDimId@T.InventDim","Sum|Qty|0","","","","","","","ItemId|TransDate|T2.InventSiteId|T2.InventLocationId",$A5,PeriodBeginning,$B5,$C5)</f>
        <v>-390</v>
      </c>
      <c r="G5" s="4">
        <f>_xll.AtlasFormulas.AtlasFunctions.AtlasBalance("PROD",DataAreaId,"T.TPPTrans_sst|InventDimId~inventDimId@T.InventDim","Sum|Qty|0","","","","","","","ItemId|TransDate|T2.InventSiteId|T2.InventLocationId",$A5,PeriodEnding,$B5,$C5)</f>
        <v>0</v>
      </c>
      <c r="H5" s="4">
        <f>AtlasReport_4_Table_1[[#This Row],[Quantity]]-AtlasReport_4_Table_1[[#This Row],[TPP trans backwards (Beginning)]]</f>
        <v>7213.05</v>
      </c>
      <c r="I5" s="4">
        <f>AtlasReport_4_Table_1[[#This Row],[Quantity]]-AtlasReport_4_Table_1[[#This Row],[TPP trans backwards (Ending)]]</f>
        <v>6823.05</v>
      </c>
      <c r="J5" s="4">
        <f>_xll.AtlasFormulas.AtlasFunctions.AtlasBalance("PROD",DataAreaId,"T.TPPTrans_sst|InventDimId~inventDimId@T.InventDim","Sum|CostAmount|0","","","","","","","ItemId|TransDate|T2.InventSiteId|T2.InventLocationId",$A5,PeriodBeginning,$B5,$C5)</f>
        <v>-659.68</v>
      </c>
      <c r="K5" s="4">
        <f>_xll.AtlasFormulas.AtlasFunctions.AtlasBalance("PROD",DataAreaId,"T.TPPTrans_sst|InventDimId~inventDimId@T.InventDim","Sum|CostAmount|0","","","","","","","ItemId|TransDate|T2.InventSiteId|T2.InventLocationId",$A5,PeriodEnding,$B5,$C5)</f>
        <v>0</v>
      </c>
      <c r="L5" s="4">
        <f>AtlasReport_4_Table_1[[#This Row],[TPP cost amount]]-AtlasReport_4_Table_1[[#This Row],[TPP trans backwards balance (Beginning)]]</f>
        <v>12200.8197379632</v>
      </c>
      <c r="M5" s="4">
        <f>AtlasReport_4_Table_1[[#This Row],[TPP cost amount]]-AtlasReport_4_Table_1[[#This Row],[TPP trans backwards balance (Ending)]]</f>
        <v>11541.1397379632</v>
      </c>
    </row>
    <row r="6" spans="1:13">
      <c r="A6" s="8" t="s">
        <v>119</v>
      </c>
      <c r="B6" s="8" t="s">
        <v>371</v>
      </c>
      <c r="C6" s="8" t="s">
        <v>372</v>
      </c>
      <c r="D6" s="4">
        <v>2925</v>
      </c>
      <c r="E6" s="4">
        <v>5761.69</v>
      </c>
      <c r="F6" s="4">
        <f>_xll.AtlasFormulas.AtlasFunctions.AtlasBalance("PROD",DataAreaId,"T.TPPTrans_sst|InventDimId~inventDimId@T.InventDim","Sum|Qty|0","","","","","","","ItemId|TransDate|T2.InventSiteId|T2.InventLocationId",$A6,PeriodBeginning,$B6,$C6)</f>
        <v>0</v>
      </c>
      <c r="G6" s="4">
        <f>_xll.AtlasFormulas.AtlasFunctions.AtlasBalance("PROD",DataAreaId,"T.TPPTrans_sst|InventDimId~inventDimId@T.InventDim","Sum|Qty|0","","","","","","","ItemId|TransDate|T2.InventSiteId|T2.InventLocationId",$A6,PeriodEnding,$B6,$C6)</f>
        <v>0</v>
      </c>
      <c r="H6" s="4">
        <f>AtlasReport_4_Table_1[[#This Row],[Quantity]]-AtlasReport_4_Table_1[[#This Row],[TPP trans backwards (Beginning)]]</f>
        <v>2925</v>
      </c>
      <c r="I6" s="4">
        <f>AtlasReport_4_Table_1[[#This Row],[Quantity]]-AtlasReport_4_Table_1[[#This Row],[TPP trans backwards (Ending)]]</f>
        <v>2925</v>
      </c>
      <c r="J6" s="4">
        <f>_xll.AtlasFormulas.AtlasFunctions.AtlasBalance("PROD",DataAreaId,"T.TPPTrans_sst|InventDimId~inventDimId@T.InventDim","Sum|CostAmount|0","","","","","","","ItemId|TransDate|T2.InventSiteId|T2.InventLocationId",$A6,PeriodBeginning,$B6,$C6)</f>
        <v>0</v>
      </c>
      <c r="K6" s="4">
        <f>_xll.AtlasFormulas.AtlasFunctions.AtlasBalance("PROD",DataAreaId,"T.TPPTrans_sst|InventDimId~inventDimId@T.InventDim","Sum|CostAmount|0","","","","","","","ItemId|TransDate|T2.InventSiteId|T2.InventLocationId",$A6,PeriodEnding,$B6,$C6)</f>
        <v>0</v>
      </c>
      <c r="L6" s="4">
        <f>AtlasReport_4_Table_1[[#This Row],[TPP cost amount]]-AtlasReport_4_Table_1[[#This Row],[TPP trans backwards balance (Beginning)]]</f>
        <v>5761.69</v>
      </c>
      <c r="M6" s="4">
        <f>AtlasReport_4_Table_1[[#This Row],[TPP cost amount]]-AtlasReport_4_Table_1[[#This Row],[TPP trans backwards balance (Ending)]]</f>
        <v>5761.69</v>
      </c>
    </row>
    <row r="7" spans="1:13">
      <c r="A7" s="8" t="s">
        <v>433</v>
      </c>
      <c r="B7" s="8" t="s">
        <v>371</v>
      </c>
      <c r="C7" s="8" t="s">
        <v>372</v>
      </c>
      <c r="D7" s="4">
        <v>2</v>
      </c>
      <c r="E7" s="4">
        <v>21.315793106093</v>
      </c>
      <c r="F7" s="4">
        <f>_xll.AtlasFormulas.AtlasFunctions.AtlasBalance("PROD",DataAreaId,"T.TPPTrans_sst|InventDimId~inventDimId@T.InventDim","Sum|Qty|0","","","","","","","ItemId|TransDate|T2.InventSiteId|T2.InventLocationId",$A7,PeriodBeginning,$B7,$C7)</f>
        <v>0</v>
      </c>
      <c r="G7" s="4">
        <f>_xll.AtlasFormulas.AtlasFunctions.AtlasBalance("PROD",DataAreaId,"T.TPPTrans_sst|InventDimId~inventDimId@T.InventDim","Sum|Qty|0","","","","","","","ItemId|TransDate|T2.InventSiteId|T2.InventLocationId",$A7,PeriodEnding,$B7,$C7)</f>
        <v>0</v>
      </c>
      <c r="H7" s="4">
        <f>AtlasReport_4_Table_1[[#This Row],[Quantity]]-AtlasReport_4_Table_1[[#This Row],[TPP trans backwards (Beginning)]]</f>
        <v>2</v>
      </c>
      <c r="I7" s="4">
        <f>AtlasReport_4_Table_1[[#This Row],[Quantity]]-AtlasReport_4_Table_1[[#This Row],[TPP trans backwards (Ending)]]</f>
        <v>2</v>
      </c>
      <c r="J7" s="4">
        <f>_xll.AtlasFormulas.AtlasFunctions.AtlasBalance("PROD",DataAreaId,"T.TPPTrans_sst|InventDimId~inventDimId@T.InventDim","Sum|CostAmount|0","","","","","","","ItemId|TransDate|T2.InventSiteId|T2.InventLocationId",$A7,PeriodBeginning,$B7,$C7)</f>
        <v>0</v>
      </c>
      <c r="K7" s="4">
        <f>_xll.AtlasFormulas.AtlasFunctions.AtlasBalance("PROD",DataAreaId,"T.TPPTrans_sst|InventDimId~inventDimId@T.InventDim","Sum|CostAmount|0","","","","","","","ItemId|TransDate|T2.InventSiteId|T2.InventLocationId",$A7,PeriodEnding,$B7,$C7)</f>
        <v>0</v>
      </c>
      <c r="L7" s="4">
        <f>AtlasReport_4_Table_1[[#This Row],[TPP cost amount]]-AtlasReport_4_Table_1[[#This Row],[TPP trans backwards balance (Beginning)]]</f>
        <v>21.315793106093</v>
      </c>
      <c r="M7" s="4">
        <f>AtlasReport_4_Table_1[[#This Row],[TPP cost amount]]-AtlasReport_4_Table_1[[#This Row],[TPP trans backwards balance (Ending)]]</f>
        <v>21.315793106093</v>
      </c>
    </row>
    <row r="8" spans="1:13">
      <c r="A8" s="8" t="s">
        <v>447</v>
      </c>
      <c r="B8" s="8" t="s">
        <v>371</v>
      </c>
      <c r="C8" s="8" t="s">
        <v>372</v>
      </c>
      <c r="D8" s="4">
        <v>1500</v>
      </c>
      <c r="E8" s="4">
        <v>-4.0603088849999998E-3</v>
      </c>
      <c r="F8" s="4">
        <f>_xll.AtlasFormulas.AtlasFunctions.AtlasBalance("PROD",DataAreaId,"T.TPPTrans_sst|InventDimId~inventDimId@T.InventDim","Sum|Qty|0","","","","","","","ItemId|TransDate|T2.InventSiteId|T2.InventLocationId",$A8,PeriodBeginning,$B8,$C8)</f>
        <v>0</v>
      </c>
      <c r="G8" s="4">
        <f>_xll.AtlasFormulas.AtlasFunctions.AtlasBalance("PROD",DataAreaId,"T.TPPTrans_sst|InventDimId~inventDimId@T.InventDim","Sum|Qty|0","","","","","","","ItemId|TransDate|T2.InventSiteId|T2.InventLocationId",$A8,PeriodEnding,$B8,$C8)</f>
        <v>0</v>
      </c>
      <c r="H8" s="4">
        <f>AtlasReport_4_Table_1[[#This Row],[Quantity]]-AtlasReport_4_Table_1[[#This Row],[TPP trans backwards (Beginning)]]</f>
        <v>1500</v>
      </c>
      <c r="I8" s="4">
        <f>AtlasReport_4_Table_1[[#This Row],[Quantity]]-AtlasReport_4_Table_1[[#This Row],[TPP trans backwards (Ending)]]</f>
        <v>1500</v>
      </c>
      <c r="J8" s="4">
        <f>_xll.AtlasFormulas.AtlasFunctions.AtlasBalance("PROD",DataAreaId,"T.TPPTrans_sst|InventDimId~inventDimId@T.InventDim","Sum|CostAmount|0","","","","","","","ItemId|TransDate|T2.InventSiteId|T2.InventLocationId",$A8,PeriodBeginning,$B8,$C8)</f>
        <v>0</v>
      </c>
      <c r="K8" s="4">
        <f>_xll.AtlasFormulas.AtlasFunctions.AtlasBalance("PROD",DataAreaId,"T.TPPTrans_sst|InventDimId~inventDimId@T.InventDim","Sum|CostAmount|0","","","","","","","ItemId|TransDate|T2.InventSiteId|T2.InventLocationId",$A8,PeriodEnding,$B8,$C8)</f>
        <v>0</v>
      </c>
      <c r="L8" s="4">
        <f>AtlasReport_4_Table_1[[#This Row],[TPP cost amount]]-AtlasReport_4_Table_1[[#This Row],[TPP trans backwards balance (Beginning)]]</f>
        <v>-4.0603088849999998E-3</v>
      </c>
      <c r="M8" s="4">
        <f>AtlasReport_4_Table_1[[#This Row],[TPP cost amount]]-AtlasReport_4_Table_1[[#This Row],[TPP trans backwards balance (Ending)]]</f>
        <v>-4.0603088849999998E-3</v>
      </c>
    </row>
    <row r="9" spans="1:13">
      <c r="A9" s="8" t="s">
        <v>120</v>
      </c>
      <c r="B9" s="8" t="s">
        <v>371</v>
      </c>
      <c r="C9" s="8" t="s">
        <v>372</v>
      </c>
      <c r="D9" s="4">
        <v>2419.9499999999998</v>
      </c>
      <c r="E9" s="4">
        <v>3495.3016982312829</v>
      </c>
      <c r="F9" s="4">
        <f>_xll.AtlasFormulas.AtlasFunctions.AtlasBalance("PROD",DataAreaId,"T.TPPTrans_sst|InventDimId~inventDimId@T.InventDim","Sum|Qty|0","","","","","","","ItemId|TransDate|T2.InventSiteId|T2.InventLocationId",$A9,PeriodBeginning,$B9,$C9)</f>
        <v>0</v>
      </c>
      <c r="G9" s="4">
        <f>_xll.AtlasFormulas.AtlasFunctions.AtlasBalance("PROD",DataAreaId,"T.TPPTrans_sst|InventDimId~inventDimId@T.InventDim","Sum|Qty|0","","","","","","","ItemId|TransDate|T2.InventSiteId|T2.InventLocationId",$A9,PeriodEnding,$B9,$C9)</f>
        <v>0</v>
      </c>
      <c r="H9" s="4">
        <f>AtlasReport_4_Table_1[[#This Row],[Quantity]]-AtlasReport_4_Table_1[[#This Row],[TPP trans backwards (Beginning)]]</f>
        <v>2419.9499999999998</v>
      </c>
      <c r="I9" s="4">
        <f>AtlasReport_4_Table_1[[#This Row],[Quantity]]-AtlasReport_4_Table_1[[#This Row],[TPP trans backwards (Ending)]]</f>
        <v>2419.9499999999998</v>
      </c>
      <c r="J9" s="4">
        <f>_xll.AtlasFormulas.AtlasFunctions.AtlasBalance("PROD",DataAreaId,"T.TPPTrans_sst|InventDimId~inventDimId@T.InventDim","Sum|CostAmount|0","","","","","","","ItemId|TransDate|T2.InventSiteId|T2.InventLocationId",$A9,PeriodBeginning,$B9,$C9)</f>
        <v>0</v>
      </c>
      <c r="K9" s="4">
        <f>_xll.AtlasFormulas.AtlasFunctions.AtlasBalance("PROD",DataAreaId,"T.TPPTrans_sst|InventDimId~inventDimId@T.InventDim","Sum|CostAmount|0","","","","","","","ItemId|TransDate|T2.InventSiteId|T2.InventLocationId",$A9,PeriodEnding,$B9,$C9)</f>
        <v>0</v>
      </c>
      <c r="L9" s="4">
        <f>AtlasReport_4_Table_1[[#This Row],[TPP cost amount]]-AtlasReport_4_Table_1[[#This Row],[TPP trans backwards balance (Beginning)]]</f>
        <v>3495.3016982312829</v>
      </c>
      <c r="M9" s="4">
        <f>AtlasReport_4_Table_1[[#This Row],[TPP cost amount]]-AtlasReport_4_Table_1[[#This Row],[TPP trans backwards balance (Ending)]]</f>
        <v>3495.3016982312829</v>
      </c>
    </row>
    <row r="10" spans="1:13">
      <c r="A10" s="8" t="s">
        <v>211</v>
      </c>
      <c r="B10" s="8" t="s">
        <v>371</v>
      </c>
      <c r="C10" s="8" t="s">
        <v>372</v>
      </c>
      <c r="D10" s="4">
        <v>2145</v>
      </c>
      <c r="E10" s="4">
        <v>3682.77</v>
      </c>
      <c r="F10" s="4">
        <f>_xll.AtlasFormulas.AtlasFunctions.AtlasBalance("PROD",DataAreaId,"T.TPPTrans_sst|InventDimId~inventDimId@T.InventDim","Sum|Qty|0","","","","","","","ItemId|TransDate|T2.InventSiteId|T2.InventLocationId",$A10,PeriodBeginning,$B10,$C10)</f>
        <v>0</v>
      </c>
      <c r="G10" s="4">
        <f>_xll.AtlasFormulas.AtlasFunctions.AtlasBalance("PROD",DataAreaId,"T.TPPTrans_sst|InventDimId~inventDimId@T.InventDim","Sum|Qty|0","","","","","","","ItemId|TransDate|T2.InventSiteId|T2.InventLocationId",$A10,PeriodEnding,$B10,$C10)</f>
        <v>0</v>
      </c>
      <c r="H10" s="4">
        <f>AtlasReport_4_Table_1[[#This Row],[Quantity]]-AtlasReport_4_Table_1[[#This Row],[TPP trans backwards (Beginning)]]</f>
        <v>2145</v>
      </c>
      <c r="I10" s="4">
        <f>AtlasReport_4_Table_1[[#This Row],[Quantity]]-AtlasReport_4_Table_1[[#This Row],[TPP trans backwards (Ending)]]</f>
        <v>2145</v>
      </c>
      <c r="J10" s="4">
        <f>_xll.AtlasFormulas.AtlasFunctions.AtlasBalance("PROD",DataAreaId,"T.TPPTrans_sst|InventDimId~inventDimId@T.InventDim","Sum|CostAmount|0","","","","","","","ItemId|TransDate|T2.InventSiteId|T2.InventLocationId",$A10,PeriodBeginning,$B10,$C10)</f>
        <v>0</v>
      </c>
      <c r="K10" s="4">
        <f>_xll.AtlasFormulas.AtlasFunctions.AtlasBalance("PROD",DataAreaId,"T.TPPTrans_sst|InventDimId~inventDimId@T.InventDim","Sum|CostAmount|0","","","","","","","ItemId|TransDate|T2.InventSiteId|T2.InventLocationId",$A10,PeriodEnding,$B10,$C10)</f>
        <v>0</v>
      </c>
      <c r="L10" s="4">
        <f>AtlasReport_4_Table_1[[#This Row],[TPP cost amount]]-AtlasReport_4_Table_1[[#This Row],[TPP trans backwards balance (Beginning)]]</f>
        <v>3682.77</v>
      </c>
      <c r="M10" s="4">
        <f>AtlasReport_4_Table_1[[#This Row],[TPP cost amount]]-AtlasReport_4_Table_1[[#This Row],[TPP trans backwards balance (Ending)]]</f>
        <v>3682.77</v>
      </c>
    </row>
    <row r="11" spans="1:13">
      <c r="A11" s="8" t="s">
        <v>455</v>
      </c>
      <c r="B11" s="8" t="s">
        <v>371</v>
      </c>
      <c r="C11" s="8" t="s">
        <v>372</v>
      </c>
      <c r="D11" s="4">
        <v>770</v>
      </c>
      <c r="E11" s="4">
        <v>96.532624114428998</v>
      </c>
      <c r="F11" s="4">
        <f>_xll.AtlasFormulas.AtlasFunctions.AtlasBalance("PROD",DataAreaId,"T.TPPTrans_sst|InventDimId~inventDimId@T.InventDim","Sum|Qty|0","","","","","","","ItemId|TransDate|T2.InventSiteId|T2.InventLocationId",$A11,PeriodBeginning,$B11,$C11)</f>
        <v>0</v>
      </c>
      <c r="G11" s="4">
        <f>_xll.AtlasFormulas.AtlasFunctions.AtlasBalance("PROD",DataAreaId,"T.TPPTrans_sst|InventDimId~inventDimId@T.InventDim","Sum|Qty|0","","","","","","","ItemId|TransDate|T2.InventSiteId|T2.InventLocationId",$A11,PeriodEnding,$B11,$C11)</f>
        <v>0</v>
      </c>
      <c r="H11" s="4">
        <f>AtlasReport_4_Table_1[[#This Row],[Quantity]]-AtlasReport_4_Table_1[[#This Row],[TPP trans backwards (Beginning)]]</f>
        <v>770</v>
      </c>
      <c r="I11" s="4">
        <f>AtlasReport_4_Table_1[[#This Row],[Quantity]]-AtlasReport_4_Table_1[[#This Row],[TPP trans backwards (Ending)]]</f>
        <v>770</v>
      </c>
      <c r="J11" s="4">
        <f>_xll.AtlasFormulas.AtlasFunctions.AtlasBalance("PROD",DataAreaId,"T.TPPTrans_sst|InventDimId~inventDimId@T.InventDim","Sum|CostAmount|0","","","","","","","ItemId|TransDate|T2.InventSiteId|T2.InventLocationId",$A11,PeriodBeginning,$B11,$C11)</f>
        <v>0</v>
      </c>
      <c r="K11" s="4">
        <f>_xll.AtlasFormulas.AtlasFunctions.AtlasBalance("PROD",DataAreaId,"T.TPPTrans_sst|InventDimId~inventDimId@T.InventDim","Sum|CostAmount|0","","","","","","","ItemId|TransDate|T2.InventSiteId|T2.InventLocationId",$A11,PeriodEnding,$B11,$C11)</f>
        <v>0</v>
      </c>
      <c r="L11" s="4">
        <f>AtlasReport_4_Table_1[[#This Row],[TPP cost amount]]-AtlasReport_4_Table_1[[#This Row],[TPP trans backwards balance (Beginning)]]</f>
        <v>96.532624114428998</v>
      </c>
      <c r="M11" s="4">
        <f>AtlasReport_4_Table_1[[#This Row],[TPP cost amount]]-AtlasReport_4_Table_1[[#This Row],[TPP trans backwards balance (Ending)]]</f>
        <v>96.532624114428998</v>
      </c>
    </row>
    <row r="12" spans="1:13">
      <c r="A12" s="8" t="s">
        <v>370</v>
      </c>
      <c r="B12" s="8" t="s">
        <v>371</v>
      </c>
      <c r="C12" s="8" t="s">
        <v>372</v>
      </c>
      <c r="D12" s="4">
        <v>-1</v>
      </c>
      <c r="E12" s="4">
        <v>0</v>
      </c>
      <c r="F12" s="4">
        <f>_xll.AtlasFormulas.AtlasFunctions.AtlasBalance("PROD",DataAreaId,"T.TPPTrans_sst|InventDimId~inventDimId@T.InventDim","Sum|Qty|0","","","","","","","ItemId|TransDate|T2.InventSiteId|T2.InventLocationId",$A12,PeriodBeginning,$B12,$C12)</f>
        <v>0</v>
      </c>
      <c r="G12" s="4">
        <f>_xll.AtlasFormulas.AtlasFunctions.AtlasBalance("PROD",DataAreaId,"T.TPPTrans_sst|InventDimId~inventDimId@T.InventDim","Sum|Qty|0","","","","","","","ItemId|TransDate|T2.InventSiteId|T2.InventLocationId",$A12,PeriodEnding,$B12,$C12)</f>
        <v>0</v>
      </c>
      <c r="H12" s="4">
        <f>AtlasReport_4_Table_1[[#This Row],[Quantity]]-AtlasReport_4_Table_1[[#This Row],[TPP trans backwards (Beginning)]]</f>
        <v>-1</v>
      </c>
      <c r="I12" s="4">
        <f>AtlasReport_4_Table_1[[#This Row],[Quantity]]-AtlasReport_4_Table_1[[#This Row],[TPP trans backwards (Ending)]]</f>
        <v>-1</v>
      </c>
      <c r="J12" s="4">
        <f>_xll.AtlasFormulas.AtlasFunctions.AtlasBalance("PROD",DataAreaId,"T.TPPTrans_sst|InventDimId~inventDimId@T.InventDim","Sum|CostAmount|0","","","","","","","ItemId|TransDate|T2.InventSiteId|T2.InventLocationId",$A12,PeriodBeginning,$B12,$C12)</f>
        <v>0</v>
      </c>
      <c r="K12" s="4">
        <f>_xll.AtlasFormulas.AtlasFunctions.AtlasBalance("PROD",DataAreaId,"T.TPPTrans_sst|InventDimId~inventDimId@T.InventDim","Sum|CostAmount|0","","","","","","","ItemId|TransDate|T2.InventSiteId|T2.InventLocationId",$A12,PeriodEnding,$B12,$C12)</f>
        <v>0</v>
      </c>
      <c r="L12" s="4">
        <f>AtlasReport_4_Table_1[[#This Row],[TPP cost amount]]-AtlasReport_4_Table_1[[#This Row],[TPP trans backwards balance (Beginning)]]</f>
        <v>0</v>
      </c>
      <c r="M12" s="4">
        <f>AtlasReport_4_Table_1[[#This Row],[TPP cost amount]]-AtlasReport_4_Table_1[[#This Row],[TPP trans backwards balance (Ending)]]</f>
        <v>0</v>
      </c>
    </row>
    <row r="13" spans="1:13">
      <c r="A13" s="8" t="s">
        <v>472</v>
      </c>
      <c r="B13" s="8" t="s">
        <v>371</v>
      </c>
      <c r="C13" s="8" t="s">
        <v>372</v>
      </c>
      <c r="D13" s="4">
        <v>0</v>
      </c>
      <c r="E13" s="4">
        <v>-4.9171065400000001E-4</v>
      </c>
      <c r="F13" s="4">
        <f>_xll.AtlasFormulas.AtlasFunctions.AtlasBalance("PROD",DataAreaId,"T.TPPTrans_sst|InventDimId~inventDimId@T.InventDim","Sum|Qty|0","","","","","","","ItemId|TransDate|T2.InventSiteId|T2.InventLocationId",$A13,PeriodBeginning,$B13,$C13)</f>
        <v>0</v>
      </c>
      <c r="G13" s="4">
        <f>_xll.AtlasFormulas.AtlasFunctions.AtlasBalance("PROD",DataAreaId,"T.TPPTrans_sst|InventDimId~inventDimId@T.InventDim","Sum|Qty|0","","","","","","","ItemId|TransDate|T2.InventSiteId|T2.InventLocationId",$A13,PeriodEnding,$B13,$C13)</f>
        <v>0</v>
      </c>
      <c r="H13" s="4">
        <f>AtlasReport_4_Table_1[[#This Row],[Quantity]]-AtlasReport_4_Table_1[[#This Row],[TPP trans backwards (Beginning)]]</f>
        <v>0</v>
      </c>
      <c r="I13" s="4">
        <f>AtlasReport_4_Table_1[[#This Row],[Quantity]]-AtlasReport_4_Table_1[[#This Row],[TPP trans backwards (Ending)]]</f>
        <v>0</v>
      </c>
      <c r="J13" s="4">
        <f>_xll.AtlasFormulas.AtlasFunctions.AtlasBalance("PROD",DataAreaId,"T.TPPTrans_sst|InventDimId~inventDimId@T.InventDim","Sum|CostAmount|0","","","","","","","ItemId|TransDate|T2.InventSiteId|T2.InventLocationId",$A13,PeriodBeginning,$B13,$C13)</f>
        <v>0</v>
      </c>
      <c r="K13" s="4">
        <f>_xll.AtlasFormulas.AtlasFunctions.AtlasBalance("PROD",DataAreaId,"T.TPPTrans_sst|InventDimId~inventDimId@T.InventDim","Sum|CostAmount|0","","","","","","","ItemId|TransDate|T2.InventSiteId|T2.InventLocationId",$A13,PeriodEnding,$B13,$C13)</f>
        <v>0</v>
      </c>
      <c r="L13" s="4">
        <f>AtlasReport_4_Table_1[[#This Row],[TPP cost amount]]-AtlasReport_4_Table_1[[#This Row],[TPP trans backwards balance (Beginning)]]</f>
        <v>-4.9171065400000001E-4</v>
      </c>
      <c r="M13" s="4">
        <f>AtlasReport_4_Table_1[[#This Row],[TPP cost amount]]-AtlasReport_4_Table_1[[#This Row],[TPP trans backwards balance (Ending)]]</f>
        <v>-4.9171065400000001E-4</v>
      </c>
    </row>
    <row r="14" spans="1:13">
      <c r="A14" s="8" t="s">
        <v>297</v>
      </c>
      <c r="B14" s="8" t="s">
        <v>371</v>
      </c>
      <c r="C14" s="8" t="s">
        <v>372</v>
      </c>
      <c r="D14" s="4">
        <v>1595</v>
      </c>
      <c r="E14" s="4">
        <v>0</v>
      </c>
      <c r="F14" s="4">
        <f>_xll.AtlasFormulas.AtlasFunctions.AtlasBalance("PROD",DataAreaId,"T.TPPTrans_sst|InventDimId~inventDimId@T.InventDim","Sum|Qty|0","","","","","","","ItemId|TransDate|T2.InventSiteId|T2.InventLocationId",$A14,PeriodBeginning,$B14,$C14)</f>
        <v>520</v>
      </c>
      <c r="G14" s="4">
        <f>_xll.AtlasFormulas.AtlasFunctions.AtlasBalance("PROD",DataAreaId,"T.TPPTrans_sst|InventDimId~inventDimId@T.InventDim","Sum|Qty|0","","","","","","","ItemId|TransDate|T2.InventSiteId|T2.InventLocationId",$A14,PeriodEnding,$B14,$C14)</f>
        <v>0</v>
      </c>
      <c r="H14" s="4">
        <f>AtlasReport_4_Table_1[[#This Row],[Quantity]]-AtlasReport_4_Table_1[[#This Row],[TPP trans backwards (Beginning)]]</f>
        <v>1075</v>
      </c>
      <c r="I14" s="4">
        <f>AtlasReport_4_Table_1[[#This Row],[Quantity]]-AtlasReport_4_Table_1[[#This Row],[TPP trans backwards (Ending)]]</f>
        <v>1595</v>
      </c>
      <c r="J14" s="4">
        <f>_xll.AtlasFormulas.AtlasFunctions.AtlasBalance("PROD",DataAreaId,"T.TPPTrans_sst|InventDimId~inventDimId@T.InventDim","Sum|CostAmount|0","","","","","","","ItemId|TransDate|T2.InventSiteId|T2.InventLocationId",$A14,PeriodBeginning,$B14,$C14)</f>
        <v>0</v>
      </c>
      <c r="K14" s="4">
        <f>_xll.AtlasFormulas.AtlasFunctions.AtlasBalance("PROD",DataAreaId,"T.TPPTrans_sst|InventDimId~inventDimId@T.InventDim","Sum|CostAmount|0","","","","","","","ItemId|TransDate|T2.InventSiteId|T2.InventLocationId",$A14,PeriodEnding,$B14,$C14)</f>
        <v>0</v>
      </c>
      <c r="L14" s="4">
        <f>AtlasReport_4_Table_1[[#This Row],[TPP cost amount]]-AtlasReport_4_Table_1[[#This Row],[TPP trans backwards balance (Beginning)]]</f>
        <v>0</v>
      </c>
      <c r="M14" s="4">
        <f>AtlasReport_4_Table_1[[#This Row],[TPP cost amount]]-AtlasReport_4_Table_1[[#This Row],[TPP trans backwards balance (Ending)]]</f>
        <v>0</v>
      </c>
    </row>
    <row r="15" spans="1:13">
      <c r="A15" s="8" t="s">
        <v>343</v>
      </c>
      <c r="B15" s="8" t="s">
        <v>371</v>
      </c>
      <c r="C15" s="8" t="s">
        <v>372</v>
      </c>
      <c r="D15" s="4">
        <v>3.18</v>
      </c>
      <c r="E15" s="4">
        <v>15.81</v>
      </c>
      <c r="F15" s="4">
        <f>_xll.AtlasFormulas.AtlasFunctions.AtlasBalance("PROD",DataAreaId,"T.TPPTrans_sst|InventDimId~inventDimId@T.InventDim","Sum|Qty|0","","","","","","","ItemId|TransDate|T2.InventSiteId|T2.InventLocationId",$A15,PeriodBeginning,$B15,$C15)</f>
        <v>0</v>
      </c>
      <c r="G15" s="4">
        <f>_xll.AtlasFormulas.AtlasFunctions.AtlasBalance("PROD",DataAreaId,"T.TPPTrans_sst|InventDimId~inventDimId@T.InventDim","Sum|Qty|0","","","","","","","ItemId|TransDate|T2.InventSiteId|T2.InventLocationId",$A15,PeriodEnding,$B15,$C15)</f>
        <v>0</v>
      </c>
      <c r="H15" s="4">
        <f>AtlasReport_4_Table_1[[#This Row],[Quantity]]-AtlasReport_4_Table_1[[#This Row],[TPP trans backwards (Beginning)]]</f>
        <v>3.18</v>
      </c>
      <c r="I15" s="4">
        <f>AtlasReport_4_Table_1[[#This Row],[Quantity]]-AtlasReport_4_Table_1[[#This Row],[TPP trans backwards (Ending)]]</f>
        <v>3.18</v>
      </c>
      <c r="J15" s="4">
        <f>_xll.AtlasFormulas.AtlasFunctions.AtlasBalance("PROD",DataAreaId,"T.TPPTrans_sst|InventDimId~inventDimId@T.InventDim","Sum|CostAmount|0","","","","","","","ItemId|TransDate|T2.InventSiteId|T2.InventLocationId",$A15,PeriodBeginning,$B15,$C15)</f>
        <v>0</v>
      </c>
      <c r="K15" s="4">
        <f>_xll.AtlasFormulas.AtlasFunctions.AtlasBalance("PROD",DataAreaId,"T.TPPTrans_sst|InventDimId~inventDimId@T.InventDim","Sum|CostAmount|0","","","","","","","ItemId|TransDate|T2.InventSiteId|T2.InventLocationId",$A15,PeriodEnding,$B15,$C15)</f>
        <v>0</v>
      </c>
      <c r="L15" s="4">
        <f>AtlasReport_4_Table_1[[#This Row],[TPP cost amount]]-AtlasReport_4_Table_1[[#This Row],[TPP trans backwards balance (Beginning)]]</f>
        <v>15.81</v>
      </c>
      <c r="M15" s="4">
        <f>AtlasReport_4_Table_1[[#This Row],[TPP cost amount]]-AtlasReport_4_Table_1[[#This Row],[TPP trans backwards balance (Ending)]]</f>
        <v>15.81</v>
      </c>
    </row>
    <row r="16" spans="1:13">
      <c r="A16" s="8" t="s">
        <v>486</v>
      </c>
      <c r="B16" s="8" t="s">
        <v>371</v>
      </c>
      <c r="C16" s="8" t="s">
        <v>372</v>
      </c>
      <c r="D16" s="4">
        <v>1</v>
      </c>
      <c r="E16" s="4">
        <v>0</v>
      </c>
      <c r="F16" s="4">
        <f>_xll.AtlasFormulas.AtlasFunctions.AtlasBalance("PROD",DataAreaId,"T.TPPTrans_sst|InventDimId~inventDimId@T.InventDim","Sum|Qty|0","","","","","","","ItemId|TransDate|T2.InventSiteId|T2.InventLocationId",$A16,PeriodBeginning,$B16,$C16)</f>
        <v>0</v>
      </c>
      <c r="G16" s="4">
        <f>_xll.AtlasFormulas.AtlasFunctions.AtlasBalance("PROD",DataAreaId,"T.TPPTrans_sst|InventDimId~inventDimId@T.InventDim","Sum|Qty|0","","","","","","","ItemId|TransDate|T2.InventSiteId|T2.InventLocationId",$A16,PeriodEnding,$B16,$C16)</f>
        <v>0</v>
      </c>
      <c r="H16" s="4">
        <f>AtlasReport_4_Table_1[[#This Row],[Quantity]]-AtlasReport_4_Table_1[[#This Row],[TPP trans backwards (Beginning)]]</f>
        <v>1</v>
      </c>
      <c r="I16" s="4">
        <f>AtlasReport_4_Table_1[[#This Row],[Quantity]]-AtlasReport_4_Table_1[[#This Row],[TPP trans backwards (Ending)]]</f>
        <v>1</v>
      </c>
      <c r="J16" s="4">
        <f>_xll.AtlasFormulas.AtlasFunctions.AtlasBalance("PROD",DataAreaId,"T.TPPTrans_sst|InventDimId~inventDimId@T.InventDim","Sum|CostAmount|0","","","","","","","ItemId|TransDate|T2.InventSiteId|T2.InventLocationId",$A16,PeriodBeginning,$B16,$C16)</f>
        <v>0</v>
      </c>
      <c r="K16" s="4">
        <f>_xll.AtlasFormulas.AtlasFunctions.AtlasBalance("PROD",DataAreaId,"T.TPPTrans_sst|InventDimId~inventDimId@T.InventDim","Sum|CostAmount|0","","","","","","","ItemId|TransDate|T2.InventSiteId|T2.InventLocationId",$A16,PeriodEnding,$B16,$C16)</f>
        <v>0</v>
      </c>
      <c r="L16" s="4">
        <f>AtlasReport_4_Table_1[[#This Row],[TPP cost amount]]-AtlasReport_4_Table_1[[#This Row],[TPP trans backwards balance (Beginning)]]</f>
        <v>0</v>
      </c>
      <c r="M16" s="4">
        <f>AtlasReport_4_Table_1[[#This Row],[TPP cost amount]]-AtlasReport_4_Table_1[[#This Row],[TPP trans backwards balance (Ending)]]</f>
        <v>0</v>
      </c>
    </row>
    <row r="17" spans="1:13">
      <c r="A17" s="8" t="s">
        <v>492</v>
      </c>
      <c r="B17" s="8" t="s">
        <v>371</v>
      </c>
      <c r="C17" s="8" t="s">
        <v>372</v>
      </c>
      <c r="D17" s="4">
        <v>46</v>
      </c>
      <c r="E17" s="4">
        <v>0</v>
      </c>
      <c r="F17" s="4">
        <f>_xll.AtlasFormulas.AtlasFunctions.AtlasBalance("PROD",DataAreaId,"T.TPPTrans_sst|InventDimId~inventDimId@T.InventDim","Sum|Qty|0","","","","","","","ItemId|TransDate|T2.InventSiteId|T2.InventLocationId",$A17,PeriodBeginning,$B17,$C17)</f>
        <v>0</v>
      </c>
      <c r="G17" s="4">
        <f>_xll.AtlasFormulas.AtlasFunctions.AtlasBalance("PROD",DataAreaId,"T.TPPTrans_sst|InventDimId~inventDimId@T.InventDim","Sum|Qty|0","","","","","","","ItemId|TransDate|T2.InventSiteId|T2.InventLocationId",$A17,PeriodEnding,$B17,$C17)</f>
        <v>0</v>
      </c>
      <c r="H17" s="4">
        <f>AtlasReport_4_Table_1[[#This Row],[Quantity]]-AtlasReport_4_Table_1[[#This Row],[TPP trans backwards (Beginning)]]</f>
        <v>46</v>
      </c>
      <c r="I17" s="4">
        <f>AtlasReport_4_Table_1[[#This Row],[Quantity]]-AtlasReport_4_Table_1[[#This Row],[TPP trans backwards (Ending)]]</f>
        <v>46</v>
      </c>
      <c r="J17" s="4">
        <f>_xll.AtlasFormulas.AtlasFunctions.AtlasBalance("PROD",DataAreaId,"T.TPPTrans_sst|InventDimId~inventDimId@T.InventDim","Sum|CostAmount|0","","","","","","","ItemId|TransDate|T2.InventSiteId|T2.InventLocationId",$A17,PeriodBeginning,$B17,$C17)</f>
        <v>0</v>
      </c>
      <c r="K17" s="4">
        <f>_xll.AtlasFormulas.AtlasFunctions.AtlasBalance("PROD",DataAreaId,"T.TPPTrans_sst|InventDimId~inventDimId@T.InventDim","Sum|CostAmount|0","","","","","","","ItemId|TransDate|T2.InventSiteId|T2.InventLocationId",$A17,PeriodEnding,$B17,$C17)</f>
        <v>0</v>
      </c>
      <c r="L17" s="4">
        <f>AtlasReport_4_Table_1[[#This Row],[TPP cost amount]]-AtlasReport_4_Table_1[[#This Row],[TPP trans backwards balance (Beginning)]]</f>
        <v>0</v>
      </c>
      <c r="M17" s="4">
        <f>AtlasReport_4_Table_1[[#This Row],[TPP cost amount]]-AtlasReport_4_Table_1[[#This Row],[TPP trans backwards balance (Ending)]]</f>
        <v>0</v>
      </c>
    </row>
    <row r="18" spans="1:13">
      <c r="A18" s="8" t="s">
        <v>495</v>
      </c>
      <c r="B18" s="8" t="s">
        <v>371</v>
      </c>
      <c r="C18" s="8" t="s">
        <v>372</v>
      </c>
      <c r="D18" s="4">
        <v>20</v>
      </c>
      <c r="E18" s="4">
        <v>0</v>
      </c>
      <c r="F18" s="4">
        <f>_xll.AtlasFormulas.AtlasFunctions.AtlasBalance("PROD",DataAreaId,"T.TPPTrans_sst|InventDimId~inventDimId@T.InventDim","Sum|Qty|0","","","","","","","ItemId|TransDate|T2.InventSiteId|T2.InventLocationId",$A18,PeriodBeginning,$B18,$C18)</f>
        <v>0</v>
      </c>
      <c r="G18" s="4">
        <f>_xll.AtlasFormulas.AtlasFunctions.AtlasBalance("PROD",DataAreaId,"T.TPPTrans_sst|InventDimId~inventDimId@T.InventDim","Sum|Qty|0","","","","","","","ItemId|TransDate|T2.InventSiteId|T2.InventLocationId",$A18,PeriodEnding,$B18,$C18)</f>
        <v>0</v>
      </c>
      <c r="H18" s="4">
        <f>AtlasReport_4_Table_1[[#This Row],[Quantity]]-AtlasReport_4_Table_1[[#This Row],[TPP trans backwards (Beginning)]]</f>
        <v>20</v>
      </c>
      <c r="I18" s="4">
        <f>AtlasReport_4_Table_1[[#This Row],[Quantity]]-AtlasReport_4_Table_1[[#This Row],[TPP trans backwards (Ending)]]</f>
        <v>20</v>
      </c>
      <c r="J18" s="4">
        <f>_xll.AtlasFormulas.AtlasFunctions.AtlasBalance("PROD",DataAreaId,"T.TPPTrans_sst|InventDimId~inventDimId@T.InventDim","Sum|CostAmount|0","","","","","","","ItemId|TransDate|T2.InventSiteId|T2.InventLocationId",$A18,PeriodBeginning,$B18,$C18)</f>
        <v>0</v>
      </c>
      <c r="K18" s="4">
        <f>_xll.AtlasFormulas.AtlasFunctions.AtlasBalance("PROD",DataAreaId,"T.TPPTrans_sst|InventDimId~inventDimId@T.InventDim","Sum|CostAmount|0","","","","","","","ItemId|TransDate|T2.InventSiteId|T2.InventLocationId",$A18,PeriodEnding,$B18,$C18)</f>
        <v>0</v>
      </c>
      <c r="L18" s="4">
        <f>AtlasReport_4_Table_1[[#This Row],[TPP cost amount]]-AtlasReport_4_Table_1[[#This Row],[TPP trans backwards balance (Beginning)]]</f>
        <v>0</v>
      </c>
      <c r="M18" s="4">
        <f>AtlasReport_4_Table_1[[#This Row],[TPP cost amount]]-AtlasReport_4_Table_1[[#This Row],[TPP trans backwards balance (Ending)]]</f>
        <v>0</v>
      </c>
    </row>
    <row r="19" spans="1:13">
      <c r="A19" s="8" t="s">
        <v>497</v>
      </c>
      <c r="B19" s="8" t="s">
        <v>371</v>
      </c>
      <c r="C19" s="8" t="s">
        <v>372</v>
      </c>
      <c r="D19" s="4">
        <v>230</v>
      </c>
      <c r="E19" s="4">
        <v>0</v>
      </c>
      <c r="F19" s="4">
        <f>_xll.AtlasFormulas.AtlasFunctions.AtlasBalance("PROD",DataAreaId,"T.TPPTrans_sst|InventDimId~inventDimId@T.InventDim","Sum|Qty|0","","","","","","","ItemId|TransDate|T2.InventSiteId|T2.InventLocationId",$A19,PeriodBeginning,$B19,$C19)</f>
        <v>0</v>
      </c>
      <c r="G19" s="4">
        <f>_xll.AtlasFormulas.AtlasFunctions.AtlasBalance("PROD",DataAreaId,"T.TPPTrans_sst|InventDimId~inventDimId@T.InventDim","Sum|Qty|0","","","","","","","ItemId|TransDate|T2.InventSiteId|T2.InventLocationId",$A19,PeriodEnding,$B19,$C19)</f>
        <v>0</v>
      </c>
      <c r="H19" s="4">
        <f>AtlasReport_4_Table_1[[#This Row],[Quantity]]-AtlasReport_4_Table_1[[#This Row],[TPP trans backwards (Beginning)]]</f>
        <v>230</v>
      </c>
      <c r="I19" s="4">
        <f>AtlasReport_4_Table_1[[#This Row],[Quantity]]-AtlasReport_4_Table_1[[#This Row],[TPP trans backwards (Ending)]]</f>
        <v>230</v>
      </c>
      <c r="J19" s="4">
        <f>_xll.AtlasFormulas.AtlasFunctions.AtlasBalance("PROD",DataAreaId,"T.TPPTrans_sst|InventDimId~inventDimId@T.InventDim","Sum|CostAmount|0","","","","","","","ItemId|TransDate|T2.InventSiteId|T2.InventLocationId",$A19,PeriodBeginning,$B19,$C19)</f>
        <v>0</v>
      </c>
      <c r="K19" s="4">
        <f>_xll.AtlasFormulas.AtlasFunctions.AtlasBalance("PROD",DataAreaId,"T.TPPTrans_sst|InventDimId~inventDimId@T.InventDim","Sum|CostAmount|0","","","","","","","ItemId|TransDate|T2.InventSiteId|T2.InventLocationId",$A19,PeriodEnding,$B19,$C19)</f>
        <v>0</v>
      </c>
      <c r="L19" s="4">
        <f>AtlasReport_4_Table_1[[#This Row],[TPP cost amount]]-AtlasReport_4_Table_1[[#This Row],[TPP trans backwards balance (Beginning)]]</f>
        <v>0</v>
      </c>
      <c r="M19" s="4">
        <f>AtlasReport_4_Table_1[[#This Row],[TPP cost amount]]-AtlasReport_4_Table_1[[#This Row],[TPP trans backwards balance (Ending)]]</f>
        <v>0</v>
      </c>
    </row>
    <row r="20" spans="1:13">
      <c r="A20" s="8" t="s">
        <v>499</v>
      </c>
      <c r="B20" s="8" t="s">
        <v>371</v>
      </c>
      <c r="C20" s="8" t="s">
        <v>372</v>
      </c>
      <c r="D20" s="4">
        <v>61</v>
      </c>
      <c r="E20" s="4">
        <v>0</v>
      </c>
      <c r="F20" s="4">
        <f>_xll.AtlasFormulas.AtlasFunctions.AtlasBalance("PROD",DataAreaId,"T.TPPTrans_sst|InventDimId~inventDimId@T.InventDim","Sum|Qty|0","","","","","","","ItemId|TransDate|T2.InventSiteId|T2.InventLocationId",$A20,PeriodBeginning,$B20,$C20)</f>
        <v>-21</v>
      </c>
      <c r="G20" s="4">
        <f>_xll.AtlasFormulas.AtlasFunctions.AtlasBalance("PROD",DataAreaId,"T.TPPTrans_sst|InventDimId~inventDimId@T.InventDim","Sum|Qty|0","","","","","","","ItemId|TransDate|T2.InventSiteId|T2.InventLocationId",$A20,PeriodEnding,$B20,$C20)</f>
        <v>0</v>
      </c>
      <c r="H20" s="4">
        <f>AtlasReport_4_Table_1[[#This Row],[Quantity]]-AtlasReport_4_Table_1[[#This Row],[TPP trans backwards (Beginning)]]</f>
        <v>82</v>
      </c>
      <c r="I20" s="4">
        <f>AtlasReport_4_Table_1[[#This Row],[Quantity]]-AtlasReport_4_Table_1[[#This Row],[TPP trans backwards (Ending)]]</f>
        <v>61</v>
      </c>
      <c r="J20" s="4">
        <f>_xll.AtlasFormulas.AtlasFunctions.AtlasBalance("PROD",DataAreaId,"T.TPPTrans_sst|InventDimId~inventDimId@T.InventDim","Sum|CostAmount|0","","","","","","","ItemId|TransDate|T2.InventSiteId|T2.InventLocationId",$A20,PeriodBeginning,$B20,$C20)</f>
        <v>0</v>
      </c>
      <c r="K20" s="4">
        <f>_xll.AtlasFormulas.AtlasFunctions.AtlasBalance("PROD",DataAreaId,"T.TPPTrans_sst|InventDimId~inventDimId@T.InventDim","Sum|CostAmount|0","","","","","","","ItemId|TransDate|T2.InventSiteId|T2.InventLocationId",$A20,PeriodEnding,$B20,$C20)</f>
        <v>0</v>
      </c>
      <c r="L20" s="4">
        <f>AtlasReport_4_Table_1[[#This Row],[TPP cost amount]]-AtlasReport_4_Table_1[[#This Row],[TPP trans backwards balance (Beginning)]]</f>
        <v>0</v>
      </c>
      <c r="M20" s="4">
        <f>AtlasReport_4_Table_1[[#This Row],[TPP cost amount]]-AtlasReport_4_Table_1[[#This Row],[TPP trans backwards balance (Ending)]]</f>
        <v>0</v>
      </c>
    </row>
    <row r="21" spans="1:13">
      <c r="A21" s="8" t="s">
        <v>501</v>
      </c>
      <c r="B21" s="8" t="s">
        <v>371</v>
      </c>
      <c r="C21" s="8" t="s">
        <v>372</v>
      </c>
      <c r="D21" s="4">
        <v>395</v>
      </c>
      <c r="E21" s="4">
        <v>0</v>
      </c>
      <c r="F21" s="4">
        <f>_xll.AtlasFormulas.AtlasFunctions.AtlasBalance("PROD",DataAreaId,"T.TPPTrans_sst|InventDimId~inventDimId@T.InventDim","Sum|Qty|0","","","","","","","ItemId|TransDate|T2.InventSiteId|T2.InventLocationId",$A21,PeriodBeginning,$B21,$C21)</f>
        <v>-90</v>
      </c>
      <c r="G21" s="4">
        <f>_xll.AtlasFormulas.AtlasFunctions.AtlasBalance("PROD",DataAreaId,"T.TPPTrans_sst|InventDimId~inventDimId@T.InventDim","Sum|Qty|0","","","","","","","ItemId|TransDate|T2.InventSiteId|T2.InventLocationId",$A21,PeriodEnding,$B21,$C21)</f>
        <v>0</v>
      </c>
      <c r="H21" s="4">
        <f>AtlasReport_4_Table_1[[#This Row],[Quantity]]-AtlasReport_4_Table_1[[#This Row],[TPP trans backwards (Beginning)]]</f>
        <v>485</v>
      </c>
      <c r="I21" s="4">
        <f>AtlasReport_4_Table_1[[#This Row],[Quantity]]-AtlasReport_4_Table_1[[#This Row],[TPP trans backwards (Ending)]]</f>
        <v>395</v>
      </c>
      <c r="J21" s="4">
        <f>_xll.AtlasFormulas.AtlasFunctions.AtlasBalance("PROD",DataAreaId,"T.TPPTrans_sst|InventDimId~inventDimId@T.InventDim","Sum|CostAmount|0","","","","","","","ItemId|TransDate|T2.InventSiteId|T2.InventLocationId",$A21,PeriodBeginning,$B21,$C21)</f>
        <v>0</v>
      </c>
      <c r="K21" s="4">
        <f>_xll.AtlasFormulas.AtlasFunctions.AtlasBalance("PROD",DataAreaId,"T.TPPTrans_sst|InventDimId~inventDimId@T.InventDim","Sum|CostAmount|0","","","","","","","ItemId|TransDate|T2.InventSiteId|T2.InventLocationId",$A21,PeriodEnding,$B21,$C21)</f>
        <v>0</v>
      </c>
      <c r="L21" s="4">
        <f>AtlasReport_4_Table_1[[#This Row],[TPP cost amount]]-AtlasReport_4_Table_1[[#This Row],[TPP trans backwards balance (Beginning)]]</f>
        <v>0</v>
      </c>
      <c r="M21" s="4">
        <f>AtlasReport_4_Table_1[[#This Row],[TPP cost amount]]-AtlasReport_4_Table_1[[#This Row],[TPP trans backwards balance (Ending)]]</f>
        <v>0</v>
      </c>
    </row>
    <row r="22" spans="1:13">
      <c r="A22" s="8" t="s">
        <v>507</v>
      </c>
      <c r="B22" s="8" t="s">
        <v>371</v>
      </c>
      <c r="C22" s="8" t="s">
        <v>372</v>
      </c>
      <c r="D22" s="4">
        <v>19</v>
      </c>
      <c r="E22" s="4">
        <v>0</v>
      </c>
      <c r="F22" s="4">
        <f>_xll.AtlasFormulas.AtlasFunctions.AtlasBalance("PROD",DataAreaId,"T.TPPTrans_sst|InventDimId~inventDimId@T.InventDim","Sum|Qty|0","","","","","","","ItemId|TransDate|T2.InventSiteId|T2.InventLocationId",$A22,PeriodBeginning,$B22,$C22)</f>
        <v>0</v>
      </c>
      <c r="G22" s="4">
        <f>_xll.AtlasFormulas.AtlasFunctions.AtlasBalance("PROD",DataAreaId,"T.TPPTrans_sst|InventDimId~inventDimId@T.InventDim","Sum|Qty|0","","","","","","","ItemId|TransDate|T2.InventSiteId|T2.InventLocationId",$A22,PeriodEnding,$B22,$C22)</f>
        <v>0</v>
      </c>
      <c r="H22" s="4">
        <f>AtlasReport_4_Table_1[[#This Row],[Quantity]]-AtlasReport_4_Table_1[[#This Row],[TPP trans backwards (Beginning)]]</f>
        <v>19</v>
      </c>
      <c r="I22" s="4">
        <f>AtlasReport_4_Table_1[[#This Row],[Quantity]]-AtlasReport_4_Table_1[[#This Row],[TPP trans backwards (Ending)]]</f>
        <v>19</v>
      </c>
      <c r="J22" s="4">
        <f>_xll.AtlasFormulas.AtlasFunctions.AtlasBalance("PROD",DataAreaId,"T.TPPTrans_sst|InventDimId~inventDimId@T.InventDim","Sum|CostAmount|0","","","","","","","ItemId|TransDate|T2.InventSiteId|T2.InventLocationId",$A22,PeriodBeginning,$B22,$C22)</f>
        <v>0</v>
      </c>
      <c r="K22" s="4">
        <f>_xll.AtlasFormulas.AtlasFunctions.AtlasBalance("PROD",DataAreaId,"T.TPPTrans_sst|InventDimId~inventDimId@T.InventDim","Sum|CostAmount|0","","","","","","","ItemId|TransDate|T2.InventSiteId|T2.InventLocationId",$A22,PeriodEnding,$B22,$C22)</f>
        <v>0</v>
      </c>
      <c r="L22" s="4">
        <f>AtlasReport_4_Table_1[[#This Row],[TPP cost amount]]-AtlasReport_4_Table_1[[#This Row],[TPP trans backwards balance (Beginning)]]</f>
        <v>0</v>
      </c>
      <c r="M22" s="4">
        <f>AtlasReport_4_Table_1[[#This Row],[TPP cost amount]]-AtlasReport_4_Table_1[[#This Row],[TPP trans backwards balance (Ending)]]</f>
        <v>0</v>
      </c>
    </row>
    <row r="23" spans="1:13">
      <c r="A23" s="8" t="s">
        <v>509</v>
      </c>
      <c r="B23" s="8" t="s">
        <v>371</v>
      </c>
      <c r="C23" s="8" t="s">
        <v>372</v>
      </c>
      <c r="D23" s="4">
        <v>0</v>
      </c>
      <c r="E23" s="4">
        <v>0</v>
      </c>
      <c r="F23" s="4">
        <f>_xll.AtlasFormulas.AtlasFunctions.AtlasBalance("PROD",DataAreaId,"T.TPPTrans_sst|InventDimId~inventDimId@T.InventDim","Sum|Qty|0","","","","","","","ItemId|TransDate|T2.InventSiteId|T2.InventLocationId",$A23,PeriodBeginning,$B23,$C23)</f>
        <v>-40</v>
      </c>
      <c r="G23" s="4">
        <f>_xll.AtlasFormulas.AtlasFunctions.AtlasBalance("PROD",DataAreaId,"T.TPPTrans_sst|InventDimId~inventDimId@T.InventDim","Sum|Qty|0","","","","","","","ItemId|TransDate|T2.InventSiteId|T2.InventLocationId",$A23,PeriodEnding,$B23,$C23)</f>
        <v>0</v>
      </c>
      <c r="H23" s="4">
        <f>AtlasReport_4_Table_1[[#This Row],[Quantity]]-AtlasReport_4_Table_1[[#This Row],[TPP trans backwards (Beginning)]]</f>
        <v>40</v>
      </c>
      <c r="I23" s="4">
        <f>AtlasReport_4_Table_1[[#This Row],[Quantity]]-AtlasReport_4_Table_1[[#This Row],[TPP trans backwards (Ending)]]</f>
        <v>0</v>
      </c>
      <c r="J23" s="4">
        <f>_xll.AtlasFormulas.AtlasFunctions.AtlasBalance("PROD",DataAreaId,"T.TPPTrans_sst|InventDimId~inventDimId@T.InventDim","Sum|CostAmount|0","","","","","","","ItemId|TransDate|T2.InventSiteId|T2.InventLocationId",$A23,PeriodBeginning,$B23,$C23)</f>
        <v>0</v>
      </c>
      <c r="K23" s="4">
        <f>_xll.AtlasFormulas.AtlasFunctions.AtlasBalance("PROD",DataAreaId,"T.TPPTrans_sst|InventDimId~inventDimId@T.InventDim","Sum|CostAmount|0","","","","","","","ItemId|TransDate|T2.InventSiteId|T2.InventLocationId",$A23,PeriodEnding,$B23,$C23)</f>
        <v>0</v>
      </c>
      <c r="L23" s="4">
        <f>AtlasReport_4_Table_1[[#This Row],[TPP cost amount]]-AtlasReport_4_Table_1[[#This Row],[TPP trans backwards balance (Beginning)]]</f>
        <v>0</v>
      </c>
      <c r="M23" s="4">
        <f>AtlasReport_4_Table_1[[#This Row],[TPP cost amount]]-AtlasReport_4_Table_1[[#This Row],[TPP trans backwards balance (Ending)]]</f>
        <v>0</v>
      </c>
    </row>
    <row r="24" spans="1:13">
      <c r="A24" s="8" t="s">
        <v>511</v>
      </c>
      <c r="B24" s="8" t="s">
        <v>371</v>
      </c>
      <c r="C24" s="8" t="s">
        <v>372</v>
      </c>
      <c r="D24" s="4">
        <v>0</v>
      </c>
      <c r="E24" s="4">
        <v>0</v>
      </c>
      <c r="F24" s="4">
        <f>_xll.AtlasFormulas.AtlasFunctions.AtlasBalance("PROD",DataAreaId,"T.TPPTrans_sst|InventDimId~inventDimId@T.InventDim","Sum|Qty|0","","","","","","","ItemId|TransDate|T2.InventSiteId|T2.InventLocationId",$A24,PeriodBeginning,$B24,$C24)</f>
        <v>-30</v>
      </c>
      <c r="G24" s="4">
        <f>_xll.AtlasFormulas.AtlasFunctions.AtlasBalance("PROD",DataAreaId,"T.TPPTrans_sst|InventDimId~inventDimId@T.InventDim","Sum|Qty|0","","","","","","","ItemId|TransDate|T2.InventSiteId|T2.InventLocationId",$A24,PeriodEnding,$B24,$C24)</f>
        <v>0</v>
      </c>
      <c r="H24" s="4">
        <f>AtlasReport_4_Table_1[[#This Row],[Quantity]]-AtlasReport_4_Table_1[[#This Row],[TPP trans backwards (Beginning)]]</f>
        <v>30</v>
      </c>
      <c r="I24" s="4">
        <f>AtlasReport_4_Table_1[[#This Row],[Quantity]]-AtlasReport_4_Table_1[[#This Row],[TPP trans backwards (Ending)]]</f>
        <v>0</v>
      </c>
      <c r="J24" s="4">
        <f>_xll.AtlasFormulas.AtlasFunctions.AtlasBalance("PROD",DataAreaId,"T.TPPTrans_sst|InventDimId~inventDimId@T.InventDim","Sum|CostAmount|0","","","","","","","ItemId|TransDate|T2.InventSiteId|T2.InventLocationId",$A24,PeriodBeginning,$B24,$C24)</f>
        <v>0</v>
      </c>
      <c r="K24" s="4">
        <f>_xll.AtlasFormulas.AtlasFunctions.AtlasBalance("PROD",DataAreaId,"T.TPPTrans_sst|InventDimId~inventDimId@T.InventDim","Sum|CostAmount|0","","","","","","","ItemId|TransDate|T2.InventSiteId|T2.InventLocationId",$A24,PeriodEnding,$B24,$C24)</f>
        <v>0</v>
      </c>
      <c r="L24" s="4">
        <f>AtlasReport_4_Table_1[[#This Row],[TPP cost amount]]-AtlasReport_4_Table_1[[#This Row],[TPP trans backwards balance (Beginning)]]</f>
        <v>0</v>
      </c>
      <c r="M24" s="4">
        <f>AtlasReport_4_Table_1[[#This Row],[TPP cost amount]]-AtlasReport_4_Table_1[[#This Row],[TPP trans backwards balance (Ending)]]</f>
        <v>0</v>
      </c>
    </row>
    <row r="25" spans="1:13">
      <c r="A25" s="8" t="s">
        <v>513</v>
      </c>
      <c r="B25" s="8" t="s">
        <v>371</v>
      </c>
      <c r="C25" s="8" t="s">
        <v>372</v>
      </c>
      <c r="D25" s="4">
        <v>1</v>
      </c>
      <c r="E25" s="4">
        <v>0</v>
      </c>
      <c r="F25" s="4">
        <f>_xll.AtlasFormulas.AtlasFunctions.AtlasBalance("PROD",DataAreaId,"T.TPPTrans_sst|InventDimId~inventDimId@T.InventDim","Sum|Qty|0","","","","","","","ItemId|TransDate|T2.InventSiteId|T2.InventLocationId",$A25,PeriodBeginning,$B25,$C25)</f>
        <v>0</v>
      </c>
      <c r="G25" s="4">
        <f>_xll.AtlasFormulas.AtlasFunctions.AtlasBalance("PROD",DataAreaId,"T.TPPTrans_sst|InventDimId~inventDimId@T.InventDim","Sum|Qty|0","","","","","","","ItemId|TransDate|T2.InventSiteId|T2.InventLocationId",$A25,PeriodEnding,$B25,$C25)</f>
        <v>0</v>
      </c>
      <c r="H25" s="4">
        <f>AtlasReport_4_Table_1[[#This Row],[Quantity]]-AtlasReport_4_Table_1[[#This Row],[TPP trans backwards (Beginning)]]</f>
        <v>1</v>
      </c>
      <c r="I25" s="4">
        <f>AtlasReport_4_Table_1[[#This Row],[Quantity]]-AtlasReport_4_Table_1[[#This Row],[TPP trans backwards (Ending)]]</f>
        <v>1</v>
      </c>
      <c r="J25" s="4">
        <f>_xll.AtlasFormulas.AtlasFunctions.AtlasBalance("PROD",DataAreaId,"T.TPPTrans_sst|InventDimId~inventDimId@T.InventDim","Sum|CostAmount|0","","","","","","","ItemId|TransDate|T2.InventSiteId|T2.InventLocationId",$A25,PeriodBeginning,$B25,$C25)</f>
        <v>0</v>
      </c>
      <c r="K25" s="4">
        <f>_xll.AtlasFormulas.AtlasFunctions.AtlasBalance("PROD",DataAreaId,"T.TPPTrans_sst|InventDimId~inventDimId@T.InventDim","Sum|CostAmount|0","","","","","","","ItemId|TransDate|T2.InventSiteId|T2.InventLocationId",$A25,PeriodEnding,$B25,$C25)</f>
        <v>0</v>
      </c>
      <c r="L25" s="4">
        <f>AtlasReport_4_Table_1[[#This Row],[TPP cost amount]]-AtlasReport_4_Table_1[[#This Row],[TPP trans backwards balance (Beginning)]]</f>
        <v>0</v>
      </c>
      <c r="M25" s="4">
        <f>AtlasReport_4_Table_1[[#This Row],[TPP cost amount]]-AtlasReport_4_Table_1[[#This Row],[TPP trans backwards balance (Ending)]]</f>
        <v>0</v>
      </c>
    </row>
    <row r="26" spans="1:13">
      <c r="A26" s="8" t="s">
        <v>519</v>
      </c>
      <c r="B26" s="8" t="s">
        <v>371</v>
      </c>
      <c r="C26" s="8" t="s">
        <v>372</v>
      </c>
      <c r="D26" s="4">
        <v>2700</v>
      </c>
      <c r="E26" s="4">
        <v>0</v>
      </c>
      <c r="F26" s="4">
        <f>_xll.AtlasFormulas.AtlasFunctions.AtlasBalance("PROD",DataAreaId,"T.TPPTrans_sst|InventDimId~inventDimId@T.InventDim","Sum|Qty|0","","","","","","","ItemId|TransDate|T2.InventSiteId|T2.InventLocationId",$A26,PeriodBeginning,$B26,$C26)</f>
        <v>0</v>
      </c>
      <c r="G26" s="4">
        <f>_xll.AtlasFormulas.AtlasFunctions.AtlasBalance("PROD",DataAreaId,"T.TPPTrans_sst|InventDimId~inventDimId@T.InventDim","Sum|Qty|0","","","","","","","ItemId|TransDate|T2.InventSiteId|T2.InventLocationId",$A26,PeriodEnding,$B26,$C26)</f>
        <v>0</v>
      </c>
      <c r="H26" s="4">
        <f>AtlasReport_4_Table_1[[#This Row],[Quantity]]-AtlasReport_4_Table_1[[#This Row],[TPP trans backwards (Beginning)]]</f>
        <v>2700</v>
      </c>
      <c r="I26" s="4">
        <f>AtlasReport_4_Table_1[[#This Row],[Quantity]]-AtlasReport_4_Table_1[[#This Row],[TPP trans backwards (Ending)]]</f>
        <v>2700</v>
      </c>
      <c r="J26" s="4">
        <f>_xll.AtlasFormulas.AtlasFunctions.AtlasBalance("PROD",DataAreaId,"T.TPPTrans_sst|InventDimId~inventDimId@T.InventDim","Sum|CostAmount|0","","","","","","","ItemId|TransDate|T2.InventSiteId|T2.InventLocationId",$A26,PeriodBeginning,$B26,$C26)</f>
        <v>0</v>
      </c>
      <c r="K26" s="4">
        <f>_xll.AtlasFormulas.AtlasFunctions.AtlasBalance("PROD",DataAreaId,"T.TPPTrans_sst|InventDimId~inventDimId@T.InventDim","Sum|CostAmount|0","","","","","","","ItemId|TransDate|T2.InventSiteId|T2.InventLocationId",$A26,PeriodEnding,$B26,$C26)</f>
        <v>0</v>
      </c>
      <c r="L26" s="4">
        <f>AtlasReport_4_Table_1[[#This Row],[TPP cost amount]]-AtlasReport_4_Table_1[[#This Row],[TPP trans backwards balance (Beginning)]]</f>
        <v>0</v>
      </c>
      <c r="M26" s="4">
        <f>AtlasReport_4_Table_1[[#This Row],[TPP cost amount]]-AtlasReport_4_Table_1[[#This Row],[TPP trans backwards balance (Ending)]]</f>
        <v>0</v>
      </c>
    </row>
    <row r="27" spans="1:13">
      <c r="A27" s="8" t="s">
        <v>521</v>
      </c>
      <c r="B27" s="8" t="s">
        <v>371</v>
      </c>
      <c r="C27" s="8" t="s">
        <v>372</v>
      </c>
      <c r="D27" s="4">
        <v>120</v>
      </c>
      <c r="E27" s="4">
        <v>0</v>
      </c>
      <c r="F27" s="4">
        <f>_xll.AtlasFormulas.AtlasFunctions.AtlasBalance("PROD",DataAreaId,"T.TPPTrans_sst|InventDimId~inventDimId@T.InventDim","Sum|Qty|0","","","","","","","ItemId|TransDate|T2.InventSiteId|T2.InventLocationId",$A27,PeriodBeginning,$B27,$C27)</f>
        <v>0</v>
      </c>
      <c r="G27" s="4">
        <f>_xll.AtlasFormulas.AtlasFunctions.AtlasBalance("PROD",DataAreaId,"T.TPPTrans_sst|InventDimId~inventDimId@T.InventDim","Sum|Qty|0","","","","","","","ItemId|TransDate|T2.InventSiteId|T2.InventLocationId",$A27,PeriodEnding,$B27,$C27)</f>
        <v>0</v>
      </c>
      <c r="H27" s="4">
        <f>AtlasReport_4_Table_1[[#This Row],[Quantity]]-AtlasReport_4_Table_1[[#This Row],[TPP trans backwards (Beginning)]]</f>
        <v>120</v>
      </c>
      <c r="I27" s="4">
        <f>AtlasReport_4_Table_1[[#This Row],[Quantity]]-AtlasReport_4_Table_1[[#This Row],[TPP trans backwards (Ending)]]</f>
        <v>120</v>
      </c>
      <c r="J27" s="4">
        <f>_xll.AtlasFormulas.AtlasFunctions.AtlasBalance("PROD",DataAreaId,"T.TPPTrans_sst|InventDimId~inventDimId@T.InventDim","Sum|CostAmount|0","","","","","","","ItemId|TransDate|T2.InventSiteId|T2.InventLocationId",$A27,PeriodBeginning,$B27,$C27)</f>
        <v>0</v>
      </c>
      <c r="K27" s="4">
        <f>_xll.AtlasFormulas.AtlasFunctions.AtlasBalance("PROD",DataAreaId,"T.TPPTrans_sst|InventDimId~inventDimId@T.InventDim","Sum|CostAmount|0","","","","","","","ItemId|TransDate|T2.InventSiteId|T2.InventLocationId",$A27,PeriodEnding,$B27,$C27)</f>
        <v>0</v>
      </c>
      <c r="L27" s="4">
        <f>AtlasReport_4_Table_1[[#This Row],[TPP cost amount]]-AtlasReport_4_Table_1[[#This Row],[TPP trans backwards balance (Beginning)]]</f>
        <v>0</v>
      </c>
      <c r="M27" s="4">
        <f>AtlasReport_4_Table_1[[#This Row],[TPP cost amount]]-AtlasReport_4_Table_1[[#This Row],[TPP trans backwards balance (Ending)]]</f>
        <v>0</v>
      </c>
    </row>
    <row r="28" spans="1:13">
      <c r="A28" s="8" t="s">
        <v>527</v>
      </c>
      <c r="B28" s="8" t="s">
        <v>371</v>
      </c>
      <c r="C28" s="8" t="s">
        <v>372</v>
      </c>
      <c r="D28" s="4">
        <v>1680</v>
      </c>
      <c r="E28" s="4">
        <v>0</v>
      </c>
      <c r="F28" s="4">
        <f>_xll.AtlasFormulas.AtlasFunctions.AtlasBalance("PROD",DataAreaId,"T.TPPTrans_sst|InventDimId~inventDimId@T.InventDim","Sum|Qty|0","","","","","","","ItemId|TransDate|T2.InventSiteId|T2.InventLocationId",$A28,PeriodBeginning,$B28,$C28)</f>
        <v>0</v>
      </c>
      <c r="G28" s="4">
        <f>_xll.AtlasFormulas.AtlasFunctions.AtlasBalance("PROD",DataAreaId,"T.TPPTrans_sst|InventDimId~inventDimId@T.InventDim","Sum|Qty|0","","","","","","","ItemId|TransDate|T2.InventSiteId|T2.InventLocationId",$A28,PeriodEnding,$B28,$C28)</f>
        <v>0</v>
      </c>
      <c r="H28" s="4">
        <f>AtlasReport_4_Table_1[[#This Row],[Quantity]]-AtlasReport_4_Table_1[[#This Row],[TPP trans backwards (Beginning)]]</f>
        <v>1680</v>
      </c>
      <c r="I28" s="4">
        <f>AtlasReport_4_Table_1[[#This Row],[Quantity]]-AtlasReport_4_Table_1[[#This Row],[TPP trans backwards (Ending)]]</f>
        <v>1680</v>
      </c>
      <c r="J28" s="4">
        <f>_xll.AtlasFormulas.AtlasFunctions.AtlasBalance("PROD",DataAreaId,"T.TPPTrans_sst|InventDimId~inventDimId@T.InventDim","Sum|CostAmount|0","","","","","","","ItemId|TransDate|T2.InventSiteId|T2.InventLocationId",$A28,PeriodBeginning,$B28,$C28)</f>
        <v>0</v>
      </c>
      <c r="K28" s="4">
        <f>_xll.AtlasFormulas.AtlasFunctions.AtlasBalance("PROD",DataAreaId,"T.TPPTrans_sst|InventDimId~inventDimId@T.InventDim","Sum|CostAmount|0","","","","","","","ItemId|TransDate|T2.InventSiteId|T2.InventLocationId",$A28,PeriodEnding,$B28,$C28)</f>
        <v>0</v>
      </c>
      <c r="L28" s="4">
        <f>AtlasReport_4_Table_1[[#This Row],[TPP cost amount]]-AtlasReport_4_Table_1[[#This Row],[TPP trans backwards balance (Beginning)]]</f>
        <v>0</v>
      </c>
      <c r="M28" s="4">
        <f>AtlasReport_4_Table_1[[#This Row],[TPP cost amount]]-AtlasReport_4_Table_1[[#This Row],[TPP trans backwards balance (Ending)]]</f>
        <v>0</v>
      </c>
    </row>
    <row r="29" spans="1:13">
      <c r="A29" s="8" t="s">
        <v>529</v>
      </c>
      <c r="B29" s="8" t="s">
        <v>371</v>
      </c>
      <c r="C29" s="8" t="s">
        <v>372</v>
      </c>
      <c r="D29" s="4">
        <v>920</v>
      </c>
      <c r="E29" s="4">
        <v>0</v>
      </c>
      <c r="F29" s="4">
        <f>_xll.AtlasFormulas.AtlasFunctions.AtlasBalance("PROD",DataAreaId,"T.TPPTrans_sst|InventDimId~inventDimId@T.InventDim","Sum|Qty|0","","","","","","","ItemId|TransDate|T2.InventSiteId|T2.InventLocationId",$A29,PeriodBeginning,$B29,$C29)</f>
        <v>0</v>
      </c>
      <c r="G29" s="4">
        <f>_xll.AtlasFormulas.AtlasFunctions.AtlasBalance("PROD",DataAreaId,"T.TPPTrans_sst|InventDimId~inventDimId@T.InventDim","Sum|Qty|0","","","","","","","ItemId|TransDate|T2.InventSiteId|T2.InventLocationId",$A29,PeriodEnding,$B29,$C29)</f>
        <v>0</v>
      </c>
      <c r="H29" s="4">
        <f>AtlasReport_4_Table_1[[#This Row],[Quantity]]-AtlasReport_4_Table_1[[#This Row],[TPP trans backwards (Beginning)]]</f>
        <v>920</v>
      </c>
      <c r="I29" s="4">
        <f>AtlasReport_4_Table_1[[#This Row],[Quantity]]-AtlasReport_4_Table_1[[#This Row],[TPP trans backwards (Ending)]]</f>
        <v>920</v>
      </c>
      <c r="J29" s="4">
        <f>_xll.AtlasFormulas.AtlasFunctions.AtlasBalance("PROD",DataAreaId,"T.TPPTrans_sst|InventDimId~inventDimId@T.InventDim","Sum|CostAmount|0","","","","","","","ItemId|TransDate|T2.InventSiteId|T2.InventLocationId",$A29,PeriodBeginning,$B29,$C29)</f>
        <v>0</v>
      </c>
      <c r="K29" s="4">
        <f>_xll.AtlasFormulas.AtlasFunctions.AtlasBalance("PROD",DataAreaId,"T.TPPTrans_sst|InventDimId~inventDimId@T.InventDim","Sum|CostAmount|0","","","","","","","ItemId|TransDate|T2.InventSiteId|T2.InventLocationId",$A29,PeriodEnding,$B29,$C29)</f>
        <v>0</v>
      </c>
      <c r="L29" s="4">
        <f>AtlasReport_4_Table_1[[#This Row],[TPP cost amount]]-AtlasReport_4_Table_1[[#This Row],[TPP trans backwards balance (Beginning)]]</f>
        <v>0</v>
      </c>
      <c r="M29" s="4">
        <f>AtlasReport_4_Table_1[[#This Row],[TPP cost amount]]-AtlasReport_4_Table_1[[#This Row],[TPP trans backwards balance (Ending)]]</f>
        <v>0</v>
      </c>
    </row>
    <row r="30" spans="1:13">
      <c r="A30" s="8" t="s">
        <v>541</v>
      </c>
      <c r="B30" s="8" t="s">
        <v>371</v>
      </c>
      <c r="C30" s="8" t="s">
        <v>372</v>
      </c>
      <c r="D30" s="4">
        <v>23</v>
      </c>
      <c r="E30" s="4">
        <v>0</v>
      </c>
      <c r="F30" s="4">
        <f>_xll.AtlasFormulas.AtlasFunctions.AtlasBalance("PROD",DataAreaId,"T.TPPTrans_sst|InventDimId~inventDimId@T.InventDim","Sum|Qty|0","","","","","","","ItemId|TransDate|T2.InventSiteId|T2.InventLocationId",$A30,PeriodBeginning,$B30,$C30)</f>
        <v>0</v>
      </c>
      <c r="G30" s="4">
        <f>_xll.AtlasFormulas.AtlasFunctions.AtlasBalance("PROD",DataAreaId,"T.TPPTrans_sst|InventDimId~inventDimId@T.InventDim","Sum|Qty|0","","","","","","","ItemId|TransDate|T2.InventSiteId|T2.InventLocationId",$A30,PeriodEnding,$B30,$C30)</f>
        <v>0</v>
      </c>
      <c r="H30" s="4">
        <f>AtlasReport_4_Table_1[[#This Row],[Quantity]]-AtlasReport_4_Table_1[[#This Row],[TPP trans backwards (Beginning)]]</f>
        <v>23</v>
      </c>
      <c r="I30" s="4">
        <f>AtlasReport_4_Table_1[[#This Row],[Quantity]]-AtlasReport_4_Table_1[[#This Row],[TPP trans backwards (Ending)]]</f>
        <v>23</v>
      </c>
      <c r="J30" s="4">
        <f>_xll.AtlasFormulas.AtlasFunctions.AtlasBalance("PROD",DataAreaId,"T.TPPTrans_sst|InventDimId~inventDimId@T.InventDim","Sum|CostAmount|0","","","","","","","ItemId|TransDate|T2.InventSiteId|T2.InventLocationId",$A30,PeriodBeginning,$B30,$C30)</f>
        <v>0</v>
      </c>
      <c r="K30" s="4">
        <f>_xll.AtlasFormulas.AtlasFunctions.AtlasBalance("PROD",DataAreaId,"T.TPPTrans_sst|InventDimId~inventDimId@T.InventDim","Sum|CostAmount|0","","","","","","","ItemId|TransDate|T2.InventSiteId|T2.InventLocationId",$A30,PeriodEnding,$B30,$C30)</f>
        <v>0</v>
      </c>
      <c r="L30" s="4">
        <f>AtlasReport_4_Table_1[[#This Row],[TPP cost amount]]-AtlasReport_4_Table_1[[#This Row],[TPP trans backwards balance (Beginning)]]</f>
        <v>0</v>
      </c>
      <c r="M30" s="4">
        <f>AtlasReport_4_Table_1[[#This Row],[TPP cost amount]]-AtlasReport_4_Table_1[[#This Row],[TPP trans backwards balance (Ending)]]</f>
        <v>0</v>
      </c>
    </row>
    <row r="31" spans="1:13">
      <c r="A31" s="8" t="s">
        <v>544</v>
      </c>
      <c r="B31" s="8" t="s">
        <v>371</v>
      </c>
      <c r="C31" s="8" t="s">
        <v>372</v>
      </c>
      <c r="D31" s="4">
        <v>2485</v>
      </c>
      <c r="E31" s="4">
        <v>-3.3379195479999999E-3</v>
      </c>
      <c r="F31" s="4">
        <f>_xll.AtlasFormulas.AtlasFunctions.AtlasBalance("PROD",DataAreaId,"T.TPPTrans_sst|InventDimId~inventDimId@T.InventDim","Sum|Qty|0","","","","","","","ItemId|TransDate|T2.InventSiteId|T2.InventLocationId",$A31,PeriodBeginning,$B31,$C31)</f>
        <v>-2000</v>
      </c>
      <c r="G31" s="4">
        <f>_xll.AtlasFormulas.AtlasFunctions.AtlasBalance("PROD",DataAreaId,"T.TPPTrans_sst|InventDimId~inventDimId@T.InventDim","Sum|Qty|0","","","","","","","ItemId|TransDate|T2.InventSiteId|T2.InventLocationId",$A31,PeriodEnding,$B31,$C31)</f>
        <v>0</v>
      </c>
      <c r="H31" s="4">
        <f>AtlasReport_4_Table_1[[#This Row],[Quantity]]-AtlasReport_4_Table_1[[#This Row],[TPP trans backwards (Beginning)]]</f>
        <v>4485</v>
      </c>
      <c r="I31" s="4">
        <f>AtlasReport_4_Table_1[[#This Row],[Quantity]]-AtlasReport_4_Table_1[[#This Row],[TPP trans backwards (Ending)]]</f>
        <v>2485</v>
      </c>
      <c r="J31" s="4">
        <f>_xll.AtlasFormulas.AtlasFunctions.AtlasBalance("PROD",DataAreaId,"T.TPPTrans_sst|InventDimId~inventDimId@T.InventDim","Sum|CostAmount|0","","","","","","","ItemId|TransDate|T2.InventSiteId|T2.InventLocationId",$A31,PeriodBeginning,$B31,$C31)</f>
        <v>0</v>
      </c>
      <c r="K31" s="4">
        <f>_xll.AtlasFormulas.AtlasFunctions.AtlasBalance("PROD",DataAreaId,"T.TPPTrans_sst|InventDimId~inventDimId@T.InventDim","Sum|CostAmount|0","","","","","","","ItemId|TransDate|T2.InventSiteId|T2.InventLocationId",$A31,PeriodEnding,$B31,$C31)</f>
        <v>0</v>
      </c>
      <c r="L31" s="4">
        <f>AtlasReport_4_Table_1[[#This Row],[TPP cost amount]]-AtlasReport_4_Table_1[[#This Row],[TPP trans backwards balance (Beginning)]]</f>
        <v>-3.3379195479999999E-3</v>
      </c>
      <c r="M31" s="4">
        <f>AtlasReport_4_Table_1[[#This Row],[TPP cost amount]]-AtlasReport_4_Table_1[[#This Row],[TPP trans backwards balance (Ending)]]</f>
        <v>-3.3379195479999999E-3</v>
      </c>
    </row>
    <row r="32" spans="1:13">
      <c r="A32" s="8" t="s">
        <v>19</v>
      </c>
      <c r="B32" s="8" t="s">
        <v>371</v>
      </c>
      <c r="C32" s="8" t="s">
        <v>372</v>
      </c>
      <c r="D32" s="4">
        <v>12028</v>
      </c>
      <c r="E32" s="4">
        <v>6351.6118887821804</v>
      </c>
      <c r="F32" s="4">
        <f>_xll.AtlasFormulas.AtlasFunctions.AtlasBalance("PROD",DataAreaId,"T.TPPTrans_sst|InventDimId~inventDimId@T.InventDim","Sum|Qty|0","","","","","","","ItemId|TransDate|T2.InventSiteId|T2.InventLocationId",$A32,PeriodBeginning,$B32,$C32)</f>
        <v>0</v>
      </c>
      <c r="G32" s="4">
        <f>_xll.AtlasFormulas.AtlasFunctions.AtlasBalance("PROD",DataAreaId,"T.TPPTrans_sst|InventDimId~inventDimId@T.InventDim","Sum|Qty|0","","","","","","","ItemId|TransDate|T2.InventSiteId|T2.InventLocationId",$A32,PeriodEnding,$B32,$C32)</f>
        <v>0</v>
      </c>
      <c r="H32" s="4">
        <f>AtlasReport_4_Table_1[[#This Row],[Quantity]]-AtlasReport_4_Table_1[[#This Row],[TPP trans backwards (Beginning)]]</f>
        <v>12028</v>
      </c>
      <c r="I32" s="4">
        <f>AtlasReport_4_Table_1[[#This Row],[Quantity]]-AtlasReport_4_Table_1[[#This Row],[TPP trans backwards (Ending)]]</f>
        <v>12028</v>
      </c>
      <c r="J32" s="4">
        <f>_xll.AtlasFormulas.AtlasFunctions.AtlasBalance("PROD",DataAreaId,"T.TPPTrans_sst|InventDimId~inventDimId@T.InventDim","Sum|CostAmount|0","","","","","","","ItemId|TransDate|T2.InventSiteId|T2.InventLocationId",$A32,PeriodBeginning,$B32,$C32)</f>
        <v>0</v>
      </c>
      <c r="K32" s="4">
        <f>_xll.AtlasFormulas.AtlasFunctions.AtlasBalance("PROD",DataAreaId,"T.TPPTrans_sst|InventDimId~inventDimId@T.InventDim","Sum|CostAmount|0","","","","","","","ItemId|TransDate|T2.InventSiteId|T2.InventLocationId",$A32,PeriodEnding,$B32,$C32)</f>
        <v>0</v>
      </c>
      <c r="L32" s="4">
        <f>AtlasReport_4_Table_1[[#This Row],[TPP cost amount]]-AtlasReport_4_Table_1[[#This Row],[TPP trans backwards balance (Beginning)]]</f>
        <v>6351.6118887821804</v>
      </c>
      <c r="M32" s="4">
        <f>AtlasReport_4_Table_1[[#This Row],[TPP cost amount]]-AtlasReport_4_Table_1[[#This Row],[TPP trans backwards balance (Ending)]]</f>
        <v>6351.6118887821804</v>
      </c>
    </row>
    <row r="33" spans="1:13">
      <c r="A33" s="8" t="s">
        <v>554</v>
      </c>
      <c r="B33" s="8" t="s">
        <v>371</v>
      </c>
      <c r="C33" s="8" t="s">
        <v>372</v>
      </c>
      <c r="D33" s="4">
        <v>48.75</v>
      </c>
      <c r="E33" s="4">
        <v>0</v>
      </c>
      <c r="F33" s="4">
        <f>_xll.AtlasFormulas.AtlasFunctions.AtlasBalance("PROD",DataAreaId,"T.TPPTrans_sst|InventDimId~inventDimId@T.InventDim","Sum|Qty|0","","","","","","","ItemId|TransDate|T2.InventSiteId|T2.InventLocationId",$A33,PeriodBeginning,$B33,$C33)</f>
        <v>0</v>
      </c>
      <c r="G33" s="4">
        <f>_xll.AtlasFormulas.AtlasFunctions.AtlasBalance("PROD",DataAreaId,"T.TPPTrans_sst|InventDimId~inventDimId@T.InventDim","Sum|Qty|0","","","","","","","ItemId|TransDate|T2.InventSiteId|T2.InventLocationId",$A33,PeriodEnding,$B33,$C33)</f>
        <v>0</v>
      </c>
      <c r="H33" s="4">
        <f>AtlasReport_4_Table_1[[#This Row],[Quantity]]-AtlasReport_4_Table_1[[#This Row],[TPP trans backwards (Beginning)]]</f>
        <v>48.75</v>
      </c>
      <c r="I33" s="4">
        <f>AtlasReport_4_Table_1[[#This Row],[Quantity]]-AtlasReport_4_Table_1[[#This Row],[TPP trans backwards (Ending)]]</f>
        <v>48.75</v>
      </c>
      <c r="J33" s="4">
        <f>_xll.AtlasFormulas.AtlasFunctions.AtlasBalance("PROD",DataAreaId,"T.TPPTrans_sst|InventDimId~inventDimId@T.InventDim","Sum|CostAmount|0","","","","","","","ItemId|TransDate|T2.InventSiteId|T2.InventLocationId",$A33,PeriodBeginning,$B33,$C33)</f>
        <v>0</v>
      </c>
      <c r="K33" s="4">
        <f>_xll.AtlasFormulas.AtlasFunctions.AtlasBalance("PROD",DataAreaId,"T.TPPTrans_sst|InventDimId~inventDimId@T.InventDim","Sum|CostAmount|0","","","","","","","ItemId|TransDate|T2.InventSiteId|T2.InventLocationId",$A33,PeriodEnding,$B33,$C33)</f>
        <v>0</v>
      </c>
      <c r="L33" s="4">
        <f>AtlasReport_4_Table_1[[#This Row],[TPP cost amount]]-AtlasReport_4_Table_1[[#This Row],[TPP trans backwards balance (Beginning)]]</f>
        <v>0</v>
      </c>
      <c r="M33" s="4">
        <f>AtlasReport_4_Table_1[[#This Row],[TPP cost amount]]-AtlasReport_4_Table_1[[#This Row],[TPP trans backwards balance (Ending)]]</f>
        <v>0</v>
      </c>
    </row>
    <row r="34" spans="1:13">
      <c r="A34" s="8" t="s">
        <v>555</v>
      </c>
      <c r="B34" s="8" t="s">
        <v>371</v>
      </c>
      <c r="C34" s="8" t="s">
        <v>372</v>
      </c>
      <c r="D34" s="4">
        <v>35261</v>
      </c>
      <c r="E34" s="4">
        <v>17272.031215038071</v>
      </c>
      <c r="F34" s="4">
        <f>_xll.AtlasFormulas.AtlasFunctions.AtlasBalance("PROD",DataAreaId,"T.TPPTrans_sst|InventDimId~inventDimId@T.InventDim","Sum|Qty|0","","","","","","","ItemId|TransDate|T2.InventSiteId|T2.InventLocationId",$A34,PeriodBeginning,$B34,$C34)</f>
        <v>31040</v>
      </c>
      <c r="G34" s="4">
        <f>_xll.AtlasFormulas.AtlasFunctions.AtlasBalance("PROD",DataAreaId,"T.TPPTrans_sst|InventDimId~inventDimId@T.InventDim","Sum|Qty|0","","","","","","","ItemId|TransDate|T2.InventSiteId|T2.InventLocationId",$A34,PeriodEnding,$B34,$C34)</f>
        <v>0</v>
      </c>
      <c r="H34" s="4">
        <f>AtlasReport_4_Table_1[[#This Row],[Quantity]]-AtlasReport_4_Table_1[[#This Row],[TPP trans backwards (Beginning)]]</f>
        <v>4221</v>
      </c>
      <c r="I34" s="4">
        <f>AtlasReport_4_Table_1[[#This Row],[Quantity]]-AtlasReport_4_Table_1[[#This Row],[TPP trans backwards (Ending)]]</f>
        <v>35261</v>
      </c>
      <c r="J34" s="4">
        <f>_xll.AtlasFormulas.AtlasFunctions.AtlasBalance("PROD",DataAreaId,"T.TPPTrans_sst|InventDimId~inventDimId@T.InventDim","Sum|CostAmount|0","","","","","","","ItemId|TransDate|T2.InventSiteId|T2.InventLocationId",$A34,PeriodBeginning,$B34,$C34)</f>
        <v>15690.72</v>
      </c>
      <c r="K34" s="4">
        <f>_xll.AtlasFormulas.AtlasFunctions.AtlasBalance("PROD",DataAreaId,"T.TPPTrans_sst|InventDimId~inventDimId@T.InventDim","Sum|CostAmount|0","","","","","","","ItemId|TransDate|T2.InventSiteId|T2.InventLocationId",$A34,PeriodEnding,$B34,$C34)</f>
        <v>0</v>
      </c>
      <c r="L34" s="4">
        <f>AtlasReport_4_Table_1[[#This Row],[TPP cost amount]]-AtlasReport_4_Table_1[[#This Row],[TPP trans backwards balance (Beginning)]]</f>
        <v>1581.3112150380712</v>
      </c>
      <c r="M34" s="4">
        <f>AtlasReport_4_Table_1[[#This Row],[TPP cost amount]]-AtlasReport_4_Table_1[[#This Row],[TPP trans backwards balance (Ending)]]</f>
        <v>17272.031215038071</v>
      </c>
    </row>
    <row r="35" spans="1:13">
      <c r="A35" s="8" t="s">
        <v>556</v>
      </c>
      <c r="B35" s="8" t="s">
        <v>371</v>
      </c>
      <c r="C35" s="8" t="s">
        <v>372</v>
      </c>
      <c r="D35" s="4">
        <v>24300</v>
      </c>
      <c r="E35" s="4">
        <v>28470.651285114778</v>
      </c>
      <c r="F35" s="4">
        <f>_xll.AtlasFormulas.AtlasFunctions.AtlasBalance("PROD",DataAreaId,"T.TPPTrans_sst|InventDimId~inventDimId@T.InventDim","Sum|Qty|0","","","","","","","ItemId|TransDate|T2.InventSiteId|T2.InventLocationId",$A35,PeriodBeginning,$B35,$C35)</f>
        <v>12000</v>
      </c>
      <c r="G35" s="4">
        <f>_xll.AtlasFormulas.AtlasFunctions.AtlasBalance("PROD",DataAreaId,"T.TPPTrans_sst|InventDimId~inventDimId@T.InventDim","Sum|Qty|0","","","","","","","ItemId|TransDate|T2.InventSiteId|T2.InventLocationId",$A35,PeriodEnding,$B35,$C35)</f>
        <v>0</v>
      </c>
      <c r="H35" s="4">
        <f>AtlasReport_4_Table_1[[#This Row],[Quantity]]-AtlasReport_4_Table_1[[#This Row],[TPP trans backwards (Beginning)]]</f>
        <v>12300</v>
      </c>
      <c r="I35" s="4">
        <f>AtlasReport_4_Table_1[[#This Row],[Quantity]]-AtlasReport_4_Table_1[[#This Row],[TPP trans backwards (Ending)]]</f>
        <v>24300</v>
      </c>
      <c r="J35" s="4">
        <f>_xll.AtlasFormulas.AtlasFunctions.AtlasBalance("PROD",DataAreaId,"T.TPPTrans_sst|InventDimId~inventDimId@T.InventDim","Sum|CostAmount|0","","","","","","","ItemId|TransDate|T2.InventSiteId|T2.InventLocationId",$A35,PeriodBeginning,$B35,$C35)</f>
        <v>14110.56</v>
      </c>
      <c r="K35" s="4">
        <f>_xll.AtlasFormulas.AtlasFunctions.AtlasBalance("PROD",DataAreaId,"T.TPPTrans_sst|InventDimId~inventDimId@T.InventDim","Sum|CostAmount|0","","","","","","","ItemId|TransDate|T2.InventSiteId|T2.InventLocationId",$A35,PeriodEnding,$B35,$C35)</f>
        <v>0</v>
      </c>
      <c r="L35" s="4">
        <f>AtlasReport_4_Table_1[[#This Row],[TPP cost amount]]-AtlasReport_4_Table_1[[#This Row],[TPP trans backwards balance (Beginning)]]</f>
        <v>14360.091285114779</v>
      </c>
      <c r="M35" s="4">
        <f>AtlasReport_4_Table_1[[#This Row],[TPP cost amount]]-AtlasReport_4_Table_1[[#This Row],[TPP trans backwards balance (Ending)]]</f>
        <v>28470.651285114778</v>
      </c>
    </row>
    <row r="36" spans="1:13">
      <c r="A36" s="8" t="s">
        <v>557</v>
      </c>
      <c r="B36" s="8" t="s">
        <v>371</v>
      </c>
      <c r="C36" s="8" t="s">
        <v>372</v>
      </c>
      <c r="D36" s="4">
        <v>22425</v>
      </c>
      <c r="E36" s="4">
        <v>10113.171797809298</v>
      </c>
      <c r="F36" s="4">
        <f>_xll.AtlasFormulas.AtlasFunctions.AtlasBalance("PROD",DataAreaId,"T.TPPTrans_sst|InventDimId~inventDimId@T.InventDim","Sum|Qty|0","","","","","","","ItemId|TransDate|T2.InventSiteId|T2.InventLocationId",$A36,PeriodBeginning,$B36,$C36)</f>
        <v>14550</v>
      </c>
      <c r="G36" s="4">
        <f>_xll.AtlasFormulas.AtlasFunctions.AtlasBalance("PROD",DataAreaId,"T.TPPTrans_sst|InventDimId~inventDimId@T.InventDim","Sum|Qty|0","","","","","","","ItemId|TransDate|T2.InventSiteId|T2.InventLocationId",$A36,PeriodEnding,$B36,$C36)</f>
        <v>0</v>
      </c>
      <c r="H36" s="4">
        <f>AtlasReport_4_Table_1[[#This Row],[Quantity]]-AtlasReport_4_Table_1[[#This Row],[TPP trans backwards (Beginning)]]</f>
        <v>7875</v>
      </c>
      <c r="I36" s="4">
        <f>AtlasReport_4_Table_1[[#This Row],[Quantity]]-AtlasReport_4_Table_1[[#This Row],[TPP trans backwards (Ending)]]</f>
        <v>22425</v>
      </c>
      <c r="J36" s="4">
        <f>_xll.AtlasFormulas.AtlasFunctions.AtlasBalance("PROD",DataAreaId,"T.TPPTrans_sst|InventDimId~inventDimId@T.InventDim","Sum|CostAmount|0","","","","","","","ItemId|TransDate|T2.InventSiteId|T2.InventLocationId",$A36,PeriodBeginning,$B36,$C36)</f>
        <v>7560.12</v>
      </c>
      <c r="K36" s="4">
        <f>_xll.AtlasFormulas.AtlasFunctions.AtlasBalance("PROD",DataAreaId,"T.TPPTrans_sst|InventDimId~inventDimId@T.InventDim","Sum|CostAmount|0","","","","","","","ItemId|TransDate|T2.InventSiteId|T2.InventLocationId",$A36,PeriodEnding,$B36,$C36)</f>
        <v>0</v>
      </c>
      <c r="L36" s="4">
        <f>AtlasReport_4_Table_1[[#This Row],[TPP cost amount]]-AtlasReport_4_Table_1[[#This Row],[TPP trans backwards balance (Beginning)]]</f>
        <v>2553.0517978092985</v>
      </c>
      <c r="M36" s="4">
        <f>AtlasReport_4_Table_1[[#This Row],[TPP cost amount]]-AtlasReport_4_Table_1[[#This Row],[TPP trans backwards balance (Ending)]]</f>
        <v>10113.171797809298</v>
      </c>
    </row>
    <row r="37" spans="1:13">
      <c r="A37" s="8" t="s">
        <v>18</v>
      </c>
      <c r="B37" s="8" t="s">
        <v>371</v>
      </c>
      <c r="C37" s="8" t="s">
        <v>372</v>
      </c>
      <c r="D37" s="4">
        <v>50895</v>
      </c>
      <c r="E37" s="4">
        <v>66558.978663510701</v>
      </c>
      <c r="F37" s="4">
        <f>_xll.AtlasFormulas.AtlasFunctions.AtlasBalance("PROD",DataAreaId,"T.TPPTrans_sst|InventDimId~inventDimId@T.InventDim","Sum|Qty|0","","","","","","","ItemId|TransDate|T2.InventSiteId|T2.InventLocationId",$A37,PeriodBeginning,$B37,$C37)</f>
        <v>25350</v>
      </c>
      <c r="G37" s="4">
        <f>_xll.AtlasFormulas.AtlasFunctions.AtlasBalance("PROD",DataAreaId,"T.TPPTrans_sst|InventDimId~inventDimId@T.InventDim","Sum|Qty|0","","","","","","","ItemId|TransDate|T2.InventSiteId|T2.InventLocationId",$A37,PeriodEnding,$B37,$C37)</f>
        <v>0</v>
      </c>
      <c r="H37" s="4">
        <f>AtlasReport_4_Table_1[[#This Row],[Quantity]]-AtlasReport_4_Table_1[[#This Row],[TPP trans backwards (Beginning)]]</f>
        <v>25545</v>
      </c>
      <c r="I37" s="4">
        <f>AtlasReport_4_Table_1[[#This Row],[Quantity]]-AtlasReport_4_Table_1[[#This Row],[TPP trans backwards (Ending)]]</f>
        <v>50895</v>
      </c>
      <c r="J37" s="4">
        <f>_xll.AtlasFormulas.AtlasFunctions.AtlasBalance("PROD",DataAreaId,"T.TPPTrans_sst|InventDimId~inventDimId@T.InventDim","Sum|CostAmount|0","","","","","","","ItemId|TransDate|T2.InventSiteId|T2.InventLocationId",$A37,PeriodBeginning,$B37,$C37)</f>
        <v>30353.84</v>
      </c>
      <c r="K37" s="4">
        <f>_xll.AtlasFormulas.AtlasFunctions.AtlasBalance("PROD",DataAreaId,"T.TPPTrans_sst|InventDimId~inventDimId@T.InventDim","Sum|CostAmount|0","","","","","","","ItemId|TransDate|T2.InventSiteId|T2.InventLocationId",$A37,PeriodEnding,$B37,$C37)</f>
        <v>0</v>
      </c>
      <c r="L37" s="4">
        <f>AtlasReport_4_Table_1[[#This Row],[TPP cost amount]]-AtlasReport_4_Table_1[[#This Row],[TPP trans backwards balance (Beginning)]]</f>
        <v>36205.138663510705</v>
      </c>
      <c r="M37" s="4">
        <f>AtlasReport_4_Table_1[[#This Row],[TPP cost amount]]-AtlasReport_4_Table_1[[#This Row],[TPP trans backwards balance (Ending)]]</f>
        <v>66558.978663510701</v>
      </c>
    </row>
    <row r="38" spans="1:13">
      <c r="A38" s="8" t="s">
        <v>336</v>
      </c>
      <c r="B38" s="8" t="s">
        <v>371</v>
      </c>
      <c r="C38" s="8" t="s">
        <v>372</v>
      </c>
      <c r="D38" s="4">
        <v>56550</v>
      </c>
      <c r="E38" s="4">
        <v>28366.628229696002</v>
      </c>
      <c r="F38" s="4">
        <f>_xll.AtlasFormulas.AtlasFunctions.AtlasBalance("PROD",DataAreaId,"T.TPPTrans_sst|InventDimId~inventDimId@T.InventDim","Sum|Qty|0","","","","","","","ItemId|TransDate|T2.InventSiteId|T2.InventLocationId",$A38,PeriodBeginning,$B38,$C38)</f>
        <v>47775</v>
      </c>
      <c r="G38" s="4">
        <f>_xll.AtlasFormulas.AtlasFunctions.AtlasBalance("PROD",DataAreaId,"T.TPPTrans_sst|InventDimId~inventDimId@T.InventDim","Sum|Qty|0","","","","","","","ItemId|TransDate|T2.InventSiteId|T2.InventLocationId",$A38,PeriodEnding,$B38,$C38)</f>
        <v>0</v>
      </c>
      <c r="H38" s="4">
        <f>AtlasReport_4_Table_1[[#This Row],[Quantity]]-AtlasReport_4_Table_1[[#This Row],[TPP trans backwards (Beginning)]]</f>
        <v>8775</v>
      </c>
      <c r="I38" s="4">
        <f>AtlasReport_4_Table_1[[#This Row],[Quantity]]-AtlasReport_4_Table_1[[#This Row],[TPP trans backwards (Ending)]]</f>
        <v>56550</v>
      </c>
      <c r="J38" s="4">
        <f>_xll.AtlasFormulas.AtlasFunctions.AtlasBalance("PROD",DataAreaId,"T.TPPTrans_sst|InventDimId~inventDimId@T.InventDim","Sum|CostAmount|0","","","","","","","ItemId|TransDate|T2.InventSiteId|T2.InventLocationId",$A38,PeriodBeginning,$B38,$C38)</f>
        <v>25081.3</v>
      </c>
      <c r="K38" s="4">
        <f>_xll.AtlasFormulas.AtlasFunctions.AtlasBalance("PROD",DataAreaId,"T.TPPTrans_sst|InventDimId~inventDimId@T.InventDim","Sum|CostAmount|0","","","","","","","ItemId|TransDate|T2.InventSiteId|T2.InventLocationId",$A38,PeriodEnding,$B38,$C38)</f>
        <v>0</v>
      </c>
      <c r="L38" s="4">
        <f>AtlasReport_4_Table_1[[#This Row],[TPP cost amount]]-AtlasReport_4_Table_1[[#This Row],[TPP trans backwards balance (Beginning)]]</f>
        <v>3285.3282296960024</v>
      </c>
      <c r="M38" s="4">
        <f>AtlasReport_4_Table_1[[#This Row],[TPP cost amount]]-AtlasReport_4_Table_1[[#This Row],[TPP trans backwards balance (Ending)]]</f>
        <v>28366.628229696002</v>
      </c>
    </row>
    <row r="39" spans="1:13">
      <c r="A39" s="8" t="s">
        <v>404</v>
      </c>
      <c r="B39" s="8" t="s">
        <v>371</v>
      </c>
      <c r="C39" s="8" t="s">
        <v>372</v>
      </c>
      <c r="D39" s="4">
        <v>104032.5</v>
      </c>
      <c r="E39" s="4">
        <v>178025.40563988048</v>
      </c>
      <c r="F39" s="4">
        <f>_xll.AtlasFormulas.AtlasFunctions.AtlasBalance("PROD",DataAreaId,"T.TPPTrans_sst|InventDimId~inventDimId@T.InventDim","Sum|Qty|0","","","","","","","ItemId|TransDate|T2.InventSiteId|T2.InventLocationId",$A39,PeriodBeginning,$B39,$C39)</f>
        <v>76050</v>
      </c>
      <c r="G39" s="4">
        <f>_xll.AtlasFormulas.AtlasFunctions.AtlasBalance("PROD",DataAreaId,"T.TPPTrans_sst|InventDimId~inventDimId@T.InventDim","Sum|Qty|0","","","","","","","ItemId|TransDate|T2.InventSiteId|T2.InventLocationId",$A39,PeriodEnding,$B39,$C39)</f>
        <v>0</v>
      </c>
      <c r="H39" s="4">
        <f>AtlasReport_4_Table_1[[#This Row],[Quantity]]-AtlasReport_4_Table_1[[#This Row],[TPP trans backwards (Beginning)]]</f>
        <v>27982.5</v>
      </c>
      <c r="I39" s="4">
        <f>AtlasReport_4_Table_1[[#This Row],[Quantity]]-AtlasReport_4_Table_1[[#This Row],[TPP trans backwards (Ending)]]</f>
        <v>104032.5</v>
      </c>
      <c r="J39" s="4">
        <f>_xll.AtlasFormulas.AtlasFunctions.AtlasBalance("PROD",DataAreaId,"T.TPPTrans_sst|InventDimId~inventDimId@T.InventDim","Sum|CostAmount|0","","","","","","","ItemId|TransDate|T2.InventSiteId|T2.InventLocationId",$A39,PeriodBeginning,$B39,$C39)</f>
        <v>106581.42</v>
      </c>
      <c r="K39" s="4">
        <f>_xll.AtlasFormulas.AtlasFunctions.AtlasBalance("PROD",DataAreaId,"T.TPPTrans_sst|InventDimId~inventDimId@T.InventDim","Sum|CostAmount|0","","","","","","","ItemId|TransDate|T2.InventSiteId|T2.InventLocationId",$A39,PeriodEnding,$B39,$C39)</f>
        <v>0</v>
      </c>
      <c r="L39" s="4">
        <f>AtlasReport_4_Table_1[[#This Row],[TPP cost amount]]-AtlasReport_4_Table_1[[#This Row],[TPP trans backwards balance (Beginning)]]</f>
        <v>71443.985639880484</v>
      </c>
      <c r="M39" s="4">
        <f>AtlasReport_4_Table_1[[#This Row],[TPP cost amount]]-AtlasReport_4_Table_1[[#This Row],[TPP trans backwards balance (Ending)]]</f>
        <v>178025.40563988048</v>
      </c>
    </row>
    <row r="40" spans="1:13">
      <c r="A40" s="8" t="s">
        <v>48</v>
      </c>
      <c r="B40" s="8" t="s">
        <v>371</v>
      </c>
      <c r="C40" s="8" t="s">
        <v>372</v>
      </c>
      <c r="D40" s="4">
        <v>900</v>
      </c>
      <c r="E40" s="4">
        <v>3645.94</v>
      </c>
      <c r="F40" s="4">
        <f>_xll.AtlasFormulas.AtlasFunctions.AtlasBalance("PROD",DataAreaId,"T.TPPTrans_sst|InventDimId~inventDimId@T.InventDim","Sum|Qty|0","","","","","","","ItemId|TransDate|T2.InventSiteId|T2.InventLocationId",$A40,PeriodBeginning,$B40,$C40)</f>
        <v>900</v>
      </c>
      <c r="G40" s="4">
        <f>_xll.AtlasFormulas.AtlasFunctions.AtlasBalance("PROD",DataAreaId,"T.TPPTrans_sst|InventDimId~inventDimId@T.InventDim","Sum|Qty|0","","","","","","","ItemId|TransDate|T2.InventSiteId|T2.InventLocationId",$A40,PeriodEnding,$B40,$C40)</f>
        <v>0</v>
      </c>
      <c r="H40" s="4">
        <f>AtlasReport_4_Table_1[[#This Row],[Quantity]]-AtlasReport_4_Table_1[[#This Row],[TPP trans backwards (Beginning)]]</f>
        <v>0</v>
      </c>
      <c r="I40" s="4">
        <f>AtlasReport_4_Table_1[[#This Row],[Quantity]]-AtlasReport_4_Table_1[[#This Row],[TPP trans backwards (Ending)]]</f>
        <v>900</v>
      </c>
      <c r="J40" s="4">
        <f>_xll.AtlasFormulas.AtlasFunctions.AtlasBalance("PROD",DataAreaId,"T.TPPTrans_sst|InventDimId~inventDimId@T.InventDim","Sum|CostAmount|0","","","","","","","ItemId|TransDate|T2.InventSiteId|T2.InventLocationId",$A40,PeriodBeginning,$B40,$C40)</f>
        <v>3645.94</v>
      </c>
      <c r="K40" s="4">
        <f>_xll.AtlasFormulas.AtlasFunctions.AtlasBalance("PROD",DataAreaId,"T.TPPTrans_sst|InventDimId~inventDimId@T.InventDim","Sum|CostAmount|0","","","","","","","ItemId|TransDate|T2.InventSiteId|T2.InventLocationId",$A40,PeriodEnding,$B40,$C40)</f>
        <v>0</v>
      </c>
      <c r="L40" s="4">
        <f>AtlasReport_4_Table_1[[#This Row],[TPP cost amount]]-AtlasReport_4_Table_1[[#This Row],[TPP trans backwards balance (Beginning)]]</f>
        <v>0</v>
      </c>
      <c r="M40" s="4">
        <f>AtlasReport_4_Table_1[[#This Row],[TPP cost amount]]-AtlasReport_4_Table_1[[#This Row],[TPP trans backwards balance (Ending)]]</f>
        <v>3645.94</v>
      </c>
    </row>
    <row r="41" spans="1:13">
      <c r="A41" s="8" t="s">
        <v>22</v>
      </c>
      <c r="B41" s="8" t="s">
        <v>371</v>
      </c>
      <c r="C41" s="8" t="s">
        <v>372</v>
      </c>
      <c r="D41" s="4">
        <v>791.46</v>
      </c>
      <c r="E41" s="4">
        <v>3294.1168921652861</v>
      </c>
      <c r="F41" s="4">
        <f>_xll.AtlasFormulas.AtlasFunctions.AtlasBalance("PROD",DataAreaId,"T.TPPTrans_sst|InventDimId~inventDimId@T.InventDim","Sum|Qty|0","","","","","","","ItemId|TransDate|T2.InventSiteId|T2.InventLocationId",$A41,PeriodBeginning,$B41,$C41)</f>
        <v>595.5</v>
      </c>
      <c r="G41" s="4">
        <f>_xll.AtlasFormulas.AtlasFunctions.AtlasBalance("PROD",DataAreaId,"T.TPPTrans_sst|InventDimId~inventDimId@T.InventDim","Sum|Qty|0","","","","","","","ItemId|TransDate|T2.InventSiteId|T2.InventLocationId",$A41,PeriodEnding,$B41,$C41)</f>
        <v>0</v>
      </c>
      <c r="H41" s="4">
        <f>AtlasReport_4_Table_1[[#This Row],[Quantity]]-AtlasReport_4_Table_1[[#This Row],[TPP trans backwards (Beginning)]]</f>
        <v>195.96000000000004</v>
      </c>
      <c r="I41" s="4">
        <f>AtlasReport_4_Table_1[[#This Row],[Quantity]]-AtlasReport_4_Table_1[[#This Row],[TPP trans backwards (Ending)]]</f>
        <v>791.46</v>
      </c>
      <c r="J41" s="4">
        <f>_xll.AtlasFormulas.AtlasFunctions.AtlasBalance("PROD",DataAreaId,"T.TPPTrans_sst|InventDimId~inventDimId@T.InventDim","Sum|CostAmount|0","","","","","","","ItemId|TransDate|T2.InventSiteId|T2.InventLocationId",$A41,PeriodBeginning,$B41,$C41)</f>
        <v>3022.85</v>
      </c>
      <c r="K41" s="4">
        <f>_xll.AtlasFormulas.AtlasFunctions.AtlasBalance("PROD",DataAreaId,"T.TPPTrans_sst|InventDimId~inventDimId@T.InventDim","Sum|CostAmount|0","","","","","","","ItemId|TransDate|T2.InventSiteId|T2.InventLocationId",$A41,PeriodEnding,$B41,$C41)</f>
        <v>0</v>
      </c>
      <c r="L41" s="4">
        <f>AtlasReport_4_Table_1[[#This Row],[TPP cost amount]]-AtlasReport_4_Table_1[[#This Row],[TPP trans backwards balance (Beginning)]]</f>
        <v>271.26689216528621</v>
      </c>
      <c r="M41" s="4">
        <f>AtlasReport_4_Table_1[[#This Row],[TPP cost amount]]-AtlasReport_4_Table_1[[#This Row],[TPP trans backwards balance (Ending)]]</f>
        <v>3294.1168921652861</v>
      </c>
    </row>
    <row r="42" spans="1:13">
      <c r="A42" s="8" t="s">
        <v>62</v>
      </c>
      <c r="B42" s="8" t="s">
        <v>371</v>
      </c>
      <c r="C42" s="8" t="s">
        <v>372</v>
      </c>
      <c r="D42" s="4">
        <v>0</v>
      </c>
      <c r="E42" s="4">
        <v>0.01</v>
      </c>
      <c r="F42" s="4">
        <f>_xll.AtlasFormulas.AtlasFunctions.AtlasBalance("PROD",DataAreaId,"T.TPPTrans_sst|InventDimId~inventDimId@T.InventDim","Sum|Qty|0","","","","","","","ItemId|TransDate|T2.InventSiteId|T2.InventLocationId",$A42,PeriodBeginning,$B42,$C42)</f>
        <v>0</v>
      </c>
      <c r="G42" s="4">
        <f>_xll.AtlasFormulas.AtlasFunctions.AtlasBalance("PROD",DataAreaId,"T.TPPTrans_sst|InventDimId~inventDimId@T.InventDim","Sum|Qty|0","","","","","","","ItemId|TransDate|T2.InventSiteId|T2.InventLocationId",$A42,PeriodEnding,$B42,$C42)</f>
        <v>0</v>
      </c>
      <c r="H42" s="4">
        <f>AtlasReport_4_Table_1[[#This Row],[Quantity]]-AtlasReport_4_Table_1[[#This Row],[TPP trans backwards (Beginning)]]</f>
        <v>0</v>
      </c>
      <c r="I42" s="4">
        <f>AtlasReport_4_Table_1[[#This Row],[Quantity]]-AtlasReport_4_Table_1[[#This Row],[TPP trans backwards (Ending)]]</f>
        <v>0</v>
      </c>
      <c r="J42" s="4">
        <f>_xll.AtlasFormulas.AtlasFunctions.AtlasBalance("PROD",DataAreaId,"T.TPPTrans_sst|InventDimId~inventDimId@T.InventDim","Sum|CostAmount|0","","","","","","","ItemId|TransDate|T2.InventSiteId|T2.InventLocationId",$A42,PeriodBeginning,$B42,$C42)</f>
        <v>0</v>
      </c>
      <c r="K42" s="4">
        <f>_xll.AtlasFormulas.AtlasFunctions.AtlasBalance("PROD",DataAreaId,"T.TPPTrans_sst|InventDimId~inventDimId@T.InventDim","Sum|CostAmount|0","","","","","","","ItemId|TransDate|T2.InventSiteId|T2.InventLocationId",$A42,PeriodEnding,$B42,$C42)</f>
        <v>0</v>
      </c>
      <c r="L42" s="4">
        <f>AtlasReport_4_Table_1[[#This Row],[TPP cost amount]]-AtlasReport_4_Table_1[[#This Row],[TPP trans backwards balance (Beginning)]]</f>
        <v>0.01</v>
      </c>
      <c r="M42" s="4">
        <f>AtlasReport_4_Table_1[[#This Row],[TPP cost amount]]-AtlasReport_4_Table_1[[#This Row],[TPP trans backwards balance (Ending)]]</f>
        <v>0.01</v>
      </c>
    </row>
    <row r="43" spans="1:13">
      <c r="A43" s="8" t="s">
        <v>63</v>
      </c>
      <c r="B43" s="8" t="s">
        <v>371</v>
      </c>
      <c r="C43" s="8" t="s">
        <v>372</v>
      </c>
      <c r="D43" s="4">
        <v>1201.95</v>
      </c>
      <c r="E43" s="4">
        <v>6800.3925466286064</v>
      </c>
      <c r="F43" s="4">
        <f>_xll.AtlasFormulas.AtlasFunctions.AtlasBalance("PROD",DataAreaId,"T.TPPTrans_sst|InventDimId~inventDimId@T.InventDim","Sum|Qty|0","","","","","","","ItemId|TransDate|T2.InventSiteId|T2.InventLocationId",$A43,PeriodBeginning,$B43,$C43)</f>
        <v>1200</v>
      </c>
      <c r="G43" s="4">
        <f>_xll.AtlasFormulas.AtlasFunctions.AtlasBalance("PROD",DataAreaId,"T.TPPTrans_sst|InventDimId~inventDimId@T.InventDim","Sum|Qty|0","","","","","","","ItemId|TransDate|T2.InventSiteId|T2.InventLocationId",$A43,PeriodEnding,$B43,$C43)</f>
        <v>0</v>
      </c>
      <c r="H43" s="4">
        <f>AtlasReport_4_Table_1[[#This Row],[Quantity]]-AtlasReport_4_Table_1[[#This Row],[TPP trans backwards (Beginning)]]</f>
        <v>1.9500000000000455</v>
      </c>
      <c r="I43" s="4">
        <f>AtlasReport_4_Table_1[[#This Row],[Quantity]]-AtlasReport_4_Table_1[[#This Row],[TPP trans backwards (Ending)]]</f>
        <v>1201.95</v>
      </c>
      <c r="J43" s="4">
        <f>_xll.AtlasFormulas.AtlasFunctions.AtlasBalance("PROD",DataAreaId,"T.TPPTrans_sst|InventDimId~inventDimId@T.InventDim","Sum|CostAmount|0","","","","","","","ItemId|TransDate|T2.InventSiteId|T2.InventLocationId",$A43,PeriodBeginning,$B43,$C43)</f>
        <v>6797.16</v>
      </c>
      <c r="K43" s="4">
        <f>_xll.AtlasFormulas.AtlasFunctions.AtlasBalance("PROD",DataAreaId,"T.TPPTrans_sst|InventDimId~inventDimId@T.InventDim","Sum|CostAmount|0","","","","","","","ItemId|TransDate|T2.InventSiteId|T2.InventLocationId",$A43,PeriodEnding,$B43,$C43)</f>
        <v>0</v>
      </c>
      <c r="L43" s="4">
        <f>AtlasReport_4_Table_1[[#This Row],[TPP cost amount]]-AtlasReport_4_Table_1[[#This Row],[TPP trans backwards balance (Beginning)]]</f>
        <v>3.2325466286065421</v>
      </c>
      <c r="M43" s="4">
        <f>AtlasReport_4_Table_1[[#This Row],[TPP cost amount]]-AtlasReport_4_Table_1[[#This Row],[TPP trans backwards balance (Ending)]]</f>
        <v>6800.3925466286064</v>
      </c>
    </row>
    <row r="44" spans="1:13">
      <c r="A44" s="8" t="s">
        <v>23</v>
      </c>
      <c r="B44" s="8" t="s">
        <v>371</v>
      </c>
      <c r="C44" s="8" t="s">
        <v>372</v>
      </c>
      <c r="D44" s="4">
        <v>610.79999999999995</v>
      </c>
      <c r="E44" s="4">
        <v>13303.280561206109</v>
      </c>
      <c r="F44" s="4">
        <f>_xll.AtlasFormulas.AtlasFunctions.AtlasBalance("PROD",DataAreaId,"T.TPPTrans_sst|InventDimId~inventDimId@T.InventDim","Sum|Qty|0","","","","","","","ItemId|TransDate|T2.InventSiteId|T2.InventLocationId",$A44,PeriodBeginning,$B44,$C44)</f>
        <v>600</v>
      </c>
      <c r="G44" s="4">
        <f>_xll.AtlasFormulas.AtlasFunctions.AtlasBalance("PROD",DataAreaId,"T.TPPTrans_sst|InventDimId~inventDimId@T.InventDim","Sum|Qty|0","","","","","","","ItemId|TransDate|T2.InventSiteId|T2.InventLocationId",$A44,PeriodEnding,$B44,$C44)</f>
        <v>0</v>
      </c>
      <c r="H44" s="4">
        <f>AtlasReport_4_Table_1[[#This Row],[Quantity]]-AtlasReport_4_Table_1[[#This Row],[TPP trans backwards (Beginning)]]</f>
        <v>10.799999999999955</v>
      </c>
      <c r="I44" s="4">
        <f>AtlasReport_4_Table_1[[#This Row],[Quantity]]-AtlasReport_4_Table_1[[#This Row],[TPP trans backwards (Ending)]]</f>
        <v>610.79999999999995</v>
      </c>
      <c r="J44" s="4">
        <f>_xll.AtlasFormulas.AtlasFunctions.AtlasBalance("PROD",DataAreaId,"T.TPPTrans_sst|InventDimId~inventDimId@T.InventDim","Sum|CostAmount|0","","","","","","","ItemId|TransDate|T2.InventSiteId|T2.InventLocationId",$A44,PeriodBeginning,$B44,$C44)</f>
        <v>13073.78</v>
      </c>
      <c r="K44" s="4">
        <f>_xll.AtlasFormulas.AtlasFunctions.AtlasBalance("PROD",DataAreaId,"T.TPPTrans_sst|InventDimId~inventDimId@T.InventDim","Sum|CostAmount|0","","","","","","","ItemId|TransDate|T2.InventSiteId|T2.InventLocationId",$A44,PeriodEnding,$B44,$C44)</f>
        <v>0</v>
      </c>
      <c r="L44" s="4">
        <f>AtlasReport_4_Table_1[[#This Row],[TPP cost amount]]-AtlasReport_4_Table_1[[#This Row],[TPP trans backwards balance (Beginning)]]</f>
        <v>229.50056120610861</v>
      </c>
      <c r="M44" s="4">
        <f>AtlasReport_4_Table_1[[#This Row],[TPP cost amount]]-AtlasReport_4_Table_1[[#This Row],[TPP trans backwards balance (Ending)]]</f>
        <v>13303.280561206109</v>
      </c>
    </row>
    <row r="45" spans="1:13">
      <c r="A45" s="8" t="s">
        <v>353</v>
      </c>
      <c r="B45" s="8" t="s">
        <v>371</v>
      </c>
      <c r="C45" s="8" t="s">
        <v>372</v>
      </c>
      <c r="D45" s="4">
        <v>270</v>
      </c>
      <c r="E45" s="4">
        <v>198.88912429392502</v>
      </c>
      <c r="F45" s="4">
        <f>_xll.AtlasFormulas.AtlasFunctions.AtlasBalance("PROD",DataAreaId,"T.TPPTrans_sst|InventDimId~inventDimId@T.InventDim","Sum|Qty|0","","","","","","","ItemId|TransDate|T2.InventSiteId|T2.InventLocationId",$A45,PeriodBeginning,$B45,$C45)</f>
        <v>0</v>
      </c>
      <c r="G45" s="4">
        <f>_xll.AtlasFormulas.AtlasFunctions.AtlasBalance("PROD",DataAreaId,"T.TPPTrans_sst|InventDimId~inventDimId@T.InventDim","Sum|Qty|0","","","","","","","ItemId|TransDate|T2.InventSiteId|T2.InventLocationId",$A45,PeriodEnding,$B45,$C45)</f>
        <v>0</v>
      </c>
      <c r="H45" s="4">
        <f>AtlasReport_4_Table_1[[#This Row],[Quantity]]-AtlasReport_4_Table_1[[#This Row],[TPP trans backwards (Beginning)]]</f>
        <v>270</v>
      </c>
      <c r="I45" s="4">
        <f>AtlasReport_4_Table_1[[#This Row],[Quantity]]-AtlasReport_4_Table_1[[#This Row],[TPP trans backwards (Ending)]]</f>
        <v>270</v>
      </c>
      <c r="J45" s="4">
        <f>_xll.AtlasFormulas.AtlasFunctions.AtlasBalance("PROD",DataAreaId,"T.TPPTrans_sst|InventDimId~inventDimId@T.InventDim","Sum|CostAmount|0","","","","","","","ItemId|TransDate|T2.InventSiteId|T2.InventLocationId",$A45,PeriodBeginning,$B45,$C45)</f>
        <v>0</v>
      </c>
      <c r="K45" s="4">
        <f>_xll.AtlasFormulas.AtlasFunctions.AtlasBalance("PROD",DataAreaId,"T.TPPTrans_sst|InventDimId~inventDimId@T.InventDim","Sum|CostAmount|0","","","","","","","ItemId|TransDate|T2.InventSiteId|T2.InventLocationId",$A45,PeriodEnding,$B45,$C45)</f>
        <v>0</v>
      </c>
      <c r="L45" s="4">
        <f>AtlasReport_4_Table_1[[#This Row],[TPP cost amount]]-AtlasReport_4_Table_1[[#This Row],[TPP trans backwards balance (Beginning)]]</f>
        <v>198.88912429392502</v>
      </c>
      <c r="M45" s="4">
        <f>AtlasReport_4_Table_1[[#This Row],[TPP cost amount]]-AtlasReport_4_Table_1[[#This Row],[TPP trans backwards balance (Ending)]]</f>
        <v>198.88912429392502</v>
      </c>
    </row>
    <row r="46" spans="1:13">
      <c r="A46" s="8" t="s">
        <v>15</v>
      </c>
      <c r="B46" s="8" t="s">
        <v>371</v>
      </c>
      <c r="C46" s="8" t="s">
        <v>372</v>
      </c>
      <c r="D46" s="4">
        <v>30555</v>
      </c>
      <c r="E46" s="4">
        <v>5536.9832343297285</v>
      </c>
      <c r="F46" s="4">
        <f>_xll.AtlasFormulas.AtlasFunctions.AtlasBalance("PROD",DataAreaId,"T.TPPTrans_sst|InventDimId~inventDimId@T.InventDim","Sum|Qty|0","","","","","","","ItemId|TransDate|T2.InventSiteId|T2.InventLocationId",$A46,PeriodBeginning,$B46,$C46)</f>
        <v>23280</v>
      </c>
      <c r="G46" s="4">
        <f>_xll.AtlasFormulas.AtlasFunctions.AtlasBalance("PROD",DataAreaId,"T.TPPTrans_sst|InventDimId~inventDimId@T.InventDim","Sum|Qty|0","","","","","","","ItemId|TransDate|T2.InventSiteId|T2.InventLocationId",$A46,PeriodEnding,$B46,$C46)</f>
        <v>0</v>
      </c>
      <c r="H46" s="4">
        <f>AtlasReport_4_Table_1[[#This Row],[Quantity]]-AtlasReport_4_Table_1[[#This Row],[TPP trans backwards (Beginning)]]</f>
        <v>7275</v>
      </c>
      <c r="I46" s="4">
        <f>AtlasReport_4_Table_1[[#This Row],[Quantity]]-AtlasReport_4_Table_1[[#This Row],[TPP trans backwards (Ending)]]</f>
        <v>30555</v>
      </c>
      <c r="J46" s="4">
        <f>_xll.AtlasFormulas.AtlasFunctions.AtlasBalance("PROD",DataAreaId,"T.TPPTrans_sst|InventDimId~inventDimId@T.InventDim","Sum|CostAmount|0","","","","","","","ItemId|TransDate|T2.InventSiteId|T2.InventLocationId",$A46,PeriodBeginning,$B46,$C46)</f>
        <v>4471.8599999999997</v>
      </c>
      <c r="K46" s="4">
        <f>_xll.AtlasFormulas.AtlasFunctions.AtlasBalance("PROD",DataAreaId,"T.TPPTrans_sst|InventDimId~inventDimId@T.InventDim","Sum|CostAmount|0","","","","","","","ItemId|TransDate|T2.InventSiteId|T2.InventLocationId",$A46,PeriodEnding,$B46,$C46)</f>
        <v>0</v>
      </c>
      <c r="L46" s="4">
        <f>AtlasReport_4_Table_1[[#This Row],[TPP cost amount]]-AtlasReport_4_Table_1[[#This Row],[TPP trans backwards balance (Beginning)]]</f>
        <v>1065.1232343297288</v>
      </c>
      <c r="M46" s="4">
        <f>AtlasReport_4_Table_1[[#This Row],[TPP cost amount]]-AtlasReport_4_Table_1[[#This Row],[TPP trans backwards balance (Ending)]]</f>
        <v>5536.9832343297285</v>
      </c>
    </row>
    <row r="47" spans="1:13">
      <c r="A47" s="8" t="s">
        <v>337</v>
      </c>
      <c r="B47" s="8" t="s">
        <v>371</v>
      </c>
      <c r="C47" s="8" t="s">
        <v>372</v>
      </c>
      <c r="D47" s="4">
        <v>6984</v>
      </c>
      <c r="E47" s="4">
        <v>867.13195406812997</v>
      </c>
      <c r="F47" s="4">
        <f>_xll.AtlasFormulas.AtlasFunctions.AtlasBalance("PROD",DataAreaId,"T.TPPTrans_sst|InventDimId~inventDimId@T.InventDim","Sum|Qty|0","","","","","","","ItemId|TransDate|T2.InventSiteId|T2.InventLocationId",$A47,PeriodBeginning,$B47,$C47)</f>
        <v>-1164</v>
      </c>
      <c r="G47" s="4">
        <f>_xll.AtlasFormulas.AtlasFunctions.AtlasBalance("PROD",DataAreaId,"T.TPPTrans_sst|InventDimId~inventDimId@T.InventDim","Sum|Qty|0","","","","","","","ItemId|TransDate|T2.InventSiteId|T2.InventLocationId",$A47,PeriodEnding,$B47,$C47)</f>
        <v>0</v>
      </c>
      <c r="H47" s="4">
        <f>AtlasReport_4_Table_1[[#This Row],[Quantity]]-AtlasReport_4_Table_1[[#This Row],[TPP trans backwards (Beginning)]]</f>
        <v>8148</v>
      </c>
      <c r="I47" s="4">
        <f>AtlasReport_4_Table_1[[#This Row],[Quantity]]-AtlasReport_4_Table_1[[#This Row],[TPP trans backwards (Ending)]]</f>
        <v>6984</v>
      </c>
      <c r="J47" s="4">
        <f>_xll.AtlasFormulas.AtlasFunctions.AtlasBalance("PROD",DataAreaId,"T.TPPTrans_sst|InventDimId~inventDimId@T.InventDim","Sum|CostAmount|0","","","","","","","ItemId|TransDate|T2.InventSiteId|T2.InventLocationId",$A47,PeriodBeginning,$B47,$C47)</f>
        <v>-144.52000000000001</v>
      </c>
      <c r="K47" s="4">
        <f>_xll.AtlasFormulas.AtlasFunctions.AtlasBalance("PROD",DataAreaId,"T.TPPTrans_sst|InventDimId~inventDimId@T.InventDim","Sum|CostAmount|0","","","","","","","ItemId|TransDate|T2.InventSiteId|T2.InventLocationId",$A47,PeriodEnding,$B47,$C47)</f>
        <v>0</v>
      </c>
      <c r="L47" s="4">
        <f>AtlasReport_4_Table_1[[#This Row],[TPP cost amount]]-AtlasReport_4_Table_1[[#This Row],[TPP trans backwards balance (Beginning)]]</f>
        <v>1011.65195406813</v>
      </c>
      <c r="M47" s="4">
        <f>AtlasReport_4_Table_1[[#This Row],[TPP cost amount]]-AtlasReport_4_Table_1[[#This Row],[TPP trans backwards balance (Ending)]]</f>
        <v>867.13195406812997</v>
      </c>
    </row>
    <row r="48" spans="1:13">
      <c r="A48" s="8" t="s">
        <v>337</v>
      </c>
      <c r="B48" s="8" t="s">
        <v>371</v>
      </c>
      <c r="C48" s="8" t="s">
        <v>748</v>
      </c>
      <c r="D48" s="4">
        <v>1212.5</v>
      </c>
      <c r="E48" s="4">
        <v>0</v>
      </c>
      <c r="F48" s="4">
        <f>_xll.AtlasFormulas.AtlasFunctions.AtlasBalance("PROD",DataAreaId,"T.TPPTrans_sst|InventDimId~inventDimId@T.InventDim","Sum|Qty|0","","","","","","","ItemId|TransDate|T2.InventSiteId|T2.InventLocationId",$A48,PeriodBeginning,$B48,$C48)</f>
        <v>0</v>
      </c>
      <c r="G48" s="4">
        <f>_xll.AtlasFormulas.AtlasFunctions.AtlasBalance("PROD",DataAreaId,"T.TPPTrans_sst|InventDimId~inventDimId@T.InventDim","Sum|Qty|0","","","","","","","ItemId|TransDate|T2.InventSiteId|T2.InventLocationId",$A48,PeriodEnding,$B48,$C48)</f>
        <v>0</v>
      </c>
      <c r="H48" s="4">
        <f>AtlasReport_4_Table_1[[#This Row],[Quantity]]-AtlasReport_4_Table_1[[#This Row],[TPP trans backwards (Beginning)]]</f>
        <v>1212.5</v>
      </c>
      <c r="I48" s="4">
        <f>AtlasReport_4_Table_1[[#This Row],[Quantity]]-AtlasReport_4_Table_1[[#This Row],[TPP trans backwards (Ending)]]</f>
        <v>1212.5</v>
      </c>
      <c r="J48" s="4">
        <f>_xll.AtlasFormulas.AtlasFunctions.AtlasBalance("PROD",DataAreaId,"T.TPPTrans_sst|InventDimId~inventDimId@T.InventDim","Sum|CostAmount|0","","","","","","","ItemId|TransDate|T2.InventSiteId|T2.InventLocationId",$A48,PeriodBeginning,$B48,$C48)</f>
        <v>0</v>
      </c>
      <c r="K48" s="4">
        <f>_xll.AtlasFormulas.AtlasFunctions.AtlasBalance("PROD",DataAreaId,"T.TPPTrans_sst|InventDimId~inventDimId@T.InventDim","Sum|CostAmount|0","","","","","","","ItemId|TransDate|T2.InventSiteId|T2.InventLocationId",$A48,PeriodEnding,$B48,$C48)</f>
        <v>0</v>
      </c>
      <c r="L48" s="4">
        <f>AtlasReport_4_Table_1[[#This Row],[TPP cost amount]]-AtlasReport_4_Table_1[[#This Row],[TPP trans backwards balance (Beginning)]]</f>
        <v>0</v>
      </c>
      <c r="M48" s="4">
        <f>AtlasReport_4_Table_1[[#This Row],[TPP cost amount]]-AtlasReport_4_Table_1[[#This Row],[TPP trans backwards balance (Ending)]]</f>
        <v>0</v>
      </c>
    </row>
    <row r="49" spans="1:13">
      <c r="A49" s="8" t="s">
        <v>591</v>
      </c>
      <c r="B49" s="8" t="s">
        <v>371</v>
      </c>
      <c r="C49" s="8" t="s">
        <v>372</v>
      </c>
      <c r="D49" s="4">
        <v>35744.5</v>
      </c>
      <c r="E49" s="4">
        <v>7113.3087144953806</v>
      </c>
      <c r="F49" s="4">
        <f>_xll.AtlasFormulas.AtlasFunctions.AtlasBalance("PROD",DataAreaId,"T.TPPTrans_sst|InventDimId~inventDimId@T.InventDim","Sum|Qty|0","","","","","","","ItemId|TransDate|T2.InventSiteId|T2.InventLocationId",$A49,PeriodBeginning,$B49,$C49)</f>
        <v>20370</v>
      </c>
      <c r="G49" s="4">
        <f>_xll.AtlasFormulas.AtlasFunctions.AtlasBalance("PROD",DataAreaId,"T.TPPTrans_sst|InventDimId~inventDimId@T.InventDim","Sum|Qty|0","","","","","","","ItemId|TransDate|T2.InventSiteId|T2.InventLocationId",$A49,PeriodEnding,$B49,$C49)</f>
        <v>0</v>
      </c>
      <c r="H49" s="4">
        <f>AtlasReport_4_Table_1[[#This Row],[Quantity]]-AtlasReport_4_Table_1[[#This Row],[TPP trans backwards (Beginning)]]</f>
        <v>15374.5</v>
      </c>
      <c r="I49" s="4">
        <f>AtlasReport_4_Table_1[[#This Row],[Quantity]]-AtlasReport_4_Table_1[[#This Row],[TPP trans backwards (Ending)]]</f>
        <v>35744.5</v>
      </c>
      <c r="J49" s="4">
        <f>_xll.AtlasFormulas.AtlasFunctions.AtlasBalance("PROD",DataAreaId,"T.TPPTrans_sst|InventDimId~inventDimId@T.InventDim","Sum|CostAmount|0","","","","","","","ItemId|TransDate|T2.InventSiteId|T2.InventLocationId",$A49,PeriodBeginning,$B49,$C49)</f>
        <v>5011.22</v>
      </c>
      <c r="K49" s="4">
        <f>_xll.AtlasFormulas.AtlasFunctions.AtlasBalance("PROD",DataAreaId,"T.TPPTrans_sst|InventDimId~inventDimId@T.InventDim","Sum|CostAmount|0","","","","","","","ItemId|TransDate|T2.InventSiteId|T2.InventLocationId",$A49,PeriodEnding,$B49,$C49)</f>
        <v>0</v>
      </c>
      <c r="L49" s="4">
        <f>AtlasReport_4_Table_1[[#This Row],[TPP cost amount]]-AtlasReport_4_Table_1[[#This Row],[TPP trans backwards balance (Beginning)]]</f>
        <v>2102.0887144953804</v>
      </c>
      <c r="M49" s="4">
        <f>AtlasReport_4_Table_1[[#This Row],[TPP cost amount]]-AtlasReport_4_Table_1[[#This Row],[TPP trans backwards balance (Ending)]]</f>
        <v>7113.3087144953806</v>
      </c>
    </row>
    <row r="50" spans="1:13">
      <c r="A50" s="8" t="s">
        <v>214</v>
      </c>
      <c r="B50" s="8" t="s">
        <v>371</v>
      </c>
      <c r="C50" s="8" t="s">
        <v>372</v>
      </c>
      <c r="D50" s="4">
        <v>20</v>
      </c>
      <c r="E50" s="4">
        <v>22.379387350239998</v>
      </c>
      <c r="F50" s="4">
        <f>_xll.AtlasFormulas.AtlasFunctions.AtlasBalance("PROD",DataAreaId,"T.TPPTrans_sst|InventDimId~inventDimId@T.InventDim","Sum|Qty|0","","","","","","","ItemId|TransDate|T2.InventSiteId|T2.InventLocationId",$A50,PeriodBeginning,$B50,$C50)</f>
        <v>0</v>
      </c>
      <c r="G50" s="4">
        <f>_xll.AtlasFormulas.AtlasFunctions.AtlasBalance("PROD",DataAreaId,"T.TPPTrans_sst|InventDimId~inventDimId@T.InventDim","Sum|Qty|0","","","","","","","ItemId|TransDate|T2.InventSiteId|T2.InventLocationId",$A50,PeriodEnding,$B50,$C50)</f>
        <v>0</v>
      </c>
      <c r="H50" s="4">
        <f>AtlasReport_4_Table_1[[#This Row],[Quantity]]-AtlasReport_4_Table_1[[#This Row],[TPP trans backwards (Beginning)]]</f>
        <v>20</v>
      </c>
      <c r="I50" s="4">
        <f>AtlasReport_4_Table_1[[#This Row],[Quantity]]-AtlasReport_4_Table_1[[#This Row],[TPP trans backwards (Ending)]]</f>
        <v>20</v>
      </c>
      <c r="J50" s="4">
        <f>_xll.AtlasFormulas.AtlasFunctions.AtlasBalance("PROD",DataAreaId,"T.TPPTrans_sst|InventDimId~inventDimId@T.InventDim","Sum|CostAmount|0","","","","","","","ItemId|TransDate|T2.InventSiteId|T2.InventLocationId",$A50,PeriodBeginning,$B50,$C50)</f>
        <v>0</v>
      </c>
      <c r="K50" s="4">
        <f>_xll.AtlasFormulas.AtlasFunctions.AtlasBalance("PROD",DataAreaId,"T.TPPTrans_sst|InventDimId~inventDimId@T.InventDim","Sum|CostAmount|0","","","","","","","ItemId|TransDate|T2.InventSiteId|T2.InventLocationId",$A50,PeriodEnding,$B50,$C50)</f>
        <v>0</v>
      </c>
      <c r="L50" s="4">
        <f>AtlasReport_4_Table_1[[#This Row],[TPP cost amount]]-AtlasReport_4_Table_1[[#This Row],[TPP trans backwards balance (Beginning)]]</f>
        <v>22.379387350239998</v>
      </c>
      <c r="M50" s="4">
        <f>AtlasReport_4_Table_1[[#This Row],[TPP cost amount]]-AtlasReport_4_Table_1[[#This Row],[TPP trans backwards balance (Ending)]]</f>
        <v>22.379387350239998</v>
      </c>
    </row>
    <row r="51" spans="1:13">
      <c r="A51" s="8" t="s">
        <v>598</v>
      </c>
      <c r="B51" s="8" t="s">
        <v>371</v>
      </c>
      <c r="C51" s="8" t="s">
        <v>372</v>
      </c>
      <c r="D51" s="4">
        <v>38550</v>
      </c>
      <c r="E51" s="4">
        <v>18076.117236951181</v>
      </c>
      <c r="F51" s="4">
        <f>_xll.AtlasFormulas.AtlasFunctions.AtlasBalance("PROD",DataAreaId,"T.TPPTrans_sst|InventDimId~inventDimId@T.InventDim","Sum|Qty|0","","","","","","","ItemId|TransDate|T2.InventSiteId|T2.InventLocationId",$A51,PeriodBeginning,$B51,$C51)</f>
        <v>16950</v>
      </c>
      <c r="G51" s="4">
        <f>_xll.AtlasFormulas.AtlasFunctions.AtlasBalance("PROD",DataAreaId,"T.TPPTrans_sst|InventDimId~inventDimId@T.InventDim","Sum|Qty|0","","","","","","","ItemId|TransDate|T2.InventSiteId|T2.InventLocationId",$A51,PeriodEnding,$B51,$C51)</f>
        <v>0</v>
      </c>
      <c r="H51" s="4">
        <f>AtlasReport_4_Table_1[[#This Row],[Quantity]]-AtlasReport_4_Table_1[[#This Row],[TPP trans backwards (Beginning)]]</f>
        <v>21600</v>
      </c>
      <c r="I51" s="4">
        <f>AtlasReport_4_Table_1[[#This Row],[Quantity]]-AtlasReport_4_Table_1[[#This Row],[TPP trans backwards (Ending)]]</f>
        <v>38550</v>
      </c>
      <c r="J51" s="4">
        <f>_xll.AtlasFormulas.AtlasFunctions.AtlasBalance("PROD",DataAreaId,"T.TPPTrans_sst|InventDimId~inventDimId@T.InventDim","Sum|CostAmount|0","","","","","","","ItemId|TransDate|T2.InventSiteId|T2.InventLocationId",$A51,PeriodBeginning,$B51,$C51)</f>
        <v>8808.35</v>
      </c>
      <c r="K51" s="4">
        <f>_xll.AtlasFormulas.AtlasFunctions.AtlasBalance("PROD",DataAreaId,"T.TPPTrans_sst|InventDimId~inventDimId@T.InventDim","Sum|CostAmount|0","","","","","","","ItemId|TransDate|T2.InventSiteId|T2.InventLocationId",$A51,PeriodEnding,$B51,$C51)</f>
        <v>0</v>
      </c>
      <c r="L51" s="4">
        <f>AtlasReport_4_Table_1[[#This Row],[TPP cost amount]]-AtlasReport_4_Table_1[[#This Row],[TPP trans backwards balance (Beginning)]]</f>
        <v>9267.7672369511802</v>
      </c>
      <c r="M51" s="4">
        <f>AtlasReport_4_Table_1[[#This Row],[TPP cost amount]]-AtlasReport_4_Table_1[[#This Row],[TPP trans backwards balance (Ending)]]</f>
        <v>18076.117236951181</v>
      </c>
    </row>
    <row r="52" spans="1:13">
      <c r="A52" s="8" t="s">
        <v>167</v>
      </c>
      <c r="B52" s="8" t="s">
        <v>371</v>
      </c>
      <c r="C52" s="8" t="s">
        <v>372</v>
      </c>
      <c r="D52" s="4">
        <v>38325</v>
      </c>
      <c r="E52" s="4">
        <v>17337.05853329803</v>
      </c>
      <c r="F52" s="4">
        <f>_xll.AtlasFormulas.AtlasFunctions.AtlasBalance("PROD",DataAreaId,"T.TPPTrans_sst|InventDimId~inventDimId@T.InventDim","Sum|Qty|0","","","","","","","ItemId|TransDate|T2.InventSiteId|T2.InventLocationId",$A52,PeriodBeginning,$B52,$C52)</f>
        <v>38325</v>
      </c>
      <c r="G52" s="4">
        <f>_xll.AtlasFormulas.AtlasFunctions.AtlasBalance("PROD",DataAreaId,"T.TPPTrans_sst|InventDimId~inventDimId@T.InventDim","Sum|Qty|0","","","","","","","ItemId|TransDate|T2.InventSiteId|T2.InventLocationId",$A52,PeriodEnding,$B52,$C52)</f>
        <v>0</v>
      </c>
      <c r="H52" s="4">
        <f>AtlasReport_4_Table_1[[#This Row],[Quantity]]-AtlasReport_4_Table_1[[#This Row],[TPP trans backwards (Beginning)]]</f>
        <v>0</v>
      </c>
      <c r="I52" s="4">
        <f>AtlasReport_4_Table_1[[#This Row],[Quantity]]-AtlasReport_4_Table_1[[#This Row],[TPP trans backwards (Ending)]]</f>
        <v>38325</v>
      </c>
      <c r="J52" s="4">
        <f>_xll.AtlasFormulas.AtlasFunctions.AtlasBalance("PROD",DataAreaId,"T.TPPTrans_sst|InventDimId~inventDimId@T.InventDim","Sum|CostAmount|0","","","","","","","ItemId|TransDate|T2.InventSiteId|T2.InventLocationId",$A52,PeriodBeginning,$B52,$C52)</f>
        <v>17337.060000000001</v>
      </c>
      <c r="K52" s="4">
        <f>_xll.AtlasFormulas.AtlasFunctions.AtlasBalance("PROD",DataAreaId,"T.TPPTrans_sst|InventDimId~inventDimId@T.InventDim","Sum|CostAmount|0","","","","","","","ItemId|TransDate|T2.InventSiteId|T2.InventLocationId",$A52,PeriodEnding,$B52,$C52)</f>
        <v>0</v>
      </c>
      <c r="L52" s="4">
        <f>AtlasReport_4_Table_1[[#This Row],[TPP cost amount]]-AtlasReport_4_Table_1[[#This Row],[TPP trans backwards balance (Beginning)]]</f>
        <v>-1.4667019713670015E-3</v>
      </c>
      <c r="M52" s="4">
        <f>AtlasReport_4_Table_1[[#This Row],[TPP cost amount]]-AtlasReport_4_Table_1[[#This Row],[TPP trans backwards balance (Ending)]]</f>
        <v>17337.05853329803</v>
      </c>
    </row>
    <row r="53" spans="1:13">
      <c r="A53" s="8" t="s">
        <v>167</v>
      </c>
      <c r="B53" s="8" t="s">
        <v>371</v>
      </c>
      <c r="C53" s="8" t="s">
        <v>748</v>
      </c>
      <c r="D53" s="4">
        <v>675</v>
      </c>
      <c r="E53" s="4">
        <v>0</v>
      </c>
      <c r="F53" s="4">
        <f>_xll.AtlasFormulas.AtlasFunctions.AtlasBalance("PROD",DataAreaId,"T.TPPTrans_sst|InventDimId~inventDimId@T.InventDim","Sum|Qty|0","","","","","","","ItemId|TransDate|T2.InventSiteId|T2.InventLocationId",$A53,PeriodBeginning,$B53,$C53)</f>
        <v>0</v>
      </c>
      <c r="G53" s="4">
        <f>_xll.AtlasFormulas.AtlasFunctions.AtlasBalance("PROD",DataAreaId,"T.TPPTrans_sst|InventDimId~inventDimId@T.InventDim","Sum|Qty|0","","","","","","","ItemId|TransDate|T2.InventSiteId|T2.InventLocationId",$A53,PeriodEnding,$B53,$C53)</f>
        <v>0</v>
      </c>
      <c r="H53" s="4">
        <f>AtlasReport_4_Table_1[[#This Row],[Quantity]]-AtlasReport_4_Table_1[[#This Row],[TPP trans backwards (Beginning)]]</f>
        <v>675</v>
      </c>
      <c r="I53" s="4">
        <f>AtlasReport_4_Table_1[[#This Row],[Quantity]]-AtlasReport_4_Table_1[[#This Row],[TPP trans backwards (Ending)]]</f>
        <v>675</v>
      </c>
      <c r="J53" s="4">
        <f>_xll.AtlasFormulas.AtlasFunctions.AtlasBalance("PROD",DataAreaId,"T.TPPTrans_sst|InventDimId~inventDimId@T.InventDim","Sum|CostAmount|0","","","","","","","ItemId|TransDate|T2.InventSiteId|T2.InventLocationId",$A53,PeriodBeginning,$B53,$C53)</f>
        <v>0</v>
      </c>
      <c r="K53" s="4">
        <f>_xll.AtlasFormulas.AtlasFunctions.AtlasBalance("PROD",DataAreaId,"T.TPPTrans_sst|InventDimId~inventDimId@T.InventDim","Sum|CostAmount|0","","","","","","","ItemId|TransDate|T2.InventSiteId|T2.InventLocationId",$A53,PeriodEnding,$B53,$C53)</f>
        <v>0</v>
      </c>
      <c r="L53" s="4">
        <f>AtlasReport_4_Table_1[[#This Row],[TPP cost amount]]-AtlasReport_4_Table_1[[#This Row],[TPP trans backwards balance (Beginning)]]</f>
        <v>0</v>
      </c>
      <c r="M53" s="4">
        <f>AtlasReport_4_Table_1[[#This Row],[TPP cost amount]]-AtlasReport_4_Table_1[[#This Row],[TPP trans backwards balance (Ending)]]</f>
        <v>0</v>
      </c>
    </row>
    <row r="54" spans="1:13">
      <c r="A54" s="8" t="s">
        <v>599</v>
      </c>
      <c r="B54" s="8" t="s">
        <v>371</v>
      </c>
      <c r="C54" s="8" t="s">
        <v>372</v>
      </c>
      <c r="D54" s="4">
        <v>16800</v>
      </c>
      <c r="E54" s="4">
        <v>14596.521670603979</v>
      </c>
      <c r="F54" s="4">
        <f>_xll.AtlasFormulas.AtlasFunctions.AtlasBalance("PROD",DataAreaId,"T.TPPTrans_sst|InventDimId~inventDimId@T.InventDim","Sum|Qty|0","","","","","","","ItemId|TransDate|T2.InventSiteId|T2.InventLocationId",$A54,PeriodBeginning,$B54,$C54)</f>
        <v>-450</v>
      </c>
      <c r="G54" s="4">
        <f>_xll.AtlasFormulas.AtlasFunctions.AtlasBalance("PROD",DataAreaId,"T.TPPTrans_sst|InventDimId~inventDimId@T.InventDim","Sum|Qty|0","","","","","","","ItemId|TransDate|T2.InventSiteId|T2.InventLocationId",$A54,PeriodEnding,$B54,$C54)</f>
        <v>0</v>
      </c>
      <c r="H54" s="4">
        <f>AtlasReport_4_Table_1[[#This Row],[Quantity]]-AtlasReport_4_Table_1[[#This Row],[TPP trans backwards (Beginning)]]</f>
        <v>17250</v>
      </c>
      <c r="I54" s="4">
        <f>AtlasReport_4_Table_1[[#This Row],[Quantity]]-AtlasReport_4_Table_1[[#This Row],[TPP trans backwards (Ending)]]</f>
        <v>16800</v>
      </c>
      <c r="J54" s="4">
        <f>_xll.AtlasFormulas.AtlasFunctions.AtlasBalance("PROD",DataAreaId,"T.TPPTrans_sst|InventDimId~inventDimId@T.InventDim","Sum|CostAmount|0","","","","","","","ItemId|TransDate|T2.InventSiteId|T2.InventLocationId",$A54,PeriodBeginning,$B54,$C54)</f>
        <v>5772.37</v>
      </c>
      <c r="K54" s="4">
        <f>_xll.AtlasFormulas.AtlasFunctions.AtlasBalance("PROD",DataAreaId,"T.TPPTrans_sst|InventDimId~inventDimId@T.InventDim","Sum|CostAmount|0","","","","","","","ItemId|TransDate|T2.InventSiteId|T2.InventLocationId",$A54,PeriodEnding,$B54,$C54)</f>
        <v>0</v>
      </c>
      <c r="L54" s="4">
        <f>AtlasReport_4_Table_1[[#This Row],[TPP cost amount]]-AtlasReport_4_Table_1[[#This Row],[TPP trans backwards balance (Beginning)]]</f>
        <v>8824.1516706039802</v>
      </c>
      <c r="M54" s="4">
        <f>AtlasReport_4_Table_1[[#This Row],[TPP cost amount]]-AtlasReport_4_Table_1[[#This Row],[TPP trans backwards balance (Ending)]]</f>
        <v>14596.521670603979</v>
      </c>
    </row>
    <row r="55" spans="1:13">
      <c r="A55" s="8" t="s">
        <v>599</v>
      </c>
      <c r="B55" s="8" t="s">
        <v>371</v>
      </c>
      <c r="C55" s="8" t="s">
        <v>748</v>
      </c>
      <c r="D55" s="4">
        <v>6075</v>
      </c>
      <c r="E55" s="4">
        <v>0</v>
      </c>
      <c r="F55" s="4">
        <f>_xll.AtlasFormulas.AtlasFunctions.AtlasBalance("PROD",DataAreaId,"T.TPPTrans_sst|InventDimId~inventDimId@T.InventDim","Sum|Qty|0","","","","","","","ItemId|TransDate|T2.InventSiteId|T2.InventLocationId",$A55,PeriodBeginning,$B55,$C55)</f>
        <v>0</v>
      </c>
      <c r="G55" s="4">
        <f>_xll.AtlasFormulas.AtlasFunctions.AtlasBalance("PROD",DataAreaId,"T.TPPTrans_sst|InventDimId~inventDimId@T.InventDim","Sum|Qty|0","","","","","","","ItemId|TransDate|T2.InventSiteId|T2.InventLocationId",$A55,PeriodEnding,$B55,$C55)</f>
        <v>0</v>
      </c>
      <c r="H55" s="4">
        <f>AtlasReport_4_Table_1[[#This Row],[Quantity]]-AtlasReport_4_Table_1[[#This Row],[TPP trans backwards (Beginning)]]</f>
        <v>6075</v>
      </c>
      <c r="I55" s="4">
        <f>AtlasReport_4_Table_1[[#This Row],[Quantity]]-AtlasReport_4_Table_1[[#This Row],[TPP trans backwards (Ending)]]</f>
        <v>6075</v>
      </c>
      <c r="J55" s="4">
        <f>_xll.AtlasFormulas.AtlasFunctions.AtlasBalance("PROD",DataAreaId,"T.TPPTrans_sst|InventDimId~inventDimId@T.InventDim","Sum|CostAmount|0","","","","","","","ItemId|TransDate|T2.InventSiteId|T2.InventLocationId",$A55,PeriodBeginning,$B55,$C55)</f>
        <v>0</v>
      </c>
      <c r="K55" s="4">
        <f>_xll.AtlasFormulas.AtlasFunctions.AtlasBalance("PROD",DataAreaId,"T.TPPTrans_sst|InventDimId~inventDimId@T.InventDim","Sum|CostAmount|0","","","","","","","ItemId|TransDate|T2.InventSiteId|T2.InventLocationId",$A55,PeriodEnding,$B55,$C55)</f>
        <v>0</v>
      </c>
      <c r="L55" s="4">
        <f>AtlasReport_4_Table_1[[#This Row],[TPP cost amount]]-AtlasReport_4_Table_1[[#This Row],[TPP trans backwards balance (Beginning)]]</f>
        <v>0</v>
      </c>
      <c r="M55" s="4">
        <f>AtlasReport_4_Table_1[[#This Row],[TPP cost amount]]-AtlasReport_4_Table_1[[#This Row],[TPP trans backwards balance (Ending)]]</f>
        <v>0</v>
      </c>
    </row>
    <row r="56" spans="1:13">
      <c r="A56" s="8" t="s">
        <v>16</v>
      </c>
      <c r="B56" s="8" t="s">
        <v>371</v>
      </c>
      <c r="C56" s="8" t="s">
        <v>372</v>
      </c>
      <c r="D56" s="4">
        <v>53040</v>
      </c>
      <c r="E56" s="4">
        <v>21490.970409083729</v>
      </c>
      <c r="F56" s="4">
        <f>_xll.AtlasFormulas.AtlasFunctions.AtlasBalance("PROD",DataAreaId,"T.TPPTrans_sst|InventDimId~inventDimId@T.InventDim","Sum|Qty|0","","","","","","","ItemId|TransDate|T2.InventSiteId|T2.InventLocationId",$A56,PeriodBeginning,$B56,$C56)</f>
        <v>25350</v>
      </c>
      <c r="G56" s="4">
        <f>_xll.AtlasFormulas.AtlasFunctions.AtlasBalance("PROD",DataAreaId,"T.TPPTrans_sst|InventDimId~inventDimId@T.InventDim","Sum|Qty|0","","","","","","","ItemId|TransDate|T2.InventSiteId|T2.InventLocationId",$A56,PeriodEnding,$B56,$C56)</f>
        <v>0</v>
      </c>
      <c r="H56" s="4">
        <f>AtlasReport_4_Table_1[[#This Row],[Quantity]]-AtlasReport_4_Table_1[[#This Row],[TPP trans backwards (Beginning)]]</f>
        <v>27690</v>
      </c>
      <c r="I56" s="4">
        <f>AtlasReport_4_Table_1[[#This Row],[Quantity]]-AtlasReport_4_Table_1[[#This Row],[TPP trans backwards (Ending)]]</f>
        <v>53040</v>
      </c>
      <c r="J56" s="4">
        <f>_xll.AtlasFormulas.AtlasFunctions.AtlasBalance("PROD",DataAreaId,"T.TPPTrans_sst|InventDimId~inventDimId@T.InventDim","Sum|CostAmount|0","","","","","","","ItemId|TransDate|T2.InventSiteId|T2.InventLocationId",$A56,PeriodBeginning,$B56,$C56)</f>
        <v>10723.81</v>
      </c>
      <c r="K56" s="4">
        <f>_xll.AtlasFormulas.AtlasFunctions.AtlasBalance("PROD",DataAreaId,"T.TPPTrans_sst|InventDimId~inventDimId@T.InventDim","Sum|CostAmount|0","","","","","","","ItemId|TransDate|T2.InventSiteId|T2.InventLocationId",$A56,PeriodEnding,$B56,$C56)</f>
        <v>0</v>
      </c>
      <c r="L56" s="4">
        <f>AtlasReport_4_Table_1[[#This Row],[TPP cost amount]]-AtlasReport_4_Table_1[[#This Row],[TPP trans backwards balance (Beginning)]]</f>
        <v>10767.16040908373</v>
      </c>
      <c r="M56" s="4">
        <f>AtlasReport_4_Table_1[[#This Row],[TPP cost amount]]-AtlasReport_4_Table_1[[#This Row],[TPP trans backwards balance (Ending)]]</f>
        <v>21490.970409083729</v>
      </c>
    </row>
    <row r="57" spans="1:13">
      <c r="A57" s="8" t="s">
        <v>338</v>
      </c>
      <c r="B57" s="8" t="s">
        <v>371</v>
      </c>
      <c r="C57" s="8" t="s">
        <v>372</v>
      </c>
      <c r="D57" s="4">
        <v>44070</v>
      </c>
      <c r="E57" s="4">
        <v>18216.746056933101</v>
      </c>
      <c r="F57" s="4">
        <f>_xll.AtlasFormulas.AtlasFunctions.AtlasBalance("PROD",DataAreaId,"T.TPPTrans_sst|InventDimId~inventDimId@T.InventDim","Sum|Qty|0","","","","","","","ItemId|TransDate|T2.InventSiteId|T2.InventLocationId",$A57,PeriodBeginning,$B57,$C57)</f>
        <v>37440</v>
      </c>
      <c r="G57" s="4">
        <f>_xll.AtlasFormulas.AtlasFunctions.AtlasBalance("PROD",DataAreaId,"T.TPPTrans_sst|InventDimId~inventDimId@T.InventDim","Sum|Qty|0","","","","","","","ItemId|TransDate|T2.InventSiteId|T2.InventLocationId",$A57,PeriodEnding,$B57,$C57)</f>
        <v>0</v>
      </c>
      <c r="H57" s="4">
        <f>AtlasReport_4_Table_1[[#This Row],[Quantity]]-AtlasReport_4_Table_1[[#This Row],[TPP trans backwards (Beginning)]]</f>
        <v>6630</v>
      </c>
      <c r="I57" s="4">
        <f>AtlasReport_4_Table_1[[#This Row],[Quantity]]-AtlasReport_4_Table_1[[#This Row],[TPP trans backwards (Ending)]]</f>
        <v>44070</v>
      </c>
      <c r="J57" s="4">
        <f>_xll.AtlasFormulas.AtlasFunctions.AtlasBalance("PROD",DataAreaId,"T.TPPTrans_sst|InventDimId~inventDimId@T.InventDim","Sum|CostAmount|0","","","","","","","ItemId|TransDate|T2.InventSiteId|T2.InventLocationId",$A57,PeriodBeginning,$B57,$C57)</f>
        <v>16763.16</v>
      </c>
      <c r="K57" s="4">
        <f>_xll.AtlasFormulas.AtlasFunctions.AtlasBalance("PROD",DataAreaId,"T.TPPTrans_sst|InventDimId~inventDimId@T.InventDim","Sum|CostAmount|0","","","","","","","ItemId|TransDate|T2.InventSiteId|T2.InventLocationId",$A57,PeriodEnding,$B57,$C57)</f>
        <v>0</v>
      </c>
      <c r="L57" s="4">
        <f>AtlasReport_4_Table_1[[#This Row],[TPP cost amount]]-AtlasReport_4_Table_1[[#This Row],[TPP trans backwards balance (Beginning)]]</f>
        <v>1453.5860569331016</v>
      </c>
      <c r="M57" s="4">
        <f>AtlasReport_4_Table_1[[#This Row],[TPP cost amount]]-AtlasReport_4_Table_1[[#This Row],[TPP trans backwards balance (Ending)]]</f>
        <v>18216.746056933101</v>
      </c>
    </row>
    <row r="58" spans="1:13">
      <c r="A58" s="8" t="s">
        <v>338</v>
      </c>
      <c r="B58" s="8" t="s">
        <v>371</v>
      </c>
      <c r="C58" s="8" t="s">
        <v>748</v>
      </c>
      <c r="D58" s="4">
        <v>7215</v>
      </c>
      <c r="E58" s="4">
        <v>0</v>
      </c>
      <c r="F58" s="4">
        <f>_xll.AtlasFormulas.AtlasFunctions.AtlasBalance("PROD",DataAreaId,"T.TPPTrans_sst|InventDimId~inventDimId@T.InventDim","Sum|Qty|0","","","","","","","ItemId|TransDate|T2.InventSiteId|T2.InventLocationId",$A58,PeriodBeginning,$B58,$C58)</f>
        <v>0</v>
      </c>
      <c r="G58" s="4">
        <f>_xll.AtlasFormulas.AtlasFunctions.AtlasBalance("PROD",DataAreaId,"T.TPPTrans_sst|InventDimId~inventDimId@T.InventDim","Sum|Qty|0","","","","","","","ItemId|TransDate|T2.InventSiteId|T2.InventLocationId",$A58,PeriodEnding,$B58,$C58)</f>
        <v>0</v>
      </c>
      <c r="H58" s="4">
        <f>AtlasReport_4_Table_1[[#This Row],[Quantity]]-AtlasReport_4_Table_1[[#This Row],[TPP trans backwards (Beginning)]]</f>
        <v>7215</v>
      </c>
      <c r="I58" s="4">
        <f>AtlasReport_4_Table_1[[#This Row],[Quantity]]-AtlasReport_4_Table_1[[#This Row],[TPP trans backwards (Ending)]]</f>
        <v>7215</v>
      </c>
      <c r="J58" s="4">
        <f>_xll.AtlasFormulas.AtlasFunctions.AtlasBalance("PROD",DataAreaId,"T.TPPTrans_sst|InventDimId~inventDimId@T.InventDim","Sum|CostAmount|0","","","","","","","ItemId|TransDate|T2.InventSiteId|T2.InventLocationId",$A58,PeriodBeginning,$B58,$C58)</f>
        <v>0</v>
      </c>
      <c r="K58" s="4">
        <f>_xll.AtlasFormulas.AtlasFunctions.AtlasBalance("PROD",DataAreaId,"T.TPPTrans_sst|InventDimId~inventDimId@T.InventDim","Sum|CostAmount|0","","","","","","","ItemId|TransDate|T2.InventSiteId|T2.InventLocationId",$A58,PeriodEnding,$B58,$C58)</f>
        <v>0</v>
      </c>
      <c r="L58" s="4">
        <f>AtlasReport_4_Table_1[[#This Row],[TPP cost amount]]-AtlasReport_4_Table_1[[#This Row],[TPP trans backwards balance (Beginning)]]</f>
        <v>0</v>
      </c>
      <c r="M58" s="4">
        <f>AtlasReport_4_Table_1[[#This Row],[TPP cost amount]]-AtlasReport_4_Table_1[[#This Row],[TPP trans backwards balance (Ending)]]</f>
        <v>0</v>
      </c>
    </row>
    <row r="59" spans="1:13">
      <c r="A59" s="8" t="s">
        <v>602</v>
      </c>
      <c r="B59" s="8" t="s">
        <v>371</v>
      </c>
      <c r="C59" s="8" t="s">
        <v>372</v>
      </c>
      <c r="D59" s="4">
        <v>15990</v>
      </c>
      <c r="E59" s="4">
        <v>8679.56220498722</v>
      </c>
      <c r="F59" s="4">
        <f>_xll.AtlasFormulas.AtlasFunctions.AtlasBalance("PROD",DataAreaId,"T.TPPTrans_sst|InventDimId~inventDimId@T.InventDim","Sum|Qty|0","","","","","","","ItemId|TransDate|T2.InventSiteId|T2.InventLocationId",$A59,PeriodBeginning,$B59,$C59)</f>
        <v>7800</v>
      </c>
      <c r="G59" s="4">
        <f>_xll.AtlasFormulas.AtlasFunctions.AtlasBalance("PROD",DataAreaId,"T.TPPTrans_sst|InventDimId~inventDimId@T.InventDim","Sum|Qty|0","","","","","","","ItemId|TransDate|T2.InventSiteId|T2.InventLocationId",$A59,PeriodEnding,$B59,$C59)</f>
        <v>0</v>
      </c>
      <c r="H59" s="4">
        <f>AtlasReport_4_Table_1[[#This Row],[Quantity]]-AtlasReport_4_Table_1[[#This Row],[TPP trans backwards (Beginning)]]</f>
        <v>8190</v>
      </c>
      <c r="I59" s="4">
        <f>AtlasReport_4_Table_1[[#This Row],[Quantity]]-AtlasReport_4_Table_1[[#This Row],[TPP trans backwards (Ending)]]</f>
        <v>15990</v>
      </c>
      <c r="J59" s="4">
        <f>_xll.AtlasFormulas.AtlasFunctions.AtlasBalance("PROD",DataAreaId,"T.TPPTrans_sst|InventDimId~inventDimId@T.InventDim","Sum|CostAmount|0","","","","","","","ItemId|TransDate|T2.InventSiteId|T2.InventLocationId",$A59,PeriodBeginning,$B59,$C59)</f>
        <v>4306.3</v>
      </c>
      <c r="K59" s="4">
        <f>_xll.AtlasFormulas.AtlasFunctions.AtlasBalance("PROD",DataAreaId,"T.TPPTrans_sst|InventDimId~inventDimId@T.InventDim","Sum|CostAmount|0","","","","","","","ItemId|TransDate|T2.InventSiteId|T2.InventLocationId",$A59,PeriodEnding,$B59,$C59)</f>
        <v>0</v>
      </c>
      <c r="L59" s="4">
        <f>AtlasReport_4_Table_1[[#This Row],[TPP cost amount]]-AtlasReport_4_Table_1[[#This Row],[TPP trans backwards balance (Beginning)]]</f>
        <v>4373.2622049872198</v>
      </c>
      <c r="M59" s="4">
        <f>AtlasReport_4_Table_1[[#This Row],[TPP cost amount]]-AtlasReport_4_Table_1[[#This Row],[TPP trans backwards balance (Ending)]]</f>
        <v>8679.56220498722</v>
      </c>
    </row>
    <row r="60" spans="1:13">
      <c r="A60" s="8" t="s">
        <v>604</v>
      </c>
      <c r="B60" s="8" t="s">
        <v>371</v>
      </c>
      <c r="C60" s="8" t="s">
        <v>372</v>
      </c>
      <c r="D60" s="4">
        <v>8775</v>
      </c>
      <c r="E60" s="4">
        <v>3146.4827537739297</v>
      </c>
      <c r="F60" s="4">
        <f>_xll.AtlasFormulas.AtlasFunctions.AtlasBalance("PROD",DataAreaId,"T.TPPTrans_sst|InventDimId~inventDimId@T.InventDim","Sum|Qty|0","","","","","","","ItemId|TransDate|T2.InventSiteId|T2.InventLocationId",$A60,PeriodBeginning,$B60,$C60)</f>
        <v>0</v>
      </c>
      <c r="G60" s="4">
        <f>_xll.AtlasFormulas.AtlasFunctions.AtlasBalance("PROD",DataAreaId,"T.TPPTrans_sst|InventDimId~inventDimId@T.InventDim","Sum|Qty|0","","","","","","","ItemId|TransDate|T2.InventSiteId|T2.InventLocationId",$A60,PeriodEnding,$B60,$C60)</f>
        <v>0</v>
      </c>
      <c r="H60" s="4">
        <f>AtlasReport_4_Table_1[[#This Row],[Quantity]]-AtlasReport_4_Table_1[[#This Row],[TPP trans backwards (Beginning)]]</f>
        <v>8775</v>
      </c>
      <c r="I60" s="4">
        <f>AtlasReport_4_Table_1[[#This Row],[Quantity]]-AtlasReport_4_Table_1[[#This Row],[TPP trans backwards (Ending)]]</f>
        <v>8775</v>
      </c>
      <c r="J60" s="4">
        <f>_xll.AtlasFormulas.AtlasFunctions.AtlasBalance("PROD",DataAreaId,"T.TPPTrans_sst|InventDimId~inventDimId@T.InventDim","Sum|CostAmount|0","","","","","","","ItemId|TransDate|T2.InventSiteId|T2.InventLocationId",$A60,PeriodBeginning,$B60,$C60)</f>
        <v>0</v>
      </c>
      <c r="K60" s="4">
        <f>_xll.AtlasFormulas.AtlasFunctions.AtlasBalance("PROD",DataAreaId,"T.TPPTrans_sst|InventDimId~inventDimId@T.InventDim","Sum|CostAmount|0","","","","","","","ItemId|TransDate|T2.InventSiteId|T2.InventLocationId",$A60,PeriodEnding,$B60,$C60)</f>
        <v>0</v>
      </c>
      <c r="L60" s="4">
        <f>AtlasReport_4_Table_1[[#This Row],[TPP cost amount]]-AtlasReport_4_Table_1[[#This Row],[TPP trans backwards balance (Beginning)]]</f>
        <v>3146.4827537739297</v>
      </c>
      <c r="M60" s="4">
        <f>AtlasReport_4_Table_1[[#This Row],[TPP cost amount]]-AtlasReport_4_Table_1[[#This Row],[TPP trans backwards balance (Ending)]]</f>
        <v>3146.4827537739297</v>
      </c>
    </row>
    <row r="61" spans="1:13">
      <c r="A61" s="8" t="s">
        <v>126</v>
      </c>
      <c r="B61" s="8" t="s">
        <v>371</v>
      </c>
      <c r="C61" s="8" t="s">
        <v>372</v>
      </c>
      <c r="D61" s="4">
        <v>403.74</v>
      </c>
      <c r="E61" s="4">
        <v>409.44335139528602</v>
      </c>
      <c r="F61" s="4">
        <f>_xll.AtlasFormulas.AtlasFunctions.AtlasBalance("PROD",DataAreaId,"T.TPPTrans_sst|InventDimId~inventDimId@T.InventDim","Sum|Qty|0","","","","","","","ItemId|TransDate|T2.InventSiteId|T2.InventLocationId",$A61,PeriodBeginning,$B61,$C61)</f>
        <v>0</v>
      </c>
      <c r="G61" s="4">
        <f>_xll.AtlasFormulas.AtlasFunctions.AtlasBalance("PROD",DataAreaId,"T.TPPTrans_sst|InventDimId~inventDimId@T.InventDim","Sum|Qty|0","","","","","","","ItemId|TransDate|T2.InventSiteId|T2.InventLocationId",$A61,PeriodEnding,$B61,$C61)</f>
        <v>0</v>
      </c>
      <c r="H61" s="4">
        <f>AtlasReport_4_Table_1[[#This Row],[Quantity]]-AtlasReport_4_Table_1[[#This Row],[TPP trans backwards (Beginning)]]</f>
        <v>403.74</v>
      </c>
      <c r="I61" s="4">
        <f>AtlasReport_4_Table_1[[#This Row],[Quantity]]-AtlasReport_4_Table_1[[#This Row],[TPP trans backwards (Ending)]]</f>
        <v>403.74</v>
      </c>
      <c r="J61" s="4">
        <f>_xll.AtlasFormulas.AtlasFunctions.AtlasBalance("PROD",DataAreaId,"T.TPPTrans_sst|InventDimId~inventDimId@T.InventDim","Sum|CostAmount|0","","","","","","","ItemId|TransDate|T2.InventSiteId|T2.InventLocationId",$A61,PeriodBeginning,$B61,$C61)</f>
        <v>0</v>
      </c>
      <c r="K61" s="4">
        <f>_xll.AtlasFormulas.AtlasFunctions.AtlasBalance("PROD",DataAreaId,"T.TPPTrans_sst|InventDimId~inventDimId@T.InventDim","Sum|CostAmount|0","","","","","","","ItemId|TransDate|T2.InventSiteId|T2.InventLocationId",$A61,PeriodEnding,$B61,$C61)</f>
        <v>0</v>
      </c>
      <c r="L61" s="4">
        <f>AtlasReport_4_Table_1[[#This Row],[TPP cost amount]]-AtlasReport_4_Table_1[[#This Row],[TPP trans backwards balance (Beginning)]]</f>
        <v>409.44335139528602</v>
      </c>
      <c r="M61" s="4">
        <f>AtlasReport_4_Table_1[[#This Row],[TPP cost amount]]-AtlasReport_4_Table_1[[#This Row],[TPP trans backwards balance (Ending)]]</f>
        <v>409.44335139528602</v>
      </c>
    </row>
    <row r="62" spans="1:13">
      <c r="A62" s="8" t="s">
        <v>356</v>
      </c>
      <c r="B62" s="8" t="s">
        <v>371</v>
      </c>
      <c r="C62" s="8" t="s">
        <v>372</v>
      </c>
      <c r="D62" s="4">
        <v>100.5</v>
      </c>
      <c r="E62" s="4">
        <v>0</v>
      </c>
      <c r="F62" s="4">
        <f>_xll.AtlasFormulas.AtlasFunctions.AtlasBalance("PROD",DataAreaId,"T.TPPTrans_sst|InventDimId~inventDimId@T.InventDim","Sum|Qty|0","","","","","","","ItemId|TransDate|T2.InventSiteId|T2.InventLocationId",$A62,PeriodBeginning,$B62,$C62)</f>
        <v>0</v>
      </c>
      <c r="G62" s="4">
        <f>_xll.AtlasFormulas.AtlasFunctions.AtlasBalance("PROD",DataAreaId,"T.TPPTrans_sst|InventDimId~inventDimId@T.InventDim","Sum|Qty|0","","","","","","","ItemId|TransDate|T2.InventSiteId|T2.InventLocationId",$A62,PeriodEnding,$B62,$C62)</f>
        <v>0</v>
      </c>
      <c r="H62" s="4">
        <f>AtlasReport_4_Table_1[[#This Row],[Quantity]]-AtlasReport_4_Table_1[[#This Row],[TPP trans backwards (Beginning)]]</f>
        <v>100.5</v>
      </c>
      <c r="I62" s="4">
        <f>AtlasReport_4_Table_1[[#This Row],[Quantity]]-AtlasReport_4_Table_1[[#This Row],[TPP trans backwards (Ending)]]</f>
        <v>100.5</v>
      </c>
      <c r="J62" s="4">
        <f>_xll.AtlasFormulas.AtlasFunctions.AtlasBalance("PROD",DataAreaId,"T.TPPTrans_sst|InventDimId~inventDimId@T.InventDim","Sum|CostAmount|0","","","","","","","ItemId|TransDate|T2.InventSiteId|T2.InventLocationId",$A62,PeriodBeginning,$B62,$C62)</f>
        <v>0</v>
      </c>
      <c r="K62" s="4">
        <f>_xll.AtlasFormulas.AtlasFunctions.AtlasBalance("PROD",DataAreaId,"T.TPPTrans_sst|InventDimId~inventDimId@T.InventDim","Sum|CostAmount|0","","","","","","","ItemId|TransDate|T2.InventSiteId|T2.InventLocationId",$A62,PeriodEnding,$B62,$C62)</f>
        <v>0</v>
      </c>
      <c r="L62" s="4">
        <f>AtlasReport_4_Table_1[[#This Row],[TPP cost amount]]-AtlasReport_4_Table_1[[#This Row],[TPP trans backwards balance (Beginning)]]</f>
        <v>0</v>
      </c>
      <c r="M62" s="4">
        <f>AtlasReport_4_Table_1[[#This Row],[TPP cost amount]]-AtlasReport_4_Table_1[[#This Row],[TPP trans backwards balance (Ending)]]</f>
        <v>0</v>
      </c>
    </row>
    <row r="63" spans="1:13">
      <c r="A63" s="8" t="s">
        <v>345</v>
      </c>
      <c r="B63" s="8" t="s">
        <v>371</v>
      </c>
      <c r="C63" s="8" t="s">
        <v>372</v>
      </c>
      <c r="D63" s="4">
        <v>100.5</v>
      </c>
      <c r="E63" s="4">
        <v>124.146648604714</v>
      </c>
      <c r="F63" s="4">
        <f>_xll.AtlasFormulas.AtlasFunctions.AtlasBalance("PROD",DataAreaId,"T.TPPTrans_sst|InventDimId~inventDimId@T.InventDim","Sum|Qty|0","","","","","","","ItemId|TransDate|T2.InventSiteId|T2.InventLocationId",$A63,PeriodBeginning,$B63,$C63)</f>
        <v>0</v>
      </c>
      <c r="G63" s="4">
        <f>_xll.AtlasFormulas.AtlasFunctions.AtlasBalance("PROD",DataAreaId,"T.TPPTrans_sst|InventDimId~inventDimId@T.InventDim","Sum|Qty|0","","","","","","","ItemId|TransDate|T2.InventSiteId|T2.InventLocationId",$A63,PeriodEnding,$B63,$C63)</f>
        <v>0</v>
      </c>
      <c r="H63" s="4">
        <f>AtlasReport_4_Table_1[[#This Row],[Quantity]]-AtlasReport_4_Table_1[[#This Row],[TPP trans backwards (Beginning)]]</f>
        <v>100.5</v>
      </c>
      <c r="I63" s="4">
        <f>AtlasReport_4_Table_1[[#This Row],[Quantity]]-AtlasReport_4_Table_1[[#This Row],[TPP trans backwards (Ending)]]</f>
        <v>100.5</v>
      </c>
      <c r="J63" s="4">
        <f>_xll.AtlasFormulas.AtlasFunctions.AtlasBalance("PROD",DataAreaId,"T.TPPTrans_sst|InventDimId~inventDimId@T.InventDim","Sum|CostAmount|0","","","","","","","ItemId|TransDate|T2.InventSiteId|T2.InventLocationId",$A63,PeriodBeginning,$B63,$C63)</f>
        <v>0</v>
      </c>
      <c r="K63" s="4">
        <f>_xll.AtlasFormulas.AtlasFunctions.AtlasBalance("PROD",DataAreaId,"T.TPPTrans_sst|InventDimId~inventDimId@T.InventDim","Sum|CostAmount|0","","","","","","","ItemId|TransDate|T2.InventSiteId|T2.InventLocationId",$A63,PeriodEnding,$B63,$C63)</f>
        <v>0</v>
      </c>
      <c r="L63" s="4">
        <f>AtlasReport_4_Table_1[[#This Row],[TPP cost amount]]-AtlasReport_4_Table_1[[#This Row],[TPP trans backwards balance (Beginning)]]</f>
        <v>124.146648604714</v>
      </c>
      <c r="M63" s="4">
        <f>AtlasReport_4_Table_1[[#This Row],[TPP cost amount]]-AtlasReport_4_Table_1[[#This Row],[TPP trans backwards balance (Ending)]]</f>
        <v>124.146648604714</v>
      </c>
    </row>
    <row r="64" spans="1:13">
      <c r="A64" s="8" t="s">
        <v>64</v>
      </c>
      <c r="B64" s="8" t="s">
        <v>371</v>
      </c>
      <c r="C64" s="8" t="s">
        <v>372</v>
      </c>
      <c r="D64" s="4">
        <v>100</v>
      </c>
      <c r="E64" s="4">
        <v>71.166900066645994</v>
      </c>
      <c r="F64" s="4">
        <f>_xll.AtlasFormulas.AtlasFunctions.AtlasBalance("PROD",DataAreaId,"T.TPPTrans_sst|InventDimId~inventDimId@T.InventDim","Sum|Qty|0","","","","","","","ItemId|TransDate|T2.InventSiteId|T2.InventLocationId",$A64,PeriodBeginning,$B64,$C64)</f>
        <v>0</v>
      </c>
      <c r="G64" s="4">
        <f>_xll.AtlasFormulas.AtlasFunctions.AtlasBalance("PROD",DataAreaId,"T.TPPTrans_sst|InventDimId~inventDimId@T.InventDim","Sum|Qty|0","","","","","","","ItemId|TransDate|T2.InventSiteId|T2.InventLocationId",$A64,PeriodEnding,$B64,$C64)</f>
        <v>0</v>
      </c>
      <c r="H64" s="4">
        <f>AtlasReport_4_Table_1[[#This Row],[Quantity]]-AtlasReport_4_Table_1[[#This Row],[TPP trans backwards (Beginning)]]</f>
        <v>100</v>
      </c>
      <c r="I64" s="4">
        <f>AtlasReport_4_Table_1[[#This Row],[Quantity]]-AtlasReport_4_Table_1[[#This Row],[TPP trans backwards (Ending)]]</f>
        <v>100</v>
      </c>
      <c r="J64" s="4">
        <f>_xll.AtlasFormulas.AtlasFunctions.AtlasBalance("PROD",DataAreaId,"T.TPPTrans_sst|InventDimId~inventDimId@T.InventDim","Sum|CostAmount|0","","","","","","","ItemId|TransDate|T2.InventSiteId|T2.InventLocationId",$A64,PeriodBeginning,$B64,$C64)</f>
        <v>0</v>
      </c>
      <c r="K64" s="4">
        <f>_xll.AtlasFormulas.AtlasFunctions.AtlasBalance("PROD",DataAreaId,"T.TPPTrans_sst|InventDimId~inventDimId@T.InventDim","Sum|CostAmount|0","","","","","","","ItemId|TransDate|T2.InventSiteId|T2.InventLocationId",$A64,PeriodEnding,$B64,$C64)</f>
        <v>0</v>
      </c>
      <c r="L64" s="4">
        <f>AtlasReport_4_Table_1[[#This Row],[TPP cost amount]]-AtlasReport_4_Table_1[[#This Row],[TPP trans backwards balance (Beginning)]]</f>
        <v>71.166900066645994</v>
      </c>
      <c r="M64" s="4">
        <f>AtlasReport_4_Table_1[[#This Row],[TPP cost amount]]-AtlasReport_4_Table_1[[#This Row],[TPP trans backwards balance (Ending)]]</f>
        <v>71.166900066645994</v>
      </c>
    </row>
    <row r="65" spans="1:13">
      <c r="A65" s="8" t="s">
        <v>90</v>
      </c>
      <c r="B65" s="8" t="s">
        <v>371</v>
      </c>
      <c r="C65" s="8" t="s">
        <v>372</v>
      </c>
      <c r="D65" s="4">
        <v>2724.4</v>
      </c>
      <c r="E65" s="4">
        <v>824.32424739556006</v>
      </c>
      <c r="F65" s="4">
        <f>_xll.AtlasFormulas.AtlasFunctions.AtlasBalance("PROD",DataAreaId,"T.TPPTrans_sst|InventDimId~inventDimId@T.InventDim","Sum|Qty|0","","","","","","","ItemId|TransDate|T2.InventSiteId|T2.InventLocationId",$A65,PeriodBeginning,$B65,$C65)</f>
        <v>0</v>
      </c>
      <c r="G65" s="4">
        <f>_xll.AtlasFormulas.AtlasFunctions.AtlasBalance("PROD",DataAreaId,"T.TPPTrans_sst|InventDimId~inventDimId@T.InventDim","Sum|Qty|0","","","","","","","ItemId|TransDate|T2.InventSiteId|T2.InventLocationId",$A65,PeriodEnding,$B65,$C65)</f>
        <v>0</v>
      </c>
      <c r="H65" s="4">
        <f>AtlasReport_4_Table_1[[#This Row],[Quantity]]-AtlasReport_4_Table_1[[#This Row],[TPP trans backwards (Beginning)]]</f>
        <v>2724.4</v>
      </c>
      <c r="I65" s="4">
        <f>AtlasReport_4_Table_1[[#This Row],[Quantity]]-AtlasReport_4_Table_1[[#This Row],[TPP trans backwards (Ending)]]</f>
        <v>2724.4</v>
      </c>
      <c r="J65" s="4">
        <f>_xll.AtlasFormulas.AtlasFunctions.AtlasBalance("PROD",DataAreaId,"T.TPPTrans_sst|InventDimId~inventDimId@T.InventDim","Sum|CostAmount|0","","","","","","","ItemId|TransDate|T2.InventSiteId|T2.InventLocationId",$A65,PeriodBeginning,$B65,$C65)</f>
        <v>0</v>
      </c>
      <c r="K65" s="4">
        <f>_xll.AtlasFormulas.AtlasFunctions.AtlasBalance("PROD",DataAreaId,"T.TPPTrans_sst|InventDimId~inventDimId@T.InventDim","Sum|CostAmount|0","","","","","","","ItemId|TransDate|T2.InventSiteId|T2.InventLocationId",$A65,PeriodEnding,$B65,$C65)</f>
        <v>0</v>
      </c>
      <c r="L65" s="4">
        <f>AtlasReport_4_Table_1[[#This Row],[TPP cost amount]]-AtlasReport_4_Table_1[[#This Row],[TPP trans backwards balance (Beginning)]]</f>
        <v>824.32424739556006</v>
      </c>
      <c r="M65" s="4">
        <f>AtlasReport_4_Table_1[[#This Row],[TPP cost amount]]-AtlasReport_4_Table_1[[#This Row],[TPP trans backwards balance (Ending)]]</f>
        <v>824.32424739556006</v>
      </c>
    </row>
    <row r="66" spans="1:13">
      <c r="A66" s="8" t="s">
        <v>65</v>
      </c>
      <c r="B66" s="8" t="s">
        <v>371</v>
      </c>
      <c r="C66" s="8" t="s">
        <v>372</v>
      </c>
      <c r="D66" s="4">
        <v>532</v>
      </c>
      <c r="E66" s="4">
        <v>453.926233610439</v>
      </c>
      <c r="F66" s="4">
        <f>_xll.AtlasFormulas.AtlasFunctions.AtlasBalance("PROD",DataAreaId,"T.TPPTrans_sst|InventDimId~inventDimId@T.InventDim","Sum|Qty|0","","","","","","","ItemId|TransDate|T2.InventSiteId|T2.InventLocationId",$A66,PeriodBeginning,$B66,$C66)</f>
        <v>0</v>
      </c>
      <c r="G66" s="4">
        <f>_xll.AtlasFormulas.AtlasFunctions.AtlasBalance("PROD",DataAreaId,"T.TPPTrans_sst|InventDimId~inventDimId@T.InventDim","Sum|Qty|0","","","","","","","ItemId|TransDate|T2.InventSiteId|T2.InventLocationId",$A66,PeriodEnding,$B66,$C66)</f>
        <v>0</v>
      </c>
      <c r="H66" s="4">
        <f>AtlasReport_4_Table_1[[#This Row],[Quantity]]-AtlasReport_4_Table_1[[#This Row],[TPP trans backwards (Beginning)]]</f>
        <v>532</v>
      </c>
      <c r="I66" s="4">
        <f>AtlasReport_4_Table_1[[#This Row],[Quantity]]-AtlasReport_4_Table_1[[#This Row],[TPP trans backwards (Ending)]]</f>
        <v>532</v>
      </c>
      <c r="J66" s="4">
        <f>_xll.AtlasFormulas.AtlasFunctions.AtlasBalance("PROD",DataAreaId,"T.TPPTrans_sst|InventDimId~inventDimId@T.InventDim","Sum|CostAmount|0","","","","","","","ItemId|TransDate|T2.InventSiteId|T2.InventLocationId",$A66,PeriodBeginning,$B66,$C66)</f>
        <v>0</v>
      </c>
      <c r="K66" s="4">
        <f>_xll.AtlasFormulas.AtlasFunctions.AtlasBalance("PROD",DataAreaId,"T.TPPTrans_sst|InventDimId~inventDimId@T.InventDim","Sum|CostAmount|0","","","","","","","ItemId|TransDate|T2.InventSiteId|T2.InventLocationId",$A66,PeriodEnding,$B66,$C66)</f>
        <v>0</v>
      </c>
      <c r="L66" s="4">
        <f>AtlasReport_4_Table_1[[#This Row],[TPP cost amount]]-AtlasReport_4_Table_1[[#This Row],[TPP trans backwards balance (Beginning)]]</f>
        <v>453.926233610439</v>
      </c>
      <c r="M66" s="4">
        <f>AtlasReport_4_Table_1[[#This Row],[TPP cost amount]]-AtlasReport_4_Table_1[[#This Row],[TPP trans backwards balance (Ending)]]</f>
        <v>453.926233610439</v>
      </c>
    </row>
    <row r="67" spans="1:13">
      <c r="A67" s="8" t="s">
        <v>98</v>
      </c>
      <c r="B67" s="8" t="s">
        <v>371</v>
      </c>
      <c r="C67" s="8" t="s">
        <v>372</v>
      </c>
      <c r="D67" s="4">
        <v>785.28</v>
      </c>
      <c r="E67" s="4">
        <v>834.48304952822002</v>
      </c>
      <c r="F67" s="4">
        <f>_xll.AtlasFormulas.AtlasFunctions.AtlasBalance("PROD",DataAreaId,"T.TPPTrans_sst|InventDimId~inventDimId@T.InventDim","Sum|Qty|0","","","","","","","ItemId|TransDate|T2.InventSiteId|T2.InventLocationId",$A67,PeriodBeginning,$B67,$C67)</f>
        <v>0</v>
      </c>
      <c r="G67" s="4">
        <f>_xll.AtlasFormulas.AtlasFunctions.AtlasBalance("PROD",DataAreaId,"T.TPPTrans_sst|InventDimId~inventDimId@T.InventDim","Sum|Qty|0","","","","","","","ItemId|TransDate|T2.InventSiteId|T2.InventLocationId",$A67,PeriodEnding,$B67,$C67)</f>
        <v>0</v>
      </c>
      <c r="H67" s="4">
        <f>AtlasReport_4_Table_1[[#This Row],[Quantity]]-AtlasReport_4_Table_1[[#This Row],[TPP trans backwards (Beginning)]]</f>
        <v>785.28</v>
      </c>
      <c r="I67" s="4">
        <f>AtlasReport_4_Table_1[[#This Row],[Quantity]]-AtlasReport_4_Table_1[[#This Row],[TPP trans backwards (Ending)]]</f>
        <v>785.28</v>
      </c>
      <c r="J67" s="4">
        <f>_xll.AtlasFormulas.AtlasFunctions.AtlasBalance("PROD",DataAreaId,"T.TPPTrans_sst|InventDimId~inventDimId@T.InventDim","Sum|CostAmount|0","","","","","","","ItemId|TransDate|T2.InventSiteId|T2.InventLocationId",$A67,PeriodBeginning,$B67,$C67)</f>
        <v>0</v>
      </c>
      <c r="K67" s="4">
        <f>_xll.AtlasFormulas.AtlasFunctions.AtlasBalance("PROD",DataAreaId,"T.TPPTrans_sst|InventDimId~inventDimId@T.InventDim","Sum|CostAmount|0","","","","","","","ItemId|TransDate|T2.InventSiteId|T2.InventLocationId",$A67,PeriodEnding,$B67,$C67)</f>
        <v>0</v>
      </c>
      <c r="L67" s="4">
        <f>AtlasReport_4_Table_1[[#This Row],[TPP cost amount]]-AtlasReport_4_Table_1[[#This Row],[TPP trans backwards balance (Beginning)]]</f>
        <v>834.48304952822002</v>
      </c>
      <c r="M67" s="4">
        <f>AtlasReport_4_Table_1[[#This Row],[TPP cost amount]]-AtlasReport_4_Table_1[[#This Row],[TPP trans backwards balance (Ending)]]</f>
        <v>834.48304952822002</v>
      </c>
    </row>
    <row r="68" spans="1:13">
      <c r="A68" s="8" t="s">
        <v>50</v>
      </c>
      <c r="B68" s="8" t="s">
        <v>371</v>
      </c>
      <c r="C68" s="8" t="s">
        <v>372</v>
      </c>
      <c r="D68" s="4">
        <v>176.06</v>
      </c>
      <c r="E68" s="4">
        <v>201.16491300992703</v>
      </c>
      <c r="F68" s="4">
        <f>_xll.AtlasFormulas.AtlasFunctions.AtlasBalance("PROD",DataAreaId,"T.TPPTrans_sst|InventDimId~inventDimId@T.InventDim","Sum|Qty|0","","","","","","","ItemId|TransDate|T2.InventSiteId|T2.InventLocationId",$A68,PeriodBeginning,$B68,$C68)</f>
        <v>-269.5</v>
      </c>
      <c r="G68" s="4">
        <f>_xll.AtlasFormulas.AtlasFunctions.AtlasBalance("PROD",DataAreaId,"T.TPPTrans_sst|InventDimId~inventDimId@T.InventDim","Sum|Qty|0","","","","","","","ItemId|TransDate|T2.InventSiteId|T2.InventLocationId",$A68,PeriodEnding,$B68,$C68)</f>
        <v>0</v>
      </c>
      <c r="H68" s="4">
        <f>AtlasReport_4_Table_1[[#This Row],[Quantity]]-AtlasReport_4_Table_1[[#This Row],[TPP trans backwards (Beginning)]]</f>
        <v>445.56</v>
      </c>
      <c r="I68" s="4">
        <f>AtlasReport_4_Table_1[[#This Row],[Quantity]]-AtlasReport_4_Table_1[[#This Row],[TPP trans backwards (Ending)]]</f>
        <v>176.06</v>
      </c>
      <c r="J68" s="4">
        <f>_xll.AtlasFormulas.AtlasFunctions.AtlasBalance("PROD",DataAreaId,"T.TPPTrans_sst|InventDimId~inventDimId@T.InventDim","Sum|CostAmount|0","","","","","","","ItemId|TransDate|T2.InventSiteId|T2.InventLocationId",$A68,PeriodBeginning,$B68,$C68)</f>
        <v>-307.92</v>
      </c>
      <c r="K68" s="4">
        <f>_xll.AtlasFormulas.AtlasFunctions.AtlasBalance("PROD",DataAreaId,"T.TPPTrans_sst|InventDimId~inventDimId@T.InventDim","Sum|CostAmount|0","","","","","","","ItemId|TransDate|T2.InventSiteId|T2.InventLocationId",$A68,PeriodEnding,$B68,$C68)</f>
        <v>0</v>
      </c>
      <c r="L68" s="4">
        <f>AtlasReport_4_Table_1[[#This Row],[TPP cost amount]]-AtlasReport_4_Table_1[[#This Row],[TPP trans backwards balance (Beginning)]]</f>
        <v>509.08491300992705</v>
      </c>
      <c r="M68" s="4">
        <f>AtlasReport_4_Table_1[[#This Row],[TPP cost amount]]-AtlasReport_4_Table_1[[#This Row],[TPP trans backwards balance (Ending)]]</f>
        <v>201.16491300992703</v>
      </c>
    </row>
    <row r="69" spans="1:13">
      <c r="A69" s="8" t="s">
        <v>51</v>
      </c>
      <c r="B69" s="8" t="s">
        <v>371</v>
      </c>
      <c r="C69" s="8" t="s">
        <v>372</v>
      </c>
      <c r="D69" s="4">
        <v>277.89999999999998</v>
      </c>
      <c r="E69" s="4">
        <v>455.48132137219801</v>
      </c>
      <c r="F69" s="4">
        <f>_xll.AtlasFormulas.AtlasFunctions.AtlasBalance("PROD",DataAreaId,"T.TPPTrans_sst|InventDimId~inventDimId@T.InventDim","Sum|Qty|0","","","","","","","ItemId|TransDate|T2.InventSiteId|T2.InventLocationId",$A69,PeriodBeginning,$B69,$C69)</f>
        <v>0</v>
      </c>
      <c r="G69" s="4">
        <f>_xll.AtlasFormulas.AtlasFunctions.AtlasBalance("PROD",DataAreaId,"T.TPPTrans_sst|InventDimId~inventDimId@T.InventDim","Sum|Qty|0","","","","","","","ItemId|TransDate|T2.InventSiteId|T2.InventLocationId",$A69,PeriodEnding,$B69,$C69)</f>
        <v>0</v>
      </c>
      <c r="H69" s="4">
        <f>AtlasReport_4_Table_1[[#This Row],[Quantity]]-AtlasReport_4_Table_1[[#This Row],[TPP trans backwards (Beginning)]]</f>
        <v>277.89999999999998</v>
      </c>
      <c r="I69" s="4">
        <f>AtlasReport_4_Table_1[[#This Row],[Quantity]]-AtlasReport_4_Table_1[[#This Row],[TPP trans backwards (Ending)]]</f>
        <v>277.89999999999998</v>
      </c>
      <c r="J69" s="4">
        <f>_xll.AtlasFormulas.AtlasFunctions.AtlasBalance("PROD",DataAreaId,"T.TPPTrans_sst|InventDimId~inventDimId@T.InventDim","Sum|CostAmount|0","","","","","","","ItemId|TransDate|T2.InventSiteId|T2.InventLocationId",$A69,PeriodBeginning,$B69,$C69)</f>
        <v>0</v>
      </c>
      <c r="K69" s="4">
        <f>_xll.AtlasFormulas.AtlasFunctions.AtlasBalance("PROD",DataAreaId,"T.TPPTrans_sst|InventDimId~inventDimId@T.InventDim","Sum|CostAmount|0","","","","","","","ItemId|TransDate|T2.InventSiteId|T2.InventLocationId",$A69,PeriodEnding,$B69,$C69)</f>
        <v>0</v>
      </c>
      <c r="L69" s="4">
        <f>AtlasReport_4_Table_1[[#This Row],[TPP cost amount]]-AtlasReport_4_Table_1[[#This Row],[TPP trans backwards balance (Beginning)]]</f>
        <v>455.48132137219801</v>
      </c>
      <c r="M69" s="4">
        <f>AtlasReport_4_Table_1[[#This Row],[TPP cost amount]]-AtlasReport_4_Table_1[[#This Row],[TPP trans backwards balance (Ending)]]</f>
        <v>455.48132137219801</v>
      </c>
    </row>
    <row r="70" spans="1:13">
      <c r="A70" s="8" t="s">
        <v>86</v>
      </c>
      <c r="B70" s="8" t="s">
        <v>371</v>
      </c>
      <c r="C70" s="8" t="s">
        <v>372</v>
      </c>
      <c r="D70" s="4">
        <v>117.54</v>
      </c>
      <c r="E70" s="4">
        <v>139.08165684520699</v>
      </c>
      <c r="F70" s="4">
        <f>_xll.AtlasFormulas.AtlasFunctions.AtlasBalance("PROD",DataAreaId,"T.TPPTrans_sst|InventDimId~inventDimId@T.InventDim","Sum|Qty|0","","","","","","","ItemId|TransDate|T2.InventSiteId|T2.InventLocationId",$A70,PeriodBeginning,$B70,$C70)</f>
        <v>-288.08</v>
      </c>
      <c r="G70" s="4">
        <f>_xll.AtlasFormulas.AtlasFunctions.AtlasBalance("PROD",DataAreaId,"T.TPPTrans_sst|InventDimId~inventDimId@T.InventDim","Sum|Qty|0","","","","","","","ItemId|TransDate|T2.InventSiteId|T2.InventLocationId",$A70,PeriodEnding,$B70,$C70)</f>
        <v>0</v>
      </c>
      <c r="H70" s="4">
        <f>AtlasReport_4_Table_1[[#This Row],[Quantity]]-AtlasReport_4_Table_1[[#This Row],[TPP trans backwards (Beginning)]]</f>
        <v>405.62</v>
      </c>
      <c r="I70" s="4">
        <f>AtlasReport_4_Table_1[[#This Row],[Quantity]]-AtlasReport_4_Table_1[[#This Row],[TPP trans backwards (Ending)]]</f>
        <v>117.54</v>
      </c>
      <c r="J70" s="4">
        <f>_xll.AtlasFormulas.AtlasFunctions.AtlasBalance("PROD",DataAreaId,"T.TPPTrans_sst|InventDimId~inventDimId@T.InventDim","Sum|CostAmount|0","","","","","","","ItemId|TransDate|T2.InventSiteId|T2.InventLocationId",$A70,PeriodBeginning,$B70,$C70)</f>
        <v>-340.87</v>
      </c>
      <c r="K70" s="4">
        <f>_xll.AtlasFormulas.AtlasFunctions.AtlasBalance("PROD",DataAreaId,"T.TPPTrans_sst|InventDimId~inventDimId@T.InventDim","Sum|CostAmount|0","","","","","","","ItemId|TransDate|T2.InventSiteId|T2.InventLocationId",$A70,PeriodEnding,$B70,$C70)</f>
        <v>0</v>
      </c>
      <c r="L70" s="4">
        <f>AtlasReport_4_Table_1[[#This Row],[TPP cost amount]]-AtlasReport_4_Table_1[[#This Row],[TPP trans backwards balance (Beginning)]]</f>
        <v>479.95165684520703</v>
      </c>
      <c r="M70" s="4">
        <f>AtlasReport_4_Table_1[[#This Row],[TPP cost amount]]-AtlasReport_4_Table_1[[#This Row],[TPP trans backwards balance (Ending)]]</f>
        <v>139.08165684520699</v>
      </c>
    </row>
    <row r="71" spans="1:13">
      <c r="A71" s="8" t="s">
        <v>24</v>
      </c>
      <c r="B71" s="8" t="s">
        <v>371</v>
      </c>
      <c r="C71" s="8" t="s">
        <v>372</v>
      </c>
      <c r="D71" s="4">
        <v>481.34</v>
      </c>
      <c r="E71" s="4">
        <v>594.14935287102298</v>
      </c>
      <c r="F71" s="4">
        <f>_xll.AtlasFormulas.AtlasFunctions.AtlasBalance("PROD",DataAreaId,"T.TPPTrans_sst|InventDimId~inventDimId@T.InventDim","Sum|Qty|0","","","","","","","ItemId|TransDate|T2.InventSiteId|T2.InventLocationId",$A71,PeriodBeginning,$B71,$C71)</f>
        <v>0</v>
      </c>
      <c r="G71" s="4">
        <f>_xll.AtlasFormulas.AtlasFunctions.AtlasBalance("PROD",DataAreaId,"T.TPPTrans_sst|InventDimId~inventDimId@T.InventDim","Sum|Qty|0","","","","","","","ItemId|TransDate|T2.InventSiteId|T2.InventLocationId",$A71,PeriodEnding,$B71,$C71)</f>
        <v>0</v>
      </c>
      <c r="H71" s="4">
        <f>AtlasReport_4_Table_1[[#This Row],[Quantity]]-AtlasReport_4_Table_1[[#This Row],[TPP trans backwards (Beginning)]]</f>
        <v>481.34</v>
      </c>
      <c r="I71" s="4">
        <f>AtlasReport_4_Table_1[[#This Row],[Quantity]]-AtlasReport_4_Table_1[[#This Row],[TPP trans backwards (Ending)]]</f>
        <v>481.34</v>
      </c>
      <c r="J71" s="4">
        <f>_xll.AtlasFormulas.AtlasFunctions.AtlasBalance("PROD",DataAreaId,"T.TPPTrans_sst|InventDimId~inventDimId@T.InventDim","Sum|CostAmount|0","","","","","","","ItemId|TransDate|T2.InventSiteId|T2.InventLocationId",$A71,PeriodBeginning,$B71,$C71)</f>
        <v>0</v>
      </c>
      <c r="K71" s="4">
        <f>_xll.AtlasFormulas.AtlasFunctions.AtlasBalance("PROD",DataAreaId,"T.TPPTrans_sst|InventDimId~inventDimId@T.InventDim","Sum|CostAmount|0","","","","","","","ItemId|TransDate|T2.InventSiteId|T2.InventLocationId",$A71,PeriodEnding,$B71,$C71)</f>
        <v>0</v>
      </c>
      <c r="L71" s="4">
        <f>AtlasReport_4_Table_1[[#This Row],[TPP cost amount]]-AtlasReport_4_Table_1[[#This Row],[TPP trans backwards balance (Beginning)]]</f>
        <v>594.14935287102298</v>
      </c>
      <c r="M71" s="4">
        <f>AtlasReport_4_Table_1[[#This Row],[TPP cost amount]]-AtlasReport_4_Table_1[[#This Row],[TPP trans backwards balance (Ending)]]</f>
        <v>594.14935287102298</v>
      </c>
    </row>
    <row r="72" spans="1:13">
      <c r="A72" s="8" t="s">
        <v>107</v>
      </c>
      <c r="B72" s="8" t="s">
        <v>371</v>
      </c>
      <c r="C72" s="8" t="s">
        <v>372</v>
      </c>
      <c r="D72" s="4">
        <v>366.68</v>
      </c>
      <c r="E72" s="4">
        <v>623.70124034515402</v>
      </c>
      <c r="F72" s="4">
        <f>_xll.AtlasFormulas.AtlasFunctions.AtlasBalance("PROD",DataAreaId,"T.TPPTrans_sst|InventDimId~inventDimId@T.InventDim","Sum|Qty|0","","","","","","","ItemId|TransDate|T2.InventSiteId|T2.InventLocationId",$A72,PeriodBeginning,$B72,$C72)</f>
        <v>0</v>
      </c>
      <c r="G72" s="4">
        <f>_xll.AtlasFormulas.AtlasFunctions.AtlasBalance("PROD",DataAreaId,"T.TPPTrans_sst|InventDimId~inventDimId@T.InventDim","Sum|Qty|0","","","","","","","ItemId|TransDate|T2.InventSiteId|T2.InventLocationId",$A72,PeriodEnding,$B72,$C72)</f>
        <v>0</v>
      </c>
      <c r="H72" s="4">
        <f>AtlasReport_4_Table_1[[#This Row],[Quantity]]-AtlasReport_4_Table_1[[#This Row],[TPP trans backwards (Beginning)]]</f>
        <v>366.68</v>
      </c>
      <c r="I72" s="4">
        <f>AtlasReport_4_Table_1[[#This Row],[Quantity]]-AtlasReport_4_Table_1[[#This Row],[TPP trans backwards (Ending)]]</f>
        <v>366.68</v>
      </c>
      <c r="J72" s="4">
        <f>_xll.AtlasFormulas.AtlasFunctions.AtlasBalance("PROD",DataAreaId,"T.TPPTrans_sst|InventDimId~inventDimId@T.InventDim","Sum|CostAmount|0","","","","","","","ItemId|TransDate|T2.InventSiteId|T2.InventLocationId",$A72,PeriodBeginning,$B72,$C72)</f>
        <v>0</v>
      </c>
      <c r="K72" s="4">
        <f>_xll.AtlasFormulas.AtlasFunctions.AtlasBalance("PROD",DataAreaId,"T.TPPTrans_sst|InventDimId~inventDimId@T.InventDim","Sum|CostAmount|0","","","","","","","ItemId|TransDate|T2.InventSiteId|T2.InventLocationId",$A72,PeriodEnding,$B72,$C72)</f>
        <v>0</v>
      </c>
      <c r="L72" s="4">
        <f>AtlasReport_4_Table_1[[#This Row],[TPP cost amount]]-AtlasReport_4_Table_1[[#This Row],[TPP trans backwards balance (Beginning)]]</f>
        <v>623.70124034515402</v>
      </c>
      <c r="M72" s="4">
        <f>AtlasReport_4_Table_1[[#This Row],[TPP cost amount]]-AtlasReport_4_Table_1[[#This Row],[TPP trans backwards balance (Ending)]]</f>
        <v>623.70124034515402</v>
      </c>
    </row>
    <row r="73" spans="1:13">
      <c r="A73" s="8" t="s">
        <v>93</v>
      </c>
      <c r="B73" s="8" t="s">
        <v>371</v>
      </c>
      <c r="C73" s="8" t="s">
        <v>372</v>
      </c>
      <c r="D73" s="4">
        <v>2349.5300000000002</v>
      </c>
      <c r="E73" s="4">
        <v>7624.98033245642</v>
      </c>
      <c r="F73" s="4">
        <f>_xll.AtlasFormulas.AtlasFunctions.AtlasBalance("PROD",DataAreaId,"T.TPPTrans_sst|InventDimId~inventDimId@T.InventDim","Sum|Qty|0","","","","","","","ItemId|TransDate|T2.InventSiteId|T2.InventLocationId",$A73,PeriodBeginning,$B73,$C73)</f>
        <v>1013</v>
      </c>
      <c r="G73" s="4">
        <f>_xll.AtlasFormulas.AtlasFunctions.AtlasBalance("PROD",DataAreaId,"T.TPPTrans_sst|InventDimId~inventDimId@T.InventDim","Sum|Qty|0","","","","","","","ItemId|TransDate|T2.InventSiteId|T2.InventLocationId",$A73,PeriodEnding,$B73,$C73)</f>
        <v>0</v>
      </c>
      <c r="H73" s="4">
        <f>AtlasReport_4_Table_1[[#This Row],[Quantity]]-AtlasReport_4_Table_1[[#This Row],[TPP trans backwards (Beginning)]]</f>
        <v>1336.5300000000002</v>
      </c>
      <c r="I73" s="4">
        <f>AtlasReport_4_Table_1[[#This Row],[Quantity]]-AtlasReport_4_Table_1[[#This Row],[TPP trans backwards (Ending)]]</f>
        <v>2349.5300000000002</v>
      </c>
      <c r="J73" s="4">
        <f>_xll.AtlasFormulas.AtlasFunctions.AtlasBalance("PROD",DataAreaId,"T.TPPTrans_sst|InventDimId~inventDimId@T.InventDim","Sum|CostAmount|0","","","","","","","ItemId|TransDate|T2.InventSiteId|T2.InventLocationId",$A73,PeriodBeginning,$B73,$C73)</f>
        <v>3390.31</v>
      </c>
      <c r="K73" s="4">
        <f>_xll.AtlasFormulas.AtlasFunctions.AtlasBalance("PROD",DataAreaId,"T.TPPTrans_sst|InventDimId~inventDimId@T.InventDim","Sum|CostAmount|0","","","","","","","ItemId|TransDate|T2.InventSiteId|T2.InventLocationId",$A73,PeriodEnding,$B73,$C73)</f>
        <v>0</v>
      </c>
      <c r="L73" s="4">
        <f>AtlasReport_4_Table_1[[#This Row],[TPP cost amount]]-AtlasReport_4_Table_1[[#This Row],[TPP trans backwards balance (Beginning)]]</f>
        <v>4234.6703324564205</v>
      </c>
      <c r="M73" s="4">
        <f>AtlasReport_4_Table_1[[#This Row],[TPP cost amount]]-AtlasReport_4_Table_1[[#This Row],[TPP trans backwards balance (Ending)]]</f>
        <v>7624.98033245642</v>
      </c>
    </row>
    <row r="74" spans="1:13">
      <c r="A74" s="8" t="s">
        <v>52</v>
      </c>
      <c r="B74" s="8" t="s">
        <v>371</v>
      </c>
      <c r="C74" s="8" t="s">
        <v>372</v>
      </c>
      <c r="D74" s="4">
        <v>704.56000000000006</v>
      </c>
      <c r="E74" s="4">
        <v>823.65399926339103</v>
      </c>
      <c r="F74" s="4">
        <f>_xll.AtlasFormulas.AtlasFunctions.AtlasBalance("PROD",DataAreaId,"T.TPPTrans_sst|InventDimId~inventDimId@T.InventDim","Sum|Qty|0","","","","","","","ItemId|TransDate|T2.InventSiteId|T2.InventLocationId",$A74,PeriodBeginning,$B74,$C74)</f>
        <v>0</v>
      </c>
      <c r="G74" s="4">
        <f>_xll.AtlasFormulas.AtlasFunctions.AtlasBalance("PROD",DataAreaId,"T.TPPTrans_sst|InventDimId~inventDimId@T.InventDim","Sum|Qty|0","","","","","","","ItemId|TransDate|T2.InventSiteId|T2.InventLocationId",$A74,PeriodEnding,$B74,$C74)</f>
        <v>0</v>
      </c>
      <c r="H74" s="4">
        <f>AtlasReport_4_Table_1[[#This Row],[Quantity]]-AtlasReport_4_Table_1[[#This Row],[TPP trans backwards (Beginning)]]</f>
        <v>704.56000000000006</v>
      </c>
      <c r="I74" s="4">
        <f>AtlasReport_4_Table_1[[#This Row],[Quantity]]-AtlasReport_4_Table_1[[#This Row],[TPP trans backwards (Ending)]]</f>
        <v>704.56000000000006</v>
      </c>
      <c r="J74" s="4">
        <f>_xll.AtlasFormulas.AtlasFunctions.AtlasBalance("PROD",DataAreaId,"T.TPPTrans_sst|InventDimId~inventDimId@T.InventDim","Sum|CostAmount|0","","","","","","","ItemId|TransDate|T2.InventSiteId|T2.InventLocationId",$A74,PeriodBeginning,$B74,$C74)</f>
        <v>0</v>
      </c>
      <c r="K74" s="4">
        <f>_xll.AtlasFormulas.AtlasFunctions.AtlasBalance("PROD",DataAreaId,"T.TPPTrans_sst|InventDimId~inventDimId@T.InventDim","Sum|CostAmount|0","","","","","","","ItemId|TransDate|T2.InventSiteId|T2.InventLocationId",$A74,PeriodEnding,$B74,$C74)</f>
        <v>0</v>
      </c>
      <c r="L74" s="4">
        <f>AtlasReport_4_Table_1[[#This Row],[TPP cost amount]]-AtlasReport_4_Table_1[[#This Row],[TPP trans backwards balance (Beginning)]]</f>
        <v>823.65399926339103</v>
      </c>
      <c r="M74" s="4">
        <f>AtlasReport_4_Table_1[[#This Row],[TPP cost amount]]-AtlasReport_4_Table_1[[#This Row],[TPP trans backwards balance (Ending)]]</f>
        <v>823.65399926339103</v>
      </c>
    </row>
    <row r="75" spans="1:13">
      <c r="A75" s="8" t="s">
        <v>88</v>
      </c>
      <c r="B75" s="8" t="s">
        <v>371</v>
      </c>
      <c r="C75" s="8" t="s">
        <v>372</v>
      </c>
      <c r="D75" s="4">
        <v>2298.79</v>
      </c>
      <c r="E75" s="4">
        <v>8354.0499276368864</v>
      </c>
      <c r="F75" s="4">
        <f>_xll.AtlasFormulas.AtlasFunctions.AtlasBalance("PROD",DataAreaId,"T.TPPTrans_sst|InventDimId~inventDimId@T.InventDim","Sum|Qty|0","","","","","","","ItemId|TransDate|T2.InventSiteId|T2.InventLocationId",$A75,PeriodBeginning,$B75,$C75)</f>
        <v>340.43</v>
      </c>
      <c r="G75" s="4">
        <f>_xll.AtlasFormulas.AtlasFunctions.AtlasBalance("PROD",DataAreaId,"T.TPPTrans_sst|InventDimId~inventDimId@T.InventDim","Sum|Qty|0","","","","","","","ItemId|TransDate|T2.InventSiteId|T2.InventLocationId",$A75,PeriodEnding,$B75,$C75)</f>
        <v>0</v>
      </c>
      <c r="H75" s="4">
        <f>AtlasReport_4_Table_1[[#This Row],[Quantity]]-AtlasReport_4_Table_1[[#This Row],[TPP trans backwards (Beginning)]]</f>
        <v>1958.36</v>
      </c>
      <c r="I75" s="4">
        <f>AtlasReport_4_Table_1[[#This Row],[Quantity]]-AtlasReport_4_Table_1[[#This Row],[TPP trans backwards (Ending)]]</f>
        <v>2298.79</v>
      </c>
      <c r="J75" s="4">
        <f>_xll.AtlasFormulas.AtlasFunctions.AtlasBalance("PROD",DataAreaId,"T.TPPTrans_sst|InventDimId~inventDimId@T.InventDim","Sum|CostAmount|0","","","","","","","ItemId|TransDate|T2.InventSiteId|T2.InventLocationId",$A75,PeriodBeginning,$B75,$C75)</f>
        <v>1211.44</v>
      </c>
      <c r="K75" s="4">
        <f>_xll.AtlasFormulas.AtlasFunctions.AtlasBalance("PROD",DataAreaId,"T.TPPTrans_sst|InventDimId~inventDimId@T.InventDim","Sum|CostAmount|0","","","","","","","ItemId|TransDate|T2.InventSiteId|T2.InventLocationId",$A75,PeriodEnding,$B75,$C75)</f>
        <v>0</v>
      </c>
      <c r="L75" s="4">
        <f>AtlasReport_4_Table_1[[#This Row],[TPP cost amount]]-AtlasReport_4_Table_1[[#This Row],[TPP trans backwards balance (Beginning)]]</f>
        <v>7142.6099276368859</v>
      </c>
      <c r="M75" s="4">
        <f>AtlasReport_4_Table_1[[#This Row],[TPP cost amount]]-AtlasReport_4_Table_1[[#This Row],[TPP trans backwards balance (Ending)]]</f>
        <v>8354.0499276368864</v>
      </c>
    </row>
    <row r="76" spans="1:13">
      <c r="A76" s="8" t="s">
        <v>53</v>
      </c>
      <c r="B76" s="8" t="s">
        <v>371</v>
      </c>
      <c r="C76" s="8" t="s">
        <v>372</v>
      </c>
      <c r="D76" s="4">
        <v>1777.41</v>
      </c>
      <c r="E76" s="4">
        <v>3678.93894370199</v>
      </c>
      <c r="F76" s="4">
        <f>_xll.AtlasFormulas.AtlasFunctions.AtlasBalance("PROD",DataAreaId,"T.TPPTrans_sst|InventDimId~inventDimId@T.InventDim","Sum|Qty|0","","","","","","","ItemId|TransDate|T2.InventSiteId|T2.InventLocationId",$A76,PeriodBeginning,$B76,$C76)</f>
        <v>-102.24</v>
      </c>
      <c r="G76" s="4">
        <f>_xll.AtlasFormulas.AtlasFunctions.AtlasBalance("PROD",DataAreaId,"T.TPPTrans_sst|InventDimId~inventDimId@T.InventDim","Sum|Qty|0","","","","","","","ItemId|TransDate|T2.InventSiteId|T2.InventLocationId",$A76,PeriodEnding,$B76,$C76)</f>
        <v>0</v>
      </c>
      <c r="H76" s="4">
        <f>AtlasReport_4_Table_1[[#This Row],[Quantity]]-AtlasReport_4_Table_1[[#This Row],[TPP trans backwards (Beginning)]]</f>
        <v>1879.65</v>
      </c>
      <c r="I76" s="4">
        <f>AtlasReport_4_Table_1[[#This Row],[Quantity]]-AtlasReport_4_Table_1[[#This Row],[TPP trans backwards (Ending)]]</f>
        <v>1777.41</v>
      </c>
      <c r="J76" s="4">
        <f>_xll.AtlasFormulas.AtlasFunctions.AtlasBalance("PROD",DataAreaId,"T.TPPTrans_sst|InventDimId~inventDimId@T.InventDim","Sum|CostAmount|0","","","","","","","ItemId|TransDate|T2.InventSiteId|T2.InventLocationId",$A76,PeriodBeginning,$B76,$C76)</f>
        <v>-66.87</v>
      </c>
      <c r="K76" s="4">
        <f>_xll.AtlasFormulas.AtlasFunctions.AtlasBalance("PROD",DataAreaId,"T.TPPTrans_sst|InventDimId~inventDimId@T.InventDim","Sum|CostAmount|0","","","","","","","ItemId|TransDate|T2.InventSiteId|T2.InventLocationId",$A76,PeriodEnding,$B76,$C76)</f>
        <v>0</v>
      </c>
      <c r="L76" s="4">
        <f>AtlasReport_4_Table_1[[#This Row],[TPP cost amount]]-AtlasReport_4_Table_1[[#This Row],[TPP trans backwards balance (Beginning)]]</f>
        <v>3745.8089437019898</v>
      </c>
      <c r="M76" s="4">
        <f>AtlasReport_4_Table_1[[#This Row],[TPP cost amount]]-AtlasReport_4_Table_1[[#This Row],[TPP trans backwards balance (Ending)]]</f>
        <v>3678.93894370199</v>
      </c>
    </row>
    <row r="77" spans="1:13">
      <c r="A77" s="8" t="s">
        <v>109</v>
      </c>
      <c r="B77" s="8" t="s">
        <v>371</v>
      </c>
      <c r="C77" s="8" t="s">
        <v>372</v>
      </c>
      <c r="D77" s="4">
        <v>229</v>
      </c>
      <c r="E77" s="4">
        <v>393.83000000000004</v>
      </c>
      <c r="F77" s="4">
        <f>_xll.AtlasFormulas.AtlasFunctions.AtlasBalance("PROD",DataAreaId,"T.TPPTrans_sst|InventDimId~inventDimId@T.InventDim","Sum|Qty|0","","","","","","","ItemId|TransDate|T2.InventSiteId|T2.InventLocationId",$A77,PeriodBeginning,$B77,$C77)</f>
        <v>-5</v>
      </c>
      <c r="G77" s="4">
        <f>_xll.AtlasFormulas.AtlasFunctions.AtlasBalance("PROD",DataAreaId,"T.TPPTrans_sst|InventDimId~inventDimId@T.InventDim","Sum|Qty|0","","","","","","","ItemId|TransDate|T2.InventSiteId|T2.InventLocationId",$A77,PeriodEnding,$B77,$C77)</f>
        <v>0</v>
      </c>
      <c r="H77" s="4">
        <f>AtlasReport_4_Table_1[[#This Row],[Quantity]]-AtlasReport_4_Table_1[[#This Row],[TPP trans backwards (Beginning)]]</f>
        <v>234</v>
      </c>
      <c r="I77" s="4">
        <f>AtlasReport_4_Table_1[[#This Row],[Quantity]]-AtlasReport_4_Table_1[[#This Row],[TPP trans backwards (Ending)]]</f>
        <v>229</v>
      </c>
      <c r="J77" s="4">
        <f>_xll.AtlasFormulas.AtlasFunctions.AtlasBalance("PROD",DataAreaId,"T.TPPTrans_sst|InventDimId~inventDimId@T.InventDim","Sum|CostAmount|0","","","","","","","ItemId|TransDate|T2.InventSiteId|T2.InventLocationId",$A77,PeriodBeginning,$B77,$C77)</f>
        <v>-8.6</v>
      </c>
      <c r="K77" s="4">
        <f>_xll.AtlasFormulas.AtlasFunctions.AtlasBalance("PROD",DataAreaId,"T.TPPTrans_sst|InventDimId~inventDimId@T.InventDim","Sum|CostAmount|0","","","","","","","ItemId|TransDate|T2.InventSiteId|T2.InventLocationId",$A77,PeriodEnding,$B77,$C77)</f>
        <v>0</v>
      </c>
      <c r="L77" s="4">
        <f>AtlasReport_4_Table_1[[#This Row],[TPP cost amount]]-AtlasReport_4_Table_1[[#This Row],[TPP trans backwards balance (Beginning)]]</f>
        <v>402.43000000000006</v>
      </c>
      <c r="M77" s="4">
        <f>AtlasReport_4_Table_1[[#This Row],[TPP cost amount]]-AtlasReport_4_Table_1[[#This Row],[TPP trans backwards balance (Ending)]]</f>
        <v>393.83000000000004</v>
      </c>
    </row>
    <row r="78" spans="1:13">
      <c r="A78" s="8" t="s">
        <v>66</v>
      </c>
      <c r="B78" s="8" t="s">
        <v>371</v>
      </c>
      <c r="C78" s="8" t="s">
        <v>372</v>
      </c>
      <c r="D78" s="4">
        <v>10</v>
      </c>
      <c r="E78" s="4">
        <v>26.853697113191998</v>
      </c>
      <c r="F78" s="4">
        <f>_xll.AtlasFormulas.AtlasFunctions.AtlasBalance("PROD",DataAreaId,"T.TPPTrans_sst|InventDimId~inventDimId@T.InventDim","Sum|Qty|0","","","","","","","ItemId|TransDate|T2.InventSiteId|T2.InventLocationId",$A78,PeriodBeginning,$B78,$C78)</f>
        <v>0</v>
      </c>
      <c r="G78" s="4">
        <f>_xll.AtlasFormulas.AtlasFunctions.AtlasBalance("PROD",DataAreaId,"T.TPPTrans_sst|InventDimId~inventDimId@T.InventDim","Sum|Qty|0","","","","","","","ItemId|TransDate|T2.InventSiteId|T2.InventLocationId",$A78,PeriodEnding,$B78,$C78)</f>
        <v>0</v>
      </c>
      <c r="H78" s="4">
        <f>AtlasReport_4_Table_1[[#This Row],[Quantity]]-AtlasReport_4_Table_1[[#This Row],[TPP trans backwards (Beginning)]]</f>
        <v>10</v>
      </c>
      <c r="I78" s="4">
        <f>AtlasReport_4_Table_1[[#This Row],[Quantity]]-AtlasReport_4_Table_1[[#This Row],[TPP trans backwards (Ending)]]</f>
        <v>10</v>
      </c>
      <c r="J78" s="4">
        <f>_xll.AtlasFormulas.AtlasFunctions.AtlasBalance("PROD",DataAreaId,"T.TPPTrans_sst|InventDimId~inventDimId@T.InventDim","Sum|CostAmount|0","","","","","","","ItemId|TransDate|T2.InventSiteId|T2.InventLocationId",$A78,PeriodBeginning,$B78,$C78)</f>
        <v>0</v>
      </c>
      <c r="K78" s="4">
        <f>_xll.AtlasFormulas.AtlasFunctions.AtlasBalance("PROD",DataAreaId,"T.TPPTrans_sst|InventDimId~inventDimId@T.InventDim","Sum|CostAmount|0","","","","","","","ItemId|TransDate|T2.InventSiteId|T2.InventLocationId",$A78,PeriodEnding,$B78,$C78)</f>
        <v>0</v>
      </c>
      <c r="L78" s="4">
        <f>AtlasReport_4_Table_1[[#This Row],[TPP cost amount]]-AtlasReport_4_Table_1[[#This Row],[TPP trans backwards balance (Beginning)]]</f>
        <v>26.853697113191998</v>
      </c>
      <c r="M78" s="4">
        <f>AtlasReport_4_Table_1[[#This Row],[TPP cost amount]]-AtlasReport_4_Table_1[[#This Row],[TPP trans backwards balance (Ending)]]</f>
        <v>26.853697113191998</v>
      </c>
    </row>
    <row r="79" spans="1:13">
      <c r="A79" s="8" t="s">
        <v>54</v>
      </c>
      <c r="B79" s="8" t="s">
        <v>371</v>
      </c>
      <c r="C79" s="8" t="s">
        <v>372</v>
      </c>
      <c r="D79" s="4">
        <v>420</v>
      </c>
      <c r="E79" s="4">
        <v>606.92241762250501</v>
      </c>
      <c r="F79" s="4">
        <f>_xll.AtlasFormulas.AtlasFunctions.AtlasBalance("PROD",DataAreaId,"T.TPPTrans_sst|InventDimId~inventDimId@T.InventDim","Sum|Qty|0","","","","","","","ItemId|TransDate|T2.InventSiteId|T2.InventLocationId",$A79,PeriodBeginning,$B79,$C79)</f>
        <v>-300</v>
      </c>
      <c r="G79" s="4">
        <f>_xll.AtlasFormulas.AtlasFunctions.AtlasBalance("PROD",DataAreaId,"T.TPPTrans_sst|InventDimId~inventDimId@T.InventDim","Sum|Qty|0","","","","","","","ItemId|TransDate|T2.InventSiteId|T2.InventLocationId",$A79,PeriodEnding,$B79,$C79)</f>
        <v>0</v>
      </c>
      <c r="H79" s="4">
        <f>AtlasReport_4_Table_1[[#This Row],[Quantity]]-AtlasReport_4_Table_1[[#This Row],[TPP trans backwards (Beginning)]]</f>
        <v>720</v>
      </c>
      <c r="I79" s="4">
        <f>AtlasReport_4_Table_1[[#This Row],[Quantity]]-AtlasReport_4_Table_1[[#This Row],[TPP trans backwards (Ending)]]</f>
        <v>420</v>
      </c>
      <c r="J79" s="4">
        <f>_xll.AtlasFormulas.AtlasFunctions.AtlasBalance("PROD",DataAreaId,"T.TPPTrans_sst|InventDimId~inventDimId@T.InventDim","Sum|CostAmount|0","","","","","","","ItemId|TransDate|T2.InventSiteId|T2.InventLocationId",$A79,PeriodBeginning,$B79,$C79)</f>
        <v>-433.5</v>
      </c>
      <c r="K79" s="4">
        <f>_xll.AtlasFormulas.AtlasFunctions.AtlasBalance("PROD",DataAreaId,"T.TPPTrans_sst|InventDimId~inventDimId@T.InventDim","Sum|CostAmount|0","","","","","","","ItemId|TransDate|T2.InventSiteId|T2.InventLocationId",$A79,PeriodEnding,$B79,$C79)</f>
        <v>0</v>
      </c>
      <c r="L79" s="4">
        <f>AtlasReport_4_Table_1[[#This Row],[TPP cost amount]]-AtlasReport_4_Table_1[[#This Row],[TPP trans backwards balance (Beginning)]]</f>
        <v>1040.422417622505</v>
      </c>
      <c r="M79" s="4">
        <f>AtlasReport_4_Table_1[[#This Row],[TPP cost amount]]-AtlasReport_4_Table_1[[#This Row],[TPP trans backwards balance (Ending)]]</f>
        <v>606.92241762250501</v>
      </c>
    </row>
    <row r="80" spans="1:13">
      <c r="A80" s="8" t="s">
        <v>55</v>
      </c>
      <c r="B80" s="8" t="s">
        <v>371</v>
      </c>
      <c r="C80" s="8" t="s">
        <v>372</v>
      </c>
      <c r="D80" s="4">
        <v>437.53999999999996</v>
      </c>
      <c r="E80" s="4">
        <v>812.25783145673302</v>
      </c>
      <c r="F80" s="4">
        <f>_xll.AtlasFormulas.AtlasFunctions.AtlasBalance("PROD",DataAreaId,"T.TPPTrans_sst|InventDimId~inventDimId@T.InventDim","Sum|Qty|0","","","","","","","ItemId|TransDate|T2.InventSiteId|T2.InventLocationId",$A80,PeriodBeginning,$B80,$C80)</f>
        <v>-57</v>
      </c>
      <c r="G80" s="4">
        <f>_xll.AtlasFormulas.AtlasFunctions.AtlasBalance("PROD",DataAreaId,"T.TPPTrans_sst|InventDimId~inventDimId@T.InventDim","Sum|Qty|0","","","","","","","ItemId|TransDate|T2.InventSiteId|T2.InventLocationId",$A80,PeriodEnding,$B80,$C80)</f>
        <v>0</v>
      </c>
      <c r="H80" s="4">
        <f>AtlasReport_4_Table_1[[#This Row],[Quantity]]-AtlasReport_4_Table_1[[#This Row],[TPP trans backwards (Beginning)]]</f>
        <v>494.53999999999996</v>
      </c>
      <c r="I80" s="4">
        <f>AtlasReport_4_Table_1[[#This Row],[Quantity]]-AtlasReport_4_Table_1[[#This Row],[TPP trans backwards (Ending)]]</f>
        <v>437.53999999999996</v>
      </c>
      <c r="J80" s="4">
        <f>_xll.AtlasFormulas.AtlasFunctions.AtlasBalance("PROD",DataAreaId,"T.TPPTrans_sst|InventDimId~inventDimId@T.InventDim","Sum|CostAmount|0","","","","","","","ItemId|TransDate|T2.InventSiteId|T2.InventLocationId",$A80,PeriodBeginning,$B80,$C80)</f>
        <v>-105.82</v>
      </c>
      <c r="K80" s="4">
        <f>_xll.AtlasFormulas.AtlasFunctions.AtlasBalance("PROD",DataAreaId,"T.TPPTrans_sst|InventDimId~inventDimId@T.InventDim","Sum|CostAmount|0","","","","","","","ItemId|TransDate|T2.InventSiteId|T2.InventLocationId",$A80,PeriodEnding,$B80,$C80)</f>
        <v>0</v>
      </c>
      <c r="L80" s="4">
        <f>AtlasReport_4_Table_1[[#This Row],[TPP cost amount]]-AtlasReport_4_Table_1[[#This Row],[TPP trans backwards balance (Beginning)]]</f>
        <v>918.07783145673307</v>
      </c>
      <c r="M80" s="4">
        <f>AtlasReport_4_Table_1[[#This Row],[TPP cost amount]]-AtlasReport_4_Table_1[[#This Row],[TPP trans backwards balance (Ending)]]</f>
        <v>812.25783145673302</v>
      </c>
    </row>
    <row r="81" spans="1:13">
      <c r="A81" s="8" t="s">
        <v>21</v>
      </c>
      <c r="B81" s="8" t="s">
        <v>371</v>
      </c>
      <c r="C81" s="8" t="s">
        <v>372</v>
      </c>
      <c r="D81" s="4">
        <v>232.8</v>
      </c>
      <c r="E81" s="4">
        <v>847.10500554211012</v>
      </c>
      <c r="F81" s="4">
        <f>_xll.AtlasFormulas.AtlasFunctions.AtlasBalance("PROD",DataAreaId,"T.TPPTrans_sst|InventDimId~inventDimId@T.InventDim","Sum|Qty|0","","","","","","","ItemId|TransDate|T2.InventSiteId|T2.InventLocationId",$A81,PeriodBeginning,$B81,$C81)</f>
        <v>0</v>
      </c>
      <c r="G81" s="4">
        <f>_xll.AtlasFormulas.AtlasFunctions.AtlasBalance("PROD",DataAreaId,"T.TPPTrans_sst|InventDimId~inventDimId@T.InventDim","Sum|Qty|0","","","","","","","ItemId|TransDate|T2.InventSiteId|T2.InventLocationId",$A81,PeriodEnding,$B81,$C81)</f>
        <v>0</v>
      </c>
      <c r="H81" s="4">
        <f>AtlasReport_4_Table_1[[#This Row],[Quantity]]-AtlasReport_4_Table_1[[#This Row],[TPP trans backwards (Beginning)]]</f>
        <v>232.8</v>
      </c>
      <c r="I81" s="4">
        <f>AtlasReport_4_Table_1[[#This Row],[Quantity]]-AtlasReport_4_Table_1[[#This Row],[TPP trans backwards (Ending)]]</f>
        <v>232.8</v>
      </c>
      <c r="J81" s="4">
        <f>_xll.AtlasFormulas.AtlasFunctions.AtlasBalance("PROD",DataAreaId,"T.TPPTrans_sst|InventDimId~inventDimId@T.InventDim","Sum|CostAmount|0","","","","","","","ItemId|TransDate|T2.InventSiteId|T2.InventLocationId",$A81,PeriodBeginning,$B81,$C81)</f>
        <v>0</v>
      </c>
      <c r="K81" s="4">
        <f>_xll.AtlasFormulas.AtlasFunctions.AtlasBalance("PROD",DataAreaId,"T.TPPTrans_sst|InventDimId~inventDimId@T.InventDim","Sum|CostAmount|0","","","","","","","ItemId|TransDate|T2.InventSiteId|T2.InventLocationId",$A81,PeriodEnding,$B81,$C81)</f>
        <v>0</v>
      </c>
      <c r="L81" s="4">
        <f>AtlasReport_4_Table_1[[#This Row],[TPP cost amount]]-AtlasReport_4_Table_1[[#This Row],[TPP trans backwards balance (Beginning)]]</f>
        <v>847.10500554211012</v>
      </c>
      <c r="M81" s="4">
        <f>AtlasReport_4_Table_1[[#This Row],[TPP cost amount]]-AtlasReport_4_Table_1[[#This Row],[TPP trans backwards balance (Ending)]]</f>
        <v>847.10500554211012</v>
      </c>
    </row>
    <row r="82" spans="1:13">
      <c r="A82" s="8" t="s">
        <v>68</v>
      </c>
      <c r="B82" s="8" t="s">
        <v>371</v>
      </c>
      <c r="C82" s="8" t="s">
        <v>372</v>
      </c>
      <c r="D82" s="4">
        <v>235</v>
      </c>
      <c r="E82" s="4">
        <v>1215.8515271317801</v>
      </c>
      <c r="F82" s="4">
        <f>_xll.AtlasFormulas.AtlasFunctions.AtlasBalance("PROD",DataAreaId,"T.TPPTrans_sst|InventDimId~inventDimId@T.InventDim","Sum|Qty|0","","","","","","","ItemId|TransDate|T2.InventSiteId|T2.InventLocationId",$A82,PeriodBeginning,$B82,$C82)</f>
        <v>0</v>
      </c>
      <c r="G82" s="4">
        <f>_xll.AtlasFormulas.AtlasFunctions.AtlasBalance("PROD",DataAreaId,"T.TPPTrans_sst|InventDimId~inventDimId@T.InventDim","Sum|Qty|0","","","","","","","ItemId|TransDate|T2.InventSiteId|T2.InventLocationId",$A82,PeriodEnding,$B82,$C82)</f>
        <v>0</v>
      </c>
      <c r="H82" s="4">
        <f>AtlasReport_4_Table_1[[#This Row],[Quantity]]-AtlasReport_4_Table_1[[#This Row],[TPP trans backwards (Beginning)]]</f>
        <v>235</v>
      </c>
      <c r="I82" s="4">
        <f>AtlasReport_4_Table_1[[#This Row],[Quantity]]-AtlasReport_4_Table_1[[#This Row],[TPP trans backwards (Ending)]]</f>
        <v>235</v>
      </c>
      <c r="J82" s="4">
        <f>_xll.AtlasFormulas.AtlasFunctions.AtlasBalance("PROD",DataAreaId,"T.TPPTrans_sst|InventDimId~inventDimId@T.InventDim","Sum|CostAmount|0","","","","","","","ItemId|TransDate|T2.InventSiteId|T2.InventLocationId",$A82,PeriodBeginning,$B82,$C82)</f>
        <v>0</v>
      </c>
      <c r="K82" s="4">
        <f>_xll.AtlasFormulas.AtlasFunctions.AtlasBalance("PROD",DataAreaId,"T.TPPTrans_sst|InventDimId~inventDimId@T.InventDim","Sum|CostAmount|0","","","","","","","ItemId|TransDate|T2.InventSiteId|T2.InventLocationId",$A82,PeriodEnding,$B82,$C82)</f>
        <v>0</v>
      </c>
      <c r="L82" s="4">
        <f>AtlasReport_4_Table_1[[#This Row],[TPP cost amount]]-AtlasReport_4_Table_1[[#This Row],[TPP trans backwards balance (Beginning)]]</f>
        <v>1215.8515271317801</v>
      </c>
      <c r="M82" s="4">
        <f>AtlasReport_4_Table_1[[#This Row],[TPP cost amount]]-AtlasReport_4_Table_1[[#This Row],[TPP trans backwards balance (Ending)]]</f>
        <v>1215.8515271317801</v>
      </c>
    </row>
    <row r="83" spans="1:13">
      <c r="A83" s="8" t="s">
        <v>56</v>
      </c>
      <c r="B83" s="8" t="s">
        <v>371</v>
      </c>
      <c r="C83" s="8" t="s">
        <v>372</v>
      </c>
      <c r="D83" s="4">
        <v>705.06999999999994</v>
      </c>
      <c r="E83" s="4">
        <v>2213.7289694833198</v>
      </c>
      <c r="F83" s="4">
        <f>_xll.AtlasFormulas.AtlasFunctions.AtlasBalance("PROD",DataAreaId,"T.TPPTrans_sst|InventDimId~inventDimId@T.InventDim","Sum|Qty|0","","","","","","","ItemId|TransDate|T2.InventSiteId|T2.InventLocationId",$A83,PeriodBeginning,$B83,$C83)</f>
        <v>0</v>
      </c>
      <c r="G83" s="4">
        <f>_xll.AtlasFormulas.AtlasFunctions.AtlasBalance("PROD",DataAreaId,"T.TPPTrans_sst|InventDimId~inventDimId@T.InventDim","Sum|Qty|0","","","","","","","ItemId|TransDate|T2.InventSiteId|T2.InventLocationId",$A83,PeriodEnding,$B83,$C83)</f>
        <v>0</v>
      </c>
      <c r="H83" s="4">
        <f>AtlasReport_4_Table_1[[#This Row],[Quantity]]-AtlasReport_4_Table_1[[#This Row],[TPP trans backwards (Beginning)]]</f>
        <v>705.06999999999994</v>
      </c>
      <c r="I83" s="4">
        <f>AtlasReport_4_Table_1[[#This Row],[Quantity]]-AtlasReport_4_Table_1[[#This Row],[TPP trans backwards (Ending)]]</f>
        <v>705.06999999999994</v>
      </c>
      <c r="J83" s="4">
        <f>_xll.AtlasFormulas.AtlasFunctions.AtlasBalance("PROD",DataAreaId,"T.TPPTrans_sst|InventDimId~inventDimId@T.InventDim","Sum|CostAmount|0","","","","","","","ItemId|TransDate|T2.InventSiteId|T2.InventLocationId",$A83,PeriodBeginning,$B83,$C83)</f>
        <v>0</v>
      </c>
      <c r="K83" s="4">
        <f>_xll.AtlasFormulas.AtlasFunctions.AtlasBalance("PROD",DataAreaId,"T.TPPTrans_sst|InventDimId~inventDimId@T.InventDim","Sum|CostAmount|0","","","","","","","ItemId|TransDate|T2.InventSiteId|T2.InventLocationId",$A83,PeriodEnding,$B83,$C83)</f>
        <v>0</v>
      </c>
      <c r="L83" s="4">
        <f>AtlasReport_4_Table_1[[#This Row],[TPP cost amount]]-AtlasReport_4_Table_1[[#This Row],[TPP trans backwards balance (Beginning)]]</f>
        <v>2213.7289694833198</v>
      </c>
      <c r="M83" s="4">
        <f>AtlasReport_4_Table_1[[#This Row],[TPP cost amount]]-AtlasReport_4_Table_1[[#This Row],[TPP trans backwards balance (Ending)]]</f>
        <v>2213.7289694833198</v>
      </c>
    </row>
    <row r="84" spans="1:13">
      <c r="A84" s="8" t="s">
        <v>57</v>
      </c>
      <c r="B84" s="8" t="s">
        <v>371</v>
      </c>
      <c r="C84" s="8" t="s">
        <v>372</v>
      </c>
      <c r="D84" s="4">
        <v>578.78</v>
      </c>
      <c r="E84" s="4">
        <v>2000.1484335473008</v>
      </c>
      <c r="F84" s="4">
        <f>_xll.AtlasFormulas.AtlasFunctions.AtlasBalance("PROD",DataAreaId,"T.TPPTrans_sst|InventDimId~inventDimId@T.InventDim","Sum|Qty|0","","","","","","","ItemId|TransDate|T2.InventSiteId|T2.InventLocationId",$A84,PeriodBeginning,$B84,$C84)</f>
        <v>-225</v>
      </c>
      <c r="G84" s="4">
        <f>_xll.AtlasFormulas.AtlasFunctions.AtlasBalance("PROD",DataAreaId,"T.TPPTrans_sst|InventDimId~inventDimId@T.InventDim","Sum|Qty|0","","","","","","","ItemId|TransDate|T2.InventSiteId|T2.InventLocationId",$A84,PeriodEnding,$B84,$C84)</f>
        <v>0</v>
      </c>
      <c r="H84" s="4">
        <f>AtlasReport_4_Table_1[[#This Row],[Quantity]]-AtlasReport_4_Table_1[[#This Row],[TPP trans backwards (Beginning)]]</f>
        <v>803.78</v>
      </c>
      <c r="I84" s="4">
        <f>AtlasReport_4_Table_1[[#This Row],[Quantity]]-AtlasReport_4_Table_1[[#This Row],[TPP trans backwards (Ending)]]</f>
        <v>578.78</v>
      </c>
      <c r="J84" s="4">
        <f>_xll.AtlasFormulas.AtlasFunctions.AtlasBalance("PROD",DataAreaId,"T.TPPTrans_sst|InventDimId~inventDimId@T.InventDim","Sum|CostAmount|0","","","","","","","ItemId|TransDate|T2.InventSiteId|T2.InventLocationId",$A84,PeriodBeginning,$B84,$C84)</f>
        <v>-777.56</v>
      </c>
      <c r="K84" s="4">
        <f>_xll.AtlasFormulas.AtlasFunctions.AtlasBalance("PROD",DataAreaId,"T.TPPTrans_sst|InventDimId~inventDimId@T.InventDim","Sum|CostAmount|0","","","","","","","ItemId|TransDate|T2.InventSiteId|T2.InventLocationId",$A84,PeriodEnding,$B84,$C84)</f>
        <v>0</v>
      </c>
      <c r="L84" s="4">
        <f>AtlasReport_4_Table_1[[#This Row],[TPP cost amount]]-AtlasReport_4_Table_1[[#This Row],[TPP trans backwards balance (Beginning)]]</f>
        <v>2777.708433547301</v>
      </c>
      <c r="M84" s="4">
        <f>AtlasReport_4_Table_1[[#This Row],[TPP cost amount]]-AtlasReport_4_Table_1[[#This Row],[TPP trans backwards balance (Ending)]]</f>
        <v>2000.1484335473008</v>
      </c>
    </row>
    <row r="85" spans="1:13">
      <c r="A85" s="8" t="s">
        <v>421</v>
      </c>
      <c r="B85" s="8" t="s">
        <v>371</v>
      </c>
      <c r="C85" s="8" t="s">
        <v>372</v>
      </c>
      <c r="D85" s="4">
        <v>9.58</v>
      </c>
      <c r="E85" s="4">
        <v>0</v>
      </c>
      <c r="F85" s="4">
        <f>_xll.AtlasFormulas.AtlasFunctions.AtlasBalance("PROD",DataAreaId,"T.TPPTrans_sst|InventDimId~inventDimId@T.InventDim","Sum|Qty|0","","","","","","","ItemId|TransDate|T2.InventSiteId|T2.InventLocationId",$A85,PeriodBeginning,$B85,$C85)</f>
        <v>-9</v>
      </c>
      <c r="G85" s="4">
        <f>_xll.AtlasFormulas.AtlasFunctions.AtlasBalance("PROD",DataAreaId,"T.TPPTrans_sst|InventDimId~inventDimId@T.InventDim","Sum|Qty|0","","","","","","","ItemId|TransDate|T2.InventSiteId|T2.InventLocationId",$A85,PeriodEnding,$B85,$C85)</f>
        <v>0</v>
      </c>
      <c r="H85" s="4">
        <f>AtlasReport_4_Table_1[[#This Row],[Quantity]]-AtlasReport_4_Table_1[[#This Row],[TPP trans backwards (Beginning)]]</f>
        <v>18.579999999999998</v>
      </c>
      <c r="I85" s="4">
        <f>AtlasReport_4_Table_1[[#This Row],[Quantity]]-AtlasReport_4_Table_1[[#This Row],[TPP trans backwards (Ending)]]</f>
        <v>9.58</v>
      </c>
      <c r="J85" s="4">
        <f>_xll.AtlasFormulas.AtlasFunctions.AtlasBalance("PROD",DataAreaId,"T.TPPTrans_sst|InventDimId~inventDimId@T.InventDim","Sum|CostAmount|0","","","","","","","ItemId|TransDate|T2.InventSiteId|T2.InventLocationId",$A85,PeriodBeginning,$B85,$C85)</f>
        <v>0</v>
      </c>
      <c r="K85" s="4">
        <f>_xll.AtlasFormulas.AtlasFunctions.AtlasBalance("PROD",DataAreaId,"T.TPPTrans_sst|InventDimId~inventDimId@T.InventDim","Sum|CostAmount|0","","","","","","","ItemId|TransDate|T2.InventSiteId|T2.InventLocationId",$A85,PeriodEnding,$B85,$C85)</f>
        <v>0</v>
      </c>
      <c r="L85" s="4">
        <f>AtlasReport_4_Table_1[[#This Row],[TPP cost amount]]-AtlasReport_4_Table_1[[#This Row],[TPP trans backwards balance (Beginning)]]</f>
        <v>0</v>
      </c>
      <c r="M85" s="4">
        <f>AtlasReport_4_Table_1[[#This Row],[TPP cost amount]]-AtlasReport_4_Table_1[[#This Row],[TPP trans backwards balance (Ending)]]</f>
        <v>0</v>
      </c>
    </row>
    <row r="86" spans="1:13">
      <c r="A86" s="8" t="s">
        <v>616</v>
      </c>
      <c r="B86" s="8" t="s">
        <v>371</v>
      </c>
      <c r="C86" s="8" t="s">
        <v>372</v>
      </c>
      <c r="D86" s="4">
        <v>984</v>
      </c>
      <c r="E86" s="4">
        <v>0</v>
      </c>
      <c r="F86" s="4">
        <f>_xll.AtlasFormulas.AtlasFunctions.AtlasBalance("PROD",DataAreaId,"T.TPPTrans_sst|InventDimId~inventDimId@T.InventDim","Sum|Qty|0","","","","","","","ItemId|TransDate|T2.InventSiteId|T2.InventLocationId",$A86,PeriodBeginning,$B86,$C86)</f>
        <v>-12</v>
      </c>
      <c r="G86" s="4">
        <f>_xll.AtlasFormulas.AtlasFunctions.AtlasBalance("PROD",DataAreaId,"T.TPPTrans_sst|InventDimId~inventDimId@T.InventDim","Sum|Qty|0","","","","","","","ItemId|TransDate|T2.InventSiteId|T2.InventLocationId",$A86,PeriodEnding,$B86,$C86)</f>
        <v>0</v>
      </c>
      <c r="H86" s="4">
        <f>AtlasReport_4_Table_1[[#This Row],[Quantity]]-AtlasReport_4_Table_1[[#This Row],[TPP trans backwards (Beginning)]]</f>
        <v>996</v>
      </c>
      <c r="I86" s="4">
        <f>AtlasReport_4_Table_1[[#This Row],[Quantity]]-AtlasReport_4_Table_1[[#This Row],[TPP trans backwards (Ending)]]</f>
        <v>984</v>
      </c>
      <c r="J86" s="4">
        <f>_xll.AtlasFormulas.AtlasFunctions.AtlasBalance("PROD",DataAreaId,"T.TPPTrans_sst|InventDimId~inventDimId@T.InventDim","Sum|CostAmount|0","","","","","","","ItemId|TransDate|T2.InventSiteId|T2.InventLocationId",$A86,PeriodBeginning,$B86,$C86)</f>
        <v>0</v>
      </c>
      <c r="K86" s="4">
        <f>_xll.AtlasFormulas.AtlasFunctions.AtlasBalance("PROD",DataAreaId,"T.TPPTrans_sst|InventDimId~inventDimId@T.InventDim","Sum|CostAmount|0","","","","","","","ItemId|TransDate|T2.InventSiteId|T2.InventLocationId",$A86,PeriodEnding,$B86,$C86)</f>
        <v>0</v>
      </c>
      <c r="L86" s="4">
        <f>AtlasReport_4_Table_1[[#This Row],[TPP cost amount]]-AtlasReport_4_Table_1[[#This Row],[TPP trans backwards balance (Beginning)]]</f>
        <v>0</v>
      </c>
      <c r="M86" s="4">
        <f>AtlasReport_4_Table_1[[#This Row],[TPP cost amount]]-AtlasReport_4_Table_1[[#This Row],[TPP trans backwards balance (Ending)]]</f>
        <v>0</v>
      </c>
    </row>
    <row r="87" spans="1:13">
      <c r="A87" s="8" t="s">
        <v>624</v>
      </c>
      <c r="B87" s="8" t="s">
        <v>371</v>
      </c>
      <c r="C87" s="8" t="s">
        <v>372</v>
      </c>
      <c r="D87" s="4">
        <v>833</v>
      </c>
      <c r="E87" s="4">
        <v>0</v>
      </c>
      <c r="F87" s="4">
        <f>_xll.AtlasFormulas.AtlasFunctions.AtlasBalance("PROD",DataAreaId,"T.TPPTrans_sst|InventDimId~inventDimId@T.InventDim","Sum|Qty|0","","","","","","","ItemId|TransDate|T2.InventSiteId|T2.InventLocationId",$A87,PeriodBeginning,$B87,$C87)</f>
        <v>-31</v>
      </c>
      <c r="G87" s="4">
        <f>_xll.AtlasFormulas.AtlasFunctions.AtlasBalance("PROD",DataAreaId,"T.TPPTrans_sst|InventDimId~inventDimId@T.InventDim","Sum|Qty|0","","","","","","","ItemId|TransDate|T2.InventSiteId|T2.InventLocationId",$A87,PeriodEnding,$B87,$C87)</f>
        <v>0</v>
      </c>
      <c r="H87" s="4">
        <f>AtlasReport_4_Table_1[[#This Row],[Quantity]]-AtlasReport_4_Table_1[[#This Row],[TPP trans backwards (Beginning)]]</f>
        <v>864</v>
      </c>
      <c r="I87" s="4">
        <f>AtlasReport_4_Table_1[[#This Row],[Quantity]]-AtlasReport_4_Table_1[[#This Row],[TPP trans backwards (Ending)]]</f>
        <v>833</v>
      </c>
      <c r="J87" s="4">
        <f>_xll.AtlasFormulas.AtlasFunctions.AtlasBalance("PROD",DataAreaId,"T.TPPTrans_sst|InventDimId~inventDimId@T.InventDim","Sum|CostAmount|0","","","","","","","ItemId|TransDate|T2.InventSiteId|T2.InventLocationId",$A87,PeriodBeginning,$B87,$C87)</f>
        <v>0</v>
      </c>
      <c r="K87" s="4">
        <f>_xll.AtlasFormulas.AtlasFunctions.AtlasBalance("PROD",DataAreaId,"T.TPPTrans_sst|InventDimId~inventDimId@T.InventDim","Sum|CostAmount|0","","","","","","","ItemId|TransDate|T2.InventSiteId|T2.InventLocationId",$A87,PeriodEnding,$B87,$C87)</f>
        <v>0</v>
      </c>
      <c r="L87" s="4">
        <f>AtlasReport_4_Table_1[[#This Row],[TPP cost amount]]-AtlasReport_4_Table_1[[#This Row],[TPP trans backwards balance (Beginning)]]</f>
        <v>0</v>
      </c>
      <c r="M87" s="4">
        <f>AtlasReport_4_Table_1[[#This Row],[TPP cost amount]]-AtlasReport_4_Table_1[[#This Row],[TPP trans backwards balance (Ending)]]</f>
        <v>0</v>
      </c>
    </row>
    <row r="88" spans="1:13">
      <c r="A88" s="8" t="s">
        <v>626</v>
      </c>
      <c r="B88" s="8" t="s">
        <v>371</v>
      </c>
      <c r="C88" s="8" t="s">
        <v>372</v>
      </c>
      <c r="D88" s="4">
        <v>0</v>
      </c>
      <c r="E88" s="4">
        <v>0</v>
      </c>
      <c r="F88" s="4">
        <f>_xll.AtlasFormulas.AtlasFunctions.AtlasBalance("PROD",DataAreaId,"T.TPPTrans_sst|InventDimId~inventDimId@T.InventDim","Sum|Qty|0","","","","","","","ItemId|TransDate|T2.InventSiteId|T2.InventLocationId",$A88,PeriodBeginning,$B88,$C88)</f>
        <v>0</v>
      </c>
      <c r="G88" s="4">
        <f>_xll.AtlasFormulas.AtlasFunctions.AtlasBalance("PROD",DataAreaId,"T.TPPTrans_sst|InventDimId~inventDimId@T.InventDim","Sum|Qty|0","","","","","","","ItemId|TransDate|T2.InventSiteId|T2.InventLocationId",$A88,PeriodEnding,$B88,$C88)</f>
        <v>0</v>
      </c>
      <c r="H88" s="4">
        <f>AtlasReport_4_Table_1[[#This Row],[Quantity]]-AtlasReport_4_Table_1[[#This Row],[TPP trans backwards (Beginning)]]</f>
        <v>0</v>
      </c>
      <c r="I88" s="4">
        <f>AtlasReport_4_Table_1[[#This Row],[Quantity]]-AtlasReport_4_Table_1[[#This Row],[TPP trans backwards (Ending)]]</f>
        <v>0</v>
      </c>
      <c r="J88" s="4">
        <f>_xll.AtlasFormulas.AtlasFunctions.AtlasBalance("PROD",DataAreaId,"T.TPPTrans_sst|InventDimId~inventDimId@T.InventDim","Sum|CostAmount|0","","","","","","","ItemId|TransDate|T2.InventSiteId|T2.InventLocationId",$A88,PeriodBeginning,$B88,$C88)</f>
        <v>0</v>
      </c>
      <c r="K88" s="4">
        <f>_xll.AtlasFormulas.AtlasFunctions.AtlasBalance("PROD",DataAreaId,"T.TPPTrans_sst|InventDimId~inventDimId@T.InventDim","Sum|CostAmount|0","","","","","","","ItemId|TransDate|T2.InventSiteId|T2.InventLocationId",$A88,PeriodEnding,$B88,$C88)</f>
        <v>0</v>
      </c>
      <c r="L88" s="4">
        <f>AtlasReport_4_Table_1[[#This Row],[TPP cost amount]]-AtlasReport_4_Table_1[[#This Row],[TPP trans backwards balance (Beginning)]]</f>
        <v>0</v>
      </c>
      <c r="M88" s="4">
        <f>AtlasReport_4_Table_1[[#This Row],[TPP cost amount]]-AtlasReport_4_Table_1[[#This Row],[TPP trans backwards balance (Ending)]]</f>
        <v>0</v>
      </c>
    </row>
    <row r="89" spans="1:13">
      <c r="A89" s="8" t="s">
        <v>387</v>
      </c>
      <c r="B89" s="8" t="s">
        <v>371</v>
      </c>
      <c r="C89" s="8" t="s">
        <v>372</v>
      </c>
      <c r="D89" s="4">
        <v>1746</v>
      </c>
      <c r="E89" s="4">
        <v>0</v>
      </c>
      <c r="F89" s="4">
        <f>_xll.AtlasFormulas.AtlasFunctions.AtlasBalance("PROD",DataAreaId,"T.TPPTrans_sst|InventDimId~inventDimId@T.InventDim","Sum|Qty|0","","","","","","","ItemId|TransDate|T2.InventSiteId|T2.InventLocationId",$A89,PeriodBeginning,$B89,$C89)</f>
        <v>-828</v>
      </c>
      <c r="G89" s="4">
        <f>_xll.AtlasFormulas.AtlasFunctions.AtlasBalance("PROD",DataAreaId,"T.TPPTrans_sst|InventDimId~inventDimId@T.InventDim","Sum|Qty|0","","","","","","","ItemId|TransDate|T2.InventSiteId|T2.InventLocationId",$A89,PeriodEnding,$B89,$C89)</f>
        <v>0</v>
      </c>
      <c r="H89" s="4">
        <f>AtlasReport_4_Table_1[[#This Row],[Quantity]]-AtlasReport_4_Table_1[[#This Row],[TPP trans backwards (Beginning)]]</f>
        <v>2574</v>
      </c>
      <c r="I89" s="4">
        <f>AtlasReport_4_Table_1[[#This Row],[Quantity]]-AtlasReport_4_Table_1[[#This Row],[TPP trans backwards (Ending)]]</f>
        <v>1746</v>
      </c>
      <c r="J89" s="4">
        <f>_xll.AtlasFormulas.AtlasFunctions.AtlasBalance("PROD",DataAreaId,"T.TPPTrans_sst|InventDimId~inventDimId@T.InventDim","Sum|CostAmount|0","","","","","","","ItemId|TransDate|T2.InventSiteId|T2.InventLocationId",$A89,PeriodBeginning,$B89,$C89)</f>
        <v>0</v>
      </c>
      <c r="K89" s="4">
        <f>_xll.AtlasFormulas.AtlasFunctions.AtlasBalance("PROD",DataAreaId,"T.TPPTrans_sst|InventDimId~inventDimId@T.InventDim","Sum|CostAmount|0","","","","","","","ItemId|TransDate|T2.InventSiteId|T2.InventLocationId",$A89,PeriodEnding,$B89,$C89)</f>
        <v>0</v>
      </c>
      <c r="L89" s="4">
        <f>AtlasReport_4_Table_1[[#This Row],[TPP cost amount]]-AtlasReport_4_Table_1[[#This Row],[TPP trans backwards balance (Beginning)]]</f>
        <v>0</v>
      </c>
      <c r="M89" s="4">
        <f>AtlasReport_4_Table_1[[#This Row],[TPP cost amount]]-AtlasReport_4_Table_1[[#This Row],[TPP trans backwards balance (Ending)]]</f>
        <v>0</v>
      </c>
    </row>
    <row r="90" spans="1:13">
      <c r="A90" s="8" t="s">
        <v>377</v>
      </c>
      <c r="B90" s="8" t="s">
        <v>371</v>
      </c>
      <c r="C90" s="8" t="s">
        <v>372</v>
      </c>
      <c r="D90" s="4">
        <v>687</v>
      </c>
      <c r="E90" s="4">
        <v>0</v>
      </c>
      <c r="F90" s="4">
        <f>_xll.AtlasFormulas.AtlasFunctions.AtlasBalance("PROD",DataAreaId,"T.TPPTrans_sst|InventDimId~inventDimId@T.InventDim","Sum|Qty|0","","","","","","","ItemId|TransDate|T2.InventSiteId|T2.InventLocationId",$A90,PeriodBeginning,$B90,$C90)</f>
        <v>-39</v>
      </c>
      <c r="G90" s="4">
        <f>_xll.AtlasFormulas.AtlasFunctions.AtlasBalance("PROD",DataAreaId,"T.TPPTrans_sst|InventDimId~inventDimId@T.InventDim","Sum|Qty|0","","","","","","","ItemId|TransDate|T2.InventSiteId|T2.InventLocationId",$A90,PeriodEnding,$B90,$C90)</f>
        <v>0</v>
      </c>
      <c r="H90" s="4">
        <f>AtlasReport_4_Table_1[[#This Row],[Quantity]]-AtlasReport_4_Table_1[[#This Row],[TPP trans backwards (Beginning)]]</f>
        <v>726</v>
      </c>
      <c r="I90" s="4">
        <f>AtlasReport_4_Table_1[[#This Row],[Quantity]]-AtlasReport_4_Table_1[[#This Row],[TPP trans backwards (Ending)]]</f>
        <v>687</v>
      </c>
      <c r="J90" s="4">
        <f>_xll.AtlasFormulas.AtlasFunctions.AtlasBalance("PROD",DataAreaId,"T.TPPTrans_sst|InventDimId~inventDimId@T.InventDim","Sum|CostAmount|0","","","","","","","ItemId|TransDate|T2.InventSiteId|T2.InventLocationId",$A90,PeriodBeginning,$B90,$C90)</f>
        <v>0</v>
      </c>
      <c r="K90" s="4">
        <f>_xll.AtlasFormulas.AtlasFunctions.AtlasBalance("PROD",DataAreaId,"T.TPPTrans_sst|InventDimId~inventDimId@T.InventDim","Sum|CostAmount|0","","","","","","","ItemId|TransDate|T2.InventSiteId|T2.InventLocationId",$A90,PeriodEnding,$B90,$C90)</f>
        <v>0</v>
      </c>
      <c r="L90" s="4">
        <f>AtlasReport_4_Table_1[[#This Row],[TPP cost amount]]-AtlasReport_4_Table_1[[#This Row],[TPP trans backwards balance (Beginning)]]</f>
        <v>0</v>
      </c>
      <c r="M90" s="4">
        <f>AtlasReport_4_Table_1[[#This Row],[TPP cost amount]]-AtlasReport_4_Table_1[[#This Row],[TPP trans backwards balance (Ending)]]</f>
        <v>0</v>
      </c>
    </row>
    <row r="91" spans="1:13">
      <c r="A91" s="8" t="s">
        <v>632</v>
      </c>
      <c r="B91" s="8" t="s">
        <v>371</v>
      </c>
      <c r="C91" s="8" t="s">
        <v>372</v>
      </c>
      <c r="D91" s="4">
        <v>118</v>
      </c>
      <c r="E91" s="4">
        <v>32.895232854637996</v>
      </c>
      <c r="F91" s="4">
        <f>_xll.AtlasFormulas.AtlasFunctions.AtlasBalance("PROD",DataAreaId,"T.TPPTrans_sst|InventDimId~inventDimId@T.InventDim","Sum|Qty|0","","","","","","","ItemId|TransDate|T2.InventSiteId|T2.InventLocationId",$A91,PeriodBeginning,$B91,$C91)</f>
        <v>107</v>
      </c>
      <c r="G91" s="4">
        <f>_xll.AtlasFormulas.AtlasFunctions.AtlasBalance("PROD",DataAreaId,"T.TPPTrans_sst|InventDimId~inventDimId@T.InventDim","Sum|Qty|0","","","","","","","ItemId|TransDate|T2.InventSiteId|T2.InventLocationId",$A91,PeriodEnding,$B91,$C91)</f>
        <v>0</v>
      </c>
      <c r="H91" s="4">
        <f>AtlasReport_4_Table_1[[#This Row],[Quantity]]-AtlasReport_4_Table_1[[#This Row],[TPP trans backwards (Beginning)]]</f>
        <v>11</v>
      </c>
      <c r="I91" s="4">
        <f>AtlasReport_4_Table_1[[#This Row],[Quantity]]-AtlasReport_4_Table_1[[#This Row],[TPP trans backwards (Ending)]]</f>
        <v>118</v>
      </c>
      <c r="J91" s="4">
        <f>_xll.AtlasFormulas.AtlasFunctions.AtlasBalance("PROD",DataAreaId,"T.TPPTrans_sst|InventDimId~inventDimId@T.InventDim","Sum|CostAmount|0","","","","","","","ItemId|TransDate|T2.InventSiteId|T2.InventLocationId",$A91,PeriodBeginning,$B91,$C91)</f>
        <v>-3.63</v>
      </c>
      <c r="K91" s="4">
        <f>_xll.AtlasFormulas.AtlasFunctions.AtlasBalance("PROD",DataAreaId,"T.TPPTrans_sst|InventDimId~inventDimId@T.InventDim","Sum|CostAmount|0","","","","","","","ItemId|TransDate|T2.InventSiteId|T2.InventLocationId",$A91,PeriodEnding,$B91,$C91)</f>
        <v>0</v>
      </c>
      <c r="L91" s="4">
        <f>AtlasReport_4_Table_1[[#This Row],[TPP cost amount]]-AtlasReport_4_Table_1[[#This Row],[TPP trans backwards balance (Beginning)]]</f>
        <v>36.525232854637999</v>
      </c>
      <c r="M91" s="4">
        <f>AtlasReport_4_Table_1[[#This Row],[TPP cost amount]]-AtlasReport_4_Table_1[[#This Row],[TPP trans backwards balance (Ending)]]</f>
        <v>32.895232854637996</v>
      </c>
    </row>
    <row r="92" spans="1:13">
      <c r="A92" s="8" t="s">
        <v>636</v>
      </c>
      <c r="B92" s="8" t="s">
        <v>371</v>
      </c>
      <c r="C92" s="8" t="s">
        <v>372</v>
      </c>
      <c r="D92" s="4">
        <v>10</v>
      </c>
      <c r="E92" s="4">
        <v>109.28224480743101</v>
      </c>
      <c r="F92" s="4">
        <f>_xll.AtlasFormulas.AtlasFunctions.AtlasBalance("PROD",DataAreaId,"T.TPPTrans_sst|InventDimId~inventDimId@T.InventDim","Sum|Qty|0","","","","","","","ItemId|TransDate|T2.InventSiteId|T2.InventLocationId",$A92,PeriodBeginning,$B92,$C92)</f>
        <v>0</v>
      </c>
      <c r="G92" s="4">
        <f>_xll.AtlasFormulas.AtlasFunctions.AtlasBalance("PROD",DataAreaId,"T.TPPTrans_sst|InventDimId~inventDimId@T.InventDim","Sum|Qty|0","","","","","","","ItemId|TransDate|T2.InventSiteId|T2.InventLocationId",$A92,PeriodEnding,$B92,$C92)</f>
        <v>0</v>
      </c>
      <c r="H92" s="4">
        <f>AtlasReport_4_Table_1[[#This Row],[Quantity]]-AtlasReport_4_Table_1[[#This Row],[TPP trans backwards (Beginning)]]</f>
        <v>10</v>
      </c>
      <c r="I92" s="4">
        <f>AtlasReport_4_Table_1[[#This Row],[Quantity]]-AtlasReport_4_Table_1[[#This Row],[TPP trans backwards (Ending)]]</f>
        <v>10</v>
      </c>
      <c r="J92" s="4">
        <f>_xll.AtlasFormulas.AtlasFunctions.AtlasBalance("PROD",DataAreaId,"T.TPPTrans_sst|InventDimId~inventDimId@T.InventDim","Sum|CostAmount|0","","","","","","","ItemId|TransDate|T2.InventSiteId|T2.InventLocationId",$A92,PeriodBeginning,$B92,$C92)</f>
        <v>0</v>
      </c>
      <c r="K92" s="4">
        <f>_xll.AtlasFormulas.AtlasFunctions.AtlasBalance("PROD",DataAreaId,"T.TPPTrans_sst|InventDimId~inventDimId@T.InventDim","Sum|CostAmount|0","","","","","","","ItemId|TransDate|T2.InventSiteId|T2.InventLocationId",$A92,PeriodEnding,$B92,$C92)</f>
        <v>0</v>
      </c>
      <c r="L92" s="4">
        <f>AtlasReport_4_Table_1[[#This Row],[TPP cost amount]]-AtlasReport_4_Table_1[[#This Row],[TPP trans backwards balance (Beginning)]]</f>
        <v>109.28224480743101</v>
      </c>
      <c r="M92" s="4">
        <f>AtlasReport_4_Table_1[[#This Row],[TPP cost amount]]-AtlasReport_4_Table_1[[#This Row],[TPP trans backwards balance (Ending)]]</f>
        <v>109.28224480743101</v>
      </c>
    </row>
    <row r="93" spans="1:13">
      <c r="A93" s="8" t="s">
        <v>640</v>
      </c>
      <c r="B93" s="8" t="s">
        <v>371</v>
      </c>
      <c r="C93" s="8" t="s">
        <v>372</v>
      </c>
      <c r="D93" s="4">
        <v>17</v>
      </c>
      <c r="E93" s="4">
        <v>72.849939647602</v>
      </c>
      <c r="F93" s="4">
        <f>_xll.AtlasFormulas.AtlasFunctions.AtlasBalance("PROD",DataAreaId,"T.TPPTrans_sst|InventDimId~inventDimId@T.InventDim","Sum|Qty|0","","","","","","","ItemId|TransDate|T2.InventSiteId|T2.InventLocationId",$A93,PeriodBeginning,$B93,$C93)</f>
        <v>0</v>
      </c>
      <c r="G93" s="4">
        <f>_xll.AtlasFormulas.AtlasFunctions.AtlasBalance("PROD",DataAreaId,"T.TPPTrans_sst|InventDimId~inventDimId@T.InventDim","Sum|Qty|0","","","","","","","ItemId|TransDate|T2.InventSiteId|T2.InventLocationId",$A93,PeriodEnding,$B93,$C93)</f>
        <v>0</v>
      </c>
      <c r="H93" s="4">
        <f>AtlasReport_4_Table_1[[#This Row],[Quantity]]-AtlasReport_4_Table_1[[#This Row],[TPP trans backwards (Beginning)]]</f>
        <v>17</v>
      </c>
      <c r="I93" s="4">
        <f>AtlasReport_4_Table_1[[#This Row],[Quantity]]-AtlasReport_4_Table_1[[#This Row],[TPP trans backwards (Ending)]]</f>
        <v>17</v>
      </c>
      <c r="J93" s="4">
        <f>_xll.AtlasFormulas.AtlasFunctions.AtlasBalance("PROD",DataAreaId,"T.TPPTrans_sst|InventDimId~inventDimId@T.InventDim","Sum|CostAmount|0","","","","","","","ItemId|TransDate|T2.InventSiteId|T2.InventLocationId",$A93,PeriodBeginning,$B93,$C93)</f>
        <v>0</v>
      </c>
      <c r="K93" s="4">
        <f>_xll.AtlasFormulas.AtlasFunctions.AtlasBalance("PROD",DataAreaId,"T.TPPTrans_sst|InventDimId~inventDimId@T.InventDim","Sum|CostAmount|0","","","","","","","ItemId|TransDate|T2.InventSiteId|T2.InventLocationId",$A93,PeriodEnding,$B93,$C93)</f>
        <v>0</v>
      </c>
      <c r="L93" s="4">
        <f>AtlasReport_4_Table_1[[#This Row],[TPP cost amount]]-AtlasReport_4_Table_1[[#This Row],[TPP trans backwards balance (Beginning)]]</f>
        <v>72.849939647602</v>
      </c>
      <c r="M93" s="4">
        <f>AtlasReport_4_Table_1[[#This Row],[TPP cost amount]]-AtlasReport_4_Table_1[[#This Row],[TPP trans backwards balance (Ending)]]</f>
        <v>72.849939647602</v>
      </c>
    </row>
    <row r="94" spans="1:13">
      <c r="A94" s="8" t="s">
        <v>300</v>
      </c>
      <c r="B94" s="8" t="s">
        <v>371</v>
      </c>
      <c r="C94" s="8" t="s">
        <v>372</v>
      </c>
      <c r="D94" s="4">
        <v>10</v>
      </c>
      <c r="E94" s="4">
        <v>81.002845577686998</v>
      </c>
      <c r="F94" s="4">
        <f>_xll.AtlasFormulas.AtlasFunctions.AtlasBalance("PROD",DataAreaId,"T.TPPTrans_sst|InventDimId~inventDimId@T.InventDim","Sum|Qty|0","","","","","","","ItemId|TransDate|T2.InventSiteId|T2.InventLocationId",$A94,PeriodBeginning,$B94,$C94)</f>
        <v>0</v>
      </c>
      <c r="G94" s="4">
        <f>_xll.AtlasFormulas.AtlasFunctions.AtlasBalance("PROD",DataAreaId,"T.TPPTrans_sst|InventDimId~inventDimId@T.InventDim","Sum|Qty|0","","","","","","","ItemId|TransDate|T2.InventSiteId|T2.InventLocationId",$A94,PeriodEnding,$B94,$C94)</f>
        <v>0</v>
      </c>
      <c r="H94" s="4">
        <f>AtlasReport_4_Table_1[[#This Row],[Quantity]]-AtlasReport_4_Table_1[[#This Row],[TPP trans backwards (Beginning)]]</f>
        <v>10</v>
      </c>
      <c r="I94" s="4">
        <f>AtlasReport_4_Table_1[[#This Row],[Quantity]]-AtlasReport_4_Table_1[[#This Row],[TPP trans backwards (Ending)]]</f>
        <v>10</v>
      </c>
      <c r="J94" s="4">
        <f>_xll.AtlasFormulas.AtlasFunctions.AtlasBalance("PROD",DataAreaId,"T.TPPTrans_sst|InventDimId~inventDimId@T.InventDim","Sum|CostAmount|0","","","","","","","ItemId|TransDate|T2.InventSiteId|T2.InventLocationId",$A94,PeriodBeginning,$B94,$C94)</f>
        <v>0</v>
      </c>
      <c r="K94" s="4">
        <f>_xll.AtlasFormulas.AtlasFunctions.AtlasBalance("PROD",DataAreaId,"T.TPPTrans_sst|InventDimId~inventDimId@T.InventDim","Sum|CostAmount|0","","","","","","","ItemId|TransDate|T2.InventSiteId|T2.InventLocationId",$A94,PeriodEnding,$B94,$C94)</f>
        <v>0</v>
      </c>
      <c r="L94" s="4">
        <f>AtlasReport_4_Table_1[[#This Row],[TPP cost amount]]-AtlasReport_4_Table_1[[#This Row],[TPP trans backwards balance (Beginning)]]</f>
        <v>81.002845577686998</v>
      </c>
      <c r="M94" s="4">
        <f>AtlasReport_4_Table_1[[#This Row],[TPP cost amount]]-AtlasReport_4_Table_1[[#This Row],[TPP trans backwards balance (Ending)]]</f>
        <v>81.002845577686998</v>
      </c>
    </row>
    <row r="95" spans="1:13">
      <c r="A95" s="8" t="s">
        <v>301</v>
      </c>
      <c r="B95" s="8" t="s">
        <v>371</v>
      </c>
      <c r="C95" s="8" t="s">
        <v>372</v>
      </c>
      <c r="D95" s="4">
        <v>65</v>
      </c>
      <c r="E95" s="4">
        <v>554.24412232578993</v>
      </c>
      <c r="F95" s="4">
        <f>_xll.AtlasFormulas.AtlasFunctions.AtlasBalance("PROD",DataAreaId,"T.TPPTrans_sst|InventDimId~inventDimId@T.InventDim","Sum|Qty|0","","","","","","","ItemId|TransDate|T2.InventSiteId|T2.InventLocationId",$A95,PeriodBeginning,$B95,$C95)</f>
        <v>0</v>
      </c>
      <c r="G95" s="4">
        <f>_xll.AtlasFormulas.AtlasFunctions.AtlasBalance("PROD",DataAreaId,"T.TPPTrans_sst|InventDimId~inventDimId@T.InventDim","Sum|Qty|0","","","","","","","ItemId|TransDate|T2.InventSiteId|T2.InventLocationId",$A95,PeriodEnding,$B95,$C95)</f>
        <v>0</v>
      </c>
      <c r="H95" s="4">
        <f>AtlasReport_4_Table_1[[#This Row],[Quantity]]-AtlasReport_4_Table_1[[#This Row],[TPP trans backwards (Beginning)]]</f>
        <v>65</v>
      </c>
      <c r="I95" s="4">
        <f>AtlasReport_4_Table_1[[#This Row],[Quantity]]-AtlasReport_4_Table_1[[#This Row],[TPP trans backwards (Ending)]]</f>
        <v>65</v>
      </c>
      <c r="J95" s="4">
        <f>_xll.AtlasFormulas.AtlasFunctions.AtlasBalance("PROD",DataAreaId,"T.TPPTrans_sst|InventDimId~inventDimId@T.InventDim","Sum|CostAmount|0","","","","","","","ItemId|TransDate|T2.InventSiteId|T2.InventLocationId",$A95,PeriodBeginning,$B95,$C95)</f>
        <v>0</v>
      </c>
      <c r="K95" s="4">
        <f>_xll.AtlasFormulas.AtlasFunctions.AtlasBalance("PROD",DataAreaId,"T.TPPTrans_sst|InventDimId~inventDimId@T.InventDim","Sum|CostAmount|0","","","","","","","ItemId|TransDate|T2.InventSiteId|T2.InventLocationId",$A95,PeriodEnding,$B95,$C95)</f>
        <v>0</v>
      </c>
      <c r="L95" s="4">
        <f>AtlasReport_4_Table_1[[#This Row],[TPP cost amount]]-AtlasReport_4_Table_1[[#This Row],[TPP trans backwards balance (Beginning)]]</f>
        <v>554.24412232578993</v>
      </c>
      <c r="M95" s="4">
        <f>AtlasReport_4_Table_1[[#This Row],[TPP cost amount]]-AtlasReport_4_Table_1[[#This Row],[TPP trans backwards balance (Ending)]]</f>
        <v>554.24412232578993</v>
      </c>
    </row>
    <row r="96" spans="1:13">
      <c r="A96" s="8" t="s">
        <v>303</v>
      </c>
      <c r="B96" s="8" t="s">
        <v>371</v>
      </c>
      <c r="C96" s="8" t="s">
        <v>372</v>
      </c>
      <c r="D96" s="4">
        <v>38</v>
      </c>
      <c r="E96" s="4">
        <v>381.40564199052699</v>
      </c>
      <c r="F96" s="4">
        <f>_xll.AtlasFormulas.AtlasFunctions.AtlasBalance("PROD",DataAreaId,"T.TPPTrans_sst|InventDimId~inventDimId@T.InventDim","Sum|Qty|0","","","","","","","ItemId|TransDate|T2.InventSiteId|T2.InventLocationId",$A96,PeriodBeginning,$B96,$C96)</f>
        <v>0</v>
      </c>
      <c r="G96" s="4">
        <f>_xll.AtlasFormulas.AtlasFunctions.AtlasBalance("PROD",DataAreaId,"T.TPPTrans_sst|InventDimId~inventDimId@T.InventDim","Sum|Qty|0","","","","","","","ItemId|TransDate|T2.InventSiteId|T2.InventLocationId",$A96,PeriodEnding,$B96,$C96)</f>
        <v>0</v>
      </c>
      <c r="H96" s="4">
        <f>AtlasReport_4_Table_1[[#This Row],[Quantity]]-AtlasReport_4_Table_1[[#This Row],[TPP trans backwards (Beginning)]]</f>
        <v>38</v>
      </c>
      <c r="I96" s="4">
        <f>AtlasReport_4_Table_1[[#This Row],[Quantity]]-AtlasReport_4_Table_1[[#This Row],[TPP trans backwards (Ending)]]</f>
        <v>38</v>
      </c>
      <c r="J96" s="4">
        <f>_xll.AtlasFormulas.AtlasFunctions.AtlasBalance("PROD",DataAreaId,"T.TPPTrans_sst|InventDimId~inventDimId@T.InventDim","Sum|CostAmount|0","","","","","","","ItemId|TransDate|T2.InventSiteId|T2.InventLocationId",$A96,PeriodBeginning,$B96,$C96)</f>
        <v>0</v>
      </c>
      <c r="K96" s="4">
        <f>_xll.AtlasFormulas.AtlasFunctions.AtlasBalance("PROD",DataAreaId,"T.TPPTrans_sst|InventDimId~inventDimId@T.InventDim","Sum|CostAmount|0","","","","","","","ItemId|TransDate|T2.InventSiteId|T2.InventLocationId",$A96,PeriodEnding,$B96,$C96)</f>
        <v>0</v>
      </c>
      <c r="L96" s="4">
        <f>AtlasReport_4_Table_1[[#This Row],[TPP cost amount]]-AtlasReport_4_Table_1[[#This Row],[TPP trans backwards balance (Beginning)]]</f>
        <v>381.40564199052699</v>
      </c>
      <c r="M96" s="4">
        <f>AtlasReport_4_Table_1[[#This Row],[TPP cost amount]]-AtlasReport_4_Table_1[[#This Row],[TPP trans backwards balance (Ending)]]</f>
        <v>381.40564199052699</v>
      </c>
    </row>
    <row r="97" spans="1:13">
      <c r="A97" s="8" t="s">
        <v>298</v>
      </c>
      <c r="B97" s="8" t="s">
        <v>371</v>
      </c>
      <c r="C97" s="8" t="s">
        <v>372</v>
      </c>
      <c r="D97" s="4">
        <v>61</v>
      </c>
      <c r="E97" s="4">
        <v>273.637390105995</v>
      </c>
      <c r="F97" s="4">
        <f>_xll.AtlasFormulas.AtlasFunctions.AtlasBalance("PROD",DataAreaId,"T.TPPTrans_sst|InventDimId~inventDimId@T.InventDim","Sum|Qty|0","","","","","","","ItemId|TransDate|T2.InventSiteId|T2.InventLocationId",$A97,PeriodBeginning,$B97,$C97)</f>
        <v>0</v>
      </c>
      <c r="G97" s="4">
        <f>_xll.AtlasFormulas.AtlasFunctions.AtlasBalance("PROD",DataAreaId,"T.TPPTrans_sst|InventDimId~inventDimId@T.InventDim","Sum|Qty|0","","","","","","","ItemId|TransDate|T2.InventSiteId|T2.InventLocationId",$A97,PeriodEnding,$B97,$C97)</f>
        <v>0</v>
      </c>
      <c r="H97" s="4">
        <f>AtlasReport_4_Table_1[[#This Row],[Quantity]]-AtlasReport_4_Table_1[[#This Row],[TPP trans backwards (Beginning)]]</f>
        <v>61</v>
      </c>
      <c r="I97" s="4">
        <f>AtlasReport_4_Table_1[[#This Row],[Quantity]]-AtlasReport_4_Table_1[[#This Row],[TPP trans backwards (Ending)]]</f>
        <v>61</v>
      </c>
      <c r="J97" s="4">
        <f>_xll.AtlasFormulas.AtlasFunctions.AtlasBalance("PROD",DataAreaId,"T.TPPTrans_sst|InventDimId~inventDimId@T.InventDim","Sum|CostAmount|0","","","","","","","ItemId|TransDate|T2.InventSiteId|T2.InventLocationId",$A97,PeriodBeginning,$B97,$C97)</f>
        <v>0</v>
      </c>
      <c r="K97" s="4">
        <f>_xll.AtlasFormulas.AtlasFunctions.AtlasBalance("PROD",DataAreaId,"T.TPPTrans_sst|InventDimId~inventDimId@T.InventDim","Sum|CostAmount|0","","","","","","","ItemId|TransDate|T2.InventSiteId|T2.InventLocationId",$A97,PeriodEnding,$B97,$C97)</f>
        <v>0</v>
      </c>
      <c r="L97" s="4">
        <f>AtlasReport_4_Table_1[[#This Row],[TPP cost amount]]-AtlasReport_4_Table_1[[#This Row],[TPP trans backwards balance (Beginning)]]</f>
        <v>273.637390105995</v>
      </c>
      <c r="M97" s="4">
        <f>AtlasReport_4_Table_1[[#This Row],[TPP cost amount]]-AtlasReport_4_Table_1[[#This Row],[TPP trans backwards balance (Ending)]]</f>
        <v>273.637390105995</v>
      </c>
    </row>
    <row r="98" spans="1:13">
      <c r="A98" s="8" t="s">
        <v>58</v>
      </c>
      <c r="B98" s="8" t="s">
        <v>371</v>
      </c>
      <c r="C98" s="8" t="s">
        <v>372</v>
      </c>
      <c r="D98" s="4">
        <v>3</v>
      </c>
      <c r="E98" s="4">
        <v>413.22773091522595</v>
      </c>
      <c r="F98" s="4">
        <f>_xll.AtlasFormulas.AtlasFunctions.AtlasBalance("PROD",DataAreaId,"T.TPPTrans_sst|InventDimId~inventDimId@T.InventDim","Sum|Qty|0","","","","","","","ItemId|TransDate|T2.InventSiteId|T2.InventLocationId",$A98,PeriodBeginning,$B98,$C98)</f>
        <v>0</v>
      </c>
      <c r="G98" s="4">
        <f>_xll.AtlasFormulas.AtlasFunctions.AtlasBalance("PROD",DataAreaId,"T.TPPTrans_sst|InventDimId~inventDimId@T.InventDim","Sum|Qty|0","","","","","","","ItemId|TransDate|T2.InventSiteId|T2.InventLocationId",$A98,PeriodEnding,$B98,$C98)</f>
        <v>0</v>
      </c>
      <c r="H98" s="4">
        <f>AtlasReport_4_Table_1[[#This Row],[Quantity]]-AtlasReport_4_Table_1[[#This Row],[TPP trans backwards (Beginning)]]</f>
        <v>3</v>
      </c>
      <c r="I98" s="4">
        <f>AtlasReport_4_Table_1[[#This Row],[Quantity]]-AtlasReport_4_Table_1[[#This Row],[TPP trans backwards (Ending)]]</f>
        <v>3</v>
      </c>
      <c r="J98" s="4">
        <f>_xll.AtlasFormulas.AtlasFunctions.AtlasBalance("PROD",DataAreaId,"T.TPPTrans_sst|InventDimId~inventDimId@T.InventDim","Sum|CostAmount|0","","","","","","","ItemId|TransDate|T2.InventSiteId|T2.InventLocationId",$A98,PeriodBeginning,$B98,$C98)</f>
        <v>0</v>
      </c>
      <c r="K98" s="4">
        <f>_xll.AtlasFormulas.AtlasFunctions.AtlasBalance("PROD",DataAreaId,"T.TPPTrans_sst|InventDimId~inventDimId@T.InventDim","Sum|CostAmount|0","","","","","","","ItemId|TransDate|T2.InventSiteId|T2.InventLocationId",$A98,PeriodEnding,$B98,$C98)</f>
        <v>0</v>
      </c>
      <c r="L98" s="4">
        <f>AtlasReport_4_Table_1[[#This Row],[TPP cost amount]]-AtlasReport_4_Table_1[[#This Row],[TPP trans backwards balance (Beginning)]]</f>
        <v>413.22773091522595</v>
      </c>
      <c r="M98" s="4">
        <f>AtlasReport_4_Table_1[[#This Row],[TPP cost amount]]-AtlasReport_4_Table_1[[#This Row],[TPP trans backwards balance (Ending)]]</f>
        <v>413.22773091522595</v>
      </c>
    </row>
    <row r="99" spans="1:13">
      <c r="A99" s="8" t="s">
        <v>59</v>
      </c>
      <c r="B99" s="8" t="s">
        <v>371</v>
      </c>
      <c r="C99" s="8" t="s">
        <v>372</v>
      </c>
      <c r="D99" s="4">
        <v>3</v>
      </c>
      <c r="E99" s="4">
        <v>23.095818987001998</v>
      </c>
      <c r="F99" s="4">
        <f>_xll.AtlasFormulas.AtlasFunctions.AtlasBalance("PROD",DataAreaId,"T.TPPTrans_sst|InventDimId~inventDimId@T.InventDim","Sum|Qty|0","","","","","","","ItemId|TransDate|T2.InventSiteId|T2.InventLocationId",$A99,PeriodBeginning,$B99,$C99)</f>
        <v>0</v>
      </c>
      <c r="G99" s="4">
        <f>_xll.AtlasFormulas.AtlasFunctions.AtlasBalance("PROD",DataAreaId,"T.TPPTrans_sst|InventDimId~inventDimId@T.InventDim","Sum|Qty|0","","","","","","","ItemId|TransDate|T2.InventSiteId|T2.InventLocationId",$A99,PeriodEnding,$B99,$C99)</f>
        <v>0</v>
      </c>
      <c r="H99" s="4">
        <f>AtlasReport_4_Table_1[[#This Row],[Quantity]]-AtlasReport_4_Table_1[[#This Row],[TPP trans backwards (Beginning)]]</f>
        <v>3</v>
      </c>
      <c r="I99" s="4">
        <f>AtlasReport_4_Table_1[[#This Row],[Quantity]]-AtlasReport_4_Table_1[[#This Row],[TPP trans backwards (Ending)]]</f>
        <v>3</v>
      </c>
      <c r="J99" s="4">
        <f>_xll.AtlasFormulas.AtlasFunctions.AtlasBalance("PROD",DataAreaId,"T.TPPTrans_sst|InventDimId~inventDimId@T.InventDim","Sum|CostAmount|0","","","","","","","ItemId|TransDate|T2.InventSiteId|T2.InventLocationId",$A99,PeriodBeginning,$B99,$C99)</f>
        <v>0</v>
      </c>
      <c r="K99" s="4">
        <f>_xll.AtlasFormulas.AtlasFunctions.AtlasBalance("PROD",DataAreaId,"T.TPPTrans_sst|InventDimId~inventDimId@T.InventDim","Sum|CostAmount|0","","","","","","","ItemId|TransDate|T2.InventSiteId|T2.InventLocationId",$A99,PeriodEnding,$B99,$C99)</f>
        <v>0</v>
      </c>
      <c r="L99" s="4">
        <f>AtlasReport_4_Table_1[[#This Row],[TPP cost amount]]-AtlasReport_4_Table_1[[#This Row],[TPP trans backwards balance (Beginning)]]</f>
        <v>23.095818987001998</v>
      </c>
      <c r="M99" s="4">
        <f>AtlasReport_4_Table_1[[#This Row],[TPP cost amount]]-AtlasReport_4_Table_1[[#This Row],[TPP trans backwards balance (Ending)]]</f>
        <v>23.095818987001998</v>
      </c>
    </row>
    <row r="100" spans="1:13">
      <c r="A100" s="8" t="s">
        <v>651</v>
      </c>
      <c r="B100" s="8" t="s">
        <v>371</v>
      </c>
      <c r="C100" s="8" t="s">
        <v>372</v>
      </c>
      <c r="D100" s="4">
        <v>18</v>
      </c>
      <c r="E100" s="4">
        <v>0</v>
      </c>
      <c r="F100" s="4">
        <f>_xll.AtlasFormulas.AtlasFunctions.AtlasBalance("PROD",DataAreaId,"T.TPPTrans_sst|InventDimId~inventDimId@T.InventDim","Sum|Qty|0","","","","","","","ItemId|TransDate|T2.InventSiteId|T2.InventLocationId",$A100,PeriodBeginning,$B100,$C100)</f>
        <v>-30</v>
      </c>
      <c r="G100" s="4">
        <f>_xll.AtlasFormulas.AtlasFunctions.AtlasBalance("PROD",DataAreaId,"T.TPPTrans_sst|InventDimId~inventDimId@T.InventDim","Sum|Qty|0","","","","","","","ItemId|TransDate|T2.InventSiteId|T2.InventLocationId",$A100,PeriodEnding,$B100,$C100)</f>
        <v>0</v>
      </c>
      <c r="H100" s="4">
        <f>AtlasReport_4_Table_1[[#This Row],[Quantity]]-AtlasReport_4_Table_1[[#This Row],[TPP trans backwards (Beginning)]]</f>
        <v>48</v>
      </c>
      <c r="I100" s="4">
        <f>AtlasReport_4_Table_1[[#This Row],[Quantity]]-AtlasReport_4_Table_1[[#This Row],[TPP trans backwards (Ending)]]</f>
        <v>18</v>
      </c>
      <c r="J100" s="4">
        <f>_xll.AtlasFormulas.AtlasFunctions.AtlasBalance("PROD",DataAreaId,"T.TPPTrans_sst|InventDimId~inventDimId@T.InventDim","Sum|CostAmount|0","","","","","","","ItemId|TransDate|T2.InventSiteId|T2.InventLocationId",$A100,PeriodBeginning,$B100,$C100)</f>
        <v>0</v>
      </c>
      <c r="K100" s="4">
        <f>_xll.AtlasFormulas.AtlasFunctions.AtlasBalance("PROD",DataAreaId,"T.TPPTrans_sst|InventDimId~inventDimId@T.InventDim","Sum|CostAmount|0","","","","","","","ItemId|TransDate|T2.InventSiteId|T2.InventLocationId",$A100,PeriodEnding,$B100,$C100)</f>
        <v>0</v>
      </c>
      <c r="L100" s="4">
        <f>AtlasReport_4_Table_1[[#This Row],[TPP cost amount]]-AtlasReport_4_Table_1[[#This Row],[TPP trans backwards balance (Beginning)]]</f>
        <v>0</v>
      </c>
      <c r="M100" s="4">
        <f>AtlasReport_4_Table_1[[#This Row],[TPP cost amount]]-AtlasReport_4_Table_1[[#This Row],[TPP trans backwards balance (Ending)]]</f>
        <v>0</v>
      </c>
    </row>
    <row r="101" spans="1:13">
      <c r="A101" s="8" t="s">
        <v>653</v>
      </c>
      <c r="B101" s="8" t="s">
        <v>371</v>
      </c>
      <c r="C101" s="8" t="s">
        <v>372</v>
      </c>
      <c r="D101" s="4">
        <v>96</v>
      </c>
      <c r="E101" s="4">
        <v>0</v>
      </c>
      <c r="F101" s="4">
        <f>_xll.AtlasFormulas.AtlasFunctions.AtlasBalance("PROD",DataAreaId,"T.TPPTrans_sst|InventDimId~inventDimId@T.InventDim","Sum|Qty|0","","","","","","","ItemId|TransDate|T2.InventSiteId|T2.InventLocationId",$A101,PeriodBeginning,$B101,$C101)</f>
        <v>-12</v>
      </c>
      <c r="G101" s="4">
        <f>_xll.AtlasFormulas.AtlasFunctions.AtlasBalance("PROD",DataAreaId,"T.TPPTrans_sst|InventDimId~inventDimId@T.InventDim","Sum|Qty|0","","","","","","","ItemId|TransDate|T2.InventSiteId|T2.InventLocationId",$A101,PeriodEnding,$B101,$C101)</f>
        <v>0</v>
      </c>
      <c r="H101" s="4">
        <f>AtlasReport_4_Table_1[[#This Row],[Quantity]]-AtlasReport_4_Table_1[[#This Row],[TPP trans backwards (Beginning)]]</f>
        <v>108</v>
      </c>
      <c r="I101" s="4">
        <f>AtlasReport_4_Table_1[[#This Row],[Quantity]]-AtlasReport_4_Table_1[[#This Row],[TPP trans backwards (Ending)]]</f>
        <v>96</v>
      </c>
      <c r="J101" s="4">
        <f>_xll.AtlasFormulas.AtlasFunctions.AtlasBalance("PROD",DataAreaId,"T.TPPTrans_sst|InventDimId~inventDimId@T.InventDim","Sum|CostAmount|0","","","","","","","ItemId|TransDate|T2.InventSiteId|T2.InventLocationId",$A101,PeriodBeginning,$B101,$C101)</f>
        <v>0</v>
      </c>
      <c r="K101" s="4">
        <f>_xll.AtlasFormulas.AtlasFunctions.AtlasBalance("PROD",DataAreaId,"T.TPPTrans_sst|InventDimId~inventDimId@T.InventDim","Sum|CostAmount|0","","","","","","","ItemId|TransDate|T2.InventSiteId|T2.InventLocationId",$A101,PeriodEnding,$B101,$C101)</f>
        <v>0</v>
      </c>
      <c r="L101" s="4">
        <f>AtlasReport_4_Table_1[[#This Row],[TPP cost amount]]-AtlasReport_4_Table_1[[#This Row],[TPP trans backwards balance (Beginning)]]</f>
        <v>0</v>
      </c>
      <c r="M101" s="4">
        <f>AtlasReport_4_Table_1[[#This Row],[TPP cost amount]]-AtlasReport_4_Table_1[[#This Row],[TPP trans backwards balance (Ending)]]</f>
        <v>0</v>
      </c>
    </row>
    <row r="102" spans="1:13">
      <c r="A102" s="8" t="s">
        <v>657</v>
      </c>
      <c r="B102" s="8" t="s">
        <v>371</v>
      </c>
      <c r="C102" s="8" t="s">
        <v>372</v>
      </c>
      <c r="D102" s="4">
        <v>0</v>
      </c>
      <c r="E102" s="4">
        <v>0</v>
      </c>
      <c r="F102" s="4">
        <f>_xll.AtlasFormulas.AtlasFunctions.AtlasBalance("PROD",DataAreaId,"T.TPPTrans_sst|InventDimId~inventDimId@T.InventDim","Sum|Qty|0","","","","","","","ItemId|TransDate|T2.InventSiteId|T2.InventLocationId",$A102,PeriodBeginning,$B102,$C102)</f>
        <v>0</v>
      </c>
      <c r="G102" s="4">
        <f>_xll.AtlasFormulas.AtlasFunctions.AtlasBalance("PROD",DataAreaId,"T.TPPTrans_sst|InventDimId~inventDimId@T.InventDim","Sum|Qty|0","","","","","","","ItemId|TransDate|T2.InventSiteId|T2.InventLocationId",$A102,PeriodEnding,$B102,$C102)</f>
        <v>0</v>
      </c>
      <c r="H102" s="4">
        <f>AtlasReport_4_Table_1[[#This Row],[Quantity]]-AtlasReport_4_Table_1[[#This Row],[TPP trans backwards (Beginning)]]</f>
        <v>0</v>
      </c>
      <c r="I102" s="4">
        <f>AtlasReport_4_Table_1[[#This Row],[Quantity]]-AtlasReport_4_Table_1[[#This Row],[TPP trans backwards (Ending)]]</f>
        <v>0</v>
      </c>
      <c r="J102" s="4">
        <f>_xll.AtlasFormulas.AtlasFunctions.AtlasBalance("PROD",DataAreaId,"T.TPPTrans_sst|InventDimId~inventDimId@T.InventDim","Sum|CostAmount|0","","","","","","","ItemId|TransDate|T2.InventSiteId|T2.InventLocationId",$A102,PeriodBeginning,$B102,$C102)</f>
        <v>0</v>
      </c>
      <c r="K102" s="4">
        <f>_xll.AtlasFormulas.AtlasFunctions.AtlasBalance("PROD",DataAreaId,"T.TPPTrans_sst|InventDimId~inventDimId@T.InventDim","Sum|CostAmount|0","","","","","","","ItemId|TransDate|T2.InventSiteId|T2.InventLocationId",$A102,PeriodEnding,$B102,$C102)</f>
        <v>0</v>
      </c>
      <c r="L102" s="4">
        <f>AtlasReport_4_Table_1[[#This Row],[TPP cost amount]]-AtlasReport_4_Table_1[[#This Row],[TPP trans backwards balance (Beginning)]]</f>
        <v>0</v>
      </c>
      <c r="M102" s="4">
        <f>AtlasReport_4_Table_1[[#This Row],[TPP cost amount]]-AtlasReport_4_Table_1[[#This Row],[TPP trans backwards balance (Ending)]]</f>
        <v>0</v>
      </c>
    </row>
    <row r="103" spans="1:13">
      <c r="A103" s="8" t="s">
        <v>101</v>
      </c>
      <c r="B103" s="8" t="s">
        <v>371</v>
      </c>
      <c r="C103" s="8" t="s">
        <v>372</v>
      </c>
      <c r="D103" s="4">
        <v>47</v>
      </c>
      <c r="E103" s="4">
        <v>57.077150853836002</v>
      </c>
      <c r="F103" s="4">
        <f>_xll.AtlasFormulas.AtlasFunctions.AtlasBalance("PROD",DataAreaId,"T.TPPTrans_sst|InventDimId~inventDimId@T.InventDim","Sum|Qty|0","","","","","","","ItemId|TransDate|T2.InventSiteId|T2.InventLocationId",$A103,PeriodBeginning,$B103,$C103)</f>
        <v>0</v>
      </c>
      <c r="G103" s="4">
        <f>_xll.AtlasFormulas.AtlasFunctions.AtlasBalance("PROD",DataAreaId,"T.TPPTrans_sst|InventDimId~inventDimId@T.InventDim","Sum|Qty|0","","","","","","","ItemId|TransDate|T2.InventSiteId|T2.InventLocationId",$A103,PeriodEnding,$B103,$C103)</f>
        <v>0</v>
      </c>
      <c r="H103" s="4">
        <f>AtlasReport_4_Table_1[[#This Row],[Quantity]]-AtlasReport_4_Table_1[[#This Row],[TPP trans backwards (Beginning)]]</f>
        <v>47</v>
      </c>
      <c r="I103" s="4">
        <f>AtlasReport_4_Table_1[[#This Row],[Quantity]]-AtlasReport_4_Table_1[[#This Row],[TPP trans backwards (Ending)]]</f>
        <v>47</v>
      </c>
      <c r="J103" s="4">
        <f>_xll.AtlasFormulas.AtlasFunctions.AtlasBalance("PROD",DataAreaId,"T.TPPTrans_sst|InventDimId~inventDimId@T.InventDim","Sum|CostAmount|0","","","","","","","ItemId|TransDate|T2.InventSiteId|T2.InventLocationId",$A103,PeriodBeginning,$B103,$C103)</f>
        <v>0</v>
      </c>
      <c r="K103" s="4">
        <f>_xll.AtlasFormulas.AtlasFunctions.AtlasBalance("PROD",DataAreaId,"T.TPPTrans_sst|InventDimId~inventDimId@T.InventDim","Sum|CostAmount|0","","","","","","","ItemId|TransDate|T2.InventSiteId|T2.InventLocationId",$A103,PeriodEnding,$B103,$C103)</f>
        <v>0</v>
      </c>
      <c r="L103" s="4">
        <f>AtlasReport_4_Table_1[[#This Row],[TPP cost amount]]-AtlasReport_4_Table_1[[#This Row],[TPP trans backwards balance (Beginning)]]</f>
        <v>57.077150853836002</v>
      </c>
      <c r="M103" s="4">
        <f>AtlasReport_4_Table_1[[#This Row],[TPP cost amount]]-AtlasReport_4_Table_1[[#This Row],[TPP trans backwards balance (Ending)]]</f>
        <v>57.077150853836002</v>
      </c>
    </row>
    <row r="104" spans="1:13">
      <c r="A104" s="8" t="s">
        <v>20</v>
      </c>
      <c r="B104" s="8" t="s">
        <v>371</v>
      </c>
      <c r="C104" s="8" t="s">
        <v>372</v>
      </c>
      <c r="D104" s="4">
        <v>1249</v>
      </c>
      <c r="E104" s="4">
        <v>2533.934957074357</v>
      </c>
      <c r="F104" s="4">
        <f>_xll.AtlasFormulas.AtlasFunctions.AtlasBalance("PROD",DataAreaId,"T.TPPTrans_sst|InventDimId~inventDimId@T.InventDim","Sum|Qty|0","","","","","","","ItemId|TransDate|T2.InventSiteId|T2.InventLocationId",$A104,PeriodBeginning,$B104,$C104)</f>
        <v>430</v>
      </c>
      <c r="G104" s="4">
        <f>_xll.AtlasFormulas.AtlasFunctions.AtlasBalance("PROD",DataAreaId,"T.TPPTrans_sst|InventDimId~inventDimId@T.InventDim","Sum|Qty|0","","","","","","","ItemId|TransDate|T2.InventSiteId|T2.InventLocationId",$A104,PeriodEnding,$B104,$C104)</f>
        <v>0</v>
      </c>
      <c r="H104" s="4">
        <f>AtlasReport_4_Table_1[[#This Row],[Quantity]]-AtlasReport_4_Table_1[[#This Row],[TPP trans backwards (Beginning)]]</f>
        <v>819</v>
      </c>
      <c r="I104" s="4">
        <f>AtlasReport_4_Table_1[[#This Row],[Quantity]]-AtlasReport_4_Table_1[[#This Row],[TPP trans backwards (Ending)]]</f>
        <v>1249</v>
      </c>
      <c r="J104" s="4">
        <f>_xll.AtlasFormulas.AtlasFunctions.AtlasBalance("PROD",DataAreaId,"T.TPPTrans_sst|InventDimId~inventDimId@T.InventDim","Sum|CostAmount|0","","","","","","","ItemId|TransDate|T2.InventSiteId|T2.InventLocationId",$A104,PeriodBeginning,$B104,$C104)</f>
        <v>1007.33</v>
      </c>
      <c r="K104" s="4">
        <f>_xll.AtlasFormulas.AtlasFunctions.AtlasBalance("PROD",DataAreaId,"T.TPPTrans_sst|InventDimId~inventDimId@T.InventDim","Sum|CostAmount|0","","","","","","","ItemId|TransDate|T2.InventSiteId|T2.InventLocationId",$A104,PeriodEnding,$B104,$C104)</f>
        <v>0</v>
      </c>
      <c r="L104" s="4">
        <f>AtlasReport_4_Table_1[[#This Row],[TPP cost amount]]-AtlasReport_4_Table_1[[#This Row],[TPP trans backwards balance (Beginning)]]</f>
        <v>1526.6049570743571</v>
      </c>
      <c r="M104" s="4">
        <f>AtlasReport_4_Table_1[[#This Row],[TPP cost amount]]-AtlasReport_4_Table_1[[#This Row],[TPP trans backwards balance (Ending)]]</f>
        <v>2533.934957074357</v>
      </c>
    </row>
    <row r="105" spans="1:13">
      <c r="A105" s="8" t="s">
        <v>60</v>
      </c>
      <c r="B105" s="8" t="s">
        <v>371</v>
      </c>
      <c r="C105" s="8" t="s">
        <v>372</v>
      </c>
      <c r="D105" s="4">
        <v>272</v>
      </c>
      <c r="E105" s="4">
        <v>1365.73032638577</v>
      </c>
      <c r="F105" s="4">
        <f>_xll.AtlasFormulas.AtlasFunctions.AtlasBalance("PROD",DataAreaId,"T.TPPTrans_sst|InventDimId~inventDimId@T.InventDim","Sum|Qty|0","","","","","","","ItemId|TransDate|T2.InventSiteId|T2.InventLocationId",$A105,PeriodBeginning,$B105,$C105)</f>
        <v>39</v>
      </c>
      <c r="G105" s="4">
        <f>_xll.AtlasFormulas.AtlasFunctions.AtlasBalance("PROD",DataAreaId,"T.TPPTrans_sst|InventDimId~inventDimId@T.InventDim","Sum|Qty|0","","","","","","","ItemId|TransDate|T2.InventSiteId|T2.InventLocationId",$A105,PeriodEnding,$B105,$C105)</f>
        <v>0</v>
      </c>
      <c r="H105" s="4">
        <f>AtlasReport_4_Table_1[[#This Row],[Quantity]]-AtlasReport_4_Table_1[[#This Row],[TPP trans backwards (Beginning)]]</f>
        <v>233</v>
      </c>
      <c r="I105" s="4">
        <f>AtlasReport_4_Table_1[[#This Row],[Quantity]]-AtlasReport_4_Table_1[[#This Row],[TPP trans backwards (Ending)]]</f>
        <v>272</v>
      </c>
      <c r="J105" s="4">
        <f>_xll.AtlasFormulas.AtlasFunctions.AtlasBalance("PROD",DataAreaId,"T.TPPTrans_sst|InventDimId~inventDimId@T.InventDim","Sum|CostAmount|0","","","","","","","ItemId|TransDate|T2.InventSiteId|T2.InventLocationId",$A105,PeriodBeginning,$B105,$C105)</f>
        <v>438.28</v>
      </c>
      <c r="K105" s="4">
        <f>_xll.AtlasFormulas.AtlasFunctions.AtlasBalance("PROD",DataAreaId,"T.TPPTrans_sst|InventDimId~inventDimId@T.InventDim","Sum|CostAmount|0","","","","","","","ItemId|TransDate|T2.InventSiteId|T2.InventLocationId",$A105,PeriodEnding,$B105,$C105)</f>
        <v>0</v>
      </c>
      <c r="L105" s="4">
        <f>AtlasReport_4_Table_1[[#This Row],[TPP cost amount]]-AtlasReport_4_Table_1[[#This Row],[TPP trans backwards balance (Beginning)]]</f>
        <v>927.45032638577004</v>
      </c>
      <c r="M105" s="4">
        <f>AtlasReport_4_Table_1[[#This Row],[TPP cost amount]]-AtlasReport_4_Table_1[[#This Row],[TPP trans backwards balance (Ending)]]</f>
        <v>1365.73032638577</v>
      </c>
    </row>
    <row r="106" spans="1:13">
      <c r="A106" s="8" t="s">
        <v>673</v>
      </c>
      <c r="B106" s="8" t="s">
        <v>371</v>
      </c>
      <c r="C106" s="8" t="s">
        <v>372</v>
      </c>
      <c r="D106" s="4">
        <v>34</v>
      </c>
      <c r="E106" s="4">
        <v>402.06975859040898</v>
      </c>
      <c r="F106" s="4">
        <f>_xll.AtlasFormulas.AtlasFunctions.AtlasBalance("PROD",DataAreaId,"T.TPPTrans_sst|InventDimId~inventDimId@T.InventDim","Sum|Qty|0","","","","","","","ItemId|TransDate|T2.InventSiteId|T2.InventLocationId",$A106,PeriodBeginning,$B106,$C106)</f>
        <v>0</v>
      </c>
      <c r="G106" s="4">
        <f>_xll.AtlasFormulas.AtlasFunctions.AtlasBalance("PROD",DataAreaId,"T.TPPTrans_sst|InventDimId~inventDimId@T.InventDim","Sum|Qty|0","","","","","","","ItemId|TransDate|T2.InventSiteId|T2.InventLocationId",$A106,PeriodEnding,$B106,$C106)</f>
        <v>0</v>
      </c>
      <c r="H106" s="4">
        <f>AtlasReport_4_Table_1[[#This Row],[Quantity]]-AtlasReport_4_Table_1[[#This Row],[TPP trans backwards (Beginning)]]</f>
        <v>34</v>
      </c>
      <c r="I106" s="4">
        <f>AtlasReport_4_Table_1[[#This Row],[Quantity]]-AtlasReport_4_Table_1[[#This Row],[TPP trans backwards (Ending)]]</f>
        <v>34</v>
      </c>
      <c r="J106" s="4">
        <f>_xll.AtlasFormulas.AtlasFunctions.AtlasBalance("PROD",DataAreaId,"T.TPPTrans_sst|InventDimId~inventDimId@T.InventDim","Sum|CostAmount|0","","","","","","","ItemId|TransDate|T2.InventSiteId|T2.InventLocationId",$A106,PeriodBeginning,$B106,$C106)</f>
        <v>0</v>
      </c>
      <c r="K106" s="4">
        <f>_xll.AtlasFormulas.AtlasFunctions.AtlasBalance("PROD",DataAreaId,"T.TPPTrans_sst|InventDimId~inventDimId@T.InventDim","Sum|CostAmount|0","","","","","","","ItemId|TransDate|T2.InventSiteId|T2.InventLocationId",$A106,PeriodEnding,$B106,$C106)</f>
        <v>0</v>
      </c>
      <c r="L106" s="4">
        <f>AtlasReport_4_Table_1[[#This Row],[TPP cost amount]]-AtlasReport_4_Table_1[[#This Row],[TPP trans backwards balance (Beginning)]]</f>
        <v>402.06975859040898</v>
      </c>
      <c r="M106" s="4">
        <f>AtlasReport_4_Table_1[[#This Row],[TPP cost amount]]-AtlasReport_4_Table_1[[#This Row],[TPP trans backwards balance (Ending)]]</f>
        <v>402.06975859040898</v>
      </c>
    </row>
    <row r="107" spans="1:13">
      <c r="A107" s="8" t="s">
        <v>679</v>
      </c>
      <c r="B107" s="8" t="s">
        <v>371</v>
      </c>
      <c r="C107" s="8" t="s">
        <v>372</v>
      </c>
      <c r="D107" s="4">
        <v>92</v>
      </c>
      <c r="E107" s="4">
        <v>0</v>
      </c>
      <c r="F107" s="4">
        <f>_xll.AtlasFormulas.AtlasFunctions.AtlasBalance("PROD",DataAreaId,"T.TPPTrans_sst|InventDimId~inventDimId@T.InventDim","Sum|Qty|0","","","","","","","ItemId|TransDate|T2.InventSiteId|T2.InventLocationId",$A107,PeriodBeginning,$B107,$C107)</f>
        <v>-30</v>
      </c>
      <c r="G107" s="4">
        <f>_xll.AtlasFormulas.AtlasFunctions.AtlasBalance("PROD",DataAreaId,"T.TPPTrans_sst|InventDimId~inventDimId@T.InventDim","Sum|Qty|0","","","","","","","ItemId|TransDate|T2.InventSiteId|T2.InventLocationId",$A107,PeriodEnding,$B107,$C107)</f>
        <v>0</v>
      </c>
      <c r="H107" s="4">
        <f>AtlasReport_4_Table_1[[#This Row],[Quantity]]-AtlasReport_4_Table_1[[#This Row],[TPP trans backwards (Beginning)]]</f>
        <v>122</v>
      </c>
      <c r="I107" s="4">
        <f>AtlasReport_4_Table_1[[#This Row],[Quantity]]-AtlasReport_4_Table_1[[#This Row],[TPP trans backwards (Ending)]]</f>
        <v>92</v>
      </c>
      <c r="J107" s="4">
        <f>_xll.AtlasFormulas.AtlasFunctions.AtlasBalance("PROD",DataAreaId,"T.TPPTrans_sst|InventDimId~inventDimId@T.InventDim","Sum|CostAmount|0","","","","","","","ItemId|TransDate|T2.InventSiteId|T2.InventLocationId",$A107,PeriodBeginning,$B107,$C107)</f>
        <v>0</v>
      </c>
      <c r="K107" s="4">
        <f>_xll.AtlasFormulas.AtlasFunctions.AtlasBalance("PROD",DataAreaId,"T.TPPTrans_sst|InventDimId~inventDimId@T.InventDim","Sum|CostAmount|0","","","","","","","ItemId|TransDate|T2.InventSiteId|T2.InventLocationId",$A107,PeriodEnding,$B107,$C107)</f>
        <v>0</v>
      </c>
      <c r="L107" s="4">
        <f>AtlasReport_4_Table_1[[#This Row],[TPP cost amount]]-AtlasReport_4_Table_1[[#This Row],[TPP trans backwards balance (Beginning)]]</f>
        <v>0</v>
      </c>
      <c r="M107" s="4">
        <f>AtlasReport_4_Table_1[[#This Row],[TPP cost amount]]-AtlasReport_4_Table_1[[#This Row],[TPP trans backwards balance (Ending)]]</f>
        <v>0</v>
      </c>
    </row>
    <row r="108" spans="1:13">
      <c r="A108" s="8" t="s">
        <v>217</v>
      </c>
      <c r="B108" s="8" t="s">
        <v>371</v>
      </c>
      <c r="C108" s="8" t="s">
        <v>372</v>
      </c>
      <c r="D108" s="4">
        <v>3</v>
      </c>
      <c r="E108" s="4">
        <v>3.9359884590309995</v>
      </c>
      <c r="F108" s="4">
        <f>_xll.AtlasFormulas.AtlasFunctions.AtlasBalance("PROD",DataAreaId,"T.TPPTrans_sst|InventDimId~inventDimId@T.InventDim","Sum|Qty|0","","","","","","","ItemId|TransDate|T2.InventSiteId|T2.InventLocationId",$A108,PeriodBeginning,$B108,$C108)</f>
        <v>0</v>
      </c>
      <c r="G108" s="4">
        <f>_xll.AtlasFormulas.AtlasFunctions.AtlasBalance("PROD",DataAreaId,"T.TPPTrans_sst|InventDimId~inventDimId@T.InventDim","Sum|Qty|0","","","","","","","ItemId|TransDate|T2.InventSiteId|T2.InventLocationId",$A108,PeriodEnding,$B108,$C108)</f>
        <v>0</v>
      </c>
      <c r="H108" s="4">
        <f>AtlasReport_4_Table_1[[#This Row],[Quantity]]-AtlasReport_4_Table_1[[#This Row],[TPP trans backwards (Beginning)]]</f>
        <v>3</v>
      </c>
      <c r="I108" s="4">
        <f>AtlasReport_4_Table_1[[#This Row],[Quantity]]-AtlasReport_4_Table_1[[#This Row],[TPP trans backwards (Ending)]]</f>
        <v>3</v>
      </c>
      <c r="J108" s="4">
        <f>_xll.AtlasFormulas.AtlasFunctions.AtlasBalance("PROD",DataAreaId,"T.TPPTrans_sst|InventDimId~inventDimId@T.InventDim","Sum|CostAmount|0","","","","","","","ItemId|TransDate|T2.InventSiteId|T2.InventLocationId",$A108,PeriodBeginning,$B108,$C108)</f>
        <v>0</v>
      </c>
      <c r="K108" s="4">
        <f>_xll.AtlasFormulas.AtlasFunctions.AtlasBalance("PROD",DataAreaId,"T.TPPTrans_sst|InventDimId~inventDimId@T.InventDim","Sum|CostAmount|0","","","","","","","ItemId|TransDate|T2.InventSiteId|T2.InventLocationId",$A108,PeriodEnding,$B108,$C108)</f>
        <v>0</v>
      </c>
      <c r="L108" s="4">
        <f>AtlasReport_4_Table_1[[#This Row],[TPP cost amount]]-AtlasReport_4_Table_1[[#This Row],[TPP trans backwards balance (Beginning)]]</f>
        <v>3.9359884590309995</v>
      </c>
      <c r="M108" s="4">
        <f>AtlasReport_4_Table_1[[#This Row],[TPP cost amount]]-AtlasReport_4_Table_1[[#This Row],[TPP trans backwards balance (Ending)]]</f>
        <v>3.9359884590309995</v>
      </c>
    </row>
    <row r="109" spans="1:13">
      <c r="A109" s="8" t="s">
        <v>692</v>
      </c>
      <c r="B109" s="8" t="s">
        <v>371</v>
      </c>
      <c r="C109" s="8" t="s">
        <v>372</v>
      </c>
      <c r="D109" s="4">
        <v>0</v>
      </c>
      <c r="E109" s="4">
        <v>-4.8758702060000001E-3</v>
      </c>
      <c r="F109" s="4">
        <f>_xll.AtlasFormulas.AtlasFunctions.AtlasBalance("PROD",DataAreaId,"T.TPPTrans_sst|InventDimId~inventDimId@T.InventDim","Sum|Qty|0","","","","","","","ItemId|TransDate|T2.InventSiteId|T2.InventLocationId",$A109,PeriodBeginning,$B109,$C109)</f>
        <v>0</v>
      </c>
      <c r="G109" s="4">
        <f>_xll.AtlasFormulas.AtlasFunctions.AtlasBalance("PROD",DataAreaId,"T.TPPTrans_sst|InventDimId~inventDimId@T.InventDim","Sum|Qty|0","","","","","","","ItemId|TransDate|T2.InventSiteId|T2.InventLocationId",$A109,PeriodEnding,$B109,$C109)</f>
        <v>0</v>
      </c>
      <c r="H109" s="4">
        <f>AtlasReport_4_Table_1[[#This Row],[Quantity]]-AtlasReport_4_Table_1[[#This Row],[TPP trans backwards (Beginning)]]</f>
        <v>0</v>
      </c>
      <c r="I109" s="4">
        <f>AtlasReport_4_Table_1[[#This Row],[Quantity]]-AtlasReport_4_Table_1[[#This Row],[TPP trans backwards (Ending)]]</f>
        <v>0</v>
      </c>
      <c r="J109" s="4">
        <f>_xll.AtlasFormulas.AtlasFunctions.AtlasBalance("PROD",DataAreaId,"T.TPPTrans_sst|InventDimId~inventDimId@T.InventDim","Sum|CostAmount|0","","","","","","","ItemId|TransDate|T2.InventSiteId|T2.InventLocationId",$A109,PeriodBeginning,$B109,$C109)</f>
        <v>0</v>
      </c>
      <c r="K109" s="4">
        <f>_xll.AtlasFormulas.AtlasFunctions.AtlasBalance("PROD",DataAreaId,"T.TPPTrans_sst|InventDimId~inventDimId@T.InventDim","Sum|CostAmount|0","","","","","","","ItemId|TransDate|T2.InventSiteId|T2.InventLocationId",$A109,PeriodEnding,$B109,$C109)</f>
        <v>0</v>
      </c>
      <c r="L109" s="4">
        <f>AtlasReport_4_Table_1[[#This Row],[TPP cost amount]]-AtlasReport_4_Table_1[[#This Row],[TPP trans backwards balance (Beginning)]]</f>
        <v>-4.8758702060000001E-3</v>
      </c>
      <c r="M109" s="4">
        <f>AtlasReport_4_Table_1[[#This Row],[TPP cost amount]]-AtlasReport_4_Table_1[[#This Row],[TPP trans backwards balance (Ending)]]</f>
        <v>-4.8758702060000001E-3</v>
      </c>
    </row>
    <row r="110" spans="1:13">
      <c r="A110" s="8" t="s">
        <v>61</v>
      </c>
      <c r="B110" s="8" t="s">
        <v>371</v>
      </c>
      <c r="C110" s="8" t="s">
        <v>372</v>
      </c>
      <c r="D110" s="4">
        <v>62</v>
      </c>
      <c r="E110" s="4">
        <v>503.36539843144101</v>
      </c>
      <c r="F110" s="4">
        <f>_xll.AtlasFormulas.AtlasFunctions.AtlasBalance("PROD",DataAreaId,"T.TPPTrans_sst|InventDimId~inventDimId@T.InventDim","Sum|Qty|0","","","","","","","ItemId|TransDate|T2.InventSiteId|T2.InventLocationId",$A110,PeriodBeginning,$B110,$C110)</f>
        <v>0</v>
      </c>
      <c r="G110" s="4">
        <f>_xll.AtlasFormulas.AtlasFunctions.AtlasBalance("PROD",DataAreaId,"T.TPPTrans_sst|InventDimId~inventDimId@T.InventDim","Sum|Qty|0","","","","","","","ItemId|TransDate|T2.InventSiteId|T2.InventLocationId",$A110,PeriodEnding,$B110,$C110)</f>
        <v>0</v>
      </c>
      <c r="H110" s="4">
        <f>AtlasReport_4_Table_1[[#This Row],[Quantity]]-AtlasReport_4_Table_1[[#This Row],[TPP trans backwards (Beginning)]]</f>
        <v>62</v>
      </c>
      <c r="I110" s="4">
        <f>AtlasReport_4_Table_1[[#This Row],[Quantity]]-AtlasReport_4_Table_1[[#This Row],[TPP trans backwards (Ending)]]</f>
        <v>62</v>
      </c>
      <c r="J110" s="4">
        <f>_xll.AtlasFormulas.AtlasFunctions.AtlasBalance("PROD",DataAreaId,"T.TPPTrans_sst|InventDimId~inventDimId@T.InventDim","Sum|CostAmount|0","","","","","","","ItemId|TransDate|T2.InventSiteId|T2.InventLocationId",$A110,PeriodBeginning,$B110,$C110)</f>
        <v>0</v>
      </c>
      <c r="K110" s="4">
        <f>_xll.AtlasFormulas.AtlasFunctions.AtlasBalance("PROD",DataAreaId,"T.TPPTrans_sst|InventDimId~inventDimId@T.InventDim","Sum|CostAmount|0","","","","","","","ItemId|TransDate|T2.InventSiteId|T2.InventLocationId",$A110,PeriodEnding,$B110,$C110)</f>
        <v>0</v>
      </c>
      <c r="L110" s="4">
        <f>AtlasReport_4_Table_1[[#This Row],[TPP cost amount]]-AtlasReport_4_Table_1[[#This Row],[TPP trans backwards balance (Beginning)]]</f>
        <v>503.36539843144101</v>
      </c>
      <c r="M110" s="4">
        <f>AtlasReport_4_Table_1[[#This Row],[TPP cost amount]]-AtlasReport_4_Table_1[[#This Row],[TPP trans backwards balance (Ending)]]</f>
        <v>503.36539843144101</v>
      </c>
    </row>
    <row r="111" spans="1:13">
      <c r="A111" s="8" t="s">
        <v>193</v>
      </c>
      <c r="B111" s="8" t="s">
        <v>371</v>
      </c>
      <c r="C111" s="8" t="s">
        <v>372</v>
      </c>
      <c r="D111" s="4">
        <v>117</v>
      </c>
      <c r="E111" s="4">
        <v>726.27</v>
      </c>
      <c r="F111" s="4">
        <f>_xll.AtlasFormulas.AtlasFunctions.AtlasBalance("PROD",DataAreaId,"T.TPPTrans_sst|InventDimId~inventDimId@T.InventDim","Sum|Qty|0","","","","","","","ItemId|TransDate|T2.InventSiteId|T2.InventLocationId",$A111,PeriodBeginning,$B111,$C111)</f>
        <v>-34</v>
      </c>
      <c r="G111" s="4">
        <f>_xll.AtlasFormulas.AtlasFunctions.AtlasBalance("PROD",DataAreaId,"T.TPPTrans_sst|InventDimId~inventDimId@T.InventDim","Sum|Qty|0","","","","","","","ItemId|TransDate|T2.InventSiteId|T2.InventLocationId",$A111,PeriodEnding,$B111,$C111)</f>
        <v>0</v>
      </c>
      <c r="H111" s="4">
        <f>AtlasReport_4_Table_1[[#This Row],[Quantity]]-AtlasReport_4_Table_1[[#This Row],[TPP trans backwards (Beginning)]]</f>
        <v>151</v>
      </c>
      <c r="I111" s="4">
        <f>AtlasReport_4_Table_1[[#This Row],[Quantity]]-AtlasReport_4_Table_1[[#This Row],[TPP trans backwards (Ending)]]</f>
        <v>117</v>
      </c>
      <c r="J111" s="4">
        <f>_xll.AtlasFormulas.AtlasFunctions.AtlasBalance("PROD",DataAreaId,"T.TPPTrans_sst|InventDimId~inventDimId@T.InventDim","Sum|CostAmount|0","","","","","","","ItemId|TransDate|T2.InventSiteId|T2.InventLocationId",$A111,PeriodBeginning,$B111,$C111)</f>
        <v>-211.05</v>
      </c>
      <c r="K111" s="4">
        <f>_xll.AtlasFormulas.AtlasFunctions.AtlasBalance("PROD",DataAreaId,"T.TPPTrans_sst|InventDimId~inventDimId@T.InventDim","Sum|CostAmount|0","","","","","","","ItemId|TransDate|T2.InventSiteId|T2.InventLocationId",$A111,PeriodEnding,$B111,$C111)</f>
        <v>0</v>
      </c>
      <c r="L111" s="4">
        <f>AtlasReport_4_Table_1[[#This Row],[TPP cost amount]]-AtlasReport_4_Table_1[[#This Row],[TPP trans backwards balance (Beginning)]]</f>
        <v>937.31999999999994</v>
      </c>
      <c r="M111" s="4">
        <f>AtlasReport_4_Table_1[[#This Row],[TPP cost amount]]-AtlasReport_4_Table_1[[#This Row],[TPP trans backwards balance (Ending)]]</f>
        <v>726.27</v>
      </c>
    </row>
    <row r="112" spans="1:13">
      <c r="A112" s="8" t="s">
        <v>104</v>
      </c>
      <c r="B112" s="8" t="s">
        <v>371</v>
      </c>
      <c r="C112" s="8" t="s">
        <v>372</v>
      </c>
      <c r="D112" s="4">
        <v>7</v>
      </c>
      <c r="E112" s="4">
        <v>186.99986722472499</v>
      </c>
      <c r="F112" s="4">
        <f>_xll.AtlasFormulas.AtlasFunctions.AtlasBalance("PROD",DataAreaId,"T.TPPTrans_sst|InventDimId~inventDimId@T.InventDim","Sum|Qty|0","","","","","","","ItemId|TransDate|T2.InventSiteId|T2.InventLocationId",$A112,PeriodBeginning,$B112,$C112)</f>
        <v>0</v>
      </c>
      <c r="G112" s="4">
        <f>_xll.AtlasFormulas.AtlasFunctions.AtlasBalance("PROD",DataAreaId,"T.TPPTrans_sst|InventDimId~inventDimId@T.InventDim","Sum|Qty|0","","","","","","","ItemId|TransDate|T2.InventSiteId|T2.InventLocationId",$A112,PeriodEnding,$B112,$C112)</f>
        <v>0</v>
      </c>
      <c r="H112" s="4">
        <f>AtlasReport_4_Table_1[[#This Row],[Quantity]]-AtlasReport_4_Table_1[[#This Row],[TPP trans backwards (Beginning)]]</f>
        <v>7</v>
      </c>
      <c r="I112" s="4">
        <f>AtlasReport_4_Table_1[[#This Row],[Quantity]]-AtlasReport_4_Table_1[[#This Row],[TPP trans backwards (Ending)]]</f>
        <v>7</v>
      </c>
      <c r="J112" s="4">
        <f>_xll.AtlasFormulas.AtlasFunctions.AtlasBalance("PROD",DataAreaId,"T.TPPTrans_sst|InventDimId~inventDimId@T.InventDim","Sum|CostAmount|0","","","","","","","ItemId|TransDate|T2.InventSiteId|T2.InventLocationId",$A112,PeriodBeginning,$B112,$C112)</f>
        <v>0</v>
      </c>
      <c r="K112" s="4">
        <f>_xll.AtlasFormulas.AtlasFunctions.AtlasBalance("PROD",DataAreaId,"T.TPPTrans_sst|InventDimId~inventDimId@T.InventDim","Sum|CostAmount|0","","","","","","","ItemId|TransDate|T2.InventSiteId|T2.InventLocationId",$A112,PeriodEnding,$B112,$C112)</f>
        <v>0</v>
      </c>
      <c r="L112" s="4">
        <f>AtlasReport_4_Table_1[[#This Row],[TPP cost amount]]-AtlasReport_4_Table_1[[#This Row],[TPP trans backwards balance (Beginning)]]</f>
        <v>186.99986722472499</v>
      </c>
      <c r="M112" s="4">
        <f>AtlasReport_4_Table_1[[#This Row],[TPP cost amount]]-AtlasReport_4_Table_1[[#This Row],[TPP trans backwards balance (Ending)]]</f>
        <v>186.99986722472499</v>
      </c>
    </row>
    <row r="113" spans="1:13">
      <c r="A113" s="8" t="s">
        <v>220</v>
      </c>
      <c r="B113" s="8" t="s">
        <v>371</v>
      </c>
      <c r="C113" s="8" t="s">
        <v>372</v>
      </c>
      <c r="D113" s="4">
        <v>6</v>
      </c>
      <c r="E113" s="4">
        <v>64.52321805145499</v>
      </c>
      <c r="F113" s="4">
        <f>_xll.AtlasFormulas.AtlasFunctions.AtlasBalance("PROD",DataAreaId,"T.TPPTrans_sst|InventDimId~inventDimId@T.InventDim","Sum|Qty|0","","","","","","","ItemId|TransDate|T2.InventSiteId|T2.InventLocationId",$A113,PeriodBeginning,$B113,$C113)</f>
        <v>0</v>
      </c>
      <c r="G113" s="4">
        <f>_xll.AtlasFormulas.AtlasFunctions.AtlasBalance("PROD",DataAreaId,"T.TPPTrans_sst|InventDimId~inventDimId@T.InventDim","Sum|Qty|0","","","","","","","ItemId|TransDate|T2.InventSiteId|T2.InventLocationId",$A113,PeriodEnding,$B113,$C113)</f>
        <v>0</v>
      </c>
      <c r="H113" s="4">
        <f>AtlasReport_4_Table_1[[#This Row],[Quantity]]-AtlasReport_4_Table_1[[#This Row],[TPP trans backwards (Beginning)]]</f>
        <v>6</v>
      </c>
      <c r="I113" s="4">
        <f>AtlasReport_4_Table_1[[#This Row],[Quantity]]-AtlasReport_4_Table_1[[#This Row],[TPP trans backwards (Ending)]]</f>
        <v>6</v>
      </c>
      <c r="J113" s="4">
        <f>_xll.AtlasFormulas.AtlasFunctions.AtlasBalance("PROD",DataAreaId,"T.TPPTrans_sst|InventDimId~inventDimId@T.InventDim","Sum|CostAmount|0","","","","","","","ItemId|TransDate|T2.InventSiteId|T2.InventLocationId",$A113,PeriodBeginning,$B113,$C113)</f>
        <v>0</v>
      </c>
      <c r="K113" s="4">
        <f>_xll.AtlasFormulas.AtlasFunctions.AtlasBalance("PROD",DataAreaId,"T.TPPTrans_sst|InventDimId~inventDimId@T.InventDim","Sum|CostAmount|0","","","","","","","ItemId|TransDate|T2.InventSiteId|T2.InventLocationId",$A113,PeriodEnding,$B113,$C113)</f>
        <v>0</v>
      </c>
      <c r="L113" s="4">
        <f>AtlasReport_4_Table_1[[#This Row],[TPP cost amount]]-AtlasReport_4_Table_1[[#This Row],[TPP trans backwards balance (Beginning)]]</f>
        <v>64.52321805145499</v>
      </c>
      <c r="M113" s="4">
        <f>AtlasReport_4_Table_1[[#This Row],[TPP cost amount]]-AtlasReport_4_Table_1[[#This Row],[TPP trans backwards balance (Ending)]]</f>
        <v>64.52321805145499</v>
      </c>
    </row>
    <row r="114" spans="1:13">
      <c r="A114" s="8" t="s">
        <v>221</v>
      </c>
      <c r="B114" s="8" t="s">
        <v>371</v>
      </c>
      <c r="C114" s="8" t="s">
        <v>372</v>
      </c>
      <c r="D114" s="4">
        <v>4</v>
      </c>
      <c r="E114" s="4">
        <v>56.911450481192993</v>
      </c>
      <c r="F114" s="4">
        <f>_xll.AtlasFormulas.AtlasFunctions.AtlasBalance("PROD",DataAreaId,"T.TPPTrans_sst|InventDimId~inventDimId@T.InventDim","Sum|Qty|0","","","","","","","ItemId|TransDate|T2.InventSiteId|T2.InventLocationId",$A114,PeriodBeginning,$B114,$C114)</f>
        <v>0</v>
      </c>
      <c r="G114" s="4">
        <f>_xll.AtlasFormulas.AtlasFunctions.AtlasBalance("PROD",DataAreaId,"T.TPPTrans_sst|InventDimId~inventDimId@T.InventDim","Sum|Qty|0","","","","","","","ItemId|TransDate|T2.InventSiteId|T2.InventLocationId",$A114,PeriodEnding,$B114,$C114)</f>
        <v>0</v>
      </c>
      <c r="H114" s="4">
        <f>AtlasReport_4_Table_1[[#This Row],[Quantity]]-AtlasReport_4_Table_1[[#This Row],[TPP trans backwards (Beginning)]]</f>
        <v>4</v>
      </c>
      <c r="I114" s="4">
        <f>AtlasReport_4_Table_1[[#This Row],[Quantity]]-AtlasReport_4_Table_1[[#This Row],[TPP trans backwards (Ending)]]</f>
        <v>4</v>
      </c>
      <c r="J114" s="4">
        <f>_xll.AtlasFormulas.AtlasFunctions.AtlasBalance("PROD",DataAreaId,"T.TPPTrans_sst|InventDimId~inventDimId@T.InventDim","Sum|CostAmount|0","","","","","","","ItemId|TransDate|T2.InventSiteId|T2.InventLocationId",$A114,PeriodBeginning,$B114,$C114)</f>
        <v>0</v>
      </c>
      <c r="K114" s="4">
        <f>_xll.AtlasFormulas.AtlasFunctions.AtlasBalance("PROD",DataAreaId,"T.TPPTrans_sst|InventDimId~inventDimId@T.InventDim","Sum|CostAmount|0","","","","","","","ItemId|TransDate|T2.InventSiteId|T2.InventLocationId",$A114,PeriodEnding,$B114,$C114)</f>
        <v>0</v>
      </c>
      <c r="L114" s="4">
        <f>AtlasReport_4_Table_1[[#This Row],[TPP cost amount]]-AtlasReport_4_Table_1[[#This Row],[TPP trans backwards balance (Beginning)]]</f>
        <v>56.911450481192993</v>
      </c>
      <c r="M114" s="4">
        <f>AtlasReport_4_Table_1[[#This Row],[TPP cost amount]]-AtlasReport_4_Table_1[[#This Row],[TPP trans backwards balance (Ending)]]</f>
        <v>56.911450481192993</v>
      </c>
    </row>
    <row r="115" spans="1:13">
      <c r="A115" s="8" t="s">
        <v>709</v>
      </c>
      <c r="B115" s="8" t="s">
        <v>371</v>
      </c>
      <c r="C115" s="8" t="s">
        <v>372</v>
      </c>
      <c r="D115" s="4">
        <v>1</v>
      </c>
      <c r="E115" s="4">
        <v>45</v>
      </c>
      <c r="F115" s="4">
        <f>_xll.AtlasFormulas.AtlasFunctions.AtlasBalance("PROD",DataAreaId,"T.TPPTrans_sst|InventDimId~inventDimId@T.InventDim","Sum|Qty|0","","","","","","","ItemId|TransDate|T2.InventSiteId|T2.InventLocationId",$A115,PeriodBeginning,$B115,$C115)</f>
        <v>0</v>
      </c>
      <c r="G115" s="4">
        <f>_xll.AtlasFormulas.AtlasFunctions.AtlasBalance("PROD",DataAreaId,"T.TPPTrans_sst|InventDimId~inventDimId@T.InventDim","Sum|Qty|0","","","","","","","ItemId|TransDate|T2.InventSiteId|T2.InventLocationId",$A115,PeriodEnding,$B115,$C115)</f>
        <v>0</v>
      </c>
      <c r="H115" s="4">
        <f>AtlasReport_4_Table_1[[#This Row],[Quantity]]-AtlasReport_4_Table_1[[#This Row],[TPP trans backwards (Beginning)]]</f>
        <v>1</v>
      </c>
      <c r="I115" s="4">
        <f>AtlasReport_4_Table_1[[#This Row],[Quantity]]-AtlasReport_4_Table_1[[#This Row],[TPP trans backwards (Ending)]]</f>
        <v>1</v>
      </c>
      <c r="J115" s="4">
        <f>_xll.AtlasFormulas.AtlasFunctions.AtlasBalance("PROD",DataAreaId,"T.TPPTrans_sst|InventDimId~inventDimId@T.InventDim","Sum|CostAmount|0","","","","","","","ItemId|TransDate|T2.InventSiteId|T2.InventLocationId",$A115,PeriodBeginning,$B115,$C115)</f>
        <v>0</v>
      </c>
      <c r="K115" s="4">
        <f>_xll.AtlasFormulas.AtlasFunctions.AtlasBalance("PROD",DataAreaId,"T.TPPTrans_sst|InventDimId~inventDimId@T.InventDim","Sum|CostAmount|0","","","","","","","ItemId|TransDate|T2.InventSiteId|T2.InventLocationId",$A115,PeriodEnding,$B115,$C115)</f>
        <v>0</v>
      </c>
      <c r="L115" s="4">
        <f>AtlasReport_4_Table_1[[#This Row],[TPP cost amount]]-AtlasReport_4_Table_1[[#This Row],[TPP trans backwards balance (Beginning)]]</f>
        <v>45</v>
      </c>
      <c r="M115" s="4">
        <f>AtlasReport_4_Table_1[[#This Row],[TPP cost amount]]-AtlasReport_4_Table_1[[#This Row],[TPP trans backwards balance (Ending)]]</f>
        <v>45</v>
      </c>
    </row>
    <row r="116" spans="1:13">
      <c r="A116" s="8" t="s">
        <v>222</v>
      </c>
      <c r="B116" s="8" t="s">
        <v>371</v>
      </c>
      <c r="C116" s="8" t="s">
        <v>372</v>
      </c>
      <c r="D116" s="4">
        <v>130</v>
      </c>
      <c r="E116" s="4">
        <v>126.28333791954802</v>
      </c>
      <c r="F116" s="4">
        <f>_xll.AtlasFormulas.AtlasFunctions.AtlasBalance("PROD",DataAreaId,"T.TPPTrans_sst|InventDimId~inventDimId@T.InventDim","Sum|Qty|0","","","","","","","ItemId|TransDate|T2.InventSiteId|T2.InventLocationId",$A116,PeriodBeginning,$B116,$C116)</f>
        <v>0</v>
      </c>
      <c r="G116" s="4">
        <f>_xll.AtlasFormulas.AtlasFunctions.AtlasBalance("PROD",DataAreaId,"T.TPPTrans_sst|InventDimId~inventDimId@T.InventDim","Sum|Qty|0","","","","","","","ItemId|TransDate|T2.InventSiteId|T2.InventLocationId",$A116,PeriodEnding,$B116,$C116)</f>
        <v>0</v>
      </c>
      <c r="H116" s="4">
        <f>AtlasReport_4_Table_1[[#This Row],[Quantity]]-AtlasReport_4_Table_1[[#This Row],[TPP trans backwards (Beginning)]]</f>
        <v>130</v>
      </c>
      <c r="I116" s="4">
        <f>AtlasReport_4_Table_1[[#This Row],[Quantity]]-AtlasReport_4_Table_1[[#This Row],[TPP trans backwards (Ending)]]</f>
        <v>130</v>
      </c>
      <c r="J116" s="4">
        <f>_xll.AtlasFormulas.AtlasFunctions.AtlasBalance("PROD",DataAreaId,"T.TPPTrans_sst|InventDimId~inventDimId@T.InventDim","Sum|CostAmount|0","","","","","","","ItemId|TransDate|T2.InventSiteId|T2.InventLocationId",$A116,PeriodBeginning,$B116,$C116)</f>
        <v>0</v>
      </c>
      <c r="K116" s="4">
        <f>_xll.AtlasFormulas.AtlasFunctions.AtlasBalance("PROD",DataAreaId,"T.TPPTrans_sst|InventDimId~inventDimId@T.InventDim","Sum|CostAmount|0","","","","","","","ItemId|TransDate|T2.InventSiteId|T2.InventLocationId",$A116,PeriodEnding,$B116,$C116)</f>
        <v>0</v>
      </c>
      <c r="L116" s="4">
        <f>AtlasReport_4_Table_1[[#This Row],[TPP cost amount]]-AtlasReport_4_Table_1[[#This Row],[TPP trans backwards balance (Beginning)]]</f>
        <v>126.28333791954802</v>
      </c>
      <c r="M116" s="4">
        <f>AtlasReport_4_Table_1[[#This Row],[TPP cost amount]]-AtlasReport_4_Table_1[[#This Row],[TPP trans backwards balance (Ending)]]</f>
        <v>126.28333791954802</v>
      </c>
    </row>
    <row r="117" spans="1:13">
      <c r="A117" s="8" t="s">
        <v>374</v>
      </c>
      <c r="B117" s="8" t="s">
        <v>371</v>
      </c>
      <c r="C117" s="8" t="s">
        <v>372</v>
      </c>
      <c r="D117" s="4">
        <v>0</v>
      </c>
      <c r="E117" s="4">
        <v>0</v>
      </c>
      <c r="F117" s="4">
        <f>_xll.AtlasFormulas.AtlasFunctions.AtlasBalance("PROD",DataAreaId,"T.TPPTrans_sst|InventDimId~inventDimId@T.InventDim","Sum|Qty|0","","","","","","","ItemId|TransDate|T2.InventSiteId|T2.InventLocationId",$A117,PeriodBeginning,$B117,$C117)</f>
        <v>0</v>
      </c>
      <c r="G117" s="4">
        <f>_xll.AtlasFormulas.AtlasFunctions.AtlasBalance("PROD",DataAreaId,"T.TPPTrans_sst|InventDimId~inventDimId@T.InventDim","Sum|Qty|0","","","","","","","ItemId|TransDate|T2.InventSiteId|T2.InventLocationId",$A117,PeriodEnding,$B117,$C117)</f>
        <v>0</v>
      </c>
      <c r="H117" s="4">
        <f>AtlasReport_4_Table_1[[#This Row],[Quantity]]-AtlasReport_4_Table_1[[#This Row],[TPP trans backwards (Beginning)]]</f>
        <v>0</v>
      </c>
      <c r="I117" s="4">
        <f>AtlasReport_4_Table_1[[#This Row],[Quantity]]-AtlasReport_4_Table_1[[#This Row],[TPP trans backwards (Ending)]]</f>
        <v>0</v>
      </c>
      <c r="J117" s="4">
        <f>_xll.AtlasFormulas.AtlasFunctions.AtlasBalance("PROD",DataAreaId,"T.TPPTrans_sst|InventDimId~inventDimId@T.InventDim","Sum|CostAmount|0","","","","","","","ItemId|TransDate|T2.InventSiteId|T2.InventLocationId",$A117,PeriodBeginning,$B117,$C117)</f>
        <v>0</v>
      </c>
      <c r="K117" s="4">
        <f>_xll.AtlasFormulas.AtlasFunctions.AtlasBalance("PROD",DataAreaId,"T.TPPTrans_sst|InventDimId~inventDimId@T.InventDim","Sum|CostAmount|0","","","","","","","ItemId|TransDate|T2.InventSiteId|T2.InventLocationId",$A117,PeriodEnding,$B117,$C117)</f>
        <v>0</v>
      </c>
      <c r="L117" s="4">
        <f>AtlasReport_4_Table_1[[#This Row],[TPP cost amount]]-AtlasReport_4_Table_1[[#This Row],[TPP trans backwards balance (Beginning)]]</f>
        <v>0</v>
      </c>
      <c r="M117" s="4">
        <f>AtlasReport_4_Table_1[[#This Row],[TPP cost amount]]-AtlasReport_4_Table_1[[#This Row],[TPP trans backwards balance (Ending)]]</f>
        <v>0</v>
      </c>
    </row>
    <row r="118" spans="1:13">
      <c r="A118" s="3" t="s">
        <v>13</v>
      </c>
      <c r="B118" s="7"/>
      <c r="C118" s="7"/>
      <c r="D118" s="3">
        <f>SUBTOTAL(109,AtlasReport_4_Table_1[Quantity])</f>
        <v>663095.64000000036</v>
      </c>
      <c r="E118" s="3">
        <f>SUBTOTAL(109,AtlasReport_4_Table_1[TPP cost amount])</f>
        <v>543442.04999999993</v>
      </c>
      <c r="F118" s="3"/>
      <c r="G118" s="3"/>
      <c r="H118" s="3"/>
      <c r="I118" s="3"/>
      <c r="J118" s="3"/>
      <c r="K118" s="3"/>
      <c r="L118" s="3"/>
      <c r="M118" s="3"/>
    </row>
    <row r="119" spans="1:1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1:1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</row>
  </sheetData>
  <phoneticPr fontId="6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55"/>
  <sheetViews>
    <sheetView workbookViewId="0">
      <selection activeCell="B4" sqref="B4"/>
    </sheetView>
  </sheetViews>
  <sheetFormatPr defaultRowHeight="15"/>
  <cols>
    <col min="1" max="1" width="21.140625" customWidth="1"/>
    <col min="2" max="2" width="56.7109375" customWidth="1"/>
    <col min="3" max="3" width="13" customWidth="1"/>
    <col min="4" max="4" width="11.85546875" customWidth="1"/>
    <col min="5" max="5" width="7.140625" customWidth="1"/>
    <col min="6" max="6" width="9.28515625" customWidth="1"/>
    <col min="7" max="7" width="14" customWidth="1"/>
    <col min="8" max="8" width="13.5703125" customWidth="1"/>
    <col min="9" max="9" width="10.5703125" customWidth="1"/>
    <col min="10" max="10" width="12.28515625" customWidth="1"/>
    <col min="11" max="11" width="11.140625" customWidth="1"/>
    <col min="12" max="13" width="24.5703125" customWidth="1"/>
    <col min="14" max="14" width="11.42578125" customWidth="1"/>
    <col min="15" max="15" width="10.5703125" customWidth="1"/>
  </cols>
  <sheetData>
    <row r="1" spans="1:15" ht="22.5">
      <c r="A1" s="2" t="s">
        <v>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>
      <c r="A2" s="3" t="s">
        <v>6</v>
      </c>
      <c r="B2" s="3" t="s">
        <v>25</v>
      </c>
      <c r="C2" s="3" t="s">
        <v>156</v>
      </c>
      <c r="D2" s="3" t="s">
        <v>157</v>
      </c>
      <c r="E2" s="3" t="s">
        <v>30</v>
      </c>
      <c r="F2" s="3" t="s">
        <v>305</v>
      </c>
      <c r="G2" s="3" t="s">
        <v>306</v>
      </c>
      <c r="H2" s="3" t="s">
        <v>307</v>
      </c>
      <c r="I2" s="3" t="s">
        <v>308</v>
      </c>
      <c r="J2" s="3" t="s">
        <v>309</v>
      </c>
      <c r="K2" s="3" t="s">
        <v>310</v>
      </c>
      <c r="L2" s="3" t="s">
        <v>311</v>
      </c>
      <c r="M2" s="3" t="s">
        <v>312</v>
      </c>
      <c r="N2" s="3" t="s">
        <v>313</v>
      </c>
      <c r="O2" s="3" t="s">
        <v>314</v>
      </c>
    </row>
    <row r="3" spans="1:15">
      <c r="A3" s="8" t="s">
        <v>206</v>
      </c>
      <c r="B3" s="8" t="s">
        <v>224</v>
      </c>
      <c r="C3" s="8" t="s">
        <v>431</v>
      </c>
      <c r="D3" s="8" t="s">
        <v>159</v>
      </c>
      <c r="E3" s="8" t="s">
        <v>31</v>
      </c>
      <c r="F3" s="8" t="s">
        <v>371</v>
      </c>
      <c r="G3" s="8" t="s">
        <v>315</v>
      </c>
      <c r="H3" s="8" t="s">
        <v>70</v>
      </c>
      <c r="I3" s="8" t="s">
        <v>316</v>
      </c>
      <c r="J3" s="8" t="s">
        <v>432</v>
      </c>
      <c r="K3" s="8" t="s">
        <v>317</v>
      </c>
      <c r="L3" s="8" t="s">
        <v>318</v>
      </c>
      <c r="M3" s="8" t="s">
        <v>346</v>
      </c>
      <c r="N3" s="8" t="s">
        <v>70</v>
      </c>
      <c r="O3" s="8" t="s">
        <v>70</v>
      </c>
    </row>
    <row r="4" spans="1:15">
      <c r="A4" s="8" t="s">
        <v>207</v>
      </c>
      <c r="B4" s="8" t="s">
        <v>225</v>
      </c>
      <c r="C4" s="8" t="s">
        <v>158</v>
      </c>
      <c r="D4" s="8" t="s">
        <v>159</v>
      </c>
      <c r="E4" s="8" t="s">
        <v>31</v>
      </c>
      <c r="F4" s="8" t="s">
        <v>371</v>
      </c>
      <c r="G4" s="8" t="s">
        <v>315</v>
      </c>
      <c r="H4" s="8" t="s">
        <v>70</v>
      </c>
      <c r="I4" s="8" t="s">
        <v>316</v>
      </c>
      <c r="J4" s="8" t="s">
        <v>432</v>
      </c>
      <c r="K4" s="8" t="s">
        <v>317</v>
      </c>
      <c r="L4" s="8" t="s">
        <v>318</v>
      </c>
      <c r="M4" s="8" t="s">
        <v>322</v>
      </c>
      <c r="N4" s="8" t="s">
        <v>70</v>
      </c>
      <c r="O4" s="8" t="s">
        <v>70</v>
      </c>
    </row>
    <row r="5" spans="1:15">
      <c r="A5" s="8" t="s">
        <v>46</v>
      </c>
      <c r="B5" s="8" t="s">
        <v>85</v>
      </c>
      <c r="C5" s="8" t="s">
        <v>158</v>
      </c>
      <c r="D5" s="8" t="s">
        <v>159</v>
      </c>
      <c r="E5" s="8" t="s">
        <v>32</v>
      </c>
      <c r="F5" s="8" t="s">
        <v>371</v>
      </c>
      <c r="G5" s="8" t="s">
        <v>315</v>
      </c>
      <c r="H5" s="8" t="s">
        <v>70</v>
      </c>
      <c r="I5" s="8" t="s">
        <v>316</v>
      </c>
      <c r="J5" s="8" t="s">
        <v>432</v>
      </c>
      <c r="K5" s="8" t="s">
        <v>317</v>
      </c>
      <c r="L5" s="8" t="s">
        <v>318</v>
      </c>
      <c r="M5" s="8" t="s">
        <v>319</v>
      </c>
      <c r="N5" s="8" t="s">
        <v>70</v>
      </c>
      <c r="O5" s="8" t="s">
        <v>70</v>
      </c>
    </row>
    <row r="6" spans="1:15" ht="30">
      <c r="A6" s="8" t="s">
        <v>119</v>
      </c>
      <c r="B6" s="11" t="s">
        <v>139</v>
      </c>
      <c r="C6" s="8" t="s">
        <v>158</v>
      </c>
      <c r="D6" s="8" t="s">
        <v>159</v>
      </c>
      <c r="E6" s="8" t="s">
        <v>32</v>
      </c>
      <c r="F6" s="8" t="s">
        <v>371</v>
      </c>
      <c r="G6" s="8" t="s">
        <v>315</v>
      </c>
      <c r="H6" s="8" t="s">
        <v>70</v>
      </c>
      <c r="I6" s="8" t="s">
        <v>316</v>
      </c>
      <c r="J6" s="8" t="s">
        <v>432</v>
      </c>
      <c r="K6" s="8" t="s">
        <v>317</v>
      </c>
      <c r="L6" s="8" t="s">
        <v>318</v>
      </c>
      <c r="M6" s="8" t="s">
        <v>319</v>
      </c>
      <c r="N6" s="8" t="s">
        <v>70</v>
      </c>
      <c r="O6" s="8" t="s">
        <v>70</v>
      </c>
    </row>
    <row r="7" spans="1:15">
      <c r="A7" s="8" t="s">
        <v>208</v>
      </c>
      <c r="B7" s="8" t="s">
        <v>226</v>
      </c>
      <c r="C7" s="8" t="s">
        <v>158</v>
      </c>
      <c r="D7" s="8" t="s">
        <v>159</v>
      </c>
      <c r="E7" s="8" t="s">
        <v>33</v>
      </c>
      <c r="F7" s="8" t="s">
        <v>371</v>
      </c>
      <c r="G7" s="8" t="s">
        <v>315</v>
      </c>
      <c r="H7" s="8" t="s">
        <v>70</v>
      </c>
      <c r="I7" s="8" t="s">
        <v>316</v>
      </c>
      <c r="J7" s="8" t="s">
        <v>432</v>
      </c>
      <c r="K7" s="8" t="s">
        <v>317</v>
      </c>
      <c r="L7" s="8" t="s">
        <v>318</v>
      </c>
      <c r="M7" s="8" t="s">
        <v>324</v>
      </c>
      <c r="N7" s="8" t="s">
        <v>70</v>
      </c>
      <c r="O7" s="8" t="s">
        <v>70</v>
      </c>
    </row>
    <row r="8" spans="1:15">
      <c r="A8" s="8" t="s">
        <v>433</v>
      </c>
      <c r="B8" s="8" t="s">
        <v>434</v>
      </c>
      <c r="C8" s="8" t="s">
        <v>158</v>
      </c>
      <c r="D8" s="8" t="s">
        <v>159</v>
      </c>
      <c r="E8" s="8" t="s">
        <v>31</v>
      </c>
      <c r="F8" s="8" t="s">
        <v>371</v>
      </c>
      <c r="G8" s="8" t="s">
        <v>315</v>
      </c>
      <c r="H8" s="8" t="s">
        <v>70</v>
      </c>
      <c r="I8" s="8" t="s">
        <v>316</v>
      </c>
      <c r="J8" s="8" t="s">
        <v>432</v>
      </c>
      <c r="K8" s="8" t="s">
        <v>317</v>
      </c>
      <c r="L8" s="8" t="s">
        <v>318</v>
      </c>
      <c r="M8" s="8" t="s">
        <v>294</v>
      </c>
      <c r="N8" s="8" t="s">
        <v>70</v>
      </c>
      <c r="O8" s="8" t="s">
        <v>70</v>
      </c>
    </row>
    <row r="9" spans="1:15">
      <c r="A9" s="8" t="s">
        <v>435</v>
      </c>
      <c r="B9" s="8" t="s">
        <v>436</v>
      </c>
      <c r="C9" s="8" t="s">
        <v>437</v>
      </c>
      <c r="D9" s="8" t="s">
        <v>159</v>
      </c>
      <c r="E9" s="8" t="s">
        <v>31</v>
      </c>
      <c r="F9" s="8" t="s">
        <v>371</v>
      </c>
      <c r="G9" s="8" t="s">
        <v>438</v>
      </c>
      <c r="H9" s="8" t="s">
        <v>70</v>
      </c>
      <c r="I9" s="8" t="s">
        <v>316</v>
      </c>
      <c r="J9" s="8" t="s">
        <v>432</v>
      </c>
      <c r="K9" s="8" t="s">
        <v>317</v>
      </c>
      <c r="L9" s="8" t="s">
        <v>318</v>
      </c>
      <c r="M9" s="8" t="s">
        <v>321</v>
      </c>
      <c r="N9" s="8" t="s">
        <v>70</v>
      </c>
      <c r="O9" s="8" t="s">
        <v>70</v>
      </c>
    </row>
    <row r="10" spans="1:15">
      <c r="A10" s="8" t="s">
        <v>209</v>
      </c>
      <c r="B10" s="8" t="s">
        <v>227</v>
      </c>
      <c r="C10" s="8" t="s">
        <v>158</v>
      </c>
      <c r="D10" s="8" t="s">
        <v>159</v>
      </c>
      <c r="E10" s="8" t="s">
        <v>32</v>
      </c>
      <c r="F10" s="8" t="s">
        <v>371</v>
      </c>
      <c r="G10" s="8" t="s">
        <v>315</v>
      </c>
      <c r="H10" s="8" t="s">
        <v>70</v>
      </c>
      <c r="I10" s="8" t="s">
        <v>316</v>
      </c>
      <c r="J10" s="8" t="s">
        <v>432</v>
      </c>
      <c r="K10" s="8" t="s">
        <v>317</v>
      </c>
      <c r="L10" s="8" t="s">
        <v>318</v>
      </c>
      <c r="M10" s="8" t="s">
        <v>319</v>
      </c>
      <c r="N10" s="8" t="s">
        <v>70</v>
      </c>
      <c r="O10" s="8" t="s">
        <v>70</v>
      </c>
    </row>
    <row r="11" spans="1:15" ht="30">
      <c r="A11" s="8" t="s">
        <v>439</v>
      </c>
      <c r="B11" s="11" t="s">
        <v>440</v>
      </c>
      <c r="C11" s="8" t="s">
        <v>158</v>
      </c>
      <c r="D11" s="8" t="s">
        <v>140</v>
      </c>
      <c r="E11" s="8" t="s">
        <v>33</v>
      </c>
      <c r="F11" s="8" t="s">
        <v>371</v>
      </c>
      <c r="G11" s="8" t="s">
        <v>315</v>
      </c>
      <c r="H11" s="8" t="s">
        <v>70</v>
      </c>
      <c r="I11" s="8" t="s">
        <v>316</v>
      </c>
      <c r="J11" s="8" t="s">
        <v>432</v>
      </c>
      <c r="K11" s="8" t="s">
        <v>317</v>
      </c>
      <c r="L11" s="8" t="s">
        <v>318</v>
      </c>
      <c r="M11" s="8" t="s">
        <v>319</v>
      </c>
      <c r="N11" s="8" t="s">
        <v>70</v>
      </c>
      <c r="O11" s="8" t="s">
        <v>70</v>
      </c>
    </row>
    <row r="12" spans="1:15">
      <c r="A12" s="8" t="s">
        <v>441</v>
      </c>
      <c r="B12" s="8" t="s">
        <v>442</v>
      </c>
      <c r="C12" s="8" t="s">
        <v>158</v>
      </c>
      <c r="D12" s="8" t="s">
        <v>140</v>
      </c>
      <c r="E12" s="8" t="s">
        <v>33</v>
      </c>
      <c r="F12" s="8" t="s">
        <v>371</v>
      </c>
      <c r="G12" s="8" t="s">
        <v>315</v>
      </c>
      <c r="H12" s="8" t="s">
        <v>70</v>
      </c>
      <c r="I12" s="8" t="s">
        <v>316</v>
      </c>
      <c r="J12" s="8" t="s">
        <v>432</v>
      </c>
      <c r="K12" s="8" t="s">
        <v>317</v>
      </c>
      <c r="L12" s="8" t="s">
        <v>318</v>
      </c>
      <c r="M12" s="8" t="s">
        <v>319</v>
      </c>
      <c r="N12" s="8" t="s">
        <v>70</v>
      </c>
      <c r="O12" s="8" t="s">
        <v>70</v>
      </c>
    </row>
    <row r="13" spans="1:15">
      <c r="A13" s="8" t="s">
        <v>210</v>
      </c>
      <c r="B13" s="8" t="s">
        <v>228</v>
      </c>
      <c r="C13" s="8" t="s">
        <v>158</v>
      </c>
      <c r="D13" s="8" t="s">
        <v>159</v>
      </c>
      <c r="E13" s="8" t="s">
        <v>32</v>
      </c>
      <c r="F13" s="8" t="s">
        <v>371</v>
      </c>
      <c r="G13" s="8" t="s">
        <v>315</v>
      </c>
      <c r="H13" s="8" t="s">
        <v>70</v>
      </c>
      <c r="I13" s="8" t="s">
        <v>316</v>
      </c>
      <c r="J13" s="8" t="s">
        <v>432</v>
      </c>
      <c r="K13" s="8" t="s">
        <v>317</v>
      </c>
      <c r="L13" s="8" t="s">
        <v>318</v>
      </c>
      <c r="M13" s="8" t="s">
        <v>319</v>
      </c>
      <c r="N13" s="8" t="s">
        <v>70</v>
      </c>
      <c r="O13" s="8" t="s">
        <v>70</v>
      </c>
    </row>
    <row r="14" spans="1:15">
      <c r="A14" s="8" t="s">
        <v>443</v>
      </c>
      <c r="B14" s="8" t="s">
        <v>444</v>
      </c>
      <c r="C14" s="8" t="s">
        <v>158</v>
      </c>
      <c r="D14" s="8" t="s">
        <v>140</v>
      </c>
      <c r="E14" s="8" t="s">
        <v>33</v>
      </c>
      <c r="F14" s="8" t="s">
        <v>371</v>
      </c>
      <c r="G14" s="8" t="s">
        <v>315</v>
      </c>
      <c r="H14" s="8" t="s">
        <v>70</v>
      </c>
      <c r="I14" s="8" t="s">
        <v>316</v>
      </c>
      <c r="J14" s="8" t="s">
        <v>432</v>
      </c>
      <c r="K14" s="8" t="s">
        <v>317</v>
      </c>
      <c r="L14" s="8" t="s">
        <v>318</v>
      </c>
      <c r="M14" s="8" t="s">
        <v>319</v>
      </c>
      <c r="N14" s="8" t="s">
        <v>70</v>
      </c>
      <c r="O14" s="8" t="s">
        <v>70</v>
      </c>
    </row>
    <row r="15" spans="1:15" ht="30">
      <c r="A15" s="8" t="s">
        <v>445</v>
      </c>
      <c r="B15" s="11" t="s">
        <v>446</v>
      </c>
      <c r="C15" s="8" t="s">
        <v>158</v>
      </c>
      <c r="D15" s="8" t="s">
        <v>140</v>
      </c>
      <c r="E15" s="8" t="s">
        <v>33</v>
      </c>
      <c r="F15" s="8" t="s">
        <v>371</v>
      </c>
      <c r="G15" s="8" t="s">
        <v>315</v>
      </c>
      <c r="H15" s="8" t="s">
        <v>70</v>
      </c>
      <c r="I15" s="8" t="s">
        <v>316</v>
      </c>
      <c r="J15" s="8" t="s">
        <v>432</v>
      </c>
      <c r="K15" s="8" t="s">
        <v>317</v>
      </c>
      <c r="L15" s="8" t="s">
        <v>318</v>
      </c>
      <c r="M15" s="8" t="s">
        <v>319</v>
      </c>
      <c r="N15" s="8" t="s">
        <v>70</v>
      </c>
      <c r="O15" s="8" t="s">
        <v>70</v>
      </c>
    </row>
    <row r="16" spans="1:15">
      <c r="A16" s="8" t="s">
        <v>447</v>
      </c>
      <c r="B16" s="8" t="s">
        <v>448</v>
      </c>
      <c r="C16" s="8" t="s">
        <v>158</v>
      </c>
      <c r="D16" s="8" t="s">
        <v>140</v>
      </c>
      <c r="E16" s="8" t="s">
        <v>33</v>
      </c>
      <c r="F16" s="8" t="s">
        <v>371</v>
      </c>
      <c r="G16" s="8" t="s">
        <v>315</v>
      </c>
      <c r="H16" s="8" t="s">
        <v>70</v>
      </c>
      <c r="I16" s="8" t="s">
        <v>316</v>
      </c>
      <c r="J16" s="8" t="s">
        <v>432</v>
      </c>
      <c r="K16" s="8" t="s">
        <v>317</v>
      </c>
      <c r="L16" s="8" t="s">
        <v>318</v>
      </c>
      <c r="M16" s="8" t="s">
        <v>319</v>
      </c>
      <c r="N16" s="8" t="s">
        <v>70</v>
      </c>
      <c r="O16" s="8" t="s">
        <v>70</v>
      </c>
    </row>
    <row r="17" spans="1:15">
      <c r="A17" s="8" t="s">
        <v>449</v>
      </c>
      <c r="B17" s="8" t="s">
        <v>450</v>
      </c>
      <c r="C17" s="8" t="s">
        <v>158</v>
      </c>
      <c r="D17" s="8" t="s">
        <v>140</v>
      </c>
      <c r="E17" s="8" t="s">
        <v>33</v>
      </c>
      <c r="F17" s="8" t="s">
        <v>371</v>
      </c>
      <c r="G17" s="8" t="s">
        <v>315</v>
      </c>
      <c r="H17" s="8" t="s">
        <v>70</v>
      </c>
      <c r="I17" s="8" t="s">
        <v>316</v>
      </c>
      <c r="J17" s="8" t="s">
        <v>432</v>
      </c>
      <c r="K17" s="8" t="s">
        <v>317</v>
      </c>
      <c r="L17" s="8" t="s">
        <v>318</v>
      </c>
      <c r="M17" s="8" t="s">
        <v>319</v>
      </c>
      <c r="N17" s="8" t="s">
        <v>70</v>
      </c>
      <c r="O17" s="8" t="s">
        <v>70</v>
      </c>
    </row>
    <row r="18" spans="1:15">
      <c r="A18" s="8" t="s">
        <v>120</v>
      </c>
      <c r="B18" s="8" t="s">
        <v>160</v>
      </c>
      <c r="C18" s="8" t="s">
        <v>158</v>
      </c>
      <c r="D18" s="8" t="s">
        <v>159</v>
      </c>
      <c r="E18" s="8" t="s">
        <v>32</v>
      </c>
      <c r="F18" s="8" t="s">
        <v>371</v>
      </c>
      <c r="G18" s="8" t="s">
        <v>315</v>
      </c>
      <c r="H18" s="8" t="s">
        <v>70</v>
      </c>
      <c r="I18" s="8" t="s">
        <v>316</v>
      </c>
      <c r="J18" s="8" t="s">
        <v>432</v>
      </c>
      <c r="K18" s="8" t="s">
        <v>317</v>
      </c>
      <c r="L18" s="8" t="s">
        <v>318</v>
      </c>
      <c r="M18" s="8" t="s">
        <v>319</v>
      </c>
      <c r="N18" s="8" t="s">
        <v>70</v>
      </c>
      <c r="O18" s="8" t="s">
        <v>70</v>
      </c>
    </row>
    <row r="19" spans="1:15">
      <c r="A19" s="8" t="s">
        <v>451</v>
      </c>
      <c r="B19" s="8" t="s">
        <v>452</v>
      </c>
      <c r="C19" s="8" t="s">
        <v>158</v>
      </c>
      <c r="D19" s="8" t="s">
        <v>140</v>
      </c>
      <c r="E19" s="8" t="s">
        <v>33</v>
      </c>
      <c r="F19" s="8" t="s">
        <v>371</v>
      </c>
      <c r="G19" s="8" t="s">
        <v>315</v>
      </c>
      <c r="H19" s="8" t="s">
        <v>70</v>
      </c>
      <c r="I19" s="8" t="s">
        <v>316</v>
      </c>
      <c r="J19" s="8" t="s">
        <v>432</v>
      </c>
      <c r="K19" s="8" t="s">
        <v>317</v>
      </c>
      <c r="L19" s="8" t="s">
        <v>318</v>
      </c>
      <c r="M19" s="8" t="s">
        <v>319</v>
      </c>
      <c r="N19" s="8" t="s">
        <v>70</v>
      </c>
      <c r="O19" s="8" t="s">
        <v>70</v>
      </c>
    </row>
    <row r="20" spans="1:15">
      <c r="A20" s="8" t="s">
        <v>453</v>
      </c>
      <c r="B20" s="8" t="s">
        <v>454</v>
      </c>
      <c r="C20" s="8" t="s">
        <v>158</v>
      </c>
      <c r="D20" s="8" t="s">
        <v>140</v>
      </c>
      <c r="E20" s="8" t="s">
        <v>33</v>
      </c>
      <c r="F20" s="8" t="s">
        <v>371</v>
      </c>
      <c r="G20" s="8" t="s">
        <v>315</v>
      </c>
      <c r="H20" s="8" t="s">
        <v>70</v>
      </c>
      <c r="I20" s="8" t="s">
        <v>316</v>
      </c>
      <c r="J20" s="8" t="s">
        <v>432</v>
      </c>
      <c r="K20" s="8" t="s">
        <v>317</v>
      </c>
      <c r="L20" s="8" t="s">
        <v>318</v>
      </c>
      <c r="M20" s="8" t="s">
        <v>319</v>
      </c>
      <c r="N20" s="8" t="s">
        <v>70</v>
      </c>
      <c r="O20" s="8" t="s">
        <v>70</v>
      </c>
    </row>
    <row r="21" spans="1:15">
      <c r="A21" s="8" t="s">
        <v>211</v>
      </c>
      <c r="B21" s="8" t="s">
        <v>229</v>
      </c>
      <c r="C21" s="8" t="s">
        <v>158</v>
      </c>
      <c r="D21" s="8" t="s">
        <v>159</v>
      </c>
      <c r="E21" s="8" t="s">
        <v>32</v>
      </c>
      <c r="F21" s="8" t="s">
        <v>371</v>
      </c>
      <c r="G21" s="8" t="s">
        <v>315</v>
      </c>
      <c r="H21" s="8" t="s">
        <v>70</v>
      </c>
      <c r="I21" s="8" t="s">
        <v>316</v>
      </c>
      <c r="J21" s="8" t="s">
        <v>432</v>
      </c>
      <c r="K21" s="8" t="s">
        <v>317</v>
      </c>
      <c r="L21" s="8" t="s">
        <v>318</v>
      </c>
      <c r="M21" s="8" t="s">
        <v>319</v>
      </c>
      <c r="N21" s="8" t="s">
        <v>70</v>
      </c>
      <c r="O21" s="8" t="s">
        <v>70</v>
      </c>
    </row>
    <row r="22" spans="1:15">
      <c r="A22" s="8" t="s">
        <v>212</v>
      </c>
      <c r="B22" s="8" t="s">
        <v>230</v>
      </c>
      <c r="C22" s="8" t="s">
        <v>158</v>
      </c>
      <c r="D22" s="8" t="s">
        <v>159</v>
      </c>
      <c r="E22" s="8" t="s">
        <v>32</v>
      </c>
      <c r="F22" s="8" t="s">
        <v>371</v>
      </c>
      <c r="G22" s="8" t="s">
        <v>315</v>
      </c>
      <c r="H22" s="8" t="s">
        <v>70</v>
      </c>
      <c r="I22" s="8" t="s">
        <v>316</v>
      </c>
      <c r="J22" s="8" t="s">
        <v>432</v>
      </c>
      <c r="K22" s="8" t="s">
        <v>317</v>
      </c>
      <c r="L22" s="8" t="s">
        <v>318</v>
      </c>
      <c r="M22" s="8" t="s">
        <v>319</v>
      </c>
      <c r="N22" s="8" t="s">
        <v>70</v>
      </c>
      <c r="O22" s="8" t="s">
        <v>70</v>
      </c>
    </row>
    <row r="23" spans="1:15">
      <c r="A23" s="8" t="s">
        <v>455</v>
      </c>
      <c r="B23" s="8" t="s">
        <v>230</v>
      </c>
      <c r="C23" s="8" t="s">
        <v>158</v>
      </c>
      <c r="D23" s="8" t="s">
        <v>159</v>
      </c>
      <c r="E23" s="8" t="s">
        <v>32</v>
      </c>
      <c r="F23" s="8" t="s">
        <v>371</v>
      </c>
      <c r="G23" s="8" t="s">
        <v>315</v>
      </c>
      <c r="H23" s="8" t="s">
        <v>70</v>
      </c>
      <c r="I23" s="8" t="s">
        <v>316</v>
      </c>
      <c r="J23" s="8" t="s">
        <v>432</v>
      </c>
      <c r="K23" s="8" t="s">
        <v>317</v>
      </c>
      <c r="L23" s="8" t="s">
        <v>318</v>
      </c>
      <c r="M23" s="8" t="s">
        <v>319</v>
      </c>
      <c r="N23" s="8" t="s">
        <v>70</v>
      </c>
      <c r="O23" s="8" t="s">
        <v>70</v>
      </c>
    </row>
    <row r="24" spans="1:15" ht="30">
      <c r="A24" s="8" t="s">
        <v>456</v>
      </c>
      <c r="B24" s="11" t="s">
        <v>457</v>
      </c>
      <c r="C24" s="8" t="s">
        <v>158</v>
      </c>
      <c r="D24" s="8" t="s">
        <v>159</v>
      </c>
      <c r="E24" s="8" t="s">
        <v>31</v>
      </c>
      <c r="F24" s="8" t="s">
        <v>371</v>
      </c>
      <c r="G24" s="8" t="s">
        <v>315</v>
      </c>
      <c r="H24" s="8" t="s">
        <v>70</v>
      </c>
      <c r="I24" s="8" t="s">
        <v>316</v>
      </c>
      <c r="J24" s="8" t="s">
        <v>432</v>
      </c>
      <c r="K24" s="8" t="s">
        <v>317</v>
      </c>
      <c r="L24" s="8" t="s">
        <v>320</v>
      </c>
      <c r="M24" s="8" t="s">
        <v>321</v>
      </c>
      <c r="N24" s="8" t="s">
        <v>70</v>
      </c>
      <c r="O24" s="8" t="s">
        <v>70</v>
      </c>
    </row>
    <row r="25" spans="1:15">
      <c r="A25" s="8" t="s">
        <v>47</v>
      </c>
      <c r="B25" s="8" t="s">
        <v>458</v>
      </c>
      <c r="C25" s="8" t="s">
        <v>437</v>
      </c>
      <c r="D25" s="8" t="s">
        <v>159</v>
      </c>
      <c r="E25" s="8" t="s">
        <v>31</v>
      </c>
      <c r="F25" s="8" t="s">
        <v>371</v>
      </c>
      <c r="G25" s="8" t="s">
        <v>438</v>
      </c>
      <c r="H25" s="8" t="s">
        <v>70</v>
      </c>
      <c r="I25" s="8" t="s">
        <v>316</v>
      </c>
      <c r="J25" s="8" t="s">
        <v>432</v>
      </c>
      <c r="K25" s="8" t="s">
        <v>317</v>
      </c>
      <c r="L25" s="8" t="s">
        <v>320</v>
      </c>
      <c r="M25" s="8" t="s">
        <v>321</v>
      </c>
      <c r="N25" s="8" t="s">
        <v>70</v>
      </c>
      <c r="O25" s="8" t="s">
        <v>70</v>
      </c>
    </row>
    <row r="26" spans="1:15">
      <c r="A26" s="8" t="s">
        <v>370</v>
      </c>
      <c r="B26" s="8" t="s">
        <v>304</v>
      </c>
      <c r="C26" s="8" t="s">
        <v>437</v>
      </c>
      <c r="D26" s="8" t="s">
        <v>159</v>
      </c>
      <c r="E26" s="8" t="s">
        <v>31</v>
      </c>
      <c r="F26" s="8" t="s">
        <v>371</v>
      </c>
      <c r="G26" s="8" t="s">
        <v>438</v>
      </c>
      <c r="H26" s="8" t="s">
        <v>70</v>
      </c>
      <c r="I26" s="8" t="s">
        <v>316</v>
      </c>
      <c r="J26" s="8" t="s">
        <v>432</v>
      </c>
      <c r="K26" s="8" t="s">
        <v>317</v>
      </c>
      <c r="L26" s="8" t="s">
        <v>320</v>
      </c>
      <c r="M26" s="8" t="s">
        <v>321</v>
      </c>
      <c r="N26" s="8" t="s">
        <v>70</v>
      </c>
      <c r="O26" s="8" t="s">
        <v>70</v>
      </c>
    </row>
    <row r="27" spans="1:15">
      <c r="A27" s="8" t="s">
        <v>342</v>
      </c>
      <c r="B27" s="8" t="s">
        <v>304</v>
      </c>
      <c r="C27" s="8" t="s">
        <v>437</v>
      </c>
      <c r="D27" s="8" t="s">
        <v>159</v>
      </c>
      <c r="E27" s="8" t="s">
        <v>31</v>
      </c>
      <c r="F27" s="8" t="s">
        <v>371</v>
      </c>
      <c r="G27" s="8" t="s">
        <v>438</v>
      </c>
      <c r="H27" s="8" t="s">
        <v>70</v>
      </c>
      <c r="I27" s="8" t="s">
        <v>316</v>
      </c>
      <c r="J27" s="8" t="s">
        <v>432</v>
      </c>
      <c r="K27" s="8" t="s">
        <v>317</v>
      </c>
      <c r="L27" s="8" t="s">
        <v>320</v>
      </c>
      <c r="M27" s="8" t="s">
        <v>321</v>
      </c>
      <c r="N27" s="8" t="s">
        <v>70</v>
      </c>
      <c r="O27" s="8" t="s">
        <v>70</v>
      </c>
    </row>
    <row r="28" spans="1:15" ht="30">
      <c r="A28" s="8" t="s">
        <v>459</v>
      </c>
      <c r="B28" s="11" t="s">
        <v>460</v>
      </c>
      <c r="C28" s="8" t="s">
        <v>431</v>
      </c>
      <c r="D28" s="8" t="s">
        <v>159</v>
      </c>
      <c r="E28" s="8" t="s">
        <v>106</v>
      </c>
      <c r="F28" s="8" t="s">
        <v>371</v>
      </c>
      <c r="G28" s="8" t="s">
        <v>315</v>
      </c>
      <c r="H28" s="8" t="s">
        <v>70</v>
      </c>
      <c r="I28" s="8" t="s">
        <v>316</v>
      </c>
      <c r="J28" s="8" t="s">
        <v>432</v>
      </c>
      <c r="K28" s="8" t="s">
        <v>317</v>
      </c>
      <c r="L28" s="8" t="s">
        <v>318</v>
      </c>
      <c r="M28" s="8" t="s">
        <v>461</v>
      </c>
      <c r="N28" s="8" t="s">
        <v>70</v>
      </c>
      <c r="O28" s="8" t="s">
        <v>70</v>
      </c>
    </row>
    <row r="29" spans="1:15">
      <c r="A29" s="8" t="s">
        <v>462</v>
      </c>
      <c r="B29" s="8" t="s">
        <v>463</v>
      </c>
      <c r="C29" s="8" t="s">
        <v>158</v>
      </c>
      <c r="D29" s="8" t="s">
        <v>140</v>
      </c>
      <c r="E29" s="8" t="s">
        <v>31</v>
      </c>
      <c r="F29" s="8" t="s">
        <v>371</v>
      </c>
      <c r="G29" s="8" t="s">
        <v>315</v>
      </c>
      <c r="H29" s="8" t="s">
        <v>70</v>
      </c>
      <c r="I29" s="8" t="s">
        <v>316</v>
      </c>
      <c r="J29" s="8" t="s">
        <v>432</v>
      </c>
      <c r="K29" s="8" t="s">
        <v>317</v>
      </c>
      <c r="L29" s="8" t="s">
        <v>318</v>
      </c>
      <c r="M29" s="8" t="s">
        <v>461</v>
      </c>
      <c r="N29" s="8" t="s">
        <v>70</v>
      </c>
      <c r="O29" s="8" t="s">
        <v>70</v>
      </c>
    </row>
    <row r="30" spans="1:15">
      <c r="A30" s="8" t="s">
        <v>464</v>
      </c>
      <c r="B30" s="8" t="s">
        <v>465</v>
      </c>
      <c r="C30" s="8" t="s">
        <v>158</v>
      </c>
      <c r="D30" s="8" t="s">
        <v>159</v>
      </c>
      <c r="E30" s="8" t="s">
        <v>31</v>
      </c>
      <c r="F30" s="8" t="s">
        <v>371</v>
      </c>
      <c r="G30" s="8" t="s">
        <v>315</v>
      </c>
      <c r="H30" s="8" t="s">
        <v>70</v>
      </c>
      <c r="I30" s="8" t="s">
        <v>316</v>
      </c>
      <c r="J30" s="8" t="s">
        <v>432</v>
      </c>
      <c r="K30" s="8" t="s">
        <v>317</v>
      </c>
      <c r="L30" s="8" t="s">
        <v>318</v>
      </c>
      <c r="M30" s="8" t="s">
        <v>461</v>
      </c>
      <c r="N30" s="8" t="s">
        <v>70</v>
      </c>
      <c r="O30" s="8" t="s">
        <v>70</v>
      </c>
    </row>
    <row r="31" spans="1:15">
      <c r="A31" s="8" t="s">
        <v>466</v>
      </c>
      <c r="B31" s="8" t="s">
        <v>467</v>
      </c>
      <c r="C31" s="8" t="s">
        <v>158</v>
      </c>
      <c r="D31" s="8" t="s">
        <v>140</v>
      </c>
      <c r="E31" s="8" t="s">
        <v>106</v>
      </c>
      <c r="F31" s="8" t="s">
        <v>371</v>
      </c>
      <c r="G31" s="8" t="s">
        <v>315</v>
      </c>
      <c r="H31" s="8" t="s">
        <v>70</v>
      </c>
      <c r="I31" s="8" t="s">
        <v>316</v>
      </c>
      <c r="J31" s="8" t="s">
        <v>432</v>
      </c>
      <c r="K31" s="8" t="s">
        <v>317</v>
      </c>
      <c r="L31" s="8" t="s">
        <v>318</v>
      </c>
      <c r="M31" s="8" t="s">
        <v>461</v>
      </c>
      <c r="N31" s="8" t="s">
        <v>70</v>
      </c>
      <c r="O31" s="8" t="s">
        <v>70</v>
      </c>
    </row>
    <row r="32" spans="1:15">
      <c r="A32" s="8" t="s">
        <v>468</v>
      </c>
      <c r="B32" s="8" t="s">
        <v>469</v>
      </c>
      <c r="C32" s="8" t="s">
        <v>158</v>
      </c>
      <c r="D32" s="8" t="s">
        <v>159</v>
      </c>
      <c r="E32" s="8" t="s">
        <v>106</v>
      </c>
      <c r="F32" s="8" t="s">
        <v>371</v>
      </c>
      <c r="G32" s="8" t="s">
        <v>315</v>
      </c>
      <c r="H32" s="8" t="s">
        <v>70</v>
      </c>
      <c r="I32" s="8" t="s">
        <v>316</v>
      </c>
      <c r="J32" s="8" t="s">
        <v>432</v>
      </c>
      <c r="K32" s="8" t="s">
        <v>317</v>
      </c>
      <c r="L32" s="8" t="s">
        <v>318</v>
      </c>
      <c r="M32" s="8" t="s">
        <v>461</v>
      </c>
      <c r="N32" s="8" t="s">
        <v>70</v>
      </c>
      <c r="O32" s="8" t="s">
        <v>70</v>
      </c>
    </row>
    <row r="33" spans="1:15" ht="30">
      <c r="A33" s="8" t="s">
        <v>470</v>
      </c>
      <c r="B33" s="11" t="s">
        <v>471</v>
      </c>
      <c r="C33" s="8" t="s">
        <v>431</v>
      </c>
      <c r="D33" s="8" t="s">
        <v>159</v>
      </c>
      <c r="E33" s="8" t="s">
        <v>106</v>
      </c>
      <c r="F33" s="8" t="s">
        <v>371</v>
      </c>
      <c r="G33" s="8" t="s">
        <v>315</v>
      </c>
      <c r="H33" s="8" t="s">
        <v>70</v>
      </c>
      <c r="I33" s="8" t="s">
        <v>316</v>
      </c>
      <c r="J33" s="8" t="s">
        <v>432</v>
      </c>
      <c r="K33" s="8" t="s">
        <v>317</v>
      </c>
      <c r="L33" s="8" t="s">
        <v>318</v>
      </c>
      <c r="M33" s="8" t="s">
        <v>461</v>
      </c>
      <c r="N33" s="8" t="s">
        <v>70</v>
      </c>
      <c r="O33" s="8" t="s">
        <v>70</v>
      </c>
    </row>
    <row r="34" spans="1:15">
      <c r="A34" s="8" t="s">
        <v>121</v>
      </c>
      <c r="B34" s="8" t="s">
        <v>161</v>
      </c>
      <c r="C34" s="8" t="s">
        <v>158</v>
      </c>
      <c r="D34" s="8" t="s">
        <v>159</v>
      </c>
      <c r="E34" s="8" t="s">
        <v>31</v>
      </c>
      <c r="F34" s="8" t="s">
        <v>371</v>
      </c>
      <c r="G34" s="8" t="s">
        <v>315</v>
      </c>
      <c r="H34" s="8" t="s">
        <v>70</v>
      </c>
      <c r="I34" s="8" t="s">
        <v>316</v>
      </c>
      <c r="J34" s="8" t="s">
        <v>432</v>
      </c>
      <c r="K34" s="8" t="s">
        <v>317</v>
      </c>
      <c r="L34" s="8" t="s">
        <v>318</v>
      </c>
      <c r="M34" s="8" t="s">
        <v>322</v>
      </c>
      <c r="N34" s="8" t="s">
        <v>70</v>
      </c>
      <c r="O34" s="8" t="s">
        <v>70</v>
      </c>
    </row>
    <row r="35" spans="1:15">
      <c r="A35" s="8" t="s">
        <v>472</v>
      </c>
      <c r="B35" s="8" t="s">
        <v>473</v>
      </c>
      <c r="C35" s="8" t="s">
        <v>158</v>
      </c>
      <c r="D35" s="8" t="s">
        <v>140</v>
      </c>
      <c r="E35" s="8" t="s">
        <v>31</v>
      </c>
      <c r="F35" s="8" t="s">
        <v>371</v>
      </c>
      <c r="G35" s="8" t="s">
        <v>315</v>
      </c>
      <c r="H35" s="8" t="s">
        <v>70</v>
      </c>
      <c r="I35" s="8" t="s">
        <v>316</v>
      </c>
      <c r="J35" s="8" t="s">
        <v>432</v>
      </c>
      <c r="K35" s="8" t="s">
        <v>317</v>
      </c>
      <c r="L35" s="8" t="s">
        <v>318</v>
      </c>
      <c r="M35" s="8" t="s">
        <v>322</v>
      </c>
      <c r="N35" s="8" t="s">
        <v>70</v>
      </c>
      <c r="O35" s="8" t="s">
        <v>70</v>
      </c>
    </row>
    <row r="36" spans="1:15">
      <c r="A36" s="8" t="s">
        <v>297</v>
      </c>
      <c r="B36" s="8" t="s">
        <v>299</v>
      </c>
      <c r="C36" s="8" t="s">
        <v>158</v>
      </c>
      <c r="D36" s="8" t="s">
        <v>159</v>
      </c>
      <c r="E36" s="8" t="s">
        <v>31</v>
      </c>
      <c r="F36" s="8" t="s">
        <v>371</v>
      </c>
      <c r="G36" s="8" t="s">
        <v>315</v>
      </c>
      <c r="H36" s="8" t="s">
        <v>70</v>
      </c>
      <c r="I36" s="8" t="s">
        <v>316</v>
      </c>
      <c r="J36" s="8" t="s">
        <v>432</v>
      </c>
      <c r="K36" s="8" t="s">
        <v>317</v>
      </c>
      <c r="L36" s="8" t="s">
        <v>318</v>
      </c>
      <c r="M36" s="8" t="s">
        <v>322</v>
      </c>
      <c r="N36" s="8" t="s">
        <v>70</v>
      </c>
      <c r="O36" s="8" t="s">
        <v>70</v>
      </c>
    </row>
    <row r="37" spans="1:15">
      <c r="A37" s="8" t="s">
        <v>122</v>
      </c>
      <c r="B37" s="8" t="s">
        <v>474</v>
      </c>
      <c r="C37" s="8" t="s">
        <v>158</v>
      </c>
      <c r="D37" s="8" t="s">
        <v>159</v>
      </c>
      <c r="E37" s="8" t="s">
        <v>31</v>
      </c>
      <c r="F37" s="8" t="s">
        <v>371</v>
      </c>
      <c r="G37" s="8" t="s">
        <v>315</v>
      </c>
      <c r="H37" s="8" t="s">
        <v>70</v>
      </c>
      <c r="I37" s="8" t="s">
        <v>316</v>
      </c>
      <c r="J37" s="8" t="s">
        <v>432</v>
      </c>
      <c r="K37" s="8" t="s">
        <v>317</v>
      </c>
      <c r="L37" s="8" t="s">
        <v>318</v>
      </c>
      <c r="M37" s="8" t="s">
        <v>322</v>
      </c>
      <c r="N37" s="8" t="s">
        <v>70</v>
      </c>
      <c r="O37" s="8" t="s">
        <v>70</v>
      </c>
    </row>
    <row r="38" spans="1:15">
      <c r="A38" s="8" t="s">
        <v>162</v>
      </c>
      <c r="B38" s="8" t="s">
        <v>475</v>
      </c>
      <c r="C38" s="8" t="s">
        <v>158</v>
      </c>
      <c r="D38" s="8" t="s">
        <v>159</v>
      </c>
      <c r="E38" s="8" t="s">
        <v>31</v>
      </c>
      <c r="F38" s="8" t="s">
        <v>371</v>
      </c>
      <c r="G38" s="8" t="s">
        <v>315</v>
      </c>
      <c r="H38" s="8" t="s">
        <v>70</v>
      </c>
      <c r="I38" s="8" t="s">
        <v>316</v>
      </c>
      <c r="J38" s="8" t="s">
        <v>432</v>
      </c>
      <c r="K38" s="8" t="s">
        <v>317</v>
      </c>
      <c r="L38" s="8" t="s">
        <v>318</v>
      </c>
      <c r="M38" s="8" t="s">
        <v>322</v>
      </c>
      <c r="N38" s="8" t="s">
        <v>70</v>
      </c>
      <c r="O38" s="8" t="s">
        <v>70</v>
      </c>
    </row>
    <row r="39" spans="1:15" ht="30">
      <c r="A39" s="8" t="s">
        <v>476</v>
      </c>
      <c r="B39" s="11" t="s">
        <v>477</v>
      </c>
      <c r="C39" s="8" t="s">
        <v>431</v>
      </c>
      <c r="D39" s="8" t="s">
        <v>159</v>
      </c>
      <c r="E39" s="8" t="s">
        <v>106</v>
      </c>
      <c r="F39" s="8" t="s">
        <v>371</v>
      </c>
      <c r="G39" s="8" t="s">
        <v>315</v>
      </c>
      <c r="H39" s="8" t="s">
        <v>70</v>
      </c>
      <c r="I39" s="8" t="s">
        <v>316</v>
      </c>
      <c r="J39" s="8" t="s">
        <v>432</v>
      </c>
      <c r="K39" s="8" t="s">
        <v>317</v>
      </c>
      <c r="L39" s="8" t="s">
        <v>318</v>
      </c>
      <c r="M39" s="8" t="s">
        <v>322</v>
      </c>
      <c r="N39" s="8" t="s">
        <v>70</v>
      </c>
      <c r="O39" s="8" t="s">
        <v>70</v>
      </c>
    </row>
    <row r="40" spans="1:15">
      <c r="A40" s="8" t="s">
        <v>478</v>
      </c>
      <c r="B40" s="8" t="s">
        <v>479</v>
      </c>
      <c r="C40" s="8" t="s">
        <v>158</v>
      </c>
      <c r="D40" s="8" t="s">
        <v>140</v>
      </c>
      <c r="E40" s="8" t="s">
        <v>106</v>
      </c>
      <c r="F40" s="8" t="s">
        <v>371</v>
      </c>
      <c r="G40" s="8" t="s">
        <v>315</v>
      </c>
      <c r="H40" s="8" t="s">
        <v>70</v>
      </c>
      <c r="I40" s="8" t="s">
        <v>316</v>
      </c>
      <c r="J40" s="8" t="s">
        <v>432</v>
      </c>
      <c r="K40" s="8" t="s">
        <v>317</v>
      </c>
      <c r="L40" s="8" t="s">
        <v>318</v>
      </c>
      <c r="M40" s="8" t="s">
        <v>322</v>
      </c>
      <c r="N40" s="8" t="s">
        <v>70</v>
      </c>
      <c r="O40" s="8" t="s">
        <v>70</v>
      </c>
    </row>
    <row r="41" spans="1:15">
      <c r="A41" s="8" t="s">
        <v>343</v>
      </c>
      <c r="B41" s="8" t="s">
        <v>347</v>
      </c>
      <c r="C41" s="8" t="s">
        <v>158</v>
      </c>
      <c r="D41" s="8" t="s">
        <v>159</v>
      </c>
      <c r="E41" s="8" t="s">
        <v>32</v>
      </c>
      <c r="F41" s="8" t="s">
        <v>371</v>
      </c>
      <c r="G41" s="8" t="s">
        <v>315</v>
      </c>
      <c r="H41" s="8" t="s">
        <v>70</v>
      </c>
      <c r="I41" s="8" t="s">
        <v>316</v>
      </c>
      <c r="J41" s="8" t="s">
        <v>432</v>
      </c>
      <c r="K41" s="8" t="s">
        <v>317</v>
      </c>
      <c r="L41" s="8" t="s">
        <v>323</v>
      </c>
      <c r="M41" s="8" t="s">
        <v>348</v>
      </c>
      <c r="N41" s="8" t="s">
        <v>70</v>
      </c>
      <c r="O41" s="8" t="s">
        <v>70</v>
      </c>
    </row>
    <row r="42" spans="1:15">
      <c r="A42" s="8" t="s">
        <v>480</v>
      </c>
      <c r="B42" s="8" t="s">
        <v>481</v>
      </c>
      <c r="C42" s="8" t="s">
        <v>158</v>
      </c>
      <c r="D42" s="8" t="s">
        <v>159</v>
      </c>
      <c r="E42" s="8" t="s">
        <v>32</v>
      </c>
      <c r="F42" s="8" t="s">
        <v>371</v>
      </c>
      <c r="G42" s="8" t="s">
        <v>315</v>
      </c>
      <c r="H42" s="8" t="s">
        <v>70</v>
      </c>
      <c r="I42" s="8" t="s">
        <v>316</v>
      </c>
      <c r="J42" s="8" t="s">
        <v>432</v>
      </c>
      <c r="K42" s="8" t="s">
        <v>317</v>
      </c>
      <c r="L42" s="8" t="s">
        <v>323</v>
      </c>
      <c r="M42" s="8" t="s">
        <v>348</v>
      </c>
      <c r="N42" s="8" t="s">
        <v>70</v>
      </c>
      <c r="O42" s="8" t="s">
        <v>70</v>
      </c>
    </row>
    <row r="43" spans="1:15">
      <c r="A43" s="8" t="s">
        <v>482</v>
      </c>
      <c r="B43" s="8" t="s">
        <v>483</v>
      </c>
      <c r="C43" s="8" t="s">
        <v>158</v>
      </c>
      <c r="D43" s="8" t="s">
        <v>159</v>
      </c>
      <c r="E43" s="8" t="s">
        <v>31</v>
      </c>
      <c r="F43" s="8" t="s">
        <v>371</v>
      </c>
      <c r="G43" s="8" t="s">
        <v>315</v>
      </c>
      <c r="H43" s="8" t="s">
        <v>70</v>
      </c>
      <c r="I43" s="8" t="s">
        <v>316</v>
      </c>
      <c r="J43" s="8" t="s">
        <v>432</v>
      </c>
      <c r="K43" s="8" t="s">
        <v>317</v>
      </c>
      <c r="L43" s="8" t="s">
        <v>320</v>
      </c>
      <c r="M43" s="8" t="s">
        <v>294</v>
      </c>
      <c r="N43" s="8" t="s">
        <v>70</v>
      </c>
      <c r="O43" s="8" t="s">
        <v>70</v>
      </c>
    </row>
    <row r="44" spans="1:15">
      <c r="A44" s="8" t="s">
        <v>484</v>
      </c>
      <c r="B44" s="8" t="s">
        <v>485</v>
      </c>
      <c r="C44" s="8" t="s">
        <v>158</v>
      </c>
      <c r="D44" s="8" t="s">
        <v>159</v>
      </c>
      <c r="E44" s="8" t="s">
        <v>31</v>
      </c>
      <c r="F44" s="8" t="s">
        <v>371</v>
      </c>
      <c r="G44" s="8" t="s">
        <v>315</v>
      </c>
      <c r="H44" s="8" t="s">
        <v>70</v>
      </c>
      <c r="I44" s="8" t="s">
        <v>316</v>
      </c>
      <c r="J44" s="8" t="s">
        <v>432</v>
      </c>
      <c r="K44" s="8" t="s">
        <v>317</v>
      </c>
      <c r="L44" s="8" t="s">
        <v>320</v>
      </c>
      <c r="M44" s="8" t="s">
        <v>294</v>
      </c>
      <c r="N44" s="8" t="s">
        <v>70</v>
      </c>
      <c r="O44" s="8" t="s">
        <v>70</v>
      </c>
    </row>
    <row r="45" spans="1:15">
      <c r="A45" s="8" t="s">
        <v>486</v>
      </c>
      <c r="B45" s="8" t="s">
        <v>487</v>
      </c>
      <c r="C45" s="8" t="s">
        <v>158</v>
      </c>
      <c r="D45" s="8" t="s">
        <v>159</v>
      </c>
      <c r="E45" s="8" t="s">
        <v>31</v>
      </c>
      <c r="F45" s="8" t="s">
        <v>371</v>
      </c>
      <c r="G45" s="8" t="s">
        <v>315</v>
      </c>
      <c r="H45" s="8" t="s">
        <v>70</v>
      </c>
      <c r="I45" s="8" t="s">
        <v>316</v>
      </c>
      <c r="J45" s="8" t="s">
        <v>432</v>
      </c>
      <c r="K45" s="8" t="s">
        <v>317</v>
      </c>
      <c r="L45" s="8" t="s">
        <v>320</v>
      </c>
      <c r="M45" s="8" t="s">
        <v>294</v>
      </c>
      <c r="N45" s="8" t="s">
        <v>70</v>
      </c>
      <c r="O45" s="8" t="s">
        <v>70</v>
      </c>
    </row>
    <row r="46" spans="1:15">
      <c r="A46" s="8" t="s">
        <v>488</v>
      </c>
      <c r="B46" s="8" t="s">
        <v>489</v>
      </c>
      <c r="C46" s="8" t="s">
        <v>158</v>
      </c>
      <c r="D46" s="8" t="s">
        <v>159</v>
      </c>
      <c r="E46" s="8" t="s">
        <v>31</v>
      </c>
      <c r="F46" s="8" t="s">
        <v>371</v>
      </c>
      <c r="G46" s="8" t="s">
        <v>315</v>
      </c>
      <c r="H46" s="8" t="s">
        <v>70</v>
      </c>
      <c r="I46" s="8" t="s">
        <v>316</v>
      </c>
      <c r="J46" s="8" t="s">
        <v>432</v>
      </c>
      <c r="K46" s="8" t="s">
        <v>317</v>
      </c>
      <c r="L46" s="8" t="s">
        <v>320</v>
      </c>
      <c r="M46" s="8" t="s">
        <v>294</v>
      </c>
      <c r="N46" s="8" t="s">
        <v>70</v>
      </c>
      <c r="O46" s="8" t="s">
        <v>70</v>
      </c>
    </row>
    <row r="47" spans="1:15">
      <c r="A47" s="8" t="s">
        <v>490</v>
      </c>
      <c r="B47" s="8" t="s">
        <v>491</v>
      </c>
      <c r="C47" s="8" t="s">
        <v>158</v>
      </c>
      <c r="D47" s="8" t="s">
        <v>159</v>
      </c>
      <c r="E47" s="8" t="s">
        <v>31</v>
      </c>
      <c r="F47" s="8" t="s">
        <v>371</v>
      </c>
      <c r="G47" s="8" t="s">
        <v>315</v>
      </c>
      <c r="H47" s="8" t="s">
        <v>70</v>
      </c>
      <c r="I47" s="8" t="s">
        <v>316</v>
      </c>
      <c r="J47" s="8" t="s">
        <v>432</v>
      </c>
      <c r="K47" s="8" t="s">
        <v>317</v>
      </c>
      <c r="L47" s="8" t="s">
        <v>320</v>
      </c>
      <c r="M47" s="8" t="s">
        <v>294</v>
      </c>
      <c r="N47" s="8" t="s">
        <v>70</v>
      </c>
      <c r="O47" s="8" t="s">
        <v>70</v>
      </c>
    </row>
    <row r="48" spans="1:15">
      <c r="A48" s="8" t="s">
        <v>492</v>
      </c>
      <c r="B48" s="8" t="s">
        <v>493</v>
      </c>
      <c r="C48" s="8" t="s">
        <v>158</v>
      </c>
      <c r="D48" s="8" t="s">
        <v>159</v>
      </c>
      <c r="E48" s="8" t="s">
        <v>31</v>
      </c>
      <c r="F48" s="8" t="s">
        <v>371</v>
      </c>
      <c r="G48" s="8" t="s">
        <v>315</v>
      </c>
      <c r="H48" s="8" t="s">
        <v>70</v>
      </c>
      <c r="I48" s="8" t="s">
        <v>316</v>
      </c>
      <c r="J48" s="8" t="s">
        <v>432</v>
      </c>
      <c r="K48" s="8" t="s">
        <v>317</v>
      </c>
      <c r="L48" s="8" t="s">
        <v>320</v>
      </c>
      <c r="M48" s="8" t="s">
        <v>494</v>
      </c>
      <c r="N48" s="8" t="s">
        <v>70</v>
      </c>
      <c r="O48" s="8" t="s">
        <v>70</v>
      </c>
    </row>
    <row r="49" spans="1:15">
      <c r="A49" s="8" t="s">
        <v>495</v>
      </c>
      <c r="B49" s="8" t="s">
        <v>496</v>
      </c>
      <c r="C49" s="8" t="s">
        <v>158</v>
      </c>
      <c r="D49" s="8" t="s">
        <v>159</v>
      </c>
      <c r="E49" s="8" t="s">
        <v>31</v>
      </c>
      <c r="F49" s="8" t="s">
        <v>371</v>
      </c>
      <c r="G49" s="8" t="s">
        <v>315</v>
      </c>
      <c r="H49" s="8" t="s">
        <v>70</v>
      </c>
      <c r="I49" s="8" t="s">
        <v>316</v>
      </c>
      <c r="J49" s="8" t="s">
        <v>432</v>
      </c>
      <c r="K49" s="8" t="s">
        <v>317</v>
      </c>
      <c r="L49" s="8" t="s">
        <v>320</v>
      </c>
      <c r="M49" s="8" t="s">
        <v>294</v>
      </c>
      <c r="N49" s="8" t="s">
        <v>70</v>
      </c>
      <c r="O49" s="8" t="s">
        <v>70</v>
      </c>
    </row>
    <row r="50" spans="1:15">
      <c r="A50" s="8" t="s">
        <v>497</v>
      </c>
      <c r="B50" s="8" t="s">
        <v>498</v>
      </c>
      <c r="C50" s="8" t="s">
        <v>158</v>
      </c>
      <c r="D50" s="8" t="s">
        <v>159</v>
      </c>
      <c r="E50" s="8" t="s">
        <v>31</v>
      </c>
      <c r="F50" s="8" t="s">
        <v>371</v>
      </c>
      <c r="G50" s="8" t="s">
        <v>315</v>
      </c>
      <c r="H50" s="8" t="s">
        <v>70</v>
      </c>
      <c r="I50" s="8" t="s">
        <v>316</v>
      </c>
      <c r="J50" s="8" t="s">
        <v>432</v>
      </c>
      <c r="K50" s="8" t="s">
        <v>317</v>
      </c>
      <c r="L50" s="8" t="s">
        <v>320</v>
      </c>
      <c r="M50" s="8" t="s">
        <v>321</v>
      </c>
      <c r="N50" s="8" t="s">
        <v>70</v>
      </c>
      <c r="O50" s="8" t="s">
        <v>70</v>
      </c>
    </row>
    <row r="51" spans="1:15">
      <c r="A51" s="8" t="s">
        <v>499</v>
      </c>
      <c r="B51" s="8" t="s">
        <v>500</v>
      </c>
      <c r="C51" s="8" t="s">
        <v>158</v>
      </c>
      <c r="D51" s="8" t="s">
        <v>159</v>
      </c>
      <c r="E51" s="8" t="s">
        <v>31</v>
      </c>
      <c r="F51" s="8" t="s">
        <v>371</v>
      </c>
      <c r="G51" s="8" t="s">
        <v>315</v>
      </c>
      <c r="H51" s="8" t="s">
        <v>70</v>
      </c>
      <c r="I51" s="8" t="s">
        <v>316</v>
      </c>
      <c r="J51" s="8" t="s">
        <v>432</v>
      </c>
      <c r="K51" s="8" t="s">
        <v>317</v>
      </c>
      <c r="L51" s="8" t="s">
        <v>320</v>
      </c>
      <c r="M51" s="8" t="s">
        <v>294</v>
      </c>
      <c r="N51" s="8" t="s">
        <v>70</v>
      </c>
      <c r="O51" s="8" t="s">
        <v>70</v>
      </c>
    </row>
    <row r="52" spans="1:15">
      <c r="A52" s="8" t="s">
        <v>501</v>
      </c>
      <c r="B52" s="8" t="s">
        <v>502</v>
      </c>
      <c r="C52" s="8" t="s">
        <v>158</v>
      </c>
      <c r="D52" s="8" t="s">
        <v>159</v>
      </c>
      <c r="E52" s="8" t="s">
        <v>31</v>
      </c>
      <c r="F52" s="8" t="s">
        <v>371</v>
      </c>
      <c r="G52" s="8" t="s">
        <v>315</v>
      </c>
      <c r="H52" s="8" t="s">
        <v>70</v>
      </c>
      <c r="I52" s="8" t="s">
        <v>316</v>
      </c>
      <c r="J52" s="8" t="s">
        <v>432</v>
      </c>
      <c r="K52" s="8" t="s">
        <v>317</v>
      </c>
      <c r="L52" s="8" t="s">
        <v>320</v>
      </c>
      <c r="M52" s="8" t="s">
        <v>294</v>
      </c>
      <c r="N52" s="8" t="s">
        <v>70</v>
      </c>
      <c r="O52" s="8" t="s">
        <v>70</v>
      </c>
    </row>
    <row r="53" spans="1:15">
      <c r="A53" s="8" t="s">
        <v>503</v>
      </c>
      <c r="B53" s="8" t="s">
        <v>504</v>
      </c>
      <c r="C53" s="8" t="s">
        <v>158</v>
      </c>
      <c r="D53" s="8" t="s">
        <v>159</v>
      </c>
      <c r="E53" s="8" t="s">
        <v>106</v>
      </c>
      <c r="F53" s="8" t="s">
        <v>371</v>
      </c>
      <c r="G53" s="8" t="s">
        <v>315</v>
      </c>
      <c r="H53" s="8" t="s">
        <v>70</v>
      </c>
      <c r="I53" s="8" t="s">
        <v>316</v>
      </c>
      <c r="J53" s="8" t="s">
        <v>432</v>
      </c>
      <c r="K53" s="8" t="s">
        <v>317</v>
      </c>
      <c r="L53" s="8" t="s">
        <v>320</v>
      </c>
      <c r="M53" s="8" t="s">
        <v>294</v>
      </c>
      <c r="N53" s="8" t="s">
        <v>70</v>
      </c>
      <c r="O53" s="8" t="s">
        <v>70</v>
      </c>
    </row>
    <row r="54" spans="1:15">
      <c r="A54" s="8" t="s">
        <v>505</v>
      </c>
      <c r="B54" s="8" t="s">
        <v>506</v>
      </c>
      <c r="C54" s="8" t="s">
        <v>158</v>
      </c>
      <c r="D54" s="8" t="s">
        <v>159</v>
      </c>
      <c r="E54" s="8" t="s">
        <v>31</v>
      </c>
      <c r="F54" s="8" t="s">
        <v>371</v>
      </c>
      <c r="G54" s="8" t="s">
        <v>315</v>
      </c>
      <c r="H54" s="8" t="s">
        <v>70</v>
      </c>
      <c r="I54" s="8" t="s">
        <v>316</v>
      </c>
      <c r="J54" s="8" t="s">
        <v>432</v>
      </c>
      <c r="K54" s="8" t="s">
        <v>317</v>
      </c>
      <c r="L54" s="8" t="s">
        <v>320</v>
      </c>
      <c r="M54" s="8" t="s">
        <v>294</v>
      </c>
      <c r="N54" s="8" t="s">
        <v>70</v>
      </c>
      <c r="O54" s="8" t="s">
        <v>70</v>
      </c>
    </row>
    <row r="55" spans="1:15">
      <c r="A55" s="8" t="s">
        <v>507</v>
      </c>
      <c r="B55" s="8" t="s">
        <v>508</v>
      </c>
      <c r="C55" s="8" t="s">
        <v>158</v>
      </c>
      <c r="D55" s="8" t="s">
        <v>159</v>
      </c>
      <c r="E55" s="8" t="s">
        <v>31</v>
      </c>
      <c r="F55" s="8" t="s">
        <v>371</v>
      </c>
      <c r="G55" s="8" t="s">
        <v>315</v>
      </c>
      <c r="H55" s="8" t="s">
        <v>70</v>
      </c>
      <c r="I55" s="8" t="s">
        <v>316</v>
      </c>
      <c r="J55" s="8" t="s">
        <v>432</v>
      </c>
      <c r="K55" s="8" t="s">
        <v>317</v>
      </c>
      <c r="L55" s="8" t="s">
        <v>320</v>
      </c>
      <c r="M55" s="8" t="s">
        <v>294</v>
      </c>
      <c r="N55" s="8" t="s">
        <v>70</v>
      </c>
      <c r="O55" s="8" t="s">
        <v>70</v>
      </c>
    </row>
    <row r="56" spans="1:15">
      <c r="A56" s="8" t="s">
        <v>509</v>
      </c>
      <c r="B56" s="8" t="s">
        <v>510</v>
      </c>
      <c r="C56" s="8" t="s">
        <v>158</v>
      </c>
      <c r="D56" s="8" t="s">
        <v>159</v>
      </c>
      <c r="E56" s="8" t="s">
        <v>31</v>
      </c>
      <c r="F56" s="8" t="s">
        <v>371</v>
      </c>
      <c r="G56" s="8" t="s">
        <v>315</v>
      </c>
      <c r="H56" s="8" t="s">
        <v>70</v>
      </c>
      <c r="I56" s="8" t="s">
        <v>316</v>
      </c>
      <c r="J56" s="8" t="s">
        <v>432</v>
      </c>
      <c r="K56" s="8" t="s">
        <v>317</v>
      </c>
      <c r="L56" s="8" t="s">
        <v>320</v>
      </c>
      <c r="M56" s="8" t="s">
        <v>294</v>
      </c>
      <c r="N56" s="8" t="s">
        <v>70</v>
      </c>
      <c r="O56" s="8" t="s">
        <v>70</v>
      </c>
    </row>
    <row r="57" spans="1:15">
      <c r="A57" s="8" t="s">
        <v>511</v>
      </c>
      <c r="B57" s="8" t="s">
        <v>512</v>
      </c>
      <c r="C57" s="8" t="s">
        <v>158</v>
      </c>
      <c r="D57" s="8" t="s">
        <v>159</v>
      </c>
      <c r="E57" s="8" t="s">
        <v>31</v>
      </c>
      <c r="F57" s="8" t="s">
        <v>371</v>
      </c>
      <c r="G57" s="8" t="s">
        <v>315</v>
      </c>
      <c r="H57" s="8" t="s">
        <v>70</v>
      </c>
      <c r="I57" s="8" t="s">
        <v>316</v>
      </c>
      <c r="J57" s="8" t="s">
        <v>432</v>
      </c>
      <c r="K57" s="8" t="s">
        <v>317</v>
      </c>
      <c r="L57" s="8" t="s">
        <v>320</v>
      </c>
      <c r="M57" s="8" t="s">
        <v>294</v>
      </c>
      <c r="N57" s="8" t="s">
        <v>70</v>
      </c>
      <c r="O57" s="8" t="s">
        <v>70</v>
      </c>
    </row>
    <row r="58" spans="1:15">
      <c r="A58" s="8" t="s">
        <v>513</v>
      </c>
      <c r="B58" s="8" t="s">
        <v>514</v>
      </c>
      <c r="C58" s="8" t="s">
        <v>158</v>
      </c>
      <c r="D58" s="8" t="s">
        <v>159</v>
      </c>
      <c r="E58" s="8" t="s">
        <v>31</v>
      </c>
      <c r="F58" s="8" t="s">
        <v>371</v>
      </c>
      <c r="G58" s="8" t="s">
        <v>315</v>
      </c>
      <c r="H58" s="8" t="s">
        <v>70</v>
      </c>
      <c r="I58" s="8" t="s">
        <v>316</v>
      </c>
      <c r="J58" s="8" t="s">
        <v>432</v>
      </c>
      <c r="K58" s="8" t="s">
        <v>317</v>
      </c>
      <c r="L58" s="8" t="s">
        <v>320</v>
      </c>
      <c r="M58" s="8" t="s">
        <v>294</v>
      </c>
      <c r="N58" s="8" t="s">
        <v>70</v>
      </c>
      <c r="O58" s="8" t="s">
        <v>70</v>
      </c>
    </row>
    <row r="59" spans="1:15">
      <c r="A59" s="8" t="s">
        <v>515</v>
      </c>
      <c r="B59" s="8" t="s">
        <v>516</v>
      </c>
      <c r="C59" s="8" t="s">
        <v>158</v>
      </c>
      <c r="D59" s="8" t="s">
        <v>159</v>
      </c>
      <c r="E59" s="8" t="s">
        <v>31</v>
      </c>
      <c r="F59" s="8" t="s">
        <v>371</v>
      </c>
      <c r="G59" s="8" t="s">
        <v>315</v>
      </c>
      <c r="H59" s="8" t="s">
        <v>70</v>
      </c>
      <c r="I59" s="8" t="s">
        <v>316</v>
      </c>
      <c r="J59" s="8" t="s">
        <v>432</v>
      </c>
      <c r="K59" s="8" t="s">
        <v>317</v>
      </c>
      <c r="L59" s="8" t="s">
        <v>320</v>
      </c>
      <c r="M59" s="8" t="s">
        <v>294</v>
      </c>
      <c r="N59" s="8" t="s">
        <v>70</v>
      </c>
      <c r="O59" s="8" t="s">
        <v>70</v>
      </c>
    </row>
    <row r="60" spans="1:15">
      <c r="A60" s="8" t="s">
        <v>517</v>
      </c>
      <c r="B60" s="8" t="s">
        <v>518</v>
      </c>
      <c r="C60" s="8" t="s">
        <v>158</v>
      </c>
      <c r="D60" s="8" t="s">
        <v>159</v>
      </c>
      <c r="E60" s="8" t="s">
        <v>33</v>
      </c>
      <c r="F60" s="8" t="s">
        <v>371</v>
      </c>
      <c r="G60" s="8" t="s">
        <v>315</v>
      </c>
      <c r="H60" s="8" t="s">
        <v>70</v>
      </c>
      <c r="I60" s="8" t="s">
        <v>316</v>
      </c>
      <c r="J60" s="8" t="s">
        <v>432</v>
      </c>
      <c r="K60" s="8" t="s">
        <v>317</v>
      </c>
      <c r="L60" s="8" t="s">
        <v>320</v>
      </c>
      <c r="M60" s="8" t="s">
        <v>294</v>
      </c>
      <c r="N60" s="8" t="s">
        <v>70</v>
      </c>
      <c r="O60" s="8" t="s">
        <v>70</v>
      </c>
    </row>
    <row r="61" spans="1:15">
      <c r="A61" s="8" t="s">
        <v>519</v>
      </c>
      <c r="B61" s="8" t="s">
        <v>520</v>
      </c>
      <c r="C61" s="8" t="s">
        <v>158</v>
      </c>
      <c r="D61" s="8" t="s">
        <v>159</v>
      </c>
      <c r="E61" s="8" t="s">
        <v>33</v>
      </c>
      <c r="F61" s="8" t="s">
        <v>371</v>
      </c>
      <c r="G61" s="8" t="s">
        <v>315</v>
      </c>
      <c r="H61" s="8" t="s">
        <v>70</v>
      </c>
      <c r="I61" s="8" t="s">
        <v>316</v>
      </c>
      <c r="J61" s="8" t="s">
        <v>432</v>
      </c>
      <c r="K61" s="8" t="s">
        <v>317</v>
      </c>
      <c r="L61" s="8" t="s">
        <v>320</v>
      </c>
      <c r="M61" s="8" t="s">
        <v>294</v>
      </c>
      <c r="N61" s="8" t="s">
        <v>70</v>
      </c>
      <c r="O61" s="8" t="s">
        <v>70</v>
      </c>
    </row>
    <row r="62" spans="1:15">
      <c r="A62" s="8" t="s">
        <v>521</v>
      </c>
      <c r="B62" s="8" t="s">
        <v>522</v>
      </c>
      <c r="C62" s="8" t="s">
        <v>158</v>
      </c>
      <c r="D62" s="8" t="s">
        <v>159</v>
      </c>
      <c r="E62" s="8" t="s">
        <v>33</v>
      </c>
      <c r="F62" s="8" t="s">
        <v>371</v>
      </c>
      <c r="G62" s="8" t="s">
        <v>315</v>
      </c>
      <c r="H62" s="8" t="s">
        <v>70</v>
      </c>
      <c r="I62" s="8" t="s">
        <v>316</v>
      </c>
      <c r="J62" s="8" t="s">
        <v>432</v>
      </c>
      <c r="K62" s="8" t="s">
        <v>317</v>
      </c>
      <c r="L62" s="8" t="s">
        <v>320</v>
      </c>
      <c r="M62" s="8" t="s">
        <v>294</v>
      </c>
      <c r="N62" s="8" t="s">
        <v>70</v>
      </c>
      <c r="O62" s="8" t="s">
        <v>70</v>
      </c>
    </row>
    <row r="63" spans="1:15">
      <c r="A63" s="8" t="s">
        <v>523</v>
      </c>
      <c r="B63" s="8" t="s">
        <v>524</v>
      </c>
      <c r="C63" s="8" t="s">
        <v>158</v>
      </c>
      <c r="D63" s="8" t="s">
        <v>159</v>
      </c>
      <c r="E63" s="8" t="s">
        <v>33</v>
      </c>
      <c r="F63" s="8" t="s">
        <v>371</v>
      </c>
      <c r="G63" s="8" t="s">
        <v>315</v>
      </c>
      <c r="H63" s="8" t="s">
        <v>70</v>
      </c>
      <c r="I63" s="8" t="s">
        <v>316</v>
      </c>
      <c r="J63" s="8" t="s">
        <v>432</v>
      </c>
      <c r="K63" s="8" t="s">
        <v>317</v>
      </c>
      <c r="L63" s="8" t="s">
        <v>320</v>
      </c>
      <c r="M63" s="8" t="s">
        <v>294</v>
      </c>
      <c r="N63" s="8" t="s">
        <v>70</v>
      </c>
      <c r="O63" s="8" t="s">
        <v>70</v>
      </c>
    </row>
    <row r="64" spans="1:15">
      <c r="A64" s="8" t="s">
        <v>525</v>
      </c>
      <c r="B64" s="8" t="s">
        <v>526</v>
      </c>
      <c r="C64" s="8" t="s">
        <v>158</v>
      </c>
      <c r="D64" s="8" t="s">
        <v>159</v>
      </c>
      <c r="E64" s="8" t="s">
        <v>33</v>
      </c>
      <c r="F64" s="8" t="s">
        <v>371</v>
      </c>
      <c r="G64" s="8" t="s">
        <v>315</v>
      </c>
      <c r="H64" s="8" t="s">
        <v>70</v>
      </c>
      <c r="I64" s="8" t="s">
        <v>316</v>
      </c>
      <c r="J64" s="8" t="s">
        <v>432</v>
      </c>
      <c r="K64" s="8" t="s">
        <v>317</v>
      </c>
      <c r="L64" s="8" t="s">
        <v>320</v>
      </c>
      <c r="M64" s="8" t="s">
        <v>294</v>
      </c>
      <c r="N64" s="8" t="s">
        <v>70</v>
      </c>
      <c r="O64" s="8" t="s">
        <v>70</v>
      </c>
    </row>
    <row r="65" spans="1:15">
      <c r="A65" s="8" t="s">
        <v>527</v>
      </c>
      <c r="B65" s="8" t="s">
        <v>528</v>
      </c>
      <c r="C65" s="8" t="s">
        <v>158</v>
      </c>
      <c r="D65" s="8" t="s">
        <v>159</v>
      </c>
      <c r="E65" s="8" t="s">
        <v>33</v>
      </c>
      <c r="F65" s="8" t="s">
        <v>371</v>
      </c>
      <c r="G65" s="8" t="s">
        <v>315</v>
      </c>
      <c r="H65" s="8" t="s">
        <v>70</v>
      </c>
      <c r="I65" s="8" t="s">
        <v>316</v>
      </c>
      <c r="J65" s="8" t="s">
        <v>432</v>
      </c>
      <c r="K65" s="8" t="s">
        <v>317</v>
      </c>
      <c r="L65" s="8" t="s">
        <v>320</v>
      </c>
      <c r="M65" s="8" t="s">
        <v>294</v>
      </c>
      <c r="N65" s="8" t="s">
        <v>70</v>
      </c>
      <c r="O65" s="8" t="s">
        <v>70</v>
      </c>
    </row>
    <row r="66" spans="1:15">
      <c r="A66" s="8" t="s">
        <v>529</v>
      </c>
      <c r="B66" s="8" t="s">
        <v>530</v>
      </c>
      <c r="C66" s="8" t="s">
        <v>158</v>
      </c>
      <c r="D66" s="8" t="s">
        <v>159</v>
      </c>
      <c r="E66" s="8" t="s">
        <v>33</v>
      </c>
      <c r="F66" s="8" t="s">
        <v>371</v>
      </c>
      <c r="G66" s="8" t="s">
        <v>315</v>
      </c>
      <c r="H66" s="8" t="s">
        <v>70</v>
      </c>
      <c r="I66" s="8" t="s">
        <v>316</v>
      </c>
      <c r="J66" s="8" t="s">
        <v>432</v>
      </c>
      <c r="K66" s="8" t="s">
        <v>317</v>
      </c>
      <c r="L66" s="8" t="s">
        <v>320</v>
      </c>
      <c r="M66" s="8" t="s">
        <v>294</v>
      </c>
      <c r="N66" s="8" t="s">
        <v>70</v>
      </c>
      <c r="O66" s="8" t="s">
        <v>70</v>
      </c>
    </row>
    <row r="67" spans="1:15">
      <c r="A67" s="8" t="s">
        <v>531</v>
      </c>
      <c r="B67" s="8" t="s">
        <v>532</v>
      </c>
      <c r="C67" s="8" t="s">
        <v>158</v>
      </c>
      <c r="D67" s="8" t="s">
        <v>159</v>
      </c>
      <c r="E67" s="8" t="s">
        <v>33</v>
      </c>
      <c r="F67" s="8" t="s">
        <v>371</v>
      </c>
      <c r="G67" s="8" t="s">
        <v>315</v>
      </c>
      <c r="H67" s="8" t="s">
        <v>70</v>
      </c>
      <c r="I67" s="8" t="s">
        <v>316</v>
      </c>
      <c r="J67" s="8" t="s">
        <v>432</v>
      </c>
      <c r="K67" s="8" t="s">
        <v>317</v>
      </c>
      <c r="L67" s="8" t="s">
        <v>320</v>
      </c>
      <c r="M67" s="8" t="s">
        <v>294</v>
      </c>
      <c r="N67" s="8" t="s">
        <v>70</v>
      </c>
      <c r="O67" s="8" t="s">
        <v>70</v>
      </c>
    </row>
    <row r="68" spans="1:15">
      <c r="A68" s="8" t="s">
        <v>533</v>
      </c>
      <c r="B68" s="8" t="s">
        <v>534</v>
      </c>
      <c r="C68" s="8" t="s">
        <v>158</v>
      </c>
      <c r="D68" s="8" t="s">
        <v>159</v>
      </c>
      <c r="E68" s="8" t="s">
        <v>33</v>
      </c>
      <c r="F68" s="8" t="s">
        <v>371</v>
      </c>
      <c r="G68" s="8" t="s">
        <v>315</v>
      </c>
      <c r="H68" s="8" t="s">
        <v>70</v>
      </c>
      <c r="I68" s="8" t="s">
        <v>316</v>
      </c>
      <c r="J68" s="8" t="s">
        <v>432</v>
      </c>
      <c r="K68" s="8" t="s">
        <v>317</v>
      </c>
      <c r="L68" s="8" t="s">
        <v>320</v>
      </c>
      <c r="M68" s="8" t="s">
        <v>294</v>
      </c>
      <c r="N68" s="8" t="s">
        <v>70</v>
      </c>
      <c r="O68" s="8" t="s">
        <v>70</v>
      </c>
    </row>
    <row r="69" spans="1:15">
      <c r="A69" s="8" t="s">
        <v>535</v>
      </c>
      <c r="B69" s="8" t="s">
        <v>536</v>
      </c>
      <c r="C69" s="8" t="s">
        <v>158</v>
      </c>
      <c r="D69" s="8" t="s">
        <v>159</v>
      </c>
      <c r="E69" s="8" t="s">
        <v>31</v>
      </c>
      <c r="F69" s="8" t="s">
        <v>371</v>
      </c>
      <c r="G69" s="8" t="s">
        <v>315</v>
      </c>
      <c r="H69" s="8" t="s">
        <v>70</v>
      </c>
      <c r="I69" s="8" t="s">
        <v>316</v>
      </c>
      <c r="J69" s="8" t="s">
        <v>432</v>
      </c>
      <c r="K69" s="8" t="s">
        <v>317</v>
      </c>
      <c r="L69" s="8" t="s">
        <v>320</v>
      </c>
      <c r="M69" s="8" t="s">
        <v>494</v>
      </c>
      <c r="N69" s="8" t="s">
        <v>70</v>
      </c>
      <c r="O69" s="8" t="s">
        <v>70</v>
      </c>
    </row>
    <row r="70" spans="1:15">
      <c r="A70" s="8" t="s">
        <v>537</v>
      </c>
      <c r="B70" s="8" t="s">
        <v>538</v>
      </c>
      <c r="C70" s="8" t="s">
        <v>158</v>
      </c>
      <c r="D70" s="8" t="s">
        <v>159</v>
      </c>
      <c r="E70" s="8" t="s">
        <v>31</v>
      </c>
      <c r="F70" s="8" t="s">
        <v>371</v>
      </c>
      <c r="G70" s="8" t="s">
        <v>315</v>
      </c>
      <c r="H70" s="8" t="s">
        <v>70</v>
      </c>
      <c r="I70" s="8" t="s">
        <v>316</v>
      </c>
      <c r="J70" s="8" t="s">
        <v>432</v>
      </c>
      <c r="K70" s="8" t="s">
        <v>317</v>
      </c>
      <c r="L70" s="8" t="s">
        <v>320</v>
      </c>
      <c r="M70" s="8" t="s">
        <v>494</v>
      </c>
      <c r="N70" s="8" t="s">
        <v>70</v>
      </c>
      <c r="O70" s="8" t="s">
        <v>70</v>
      </c>
    </row>
    <row r="71" spans="1:15">
      <c r="A71" s="8" t="s">
        <v>539</v>
      </c>
      <c r="B71" s="8" t="s">
        <v>540</v>
      </c>
      <c r="C71" s="8" t="s">
        <v>437</v>
      </c>
      <c r="D71" s="8" t="s">
        <v>159</v>
      </c>
      <c r="E71" s="8" t="s">
        <v>31</v>
      </c>
      <c r="F71" s="8" t="s">
        <v>371</v>
      </c>
      <c r="G71" s="8" t="s">
        <v>438</v>
      </c>
      <c r="H71" s="8" t="s">
        <v>70</v>
      </c>
      <c r="I71" s="8" t="s">
        <v>316</v>
      </c>
      <c r="J71" s="8" t="s">
        <v>432</v>
      </c>
      <c r="K71" s="8" t="s">
        <v>317</v>
      </c>
      <c r="L71" s="8" t="s">
        <v>320</v>
      </c>
      <c r="M71" s="8" t="s">
        <v>321</v>
      </c>
      <c r="N71" s="8" t="s">
        <v>70</v>
      </c>
      <c r="O71" s="8" t="s">
        <v>70</v>
      </c>
    </row>
    <row r="72" spans="1:15">
      <c r="A72" s="8" t="s">
        <v>541</v>
      </c>
      <c r="B72" s="8" t="s">
        <v>542</v>
      </c>
      <c r="C72" s="8" t="s">
        <v>158</v>
      </c>
      <c r="D72" s="8" t="s">
        <v>159</v>
      </c>
      <c r="E72" s="8" t="s">
        <v>31</v>
      </c>
      <c r="F72" s="8" t="s">
        <v>371</v>
      </c>
      <c r="G72" s="8" t="s">
        <v>315</v>
      </c>
      <c r="H72" s="8" t="s">
        <v>70</v>
      </c>
      <c r="I72" s="8" t="s">
        <v>316</v>
      </c>
      <c r="J72" s="8" t="s">
        <v>432</v>
      </c>
      <c r="K72" s="8" t="s">
        <v>317</v>
      </c>
      <c r="L72" s="8" t="s">
        <v>320</v>
      </c>
      <c r="M72" s="8" t="s">
        <v>543</v>
      </c>
      <c r="N72" s="8" t="s">
        <v>70</v>
      </c>
      <c r="O72" s="8" t="s">
        <v>70</v>
      </c>
    </row>
    <row r="73" spans="1:15">
      <c r="A73" s="8" t="s">
        <v>544</v>
      </c>
      <c r="B73" s="8" t="s">
        <v>545</v>
      </c>
      <c r="C73" s="8" t="s">
        <v>158</v>
      </c>
      <c r="D73" s="8" t="s">
        <v>159</v>
      </c>
      <c r="E73" s="8" t="s">
        <v>32</v>
      </c>
      <c r="F73" s="8" t="s">
        <v>371</v>
      </c>
      <c r="G73" s="8" t="s">
        <v>315</v>
      </c>
      <c r="H73" s="8" t="s">
        <v>70</v>
      </c>
      <c r="I73" s="8" t="s">
        <v>316</v>
      </c>
      <c r="J73" s="8" t="s">
        <v>432</v>
      </c>
      <c r="K73" s="8" t="s">
        <v>317</v>
      </c>
      <c r="L73" s="8" t="s">
        <v>546</v>
      </c>
      <c r="M73" s="8" t="s">
        <v>321</v>
      </c>
      <c r="N73" s="8" t="s">
        <v>70</v>
      </c>
      <c r="O73" s="8" t="s">
        <v>70</v>
      </c>
    </row>
    <row r="74" spans="1:15">
      <c r="A74" s="8" t="s">
        <v>547</v>
      </c>
      <c r="B74" s="8" t="s">
        <v>548</v>
      </c>
      <c r="C74" s="8" t="s">
        <v>158</v>
      </c>
      <c r="D74" s="8" t="s">
        <v>159</v>
      </c>
      <c r="E74" s="8" t="s">
        <v>31</v>
      </c>
      <c r="F74" s="8" t="s">
        <v>371</v>
      </c>
      <c r="G74" s="8" t="s">
        <v>315</v>
      </c>
      <c r="H74" s="8" t="s">
        <v>70</v>
      </c>
      <c r="I74" s="8" t="s">
        <v>316</v>
      </c>
      <c r="J74" s="8" t="s">
        <v>432</v>
      </c>
      <c r="K74" s="8" t="s">
        <v>317</v>
      </c>
      <c r="L74" s="8" t="s">
        <v>323</v>
      </c>
      <c r="M74" s="8" t="s">
        <v>549</v>
      </c>
      <c r="N74" s="8" t="s">
        <v>70</v>
      </c>
      <c r="O74" s="8" t="s">
        <v>70</v>
      </c>
    </row>
    <row r="75" spans="1:15">
      <c r="A75" s="8" t="s">
        <v>213</v>
      </c>
      <c r="B75" s="8" t="s">
        <v>231</v>
      </c>
      <c r="C75" s="8" t="s">
        <v>158</v>
      </c>
      <c r="D75" s="8" t="s">
        <v>159</v>
      </c>
      <c r="E75" s="8" t="s">
        <v>31</v>
      </c>
      <c r="F75" s="8" t="s">
        <v>371</v>
      </c>
      <c r="G75" s="8" t="s">
        <v>315</v>
      </c>
      <c r="H75" s="8" t="s">
        <v>70</v>
      </c>
      <c r="I75" s="8" t="s">
        <v>316</v>
      </c>
      <c r="J75" s="8" t="s">
        <v>432</v>
      </c>
      <c r="K75" s="8" t="s">
        <v>317</v>
      </c>
      <c r="L75" s="8" t="s">
        <v>323</v>
      </c>
      <c r="M75" s="8" t="s">
        <v>549</v>
      </c>
      <c r="N75" s="8" t="s">
        <v>70</v>
      </c>
      <c r="O75" s="8" t="s">
        <v>70</v>
      </c>
    </row>
    <row r="76" spans="1:15">
      <c r="A76" s="8" t="s">
        <v>550</v>
      </c>
      <c r="B76" s="8" t="s">
        <v>551</v>
      </c>
      <c r="C76" s="8" t="s">
        <v>158</v>
      </c>
      <c r="D76" s="8" t="s">
        <v>159</v>
      </c>
      <c r="E76" s="8" t="s">
        <v>31</v>
      </c>
      <c r="F76" s="8" t="s">
        <v>371</v>
      </c>
      <c r="G76" s="8" t="s">
        <v>315</v>
      </c>
      <c r="H76" s="8" t="s">
        <v>70</v>
      </c>
      <c r="I76" s="8" t="s">
        <v>316</v>
      </c>
      <c r="J76" s="8" t="s">
        <v>432</v>
      </c>
      <c r="K76" s="8" t="s">
        <v>317</v>
      </c>
      <c r="L76" s="8" t="s">
        <v>320</v>
      </c>
      <c r="M76" s="8" t="s">
        <v>294</v>
      </c>
      <c r="N76" s="8" t="s">
        <v>70</v>
      </c>
      <c r="O76" s="8" t="s">
        <v>70</v>
      </c>
    </row>
    <row r="77" spans="1:15">
      <c r="A77" s="8" t="s">
        <v>123</v>
      </c>
      <c r="B77" s="8" t="s">
        <v>552</v>
      </c>
      <c r="C77" s="8" t="s">
        <v>158</v>
      </c>
      <c r="D77" s="8" t="s">
        <v>159</v>
      </c>
      <c r="E77" s="8" t="s">
        <v>31</v>
      </c>
      <c r="F77" s="8" t="s">
        <v>371</v>
      </c>
      <c r="G77" s="8" t="s">
        <v>315</v>
      </c>
      <c r="H77" s="8" t="s">
        <v>70</v>
      </c>
      <c r="I77" s="8" t="s">
        <v>316</v>
      </c>
      <c r="J77" s="8" t="s">
        <v>432</v>
      </c>
      <c r="K77" s="8" t="s">
        <v>317</v>
      </c>
      <c r="L77" s="8" t="s">
        <v>323</v>
      </c>
      <c r="M77" s="8" t="s">
        <v>324</v>
      </c>
      <c r="N77" s="8" t="s">
        <v>70</v>
      </c>
      <c r="O77" s="8" t="s">
        <v>70</v>
      </c>
    </row>
    <row r="78" spans="1:15">
      <c r="A78" s="8" t="s">
        <v>105</v>
      </c>
      <c r="B78" s="8" t="s">
        <v>553</v>
      </c>
      <c r="C78" s="8" t="s">
        <v>158</v>
      </c>
      <c r="D78" s="8" t="s">
        <v>159</v>
      </c>
      <c r="E78" s="8" t="s">
        <v>31</v>
      </c>
      <c r="F78" s="8" t="s">
        <v>371</v>
      </c>
      <c r="G78" s="8" t="s">
        <v>315</v>
      </c>
      <c r="H78" s="8" t="s">
        <v>70</v>
      </c>
      <c r="I78" s="8" t="s">
        <v>316</v>
      </c>
      <c r="J78" s="8" t="s">
        <v>432</v>
      </c>
      <c r="K78" s="8" t="s">
        <v>317</v>
      </c>
      <c r="L78" s="8" t="s">
        <v>323</v>
      </c>
      <c r="M78" s="8" t="s">
        <v>324</v>
      </c>
      <c r="N78" s="8" t="s">
        <v>70</v>
      </c>
      <c r="O78" s="8" t="s">
        <v>70</v>
      </c>
    </row>
    <row r="79" spans="1:15">
      <c r="A79" s="8" t="s">
        <v>19</v>
      </c>
      <c r="B79" s="8" t="s">
        <v>163</v>
      </c>
      <c r="C79" s="8" t="s">
        <v>158</v>
      </c>
      <c r="D79" s="8" t="s">
        <v>159</v>
      </c>
      <c r="E79" s="8" t="s">
        <v>32</v>
      </c>
      <c r="F79" s="8" t="s">
        <v>371</v>
      </c>
      <c r="G79" s="8" t="s">
        <v>315</v>
      </c>
      <c r="H79" s="8" t="s">
        <v>70</v>
      </c>
      <c r="I79" s="8" t="s">
        <v>316</v>
      </c>
      <c r="J79" s="8" t="s">
        <v>432</v>
      </c>
      <c r="K79" s="8" t="s">
        <v>317</v>
      </c>
      <c r="L79" s="8" t="s">
        <v>320</v>
      </c>
      <c r="M79" s="8" t="s">
        <v>325</v>
      </c>
      <c r="N79" s="8" t="s">
        <v>70</v>
      </c>
      <c r="O79" s="8" t="s">
        <v>70</v>
      </c>
    </row>
    <row r="80" spans="1:15">
      <c r="A80" s="8" t="s">
        <v>554</v>
      </c>
      <c r="B80" s="8" t="s">
        <v>405</v>
      </c>
      <c r="C80" s="8" t="s">
        <v>158</v>
      </c>
      <c r="D80" s="8" t="s">
        <v>159</v>
      </c>
      <c r="E80" s="8" t="s">
        <v>32</v>
      </c>
      <c r="F80" s="8" t="s">
        <v>371</v>
      </c>
      <c r="G80" s="8" t="s">
        <v>315</v>
      </c>
      <c r="H80" s="8" t="s">
        <v>70</v>
      </c>
      <c r="I80" s="8" t="s">
        <v>316</v>
      </c>
      <c r="J80" s="8" t="s">
        <v>432</v>
      </c>
      <c r="K80" s="8" t="s">
        <v>317</v>
      </c>
      <c r="L80" s="8" t="s">
        <v>320</v>
      </c>
      <c r="M80" s="8" t="s">
        <v>325</v>
      </c>
      <c r="N80" s="8" t="s">
        <v>70</v>
      </c>
      <c r="O80" s="8" t="s">
        <v>70</v>
      </c>
    </row>
    <row r="81" spans="1:15">
      <c r="A81" s="8" t="s">
        <v>555</v>
      </c>
      <c r="B81" s="8" t="s">
        <v>164</v>
      </c>
      <c r="C81" s="8" t="s">
        <v>158</v>
      </c>
      <c r="D81" s="8" t="s">
        <v>159</v>
      </c>
      <c r="E81" s="8" t="s">
        <v>32</v>
      </c>
      <c r="F81" s="8" t="s">
        <v>371</v>
      </c>
      <c r="G81" s="8" t="s">
        <v>315</v>
      </c>
      <c r="H81" s="8" t="s">
        <v>70</v>
      </c>
      <c r="I81" s="8" t="s">
        <v>316</v>
      </c>
      <c r="J81" s="8" t="s">
        <v>432</v>
      </c>
      <c r="K81" s="8" t="s">
        <v>317</v>
      </c>
      <c r="L81" s="8" t="s">
        <v>320</v>
      </c>
      <c r="M81" s="8" t="s">
        <v>325</v>
      </c>
      <c r="N81" s="8" t="s">
        <v>70</v>
      </c>
      <c r="O81" s="8" t="s">
        <v>70</v>
      </c>
    </row>
    <row r="82" spans="1:15">
      <c r="A82" s="8" t="s">
        <v>556</v>
      </c>
      <c r="B82" s="8" t="s">
        <v>163</v>
      </c>
      <c r="C82" s="8" t="s">
        <v>158</v>
      </c>
      <c r="D82" s="8" t="s">
        <v>159</v>
      </c>
      <c r="E82" s="8" t="s">
        <v>32</v>
      </c>
      <c r="F82" s="8" t="s">
        <v>371</v>
      </c>
      <c r="G82" s="8" t="s">
        <v>315</v>
      </c>
      <c r="H82" s="8" t="s">
        <v>70</v>
      </c>
      <c r="I82" s="8" t="s">
        <v>316</v>
      </c>
      <c r="J82" s="8" t="s">
        <v>432</v>
      </c>
      <c r="K82" s="8" t="s">
        <v>317</v>
      </c>
      <c r="L82" s="8" t="s">
        <v>320</v>
      </c>
      <c r="M82" s="8" t="s">
        <v>325</v>
      </c>
      <c r="N82" s="8" t="s">
        <v>70</v>
      </c>
      <c r="O82" s="8" t="s">
        <v>70</v>
      </c>
    </row>
    <row r="83" spans="1:15">
      <c r="A83" s="8" t="s">
        <v>557</v>
      </c>
      <c r="B83" s="8" t="s">
        <v>164</v>
      </c>
      <c r="C83" s="8" t="s">
        <v>158</v>
      </c>
      <c r="D83" s="8" t="s">
        <v>159</v>
      </c>
      <c r="E83" s="8" t="s">
        <v>32</v>
      </c>
      <c r="F83" s="8" t="s">
        <v>371</v>
      </c>
      <c r="G83" s="8" t="s">
        <v>315</v>
      </c>
      <c r="H83" s="8" t="s">
        <v>70</v>
      </c>
      <c r="I83" s="8" t="s">
        <v>316</v>
      </c>
      <c r="J83" s="8" t="s">
        <v>432</v>
      </c>
      <c r="K83" s="8" t="s">
        <v>317</v>
      </c>
      <c r="L83" s="8" t="s">
        <v>320</v>
      </c>
      <c r="M83" s="8" t="s">
        <v>325</v>
      </c>
      <c r="N83" s="8" t="s">
        <v>70</v>
      </c>
      <c r="O83" s="8" t="s">
        <v>70</v>
      </c>
    </row>
    <row r="84" spans="1:15">
      <c r="A84" s="8" t="s">
        <v>18</v>
      </c>
      <c r="B84" s="8" t="s">
        <v>163</v>
      </c>
      <c r="C84" s="8" t="s">
        <v>158</v>
      </c>
      <c r="D84" s="8" t="s">
        <v>159</v>
      </c>
      <c r="E84" s="8" t="s">
        <v>32</v>
      </c>
      <c r="F84" s="8" t="s">
        <v>371</v>
      </c>
      <c r="G84" s="8" t="s">
        <v>315</v>
      </c>
      <c r="H84" s="8" t="s">
        <v>70</v>
      </c>
      <c r="I84" s="8" t="s">
        <v>316</v>
      </c>
      <c r="J84" s="8" t="s">
        <v>432</v>
      </c>
      <c r="K84" s="8" t="s">
        <v>317</v>
      </c>
      <c r="L84" s="8" t="s">
        <v>320</v>
      </c>
      <c r="M84" s="8" t="s">
        <v>325</v>
      </c>
      <c r="N84" s="8" t="s">
        <v>70</v>
      </c>
      <c r="O84" s="8" t="s">
        <v>70</v>
      </c>
    </row>
    <row r="85" spans="1:15">
      <c r="A85" s="8" t="s">
        <v>336</v>
      </c>
      <c r="B85" s="8" t="s">
        <v>164</v>
      </c>
      <c r="C85" s="8" t="s">
        <v>158</v>
      </c>
      <c r="D85" s="8" t="s">
        <v>159</v>
      </c>
      <c r="E85" s="8" t="s">
        <v>32</v>
      </c>
      <c r="F85" s="8" t="s">
        <v>371</v>
      </c>
      <c r="G85" s="8" t="s">
        <v>315</v>
      </c>
      <c r="H85" s="8" t="s">
        <v>70</v>
      </c>
      <c r="I85" s="8" t="s">
        <v>316</v>
      </c>
      <c r="J85" s="8" t="s">
        <v>432</v>
      </c>
      <c r="K85" s="8" t="s">
        <v>317</v>
      </c>
      <c r="L85" s="8" t="s">
        <v>320</v>
      </c>
      <c r="M85" s="8" t="s">
        <v>325</v>
      </c>
      <c r="N85" s="8" t="s">
        <v>70</v>
      </c>
      <c r="O85" s="8" t="s">
        <v>70</v>
      </c>
    </row>
    <row r="86" spans="1:15">
      <c r="A86" s="8" t="s">
        <v>404</v>
      </c>
      <c r="B86" s="8" t="s">
        <v>405</v>
      </c>
      <c r="C86" s="8" t="s">
        <v>158</v>
      </c>
      <c r="D86" s="8" t="s">
        <v>159</v>
      </c>
      <c r="E86" s="8" t="s">
        <v>32</v>
      </c>
      <c r="F86" s="8" t="s">
        <v>371</v>
      </c>
      <c r="G86" s="8" t="s">
        <v>315</v>
      </c>
      <c r="H86" s="8" t="s">
        <v>70</v>
      </c>
      <c r="I86" s="8" t="s">
        <v>316</v>
      </c>
      <c r="J86" s="8" t="s">
        <v>432</v>
      </c>
      <c r="K86" s="8" t="s">
        <v>317</v>
      </c>
      <c r="L86" s="8" t="s">
        <v>320</v>
      </c>
      <c r="M86" s="8" t="s">
        <v>325</v>
      </c>
      <c r="N86" s="8" t="s">
        <v>70</v>
      </c>
      <c r="O86" s="8" t="s">
        <v>70</v>
      </c>
    </row>
    <row r="87" spans="1:15">
      <c r="A87" s="8" t="s">
        <v>558</v>
      </c>
      <c r="B87" s="8" t="s">
        <v>559</v>
      </c>
      <c r="C87" s="8" t="s">
        <v>158</v>
      </c>
      <c r="D87" s="8" t="s">
        <v>159</v>
      </c>
      <c r="E87" s="8" t="s">
        <v>32</v>
      </c>
      <c r="F87" s="8" t="s">
        <v>371</v>
      </c>
      <c r="G87" s="8" t="s">
        <v>315</v>
      </c>
      <c r="H87" s="8" t="s">
        <v>70</v>
      </c>
      <c r="I87" s="8" t="s">
        <v>316</v>
      </c>
      <c r="J87" s="8" t="s">
        <v>432</v>
      </c>
      <c r="K87" s="8" t="s">
        <v>317</v>
      </c>
      <c r="L87" s="8" t="s">
        <v>320</v>
      </c>
      <c r="M87" s="8" t="s">
        <v>325</v>
      </c>
      <c r="N87" s="8" t="s">
        <v>70</v>
      </c>
      <c r="O87" s="8" t="s">
        <v>70</v>
      </c>
    </row>
    <row r="88" spans="1:15">
      <c r="A88" s="8" t="s">
        <v>560</v>
      </c>
      <c r="B88" s="8" t="s">
        <v>561</v>
      </c>
      <c r="C88" s="8" t="s">
        <v>158</v>
      </c>
      <c r="D88" s="8" t="s">
        <v>159</v>
      </c>
      <c r="E88" s="8" t="s">
        <v>32</v>
      </c>
      <c r="F88" s="8" t="s">
        <v>371</v>
      </c>
      <c r="G88" s="8" t="s">
        <v>315</v>
      </c>
      <c r="H88" s="8" t="s">
        <v>70</v>
      </c>
      <c r="I88" s="8" t="s">
        <v>316</v>
      </c>
      <c r="J88" s="8" t="s">
        <v>432</v>
      </c>
      <c r="K88" s="8" t="s">
        <v>317</v>
      </c>
      <c r="L88" s="8" t="s">
        <v>320</v>
      </c>
      <c r="M88" s="8" t="s">
        <v>325</v>
      </c>
      <c r="N88" s="8" t="s">
        <v>70</v>
      </c>
      <c r="O88" s="8" t="s">
        <v>70</v>
      </c>
    </row>
    <row r="89" spans="1:15">
      <c r="A89" s="8" t="s">
        <v>562</v>
      </c>
      <c r="B89" s="8" t="s">
        <v>563</v>
      </c>
      <c r="C89" s="8" t="s">
        <v>158</v>
      </c>
      <c r="D89" s="8" t="s">
        <v>159</v>
      </c>
      <c r="E89" s="8" t="s">
        <v>32</v>
      </c>
      <c r="F89" s="8" t="s">
        <v>371</v>
      </c>
      <c r="G89" s="8" t="s">
        <v>315</v>
      </c>
      <c r="H89" s="8" t="s">
        <v>70</v>
      </c>
      <c r="I89" s="8" t="s">
        <v>316</v>
      </c>
      <c r="J89" s="8" t="s">
        <v>432</v>
      </c>
      <c r="K89" s="8" t="s">
        <v>317</v>
      </c>
      <c r="L89" s="8" t="s">
        <v>320</v>
      </c>
      <c r="M89" s="8" t="s">
        <v>325</v>
      </c>
      <c r="N89" s="8" t="s">
        <v>70</v>
      </c>
      <c r="O89" s="8" t="s">
        <v>70</v>
      </c>
    </row>
    <row r="90" spans="1:15">
      <c r="A90" s="8" t="s">
        <v>564</v>
      </c>
      <c r="B90" s="8" t="s">
        <v>565</v>
      </c>
      <c r="C90" s="8" t="s">
        <v>158</v>
      </c>
      <c r="D90" s="8" t="s">
        <v>159</v>
      </c>
      <c r="E90" s="8" t="s">
        <v>106</v>
      </c>
      <c r="F90" s="8" t="s">
        <v>371</v>
      </c>
      <c r="G90" s="8" t="s">
        <v>315</v>
      </c>
      <c r="H90" s="8" t="s">
        <v>70</v>
      </c>
      <c r="I90" s="8" t="s">
        <v>316</v>
      </c>
      <c r="J90" s="8" t="s">
        <v>432</v>
      </c>
      <c r="K90" s="8" t="s">
        <v>317</v>
      </c>
      <c r="L90" s="8" t="s">
        <v>323</v>
      </c>
      <c r="M90" s="8" t="s">
        <v>326</v>
      </c>
      <c r="N90" s="8" t="s">
        <v>70</v>
      </c>
      <c r="O90" s="8" t="s">
        <v>70</v>
      </c>
    </row>
    <row r="91" spans="1:15">
      <c r="A91" s="8" t="s">
        <v>48</v>
      </c>
      <c r="B91" s="8" t="s">
        <v>138</v>
      </c>
      <c r="C91" s="8" t="s">
        <v>158</v>
      </c>
      <c r="D91" s="8" t="s">
        <v>159</v>
      </c>
      <c r="E91" s="8" t="s">
        <v>32</v>
      </c>
      <c r="F91" s="8" t="s">
        <v>371</v>
      </c>
      <c r="G91" s="8" t="s">
        <v>315</v>
      </c>
      <c r="H91" s="8" t="s">
        <v>70</v>
      </c>
      <c r="I91" s="8" t="s">
        <v>316</v>
      </c>
      <c r="J91" s="8" t="s">
        <v>432</v>
      </c>
      <c r="K91" s="8" t="s">
        <v>317</v>
      </c>
      <c r="L91" s="8" t="s">
        <v>323</v>
      </c>
      <c r="M91" s="8" t="s">
        <v>327</v>
      </c>
      <c r="N91" s="8" t="s">
        <v>70</v>
      </c>
      <c r="O91" s="8" t="s">
        <v>70</v>
      </c>
    </row>
    <row r="92" spans="1:15">
      <c r="A92" s="8" t="s">
        <v>124</v>
      </c>
      <c r="B92" s="8" t="s">
        <v>138</v>
      </c>
      <c r="C92" s="8" t="s">
        <v>158</v>
      </c>
      <c r="D92" s="8" t="s">
        <v>159</v>
      </c>
      <c r="E92" s="8" t="s">
        <v>32</v>
      </c>
      <c r="F92" s="8" t="s">
        <v>371</v>
      </c>
      <c r="G92" s="8" t="s">
        <v>315</v>
      </c>
      <c r="H92" s="8" t="s">
        <v>70</v>
      </c>
      <c r="I92" s="8" t="s">
        <v>316</v>
      </c>
      <c r="J92" s="8" t="s">
        <v>432</v>
      </c>
      <c r="K92" s="8" t="s">
        <v>317</v>
      </c>
      <c r="L92" s="8" t="s">
        <v>323</v>
      </c>
      <c r="M92" s="8" t="s">
        <v>327</v>
      </c>
      <c r="N92" s="8" t="s">
        <v>70</v>
      </c>
      <c r="O92" s="8" t="s">
        <v>70</v>
      </c>
    </row>
    <row r="93" spans="1:15">
      <c r="A93" s="8" t="s">
        <v>22</v>
      </c>
      <c r="B93" s="8" t="s">
        <v>26</v>
      </c>
      <c r="C93" s="8" t="s">
        <v>158</v>
      </c>
      <c r="D93" s="8" t="s">
        <v>159</v>
      </c>
      <c r="E93" s="8" t="s">
        <v>32</v>
      </c>
      <c r="F93" s="8" t="s">
        <v>371</v>
      </c>
      <c r="G93" s="8" t="s">
        <v>315</v>
      </c>
      <c r="H93" s="8" t="s">
        <v>70</v>
      </c>
      <c r="I93" s="8" t="s">
        <v>316</v>
      </c>
      <c r="J93" s="8" t="s">
        <v>432</v>
      </c>
      <c r="K93" s="8" t="s">
        <v>317</v>
      </c>
      <c r="L93" s="8" t="s">
        <v>323</v>
      </c>
      <c r="M93" s="8" t="s">
        <v>327</v>
      </c>
      <c r="N93" s="8" t="s">
        <v>70</v>
      </c>
      <c r="O93" s="8" t="s">
        <v>70</v>
      </c>
    </row>
    <row r="94" spans="1:15">
      <c r="A94" s="8" t="s">
        <v>62</v>
      </c>
      <c r="B94" s="8" t="s">
        <v>26</v>
      </c>
      <c r="C94" s="8" t="s">
        <v>158</v>
      </c>
      <c r="D94" s="8" t="s">
        <v>159</v>
      </c>
      <c r="E94" s="8" t="s">
        <v>32</v>
      </c>
      <c r="F94" s="8" t="s">
        <v>371</v>
      </c>
      <c r="G94" s="8" t="s">
        <v>315</v>
      </c>
      <c r="H94" s="8" t="s">
        <v>70</v>
      </c>
      <c r="I94" s="8" t="s">
        <v>316</v>
      </c>
      <c r="J94" s="8" t="s">
        <v>432</v>
      </c>
      <c r="K94" s="8" t="s">
        <v>317</v>
      </c>
      <c r="L94" s="8" t="s">
        <v>323</v>
      </c>
      <c r="M94" s="8" t="s">
        <v>327</v>
      </c>
      <c r="N94" s="8" t="s">
        <v>70</v>
      </c>
      <c r="O94" s="8" t="s">
        <v>70</v>
      </c>
    </row>
    <row r="95" spans="1:15">
      <c r="A95" s="8" t="s">
        <v>63</v>
      </c>
      <c r="B95" s="8" t="s">
        <v>111</v>
      </c>
      <c r="C95" s="8" t="s">
        <v>158</v>
      </c>
      <c r="D95" s="8" t="s">
        <v>159</v>
      </c>
      <c r="E95" s="8" t="s">
        <v>32</v>
      </c>
      <c r="F95" s="8" t="s">
        <v>371</v>
      </c>
      <c r="G95" s="8" t="s">
        <v>315</v>
      </c>
      <c r="H95" s="8" t="s">
        <v>70</v>
      </c>
      <c r="I95" s="8" t="s">
        <v>316</v>
      </c>
      <c r="J95" s="8" t="s">
        <v>432</v>
      </c>
      <c r="K95" s="8" t="s">
        <v>317</v>
      </c>
      <c r="L95" s="8" t="s">
        <v>323</v>
      </c>
      <c r="M95" s="8" t="s">
        <v>327</v>
      </c>
      <c r="N95" s="8" t="s">
        <v>70</v>
      </c>
      <c r="O95" s="8" t="s">
        <v>70</v>
      </c>
    </row>
    <row r="96" spans="1:15">
      <c r="A96" s="8" t="s">
        <v>165</v>
      </c>
      <c r="B96" s="8" t="s">
        <v>111</v>
      </c>
      <c r="C96" s="8" t="s">
        <v>158</v>
      </c>
      <c r="D96" s="8" t="s">
        <v>159</v>
      </c>
      <c r="E96" s="8" t="s">
        <v>32</v>
      </c>
      <c r="F96" s="8" t="s">
        <v>371</v>
      </c>
      <c r="G96" s="8" t="s">
        <v>315</v>
      </c>
      <c r="H96" s="8" t="s">
        <v>70</v>
      </c>
      <c r="I96" s="8" t="s">
        <v>316</v>
      </c>
      <c r="J96" s="8" t="s">
        <v>432</v>
      </c>
      <c r="K96" s="8" t="s">
        <v>317</v>
      </c>
      <c r="L96" s="8" t="s">
        <v>323</v>
      </c>
      <c r="M96" s="8" t="s">
        <v>327</v>
      </c>
      <c r="N96" s="8" t="s">
        <v>70</v>
      </c>
      <c r="O96" s="8" t="s">
        <v>70</v>
      </c>
    </row>
    <row r="97" spans="1:15">
      <c r="A97" s="8" t="s">
        <v>125</v>
      </c>
      <c r="B97" s="8" t="s">
        <v>143</v>
      </c>
      <c r="C97" s="8" t="s">
        <v>158</v>
      </c>
      <c r="D97" s="8" t="s">
        <v>159</v>
      </c>
      <c r="E97" s="8" t="s">
        <v>32</v>
      </c>
      <c r="F97" s="8" t="s">
        <v>371</v>
      </c>
      <c r="G97" s="8" t="s">
        <v>315</v>
      </c>
      <c r="H97" s="8" t="s">
        <v>70</v>
      </c>
      <c r="I97" s="8" t="s">
        <v>316</v>
      </c>
      <c r="J97" s="8" t="s">
        <v>432</v>
      </c>
      <c r="K97" s="8" t="s">
        <v>317</v>
      </c>
      <c r="L97" s="8" t="s">
        <v>323</v>
      </c>
      <c r="M97" s="8" t="s">
        <v>327</v>
      </c>
      <c r="N97" s="8" t="s">
        <v>70</v>
      </c>
      <c r="O97" s="8" t="s">
        <v>70</v>
      </c>
    </row>
    <row r="98" spans="1:15">
      <c r="A98" s="8" t="s">
        <v>23</v>
      </c>
      <c r="B98" s="8" t="s">
        <v>166</v>
      </c>
      <c r="C98" s="8" t="s">
        <v>158</v>
      </c>
      <c r="D98" s="8" t="s">
        <v>159</v>
      </c>
      <c r="E98" s="8" t="s">
        <v>32</v>
      </c>
      <c r="F98" s="8" t="s">
        <v>371</v>
      </c>
      <c r="G98" s="8" t="s">
        <v>315</v>
      </c>
      <c r="H98" s="8" t="s">
        <v>70</v>
      </c>
      <c r="I98" s="8" t="s">
        <v>316</v>
      </c>
      <c r="J98" s="8" t="s">
        <v>432</v>
      </c>
      <c r="K98" s="8" t="s">
        <v>317</v>
      </c>
      <c r="L98" s="8" t="s">
        <v>323</v>
      </c>
      <c r="M98" s="8" t="s">
        <v>327</v>
      </c>
      <c r="N98" s="8" t="s">
        <v>70</v>
      </c>
      <c r="O98" s="8" t="s">
        <v>70</v>
      </c>
    </row>
    <row r="99" spans="1:15">
      <c r="A99" s="8" t="s">
        <v>566</v>
      </c>
      <c r="B99" s="8" t="s">
        <v>567</v>
      </c>
      <c r="C99" s="8" t="s">
        <v>158</v>
      </c>
      <c r="D99" s="8" t="s">
        <v>159</v>
      </c>
      <c r="E99" s="8" t="s">
        <v>31</v>
      </c>
      <c r="F99" s="8" t="s">
        <v>371</v>
      </c>
      <c r="G99" s="8" t="s">
        <v>315</v>
      </c>
      <c r="H99" s="8" t="s">
        <v>70</v>
      </c>
      <c r="I99" s="8" t="s">
        <v>316</v>
      </c>
      <c r="J99" s="8" t="s">
        <v>432</v>
      </c>
      <c r="K99" s="8" t="s">
        <v>317</v>
      </c>
      <c r="L99" s="8" t="s">
        <v>349</v>
      </c>
      <c r="M99" s="8" t="s">
        <v>350</v>
      </c>
      <c r="N99" s="8" t="s">
        <v>70</v>
      </c>
      <c r="O99" s="8" t="s">
        <v>70</v>
      </c>
    </row>
    <row r="100" spans="1:15">
      <c r="A100" s="8" t="s">
        <v>568</v>
      </c>
      <c r="B100" s="8" t="s">
        <v>569</v>
      </c>
      <c r="C100" s="8" t="s">
        <v>158</v>
      </c>
      <c r="D100" s="8" t="s">
        <v>159</v>
      </c>
      <c r="E100" s="8" t="s">
        <v>31</v>
      </c>
      <c r="F100" s="8" t="s">
        <v>371</v>
      </c>
      <c r="G100" s="8" t="s">
        <v>315</v>
      </c>
      <c r="H100" s="8" t="s">
        <v>70</v>
      </c>
      <c r="I100" s="8" t="s">
        <v>316</v>
      </c>
      <c r="J100" s="8" t="s">
        <v>432</v>
      </c>
      <c r="K100" s="8" t="s">
        <v>317</v>
      </c>
      <c r="L100" s="8" t="s">
        <v>349</v>
      </c>
      <c r="M100" s="8" t="s">
        <v>350</v>
      </c>
      <c r="N100" s="8" t="s">
        <v>70</v>
      </c>
      <c r="O100" s="8" t="s">
        <v>70</v>
      </c>
    </row>
    <row r="101" spans="1:15">
      <c r="A101" s="8" t="s">
        <v>570</v>
      </c>
      <c r="B101" s="8" t="s">
        <v>571</v>
      </c>
      <c r="C101" s="8" t="s">
        <v>158</v>
      </c>
      <c r="D101" s="8" t="s">
        <v>159</v>
      </c>
      <c r="E101" s="8" t="s">
        <v>31</v>
      </c>
      <c r="F101" s="8" t="s">
        <v>371</v>
      </c>
      <c r="G101" s="8" t="s">
        <v>315</v>
      </c>
      <c r="H101" s="8" t="s">
        <v>70</v>
      </c>
      <c r="I101" s="8" t="s">
        <v>316</v>
      </c>
      <c r="J101" s="8" t="s">
        <v>432</v>
      </c>
      <c r="K101" s="8" t="s">
        <v>317</v>
      </c>
      <c r="L101" s="8" t="s">
        <v>349</v>
      </c>
      <c r="M101" s="8" t="s">
        <v>350</v>
      </c>
      <c r="N101" s="8" t="s">
        <v>70</v>
      </c>
      <c r="O101" s="8" t="s">
        <v>70</v>
      </c>
    </row>
    <row r="102" spans="1:15">
      <c r="A102" s="8" t="s">
        <v>572</v>
      </c>
      <c r="B102" s="8" t="s">
        <v>573</v>
      </c>
      <c r="C102" s="8" t="s">
        <v>158</v>
      </c>
      <c r="D102" s="8" t="s">
        <v>159</v>
      </c>
      <c r="E102" s="8" t="s">
        <v>31</v>
      </c>
      <c r="F102" s="8" t="s">
        <v>371</v>
      </c>
      <c r="G102" s="8" t="s">
        <v>315</v>
      </c>
      <c r="H102" s="8" t="s">
        <v>70</v>
      </c>
      <c r="I102" s="8" t="s">
        <v>316</v>
      </c>
      <c r="J102" s="8" t="s">
        <v>432</v>
      </c>
      <c r="K102" s="8" t="s">
        <v>317</v>
      </c>
      <c r="L102" s="8" t="s">
        <v>349</v>
      </c>
      <c r="M102" s="8" t="s">
        <v>350</v>
      </c>
      <c r="N102" s="8" t="s">
        <v>70</v>
      </c>
      <c r="O102" s="8" t="s">
        <v>70</v>
      </c>
    </row>
    <row r="103" spans="1:15">
      <c r="A103" s="8" t="s">
        <v>574</v>
      </c>
      <c r="B103" s="8" t="s">
        <v>575</v>
      </c>
      <c r="C103" s="8" t="s">
        <v>158</v>
      </c>
      <c r="D103" s="8" t="s">
        <v>159</v>
      </c>
      <c r="E103" s="8" t="s">
        <v>31</v>
      </c>
      <c r="F103" s="8" t="s">
        <v>371</v>
      </c>
      <c r="G103" s="8" t="s">
        <v>70</v>
      </c>
      <c r="H103" s="8" t="s">
        <v>70</v>
      </c>
      <c r="I103" s="8" t="s">
        <v>70</v>
      </c>
      <c r="J103" s="8" t="s">
        <v>70</v>
      </c>
      <c r="K103" s="8" t="s">
        <v>576</v>
      </c>
      <c r="L103" s="8" t="s">
        <v>577</v>
      </c>
      <c r="M103" s="8" t="s">
        <v>578</v>
      </c>
      <c r="N103" s="8" t="s">
        <v>70</v>
      </c>
      <c r="O103" s="8" t="s">
        <v>70</v>
      </c>
    </row>
    <row r="104" spans="1:15">
      <c r="A104" s="8" t="s">
        <v>579</v>
      </c>
      <c r="B104" s="8" t="s">
        <v>580</v>
      </c>
      <c r="C104" s="8" t="s">
        <v>158</v>
      </c>
      <c r="D104" s="8" t="s">
        <v>159</v>
      </c>
      <c r="E104" s="8" t="s">
        <v>31</v>
      </c>
      <c r="F104" s="8" t="s">
        <v>371</v>
      </c>
      <c r="G104" s="8" t="s">
        <v>70</v>
      </c>
      <c r="H104" s="8" t="s">
        <v>70</v>
      </c>
      <c r="I104" s="8" t="s">
        <v>70</v>
      </c>
      <c r="J104" s="8" t="s">
        <v>70</v>
      </c>
      <c r="K104" s="8" t="s">
        <v>317</v>
      </c>
      <c r="L104" s="8" t="s">
        <v>349</v>
      </c>
      <c r="M104" s="8" t="s">
        <v>350</v>
      </c>
      <c r="N104" s="8" t="s">
        <v>70</v>
      </c>
      <c r="O104" s="8" t="s">
        <v>70</v>
      </c>
    </row>
    <row r="105" spans="1:15">
      <c r="A105" s="8" t="s">
        <v>581</v>
      </c>
      <c r="B105" s="8" t="s">
        <v>582</v>
      </c>
      <c r="C105" s="8" t="s">
        <v>158</v>
      </c>
      <c r="D105" s="8" t="s">
        <v>159</v>
      </c>
      <c r="E105" s="8" t="s">
        <v>31</v>
      </c>
      <c r="F105" s="8" t="s">
        <v>371</v>
      </c>
      <c r="G105" s="8" t="s">
        <v>70</v>
      </c>
      <c r="H105" s="8" t="s">
        <v>70</v>
      </c>
      <c r="I105" s="8" t="s">
        <v>70</v>
      </c>
      <c r="J105" s="8" t="s">
        <v>70</v>
      </c>
      <c r="K105" s="8" t="s">
        <v>317</v>
      </c>
      <c r="L105" s="8" t="s">
        <v>349</v>
      </c>
      <c r="M105" s="8" t="s">
        <v>350</v>
      </c>
      <c r="N105" s="8" t="s">
        <v>70</v>
      </c>
      <c r="O105" s="8" t="s">
        <v>70</v>
      </c>
    </row>
    <row r="106" spans="1:15">
      <c r="A106" s="8" t="s">
        <v>583</v>
      </c>
      <c r="B106" s="8" t="s">
        <v>584</v>
      </c>
      <c r="C106" s="8" t="s">
        <v>158</v>
      </c>
      <c r="D106" s="8" t="s">
        <v>159</v>
      </c>
      <c r="E106" s="8" t="s">
        <v>31</v>
      </c>
      <c r="F106" s="8" t="s">
        <v>371</v>
      </c>
      <c r="G106" s="8" t="s">
        <v>70</v>
      </c>
      <c r="H106" s="8" t="s">
        <v>70</v>
      </c>
      <c r="I106" s="8" t="s">
        <v>70</v>
      </c>
      <c r="J106" s="8" t="s">
        <v>70</v>
      </c>
      <c r="K106" s="8" t="s">
        <v>317</v>
      </c>
      <c r="L106" s="8" t="s">
        <v>349</v>
      </c>
      <c r="M106" s="8" t="s">
        <v>350</v>
      </c>
      <c r="N106" s="8" t="s">
        <v>70</v>
      </c>
      <c r="O106" s="8" t="s">
        <v>70</v>
      </c>
    </row>
    <row r="107" spans="1:15">
      <c r="A107" s="8" t="s">
        <v>585</v>
      </c>
      <c r="B107" s="8" t="s">
        <v>586</v>
      </c>
      <c r="C107" s="8" t="s">
        <v>158</v>
      </c>
      <c r="D107" s="8" t="s">
        <v>159</v>
      </c>
      <c r="E107" s="8" t="s">
        <v>31</v>
      </c>
      <c r="F107" s="8" t="s">
        <v>371</v>
      </c>
      <c r="G107" s="8" t="s">
        <v>315</v>
      </c>
      <c r="H107" s="8" t="s">
        <v>70</v>
      </c>
      <c r="I107" s="8" t="s">
        <v>316</v>
      </c>
      <c r="J107" s="8" t="s">
        <v>432</v>
      </c>
      <c r="K107" s="8" t="s">
        <v>576</v>
      </c>
      <c r="L107" s="8" t="s">
        <v>577</v>
      </c>
      <c r="M107" s="8" t="s">
        <v>578</v>
      </c>
      <c r="N107" s="8" t="s">
        <v>70</v>
      </c>
      <c r="O107" s="8" t="s">
        <v>70</v>
      </c>
    </row>
    <row r="108" spans="1:15">
      <c r="A108" s="8" t="s">
        <v>344</v>
      </c>
      <c r="B108" s="8" t="s">
        <v>351</v>
      </c>
      <c r="C108" s="8" t="s">
        <v>158</v>
      </c>
      <c r="D108" s="8" t="s">
        <v>159</v>
      </c>
      <c r="E108" s="8" t="s">
        <v>31</v>
      </c>
      <c r="F108" s="8" t="s">
        <v>371</v>
      </c>
      <c r="G108" s="8" t="s">
        <v>315</v>
      </c>
      <c r="H108" s="8" t="s">
        <v>70</v>
      </c>
      <c r="I108" s="8" t="s">
        <v>316</v>
      </c>
      <c r="J108" s="8" t="s">
        <v>432</v>
      </c>
      <c r="K108" s="8" t="s">
        <v>317</v>
      </c>
      <c r="L108" s="8" t="s">
        <v>349</v>
      </c>
      <c r="M108" s="8" t="s">
        <v>352</v>
      </c>
      <c r="N108" s="8" t="s">
        <v>70</v>
      </c>
      <c r="O108" s="8" t="s">
        <v>70</v>
      </c>
    </row>
    <row r="109" spans="1:15">
      <c r="A109" s="8" t="s">
        <v>587</v>
      </c>
      <c r="B109" s="8" t="s">
        <v>588</v>
      </c>
      <c r="C109" s="8" t="s">
        <v>158</v>
      </c>
      <c r="D109" s="8" t="s">
        <v>159</v>
      </c>
      <c r="E109" s="8" t="s">
        <v>31</v>
      </c>
      <c r="F109" s="8" t="s">
        <v>371</v>
      </c>
      <c r="G109" s="8" t="s">
        <v>315</v>
      </c>
      <c r="H109" s="8" t="s">
        <v>70</v>
      </c>
      <c r="I109" s="8" t="s">
        <v>316</v>
      </c>
      <c r="J109" s="8" t="s">
        <v>432</v>
      </c>
      <c r="K109" s="8" t="s">
        <v>317</v>
      </c>
      <c r="L109" s="8" t="s">
        <v>349</v>
      </c>
      <c r="M109" s="8" t="s">
        <v>352</v>
      </c>
      <c r="N109" s="8" t="s">
        <v>70</v>
      </c>
      <c r="O109" s="8" t="s">
        <v>70</v>
      </c>
    </row>
    <row r="110" spans="1:15">
      <c r="A110" s="8" t="s">
        <v>589</v>
      </c>
      <c r="B110" s="8" t="s">
        <v>590</v>
      </c>
      <c r="C110" s="8" t="s">
        <v>158</v>
      </c>
      <c r="D110" s="8" t="s">
        <v>159</v>
      </c>
      <c r="E110" s="8" t="s">
        <v>31</v>
      </c>
      <c r="F110" s="8" t="s">
        <v>371</v>
      </c>
      <c r="G110" s="8" t="s">
        <v>70</v>
      </c>
      <c r="H110" s="8" t="s">
        <v>70</v>
      </c>
      <c r="I110" s="8" t="s">
        <v>70</v>
      </c>
      <c r="J110" s="8" t="s">
        <v>70</v>
      </c>
      <c r="K110" s="8" t="s">
        <v>317</v>
      </c>
      <c r="L110" s="8" t="s">
        <v>349</v>
      </c>
      <c r="M110" s="8" t="s">
        <v>578</v>
      </c>
      <c r="N110" s="8" t="s">
        <v>70</v>
      </c>
      <c r="O110" s="8" t="s">
        <v>70</v>
      </c>
    </row>
    <row r="111" spans="1:15">
      <c r="A111" s="8" t="s">
        <v>353</v>
      </c>
      <c r="B111" s="8" t="s">
        <v>232</v>
      </c>
      <c r="C111" s="8" t="s">
        <v>158</v>
      </c>
      <c r="D111" s="8" t="s">
        <v>159</v>
      </c>
      <c r="E111" s="8" t="s">
        <v>32</v>
      </c>
      <c r="F111" s="8" t="s">
        <v>371</v>
      </c>
      <c r="G111" s="8" t="s">
        <v>315</v>
      </c>
      <c r="H111" s="8" t="s">
        <v>70</v>
      </c>
      <c r="I111" s="8" t="s">
        <v>316</v>
      </c>
      <c r="J111" s="8" t="s">
        <v>432</v>
      </c>
      <c r="K111" s="8" t="s">
        <v>317</v>
      </c>
      <c r="L111" s="8" t="s">
        <v>320</v>
      </c>
      <c r="M111" s="8" t="s">
        <v>354</v>
      </c>
      <c r="N111" s="8" t="s">
        <v>70</v>
      </c>
      <c r="O111" s="8" t="s">
        <v>70</v>
      </c>
    </row>
    <row r="112" spans="1:15">
      <c r="A112" s="8" t="s">
        <v>15</v>
      </c>
      <c r="B112" s="8" t="s">
        <v>27</v>
      </c>
      <c r="C112" s="8" t="s">
        <v>158</v>
      </c>
      <c r="D112" s="8" t="s">
        <v>159</v>
      </c>
      <c r="E112" s="8" t="s">
        <v>32</v>
      </c>
      <c r="F112" s="8" t="s">
        <v>371</v>
      </c>
      <c r="G112" s="8" t="s">
        <v>315</v>
      </c>
      <c r="H112" s="8" t="s">
        <v>70</v>
      </c>
      <c r="I112" s="8" t="s">
        <v>316</v>
      </c>
      <c r="J112" s="8" t="s">
        <v>432</v>
      </c>
      <c r="K112" s="8" t="s">
        <v>317</v>
      </c>
      <c r="L112" s="8" t="s">
        <v>320</v>
      </c>
      <c r="M112" s="8" t="s">
        <v>328</v>
      </c>
      <c r="N112" s="8" t="s">
        <v>70</v>
      </c>
      <c r="O112" s="8" t="s">
        <v>70</v>
      </c>
    </row>
    <row r="113" spans="1:15">
      <c r="A113" s="8" t="s">
        <v>337</v>
      </c>
      <c r="B113" s="8" t="s">
        <v>168</v>
      </c>
      <c r="C113" s="8" t="s">
        <v>158</v>
      </c>
      <c r="D113" s="8" t="s">
        <v>159</v>
      </c>
      <c r="E113" s="8" t="s">
        <v>32</v>
      </c>
      <c r="F113" s="8" t="s">
        <v>371</v>
      </c>
      <c r="G113" s="8" t="s">
        <v>315</v>
      </c>
      <c r="H113" s="8" t="s">
        <v>70</v>
      </c>
      <c r="I113" s="8" t="s">
        <v>316</v>
      </c>
      <c r="J113" s="8" t="s">
        <v>432</v>
      </c>
      <c r="K113" s="8" t="s">
        <v>317</v>
      </c>
      <c r="L113" s="8" t="s">
        <v>320</v>
      </c>
      <c r="M113" s="8" t="s">
        <v>328</v>
      </c>
      <c r="N113" s="8" t="s">
        <v>70</v>
      </c>
      <c r="O113" s="8" t="s">
        <v>70</v>
      </c>
    </row>
    <row r="114" spans="1:15">
      <c r="A114" s="8" t="s">
        <v>591</v>
      </c>
      <c r="B114" s="8" t="s">
        <v>355</v>
      </c>
      <c r="C114" s="8" t="s">
        <v>158</v>
      </c>
      <c r="D114" s="8" t="s">
        <v>159</v>
      </c>
      <c r="E114" s="8" t="s">
        <v>32</v>
      </c>
      <c r="F114" s="8" t="s">
        <v>371</v>
      </c>
      <c r="G114" s="8" t="s">
        <v>315</v>
      </c>
      <c r="H114" s="8" t="s">
        <v>70</v>
      </c>
      <c r="I114" s="8" t="s">
        <v>316</v>
      </c>
      <c r="J114" s="8" t="s">
        <v>432</v>
      </c>
      <c r="K114" s="8" t="s">
        <v>317</v>
      </c>
      <c r="L114" s="8" t="s">
        <v>320</v>
      </c>
      <c r="M114" s="8" t="s">
        <v>328</v>
      </c>
      <c r="N114" s="8" t="s">
        <v>70</v>
      </c>
      <c r="O114" s="8" t="s">
        <v>70</v>
      </c>
    </row>
    <row r="115" spans="1:15">
      <c r="A115" s="8" t="s">
        <v>592</v>
      </c>
      <c r="B115" s="8" t="s">
        <v>593</v>
      </c>
      <c r="C115" s="8" t="s">
        <v>158</v>
      </c>
      <c r="D115" s="8" t="s">
        <v>159</v>
      </c>
      <c r="E115" s="8" t="s">
        <v>32</v>
      </c>
      <c r="F115" s="8" t="s">
        <v>371</v>
      </c>
      <c r="G115" s="8" t="s">
        <v>315</v>
      </c>
      <c r="H115" s="8" t="s">
        <v>70</v>
      </c>
      <c r="I115" s="8" t="s">
        <v>316</v>
      </c>
      <c r="J115" s="8" t="s">
        <v>432</v>
      </c>
      <c r="K115" s="8" t="s">
        <v>317</v>
      </c>
      <c r="L115" s="8" t="s">
        <v>320</v>
      </c>
      <c r="M115" s="8" t="s">
        <v>328</v>
      </c>
      <c r="N115" s="8" t="s">
        <v>70</v>
      </c>
      <c r="O115" s="8" t="s">
        <v>70</v>
      </c>
    </row>
    <row r="116" spans="1:15">
      <c r="A116" s="8" t="s">
        <v>594</v>
      </c>
      <c r="B116" s="8" t="s">
        <v>595</v>
      </c>
      <c r="C116" s="8" t="s">
        <v>158</v>
      </c>
      <c r="D116" s="8" t="s">
        <v>159</v>
      </c>
      <c r="E116" s="8" t="s">
        <v>32</v>
      </c>
      <c r="F116" s="8" t="s">
        <v>371</v>
      </c>
      <c r="G116" s="8" t="s">
        <v>315</v>
      </c>
      <c r="H116" s="8" t="s">
        <v>70</v>
      </c>
      <c r="I116" s="8" t="s">
        <v>316</v>
      </c>
      <c r="J116" s="8" t="s">
        <v>432</v>
      </c>
      <c r="K116" s="8" t="s">
        <v>317</v>
      </c>
      <c r="L116" s="8" t="s">
        <v>320</v>
      </c>
      <c r="M116" s="8" t="s">
        <v>328</v>
      </c>
      <c r="N116" s="8" t="s">
        <v>70</v>
      </c>
      <c r="O116" s="8" t="s">
        <v>70</v>
      </c>
    </row>
    <row r="117" spans="1:15">
      <c r="A117" s="8" t="s">
        <v>214</v>
      </c>
      <c r="B117" s="8" t="s">
        <v>232</v>
      </c>
      <c r="C117" s="8" t="s">
        <v>158</v>
      </c>
      <c r="D117" s="8" t="s">
        <v>159</v>
      </c>
      <c r="E117" s="8" t="s">
        <v>32</v>
      </c>
      <c r="F117" s="8" t="s">
        <v>371</v>
      </c>
      <c r="G117" s="8" t="s">
        <v>315</v>
      </c>
      <c r="H117" s="8" t="s">
        <v>70</v>
      </c>
      <c r="I117" s="8" t="s">
        <v>316</v>
      </c>
      <c r="J117" s="8" t="s">
        <v>432</v>
      </c>
      <c r="K117" s="8" t="s">
        <v>317</v>
      </c>
      <c r="L117" s="8" t="s">
        <v>320</v>
      </c>
      <c r="M117" s="8" t="s">
        <v>354</v>
      </c>
      <c r="N117" s="8" t="s">
        <v>70</v>
      </c>
      <c r="O117" s="8" t="s">
        <v>70</v>
      </c>
    </row>
    <row r="118" spans="1:15">
      <c r="A118" s="8" t="s">
        <v>596</v>
      </c>
      <c r="B118" s="8" t="s">
        <v>597</v>
      </c>
      <c r="C118" s="8" t="s">
        <v>158</v>
      </c>
      <c r="D118" s="8" t="s">
        <v>159</v>
      </c>
      <c r="E118" s="8" t="s">
        <v>32</v>
      </c>
      <c r="F118" s="8" t="s">
        <v>371</v>
      </c>
      <c r="G118" s="8" t="s">
        <v>315</v>
      </c>
      <c r="H118" s="8" t="s">
        <v>70</v>
      </c>
      <c r="I118" s="8" t="s">
        <v>316</v>
      </c>
      <c r="J118" s="8" t="s">
        <v>432</v>
      </c>
      <c r="K118" s="8" t="s">
        <v>317</v>
      </c>
      <c r="L118" s="8" t="s">
        <v>320</v>
      </c>
      <c r="M118" s="8" t="s">
        <v>328</v>
      </c>
      <c r="N118" s="8" t="s">
        <v>70</v>
      </c>
      <c r="O118" s="8" t="s">
        <v>70</v>
      </c>
    </row>
    <row r="119" spans="1:15">
      <c r="A119" s="8" t="s">
        <v>598</v>
      </c>
      <c r="B119" s="8" t="s">
        <v>27</v>
      </c>
      <c r="C119" s="8" t="s">
        <v>158</v>
      </c>
      <c r="D119" s="8" t="s">
        <v>159</v>
      </c>
      <c r="E119" s="8" t="s">
        <v>32</v>
      </c>
      <c r="F119" s="8" t="s">
        <v>371</v>
      </c>
      <c r="G119" s="8" t="s">
        <v>315</v>
      </c>
      <c r="H119" s="8" t="s">
        <v>70</v>
      </c>
      <c r="I119" s="8" t="s">
        <v>316</v>
      </c>
      <c r="J119" s="8" t="s">
        <v>432</v>
      </c>
      <c r="K119" s="8" t="s">
        <v>317</v>
      </c>
      <c r="L119" s="8" t="s">
        <v>320</v>
      </c>
      <c r="M119" s="8" t="s">
        <v>328</v>
      </c>
      <c r="N119" s="8" t="s">
        <v>70</v>
      </c>
      <c r="O119" s="8" t="s">
        <v>70</v>
      </c>
    </row>
    <row r="120" spans="1:15">
      <c r="A120" s="8" t="s">
        <v>167</v>
      </c>
      <c r="B120" s="8" t="s">
        <v>168</v>
      </c>
      <c r="C120" s="8" t="s">
        <v>158</v>
      </c>
      <c r="D120" s="8" t="s">
        <v>159</v>
      </c>
      <c r="E120" s="8" t="s">
        <v>32</v>
      </c>
      <c r="F120" s="8" t="s">
        <v>371</v>
      </c>
      <c r="G120" s="8" t="s">
        <v>315</v>
      </c>
      <c r="H120" s="8" t="s">
        <v>70</v>
      </c>
      <c r="I120" s="8" t="s">
        <v>316</v>
      </c>
      <c r="J120" s="8" t="s">
        <v>432</v>
      </c>
      <c r="K120" s="8" t="s">
        <v>317</v>
      </c>
      <c r="L120" s="8" t="s">
        <v>320</v>
      </c>
      <c r="M120" s="8" t="s">
        <v>328</v>
      </c>
      <c r="N120" s="8" t="s">
        <v>70</v>
      </c>
      <c r="O120" s="8" t="s">
        <v>70</v>
      </c>
    </row>
    <row r="121" spans="1:15">
      <c r="A121" s="8" t="s">
        <v>599</v>
      </c>
      <c r="B121" s="8" t="s">
        <v>355</v>
      </c>
      <c r="C121" s="8" t="s">
        <v>158</v>
      </c>
      <c r="D121" s="8" t="s">
        <v>159</v>
      </c>
      <c r="E121" s="8" t="s">
        <v>32</v>
      </c>
      <c r="F121" s="8" t="s">
        <v>371</v>
      </c>
      <c r="G121" s="8" t="s">
        <v>315</v>
      </c>
      <c r="H121" s="8" t="s">
        <v>70</v>
      </c>
      <c r="I121" s="8" t="s">
        <v>316</v>
      </c>
      <c r="J121" s="8" t="s">
        <v>432</v>
      </c>
      <c r="K121" s="8" t="s">
        <v>317</v>
      </c>
      <c r="L121" s="8" t="s">
        <v>320</v>
      </c>
      <c r="M121" s="8" t="s">
        <v>328</v>
      </c>
      <c r="N121" s="8" t="s">
        <v>70</v>
      </c>
      <c r="O121" s="8" t="s">
        <v>70</v>
      </c>
    </row>
    <row r="122" spans="1:15">
      <c r="A122" s="8" t="s">
        <v>600</v>
      </c>
      <c r="B122" s="8" t="s">
        <v>593</v>
      </c>
      <c r="C122" s="8" t="s">
        <v>158</v>
      </c>
      <c r="D122" s="8" t="s">
        <v>159</v>
      </c>
      <c r="E122" s="8" t="s">
        <v>32</v>
      </c>
      <c r="F122" s="8" t="s">
        <v>371</v>
      </c>
      <c r="G122" s="8" t="s">
        <v>315</v>
      </c>
      <c r="H122" s="8" t="s">
        <v>70</v>
      </c>
      <c r="I122" s="8" t="s">
        <v>316</v>
      </c>
      <c r="J122" s="8" t="s">
        <v>432</v>
      </c>
      <c r="K122" s="8" t="s">
        <v>317</v>
      </c>
      <c r="L122" s="8" t="s">
        <v>320</v>
      </c>
      <c r="M122" s="8" t="s">
        <v>328</v>
      </c>
      <c r="N122" s="8" t="s">
        <v>70</v>
      </c>
      <c r="O122" s="8" t="s">
        <v>70</v>
      </c>
    </row>
    <row r="123" spans="1:15">
      <c r="A123" s="8" t="s">
        <v>601</v>
      </c>
      <c r="B123" s="8" t="s">
        <v>595</v>
      </c>
      <c r="C123" s="8" t="s">
        <v>158</v>
      </c>
      <c r="D123" s="8" t="s">
        <v>159</v>
      </c>
      <c r="E123" s="8" t="s">
        <v>32</v>
      </c>
      <c r="F123" s="8" t="s">
        <v>371</v>
      </c>
      <c r="G123" s="8" t="s">
        <v>315</v>
      </c>
      <c r="H123" s="8" t="s">
        <v>70</v>
      </c>
      <c r="I123" s="8" t="s">
        <v>316</v>
      </c>
      <c r="J123" s="8" t="s">
        <v>432</v>
      </c>
      <c r="K123" s="8" t="s">
        <v>317</v>
      </c>
      <c r="L123" s="8" t="s">
        <v>320</v>
      </c>
      <c r="M123" s="8" t="s">
        <v>328</v>
      </c>
      <c r="N123" s="8" t="s">
        <v>70</v>
      </c>
      <c r="O123" s="8" t="s">
        <v>70</v>
      </c>
    </row>
    <row r="124" spans="1:15">
      <c r="A124" s="8" t="s">
        <v>16</v>
      </c>
      <c r="B124" s="8" t="s">
        <v>27</v>
      </c>
      <c r="C124" s="8" t="s">
        <v>158</v>
      </c>
      <c r="D124" s="8" t="s">
        <v>159</v>
      </c>
      <c r="E124" s="8" t="s">
        <v>32</v>
      </c>
      <c r="F124" s="8" t="s">
        <v>371</v>
      </c>
      <c r="G124" s="8" t="s">
        <v>315</v>
      </c>
      <c r="H124" s="8" t="s">
        <v>70</v>
      </c>
      <c r="I124" s="8" t="s">
        <v>316</v>
      </c>
      <c r="J124" s="8" t="s">
        <v>432</v>
      </c>
      <c r="K124" s="8" t="s">
        <v>317</v>
      </c>
      <c r="L124" s="8" t="s">
        <v>320</v>
      </c>
      <c r="M124" s="8" t="s">
        <v>328</v>
      </c>
      <c r="N124" s="8" t="s">
        <v>70</v>
      </c>
      <c r="O124" s="8" t="s">
        <v>70</v>
      </c>
    </row>
    <row r="125" spans="1:15">
      <c r="A125" s="8" t="s">
        <v>338</v>
      </c>
      <c r="B125" s="8" t="s">
        <v>168</v>
      </c>
      <c r="C125" s="8" t="s">
        <v>158</v>
      </c>
      <c r="D125" s="8" t="s">
        <v>159</v>
      </c>
      <c r="E125" s="8" t="s">
        <v>32</v>
      </c>
      <c r="F125" s="8" t="s">
        <v>371</v>
      </c>
      <c r="G125" s="8" t="s">
        <v>315</v>
      </c>
      <c r="H125" s="8" t="s">
        <v>70</v>
      </c>
      <c r="I125" s="8" t="s">
        <v>316</v>
      </c>
      <c r="J125" s="8" t="s">
        <v>432</v>
      </c>
      <c r="K125" s="8" t="s">
        <v>317</v>
      </c>
      <c r="L125" s="8" t="s">
        <v>320</v>
      </c>
      <c r="M125" s="8" t="s">
        <v>328</v>
      </c>
      <c r="N125" s="8" t="s">
        <v>70</v>
      </c>
      <c r="O125" s="8" t="s">
        <v>70</v>
      </c>
    </row>
    <row r="126" spans="1:15">
      <c r="A126" s="8" t="s">
        <v>602</v>
      </c>
      <c r="B126" s="8" t="s">
        <v>603</v>
      </c>
      <c r="C126" s="8" t="s">
        <v>158</v>
      </c>
      <c r="D126" s="8" t="s">
        <v>159</v>
      </c>
      <c r="E126" s="8" t="s">
        <v>32</v>
      </c>
      <c r="F126" s="8" t="s">
        <v>371</v>
      </c>
      <c r="G126" s="8" t="s">
        <v>315</v>
      </c>
      <c r="H126" s="8" t="s">
        <v>70</v>
      </c>
      <c r="I126" s="8" t="s">
        <v>316</v>
      </c>
      <c r="J126" s="8" t="s">
        <v>432</v>
      </c>
      <c r="K126" s="8" t="s">
        <v>317</v>
      </c>
      <c r="L126" s="8" t="s">
        <v>320</v>
      </c>
      <c r="M126" s="8" t="s">
        <v>328</v>
      </c>
      <c r="N126" s="8" t="s">
        <v>70</v>
      </c>
      <c r="O126" s="8" t="s">
        <v>70</v>
      </c>
    </row>
    <row r="127" spans="1:15">
      <c r="A127" s="8" t="s">
        <v>604</v>
      </c>
      <c r="B127" s="8" t="s">
        <v>605</v>
      </c>
      <c r="C127" s="8" t="s">
        <v>158</v>
      </c>
      <c r="D127" s="8" t="s">
        <v>159</v>
      </c>
      <c r="E127" s="8" t="s">
        <v>32</v>
      </c>
      <c r="F127" s="8" t="s">
        <v>371</v>
      </c>
      <c r="G127" s="8" t="s">
        <v>315</v>
      </c>
      <c r="H127" s="8" t="s">
        <v>70</v>
      </c>
      <c r="I127" s="8" t="s">
        <v>316</v>
      </c>
      <c r="J127" s="8" t="s">
        <v>432</v>
      </c>
      <c r="K127" s="8" t="s">
        <v>317</v>
      </c>
      <c r="L127" s="8" t="s">
        <v>320</v>
      </c>
      <c r="M127" s="8" t="s">
        <v>328</v>
      </c>
      <c r="N127" s="8" t="s">
        <v>70</v>
      </c>
      <c r="O127" s="8" t="s">
        <v>70</v>
      </c>
    </row>
    <row r="128" spans="1:15">
      <c r="A128" s="8" t="s">
        <v>606</v>
      </c>
      <c r="B128" s="8" t="s">
        <v>593</v>
      </c>
      <c r="C128" s="8" t="s">
        <v>158</v>
      </c>
      <c r="D128" s="8" t="s">
        <v>159</v>
      </c>
      <c r="E128" s="8" t="s">
        <v>32</v>
      </c>
      <c r="F128" s="8" t="s">
        <v>371</v>
      </c>
      <c r="G128" s="8" t="s">
        <v>315</v>
      </c>
      <c r="H128" s="8" t="s">
        <v>70</v>
      </c>
      <c r="I128" s="8" t="s">
        <v>316</v>
      </c>
      <c r="J128" s="8" t="s">
        <v>432</v>
      </c>
      <c r="K128" s="8" t="s">
        <v>317</v>
      </c>
      <c r="L128" s="8" t="s">
        <v>320</v>
      </c>
      <c r="M128" s="8" t="s">
        <v>328</v>
      </c>
      <c r="N128" s="8" t="s">
        <v>70</v>
      </c>
      <c r="O128" s="8" t="s">
        <v>70</v>
      </c>
    </row>
    <row r="129" spans="1:15">
      <c r="A129" s="8" t="s">
        <v>607</v>
      </c>
      <c r="B129" s="8" t="s">
        <v>595</v>
      </c>
      <c r="C129" s="8" t="s">
        <v>158</v>
      </c>
      <c r="D129" s="8" t="s">
        <v>159</v>
      </c>
      <c r="E129" s="8" t="s">
        <v>32</v>
      </c>
      <c r="F129" s="8" t="s">
        <v>371</v>
      </c>
      <c r="G129" s="8" t="s">
        <v>315</v>
      </c>
      <c r="H129" s="8" t="s">
        <v>70</v>
      </c>
      <c r="I129" s="8" t="s">
        <v>316</v>
      </c>
      <c r="J129" s="8" t="s">
        <v>432</v>
      </c>
      <c r="K129" s="8" t="s">
        <v>317</v>
      </c>
      <c r="L129" s="8" t="s">
        <v>320</v>
      </c>
      <c r="M129" s="8" t="s">
        <v>328</v>
      </c>
      <c r="N129" s="8" t="s">
        <v>70</v>
      </c>
      <c r="O129" s="8" t="s">
        <v>70</v>
      </c>
    </row>
    <row r="130" spans="1:15">
      <c r="A130" s="8" t="s">
        <v>608</v>
      </c>
      <c r="B130" s="8" t="s">
        <v>609</v>
      </c>
      <c r="C130" s="8" t="s">
        <v>158</v>
      </c>
      <c r="D130" s="8" t="s">
        <v>159</v>
      </c>
      <c r="E130" s="8" t="s">
        <v>32</v>
      </c>
      <c r="F130" s="8" t="s">
        <v>371</v>
      </c>
      <c r="G130" s="8" t="s">
        <v>315</v>
      </c>
      <c r="H130" s="8" t="s">
        <v>70</v>
      </c>
      <c r="I130" s="8" t="s">
        <v>316</v>
      </c>
      <c r="J130" s="8" t="s">
        <v>432</v>
      </c>
      <c r="K130" s="8" t="s">
        <v>317</v>
      </c>
      <c r="L130" s="8" t="s">
        <v>320</v>
      </c>
      <c r="M130" s="8" t="s">
        <v>354</v>
      </c>
      <c r="N130" s="8" t="s">
        <v>70</v>
      </c>
      <c r="O130" s="8" t="s">
        <v>70</v>
      </c>
    </row>
    <row r="131" spans="1:15">
      <c r="A131" s="8" t="s">
        <v>610</v>
      </c>
      <c r="B131" s="8" t="s">
        <v>611</v>
      </c>
      <c r="C131" s="8" t="s">
        <v>158</v>
      </c>
      <c r="D131" s="8" t="s">
        <v>159</v>
      </c>
      <c r="E131" s="8" t="s">
        <v>32</v>
      </c>
      <c r="F131" s="8" t="s">
        <v>371</v>
      </c>
      <c r="G131" s="8" t="s">
        <v>315</v>
      </c>
      <c r="H131" s="8" t="s">
        <v>70</v>
      </c>
      <c r="I131" s="8" t="s">
        <v>316</v>
      </c>
      <c r="J131" s="8" t="s">
        <v>432</v>
      </c>
      <c r="K131" s="8" t="s">
        <v>317</v>
      </c>
      <c r="L131" s="8" t="s">
        <v>320</v>
      </c>
      <c r="M131" s="8" t="s">
        <v>328</v>
      </c>
      <c r="N131" s="8" t="s">
        <v>70</v>
      </c>
      <c r="O131" s="8" t="s">
        <v>70</v>
      </c>
    </row>
    <row r="132" spans="1:15">
      <c r="A132" s="8" t="s">
        <v>612</v>
      </c>
      <c r="B132" s="8" t="s">
        <v>613</v>
      </c>
      <c r="C132" s="8" t="s">
        <v>158</v>
      </c>
      <c r="D132" s="8" t="s">
        <v>159</v>
      </c>
      <c r="E132" s="8" t="s">
        <v>32</v>
      </c>
      <c r="F132" s="8" t="s">
        <v>371</v>
      </c>
      <c r="G132" s="8" t="s">
        <v>315</v>
      </c>
      <c r="H132" s="8" t="s">
        <v>70</v>
      </c>
      <c r="I132" s="8" t="s">
        <v>316</v>
      </c>
      <c r="J132" s="8" t="s">
        <v>432</v>
      </c>
      <c r="K132" s="8" t="s">
        <v>317</v>
      </c>
      <c r="L132" s="8" t="s">
        <v>320</v>
      </c>
      <c r="M132" s="8" t="s">
        <v>328</v>
      </c>
      <c r="N132" s="8" t="s">
        <v>70</v>
      </c>
      <c r="O132" s="8" t="s">
        <v>70</v>
      </c>
    </row>
    <row r="133" spans="1:15">
      <c r="A133" s="8" t="s">
        <v>126</v>
      </c>
      <c r="B133" s="8" t="s">
        <v>169</v>
      </c>
      <c r="C133" s="8" t="s">
        <v>158</v>
      </c>
      <c r="D133" s="8" t="s">
        <v>159</v>
      </c>
      <c r="E133" s="8" t="s">
        <v>32</v>
      </c>
      <c r="F133" s="8" t="s">
        <v>371</v>
      </c>
      <c r="G133" s="8" t="s">
        <v>315</v>
      </c>
      <c r="H133" s="8" t="s">
        <v>70</v>
      </c>
      <c r="I133" s="8" t="s">
        <v>316</v>
      </c>
      <c r="J133" s="8" t="s">
        <v>432</v>
      </c>
      <c r="K133" s="8" t="s">
        <v>317</v>
      </c>
      <c r="L133" s="8" t="s">
        <v>323</v>
      </c>
      <c r="M133" s="8" t="s">
        <v>329</v>
      </c>
      <c r="N133" s="8" t="s">
        <v>70</v>
      </c>
      <c r="O133" s="8" t="s">
        <v>70</v>
      </c>
    </row>
    <row r="134" spans="1:15">
      <c r="A134" s="8" t="s">
        <v>356</v>
      </c>
      <c r="B134" s="8" t="s">
        <v>357</v>
      </c>
      <c r="C134" s="8" t="s">
        <v>158</v>
      </c>
      <c r="D134" s="8" t="s">
        <v>159</v>
      </c>
      <c r="E134" s="8" t="s">
        <v>32</v>
      </c>
      <c r="F134" s="8" t="s">
        <v>371</v>
      </c>
      <c r="G134" s="8" t="s">
        <v>315</v>
      </c>
      <c r="H134" s="8" t="s">
        <v>70</v>
      </c>
      <c r="I134" s="8" t="s">
        <v>316</v>
      </c>
      <c r="J134" s="8" t="s">
        <v>432</v>
      </c>
      <c r="K134" s="8" t="s">
        <v>317</v>
      </c>
      <c r="L134" s="8" t="s">
        <v>323</v>
      </c>
      <c r="M134" s="8" t="s">
        <v>329</v>
      </c>
      <c r="N134" s="8" t="s">
        <v>70</v>
      </c>
      <c r="O134" s="8" t="s">
        <v>70</v>
      </c>
    </row>
    <row r="135" spans="1:15">
      <c r="A135" s="8" t="s">
        <v>358</v>
      </c>
      <c r="B135" s="8" t="s">
        <v>359</v>
      </c>
      <c r="C135" s="8" t="s">
        <v>158</v>
      </c>
      <c r="D135" s="8" t="s">
        <v>159</v>
      </c>
      <c r="E135" s="8" t="s">
        <v>32</v>
      </c>
      <c r="F135" s="8" t="s">
        <v>371</v>
      </c>
      <c r="G135" s="8" t="s">
        <v>315</v>
      </c>
      <c r="H135" s="8" t="s">
        <v>70</v>
      </c>
      <c r="I135" s="8" t="s">
        <v>316</v>
      </c>
      <c r="J135" s="8" t="s">
        <v>432</v>
      </c>
      <c r="K135" s="8" t="s">
        <v>317</v>
      </c>
      <c r="L135" s="8" t="s">
        <v>323</v>
      </c>
      <c r="M135" s="8" t="s">
        <v>329</v>
      </c>
      <c r="N135" s="8" t="s">
        <v>70</v>
      </c>
      <c r="O135" s="8" t="s">
        <v>70</v>
      </c>
    </row>
    <row r="136" spans="1:15">
      <c r="A136" s="8" t="s">
        <v>127</v>
      </c>
      <c r="B136" s="8" t="s">
        <v>144</v>
      </c>
      <c r="C136" s="8" t="s">
        <v>158</v>
      </c>
      <c r="D136" s="8" t="s">
        <v>159</v>
      </c>
      <c r="E136" s="8" t="s">
        <v>32</v>
      </c>
      <c r="F136" s="8" t="s">
        <v>371</v>
      </c>
      <c r="G136" s="8" t="s">
        <v>315</v>
      </c>
      <c r="H136" s="8" t="s">
        <v>70</v>
      </c>
      <c r="I136" s="8" t="s">
        <v>316</v>
      </c>
      <c r="J136" s="8" t="s">
        <v>432</v>
      </c>
      <c r="K136" s="8" t="s">
        <v>317</v>
      </c>
      <c r="L136" s="8" t="s">
        <v>323</v>
      </c>
      <c r="M136" s="8" t="s">
        <v>329</v>
      </c>
      <c r="N136" s="8" t="s">
        <v>70</v>
      </c>
      <c r="O136" s="8" t="s">
        <v>70</v>
      </c>
    </row>
    <row r="137" spans="1:15">
      <c r="A137" s="8" t="s">
        <v>345</v>
      </c>
      <c r="B137" s="8" t="s">
        <v>360</v>
      </c>
      <c r="C137" s="8" t="s">
        <v>158</v>
      </c>
      <c r="D137" s="8" t="s">
        <v>159</v>
      </c>
      <c r="E137" s="8" t="s">
        <v>32</v>
      </c>
      <c r="F137" s="8" t="s">
        <v>371</v>
      </c>
      <c r="G137" s="8" t="s">
        <v>315</v>
      </c>
      <c r="H137" s="8" t="s">
        <v>70</v>
      </c>
      <c r="I137" s="8" t="s">
        <v>316</v>
      </c>
      <c r="J137" s="8" t="s">
        <v>432</v>
      </c>
      <c r="K137" s="8" t="s">
        <v>317</v>
      </c>
      <c r="L137" s="8" t="s">
        <v>323</v>
      </c>
      <c r="M137" s="8" t="s">
        <v>329</v>
      </c>
      <c r="N137" s="8" t="s">
        <v>70</v>
      </c>
      <c r="O137" s="8" t="s">
        <v>70</v>
      </c>
    </row>
    <row r="138" spans="1:15">
      <c r="A138" s="8" t="s">
        <v>128</v>
      </c>
      <c r="B138" s="8" t="s">
        <v>170</v>
      </c>
      <c r="C138" s="8" t="s">
        <v>158</v>
      </c>
      <c r="D138" s="8" t="s">
        <v>159</v>
      </c>
      <c r="E138" s="8" t="s">
        <v>32</v>
      </c>
      <c r="F138" s="8" t="s">
        <v>371</v>
      </c>
      <c r="G138" s="8" t="s">
        <v>315</v>
      </c>
      <c r="H138" s="8" t="s">
        <v>70</v>
      </c>
      <c r="I138" s="8" t="s">
        <v>316</v>
      </c>
      <c r="J138" s="8" t="s">
        <v>432</v>
      </c>
      <c r="K138" s="8" t="s">
        <v>317</v>
      </c>
      <c r="L138" s="8" t="s">
        <v>323</v>
      </c>
      <c r="M138" s="8" t="s">
        <v>329</v>
      </c>
      <c r="N138" s="8" t="s">
        <v>70</v>
      </c>
      <c r="O138" s="8" t="s">
        <v>70</v>
      </c>
    </row>
    <row r="139" spans="1:15">
      <c r="A139" s="8" t="s">
        <v>64</v>
      </c>
      <c r="B139" s="8" t="s">
        <v>171</v>
      </c>
      <c r="C139" s="8" t="s">
        <v>158</v>
      </c>
      <c r="D139" s="8" t="s">
        <v>159</v>
      </c>
      <c r="E139" s="8" t="s">
        <v>33</v>
      </c>
      <c r="F139" s="8" t="s">
        <v>371</v>
      </c>
      <c r="G139" s="8" t="s">
        <v>315</v>
      </c>
      <c r="H139" s="8" t="s">
        <v>70</v>
      </c>
      <c r="I139" s="8" t="s">
        <v>316</v>
      </c>
      <c r="J139" s="8" t="s">
        <v>432</v>
      </c>
      <c r="K139" s="8" t="s">
        <v>317</v>
      </c>
      <c r="L139" s="8" t="s">
        <v>323</v>
      </c>
      <c r="M139" s="8" t="s">
        <v>330</v>
      </c>
      <c r="N139" s="8" t="s">
        <v>70</v>
      </c>
      <c r="O139" s="8" t="s">
        <v>70</v>
      </c>
    </row>
    <row r="140" spans="1:15">
      <c r="A140" s="8" t="s">
        <v>90</v>
      </c>
      <c r="B140" s="8" t="s">
        <v>91</v>
      </c>
      <c r="C140" s="8" t="s">
        <v>158</v>
      </c>
      <c r="D140" s="8" t="s">
        <v>159</v>
      </c>
      <c r="E140" s="8" t="s">
        <v>33</v>
      </c>
      <c r="F140" s="8" t="s">
        <v>371</v>
      </c>
      <c r="G140" s="8" t="s">
        <v>315</v>
      </c>
      <c r="H140" s="8" t="s">
        <v>70</v>
      </c>
      <c r="I140" s="8" t="s">
        <v>316</v>
      </c>
      <c r="J140" s="8" t="s">
        <v>432</v>
      </c>
      <c r="K140" s="8" t="s">
        <v>317</v>
      </c>
      <c r="L140" s="8" t="s">
        <v>323</v>
      </c>
      <c r="M140" s="8" t="s">
        <v>330</v>
      </c>
      <c r="N140" s="8" t="s">
        <v>70</v>
      </c>
      <c r="O140" s="8" t="s">
        <v>70</v>
      </c>
    </row>
    <row r="141" spans="1:15" ht="30">
      <c r="A141" s="8" t="s">
        <v>614</v>
      </c>
      <c r="B141" s="11" t="s">
        <v>615</v>
      </c>
      <c r="C141" s="8" t="s">
        <v>158</v>
      </c>
      <c r="D141" s="8" t="s">
        <v>159</v>
      </c>
      <c r="E141" s="8" t="s">
        <v>33</v>
      </c>
      <c r="F141" s="8" t="s">
        <v>371</v>
      </c>
      <c r="G141" s="8" t="s">
        <v>315</v>
      </c>
      <c r="H141" s="8" t="s">
        <v>70</v>
      </c>
      <c r="I141" s="8" t="s">
        <v>316</v>
      </c>
      <c r="J141" s="8" t="s">
        <v>432</v>
      </c>
      <c r="K141" s="8" t="s">
        <v>317</v>
      </c>
      <c r="L141" s="8" t="s">
        <v>323</v>
      </c>
      <c r="M141" s="8" t="s">
        <v>330</v>
      </c>
      <c r="N141" s="8" t="s">
        <v>70</v>
      </c>
      <c r="O141" s="8" t="s">
        <v>70</v>
      </c>
    </row>
    <row r="142" spans="1:15">
      <c r="A142" s="8" t="s">
        <v>65</v>
      </c>
      <c r="B142" s="8" t="s">
        <v>172</v>
      </c>
      <c r="C142" s="8" t="s">
        <v>158</v>
      </c>
      <c r="D142" s="8" t="s">
        <v>159</v>
      </c>
      <c r="E142" s="8" t="s">
        <v>33</v>
      </c>
      <c r="F142" s="8" t="s">
        <v>371</v>
      </c>
      <c r="G142" s="8" t="s">
        <v>315</v>
      </c>
      <c r="H142" s="8" t="s">
        <v>70</v>
      </c>
      <c r="I142" s="8" t="s">
        <v>316</v>
      </c>
      <c r="J142" s="8" t="s">
        <v>432</v>
      </c>
      <c r="K142" s="8" t="s">
        <v>317</v>
      </c>
      <c r="L142" s="8" t="s">
        <v>323</v>
      </c>
      <c r="M142" s="8" t="s">
        <v>330</v>
      </c>
      <c r="N142" s="8" t="s">
        <v>70</v>
      </c>
      <c r="O142" s="8" t="s">
        <v>70</v>
      </c>
    </row>
    <row r="143" spans="1:15">
      <c r="A143" s="8" t="s">
        <v>49</v>
      </c>
      <c r="B143" s="8" t="s">
        <v>142</v>
      </c>
      <c r="C143" s="8" t="s">
        <v>158</v>
      </c>
      <c r="D143" s="8" t="s">
        <v>159</v>
      </c>
      <c r="E143" s="8" t="s">
        <v>33</v>
      </c>
      <c r="F143" s="8" t="s">
        <v>371</v>
      </c>
      <c r="G143" s="8" t="s">
        <v>315</v>
      </c>
      <c r="H143" s="8" t="s">
        <v>70</v>
      </c>
      <c r="I143" s="8" t="s">
        <v>316</v>
      </c>
      <c r="J143" s="8" t="s">
        <v>432</v>
      </c>
      <c r="K143" s="8" t="s">
        <v>317</v>
      </c>
      <c r="L143" s="8" t="s">
        <v>323</v>
      </c>
      <c r="M143" s="8" t="s">
        <v>330</v>
      </c>
      <c r="N143" s="8" t="s">
        <v>70</v>
      </c>
      <c r="O143" s="8" t="s">
        <v>70</v>
      </c>
    </row>
    <row r="144" spans="1:15">
      <c r="A144" s="8" t="s">
        <v>215</v>
      </c>
      <c r="B144" s="8" t="s">
        <v>233</v>
      </c>
      <c r="C144" s="8" t="s">
        <v>158</v>
      </c>
      <c r="D144" s="8" t="s">
        <v>159</v>
      </c>
      <c r="E144" s="8" t="s">
        <v>33</v>
      </c>
      <c r="F144" s="8" t="s">
        <v>371</v>
      </c>
      <c r="G144" s="8" t="s">
        <v>315</v>
      </c>
      <c r="H144" s="8" t="s">
        <v>70</v>
      </c>
      <c r="I144" s="8" t="s">
        <v>316</v>
      </c>
      <c r="J144" s="8" t="s">
        <v>432</v>
      </c>
      <c r="K144" s="8" t="s">
        <v>317</v>
      </c>
      <c r="L144" s="8" t="s">
        <v>323</v>
      </c>
      <c r="M144" s="8" t="s">
        <v>330</v>
      </c>
      <c r="N144" s="8" t="s">
        <v>70</v>
      </c>
      <c r="O144" s="8" t="s">
        <v>70</v>
      </c>
    </row>
    <row r="145" spans="1:15">
      <c r="A145" s="8" t="s">
        <v>98</v>
      </c>
      <c r="B145" s="8" t="s">
        <v>99</v>
      </c>
      <c r="C145" s="8" t="s">
        <v>158</v>
      </c>
      <c r="D145" s="8" t="s">
        <v>159</v>
      </c>
      <c r="E145" s="8" t="s">
        <v>33</v>
      </c>
      <c r="F145" s="8" t="s">
        <v>371</v>
      </c>
      <c r="G145" s="8" t="s">
        <v>315</v>
      </c>
      <c r="H145" s="8" t="s">
        <v>70</v>
      </c>
      <c r="I145" s="8" t="s">
        <v>316</v>
      </c>
      <c r="J145" s="8" t="s">
        <v>432</v>
      </c>
      <c r="K145" s="8" t="s">
        <v>317</v>
      </c>
      <c r="L145" s="8" t="s">
        <v>323</v>
      </c>
      <c r="M145" s="8" t="s">
        <v>330</v>
      </c>
      <c r="N145" s="8" t="s">
        <v>70</v>
      </c>
      <c r="O145" s="8" t="s">
        <v>70</v>
      </c>
    </row>
    <row r="146" spans="1:15">
      <c r="A146" s="8" t="s">
        <v>50</v>
      </c>
      <c r="B146" s="8" t="s">
        <v>112</v>
      </c>
      <c r="C146" s="8" t="s">
        <v>158</v>
      </c>
      <c r="D146" s="8" t="s">
        <v>159</v>
      </c>
      <c r="E146" s="8" t="s">
        <v>33</v>
      </c>
      <c r="F146" s="8" t="s">
        <v>371</v>
      </c>
      <c r="G146" s="8" t="s">
        <v>315</v>
      </c>
      <c r="H146" s="8" t="s">
        <v>70</v>
      </c>
      <c r="I146" s="8" t="s">
        <v>316</v>
      </c>
      <c r="J146" s="8" t="s">
        <v>432</v>
      </c>
      <c r="K146" s="8" t="s">
        <v>317</v>
      </c>
      <c r="L146" s="8" t="s">
        <v>323</v>
      </c>
      <c r="M146" s="8" t="s">
        <v>330</v>
      </c>
      <c r="N146" s="8" t="s">
        <v>70</v>
      </c>
      <c r="O146" s="8" t="s">
        <v>70</v>
      </c>
    </row>
    <row r="147" spans="1:15">
      <c r="A147" s="8" t="s">
        <v>51</v>
      </c>
      <c r="B147" s="8" t="s">
        <v>100</v>
      </c>
      <c r="C147" s="8" t="s">
        <v>158</v>
      </c>
      <c r="D147" s="8" t="s">
        <v>159</v>
      </c>
      <c r="E147" s="8" t="s">
        <v>33</v>
      </c>
      <c r="F147" s="8" t="s">
        <v>371</v>
      </c>
      <c r="G147" s="8" t="s">
        <v>315</v>
      </c>
      <c r="H147" s="8" t="s">
        <v>70</v>
      </c>
      <c r="I147" s="8" t="s">
        <v>316</v>
      </c>
      <c r="J147" s="8" t="s">
        <v>432</v>
      </c>
      <c r="K147" s="8" t="s">
        <v>317</v>
      </c>
      <c r="L147" s="8" t="s">
        <v>323</v>
      </c>
      <c r="M147" s="8" t="s">
        <v>330</v>
      </c>
      <c r="N147" s="8" t="s">
        <v>70</v>
      </c>
      <c r="O147" s="8" t="s">
        <v>70</v>
      </c>
    </row>
    <row r="148" spans="1:15">
      <c r="A148" s="8" t="s">
        <v>86</v>
      </c>
      <c r="B148" s="8" t="s">
        <v>87</v>
      </c>
      <c r="C148" s="8" t="s">
        <v>158</v>
      </c>
      <c r="D148" s="8" t="s">
        <v>159</v>
      </c>
      <c r="E148" s="8" t="s">
        <v>33</v>
      </c>
      <c r="F148" s="8" t="s">
        <v>371</v>
      </c>
      <c r="G148" s="8" t="s">
        <v>315</v>
      </c>
      <c r="H148" s="8" t="s">
        <v>70</v>
      </c>
      <c r="I148" s="8" t="s">
        <v>316</v>
      </c>
      <c r="J148" s="8" t="s">
        <v>432</v>
      </c>
      <c r="K148" s="8" t="s">
        <v>317</v>
      </c>
      <c r="L148" s="8" t="s">
        <v>323</v>
      </c>
      <c r="M148" s="8" t="s">
        <v>330</v>
      </c>
      <c r="N148" s="8" t="s">
        <v>70</v>
      </c>
      <c r="O148" s="8" t="s">
        <v>70</v>
      </c>
    </row>
    <row r="149" spans="1:15">
      <c r="A149" s="8" t="s">
        <v>24</v>
      </c>
      <c r="B149" s="8" t="s">
        <v>28</v>
      </c>
      <c r="C149" s="8" t="s">
        <v>158</v>
      </c>
      <c r="D149" s="8" t="s">
        <v>159</v>
      </c>
      <c r="E149" s="8" t="s">
        <v>33</v>
      </c>
      <c r="F149" s="8" t="s">
        <v>371</v>
      </c>
      <c r="G149" s="8" t="s">
        <v>315</v>
      </c>
      <c r="H149" s="8" t="s">
        <v>70</v>
      </c>
      <c r="I149" s="8" t="s">
        <v>316</v>
      </c>
      <c r="J149" s="8" t="s">
        <v>432</v>
      </c>
      <c r="K149" s="8" t="s">
        <v>317</v>
      </c>
      <c r="L149" s="8" t="s">
        <v>323</v>
      </c>
      <c r="M149" s="8" t="s">
        <v>330</v>
      </c>
      <c r="N149" s="8" t="s">
        <v>70</v>
      </c>
      <c r="O149" s="8" t="s">
        <v>70</v>
      </c>
    </row>
    <row r="150" spans="1:15">
      <c r="A150" s="8" t="s">
        <v>107</v>
      </c>
      <c r="B150" s="8" t="s">
        <v>108</v>
      </c>
      <c r="C150" s="8" t="s">
        <v>158</v>
      </c>
      <c r="D150" s="8" t="s">
        <v>159</v>
      </c>
      <c r="E150" s="8" t="s">
        <v>33</v>
      </c>
      <c r="F150" s="8" t="s">
        <v>371</v>
      </c>
      <c r="G150" s="8" t="s">
        <v>315</v>
      </c>
      <c r="H150" s="8" t="s">
        <v>70</v>
      </c>
      <c r="I150" s="8" t="s">
        <v>316</v>
      </c>
      <c r="J150" s="8" t="s">
        <v>432</v>
      </c>
      <c r="K150" s="8" t="s">
        <v>317</v>
      </c>
      <c r="L150" s="8" t="s">
        <v>323</v>
      </c>
      <c r="M150" s="8" t="s">
        <v>330</v>
      </c>
      <c r="N150" s="8" t="s">
        <v>70</v>
      </c>
      <c r="O150" s="8" t="s">
        <v>70</v>
      </c>
    </row>
    <row r="151" spans="1:15">
      <c r="A151" s="8" t="s">
        <v>93</v>
      </c>
      <c r="B151" s="8" t="s">
        <v>94</v>
      </c>
      <c r="C151" s="8" t="s">
        <v>158</v>
      </c>
      <c r="D151" s="8" t="s">
        <v>159</v>
      </c>
      <c r="E151" s="8" t="s">
        <v>33</v>
      </c>
      <c r="F151" s="8" t="s">
        <v>371</v>
      </c>
      <c r="G151" s="8" t="s">
        <v>315</v>
      </c>
      <c r="H151" s="8" t="s">
        <v>70</v>
      </c>
      <c r="I151" s="8" t="s">
        <v>316</v>
      </c>
      <c r="J151" s="8" t="s">
        <v>432</v>
      </c>
      <c r="K151" s="8" t="s">
        <v>317</v>
      </c>
      <c r="L151" s="8" t="s">
        <v>323</v>
      </c>
      <c r="M151" s="8" t="s">
        <v>330</v>
      </c>
      <c r="N151" s="8" t="s">
        <v>70</v>
      </c>
      <c r="O151" s="8" t="s">
        <v>70</v>
      </c>
    </row>
    <row r="152" spans="1:15">
      <c r="A152" s="8" t="s">
        <v>52</v>
      </c>
      <c r="B152" s="8" t="s">
        <v>113</v>
      </c>
      <c r="C152" s="8" t="s">
        <v>158</v>
      </c>
      <c r="D152" s="8" t="s">
        <v>159</v>
      </c>
      <c r="E152" s="8" t="s">
        <v>33</v>
      </c>
      <c r="F152" s="8" t="s">
        <v>371</v>
      </c>
      <c r="G152" s="8" t="s">
        <v>315</v>
      </c>
      <c r="H152" s="8" t="s">
        <v>70</v>
      </c>
      <c r="I152" s="8" t="s">
        <v>316</v>
      </c>
      <c r="J152" s="8" t="s">
        <v>432</v>
      </c>
      <c r="K152" s="8" t="s">
        <v>317</v>
      </c>
      <c r="L152" s="8" t="s">
        <v>323</v>
      </c>
      <c r="M152" s="8" t="s">
        <v>330</v>
      </c>
      <c r="N152" s="8" t="s">
        <v>70</v>
      </c>
      <c r="O152" s="8" t="s">
        <v>70</v>
      </c>
    </row>
    <row r="153" spans="1:15">
      <c r="A153" s="8" t="s">
        <v>88</v>
      </c>
      <c r="B153" s="8" t="s">
        <v>89</v>
      </c>
      <c r="C153" s="8" t="s">
        <v>158</v>
      </c>
      <c r="D153" s="8" t="s">
        <v>159</v>
      </c>
      <c r="E153" s="8" t="s">
        <v>33</v>
      </c>
      <c r="F153" s="8" t="s">
        <v>371</v>
      </c>
      <c r="G153" s="8" t="s">
        <v>315</v>
      </c>
      <c r="H153" s="8" t="s">
        <v>70</v>
      </c>
      <c r="I153" s="8" t="s">
        <v>316</v>
      </c>
      <c r="J153" s="8" t="s">
        <v>432</v>
      </c>
      <c r="K153" s="8" t="s">
        <v>317</v>
      </c>
      <c r="L153" s="8" t="s">
        <v>323</v>
      </c>
      <c r="M153" s="8" t="s">
        <v>330</v>
      </c>
      <c r="N153" s="8" t="s">
        <v>70</v>
      </c>
      <c r="O153" s="8" t="s">
        <v>70</v>
      </c>
    </row>
    <row r="154" spans="1:15">
      <c r="A154" s="8" t="s">
        <v>53</v>
      </c>
      <c r="B154" s="8" t="s">
        <v>82</v>
      </c>
      <c r="C154" s="8" t="s">
        <v>158</v>
      </c>
      <c r="D154" s="8" t="s">
        <v>159</v>
      </c>
      <c r="E154" s="8" t="s">
        <v>33</v>
      </c>
      <c r="F154" s="8" t="s">
        <v>371</v>
      </c>
      <c r="G154" s="8" t="s">
        <v>315</v>
      </c>
      <c r="H154" s="8" t="s">
        <v>70</v>
      </c>
      <c r="I154" s="8" t="s">
        <v>316</v>
      </c>
      <c r="J154" s="8" t="s">
        <v>432</v>
      </c>
      <c r="K154" s="8" t="s">
        <v>317</v>
      </c>
      <c r="L154" s="8" t="s">
        <v>323</v>
      </c>
      <c r="M154" s="8" t="s">
        <v>330</v>
      </c>
      <c r="N154" s="8" t="s">
        <v>70</v>
      </c>
      <c r="O154" s="8" t="s">
        <v>70</v>
      </c>
    </row>
    <row r="155" spans="1:15">
      <c r="A155" s="8" t="s">
        <v>109</v>
      </c>
      <c r="B155" s="8" t="s">
        <v>110</v>
      </c>
      <c r="C155" s="8" t="s">
        <v>158</v>
      </c>
      <c r="D155" s="8" t="s">
        <v>159</v>
      </c>
      <c r="E155" s="8" t="s">
        <v>33</v>
      </c>
      <c r="F155" s="8" t="s">
        <v>371</v>
      </c>
      <c r="G155" s="8" t="s">
        <v>315</v>
      </c>
      <c r="H155" s="8" t="s">
        <v>70</v>
      </c>
      <c r="I155" s="8" t="s">
        <v>316</v>
      </c>
      <c r="J155" s="8" t="s">
        <v>432</v>
      </c>
      <c r="K155" s="8" t="s">
        <v>317</v>
      </c>
      <c r="L155" s="8" t="s">
        <v>323</v>
      </c>
      <c r="M155" s="8" t="s">
        <v>330</v>
      </c>
      <c r="N155" s="8" t="s">
        <v>70</v>
      </c>
      <c r="O155" s="8" t="s">
        <v>70</v>
      </c>
    </row>
    <row r="156" spans="1:15">
      <c r="A156" s="8" t="s">
        <v>66</v>
      </c>
      <c r="B156" s="8" t="s">
        <v>97</v>
      </c>
      <c r="C156" s="8" t="s">
        <v>158</v>
      </c>
      <c r="D156" s="8" t="s">
        <v>159</v>
      </c>
      <c r="E156" s="8" t="s">
        <v>33</v>
      </c>
      <c r="F156" s="8" t="s">
        <v>371</v>
      </c>
      <c r="G156" s="8" t="s">
        <v>315</v>
      </c>
      <c r="H156" s="8" t="s">
        <v>70</v>
      </c>
      <c r="I156" s="8" t="s">
        <v>316</v>
      </c>
      <c r="J156" s="8" t="s">
        <v>432</v>
      </c>
      <c r="K156" s="8" t="s">
        <v>317</v>
      </c>
      <c r="L156" s="8" t="s">
        <v>323</v>
      </c>
      <c r="M156" s="8" t="s">
        <v>330</v>
      </c>
      <c r="N156" s="8" t="s">
        <v>70</v>
      </c>
      <c r="O156" s="8" t="s">
        <v>70</v>
      </c>
    </row>
    <row r="157" spans="1:15">
      <c r="A157" s="8" t="s">
        <v>339</v>
      </c>
      <c r="B157" s="8" t="s">
        <v>361</v>
      </c>
      <c r="C157" s="8" t="s">
        <v>158</v>
      </c>
      <c r="D157" s="8" t="s">
        <v>159</v>
      </c>
      <c r="E157" s="8" t="s">
        <v>33</v>
      </c>
      <c r="F157" s="8" t="s">
        <v>371</v>
      </c>
      <c r="G157" s="8" t="s">
        <v>315</v>
      </c>
      <c r="H157" s="8" t="s">
        <v>70</v>
      </c>
      <c r="I157" s="8" t="s">
        <v>316</v>
      </c>
      <c r="J157" s="8" t="s">
        <v>432</v>
      </c>
      <c r="K157" s="8" t="s">
        <v>317</v>
      </c>
      <c r="L157" s="8" t="s">
        <v>323</v>
      </c>
      <c r="M157" s="8" t="s">
        <v>331</v>
      </c>
      <c r="N157" s="8" t="s">
        <v>70</v>
      </c>
      <c r="O157" s="8" t="s">
        <v>70</v>
      </c>
    </row>
    <row r="158" spans="1:15">
      <c r="A158" s="8" t="s">
        <v>54</v>
      </c>
      <c r="B158" s="8" t="s">
        <v>173</v>
      </c>
      <c r="C158" s="8" t="s">
        <v>158</v>
      </c>
      <c r="D158" s="8" t="s">
        <v>159</v>
      </c>
      <c r="E158" s="8" t="s">
        <v>33</v>
      </c>
      <c r="F158" s="8" t="s">
        <v>371</v>
      </c>
      <c r="G158" s="8" t="s">
        <v>315</v>
      </c>
      <c r="H158" s="8" t="s">
        <v>70</v>
      </c>
      <c r="I158" s="8" t="s">
        <v>316</v>
      </c>
      <c r="J158" s="8" t="s">
        <v>432</v>
      </c>
      <c r="K158" s="8" t="s">
        <v>317</v>
      </c>
      <c r="L158" s="8" t="s">
        <v>323</v>
      </c>
      <c r="M158" s="8" t="s">
        <v>331</v>
      </c>
      <c r="N158" s="8" t="s">
        <v>70</v>
      </c>
      <c r="O158" s="8" t="s">
        <v>70</v>
      </c>
    </row>
    <row r="159" spans="1:15" ht="30">
      <c r="A159" s="8" t="s">
        <v>340</v>
      </c>
      <c r="B159" s="11" t="s">
        <v>362</v>
      </c>
      <c r="C159" s="8" t="s">
        <v>158</v>
      </c>
      <c r="D159" s="8" t="s">
        <v>159</v>
      </c>
      <c r="E159" s="8" t="s">
        <v>33</v>
      </c>
      <c r="F159" s="8" t="s">
        <v>371</v>
      </c>
      <c r="G159" s="8" t="s">
        <v>315</v>
      </c>
      <c r="H159" s="8" t="s">
        <v>70</v>
      </c>
      <c r="I159" s="8" t="s">
        <v>316</v>
      </c>
      <c r="J159" s="8" t="s">
        <v>432</v>
      </c>
      <c r="K159" s="8" t="s">
        <v>317</v>
      </c>
      <c r="L159" s="8" t="s">
        <v>323</v>
      </c>
      <c r="M159" s="8" t="s">
        <v>331</v>
      </c>
      <c r="N159" s="8" t="s">
        <v>70</v>
      </c>
      <c r="O159" s="8" t="s">
        <v>70</v>
      </c>
    </row>
    <row r="160" spans="1:15">
      <c r="A160" s="8" t="s">
        <v>55</v>
      </c>
      <c r="B160" s="8" t="s">
        <v>174</v>
      </c>
      <c r="C160" s="8" t="s">
        <v>158</v>
      </c>
      <c r="D160" s="8" t="s">
        <v>159</v>
      </c>
      <c r="E160" s="8" t="s">
        <v>33</v>
      </c>
      <c r="F160" s="8" t="s">
        <v>371</v>
      </c>
      <c r="G160" s="8" t="s">
        <v>315</v>
      </c>
      <c r="H160" s="8" t="s">
        <v>70</v>
      </c>
      <c r="I160" s="8" t="s">
        <v>316</v>
      </c>
      <c r="J160" s="8" t="s">
        <v>432</v>
      </c>
      <c r="K160" s="8" t="s">
        <v>317</v>
      </c>
      <c r="L160" s="8" t="s">
        <v>323</v>
      </c>
      <c r="M160" s="8" t="s">
        <v>331</v>
      </c>
      <c r="N160" s="8" t="s">
        <v>70</v>
      </c>
      <c r="O160" s="8" t="s">
        <v>70</v>
      </c>
    </row>
    <row r="161" spans="1:15">
      <c r="A161" s="8" t="s">
        <v>21</v>
      </c>
      <c r="B161" s="8" t="s">
        <v>29</v>
      </c>
      <c r="C161" s="8" t="s">
        <v>158</v>
      </c>
      <c r="D161" s="8" t="s">
        <v>159</v>
      </c>
      <c r="E161" s="8" t="s">
        <v>33</v>
      </c>
      <c r="F161" s="8" t="s">
        <v>371</v>
      </c>
      <c r="G161" s="8" t="s">
        <v>315</v>
      </c>
      <c r="H161" s="8" t="s">
        <v>70</v>
      </c>
      <c r="I161" s="8" t="s">
        <v>316</v>
      </c>
      <c r="J161" s="8" t="s">
        <v>432</v>
      </c>
      <c r="K161" s="8" t="s">
        <v>317</v>
      </c>
      <c r="L161" s="8" t="s">
        <v>323</v>
      </c>
      <c r="M161" s="8" t="s">
        <v>331</v>
      </c>
      <c r="N161" s="8" t="s">
        <v>70</v>
      </c>
      <c r="O161" s="8" t="s">
        <v>70</v>
      </c>
    </row>
    <row r="162" spans="1:15">
      <c r="A162" s="8" t="s">
        <v>67</v>
      </c>
      <c r="B162" s="8" t="s">
        <v>175</v>
      </c>
      <c r="C162" s="8" t="s">
        <v>158</v>
      </c>
      <c r="D162" s="8" t="s">
        <v>159</v>
      </c>
      <c r="E162" s="8" t="s">
        <v>33</v>
      </c>
      <c r="F162" s="8" t="s">
        <v>371</v>
      </c>
      <c r="G162" s="8" t="s">
        <v>315</v>
      </c>
      <c r="H162" s="8" t="s">
        <v>70</v>
      </c>
      <c r="I162" s="8" t="s">
        <v>316</v>
      </c>
      <c r="J162" s="8" t="s">
        <v>432</v>
      </c>
      <c r="K162" s="8" t="s">
        <v>317</v>
      </c>
      <c r="L162" s="8" t="s">
        <v>323</v>
      </c>
      <c r="M162" s="8" t="s">
        <v>331</v>
      </c>
      <c r="N162" s="8" t="s">
        <v>70</v>
      </c>
      <c r="O162" s="8" t="s">
        <v>70</v>
      </c>
    </row>
    <row r="163" spans="1:15">
      <c r="A163" s="8" t="s">
        <v>68</v>
      </c>
      <c r="B163" s="8" t="s">
        <v>141</v>
      </c>
      <c r="C163" s="8" t="s">
        <v>158</v>
      </c>
      <c r="D163" s="8" t="s">
        <v>159</v>
      </c>
      <c r="E163" s="8" t="s">
        <v>33</v>
      </c>
      <c r="F163" s="8" t="s">
        <v>371</v>
      </c>
      <c r="G163" s="8" t="s">
        <v>315</v>
      </c>
      <c r="H163" s="8" t="s">
        <v>70</v>
      </c>
      <c r="I163" s="8" t="s">
        <v>316</v>
      </c>
      <c r="J163" s="8" t="s">
        <v>432</v>
      </c>
      <c r="K163" s="8" t="s">
        <v>317</v>
      </c>
      <c r="L163" s="8" t="s">
        <v>323</v>
      </c>
      <c r="M163" s="8" t="s">
        <v>331</v>
      </c>
      <c r="N163" s="8" t="s">
        <v>70</v>
      </c>
      <c r="O163" s="8" t="s">
        <v>70</v>
      </c>
    </row>
    <row r="164" spans="1:15">
      <c r="A164" s="8" t="s">
        <v>56</v>
      </c>
      <c r="B164" s="8" t="s">
        <v>83</v>
      </c>
      <c r="C164" s="8" t="s">
        <v>158</v>
      </c>
      <c r="D164" s="8" t="s">
        <v>159</v>
      </c>
      <c r="E164" s="8" t="s">
        <v>33</v>
      </c>
      <c r="F164" s="8" t="s">
        <v>371</v>
      </c>
      <c r="G164" s="8" t="s">
        <v>315</v>
      </c>
      <c r="H164" s="8" t="s">
        <v>70</v>
      </c>
      <c r="I164" s="8" t="s">
        <v>316</v>
      </c>
      <c r="J164" s="8" t="s">
        <v>432</v>
      </c>
      <c r="K164" s="8" t="s">
        <v>317</v>
      </c>
      <c r="L164" s="8" t="s">
        <v>323</v>
      </c>
      <c r="M164" s="8" t="s">
        <v>331</v>
      </c>
      <c r="N164" s="8" t="s">
        <v>70</v>
      </c>
      <c r="O164" s="8" t="s">
        <v>70</v>
      </c>
    </row>
    <row r="165" spans="1:15">
      <c r="A165" s="8" t="s">
        <v>57</v>
      </c>
      <c r="B165" s="8" t="s">
        <v>84</v>
      </c>
      <c r="C165" s="8" t="s">
        <v>158</v>
      </c>
      <c r="D165" s="8" t="s">
        <v>159</v>
      </c>
      <c r="E165" s="8" t="s">
        <v>33</v>
      </c>
      <c r="F165" s="8" t="s">
        <v>371</v>
      </c>
      <c r="G165" s="8" t="s">
        <v>315</v>
      </c>
      <c r="H165" s="8" t="s">
        <v>70</v>
      </c>
      <c r="I165" s="8" t="s">
        <v>316</v>
      </c>
      <c r="J165" s="8" t="s">
        <v>432</v>
      </c>
      <c r="K165" s="8" t="s">
        <v>317</v>
      </c>
      <c r="L165" s="8" t="s">
        <v>323</v>
      </c>
      <c r="M165" s="8" t="s">
        <v>331</v>
      </c>
      <c r="N165" s="8" t="s">
        <v>70</v>
      </c>
      <c r="O165" s="8" t="s">
        <v>70</v>
      </c>
    </row>
    <row r="166" spans="1:15">
      <c r="A166" s="8" t="s">
        <v>421</v>
      </c>
      <c r="B166" s="8" t="s">
        <v>422</v>
      </c>
      <c r="C166" s="8" t="s">
        <v>158</v>
      </c>
      <c r="D166" s="8" t="s">
        <v>159</v>
      </c>
      <c r="E166" s="8" t="s">
        <v>33</v>
      </c>
      <c r="F166" s="8" t="s">
        <v>371</v>
      </c>
      <c r="G166" s="8" t="s">
        <v>315</v>
      </c>
      <c r="H166" s="8" t="s">
        <v>70</v>
      </c>
      <c r="I166" s="8" t="s">
        <v>316</v>
      </c>
      <c r="J166" s="8" t="s">
        <v>432</v>
      </c>
      <c r="K166" s="8" t="s">
        <v>317</v>
      </c>
      <c r="L166" s="8" t="s">
        <v>323</v>
      </c>
      <c r="M166" s="8" t="s">
        <v>332</v>
      </c>
      <c r="N166" s="8" t="s">
        <v>70</v>
      </c>
      <c r="O166" s="8" t="s">
        <v>70</v>
      </c>
    </row>
    <row r="167" spans="1:15">
      <c r="A167" s="8" t="s">
        <v>616</v>
      </c>
      <c r="B167" s="8" t="s">
        <v>617</v>
      </c>
      <c r="C167" s="8" t="s">
        <v>158</v>
      </c>
      <c r="D167" s="8" t="s">
        <v>159</v>
      </c>
      <c r="E167" s="8" t="s">
        <v>33</v>
      </c>
      <c r="F167" s="8" t="s">
        <v>371</v>
      </c>
      <c r="G167" s="8" t="s">
        <v>315</v>
      </c>
      <c r="H167" s="8" t="s">
        <v>70</v>
      </c>
      <c r="I167" s="8" t="s">
        <v>316</v>
      </c>
      <c r="J167" s="8" t="s">
        <v>432</v>
      </c>
      <c r="K167" s="8" t="s">
        <v>317</v>
      </c>
      <c r="L167" s="8" t="s">
        <v>323</v>
      </c>
      <c r="M167" s="8" t="s">
        <v>332</v>
      </c>
      <c r="N167" s="8" t="s">
        <v>70</v>
      </c>
      <c r="O167" s="8" t="s">
        <v>70</v>
      </c>
    </row>
    <row r="168" spans="1:15">
      <c r="A168" s="8" t="s">
        <v>618</v>
      </c>
      <c r="B168" s="8" t="s">
        <v>619</v>
      </c>
      <c r="C168" s="8" t="s">
        <v>158</v>
      </c>
      <c r="D168" s="8" t="s">
        <v>159</v>
      </c>
      <c r="E168" s="8" t="s">
        <v>33</v>
      </c>
      <c r="F168" s="8" t="s">
        <v>371</v>
      </c>
      <c r="G168" s="8" t="s">
        <v>315</v>
      </c>
      <c r="H168" s="8" t="s">
        <v>70</v>
      </c>
      <c r="I168" s="8" t="s">
        <v>316</v>
      </c>
      <c r="J168" s="8" t="s">
        <v>432</v>
      </c>
      <c r="K168" s="8" t="s">
        <v>317</v>
      </c>
      <c r="L168" s="8" t="s">
        <v>323</v>
      </c>
      <c r="M168" s="8" t="s">
        <v>332</v>
      </c>
      <c r="N168" s="8" t="s">
        <v>70</v>
      </c>
      <c r="O168" s="8" t="s">
        <v>70</v>
      </c>
    </row>
    <row r="169" spans="1:15">
      <c r="A169" s="8" t="s">
        <v>620</v>
      </c>
      <c r="B169" s="8" t="s">
        <v>621</v>
      </c>
      <c r="C169" s="8" t="s">
        <v>158</v>
      </c>
      <c r="D169" s="8" t="s">
        <v>159</v>
      </c>
      <c r="E169" s="8" t="s">
        <v>33</v>
      </c>
      <c r="F169" s="8" t="s">
        <v>371</v>
      </c>
      <c r="G169" s="8" t="s">
        <v>315</v>
      </c>
      <c r="H169" s="8" t="s">
        <v>70</v>
      </c>
      <c r="I169" s="8" t="s">
        <v>316</v>
      </c>
      <c r="J169" s="8" t="s">
        <v>432</v>
      </c>
      <c r="K169" s="8" t="s">
        <v>317</v>
      </c>
      <c r="L169" s="8" t="s">
        <v>323</v>
      </c>
      <c r="M169" s="8" t="s">
        <v>332</v>
      </c>
      <c r="N169" s="8" t="s">
        <v>70</v>
      </c>
      <c r="O169" s="8" t="s">
        <v>70</v>
      </c>
    </row>
    <row r="170" spans="1:15">
      <c r="A170" s="8" t="s">
        <v>622</v>
      </c>
      <c r="B170" s="8" t="s">
        <v>623</v>
      </c>
      <c r="C170" s="8" t="s">
        <v>158</v>
      </c>
      <c r="D170" s="8" t="s">
        <v>159</v>
      </c>
      <c r="E170" s="8" t="s">
        <v>33</v>
      </c>
      <c r="F170" s="8" t="s">
        <v>371</v>
      </c>
      <c r="G170" s="8" t="s">
        <v>315</v>
      </c>
      <c r="H170" s="8" t="s">
        <v>70</v>
      </c>
      <c r="I170" s="8" t="s">
        <v>316</v>
      </c>
      <c r="J170" s="8" t="s">
        <v>432</v>
      </c>
      <c r="K170" s="8" t="s">
        <v>317</v>
      </c>
      <c r="L170" s="8" t="s">
        <v>323</v>
      </c>
      <c r="M170" s="8" t="s">
        <v>332</v>
      </c>
      <c r="N170" s="8" t="s">
        <v>70</v>
      </c>
      <c r="O170" s="8" t="s">
        <v>70</v>
      </c>
    </row>
    <row r="171" spans="1:15">
      <c r="A171" s="8" t="s">
        <v>624</v>
      </c>
      <c r="B171" s="8" t="s">
        <v>625</v>
      </c>
      <c r="C171" s="8" t="s">
        <v>158</v>
      </c>
      <c r="D171" s="8" t="s">
        <v>159</v>
      </c>
      <c r="E171" s="8" t="s">
        <v>33</v>
      </c>
      <c r="F171" s="8" t="s">
        <v>371</v>
      </c>
      <c r="G171" s="8" t="s">
        <v>315</v>
      </c>
      <c r="H171" s="8" t="s">
        <v>70</v>
      </c>
      <c r="I171" s="8" t="s">
        <v>316</v>
      </c>
      <c r="J171" s="8" t="s">
        <v>432</v>
      </c>
      <c r="K171" s="8" t="s">
        <v>317</v>
      </c>
      <c r="L171" s="8" t="s">
        <v>323</v>
      </c>
      <c r="M171" s="8" t="s">
        <v>332</v>
      </c>
      <c r="N171" s="8" t="s">
        <v>70</v>
      </c>
      <c r="O171" s="8" t="s">
        <v>70</v>
      </c>
    </row>
    <row r="172" spans="1:15">
      <c r="A172" s="8" t="s">
        <v>626</v>
      </c>
      <c r="B172" s="8" t="s">
        <v>627</v>
      </c>
      <c r="C172" s="8" t="s">
        <v>158</v>
      </c>
      <c r="D172" s="8" t="s">
        <v>159</v>
      </c>
      <c r="E172" s="8" t="s">
        <v>33</v>
      </c>
      <c r="F172" s="8" t="s">
        <v>371</v>
      </c>
      <c r="G172" s="8" t="s">
        <v>315</v>
      </c>
      <c r="H172" s="8" t="s">
        <v>70</v>
      </c>
      <c r="I172" s="8" t="s">
        <v>316</v>
      </c>
      <c r="J172" s="8" t="s">
        <v>432</v>
      </c>
      <c r="K172" s="8" t="s">
        <v>317</v>
      </c>
      <c r="L172" s="8" t="s">
        <v>323</v>
      </c>
      <c r="M172" s="8" t="s">
        <v>332</v>
      </c>
      <c r="N172" s="8" t="s">
        <v>70</v>
      </c>
      <c r="O172" s="8" t="s">
        <v>70</v>
      </c>
    </row>
    <row r="173" spans="1:15">
      <c r="A173" s="8" t="s">
        <v>387</v>
      </c>
      <c r="B173" s="8" t="s">
        <v>388</v>
      </c>
      <c r="C173" s="8" t="s">
        <v>158</v>
      </c>
      <c r="D173" s="8" t="s">
        <v>159</v>
      </c>
      <c r="E173" s="8" t="s">
        <v>33</v>
      </c>
      <c r="F173" s="8" t="s">
        <v>371</v>
      </c>
      <c r="G173" s="8" t="s">
        <v>315</v>
      </c>
      <c r="H173" s="8" t="s">
        <v>70</v>
      </c>
      <c r="I173" s="8" t="s">
        <v>316</v>
      </c>
      <c r="J173" s="8" t="s">
        <v>432</v>
      </c>
      <c r="K173" s="8" t="s">
        <v>317</v>
      </c>
      <c r="L173" s="8" t="s">
        <v>323</v>
      </c>
      <c r="M173" s="8" t="s">
        <v>332</v>
      </c>
      <c r="N173" s="8" t="s">
        <v>70</v>
      </c>
      <c r="O173" s="8" t="s">
        <v>70</v>
      </c>
    </row>
    <row r="174" spans="1:15">
      <c r="A174" s="8" t="s">
        <v>377</v>
      </c>
      <c r="B174" s="8" t="s">
        <v>378</v>
      </c>
      <c r="C174" s="8" t="s">
        <v>158</v>
      </c>
      <c r="D174" s="8" t="s">
        <v>159</v>
      </c>
      <c r="E174" s="8" t="s">
        <v>33</v>
      </c>
      <c r="F174" s="8" t="s">
        <v>371</v>
      </c>
      <c r="G174" s="8" t="s">
        <v>315</v>
      </c>
      <c r="H174" s="8" t="s">
        <v>70</v>
      </c>
      <c r="I174" s="8" t="s">
        <v>316</v>
      </c>
      <c r="J174" s="8" t="s">
        <v>432</v>
      </c>
      <c r="K174" s="8" t="s">
        <v>317</v>
      </c>
      <c r="L174" s="8" t="s">
        <v>323</v>
      </c>
      <c r="M174" s="8" t="s">
        <v>332</v>
      </c>
      <c r="N174" s="8" t="s">
        <v>70</v>
      </c>
      <c r="O174" s="8" t="s">
        <v>70</v>
      </c>
    </row>
    <row r="175" spans="1:15" ht="30">
      <c r="A175" s="8" t="s">
        <v>628</v>
      </c>
      <c r="B175" s="11" t="s">
        <v>629</v>
      </c>
      <c r="C175" s="8" t="s">
        <v>158</v>
      </c>
      <c r="D175" s="8" t="s">
        <v>159</v>
      </c>
      <c r="E175" s="8" t="s">
        <v>33</v>
      </c>
      <c r="F175" s="8" t="s">
        <v>371</v>
      </c>
      <c r="G175" s="8" t="s">
        <v>315</v>
      </c>
      <c r="H175" s="8" t="s">
        <v>70</v>
      </c>
      <c r="I175" s="8" t="s">
        <v>316</v>
      </c>
      <c r="J175" s="8" t="s">
        <v>432</v>
      </c>
      <c r="K175" s="8" t="s">
        <v>317</v>
      </c>
      <c r="L175" s="8" t="s">
        <v>323</v>
      </c>
      <c r="M175" s="8" t="s">
        <v>325</v>
      </c>
      <c r="N175" s="8" t="s">
        <v>70</v>
      </c>
      <c r="O175" s="8" t="s">
        <v>70</v>
      </c>
    </row>
    <row r="176" spans="1:15">
      <c r="A176" s="8" t="s">
        <v>114</v>
      </c>
      <c r="B176" s="8" t="s">
        <v>115</v>
      </c>
      <c r="C176" s="8" t="s">
        <v>431</v>
      </c>
      <c r="D176" s="8" t="s">
        <v>159</v>
      </c>
      <c r="E176" s="8" t="s">
        <v>31</v>
      </c>
      <c r="F176" s="8" t="s">
        <v>371</v>
      </c>
      <c r="G176" s="8" t="s">
        <v>315</v>
      </c>
      <c r="H176" s="8" t="s">
        <v>70</v>
      </c>
      <c r="I176" s="8" t="s">
        <v>316</v>
      </c>
      <c r="J176" s="8" t="s">
        <v>432</v>
      </c>
      <c r="K176" s="8" t="s">
        <v>317</v>
      </c>
      <c r="L176" s="8" t="s">
        <v>323</v>
      </c>
      <c r="M176" s="8" t="s">
        <v>294</v>
      </c>
      <c r="N176" s="8" t="s">
        <v>70</v>
      </c>
      <c r="O176" s="8" t="s">
        <v>70</v>
      </c>
    </row>
    <row r="177" spans="1:15" ht="30">
      <c r="A177" s="8" t="s">
        <v>630</v>
      </c>
      <c r="B177" s="11" t="s">
        <v>631</v>
      </c>
      <c r="C177" s="8" t="s">
        <v>431</v>
      </c>
      <c r="D177" s="8" t="s">
        <v>159</v>
      </c>
      <c r="E177" s="8" t="s">
        <v>31</v>
      </c>
      <c r="F177" s="8" t="s">
        <v>371</v>
      </c>
      <c r="G177" s="8" t="s">
        <v>315</v>
      </c>
      <c r="H177" s="8" t="s">
        <v>70</v>
      </c>
      <c r="I177" s="8" t="s">
        <v>316</v>
      </c>
      <c r="J177" s="8" t="s">
        <v>432</v>
      </c>
      <c r="K177" s="8" t="s">
        <v>317</v>
      </c>
      <c r="L177" s="8" t="s">
        <v>323</v>
      </c>
      <c r="M177" s="8" t="s">
        <v>294</v>
      </c>
      <c r="N177" s="8" t="s">
        <v>70</v>
      </c>
      <c r="O177" s="8" t="s">
        <v>70</v>
      </c>
    </row>
    <row r="178" spans="1:15">
      <c r="A178" s="8" t="s">
        <v>117</v>
      </c>
      <c r="B178" s="8" t="s">
        <v>118</v>
      </c>
      <c r="C178" s="8" t="s">
        <v>431</v>
      </c>
      <c r="D178" s="8" t="s">
        <v>159</v>
      </c>
      <c r="E178" s="8" t="s">
        <v>31</v>
      </c>
      <c r="F178" s="8" t="s">
        <v>371</v>
      </c>
      <c r="G178" s="8" t="s">
        <v>315</v>
      </c>
      <c r="H178" s="8" t="s">
        <v>70</v>
      </c>
      <c r="I178" s="8" t="s">
        <v>316</v>
      </c>
      <c r="J178" s="8" t="s">
        <v>432</v>
      </c>
      <c r="K178" s="8" t="s">
        <v>317</v>
      </c>
      <c r="L178" s="8" t="s">
        <v>323</v>
      </c>
      <c r="M178" s="8" t="s">
        <v>294</v>
      </c>
      <c r="N178" s="8" t="s">
        <v>70</v>
      </c>
      <c r="O178" s="8" t="s">
        <v>70</v>
      </c>
    </row>
    <row r="179" spans="1:15">
      <c r="A179" s="8" t="s">
        <v>69</v>
      </c>
      <c r="B179" s="8" t="s">
        <v>176</v>
      </c>
      <c r="C179" s="8" t="s">
        <v>158</v>
      </c>
      <c r="D179" s="8" t="s">
        <v>159</v>
      </c>
      <c r="E179" s="8" t="s">
        <v>31</v>
      </c>
      <c r="F179" s="8" t="s">
        <v>371</v>
      </c>
      <c r="G179" s="8" t="s">
        <v>315</v>
      </c>
      <c r="H179" s="8" t="s">
        <v>70</v>
      </c>
      <c r="I179" s="8" t="s">
        <v>316</v>
      </c>
      <c r="J179" s="8" t="s">
        <v>432</v>
      </c>
      <c r="K179" s="8" t="s">
        <v>317</v>
      </c>
      <c r="L179" s="8" t="s">
        <v>323</v>
      </c>
      <c r="M179" s="8" t="s">
        <v>333</v>
      </c>
      <c r="N179" s="8" t="s">
        <v>70</v>
      </c>
      <c r="O179" s="8" t="s">
        <v>70</v>
      </c>
    </row>
    <row r="180" spans="1:15" ht="30">
      <c r="A180" s="8" t="s">
        <v>632</v>
      </c>
      <c r="B180" s="11" t="s">
        <v>633</v>
      </c>
      <c r="C180" s="8" t="s">
        <v>158</v>
      </c>
      <c r="D180" s="8" t="s">
        <v>159</v>
      </c>
      <c r="E180" s="8" t="s">
        <v>31</v>
      </c>
      <c r="F180" s="8" t="s">
        <v>371</v>
      </c>
      <c r="G180" s="8" t="s">
        <v>315</v>
      </c>
      <c r="H180" s="8" t="s">
        <v>70</v>
      </c>
      <c r="I180" s="8" t="s">
        <v>316</v>
      </c>
      <c r="J180" s="8" t="s">
        <v>432</v>
      </c>
      <c r="K180" s="8" t="s">
        <v>317</v>
      </c>
      <c r="L180" s="8" t="s">
        <v>323</v>
      </c>
      <c r="M180" s="8" t="s">
        <v>333</v>
      </c>
      <c r="N180" s="8" t="s">
        <v>70</v>
      </c>
      <c r="O180" s="8" t="s">
        <v>70</v>
      </c>
    </row>
    <row r="181" spans="1:15">
      <c r="A181" s="8" t="s">
        <v>634</v>
      </c>
      <c r="B181" s="8" t="s">
        <v>635</v>
      </c>
      <c r="C181" s="8" t="s">
        <v>158</v>
      </c>
      <c r="D181" s="8" t="s">
        <v>159</v>
      </c>
      <c r="E181" s="8" t="s">
        <v>31</v>
      </c>
      <c r="F181" s="8" t="s">
        <v>371</v>
      </c>
      <c r="G181" s="8" t="s">
        <v>315</v>
      </c>
      <c r="H181" s="8" t="s">
        <v>70</v>
      </c>
      <c r="I181" s="8" t="s">
        <v>316</v>
      </c>
      <c r="J181" s="8" t="s">
        <v>432</v>
      </c>
      <c r="K181" s="8" t="s">
        <v>317</v>
      </c>
      <c r="L181" s="8" t="s">
        <v>323</v>
      </c>
      <c r="M181" s="8" t="s">
        <v>333</v>
      </c>
      <c r="N181" s="8" t="s">
        <v>70</v>
      </c>
      <c r="O181" s="8" t="s">
        <v>70</v>
      </c>
    </row>
    <row r="182" spans="1:15">
      <c r="A182" s="8" t="s">
        <v>95</v>
      </c>
      <c r="B182" s="8" t="s">
        <v>96</v>
      </c>
      <c r="C182" s="8" t="s">
        <v>158</v>
      </c>
      <c r="D182" s="8" t="s">
        <v>159</v>
      </c>
      <c r="E182" s="8" t="s">
        <v>31</v>
      </c>
      <c r="F182" s="8" t="s">
        <v>371</v>
      </c>
      <c r="G182" s="8" t="s">
        <v>315</v>
      </c>
      <c r="H182" s="8" t="s">
        <v>70</v>
      </c>
      <c r="I182" s="8" t="s">
        <v>316</v>
      </c>
      <c r="J182" s="8" t="s">
        <v>432</v>
      </c>
      <c r="K182" s="8" t="s">
        <v>317</v>
      </c>
      <c r="L182" s="8" t="s">
        <v>323</v>
      </c>
      <c r="M182" s="8" t="s">
        <v>333</v>
      </c>
      <c r="N182" s="8" t="s">
        <v>70</v>
      </c>
      <c r="O182" s="8" t="s">
        <v>70</v>
      </c>
    </row>
    <row r="183" spans="1:15" ht="30">
      <c r="A183" s="8" t="s">
        <v>636</v>
      </c>
      <c r="B183" s="11" t="s">
        <v>637</v>
      </c>
      <c r="C183" s="8" t="s">
        <v>158</v>
      </c>
      <c r="D183" s="8" t="s">
        <v>159</v>
      </c>
      <c r="E183" s="8" t="s">
        <v>31</v>
      </c>
      <c r="F183" s="8" t="s">
        <v>371</v>
      </c>
      <c r="G183" s="8" t="s">
        <v>315</v>
      </c>
      <c r="H183" s="8" t="s">
        <v>70</v>
      </c>
      <c r="I183" s="8" t="s">
        <v>316</v>
      </c>
      <c r="J183" s="8" t="s">
        <v>432</v>
      </c>
      <c r="K183" s="8" t="s">
        <v>317</v>
      </c>
      <c r="L183" s="8" t="s">
        <v>323</v>
      </c>
      <c r="M183" s="8" t="s">
        <v>333</v>
      </c>
      <c r="N183" s="8" t="s">
        <v>70</v>
      </c>
      <c r="O183" s="8" t="s">
        <v>70</v>
      </c>
    </row>
    <row r="184" spans="1:15" ht="30">
      <c r="A184" s="8" t="s">
        <v>638</v>
      </c>
      <c r="B184" s="11" t="s">
        <v>639</v>
      </c>
      <c r="C184" s="8" t="s">
        <v>431</v>
      </c>
      <c r="D184" s="8" t="s">
        <v>159</v>
      </c>
      <c r="E184" s="8" t="s">
        <v>106</v>
      </c>
      <c r="F184" s="8" t="s">
        <v>371</v>
      </c>
      <c r="G184" s="8" t="s">
        <v>315</v>
      </c>
      <c r="H184" s="8" t="s">
        <v>70</v>
      </c>
      <c r="I184" s="8" t="s">
        <v>316</v>
      </c>
      <c r="J184" s="8" t="s">
        <v>432</v>
      </c>
      <c r="K184" s="8" t="s">
        <v>317</v>
      </c>
      <c r="L184" s="8" t="s">
        <v>323</v>
      </c>
      <c r="M184" s="8" t="s">
        <v>333</v>
      </c>
      <c r="N184" s="8" t="s">
        <v>70</v>
      </c>
      <c r="O184" s="8" t="s">
        <v>70</v>
      </c>
    </row>
    <row r="185" spans="1:15" ht="30">
      <c r="A185" s="8" t="s">
        <v>640</v>
      </c>
      <c r="B185" s="11" t="s">
        <v>641</v>
      </c>
      <c r="C185" s="8" t="s">
        <v>158</v>
      </c>
      <c r="D185" s="8" t="s">
        <v>159</v>
      </c>
      <c r="E185" s="8" t="s">
        <v>31</v>
      </c>
      <c r="F185" s="8" t="s">
        <v>371</v>
      </c>
      <c r="G185" s="8" t="s">
        <v>315</v>
      </c>
      <c r="H185" s="8" t="s">
        <v>70</v>
      </c>
      <c r="I185" s="8" t="s">
        <v>316</v>
      </c>
      <c r="J185" s="8" t="s">
        <v>432</v>
      </c>
      <c r="K185" s="8" t="s">
        <v>317</v>
      </c>
      <c r="L185" s="8" t="s">
        <v>323</v>
      </c>
      <c r="M185" s="8" t="s">
        <v>333</v>
      </c>
      <c r="N185" s="8" t="s">
        <v>70</v>
      </c>
      <c r="O185" s="8" t="s">
        <v>70</v>
      </c>
    </row>
    <row r="186" spans="1:15">
      <c r="A186" s="8" t="s">
        <v>300</v>
      </c>
      <c r="B186" s="8" t="s">
        <v>642</v>
      </c>
      <c r="C186" s="8" t="s">
        <v>158</v>
      </c>
      <c r="D186" s="8" t="s">
        <v>159</v>
      </c>
      <c r="E186" s="8" t="s">
        <v>31</v>
      </c>
      <c r="F186" s="8" t="s">
        <v>371</v>
      </c>
      <c r="G186" s="8" t="s">
        <v>315</v>
      </c>
      <c r="H186" s="8" t="s">
        <v>70</v>
      </c>
      <c r="I186" s="8" t="s">
        <v>316</v>
      </c>
      <c r="J186" s="8" t="s">
        <v>432</v>
      </c>
      <c r="K186" s="8" t="s">
        <v>317</v>
      </c>
      <c r="L186" s="8" t="s">
        <v>323</v>
      </c>
      <c r="M186" s="8" t="s">
        <v>334</v>
      </c>
      <c r="N186" s="8" t="s">
        <v>70</v>
      </c>
      <c r="O186" s="8" t="s">
        <v>70</v>
      </c>
    </row>
    <row r="187" spans="1:15">
      <c r="A187" s="8" t="s">
        <v>129</v>
      </c>
      <c r="B187" s="8" t="s">
        <v>643</v>
      </c>
      <c r="C187" s="8" t="s">
        <v>158</v>
      </c>
      <c r="D187" s="8" t="s">
        <v>159</v>
      </c>
      <c r="E187" s="8" t="s">
        <v>31</v>
      </c>
      <c r="F187" s="8" t="s">
        <v>371</v>
      </c>
      <c r="G187" s="8" t="s">
        <v>315</v>
      </c>
      <c r="H187" s="8" t="s">
        <v>70</v>
      </c>
      <c r="I187" s="8" t="s">
        <v>316</v>
      </c>
      <c r="J187" s="8" t="s">
        <v>432</v>
      </c>
      <c r="K187" s="8" t="s">
        <v>317</v>
      </c>
      <c r="L187" s="8" t="s">
        <v>323</v>
      </c>
      <c r="M187" s="8" t="s">
        <v>334</v>
      </c>
      <c r="N187" s="8" t="s">
        <v>70</v>
      </c>
      <c r="O187" s="8" t="s">
        <v>70</v>
      </c>
    </row>
    <row r="188" spans="1:15">
      <c r="A188" s="8" t="s">
        <v>301</v>
      </c>
      <c r="B188" s="8" t="s">
        <v>644</v>
      </c>
      <c r="C188" s="8" t="s">
        <v>158</v>
      </c>
      <c r="D188" s="8" t="s">
        <v>159</v>
      </c>
      <c r="E188" s="8" t="s">
        <v>31</v>
      </c>
      <c r="F188" s="8" t="s">
        <v>371</v>
      </c>
      <c r="G188" s="8" t="s">
        <v>315</v>
      </c>
      <c r="H188" s="8" t="s">
        <v>70</v>
      </c>
      <c r="I188" s="8" t="s">
        <v>316</v>
      </c>
      <c r="J188" s="8" t="s">
        <v>432</v>
      </c>
      <c r="K188" s="8" t="s">
        <v>317</v>
      </c>
      <c r="L188" s="8" t="s">
        <v>323</v>
      </c>
      <c r="M188" s="8" t="s">
        <v>334</v>
      </c>
      <c r="N188" s="8" t="s">
        <v>70</v>
      </c>
      <c r="O188" s="8" t="s">
        <v>70</v>
      </c>
    </row>
    <row r="189" spans="1:15">
      <c r="A189" s="8" t="s">
        <v>302</v>
      </c>
      <c r="B189" s="8" t="s">
        <v>645</v>
      </c>
      <c r="C189" s="8" t="s">
        <v>158</v>
      </c>
      <c r="D189" s="8" t="s">
        <v>159</v>
      </c>
      <c r="E189" s="8" t="s">
        <v>31</v>
      </c>
      <c r="F189" s="8" t="s">
        <v>371</v>
      </c>
      <c r="G189" s="8" t="s">
        <v>315</v>
      </c>
      <c r="H189" s="8" t="s">
        <v>70</v>
      </c>
      <c r="I189" s="8" t="s">
        <v>316</v>
      </c>
      <c r="J189" s="8" t="s">
        <v>432</v>
      </c>
      <c r="K189" s="8" t="s">
        <v>317</v>
      </c>
      <c r="L189" s="8" t="s">
        <v>323</v>
      </c>
      <c r="M189" s="8" t="s">
        <v>334</v>
      </c>
      <c r="N189" s="8" t="s">
        <v>70</v>
      </c>
      <c r="O189" s="8" t="s">
        <v>70</v>
      </c>
    </row>
    <row r="190" spans="1:15">
      <c r="A190" s="8" t="s">
        <v>303</v>
      </c>
      <c r="B190" s="8" t="s">
        <v>646</v>
      </c>
      <c r="C190" s="8" t="s">
        <v>158</v>
      </c>
      <c r="D190" s="8" t="s">
        <v>159</v>
      </c>
      <c r="E190" s="8" t="s">
        <v>31</v>
      </c>
      <c r="F190" s="8" t="s">
        <v>371</v>
      </c>
      <c r="G190" s="8" t="s">
        <v>315</v>
      </c>
      <c r="H190" s="8" t="s">
        <v>70</v>
      </c>
      <c r="I190" s="8" t="s">
        <v>316</v>
      </c>
      <c r="J190" s="8" t="s">
        <v>432</v>
      </c>
      <c r="K190" s="8" t="s">
        <v>317</v>
      </c>
      <c r="L190" s="8" t="s">
        <v>323</v>
      </c>
      <c r="M190" s="8" t="s">
        <v>334</v>
      </c>
      <c r="N190" s="8" t="s">
        <v>70</v>
      </c>
      <c r="O190" s="8" t="s">
        <v>70</v>
      </c>
    </row>
    <row r="191" spans="1:15">
      <c r="A191" s="8" t="s">
        <v>298</v>
      </c>
      <c r="B191" s="8" t="s">
        <v>647</v>
      </c>
      <c r="C191" s="8" t="s">
        <v>158</v>
      </c>
      <c r="D191" s="8" t="s">
        <v>159</v>
      </c>
      <c r="E191" s="8" t="s">
        <v>31</v>
      </c>
      <c r="F191" s="8" t="s">
        <v>371</v>
      </c>
      <c r="G191" s="8" t="s">
        <v>315</v>
      </c>
      <c r="H191" s="8" t="s">
        <v>70</v>
      </c>
      <c r="I191" s="8" t="s">
        <v>316</v>
      </c>
      <c r="J191" s="8" t="s">
        <v>432</v>
      </c>
      <c r="K191" s="8" t="s">
        <v>317</v>
      </c>
      <c r="L191" s="8" t="s">
        <v>323</v>
      </c>
      <c r="M191" s="8" t="s">
        <v>334</v>
      </c>
      <c r="N191" s="8" t="s">
        <v>70</v>
      </c>
      <c r="O191" s="8" t="s">
        <v>70</v>
      </c>
    </row>
    <row r="192" spans="1:15">
      <c r="A192" s="8" t="s">
        <v>648</v>
      </c>
      <c r="B192" s="8" t="s">
        <v>649</v>
      </c>
      <c r="C192" s="8" t="s">
        <v>158</v>
      </c>
      <c r="D192" s="8" t="s">
        <v>159</v>
      </c>
      <c r="E192" s="8" t="s">
        <v>31</v>
      </c>
      <c r="F192" s="8" t="s">
        <v>371</v>
      </c>
      <c r="G192" s="8" t="s">
        <v>315</v>
      </c>
      <c r="H192" s="8" t="s">
        <v>70</v>
      </c>
      <c r="I192" s="8" t="s">
        <v>316</v>
      </c>
      <c r="J192" s="8" t="s">
        <v>432</v>
      </c>
      <c r="K192" s="8" t="s">
        <v>317</v>
      </c>
      <c r="L192" s="8" t="s">
        <v>323</v>
      </c>
      <c r="M192" s="8" t="s">
        <v>334</v>
      </c>
      <c r="N192" s="8" t="s">
        <v>70</v>
      </c>
      <c r="O192" s="8" t="s">
        <v>70</v>
      </c>
    </row>
    <row r="193" spans="1:15">
      <c r="A193" s="8" t="s">
        <v>58</v>
      </c>
      <c r="B193" s="8" t="s">
        <v>650</v>
      </c>
      <c r="C193" s="8" t="s">
        <v>158</v>
      </c>
      <c r="D193" s="8" t="s">
        <v>159</v>
      </c>
      <c r="E193" s="8" t="s">
        <v>31</v>
      </c>
      <c r="F193" s="8" t="s">
        <v>371</v>
      </c>
      <c r="G193" s="8" t="s">
        <v>315</v>
      </c>
      <c r="H193" s="8" t="s">
        <v>70</v>
      </c>
      <c r="I193" s="8" t="s">
        <v>316</v>
      </c>
      <c r="J193" s="8" t="s">
        <v>432</v>
      </c>
      <c r="K193" s="8" t="s">
        <v>317</v>
      </c>
      <c r="L193" s="8" t="s">
        <v>323</v>
      </c>
      <c r="M193" s="8" t="s">
        <v>321</v>
      </c>
      <c r="N193" s="8" t="s">
        <v>70</v>
      </c>
      <c r="O193" s="8" t="s">
        <v>70</v>
      </c>
    </row>
    <row r="194" spans="1:15">
      <c r="A194" s="8" t="s">
        <v>59</v>
      </c>
      <c r="B194" s="8" t="s">
        <v>103</v>
      </c>
      <c r="C194" s="8" t="s">
        <v>158</v>
      </c>
      <c r="D194" s="8" t="s">
        <v>159</v>
      </c>
      <c r="E194" s="8" t="s">
        <v>31</v>
      </c>
      <c r="F194" s="8" t="s">
        <v>371</v>
      </c>
      <c r="G194" s="8" t="s">
        <v>315</v>
      </c>
      <c r="H194" s="8" t="s">
        <v>70</v>
      </c>
      <c r="I194" s="8" t="s">
        <v>316</v>
      </c>
      <c r="J194" s="8" t="s">
        <v>432</v>
      </c>
      <c r="K194" s="8" t="s">
        <v>317</v>
      </c>
      <c r="L194" s="8" t="s">
        <v>323</v>
      </c>
      <c r="M194" s="8" t="s">
        <v>321</v>
      </c>
      <c r="N194" s="8" t="s">
        <v>70</v>
      </c>
      <c r="O194" s="8" t="s">
        <v>70</v>
      </c>
    </row>
    <row r="195" spans="1:15">
      <c r="A195" s="8" t="s">
        <v>651</v>
      </c>
      <c r="B195" s="8" t="s">
        <v>652</v>
      </c>
      <c r="C195" s="8" t="s">
        <v>158</v>
      </c>
      <c r="D195" s="8" t="s">
        <v>159</v>
      </c>
      <c r="E195" s="8" t="s">
        <v>33</v>
      </c>
      <c r="F195" s="8" t="s">
        <v>371</v>
      </c>
      <c r="G195" s="8" t="s">
        <v>315</v>
      </c>
      <c r="H195" s="8" t="s">
        <v>70</v>
      </c>
      <c r="I195" s="8" t="s">
        <v>316</v>
      </c>
      <c r="J195" s="8" t="s">
        <v>432</v>
      </c>
      <c r="K195" s="8" t="s">
        <v>317</v>
      </c>
      <c r="L195" s="8" t="s">
        <v>323</v>
      </c>
      <c r="M195" s="8" t="s">
        <v>328</v>
      </c>
      <c r="N195" s="8" t="s">
        <v>70</v>
      </c>
      <c r="O195" s="8" t="s">
        <v>70</v>
      </c>
    </row>
    <row r="196" spans="1:15">
      <c r="A196" s="8" t="s">
        <v>653</v>
      </c>
      <c r="B196" s="8" t="s">
        <v>654</v>
      </c>
      <c r="C196" s="8" t="s">
        <v>158</v>
      </c>
      <c r="D196" s="8" t="s">
        <v>159</v>
      </c>
      <c r="E196" s="8" t="s">
        <v>33</v>
      </c>
      <c r="F196" s="8" t="s">
        <v>371</v>
      </c>
      <c r="G196" s="8" t="s">
        <v>315</v>
      </c>
      <c r="H196" s="8" t="s">
        <v>70</v>
      </c>
      <c r="I196" s="8" t="s">
        <v>316</v>
      </c>
      <c r="J196" s="8" t="s">
        <v>432</v>
      </c>
      <c r="K196" s="8" t="s">
        <v>317</v>
      </c>
      <c r="L196" s="8" t="s">
        <v>323</v>
      </c>
      <c r="M196" s="8" t="s">
        <v>328</v>
      </c>
      <c r="N196" s="8" t="s">
        <v>70</v>
      </c>
      <c r="O196" s="8" t="s">
        <v>70</v>
      </c>
    </row>
    <row r="197" spans="1:15">
      <c r="A197" s="8" t="s">
        <v>655</v>
      </c>
      <c r="B197" s="8" t="s">
        <v>656</v>
      </c>
      <c r="C197" s="8" t="s">
        <v>158</v>
      </c>
      <c r="D197" s="8" t="s">
        <v>159</v>
      </c>
      <c r="E197" s="8" t="s">
        <v>33</v>
      </c>
      <c r="F197" s="8" t="s">
        <v>371</v>
      </c>
      <c r="G197" s="8" t="s">
        <v>315</v>
      </c>
      <c r="H197" s="8" t="s">
        <v>70</v>
      </c>
      <c r="I197" s="8" t="s">
        <v>316</v>
      </c>
      <c r="J197" s="8" t="s">
        <v>432</v>
      </c>
      <c r="K197" s="8" t="s">
        <v>317</v>
      </c>
      <c r="L197" s="8" t="s">
        <v>323</v>
      </c>
      <c r="M197" s="8" t="s">
        <v>328</v>
      </c>
      <c r="N197" s="8" t="s">
        <v>70</v>
      </c>
      <c r="O197" s="8" t="s">
        <v>70</v>
      </c>
    </row>
    <row r="198" spans="1:15">
      <c r="A198" s="8" t="s">
        <v>657</v>
      </c>
      <c r="B198" s="8" t="s">
        <v>658</v>
      </c>
      <c r="C198" s="8" t="s">
        <v>158</v>
      </c>
      <c r="D198" s="8" t="s">
        <v>159</v>
      </c>
      <c r="E198" s="8" t="s">
        <v>33</v>
      </c>
      <c r="F198" s="8" t="s">
        <v>371</v>
      </c>
      <c r="G198" s="8" t="s">
        <v>315</v>
      </c>
      <c r="H198" s="8" t="s">
        <v>70</v>
      </c>
      <c r="I198" s="8" t="s">
        <v>316</v>
      </c>
      <c r="J198" s="8" t="s">
        <v>432</v>
      </c>
      <c r="K198" s="8" t="s">
        <v>317</v>
      </c>
      <c r="L198" s="8" t="s">
        <v>323</v>
      </c>
      <c r="M198" s="8" t="s">
        <v>328</v>
      </c>
      <c r="N198" s="8" t="s">
        <v>70</v>
      </c>
      <c r="O198" s="8" t="s">
        <v>70</v>
      </c>
    </row>
    <row r="199" spans="1:15">
      <c r="A199" s="8" t="s">
        <v>659</v>
      </c>
      <c r="B199" s="8" t="s">
        <v>660</v>
      </c>
      <c r="C199" s="8" t="s">
        <v>158</v>
      </c>
      <c r="D199" s="8" t="s">
        <v>159</v>
      </c>
      <c r="E199" s="8" t="s">
        <v>33</v>
      </c>
      <c r="F199" s="8" t="s">
        <v>371</v>
      </c>
      <c r="G199" s="8" t="s">
        <v>315</v>
      </c>
      <c r="H199" s="8" t="s">
        <v>70</v>
      </c>
      <c r="I199" s="8" t="s">
        <v>316</v>
      </c>
      <c r="J199" s="8" t="s">
        <v>432</v>
      </c>
      <c r="K199" s="8" t="s">
        <v>317</v>
      </c>
      <c r="L199" s="8" t="s">
        <v>323</v>
      </c>
      <c r="M199" s="8" t="s">
        <v>328</v>
      </c>
      <c r="N199" s="8" t="s">
        <v>70</v>
      </c>
      <c r="O199" s="8" t="s">
        <v>70</v>
      </c>
    </row>
    <row r="200" spans="1:15">
      <c r="A200" s="8" t="s">
        <v>661</v>
      </c>
      <c r="B200" s="8" t="s">
        <v>662</v>
      </c>
      <c r="C200" s="8" t="s">
        <v>158</v>
      </c>
      <c r="D200" s="8" t="s">
        <v>159</v>
      </c>
      <c r="E200" s="8" t="s">
        <v>33</v>
      </c>
      <c r="F200" s="8" t="s">
        <v>371</v>
      </c>
      <c r="G200" s="8" t="s">
        <v>315</v>
      </c>
      <c r="H200" s="8" t="s">
        <v>70</v>
      </c>
      <c r="I200" s="8" t="s">
        <v>316</v>
      </c>
      <c r="J200" s="8" t="s">
        <v>432</v>
      </c>
      <c r="K200" s="8" t="s">
        <v>317</v>
      </c>
      <c r="L200" s="8" t="s">
        <v>323</v>
      </c>
      <c r="M200" s="8" t="s">
        <v>328</v>
      </c>
      <c r="N200" s="8" t="s">
        <v>70</v>
      </c>
      <c r="O200" s="8" t="s">
        <v>70</v>
      </c>
    </row>
    <row r="201" spans="1:15">
      <c r="A201" s="8" t="s">
        <v>663</v>
      </c>
      <c r="B201" s="8" t="s">
        <v>664</v>
      </c>
      <c r="C201" s="8" t="s">
        <v>158</v>
      </c>
      <c r="D201" s="8" t="s">
        <v>159</v>
      </c>
      <c r="E201" s="8" t="s">
        <v>33</v>
      </c>
      <c r="F201" s="8" t="s">
        <v>371</v>
      </c>
      <c r="G201" s="8" t="s">
        <v>315</v>
      </c>
      <c r="H201" s="8" t="s">
        <v>70</v>
      </c>
      <c r="I201" s="8" t="s">
        <v>316</v>
      </c>
      <c r="J201" s="8" t="s">
        <v>432</v>
      </c>
      <c r="K201" s="8" t="s">
        <v>317</v>
      </c>
      <c r="L201" s="8" t="s">
        <v>323</v>
      </c>
      <c r="M201" s="8" t="s">
        <v>328</v>
      </c>
      <c r="N201" s="8" t="s">
        <v>70</v>
      </c>
      <c r="O201" s="8" t="s">
        <v>70</v>
      </c>
    </row>
    <row r="202" spans="1:15">
      <c r="A202" s="8" t="s">
        <v>665</v>
      </c>
      <c r="B202" s="8" t="s">
        <v>666</v>
      </c>
      <c r="C202" s="8" t="s">
        <v>158</v>
      </c>
      <c r="D202" s="8" t="s">
        <v>159</v>
      </c>
      <c r="E202" s="8" t="s">
        <v>33</v>
      </c>
      <c r="F202" s="8" t="s">
        <v>371</v>
      </c>
      <c r="G202" s="8" t="s">
        <v>315</v>
      </c>
      <c r="H202" s="8" t="s">
        <v>70</v>
      </c>
      <c r="I202" s="8" t="s">
        <v>316</v>
      </c>
      <c r="J202" s="8" t="s">
        <v>432</v>
      </c>
      <c r="K202" s="8" t="s">
        <v>317</v>
      </c>
      <c r="L202" s="8" t="s">
        <v>323</v>
      </c>
      <c r="M202" s="8" t="s">
        <v>328</v>
      </c>
      <c r="N202" s="8" t="s">
        <v>70</v>
      </c>
      <c r="O202" s="8" t="s">
        <v>70</v>
      </c>
    </row>
    <row r="203" spans="1:15">
      <c r="A203" s="8" t="s">
        <v>667</v>
      </c>
      <c r="B203" s="8" t="s">
        <v>668</v>
      </c>
      <c r="C203" s="8" t="s">
        <v>431</v>
      </c>
      <c r="D203" s="8" t="s">
        <v>159</v>
      </c>
      <c r="E203" s="8" t="s">
        <v>116</v>
      </c>
      <c r="F203" s="8" t="s">
        <v>371</v>
      </c>
      <c r="G203" s="8" t="s">
        <v>315</v>
      </c>
      <c r="H203" s="8" t="s">
        <v>70</v>
      </c>
      <c r="I203" s="8" t="s">
        <v>316</v>
      </c>
      <c r="J203" s="8" t="s">
        <v>432</v>
      </c>
      <c r="K203" s="8" t="s">
        <v>317</v>
      </c>
      <c r="L203" s="8" t="s">
        <v>323</v>
      </c>
      <c r="M203" s="8" t="s">
        <v>669</v>
      </c>
      <c r="N203" s="8" t="s">
        <v>70</v>
      </c>
      <c r="O203" s="8" t="s">
        <v>70</v>
      </c>
    </row>
    <row r="204" spans="1:15">
      <c r="A204" s="8" t="s">
        <v>670</v>
      </c>
      <c r="B204" s="8" t="s">
        <v>671</v>
      </c>
      <c r="C204" s="8" t="s">
        <v>158</v>
      </c>
      <c r="D204" s="8" t="s">
        <v>159</v>
      </c>
      <c r="E204" s="8" t="s">
        <v>31</v>
      </c>
      <c r="F204" s="8" t="s">
        <v>371</v>
      </c>
      <c r="G204" s="8" t="s">
        <v>315</v>
      </c>
      <c r="H204" s="8" t="s">
        <v>70</v>
      </c>
      <c r="I204" s="8" t="s">
        <v>316</v>
      </c>
      <c r="J204" s="8" t="s">
        <v>432</v>
      </c>
      <c r="K204" s="8" t="s">
        <v>317</v>
      </c>
      <c r="L204" s="8" t="s">
        <v>323</v>
      </c>
      <c r="M204" s="8" t="s">
        <v>335</v>
      </c>
      <c r="N204" s="8" t="s">
        <v>70</v>
      </c>
      <c r="O204" s="8" t="s">
        <v>70</v>
      </c>
    </row>
    <row r="205" spans="1:15">
      <c r="A205" s="8" t="s">
        <v>130</v>
      </c>
      <c r="B205" s="8" t="s">
        <v>177</v>
      </c>
      <c r="C205" s="8" t="s">
        <v>158</v>
      </c>
      <c r="D205" s="8" t="s">
        <v>159</v>
      </c>
      <c r="E205" s="8" t="s">
        <v>31</v>
      </c>
      <c r="F205" s="8" t="s">
        <v>371</v>
      </c>
      <c r="G205" s="8" t="s">
        <v>315</v>
      </c>
      <c r="H205" s="8" t="s">
        <v>70</v>
      </c>
      <c r="I205" s="8" t="s">
        <v>316</v>
      </c>
      <c r="J205" s="8" t="s">
        <v>432</v>
      </c>
      <c r="K205" s="8" t="s">
        <v>317</v>
      </c>
      <c r="L205" s="8" t="s">
        <v>323</v>
      </c>
      <c r="M205" s="8" t="s">
        <v>335</v>
      </c>
      <c r="N205" s="8" t="s">
        <v>70</v>
      </c>
      <c r="O205" s="8" t="s">
        <v>70</v>
      </c>
    </row>
    <row r="206" spans="1:15">
      <c r="A206" s="8" t="s">
        <v>101</v>
      </c>
      <c r="B206" s="8" t="s">
        <v>102</v>
      </c>
      <c r="C206" s="8" t="s">
        <v>158</v>
      </c>
      <c r="D206" s="8" t="s">
        <v>159</v>
      </c>
      <c r="E206" s="8" t="s">
        <v>31</v>
      </c>
      <c r="F206" s="8" t="s">
        <v>371</v>
      </c>
      <c r="G206" s="8" t="s">
        <v>315</v>
      </c>
      <c r="H206" s="8" t="s">
        <v>70</v>
      </c>
      <c r="I206" s="8" t="s">
        <v>316</v>
      </c>
      <c r="J206" s="8" t="s">
        <v>432</v>
      </c>
      <c r="K206" s="8" t="s">
        <v>317</v>
      </c>
      <c r="L206" s="8" t="s">
        <v>323</v>
      </c>
      <c r="M206" s="8" t="s">
        <v>326</v>
      </c>
      <c r="N206" s="8" t="s">
        <v>70</v>
      </c>
      <c r="O206" s="8" t="s">
        <v>70</v>
      </c>
    </row>
    <row r="207" spans="1:15">
      <c r="A207" s="8" t="s">
        <v>216</v>
      </c>
      <c r="B207" s="8" t="s">
        <v>234</v>
      </c>
      <c r="C207" s="8" t="s">
        <v>158</v>
      </c>
      <c r="D207" s="8" t="s">
        <v>140</v>
      </c>
      <c r="E207" s="8" t="s">
        <v>31</v>
      </c>
      <c r="F207" s="8" t="s">
        <v>371</v>
      </c>
      <c r="G207" s="8" t="s">
        <v>315</v>
      </c>
      <c r="H207" s="8" t="s">
        <v>70</v>
      </c>
      <c r="I207" s="8" t="s">
        <v>316</v>
      </c>
      <c r="J207" s="8" t="s">
        <v>432</v>
      </c>
      <c r="K207" s="8" t="s">
        <v>317</v>
      </c>
      <c r="L207" s="8" t="s">
        <v>323</v>
      </c>
      <c r="M207" s="8" t="s">
        <v>326</v>
      </c>
      <c r="N207" s="8" t="s">
        <v>70</v>
      </c>
      <c r="O207" s="8" t="s">
        <v>70</v>
      </c>
    </row>
    <row r="208" spans="1:15">
      <c r="A208" s="8" t="s">
        <v>20</v>
      </c>
      <c r="B208" s="8" t="s">
        <v>672</v>
      </c>
      <c r="C208" s="8" t="s">
        <v>158</v>
      </c>
      <c r="D208" s="8" t="s">
        <v>159</v>
      </c>
      <c r="E208" s="8" t="s">
        <v>31</v>
      </c>
      <c r="F208" s="8" t="s">
        <v>371</v>
      </c>
      <c r="G208" s="8" t="s">
        <v>315</v>
      </c>
      <c r="H208" s="8" t="s">
        <v>70</v>
      </c>
      <c r="I208" s="8" t="s">
        <v>316</v>
      </c>
      <c r="J208" s="8" t="s">
        <v>432</v>
      </c>
      <c r="K208" s="8" t="s">
        <v>317</v>
      </c>
      <c r="L208" s="8" t="s">
        <v>323</v>
      </c>
      <c r="M208" s="8" t="s">
        <v>326</v>
      </c>
      <c r="N208" s="8" t="s">
        <v>70</v>
      </c>
      <c r="O208" s="8" t="s">
        <v>70</v>
      </c>
    </row>
    <row r="209" spans="1:15">
      <c r="A209" s="8" t="s">
        <v>60</v>
      </c>
      <c r="B209" s="8" t="s">
        <v>390</v>
      </c>
      <c r="C209" s="8" t="s">
        <v>158</v>
      </c>
      <c r="D209" s="8" t="s">
        <v>159</v>
      </c>
      <c r="E209" s="8" t="s">
        <v>31</v>
      </c>
      <c r="F209" s="8" t="s">
        <v>371</v>
      </c>
      <c r="G209" s="8" t="s">
        <v>315</v>
      </c>
      <c r="H209" s="8" t="s">
        <v>70</v>
      </c>
      <c r="I209" s="8" t="s">
        <v>316</v>
      </c>
      <c r="J209" s="8" t="s">
        <v>432</v>
      </c>
      <c r="K209" s="8" t="s">
        <v>317</v>
      </c>
      <c r="L209" s="8" t="s">
        <v>323</v>
      </c>
      <c r="M209" s="8" t="s">
        <v>326</v>
      </c>
      <c r="N209" s="8" t="s">
        <v>70</v>
      </c>
      <c r="O209" s="8" t="s">
        <v>70</v>
      </c>
    </row>
    <row r="210" spans="1:15">
      <c r="A210" s="8" t="s">
        <v>673</v>
      </c>
      <c r="B210" s="8" t="s">
        <v>674</v>
      </c>
      <c r="C210" s="8" t="s">
        <v>158</v>
      </c>
      <c r="D210" s="8" t="s">
        <v>159</v>
      </c>
      <c r="E210" s="8" t="s">
        <v>31</v>
      </c>
      <c r="F210" s="8" t="s">
        <v>371</v>
      </c>
      <c r="G210" s="8" t="s">
        <v>315</v>
      </c>
      <c r="H210" s="8" t="s">
        <v>70</v>
      </c>
      <c r="I210" s="8" t="s">
        <v>316</v>
      </c>
      <c r="J210" s="8" t="s">
        <v>432</v>
      </c>
      <c r="K210" s="8" t="s">
        <v>317</v>
      </c>
      <c r="L210" s="8" t="s">
        <v>323</v>
      </c>
      <c r="M210" s="8" t="s">
        <v>326</v>
      </c>
      <c r="N210" s="8" t="s">
        <v>70</v>
      </c>
      <c r="O210" s="8" t="s">
        <v>70</v>
      </c>
    </row>
    <row r="211" spans="1:15">
      <c r="A211" s="8" t="s">
        <v>675</v>
      </c>
      <c r="B211" s="8" t="s">
        <v>676</v>
      </c>
      <c r="C211" s="8" t="s">
        <v>158</v>
      </c>
      <c r="D211" s="8" t="s">
        <v>159</v>
      </c>
      <c r="E211" s="8" t="s">
        <v>116</v>
      </c>
      <c r="F211" s="8" t="s">
        <v>371</v>
      </c>
      <c r="G211" s="8" t="s">
        <v>315</v>
      </c>
      <c r="H211" s="8" t="s">
        <v>70</v>
      </c>
      <c r="I211" s="8" t="s">
        <v>316</v>
      </c>
      <c r="J211" s="8" t="s">
        <v>432</v>
      </c>
      <c r="K211" s="8" t="s">
        <v>317</v>
      </c>
      <c r="L211" s="8" t="s">
        <v>323</v>
      </c>
      <c r="M211" s="8" t="s">
        <v>294</v>
      </c>
      <c r="N211" s="8" t="s">
        <v>70</v>
      </c>
      <c r="O211" s="8" t="s">
        <v>70</v>
      </c>
    </row>
    <row r="212" spans="1:15">
      <c r="A212" s="8" t="s">
        <v>677</v>
      </c>
      <c r="B212" s="8" t="s">
        <v>678</v>
      </c>
      <c r="C212" s="8" t="s">
        <v>158</v>
      </c>
      <c r="D212" s="8" t="s">
        <v>159</v>
      </c>
      <c r="E212" s="8" t="s">
        <v>106</v>
      </c>
      <c r="F212" s="8" t="s">
        <v>371</v>
      </c>
      <c r="G212" s="8" t="s">
        <v>315</v>
      </c>
      <c r="H212" s="8" t="s">
        <v>70</v>
      </c>
      <c r="I212" s="8" t="s">
        <v>316</v>
      </c>
      <c r="J212" s="8" t="s">
        <v>432</v>
      </c>
      <c r="K212" s="8" t="s">
        <v>317</v>
      </c>
      <c r="L212" s="8" t="s">
        <v>320</v>
      </c>
      <c r="M212" s="8" t="s">
        <v>494</v>
      </c>
      <c r="N212" s="8" t="s">
        <v>70</v>
      </c>
      <c r="O212" s="8" t="s">
        <v>70</v>
      </c>
    </row>
    <row r="213" spans="1:15">
      <c r="A213" s="8" t="s">
        <v>679</v>
      </c>
      <c r="B213" s="8" t="s">
        <v>680</v>
      </c>
      <c r="C213" s="8" t="s">
        <v>158</v>
      </c>
      <c r="D213" s="8" t="s">
        <v>159</v>
      </c>
      <c r="E213" s="8" t="s">
        <v>31</v>
      </c>
      <c r="F213" s="8" t="s">
        <v>371</v>
      </c>
      <c r="G213" s="8" t="s">
        <v>315</v>
      </c>
      <c r="H213" s="8" t="s">
        <v>70</v>
      </c>
      <c r="I213" s="8" t="s">
        <v>316</v>
      </c>
      <c r="J213" s="8" t="s">
        <v>432</v>
      </c>
      <c r="K213" s="8" t="s">
        <v>317</v>
      </c>
      <c r="L213" s="8" t="s">
        <v>320</v>
      </c>
      <c r="M213" s="8" t="s">
        <v>350</v>
      </c>
      <c r="N213" s="8" t="s">
        <v>70</v>
      </c>
      <c r="O213" s="8" t="s">
        <v>70</v>
      </c>
    </row>
    <row r="214" spans="1:15">
      <c r="A214" s="8" t="s">
        <v>681</v>
      </c>
      <c r="B214" s="8" t="s">
        <v>682</v>
      </c>
      <c r="C214" s="8" t="s">
        <v>158</v>
      </c>
      <c r="D214" s="8" t="s">
        <v>159</v>
      </c>
      <c r="E214" s="8" t="s">
        <v>31</v>
      </c>
      <c r="F214" s="8" t="s">
        <v>371</v>
      </c>
      <c r="G214" s="8" t="s">
        <v>315</v>
      </c>
      <c r="H214" s="8" t="s">
        <v>70</v>
      </c>
      <c r="I214" s="8" t="s">
        <v>316</v>
      </c>
      <c r="J214" s="8" t="s">
        <v>432</v>
      </c>
      <c r="K214" s="8" t="s">
        <v>317</v>
      </c>
      <c r="L214" s="8" t="s">
        <v>577</v>
      </c>
      <c r="M214" s="8" t="s">
        <v>324</v>
      </c>
      <c r="N214" s="8" t="s">
        <v>70</v>
      </c>
      <c r="O214" s="8" t="s">
        <v>70</v>
      </c>
    </row>
    <row r="215" spans="1:15">
      <c r="A215" s="8" t="s">
        <v>683</v>
      </c>
      <c r="B215" s="8" t="s">
        <v>684</v>
      </c>
      <c r="C215" s="8" t="s">
        <v>158</v>
      </c>
      <c r="D215" s="8" t="s">
        <v>159</v>
      </c>
      <c r="E215" s="8" t="s">
        <v>31</v>
      </c>
      <c r="F215" s="8" t="s">
        <v>371</v>
      </c>
      <c r="G215" s="8" t="s">
        <v>315</v>
      </c>
      <c r="H215" s="8" t="s">
        <v>70</v>
      </c>
      <c r="I215" s="8" t="s">
        <v>316</v>
      </c>
      <c r="J215" s="8" t="s">
        <v>432</v>
      </c>
      <c r="K215" s="8" t="s">
        <v>317</v>
      </c>
      <c r="L215" s="8" t="s">
        <v>577</v>
      </c>
      <c r="M215" s="8" t="s">
        <v>324</v>
      </c>
      <c r="N215" s="8" t="s">
        <v>70</v>
      </c>
      <c r="O215" s="8" t="s">
        <v>70</v>
      </c>
    </row>
    <row r="216" spans="1:15">
      <c r="A216" s="8" t="s">
        <v>685</v>
      </c>
      <c r="B216" s="8" t="s">
        <v>686</v>
      </c>
      <c r="C216" s="8" t="s">
        <v>158</v>
      </c>
      <c r="D216" s="8" t="s">
        <v>159</v>
      </c>
      <c r="E216" s="8" t="s">
        <v>31</v>
      </c>
      <c r="F216" s="8" t="s">
        <v>371</v>
      </c>
      <c r="G216" s="8" t="s">
        <v>315</v>
      </c>
      <c r="H216" s="8" t="s">
        <v>70</v>
      </c>
      <c r="I216" s="8" t="s">
        <v>316</v>
      </c>
      <c r="J216" s="8" t="s">
        <v>432</v>
      </c>
      <c r="K216" s="8" t="s">
        <v>317</v>
      </c>
      <c r="L216" s="8" t="s">
        <v>577</v>
      </c>
      <c r="M216" s="8" t="s">
        <v>324</v>
      </c>
      <c r="N216" s="8" t="s">
        <v>70</v>
      </c>
      <c r="O216" s="8" t="s">
        <v>70</v>
      </c>
    </row>
    <row r="217" spans="1:15">
      <c r="A217" s="8" t="s">
        <v>687</v>
      </c>
      <c r="B217" s="8" t="s">
        <v>688</v>
      </c>
      <c r="C217" s="8" t="s">
        <v>158</v>
      </c>
      <c r="D217" s="8" t="s">
        <v>159</v>
      </c>
      <c r="E217" s="8" t="s">
        <v>106</v>
      </c>
      <c r="F217" s="8" t="s">
        <v>371</v>
      </c>
      <c r="G217" s="8" t="s">
        <v>315</v>
      </c>
      <c r="H217" s="8" t="s">
        <v>70</v>
      </c>
      <c r="I217" s="8" t="s">
        <v>316</v>
      </c>
      <c r="J217" s="8" t="s">
        <v>432</v>
      </c>
      <c r="K217" s="8" t="s">
        <v>317</v>
      </c>
      <c r="L217" s="8" t="s">
        <v>323</v>
      </c>
      <c r="M217" s="8" t="s">
        <v>326</v>
      </c>
      <c r="N217" s="8" t="s">
        <v>70</v>
      </c>
      <c r="O217" s="8" t="s">
        <v>70</v>
      </c>
    </row>
    <row r="218" spans="1:15">
      <c r="A218" s="8" t="s">
        <v>689</v>
      </c>
      <c r="B218" s="8" t="s">
        <v>690</v>
      </c>
      <c r="C218" s="8" t="s">
        <v>158</v>
      </c>
      <c r="D218" s="8" t="s">
        <v>159</v>
      </c>
      <c r="E218" s="8" t="s">
        <v>106</v>
      </c>
      <c r="F218" s="8" t="s">
        <v>371</v>
      </c>
      <c r="G218" s="8" t="s">
        <v>315</v>
      </c>
      <c r="H218" s="8" t="s">
        <v>70</v>
      </c>
      <c r="I218" s="8" t="s">
        <v>316</v>
      </c>
      <c r="J218" s="8" t="s">
        <v>432</v>
      </c>
      <c r="K218" s="8" t="s">
        <v>317</v>
      </c>
      <c r="L218" s="8" t="s">
        <v>323</v>
      </c>
      <c r="M218" s="8" t="s">
        <v>326</v>
      </c>
      <c r="N218" s="8" t="s">
        <v>70</v>
      </c>
      <c r="O218" s="8" t="s">
        <v>70</v>
      </c>
    </row>
    <row r="219" spans="1:15">
      <c r="A219" s="8" t="s">
        <v>217</v>
      </c>
      <c r="B219" s="8" t="s">
        <v>235</v>
      </c>
      <c r="C219" s="8" t="s">
        <v>158</v>
      </c>
      <c r="D219" s="8" t="s">
        <v>159</v>
      </c>
      <c r="E219" s="8" t="s">
        <v>31</v>
      </c>
      <c r="F219" s="8" t="s">
        <v>371</v>
      </c>
      <c r="G219" s="8" t="s">
        <v>315</v>
      </c>
      <c r="H219" s="8" t="s">
        <v>70</v>
      </c>
      <c r="I219" s="8" t="s">
        <v>316</v>
      </c>
      <c r="J219" s="8" t="s">
        <v>432</v>
      </c>
      <c r="K219" s="8" t="s">
        <v>317</v>
      </c>
      <c r="L219" s="8" t="s">
        <v>323</v>
      </c>
      <c r="M219" s="8" t="s">
        <v>294</v>
      </c>
      <c r="N219" s="8" t="s">
        <v>70</v>
      </c>
      <c r="O219" s="8" t="s">
        <v>70</v>
      </c>
    </row>
    <row r="220" spans="1:15">
      <c r="A220" s="8" t="s">
        <v>218</v>
      </c>
      <c r="B220" s="8" t="s">
        <v>236</v>
      </c>
      <c r="C220" s="8" t="s">
        <v>158</v>
      </c>
      <c r="D220" s="8" t="s">
        <v>159</v>
      </c>
      <c r="E220" s="8" t="s">
        <v>31</v>
      </c>
      <c r="F220" s="8" t="s">
        <v>371</v>
      </c>
      <c r="G220" s="8" t="s">
        <v>315</v>
      </c>
      <c r="H220" s="8" t="s">
        <v>70</v>
      </c>
      <c r="I220" s="8" t="s">
        <v>316</v>
      </c>
      <c r="J220" s="8" t="s">
        <v>432</v>
      </c>
      <c r="K220" s="8" t="s">
        <v>317</v>
      </c>
      <c r="L220" s="8" t="s">
        <v>323</v>
      </c>
      <c r="M220" s="8" t="s">
        <v>294</v>
      </c>
      <c r="N220" s="8" t="s">
        <v>70</v>
      </c>
      <c r="O220" s="8" t="s">
        <v>70</v>
      </c>
    </row>
    <row r="221" spans="1:15">
      <c r="A221" s="8" t="s">
        <v>341</v>
      </c>
      <c r="B221" s="8" t="s">
        <v>691</v>
      </c>
      <c r="C221" s="8" t="s">
        <v>158</v>
      </c>
      <c r="D221" s="8" t="s">
        <v>159</v>
      </c>
      <c r="E221" s="8" t="s">
        <v>31</v>
      </c>
      <c r="F221" s="8" t="s">
        <v>371</v>
      </c>
      <c r="G221" s="8" t="s">
        <v>315</v>
      </c>
      <c r="H221" s="8" t="s">
        <v>70</v>
      </c>
      <c r="I221" s="8" t="s">
        <v>316</v>
      </c>
      <c r="J221" s="8" t="s">
        <v>432</v>
      </c>
      <c r="K221" s="8" t="s">
        <v>317</v>
      </c>
      <c r="L221" s="8" t="s">
        <v>323</v>
      </c>
      <c r="M221" s="8" t="s">
        <v>326</v>
      </c>
      <c r="N221" s="8" t="s">
        <v>70</v>
      </c>
      <c r="O221" s="8" t="s">
        <v>70</v>
      </c>
    </row>
    <row r="222" spans="1:15">
      <c r="A222" s="8" t="s">
        <v>692</v>
      </c>
      <c r="B222" s="8" t="s">
        <v>693</v>
      </c>
      <c r="C222" s="8" t="s">
        <v>158</v>
      </c>
      <c r="D222" s="8" t="s">
        <v>159</v>
      </c>
      <c r="E222" s="8" t="s">
        <v>31</v>
      </c>
      <c r="F222" s="8" t="s">
        <v>371</v>
      </c>
      <c r="G222" s="8" t="s">
        <v>315</v>
      </c>
      <c r="H222" s="8" t="s">
        <v>70</v>
      </c>
      <c r="I222" s="8" t="s">
        <v>316</v>
      </c>
      <c r="J222" s="8" t="s">
        <v>432</v>
      </c>
      <c r="K222" s="8" t="s">
        <v>317</v>
      </c>
      <c r="L222" s="8" t="s">
        <v>323</v>
      </c>
      <c r="M222" s="8" t="s">
        <v>326</v>
      </c>
      <c r="N222" s="8" t="s">
        <v>70</v>
      </c>
      <c r="O222" s="8" t="s">
        <v>70</v>
      </c>
    </row>
    <row r="223" spans="1:15">
      <c r="A223" s="8" t="s">
        <v>694</v>
      </c>
      <c r="B223" s="8" t="s">
        <v>695</v>
      </c>
      <c r="C223" s="8" t="s">
        <v>158</v>
      </c>
      <c r="D223" s="8" t="s">
        <v>159</v>
      </c>
      <c r="E223" s="8" t="s">
        <v>31</v>
      </c>
      <c r="F223" s="8" t="s">
        <v>371</v>
      </c>
      <c r="G223" s="8" t="s">
        <v>315</v>
      </c>
      <c r="H223" s="8" t="s">
        <v>70</v>
      </c>
      <c r="I223" s="8" t="s">
        <v>316</v>
      </c>
      <c r="J223" s="8" t="s">
        <v>432</v>
      </c>
      <c r="K223" s="8" t="s">
        <v>317</v>
      </c>
      <c r="L223" s="8" t="s">
        <v>323</v>
      </c>
      <c r="M223" s="8" t="s">
        <v>326</v>
      </c>
      <c r="N223" s="8" t="s">
        <v>70</v>
      </c>
      <c r="O223" s="8" t="s">
        <v>70</v>
      </c>
    </row>
    <row r="224" spans="1:15">
      <c r="A224" s="8" t="s">
        <v>61</v>
      </c>
      <c r="B224" s="8" t="s">
        <v>696</v>
      </c>
      <c r="C224" s="8" t="s">
        <v>158</v>
      </c>
      <c r="D224" s="8" t="s">
        <v>159</v>
      </c>
      <c r="E224" s="8" t="s">
        <v>31</v>
      </c>
      <c r="F224" s="8" t="s">
        <v>371</v>
      </c>
      <c r="G224" s="8" t="s">
        <v>315</v>
      </c>
      <c r="H224" s="8" t="s">
        <v>70</v>
      </c>
      <c r="I224" s="8" t="s">
        <v>316</v>
      </c>
      <c r="J224" s="8" t="s">
        <v>432</v>
      </c>
      <c r="K224" s="8" t="s">
        <v>317</v>
      </c>
      <c r="L224" s="8" t="s">
        <v>323</v>
      </c>
      <c r="M224" s="8" t="s">
        <v>326</v>
      </c>
      <c r="N224" s="8" t="s">
        <v>70</v>
      </c>
      <c r="O224" s="8" t="s">
        <v>70</v>
      </c>
    </row>
    <row r="225" spans="1:15" ht="30">
      <c r="A225" s="8" t="s">
        <v>697</v>
      </c>
      <c r="B225" s="11" t="s">
        <v>698</v>
      </c>
      <c r="C225" s="8" t="s">
        <v>158</v>
      </c>
      <c r="D225" s="8" t="s">
        <v>159</v>
      </c>
      <c r="E225" s="8" t="s">
        <v>31</v>
      </c>
      <c r="F225" s="8" t="s">
        <v>371</v>
      </c>
      <c r="G225" s="8" t="s">
        <v>315</v>
      </c>
      <c r="H225" s="8" t="s">
        <v>70</v>
      </c>
      <c r="I225" s="8" t="s">
        <v>316</v>
      </c>
      <c r="J225" s="8" t="s">
        <v>432</v>
      </c>
      <c r="K225" s="8" t="s">
        <v>317</v>
      </c>
      <c r="L225" s="8" t="s">
        <v>323</v>
      </c>
      <c r="M225" s="8" t="s">
        <v>326</v>
      </c>
      <c r="N225" s="8" t="s">
        <v>70</v>
      </c>
      <c r="O225" s="8" t="s">
        <v>70</v>
      </c>
    </row>
    <row r="226" spans="1:15" ht="30">
      <c r="A226" s="8" t="s">
        <v>193</v>
      </c>
      <c r="B226" s="11" t="s">
        <v>194</v>
      </c>
      <c r="C226" s="8" t="s">
        <v>158</v>
      </c>
      <c r="D226" s="8" t="s">
        <v>159</v>
      </c>
      <c r="E226" s="8" t="s">
        <v>31</v>
      </c>
      <c r="F226" s="8" t="s">
        <v>371</v>
      </c>
      <c r="G226" s="8" t="s">
        <v>315</v>
      </c>
      <c r="H226" s="8" t="s">
        <v>70</v>
      </c>
      <c r="I226" s="8" t="s">
        <v>316</v>
      </c>
      <c r="J226" s="8" t="s">
        <v>432</v>
      </c>
      <c r="K226" s="8" t="s">
        <v>317</v>
      </c>
      <c r="L226" s="8" t="s">
        <v>323</v>
      </c>
      <c r="M226" s="8" t="s">
        <v>326</v>
      </c>
      <c r="N226" s="8" t="s">
        <v>70</v>
      </c>
      <c r="O226" s="8" t="s">
        <v>70</v>
      </c>
    </row>
    <row r="227" spans="1:15">
      <c r="A227" s="8" t="s">
        <v>104</v>
      </c>
      <c r="B227" s="8" t="s">
        <v>699</v>
      </c>
      <c r="C227" s="8" t="s">
        <v>158</v>
      </c>
      <c r="D227" s="8" t="s">
        <v>159</v>
      </c>
      <c r="E227" s="8" t="s">
        <v>31</v>
      </c>
      <c r="F227" s="8" t="s">
        <v>371</v>
      </c>
      <c r="G227" s="8" t="s">
        <v>315</v>
      </c>
      <c r="H227" s="8" t="s">
        <v>70</v>
      </c>
      <c r="I227" s="8" t="s">
        <v>316</v>
      </c>
      <c r="J227" s="8" t="s">
        <v>432</v>
      </c>
      <c r="K227" s="8" t="s">
        <v>317</v>
      </c>
      <c r="L227" s="8" t="s">
        <v>323</v>
      </c>
      <c r="M227" s="8" t="s">
        <v>326</v>
      </c>
      <c r="N227" s="8" t="s">
        <v>70</v>
      </c>
      <c r="O227" s="8" t="s">
        <v>70</v>
      </c>
    </row>
    <row r="228" spans="1:15">
      <c r="A228" s="8" t="s">
        <v>219</v>
      </c>
      <c r="B228" s="8" t="s">
        <v>237</v>
      </c>
      <c r="C228" s="8" t="s">
        <v>158</v>
      </c>
      <c r="D228" s="8" t="s">
        <v>159</v>
      </c>
      <c r="E228" s="8" t="s">
        <v>31</v>
      </c>
      <c r="F228" s="8" t="s">
        <v>371</v>
      </c>
      <c r="G228" s="8" t="s">
        <v>315</v>
      </c>
      <c r="H228" s="8" t="s">
        <v>70</v>
      </c>
      <c r="I228" s="8" t="s">
        <v>316</v>
      </c>
      <c r="J228" s="8" t="s">
        <v>432</v>
      </c>
      <c r="K228" s="8" t="s">
        <v>317</v>
      </c>
      <c r="L228" s="8" t="s">
        <v>323</v>
      </c>
      <c r="M228" s="8" t="s">
        <v>326</v>
      </c>
      <c r="N228" s="8" t="s">
        <v>70</v>
      </c>
      <c r="O228" s="8" t="s">
        <v>70</v>
      </c>
    </row>
    <row r="229" spans="1:15">
      <c r="A229" s="8" t="s">
        <v>220</v>
      </c>
      <c r="B229" s="8" t="s">
        <v>238</v>
      </c>
      <c r="C229" s="8" t="s">
        <v>158</v>
      </c>
      <c r="D229" s="8" t="s">
        <v>159</v>
      </c>
      <c r="E229" s="8" t="s">
        <v>31</v>
      </c>
      <c r="F229" s="8" t="s">
        <v>371</v>
      </c>
      <c r="G229" s="8" t="s">
        <v>315</v>
      </c>
      <c r="H229" s="8" t="s">
        <v>70</v>
      </c>
      <c r="I229" s="8" t="s">
        <v>316</v>
      </c>
      <c r="J229" s="8" t="s">
        <v>432</v>
      </c>
      <c r="K229" s="8" t="s">
        <v>317</v>
      </c>
      <c r="L229" s="8" t="s">
        <v>323</v>
      </c>
      <c r="M229" s="8" t="s">
        <v>321</v>
      </c>
      <c r="N229" s="8" t="s">
        <v>70</v>
      </c>
      <c r="O229" s="8" t="s">
        <v>70</v>
      </c>
    </row>
    <row r="230" spans="1:15">
      <c r="A230" s="8" t="s">
        <v>221</v>
      </c>
      <c r="B230" s="8" t="s">
        <v>239</v>
      </c>
      <c r="C230" s="8" t="s">
        <v>158</v>
      </c>
      <c r="D230" s="8" t="s">
        <v>159</v>
      </c>
      <c r="E230" s="8" t="s">
        <v>31</v>
      </c>
      <c r="F230" s="8" t="s">
        <v>371</v>
      </c>
      <c r="G230" s="8" t="s">
        <v>315</v>
      </c>
      <c r="H230" s="8" t="s">
        <v>70</v>
      </c>
      <c r="I230" s="8" t="s">
        <v>316</v>
      </c>
      <c r="J230" s="8" t="s">
        <v>432</v>
      </c>
      <c r="K230" s="8" t="s">
        <v>317</v>
      </c>
      <c r="L230" s="8" t="s">
        <v>323</v>
      </c>
      <c r="M230" s="8" t="s">
        <v>321</v>
      </c>
      <c r="N230" s="8" t="s">
        <v>70</v>
      </c>
      <c r="O230" s="8" t="s">
        <v>70</v>
      </c>
    </row>
    <row r="231" spans="1:15">
      <c r="A231" s="8" t="s">
        <v>700</v>
      </c>
      <c r="B231" s="8" t="s">
        <v>701</v>
      </c>
      <c r="C231" s="8" t="s">
        <v>158</v>
      </c>
      <c r="D231" s="8" t="s">
        <v>159</v>
      </c>
      <c r="E231" s="8" t="s">
        <v>31</v>
      </c>
      <c r="F231" s="8" t="s">
        <v>371</v>
      </c>
      <c r="G231" s="8" t="s">
        <v>315</v>
      </c>
      <c r="H231" s="8" t="s">
        <v>70</v>
      </c>
      <c r="I231" s="8" t="s">
        <v>316</v>
      </c>
      <c r="J231" s="8" t="s">
        <v>432</v>
      </c>
      <c r="K231" s="8" t="s">
        <v>317</v>
      </c>
      <c r="L231" s="8" t="s">
        <v>323</v>
      </c>
      <c r="M231" s="8" t="s">
        <v>321</v>
      </c>
      <c r="N231" s="8" t="s">
        <v>70</v>
      </c>
      <c r="O231" s="8" t="s">
        <v>70</v>
      </c>
    </row>
    <row r="232" spans="1:15">
      <c r="A232" s="8" t="s">
        <v>92</v>
      </c>
      <c r="B232" s="8" t="s">
        <v>178</v>
      </c>
      <c r="C232" s="8" t="s">
        <v>158</v>
      </c>
      <c r="D232" s="8" t="s">
        <v>159</v>
      </c>
      <c r="E232" s="8" t="s">
        <v>31</v>
      </c>
      <c r="F232" s="8" t="s">
        <v>371</v>
      </c>
      <c r="G232" s="8" t="s">
        <v>315</v>
      </c>
      <c r="H232" s="8" t="s">
        <v>70</v>
      </c>
      <c r="I232" s="8" t="s">
        <v>316</v>
      </c>
      <c r="J232" s="8" t="s">
        <v>432</v>
      </c>
      <c r="K232" s="8" t="s">
        <v>317</v>
      </c>
      <c r="L232" s="8" t="s">
        <v>323</v>
      </c>
      <c r="M232" s="8" t="s">
        <v>321</v>
      </c>
      <c r="N232" s="8" t="s">
        <v>70</v>
      </c>
      <c r="O232" s="8" t="s">
        <v>70</v>
      </c>
    </row>
    <row r="233" spans="1:15">
      <c r="A233" s="8" t="s">
        <v>702</v>
      </c>
      <c r="B233" s="8" t="s">
        <v>703</v>
      </c>
      <c r="C233" s="8" t="s">
        <v>158</v>
      </c>
      <c r="D233" s="8" t="s">
        <v>159</v>
      </c>
      <c r="E233" s="8" t="s">
        <v>31</v>
      </c>
      <c r="F233" s="8" t="s">
        <v>371</v>
      </c>
      <c r="G233" s="8" t="s">
        <v>315</v>
      </c>
      <c r="H233" s="8" t="s">
        <v>70</v>
      </c>
      <c r="I233" s="8" t="s">
        <v>316</v>
      </c>
      <c r="J233" s="8" t="s">
        <v>432</v>
      </c>
      <c r="K233" s="8" t="s">
        <v>317</v>
      </c>
      <c r="L233" s="8" t="s">
        <v>323</v>
      </c>
      <c r="M233" s="8" t="s">
        <v>321</v>
      </c>
      <c r="N233" s="8" t="s">
        <v>70</v>
      </c>
      <c r="O233" s="8" t="s">
        <v>70</v>
      </c>
    </row>
    <row r="234" spans="1:15">
      <c r="A234" s="8" t="s">
        <v>704</v>
      </c>
      <c r="B234" s="8" t="s">
        <v>705</v>
      </c>
      <c r="C234" s="8" t="s">
        <v>158</v>
      </c>
      <c r="D234" s="8" t="s">
        <v>159</v>
      </c>
      <c r="E234" s="8" t="s">
        <v>31</v>
      </c>
      <c r="F234" s="8" t="s">
        <v>371</v>
      </c>
      <c r="G234" s="8" t="s">
        <v>315</v>
      </c>
      <c r="H234" s="8" t="s">
        <v>70</v>
      </c>
      <c r="I234" s="8" t="s">
        <v>316</v>
      </c>
      <c r="J234" s="8" t="s">
        <v>432</v>
      </c>
      <c r="K234" s="8" t="s">
        <v>317</v>
      </c>
      <c r="L234" s="8" t="s">
        <v>323</v>
      </c>
      <c r="M234" s="8" t="s">
        <v>321</v>
      </c>
      <c r="N234" s="8" t="s">
        <v>70</v>
      </c>
      <c r="O234" s="8" t="s">
        <v>70</v>
      </c>
    </row>
    <row r="235" spans="1:15">
      <c r="A235" s="8" t="s">
        <v>706</v>
      </c>
      <c r="B235" s="8" t="s">
        <v>707</v>
      </c>
      <c r="C235" s="8" t="s">
        <v>158</v>
      </c>
      <c r="D235" s="8" t="s">
        <v>159</v>
      </c>
      <c r="E235" s="8" t="s">
        <v>31</v>
      </c>
      <c r="F235" s="8" t="s">
        <v>371</v>
      </c>
      <c r="G235" s="8" t="s">
        <v>315</v>
      </c>
      <c r="H235" s="8" t="s">
        <v>70</v>
      </c>
      <c r="I235" s="8" t="s">
        <v>316</v>
      </c>
      <c r="J235" s="8" t="s">
        <v>432</v>
      </c>
      <c r="K235" s="8" t="s">
        <v>317</v>
      </c>
      <c r="L235" s="8" t="s">
        <v>323</v>
      </c>
      <c r="M235" s="8" t="s">
        <v>321</v>
      </c>
      <c r="N235" s="8" t="s">
        <v>70</v>
      </c>
      <c r="O235" s="8" t="s">
        <v>70</v>
      </c>
    </row>
    <row r="236" spans="1:15">
      <c r="A236" s="8" t="s">
        <v>708</v>
      </c>
      <c r="B236" s="8" t="s">
        <v>707</v>
      </c>
      <c r="C236" s="8" t="s">
        <v>158</v>
      </c>
      <c r="D236" s="8" t="s">
        <v>159</v>
      </c>
      <c r="E236" s="8" t="s">
        <v>31</v>
      </c>
      <c r="F236" s="8" t="s">
        <v>371</v>
      </c>
      <c r="G236" s="8" t="s">
        <v>315</v>
      </c>
      <c r="H236" s="8" t="s">
        <v>70</v>
      </c>
      <c r="I236" s="8" t="s">
        <v>316</v>
      </c>
      <c r="J236" s="8" t="s">
        <v>432</v>
      </c>
      <c r="K236" s="8" t="s">
        <v>317</v>
      </c>
      <c r="L236" s="8" t="s">
        <v>323</v>
      </c>
      <c r="M236" s="8" t="s">
        <v>321</v>
      </c>
      <c r="N236" s="8" t="s">
        <v>70</v>
      </c>
      <c r="O236" s="8" t="s">
        <v>70</v>
      </c>
    </row>
    <row r="237" spans="1:15" ht="30">
      <c r="A237" s="8" t="s">
        <v>709</v>
      </c>
      <c r="B237" s="11" t="s">
        <v>710</v>
      </c>
      <c r="C237" s="8" t="s">
        <v>158</v>
      </c>
      <c r="D237" s="8" t="s">
        <v>159</v>
      </c>
      <c r="E237" s="8" t="s">
        <v>31</v>
      </c>
      <c r="F237" s="8" t="s">
        <v>371</v>
      </c>
      <c r="G237" s="8" t="s">
        <v>315</v>
      </c>
      <c r="H237" s="8" t="s">
        <v>70</v>
      </c>
      <c r="I237" s="8" t="s">
        <v>316</v>
      </c>
      <c r="J237" s="8" t="s">
        <v>432</v>
      </c>
      <c r="K237" s="8" t="s">
        <v>317</v>
      </c>
      <c r="L237" s="8" t="s">
        <v>323</v>
      </c>
      <c r="M237" s="8" t="s">
        <v>335</v>
      </c>
      <c r="N237" s="8" t="s">
        <v>70</v>
      </c>
      <c r="O237" s="8" t="s">
        <v>70</v>
      </c>
    </row>
    <row r="238" spans="1:15">
      <c r="A238" s="8" t="s">
        <v>222</v>
      </c>
      <c r="B238" s="8" t="s">
        <v>240</v>
      </c>
      <c r="C238" s="8" t="s">
        <v>158</v>
      </c>
      <c r="D238" s="8" t="s">
        <v>159</v>
      </c>
      <c r="E238" s="8" t="s">
        <v>32</v>
      </c>
      <c r="F238" s="8" t="s">
        <v>371</v>
      </c>
      <c r="G238" s="8" t="s">
        <v>315</v>
      </c>
      <c r="H238" s="8" t="s">
        <v>70</v>
      </c>
      <c r="I238" s="8" t="s">
        <v>316</v>
      </c>
      <c r="J238" s="8" t="s">
        <v>432</v>
      </c>
      <c r="K238" s="8" t="s">
        <v>317</v>
      </c>
      <c r="L238" s="8" t="s">
        <v>546</v>
      </c>
      <c r="M238" s="8" t="s">
        <v>319</v>
      </c>
      <c r="N238" s="8" t="s">
        <v>70</v>
      </c>
      <c r="O238" s="8" t="s">
        <v>70</v>
      </c>
    </row>
    <row r="239" spans="1:15">
      <c r="A239" s="8" t="s">
        <v>711</v>
      </c>
      <c r="B239" s="8" t="s">
        <v>711</v>
      </c>
      <c r="C239" s="8" t="s">
        <v>437</v>
      </c>
      <c r="D239" s="8" t="s">
        <v>159</v>
      </c>
      <c r="E239" s="8" t="s">
        <v>31</v>
      </c>
      <c r="F239" s="8" t="s">
        <v>371</v>
      </c>
      <c r="G239" s="8" t="s">
        <v>438</v>
      </c>
      <c r="H239" s="8" t="s">
        <v>70</v>
      </c>
      <c r="I239" s="8" t="s">
        <v>316</v>
      </c>
      <c r="J239" s="8" t="s">
        <v>432</v>
      </c>
      <c r="K239" s="8" t="s">
        <v>317</v>
      </c>
      <c r="L239" s="8" t="s">
        <v>437</v>
      </c>
      <c r="M239" s="8" t="s">
        <v>70</v>
      </c>
      <c r="N239" s="8" t="s">
        <v>70</v>
      </c>
      <c r="O239" s="8" t="s">
        <v>70</v>
      </c>
    </row>
    <row r="240" spans="1:15">
      <c r="A240" s="8" t="s">
        <v>712</v>
      </c>
      <c r="B240" s="8" t="s">
        <v>712</v>
      </c>
      <c r="C240" s="8" t="s">
        <v>437</v>
      </c>
      <c r="D240" s="8" t="s">
        <v>159</v>
      </c>
      <c r="E240" s="8" t="s">
        <v>31</v>
      </c>
      <c r="F240" s="8" t="s">
        <v>371</v>
      </c>
      <c r="G240" s="8" t="s">
        <v>713</v>
      </c>
      <c r="H240" s="8" t="s">
        <v>70</v>
      </c>
      <c r="I240" s="8" t="s">
        <v>316</v>
      </c>
      <c r="J240" s="8" t="s">
        <v>432</v>
      </c>
      <c r="K240" s="8" t="s">
        <v>317</v>
      </c>
      <c r="L240" s="8" t="s">
        <v>437</v>
      </c>
      <c r="M240" s="8" t="s">
        <v>494</v>
      </c>
      <c r="N240" s="8" t="s">
        <v>70</v>
      </c>
      <c r="O240" s="8" t="s">
        <v>70</v>
      </c>
    </row>
    <row r="241" spans="1:15">
      <c r="A241" s="8" t="s">
        <v>714</v>
      </c>
      <c r="B241" s="8" t="s">
        <v>714</v>
      </c>
      <c r="C241" s="8" t="s">
        <v>437</v>
      </c>
      <c r="D241" s="8" t="s">
        <v>159</v>
      </c>
      <c r="E241" s="8" t="s">
        <v>31</v>
      </c>
      <c r="F241" s="8" t="s">
        <v>371</v>
      </c>
      <c r="G241" s="8" t="s">
        <v>438</v>
      </c>
      <c r="H241" s="8" t="s">
        <v>70</v>
      </c>
      <c r="I241" s="8" t="s">
        <v>316</v>
      </c>
      <c r="J241" s="8" t="s">
        <v>432</v>
      </c>
      <c r="K241" s="8" t="s">
        <v>317</v>
      </c>
      <c r="L241" s="8" t="s">
        <v>437</v>
      </c>
      <c r="M241" s="8" t="s">
        <v>494</v>
      </c>
      <c r="N241" s="8" t="s">
        <v>70</v>
      </c>
      <c r="O241" s="8" t="s">
        <v>70</v>
      </c>
    </row>
    <row r="242" spans="1:15">
      <c r="A242" s="8" t="s">
        <v>715</v>
      </c>
      <c r="B242" s="8" t="s">
        <v>715</v>
      </c>
      <c r="C242" s="8" t="s">
        <v>437</v>
      </c>
      <c r="D242" s="8" t="s">
        <v>159</v>
      </c>
      <c r="E242" s="8" t="s">
        <v>31</v>
      </c>
      <c r="F242" s="8" t="s">
        <v>371</v>
      </c>
      <c r="G242" s="8" t="s">
        <v>713</v>
      </c>
      <c r="H242" s="8" t="s">
        <v>70</v>
      </c>
      <c r="I242" s="8" t="s">
        <v>316</v>
      </c>
      <c r="J242" s="8" t="s">
        <v>432</v>
      </c>
      <c r="K242" s="8" t="s">
        <v>317</v>
      </c>
      <c r="L242" s="8" t="s">
        <v>437</v>
      </c>
      <c r="M242" s="8" t="s">
        <v>494</v>
      </c>
      <c r="N242" s="8" t="s">
        <v>70</v>
      </c>
      <c r="O242" s="8" t="s">
        <v>70</v>
      </c>
    </row>
    <row r="243" spans="1:15">
      <c r="A243" s="8" t="s">
        <v>716</v>
      </c>
      <c r="B243" s="8" t="s">
        <v>716</v>
      </c>
      <c r="C243" s="8" t="s">
        <v>437</v>
      </c>
      <c r="D243" s="8" t="s">
        <v>159</v>
      </c>
      <c r="E243" s="8" t="s">
        <v>31</v>
      </c>
      <c r="F243" s="8" t="s">
        <v>371</v>
      </c>
      <c r="G243" s="8" t="s">
        <v>438</v>
      </c>
      <c r="H243" s="8" t="s">
        <v>70</v>
      </c>
      <c r="I243" s="8" t="s">
        <v>316</v>
      </c>
      <c r="J243" s="8" t="s">
        <v>432</v>
      </c>
      <c r="K243" s="8" t="s">
        <v>317</v>
      </c>
      <c r="L243" s="8" t="s">
        <v>437</v>
      </c>
      <c r="M243" s="8" t="s">
        <v>494</v>
      </c>
      <c r="N243" s="8" t="s">
        <v>70</v>
      </c>
      <c r="O243" s="8" t="s">
        <v>70</v>
      </c>
    </row>
    <row r="244" spans="1:15">
      <c r="A244" s="8" t="s">
        <v>717</v>
      </c>
      <c r="B244" s="8" t="s">
        <v>717</v>
      </c>
      <c r="C244" s="8" t="s">
        <v>437</v>
      </c>
      <c r="D244" s="8" t="s">
        <v>159</v>
      </c>
      <c r="E244" s="8" t="s">
        <v>31</v>
      </c>
      <c r="F244" s="8" t="s">
        <v>371</v>
      </c>
      <c r="G244" s="8" t="s">
        <v>438</v>
      </c>
      <c r="H244" s="8" t="s">
        <v>70</v>
      </c>
      <c r="I244" s="8" t="s">
        <v>316</v>
      </c>
      <c r="J244" s="8" t="s">
        <v>432</v>
      </c>
      <c r="K244" s="8" t="s">
        <v>317</v>
      </c>
      <c r="L244" s="8" t="s">
        <v>437</v>
      </c>
      <c r="M244" s="8" t="s">
        <v>494</v>
      </c>
      <c r="N244" s="8" t="s">
        <v>70</v>
      </c>
      <c r="O244" s="8" t="s">
        <v>70</v>
      </c>
    </row>
    <row r="245" spans="1:15">
      <c r="A245" s="8" t="s">
        <v>718</v>
      </c>
      <c r="B245" s="8" t="s">
        <v>718</v>
      </c>
      <c r="C245" s="8" t="s">
        <v>437</v>
      </c>
      <c r="D245" s="8" t="s">
        <v>159</v>
      </c>
      <c r="E245" s="8" t="s">
        <v>31</v>
      </c>
      <c r="F245" s="8" t="s">
        <v>371</v>
      </c>
      <c r="G245" s="8" t="s">
        <v>438</v>
      </c>
      <c r="H245" s="8" t="s">
        <v>70</v>
      </c>
      <c r="I245" s="8" t="s">
        <v>316</v>
      </c>
      <c r="J245" s="8" t="s">
        <v>432</v>
      </c>
      <c r="K245" s="8" t="s">
        <v>317</v>
      </c>
      <c r="L245" s="8" t="s">
        <v>437</v>
      </c>
      <c r="M245" s="8" t="s">
        <v>494</v>
      </c>
      <c r="N245" s="8" t="s">
        <v>70</v>
      </c>
      <c r="O245" s="8" t="s">
        <v>70</v>
      </c>
    </row>
    <row r="246" spans="1:15">
      <c r="A246" s="8" t="s">
        <v>719</v>
      </c>
      <c r="B246" s="8" t="s">
        <v>719</v>
      </c>
      <c r="C246" s="8" t="s">
        <v>437</v>
      </c>
      <c r="D246" s="8" t="s">
        <v>159</v>
      </c>
      <c r="E246" s="8" t="s">
        <v>31</v>
      </c>
      <c r="F246" s="8" t="s">
        <v>371</v>
      </c>
      <c r="G246" s="8" t="s">
        <v>713</v>
      </c>
      <c r="H246" s="8" t="s">
        <v>70</v>
      </c>
      <c r="I246" s="8" t="s">
        <v>316</v>
      </c>
      <c r="J246" s="8" t="s">
        <v>432</v>
      </c>
      <c r="K246" s="8" t="s">
        <v>317</v>
      </c>
      <c r="L246" s="8" t="s">
        <v>437</v>
      </c>
      <c r="M246" s="8" t="s">
        <v>494</v>
      </c>
      <c r="N246" s="8" t="s">
        <v>70</v>
      </c>
      <c r="O246" s="8" t="s">
        <v>70</v>
      </c>
    </row>
    <row r="247" spans="1:15">
      <c r="A247" s="8" t="s">
        <v>374</v>
      </c>
      <c r="B247" s="8" t="s">
        <v>374</v>
      </c>
      <c r="C247" s="8" t="s">
        <v>437</v>
      </c>
      <c r="D247" s="8" t="s">
        <v>159</v>
      </c>
      <c r="E247" s="8" t="s">
        <v>31</v>
      </c>
      <c r="F247" s="8" t="s">
        <v>371</v>
      </c>
      <c r="G247" s="8" t="s">
        <v>713</v>
      </c>
      <c r="H247" s="8" t="s">
        <v>70</v>
      </c>
      <c r="I247" s="8" t="s">
        <v>316</v>
      </c>
      <c r="J247" s="8" t="s">
        <v>432</v>
      </c>
      <c r="K247" s="8" t="s">
        <v>317</v>
      </c>
      <c r="L247" s="8" t="s">
        <v>437</v>
      </c>
      <c r="M247" s="8" t="s">
        <v>494</v>
      </c>
      <c r="N247" s="8" t="s">
        <v>70</v>
      </c>
      <c r="O247" s="8" t="s">
        <v>70</v>
      </c>
    </row>
    <row r="248" spans="1:15">
      <c r="A248" s="8" t="s">
        <v>720</v>
      </c>
      <c r="B248" s="8" t="s">
        <v>720</v>
      </c>
      <c r="C248" s="8" t="s">
        <v>437</v>
      </c>
      <c r="D248" s="8" t="s">
        <v>159</v>
      </c>
      <c r="E248" s="8" t="s">
        <v>31</v>
      </c>
      <c r="F248" s="8" t="s">
        <v>371</v>
      </c>
      <c r="G248" s="8" t="s">
        <v>438</v>
      </c>
      <c r="H248" s="8" t="s">
        <v>70</v>
      </c>
      <c r="I248" s="8" t="s">
        <v>316</v>
      </c>
      <c r="J248" s="8" t="s">
        <v>432</v>
      </c>
      <c r="K248" s="8" t="s">
        <v>317</v>
      </c>
      <c r="L248" s="8" t="s">
        <v>437</v>
      </c>
      <c r="M248" s="8" t="s">
        <v>70</v>
      </c>
      <c r="N248" s="8" t="s">
        <v>70</v>
      </c>
      <c r="O248" s="8" t="s">
        <v>70</v>
      </c>
    </row>
    <row r="249" spans="1:15">
      <c r="A249" s="8" t="s">
        <v>721</v>
      </c>
      <c r="B249" s="8" t="s">
        <v>722</v>
      </c>
      <c r="C249" s="8" t="s">
        <v>158</v>
      </c>
      <c r="D249" s="8" t="s">
        <v>159</v>
      </c>
      <c r="E249" s="8" t="s">
        <v>31</v>
      </c>
      <c r="F249" s="8" t="s">
        <v>371</v>
      </c>
      <c r="G249" s="8" t="s">
        <v>315</v>
      </c>
      <c r="H249" s="8" t="s">
        <v>70</v>
      </c>
      <c r="I249" s="8" t="s">
        <v>316</v>
      </c>
      <c r="J249" s="8" t="s">
        <v>432</v>
      </c>
      <c r="K249" s="8" t="s">
        <v>317</v>
      </c>
      <c r="L249" s="8" t="s">
        <v>577</v>
      </c>
      <c r="M249" s="8" t="s">
        <v>324</v>
      </c>
      <c r="N249" s="8" t="s">
        <v>70</v>
      </c>
      <c r="O249" s="8" t="s">
        <v>70</v>
      </c>
    </row>
    <row r="250" spans="1:15">
      <c r="A250" s="8" t="s">
        <v>723</v>
      </c>
      <c r="B250" s="8" t="s">
        <v>724</v>
      </c>
      <c r="C250" s="8" t="s">
        <v>158</v>
      </c>
      <c r="D250" s="8" t="s">
        <v>159</v>
      </c>
      <c r="E250" s="8" t="s">
        <v>31</v>
      </c>
      <c r="F250" s="8" t="s">
        <v>371</v>
      </c>
      <c r="G250" s="8" t="s">
        <v>315</v>
      </c>
      <c r="H250" s="8" t="s">
        <v>70</v>
      </c>
      <c r="I250" s="8" t="s">
        <v>316</v>
      </c>
      <c r="J250" s="8" t="s">
        <v>432</v>
      </c>
      <c r="K250" s="8" t="s">
        <v>317</v>
      </c>
      <c r="L250" s="8" t="s">
        <v>577</v>
      </c>
      <c r="M250" s="8" t="s">
        <v>324</v>
      </c>
      <c r="N250" s="8" t="s">
        <v>70</v>
      </c>
      <c r="O250" s="8" t="s">
        <v>70</v>
      </c>
    </row>
    <row r="251" spans="1:15">
      <c r="A251" s="8" t="s">
        <v>725</v>
      </c>
      <c r="B251" s="8" t="s">
        <v>726</v>
      </c>
      <c r="C251" s="8" t="s">
        <v>158</v>
      </c>
      <c r="D251" s="8" t="s">
        <v>159</v>
      </c>
      <c r="E251" s="8" t="s">
        <v>31</v>
      </c>
      <c r="F251" s="8" t="s">
        <v>371</v>
      </c>
      <c r="G251" s="8" t="s">
        <v>315</v>
      </c>
      <c r="H251" s="8" t="s">
        <v>70</v>
      </c>
      <c r="I251" s="8" t="s">
        <v>316</v>
      </c>
      <c r="J251" s="8" t="s">
        <v>432</v>
      </c>
      <c r="K251" s="8" t="s">
        <v>317</v>
      </c>
      <c r="L251" s="8" t="s">
        <v>577</v>
      </c>
      <c r="M251" s="8" t="s">
        <v>324</v>
      </c>
      <c r="N251" s="8" t="s">
        <v>70</v>
      </c>
      <c r="O251" s="8" t="s">
        <v>70</v>
      </c>
    </row>
    <row r="252" spans="1:15">
      <c r="A252" s="8" t="s">
        <v>727</v>
      </c>
      <c r="B252" s="8" t="s">
        <v>728</v>
      </c>
      <c r="C252" s="8" t="s">
        <v>158</v>
      </c>
      <c r="D252" s="8" t="s">
        <v>159</v>
      </c>
      <c r="E252" s="8" t="s">
        <v>31</v>
      </c>
      <c r="F252" s="8" t="s">
        <v>371</v>
      </c>
      <c r="G252" s="8" t="s">
        <v>315</v>
      </c>
      <c r="H252" s="8" t="s">
        <v>70</v>
      </c>
      <c r="I252" s="8" t="s">
        <v>316</v>
      </c>
      <c r="J252" s="8" t="s">
        <v>432</v>
      </c>
      <c r="K252" s="8" t="s">
        <v>317</v>
      </c>
      <c r="L252" s="8" t="s">
        <v>577</v>
      </c>
      <c r="M252" s="8" t="s">
        <v>324</v>
      </c>
      <c r="N252" s="8" t="s">
        <v>70</v>
      </c>
      <c r="O252" s="8" t="s">
        <v>70</v>
      </c>
    </row>
    <row r="253" spans="1:15">
      <c r="A253" s="8" t="s">
        <v>729</v>
      </c>
      <c r="B253" s="8" t="s">
        <v>730</v>
      </c>
      <c r="C253" s="8" t="s">
        <v>158</v>
      </c>
      <c r="D253" s="8" t="s">
        <v>159</v>
      </c>
      <c r="E253" s="8" t="s">
        <v>31</v>
      </c>
      <c r="F253" s="8" t="s">
        <v>371</v>
      </c>
      <c r="G253" s="8" t="s">
        <v>315</v>
      </c>
      <c r="H253" s="8" t="s">
        <v>70</v>
      </c>
      <c r="I253" s="8" t="s">
        <v>316</v>
      </c>
      <c r="J253" s="8" t="s">
        <v>432</v>
      </c>
      <c r="K253" s="8" t="s">
        <v>317</v>
      </c>
      <c r="L253" s="8" t="s">
        <v>577</v>
      </c>
      <c r="M253" s="8" t="s">
        <v>324</v>
      </c>
      <c r="N253" s="8" t="s">
        <v>70</v>
      </c>
      <c r="O253" s="8" t="s">
        <v>70</v>
      </c>
    </row>
    <row r="254" spans="1:15">
      <c r="A254" s="8" t="s">
        <v>223</v>
      </c>
      <c r="B254" s="8" t="s">
        <v>241</v>
      </c>
      <c r="C254" s="8" t="s">
        <v>437</v>
      </c>
      <c r="D254" s="8" t="s">
        <v>159</v>
      </c>
      <c r="E254" s="8" t="s">
        <v>31</v>
      </c>
      <c r="F254" s="8" t="s">
        <v>371</v>
      </c>
      <c r="G254" s="8" t="s">
        <v>731</v>
      </c>
      <c r="H254" s="8" t="s">
        <v>70</v>
      </c>
      <c r="I254" s="8" t="s">
        <v>316</v>
      </c>
      <c r="J254" s="8" t="s">
        <v>432</v>
      </c>
      <c r="K254" s="8" t="s">
        <v>317</v>
      </c>
      <c r="L254" s="8" t="s">
        <v>732</v>
      </c>
      <c r="M254" s="8" t="s">
        <v>733</v>
      </c>
      <c r="N254" s="8" t="s">
        <v>70</v>
      </c>
      <c r="O254" s="8" t="s">
        <v>70</v>
      </c>
    </row>
    <row r="255" spans="1:1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76"/>
  <sheetViews>
    <sheetView workbookViewId="0">
      <pane ySplit="10" topLeftCell="A59" activePane="bottomLeft" state="frozen"/>
      <selection pane="bottomLeft" activeCell="A73" sqref="A73:A76"/>
    </sheetView>
  </sheetViews>
  <sheetFormatPr defaultRowHeight="15"/>
  <cols>
    <col min="1" max="1" width="11.42578125" bestFit="1" customWidth="1"/>
    <col min="2" max="3" width="26.85546875" bestFit="1" customWidth="1"/>
  </cols>
  <sheetData>
    <row r="1" spans="1:3">
      <c r="A1" t="s">
        <v>145</v>
      </c>
    </row>
    <row r="2" spans="1:3">
      <c r="A2" t="s">
        <v>151</v>
      </c>
      <c r="B2" t="s">
        <v>152</v>
      </c>
    </row>
    <row r="3" spans="1:3">
      <c r="A3" t="s">
        <v>146</v>
      </c>
      <c r="B3" t="s">
        <v>146</v>
      </c>
    </row>
    <row r="4" spans="1:3">
      <c r="A4" t="s">
        <v>147</v>
      </c>
      <c r="B4" t="s">
        <v>147</v>
      </c>
    </row>
    <row r="5" spans="1:3">
      <c r="A5" t="s">
        <v>148</v>
      </c>
      <c r="B5" t="s">
        <v>148</v>
      </c>
    </row>
    <row r="6" spans="1:3">
      <c r="A6" t="s">
        <v>149</v>
      </c>
      <c r="B6" t="s">
        <v>149</v>
      </c>
    </row>
    <row r="7" spans="1:3">
      <c r="A7" t="s">
        <v>179</v>
      </c>
      <c r="B7" t="s">
        <v>179</v>
      </c>
    </row>
    <row r="9" spans="1:3">
      <c r="A9" t="s">
        <v>150</v>
      </c>
    </row>
    <row r="10" spans="1:3">
      <c r="A10" t="s">
        <v>151</v>
      </c>
      <c r="B10" t="s">
        <v>153</v>
      </c>
      <c r="C10" t="s">
        <v>154</v>
      </c>
    </row>
    <row r="11" spans="1:3">
      <c r="A11" t="s">
        <v>146</v>
      </c>
      <c r="B11" t="s">
        <v>6</v>
      </c>
      <c r="C11" t="s">
        <v>6</v>
      </c>
    </row>
    <row r="12" spans="1:3">
      <c r="A12" t="s">
        <v>146</v>
      </c>
      <c r="B12" t="s">
        <v>43</v>
      </c>
      <c r="C12" t="s">
        <v>43</v>
      </c>
    </row>
    <row r="13" spans="1:3">
      <c r="A13" t="s">
        <v>146</v>
      </c>
      <c r="B13" t="s">
        <v>44</v>
      </c>
      <c r="C13" t="s">
        <v>44</v>
      </c>
    </row>
    <row r="14" spans="1:3">
      <c r="A14" t="s">
        <v>146</v>
      </c>
      <c r="B14" t="s">
        <v>71</v>
      </c>
      <c r="C14" t="s">
        <v>71</v>
      </c>
    </row>
    <row r="15" spans="1:3">
      <c r="A15" t="s">
        <v>146</v>
      </c>
      <c r="B15" t="s">
        <v>76</v>
      </c>
      <c r="C15" t="s">
        <v>76</v>
      </c>
    </row>
    <row r="16" spans="1:3">
      <c r="A16" t="s">
        <v>146</v>
      </c>
      <c r="B16" t="s">
        <v>77</v>
      </c>
      <c r="C16" t="s">
        <v>77</v>
      </c>
    </row>
    <row r="17" spans="1:3">
      <c r="A17" t="s">
        <v>146</v>
      </c>
      <c r="B17" t="s">
        <v>72</v>
      </c>
      <c r="C17" t="s">
        <v>72</v>
      </c>
    </row>
    <row r="18" spans="1:3">
      <c r="A18" t="s">
        <v>146</v>
      </c>
      <c r="B18" t="s">
        <v>73</v>
      </c>
      <c r="C18" t="s">
        <v>73</v>
      </c>
    </row>
    <row r="19" spans="1:3">
      <c r="A19" s="12" t="s">
        <v>147</v>
      </c>
      <c r="B19" t="s">
        <v>6</v>
      </c>
      <c r="C19" t="s">
        <v>6</v>
      </c>
    </row>
    <row r="20" spans="1:3">
      <c r="A20" s="12" t="s">
        <v>147</v>
      </c>
      <c r="B20" t="s">
        <v>43</v>
      </c>
      <c r="C20" t="s">
        <v>43</v>
      </c>
    </row>
    <row r="21" spans="1:3">
      <c r="A21" s="12" t="s">
        <v>147</v>
      </c>
      <c r="B21" t="s">
        <v>44</v>
      </c>
      <c r="C21" t="s">
        <v>44</v>
      </c>
    </row>
    <row r="22" spans="1:3">
      <c r="A22" s="12" t="s">
        <v>147</v>
      </c>
      <c r="B22" t="s">
        <v>12</v>
      </c>
      <c r="C22" t="s">
        <v>12</v>
      </c>
    </row>
    <row r="23" spans="1:3">
      <c r="A23" s="12" t="s">
        <v>147</v>
      </c>
      <c r="B23" t="s">
        <v>36</v>
      </c>
      <c r="C23" t="s">
        <v>36</v>
      </c>
    </row>
    <row r="24" spans="1:3">
      <c r="A24" s="12" t="s">
        <v>147</v>
      </c>
      <c r="B24" t="s">
        <v>134</v>
      </c>
      <c r="C24" t="s">
        <v>134</v>
      </c>
    </row>
    <row r="25" spans="1:3">
      <c r="A25" s="12" t="s">
        <v>147</v>
      </c>
      <c r="B25" t="s">
        <v>135</v>
      </c>
      <c r="C25" t="s">
        <v>135</v>
      </c>
    </row>
    <row r="26" spans="1:3">
      <c r="A26" s="12" t="s">
        <v>147</v>
      </c>
      <c r="B26" t="s">
        <v>79</v>
      </c>
      <c r="C26" t="s">
        <v>79</v>
      </c>
    </row>
    <row r="27" spans="1:3">
      <c r="A27" s="12" t="s">
        <v>147</v>
      </c>
      <c r="B27" t="s">
        <v>80</v>
      </c>
      <c r="C27" t="s">
        <v>80</v>
      </c>
    </row>
    <row r="28" spans="1:3">
      <c r="A28" s="12" t="s">
        <v>147</v>
      </c>
      <c r="B28" t="s">
        <v>136</v>
      </c>
      <c r="C28" t="s">
        <v>136</v>
      </c>
    </row>
    <row r="29" spans="1:3">
      <c r="A29" s="12" t="s">
        <v>147</v>
      </c>
      <c r="B29" t="s">
        <v>137</v>
      </c>
      <c r="C29" t="s">
        <v>137</v>
      </c>
    </row>
    <row r="30" spans="1:3">
      <c r="A30" s="12" t="s">
        <v>147</v>
      </c>
      <c r="B30" t="s">
        <v>132</v>
      </c>
      <c r="C30" t="s">
        <v>132</v>
      </c>
    </row>
    <row r="31" spans="1:3">
      <c r="A31" s="12" t="s">
        <v>147</v>
      </c>
      <c r="B31" t="s">
        <v>133</v>
      </c>
      <c r="C31" t="s">
        <v>133</v>
      </c>
    </row>
    <row r="32" spans="1:3">
      <c r="A32" s="13" t="s">
        <v>148</v>
      </c>
      <c r="B32" t="s">
        <v>8</v>
      </c>
      <c r="C32" t="s">
        <v>8</v>
      </c>
    </row>
    <row r="33" spans="1:3">
      <c r="A33" s="13" t="s">
        <v>148</v>
      </c>
      <c r="B33" t="s">
        <v>9</v>
      </c>
      <c r="C33" t="s">
        <v>9</v>
      </c>
    </row>
    <row r="34" spans="1:3">
      <c r="A34" s="13" t="s">
        <v>148</v>
      </c>
      <c r="B34" t="s">
        <v>6</v>
      </c>
      <c r="C34" t="s">
        <v>6</v>
      </c>
    </row>
    <row r="35" spans="1:3">
      <c r="A35" s="13" t="s">
        <v>148</v>
      </c>
      <c r="B35" t="s">
        <v>25</v>
      </c>
      <c r="C35" t="s">
        <v>25</v>
      </c>
    </row>
    <row r="36" spans="1:3">
      <c r="A36" s="13" t="s">
        <v>148</v>
      </c>
      <c r="B36" t="s">
        <v>43</v>
      </c>
      <c r="C36" t="s">
        <v>43</v>
      </c>
    </row>
    <row r="37" spans="1:3">
      <c r="A37" s="13" t="s">
        <v>148</v>
      </c>
      <c r="B37" t="s">
        <v>44</v>
      </c>
      <c r="C37" t="s">
        <v>44</v>
      </c>
    </row>
    <row r="38" spans="1:3">
      <c r="A38" s="13" t="s">
        <v>148</v>
      </c>
      <c r="B38" t="s">
        <v>10</v>
      </c>
      <c r="C38" t="s">
        <v>10</v>
      </c>
    </row>
    <row r="39" spans="1:3">
      <c r="A39" s="13" t="s">
        <v>148</v>
      </c>
      <c r="B39" t="s">
        <v>11</v>
      </c>
      <c r="C39" t="s">
        <v>11</v>
      </c>
    </row>
    <row r="40" spans="1:3">
      <c r="A40" s="13" t="s">
        <v>148</v>
      </c>
      <c r="B40" t="s">
        <v>12</v>
      </c>
      <c r="C40" t="s">
        <v>12</v>
      </c>
    </row>
    <row r="41" spans="1:3">
      <c r="A41" s="13" t="s">
        <v>148</v>
      </c>
      <c r="B41" t="s">
        <v>30</v>
      </c>
      <c r="C41" t="s">
        <v>30</v>
      </c>
    </row>
    <row r="42" spans="1:3">
      <c r="A42" s="13" t="s">
        <v>148</v>
      </c>
      <c r="B42" t="s">
        <v>7</v>
      </c>
      <c r="C42" t="s">
        <v>7</v>
      </c>
    </row>
    <row r="43" spans="1:3">
      <c r="A43" s="13" t="s">
        <v>148</v>
      </c>
      <c r="B43" t="s">
        <v>131</v>
      </c>
      <c r="C43" t="s">
        <v>131</v>
      </c>
    </row>
    <row r="44" spans="1:3">
      <c r="A44" s="13" t="s">
        <v>148</v>
      </c>
      <c r="B44" t="s">
        <v>39</v>
      </c>
      <c r="C44" t="s">
        <v>39</v>
      </c>
    </row>
    <row r="45" spans="1:3">
      <c r="A45" s="13" t="s">
        <v>148</v>
      </c>
      <c r="B45" t="s">
        <v>81</v>
      </c>
      <c r="C45" t="s">
        <v>81</v>
      </c>
    </row>
    <row r="46" spans="1:3">
      <c r="A46" s="13" t="s">
        <v>149</v>
      </c>
      <c r="B46" t="s">
        <v>8</v>
      </c>
      <c r="C46" t="s">
        <v>8</v>
      </c>
    </row>
    <row r="47" spans="1:3">
      <c r="A47" s="13" t="s">
        <v>149</v>
      </c>
      <c r="B47" t="s">
        <v>9</v>
      </c>
      <c r="C47" t="s">
        <v>9</v>
      </c>
    </row>
    <row r="48" spans="1:3">
      <c r="A48" s="13" t="s">
        <v>149</v>
      </c>
      <c r="B48" t="s">
        <v>6</v>
      </c>
      <c r="C48" t="s">
        <v>6</v>
      </c>
    </row>
    <row r="49" spans="1:3">
      <c r="A49" s="13" t="s">
        <v>149</v>
      </c>
      <c r="B49" t="s">
        <v>25</v>
      </c>
      <c r="C49" t="s">
        <v>25</v>
      </c>
    </row>
    <row r="50" spans="1:3">
      <c r="A50" s="13" t="s">
        <v>149</v>
      </c>
      <c r="B50" t="s">
        <v>41</v>
      </c>
      <c r="C50" t="s">
        <v>41</v>
      </c>
    </row>
    <row r="51" spans="1:3">
      <c r="A51" s="13" t="s">
        <v>149</v>
      </c>
      <c r="B51" t="s">
        <v>43</v>
      </c>
      <c r="C51" t="s">
        <v>43</v>
      </c>
    </row>
    <row r="52" spans="1:3">
      <c r="A52" s="13" t="s">
        <v>149</v>
      </c>
      <c r="B52" t="s">
        <v>44</v>
      </c>
      <c r="C52" t="s">
        <v>44</v>
      </c>
    </row>
    <row r="53" spans="1:3">
      <c r="A53" s="13" t="s">
        <v>149</v>
      </c>
      <c r="B53" t="s">
        <v>12</v>
      </c>
      <c r="C53" t="s">
        <v>12</v>
      </c>
    </row>
    <row r="54" spans="1:3">
      <c r="A54" s="13" t="s">
        <v>149</v>
      </c>
      <c r="B54" t="s">
        <v>30</v>
      </c>
      <c r="C54" t="s">
        <v>30</v>
      </c>
    </row>
    <row r="55" spans="1:3">
      <c r="A55" s="13" t="s">
        <v>149</v>
      </c>
      <c r="B55" t="s">
        <v>35</v>
      </c>
      <c r="C55" t="s">
        <v>35</v>
      </c>
    </row>
    <row r="56" spans="1:3">
      <c r="A56" s="13" t="s">
        <v>149</v>
      </c>
      <c r="B56" t="s">
        <v>36</v>
      </c>
      <c r="C56" t="s">
        <v>36</v>
      </c>
    </row>
    <row r="57" spans="1:3">
      <c r="A57" s="13" t="s">
        <v>149</v>
      </c>
      <c r="B57" t="s">
        <v>39</v>
      </c>
      <c r="C57" t="s">
        <v>39</v>
      </c>
    </row>
    <row r="58" spans="1:3">
      <c r="A58" s="13" t="s">
        <v>149</v>
      </c>
      <c r="B58" t="s">
        <v>37</v>
      </c>
      <c r="C58" t="s">
        <v>37</v>
      </c>
    </row>
    <row r="59" spans="1:3">
      <c r="A59" s="13" t="s">
        <v>149</v>
      </c>
      <c r="B59" t="s">
        <v>38</v>
      </c>
      <c r="C59" t="s">
        <v>38</v>
      </c>
    </row>
    <row r="60" spans="1:3">
      <c r="A60" s="13" t="s">
        <v>149</v>
      </c>
      <c r="B60" t="s">
        <v>7</v>
      </c>
      <c r="C60" t="s">
        <v>7</v>
      </c>
    </row>
    <row r="61" spans="1:3">
      <c r="A61" s="13" t="s">
        <v>149</v>
      </c>
      <c r="B61" t="s">
        <v>40</v>
      </c>
      <c r="C61" t="s">
        <v>40</v>
      </c>
    </row>
    <row r="62" spans="1:3">
      <c r="A62" s="13" t="s">
        <v>149</v>
      </c>
      <c r="B62" t="s">
        <v>42</v>
      </c>
      <c r="C62" t="s">
        <v>42</v>
      </c>
    </row>
    <row r="63" spans="1:3">
      <c r="A63" s="13" t="s">
        <v>179</v>
      </c>
      <c r="B63" t="s">
        <v>6</v>
      </c>
      <c r="C63" t="s">
        <v>6</v>
      </c>
    </row>
    <row r="64" spans="1:3">
      <c r="A64" s="13" t="s">
        <v>179</v>
      </c>
      <c r="B64" t="s">
        <v>25</v>
      </c>
      <c r="C64" t="s">
        <v>25</v>
      </c>
    </row>
    <row r="65" spans="1:3">
      <c r="A65" s="13" t="s">
        <v>179</v>
      </c>
      <c r="B65" t="s">
        <v>156</v>
      </c>
      <c r="C65" t="s">
        <v>156</v>
      </c>
    </row>
    <row r="66" spans="1:3">
      <c r="A66" s="13" t="s">
        <v>179</v>
      </c>
      <c r="B66" t="s">
        <v>157</v>
      </c>
      <c r="C66" t="s">
        <v>157</v>
      </c>
    </row>
    <row r="67" spans="1:3">
      <c r="A67" s="13" t="s">
        <v>179</v>
      </c>
      <c r="B67" t="s">
        <v>30</v>
      </c>
      <c r="C67" t="s">
        <v>30</v>
      </c>
    </row>
    <row r="72" spans="1:3">
      <c r="A72" t="s">
        <v>249</v>
      </c>
      <c r="B72" t="s">
        <v>250</v>
      </c>
    </row>
    <row r="73" spans="1:3">
      <c r="A73" t="s">
        <v>251</v>
      </c>
      <c r="B73" t="s">
        <v>248</v>
      </c>
    </row>
    <row r="74" spans="1:3">
      <c r="A74" t="s">
        <v>252</v>
      </c>
      <c r="B74" t="s">
        <v>253</v>
      </c>
    </row>
    <row r="75" spans="1:3">
      <c r="A75" t="s">
        <v>254</v>
      </c>
      <c r="B75" t="s">
        <v>255</v>
      </c>
    </row>
    <row r="76" spans="1:3">
      <c r="A76" t="s">
        <v>256</v>
      </c>
      <c r="B76" t="s">
        <v>4</v>
      </c>
    </row>
  </sheetData>
  <phoneticPr fontId="6" type="noConversion"/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<?xml version="1.0" encoding="utf-8"?>
<Atlas>
  <Query type="ReportList" id="7651b767-e078-4341-af16-f0b4190434b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PAAAAD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Q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hYmxlBh4AAAAFSXRlbXMJCAAAAAkIAAAACQgAAAAF4P///zBHbG9iZVNvZnR3YXJlLkF0bGFzNDAuQXRsYXNDb21tb24uRGF0YVNvdXJjZVR5cGUBAAAAB3ZhbHVlX18ACAIAAAAAAAAACSEAAAAJIgAAAATd////C1N5c3RlbS5HdWlkCwAAAAJfYQJfYgJfYwJfZAJfZQJfZgJfZwJfaAJfaQJfagJfawAAAAAAAAAAAAAACAcHAgICAgICAgJV6QBBotbIRqfQsU+nHi/uCQgAAAAJCAAAAAklAAAABiYAAAARVGFibGUuSW52ZW50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FRhYmxlLkludmVudFRhYmxlLkl0ZW1JZH5UYWJsZS5JbnZlbnRUYWJsZU1vZHVsZQkxAAAABxQAAAAAAQAAABAAAAAELUdsb2JlU29mdHdhcmUuQXRsYXM0MC5BdGxhc0NvbW1vbi5UeXBlLkNvbHVtbgIAAAAJMgAAAAkzAAAACTQAAAAJNQAAAAk2AAAACTcAAAAJOAAAAAk5AAAACToAAAAJOwAAAAk8AAAACT0AAAAJPgAAAAk/AAAACUAAAAAKERUAAAAEAAAABkEAAAANQXRsYXNSZXBvcnRfNQ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v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vP///77///8GRQAAABdUYWJsZS5JbnZlbnRUYWJsZU1vZHVsZQkw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5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j///8+R2xvYmVTb2Z0d2FyZS5BdGxhczQwLkF0bGFzQ29tbW9uLlR5cGUuQXRsYXNRdWVyeUF0dHJpYnV0ZU5hbWUBAAAAB3ZhbHVlX18ACAIAAAACAAAABkkAAAAkNzY1MWI3NjctZTA3OC00MzQxLWFmMTYtZjBiNDE5MDQzNGI5Abb///+5////AbX///+4////AAAAAAZMAAAABHRydWUBs////7n///8Bsv///7j///8LAAAABk8AAAAFSXRlbXMBsP///7n///8Br////7j///8bAAAABlIAAAAEVHJ1ZQGt////uf///wGs////uP///wYAAAAGVQAAAAVGYWxzZQGq////uf///wGp////uP///xwAAAAJUgAAAAGn////uf///wGm////uP///x0AAAAJVQAAAAGk////uf///wGj////uP///yoAAAAJUgAAAAGh////uf///wGg////uP///wEAAAAGYQAAAAMzNjQBnv///7n///8Bnf///7j///8nAAAABmQAAAALPURhdGFBcmVhSWQBm////7n///8Bmv///7j///8ZAAAABmcAAAAPQ2VsbHNWZXJ0aWNhbGx5AZj///+5////AZf///+4////CQAAAAoBlv///7n///8Blf///7j///8oAAAABmwAAAACMTUBk////7n///8Bkv///7j///8rAAAABm8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D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cQAAAAtJbnZlbnRUYWJsZQEAAAABjv///5D///8GcwAAABFJbnZlbnRUYWJsZU1vZHV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4AAAAJdAAAABEAAAAJdQ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XcAAAABJQAAAAQAAAABAAAACXQAAAADAAAACXk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egAAAAAAAAAHKgAAAAABAAAAAAAAAAQtR2xvYmVTb2Z0d2FyZS5BdGxhczQwLkF0bGFzQ29tbW9uLlR5cGUuQ29sdW1uAgAAAAExAAAADgAAAP////8GewAAABFJbnZlbnRUYWJsZU1vZHVsZQZ8AAAAG0ludmVudG9yeSBtb2R1bGUgcGFyYW1ldGVycwkIAAAACQgAAAAJCAAAAAGC////4P///wAAAAAJfwAAAAmAAAAAAX/////d////bBVrjMpB2UG+KhapGbAntQkIAAAACQgAAAAJgwAAAAkwAAAABoUAAAALSW52ZW50VGFibGUGhgAAABFUYWJsZS5JbnZlbnRUYWJsZQaHAAAAGFRhYmxlLkludmVudFRhYmxlLkl0ZW1JZAaIAAAABkl0ZW1JZAaJAAAABkl0ZW1JZAEAAAABdv///9n///8AAAAAAXX////Y////AAAAAAAJjA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NAAAACY4AAAAJjwAAAAaQAAAABkl0ZW1JZAaRAAAAC0l0ZW0gbnVtYmVyBpIAAAAGU3RyaW5nCQgAAAAGlAAAACQyNTRiMTdhYS0xZWNmLTQyNWEtOThhYi1iMmRlNjJhZTczNGYFa////y1HbG9iZVNvZnR3YXJlLkF0bGFzNDAuQXRsYXNDb21tb24uQWdncmVnYXRpb24BAAAAB3ZhbHVlX18ACAIAAAD/////AAAAAAVq////LEdsb2JlU29mdHdhcmUuQXRsYXM0MC5BdGxhc0NvbW1vbi5Db2x1bW5UeXBlAQAAAAd2YWx1ZV9fAAgCAAAAAAAAAAVp////K0dsb2JlU29mdHdhcmUuQXRsYXM0MC5BdGxhc0NvbW1vbi5Tb3J0T3JkZXIBAAAAB3ZhbHVlX18ACAIAAAACAAAAAAAAAAAFaP///0BHbG9iZVNvZnR3YXJlLkF0bGFzNDAuQXRsYXNDb21tb24uVHlwZS5Db2x1bW4rQ3Jvc3NUYWJDb2x1bW5UeXBlAQAAAAd2YWx1ZV9fAAgCAAAAAAAAAAoBAAAAAAAAAAAAAAAAAAaZAAAAJGJjOGVmZTc5LTg3MzgtNGE5Mi05YmIxLTdhN2Q2ODk3YWJkMgaaAAAAGFRhYmxlLkludmVudFRhYmxlLkl0ZW1JZAoKCgoBMwAAADIAAAAJmwAAAAmcAAAACZ0AAAAGngAAAAhJdGVtTmFtZQafAAAACUl0ZW0gbmFtZQagAAAABlN0cmluZwkIAAAABqIAAAAkMWI3Mzk0MWYtNWFhMS00MTE0LTk0ZjgtMTI5M2VjODliYzg1AV3///9r/////////wEAAAABXP///2r///8AAAAAAVv///9p////AgAAAAAAAAAAAVr///9o////AAAAAAoBAAAAAAAAAAABAAAAAAanAAAAJDg4OTZjNTdjLWU2MDYtNGQxYS1hNmZmLTFmNGJjZmQ4YzcwNgaoAAAAGlRhYmxlLkludmVudFRhYmxlLkl0ZW1OYW1lCgoKCgE0AAAAMgAAAAmpAAAACaoAAAAJqwAAAAasAAAAC0l0ZW1Hcm91cElkBq0AAAAKSXRlbSBncm91cAauAAAABlN0cmluZwkIAAAABrAAAAAkODU5MzMyNjctMTlkYi00ZTcxLWJkYjUtZjcwNjAwMDJhYzM3AU////9r/////////wIAAAABTv///2r///8AAAAAAU3///9p////AgAAAAAAAAAAAUz///9o////AAAAAAoBAAAAAAAAAAACAAAAAAa1AAAAJDkwNjAyZGFiLWMwNDktNDg0Mi05MjNiLTFiMjE2MTc2Y2UxYwa2AAAAHVRhYmxlLkludmVudFRhYmxlLkl0ZW1Hcm91cElkCgoKCgE1AAAAMgAAAAm3AAAACbgAAAAJuQAAAAa6AAAACEl0ZW1UeXBlBrsAAAAJSXRlbSB0eXBlBrwAAAAERW51bQkIAAAABr4AAAAkNDlmNTBkYjUtN2E5My00Nzk4LTlkODctOGI2OThhMzlmZTE0AUH///9r/////////wMAAAABQP///2r///8AAAAAAT////9p////AgAAAAAAAAAAAT7///9o////AAAAAAoBAAAAAAAAAAADAAAAAAbDAAAAJGZlZjI1NzllLTY1ZDUtNGUzNS05Yzg1LTk3ZjY0OGFjZmFkMQbEAAAAGlRhYmxlLkludmVudFRhYmxlLkl0ZW1UeXBlCgoKCgE2AAAAMgAAAAnFAAAACcYAAAAJxwAAAAbIAAAABlVuaXRJZAbJAAAABFVuaXQGygAAAAZTdHJpbmcJCAAAAAbMAAAAJGZiNzdmZDkxLThkNjctNGNhMy1hODA4LTk0NjdhMmI2MGZmYwEz////a/////////8EAAAAATL///9q////AAAAAAEx////af///wIAAAAAAAAAAAEw////aP///wAAAAAKAQAAAAAAAAAABAAAAAAG0QAAACRiMjkxYThhMy0zYzVjLTRmNWEtYmQwMi0wMzU4MDYzZTQ3ODEG0gAAADdUYWJsZS5JbnZlbnRUYWJsZS5JdGVtSWR+VGFibGUuSW52ZW50VGFibGVNb2R1bGUuVW5pdElkCgoKCgE3AAAAMgAAAAnTAAAACdQAAAAJ1QAAAAbWAAAADERpbWVuc2lvblsxXQbXAAAABkJyYW5jaAbYAAAABlN0cmluZwkIAAAABtoAAAAkYjViNmM5MzQtZDc1Mi00MDRiLTlhMjAtMTM2YWMzMTE0N2FlASX///9r/////////wUAAAABJP///2r///8AAAAAASP///9p////AgAAAAAAAAAAASL///9o////AAAAAAoBAAAAAAAAAAAFAAAAAAbfAAAAJDViZDU5ZmM5LTJhYWMtNGViNi1iODM2LTczZWUxN2ZkODA0OQbgAAAAHlRhYmxlLkludmVudFRhYmxlLkRpbWVuc2lvblsxXQoKCgoBOAAAADIAAAAJ4QAAAAniAAAACeMAAAAG5AAAAAxEaW1lbnNpb25bMl0G5QAAAApEZXBhcnRtZW50CdgAAAAJCAAAAAboAAAAJGJkODllYzQ1LTgwZTMtNGU2MS05ZDA3LWQ1NGIzMjBhNDliYgEX////a/////////8GAAAAARb///9q////AAAAAAEV////af///wIAAAAAAAAAAAEU////aP///wAAAAAKAQAAAAAAAAAABgAAAAAG7QAAACQ3ZTI5NWIyNy1jOTk0LTRiOTctOTE5MC1hMTI5MzliM2I5YjkG7gAAAB5UYWJsZS5JbnZlbnRUYWJsZS5EaW1lbnNpb25bMl0KCgoKATkAAAAyAAAACe8AAAAJ8AAAAAnxAAAABvIAAAAMRGltZW5zaW9uWzNdBvMAAAALQ29zdCBDZW50ZXIJ2AAAAAkIAAAABvYAAAAkOTJmNTAwZmItMGU3My00NzVlLWI0MzAtMzczYmY1Nzg0YTQ4AQn///9r/////////wcAAAABCP///2r///8AAAAAAQf///9p////AgAAAAAAAAAAAQb///9o////AAAAAAoBAAAAAAAAAAAHAAAAAAb7AAAAJGJjZjZmYzcwLTgwODUtNDRhZC05OGJjLWIxOWFkNTFkNDg5ZQb8AAAAHlRhYmxlLkludmVudFRhYmxlLkRpbWVuc2lvblszXQoKCgoBOgAAADIAAAAJ/QAAAAn+AAAACf8AAAAGAAEAAAxEaW1lbnNpb25bNF0GAQEAAAdQdXJwb3NlCdgAAAAJCAAAAAYEAQAAJDM5OGIzNmRmLTFjYTUtNDAxYS04MzBkLTMzNzBmNmNmOWM4ZQH7/v//a/////////8IAAAAAfr+//9q////AAAAAAH5/v//af///wIAAAAAAAAAAAH4/v//aP///wAAAAAKAQAAAAAAAAAACAAAAAAGCQEAACQxYTY3NjlhZi03NjM1LTRkOGUtYTE4NS1mMTU0N2JkZWE5ZGMGCgEAAB5UYWJsZS5JbnZlbnRUYWJsZS5EaW1lbnNpb25bNF0KCgoKATsAAAAyAAAACQsBAAAJDAEAAAkNAQAABg4BAAAMRGltZW5zaW9uWzVdBg8BAAAJVGF4IEdyb3VwCdgAAAAJCAAAAAYSAQAAJDA4ZDE5NzUxLTZmMjgtNDZiOS04ZWFmLTE3MWQ2ZWM2ZDhlZQHt/v//a/////////8JAAAAAez+//9q////AAAAAAHr/v//af///wIAAAAAAAAAAAHq/v//aP///wAAAAAKAQAAAAAAAAAACQAAAAAGFwEAACQ0ZWIxOGZhOC1jYzM5LTRhNjMtYmQ1Zi02NWU3YmEwOTJlMDcGGAEAAB5UYWJsZS5JbnZlbnRUYWJsZS5EaW1lbnNpb25bNV0KCgoKATwAAAAyAAAACRkBAAAJGgEAAAkbAQAABhwBAAAMRGltZW5zaW9uWzZdBh0BAAAHU2VnbWVudAnYAAAACQgAAAAGIAEAACRjZWYxZDg3Ny1iMDgzLTRkYjctODRkYy0xZjNjZTM1M2ZkNjAB3/7//2v/////////CgAAAAHe/v//av///wAAAAAB3f7//2n///8CAAAAAAAAAAAB3P7//2j///8AAAAACgEAAAAAAAAAAAoAAAAABiUBAAAkODA3MjExYTEtYzRhZS00ZjA1LTk3NjgtODM1ZGZkYThiNGQ3BiYBAAAeVGFibGUuSW52ZW50VGFibGUuRGltZW5zaW9uWzZdCgoKCgE9AAAAMgAAAAknAQAACSgBAAAJKQEAAAYqAQAADERpbWVuc2lvbls3XQYrAQAAFU1ham9yIE1hcmtldGluZyBHcm91cAnYAAAACQgAAAAGLgEAACRjODFjYmVkNy0yYzVkLTRhNmMtYjJkNC1mYTViNzg0YmEzYWEB0f7//2v/////////CwAAAAHQ/v//av///wAAAAABz/7//2n///8CAAAAAAAAAAABzv7//2j///8AAAAACgEAAAAAAAAAAAsAAAAABjMBAAAkNTQ1YzZjNzMtMzg0YS00ZTJmLTgzZDUtNTQzOGRlZjMxMjVhBjQBAAAeVGFibGUuSW52ZW50VGFibGUuRGltZW5zaW9uWzddCgoKCgE+AAAAMgAAAAk1AQAACTYBAAAJNwEAAAY4AQAADERpbWVuc2lvbls4XQY5AQAAFkRldGFpbCBNYXJrZXRpbmcgR3JvdXAJ2AAAAAkIAAAABjwBAAAkYmRhNDMzYjMtOTRiNC00OGE3LThiODktOTIxMGIzYmJlNTgyAcP+//9r/////////wwAAAABwv7//2r///8AAAAAAcH+//9p////AgAAAAAAAAAAAcD+//9o////AAAAAAoBAAAAAAAAAAAMAAAAAAZBAQAAJDhjZDBmZTQ1LWI5Y2QtNGJjMi04ZWMwLWY4MjRmYzM5NzQxMgZCAQAAHlRhYmxlLkludmVudFRhYmxlLkRpbWVuc2lvbls4XQoKCgoBPwAAADIAAAAJQwEAAAlEAQAACUUBAAAGRgEAAAxEaW1lbnNpb25bOV0GRwEAAAlTdGF0dXRvcnkJ2AAAAAkIAAAABkoBAAAkMmEwMmY3MWItNmRjZC00NGI0LWIzNDgtZjEwNDY1N2VjNTUwAbX+//9r/////////w0AAAABtP7//2r///8AAAAAAbP+//9p////AgAAAAAAAAAAAbL+//9o////AAAAAAoBAAAAAAAAAAANAAAAAAZPAQAAJDQwNzY3NjNiLTliNGEtNDUwNS05Yjg0LTdmODRhODcyODQ0YQZQAQAAHlRhYmxlLkludmVudFRhYmxlLkRpbWVuc2lvbls5XQoKCgoBQAAAADIAAAAJUQEAAAlSAQAACVMBAAAGVAEAAA1EaW1lbnNpb25bMTBdBlUBAAAHQ2hhbm5lbAnYAAAACQgAAAAGWAEAACRlNzM3ODE1Ny1kOTI3LTQ1YmItOGFhZC04ZmNmOTViNzI1MTkBp/7//2v/////////DgAAAAGm/v//av///wAAAAABpf7//2n///8CAAAAAAAAAAABpP7//2j///8AAAAACgEAAAAAAAAAAA4AAAAABl0BAAAkZDYwYjE5NzctNTk4YS00NjE1LWFlZjQtMDA4ZTZjNjQ2NzdiBl4BAAAfVGFibGUuSW52ZW50VGFibGUuRGltZW5zaW9uWzEwXQoKCgoBdAAAABIAAAAHdQAAAAABAAAAD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of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YAEAABhUYWJsZS5JbnZlbnRUYWJsZS5JdGVtSWQJYQEAAAGe/v//of7//wZjAQAAGlRhYmxlLkludmVudFRhYmxlLkl0ZW1OYW1lCWQBAAABm/7//6H+//8GZgEAAB1UYWJsZS5JbnZlbnRUYWJsZS5JdGVtR3JvdXBJZAlnAQAAAZj+//+h/v//BmkBAAAaVGFibGUuSW52ZW50VGFibGUuSXRlbVR5cGUJagEAAAGV/v//of7//wZsAQAAHlRhYmxlLkludmVudFRhYmxlLkRpbWVuc2lvblsxXQltAQAAAZL+//+h/v//Bm8BAAAeVGFibGUuSW52ZW50VGFibGUuRGltZW5zaW9uWzJdCXABAAABj/7//6H+//8GcgEAAB5UYWJsZS5JbnZlbnRUYWJsZS5EaW1lbnNpb25bM10JcwEAAAGM/v//of7//wZ1AQAAHlRhYmxlLkludmVudFRhYmxlLkRpbWVuc2lvbls0XQl2AQAAAYn+//+h/v//BngBAAAeVGFibGUuSW52ZW50VGFibGUuRGltZW5zaW9uWzVdCXkBAAABhv7//6H+//8GewEAAB5UYWJsZS5JbnZlbnRUYWJsZS5EaW1lbnNpb25bNl0JfAEAAAGD/v//of7//wZ+AQAAHlRhYmxlLkludmVudFRhYmxlLkRpbWVuc2lvbls3XQl/AQAAAYD+//+h/v//BoEBAAAeVGFibGUuSW52ZW50VGFibGUuRGltZW5zaW9uWzhdCYIBAAABff7//6H+//8GhAEAAB5UYWJsZS5JbnZlbnRUYWJsZS5EaW1lbnNpb25bOV0JhQEAAAF6/v//of7//waHAQAAH1RhYmxlLkludmVudFRhYmxlLkRpbWVuc2lvblsxMF0JiAEAAAd3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d/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aKAQAAGFRhYmxlLkludmVudFRhYmxlLkl0ZW1JZAmLAQAAAXT+//93/v//Bo0BAAAaVGFibGUuSW52ZW50VGFibGUuSXRlbVR5cGUJjgEAAAd5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x/v//1P///wkwAAAACTEAAAAEeg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8AAAAhAAAAAQAAAAmSAQAAAwAAAAmTAQAAAYAAAAAiAAAAAQAAAAkSAAAAAwAAAAmVAQAABIM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SAQAAAAAAAAGMAAAAKQAAAAAAAAAJlwEAAAAAAAAEj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mAEAAAEAAAABAAAABI4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yQAAAAmZAQAABwAAAAmaAQAABI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xAAAAAmSAQAABwAAAAmcAQAAAZsAAACNAAAACZ0BAAABAAAAAQAAAAGcAAAAjgAAAMgAAAAJmQEAAAcAAAAJnwEAAAS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cQAAAAJkgEAAAcAAAAJoQEAAAGpAAAAjQAAAAmiAQAAAQAAAAEAAAABqgAAAI4AAADIAAAACZkBAAAHAAAACaQBAAAEq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EAAAACZIBAAAHAAAACaYBAAABtwAAAI0AAAAJpwEAAAEAAAABAAAAAbgAAACOAAAAyAAAAAmZAQAABwAAAAmpAQAABL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xAAAAAmSAQAABwAAAAmrAQAAAcUAAACNAAAACawBAAABAAAAAQAAAAHGAAAAjgAAAMcAAAAJmQEAAAcAAAAJrgEAAAT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cQAAAAJkgEAAAcAAAAJsAEAAAHTAAAAjQAAAAmxAQAAAQAAAAEAAAAB1AAAAI4AAAAtAAAACbIBAAAHAAAACbMBAAAE1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bUBAAAB4QAAAI0AAAAJtgEAAAEAAAABAAAAAeIAAACOAAAALQAAAAmyAQAABwAAAAm4AQAABO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m6AQAAAe8AAACNAAAACbsBAAABAAAAAQAAAAHwAAAAjgAAAC0AAAAJsgEAAAcAAAAJvQEAAAT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cAAAAJvwEAAAH9AAAAjQAAAAnAAQAAAQAAAAEAAAAB/gAAAI4AAAAtAAAACbIBAAAHAAAACcIBAAAE/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cQBAAABCwEAAI0AAAAJxQEAAAEAAAABAAAAAQwBAACOAAAALQAAAAmyAQAABwAAAAnHAQAABA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nJAQAAARkBAACNAAAACcoBAAABAAAAAQAAAAEaAQAAjgAAAC0AAAAJsgEAAAcAAAAJzAEAAAQb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cAAAAJzgEAAAEnAQAAjQAAAAnPAQAAAQAAAAEAAAABKAEAAI4AAAAtAAAACbIBAAAHAAAACdEBAAAEK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dMBAAABNQEAAI0AAAAJ1AEAAAEAAAABAAAAATYBAACOAAAALQAAAAmyAQAABwAAAAnWAQAABD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nYAQAAAUMBAACNAAAACdkBAAABAAAAAQAAAAFEAQAAjgAAAC0AAAAJsgEAAAcAAAAJ2wEAAAR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cAAAAJ3QEAAAFRAQAAjQAAAAneAQAAAQAAAAEAAAABUgEAAI4AAAAtAAAACbIBAAAHAAAACeABAAAEU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eIBAAAFYQ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Hf7//2v/////////AAbkAQAABlN0cmluZwblAQAAC0l0ZW0gbnVtYmVyCeYBAAABGf7//2n///8CAAAABRj+//85R2xvYmVTb2Z0d2FyZS5BdGxhczQwLkF0bGFzQ29tbW9uLk51bWJlclNlcXVlbmNlQ29uZGl0aW9uAQAAAAd2YWx1ZV9fAAgCAAAAAQAAAAAABukBAAARVGFibGUuSW52ZW50VGFibGUJkAAAAAkIAAAACv////8J6QEAAAoJkAAAAAoKCgkIAAAACe8BAAAJCAAAAAFkAQAAYQEAAAEP/v//a/////////8ABvIBAAAGU3RyaW5nBvMBAAAJSXRlbSBuYW1lCeYBAAABC/7//2n///8CAAAAAQr+//8Y/v//AQAAAAAACekBAAAJngAAAAkIAAAACv////8J6QEAAAoJngAAAAoKCgkIAAAACf0BAAAJCAAAAAFnAQAAYQEAAAEB/v//a/////////8ABgACAAAGU3RyaW5nBgECAAAKSXRlbSBncm91cAnmAQAAAf39//9p////AgAAAAH8/f//GP7//wEAAAAAAAnpAQAACawAAAAJCAAAAAr/////CekBAAAKCawAAAAKCgoJCAAAAAkLAgAACQgAAAABagEAAGEBAAAB8/3//2v/////////AAYOAgAABEVudW0GDwIAAAlJdGVtIHR5cGUJ5gEAAAHv/f//af///wIAAAAB7v3//xj+//8BAAAAAAAJ6QEAAAm6AAAACQgAAAAK/////wnpAQAACgm6AAAACgoKCQgAAAAJGQIAAAkIAAAAAW0BAABhAQAAAeX9//9r/////////wAGHAIAAAZTdHJpbmcGHQIAAAZCcmFuY2gJHgIAAAHh/f//af///wIAAAAB4P3//xj+//8BAAAAAAAGIQIAABFUYWJsZS5JbnZlbnRUYWJsZQnWAAAACQgAAAAK/////wkhAgAACgnWAAAACgoKCQgAAAAJJwIAAAkIAAAAAXABAABhAQAAAdf9//9r/////////wAJHAIAAAYrAgAACkRlcGFydG1lbnQJHgIAAAHT/f//af///wIAAAAB0v3//xj+//8BAAAAAAAJIQIAAAnkAAAACQgAAAAK/////wkhAgAACgnkAAAACgoKCQgAAAAJNQIAAAkIAAAAAXMBAABhAQAAAcn9//9r/////////wAJHAIAAAY5AgAAC0Nvc3QgQ2VudGVyCR4CAAABxf3//2n///8CAAAAAcT9//8Y/v//AQAAAAAACSECAAAJ8gAAAAkIAAAACv////8JIQIAAAoJ8gAAAAoKCgkIAAAACUMCAAAJCAAAAAF2AQAAYQEAAAG7/f//a/////////8ACRwCAAAGRwIAAAdQdXJwb3NlCR4CAAABt/3//2n///8CAAAAAbb9//8Y/v//AQAAAAAACSECAAAJAAEAAAkIAAAACv////8JIQIAAAoJAAEAAAoKCgkIAAAACVECAAAJCAAAAAF5AQAAYQEAAAGt/f//a/////////8ACRwCAAAGVQIAAAlUYXggR3JvdXAJHgIAAAGp/f//af///wIAAAABqP3//xj+//8BAAAAAAAJIQIAAAkOAQAACQgAAAAK/////wkhAgAACgkOAQAACgoKCQgAAAAJXwIAAAkIAAAAAXwBAABhAQAAAZ/9//9r/////////wAJHAIAAAZjAgAAB1NlZ21lbnQJHgIAAAGb/f//af///wIAAAABmv3//xj+//8BAAAAAAAJIQIAAAkcAQAACQgAAAAK/////wkhAgAACgkcAQAACgoKCQgAAAAJbQIAAAkIAAAAAX8BAABhAQAAAZH9//9r/////////wAJHAIAAAZxAgAAFU1ham9yIE1hcmtldGluZyBHcm91cAkeAgAAAY39//9p////AgAAAAGM/f//GP7//wEAAAAAAAkhAgAACSoBAAAJCAAAAAr/////CSECAAAKCSoBAAAKCgoJCAAAAAl7AgAACQgAAAABggEAAGEBAAABg/3//2v/////////AAkcAgAABn8CAAAWRGV0YWlsIE1hcmtldGluZyBHcm91cAkeAgAAAX/9//9p////AgAAAAF+/f//GP7//wEAAAAAAAkhAgAACTgBAAAJCAAAAAr/////CSECAAAKCTgBAAAKCgoJCAAAAAmJAgAACQgAAAABhQEAAGEBAAABdf3//2v/////////AAkcAgAABo0CAAAJU3RhdHV0b3J5CR4CAAABcf3//2n///8CAAAAAXD9//8Y/v//AQAAAAAACSECAAAJRgEAAAkIAAAACv////8JIQIAAAoJRgEAAAoKCgkIAAAACZcCAAAJCAAAAAGIAQAAYQEAAAFn/f//a/////////8ACRwCAAAGmwIAAAdDaGFubmVsCR4CAAABY/3//2n///8CAAAAAWL9//8Y/v//AQAAAAAACSECAAAJVAEAAAkIAAAACv////8JIQIAAAoJVAEAAAoKCgkIAAAACaUCAAAJCAAAAAWL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pwIAABFUYWJsZS5JbnZlbnRUYWJsZQaoAgAABkl0ZW1JZAkIAAAABqoCAAABKv////8JpwIAAAoJqAIAAAoKCgkIAAAACa4CAAAJCAAAAAGOAQAAiwEAAAmnAgAABrECAAAISXRlbVR5cGUJCAAAAAazAgAACCFTZXJ2aWNl/////wmnAgAACgmxAgAACgoKCQgAAAAJtwIAAAkIAAAAAZIBAAASAAAAB5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f9//+h/v//BroCAAA3VGFibGUuSW52ZW50VGFibGUuSXRlbUlkflRhYmxlLkludmVudFRhYmxlTW9kdWxlLlVuaXRJZAm7AgAAB5U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E/f//d/7//wa9AgAAO1RhYmxlLkludmVudFRhYmxlLkl0ZW1JZH5UYWJsZS5JbnZlbnRUYWJsZU1vZHVsZS5Nb2R1bGVUeXBlCb4CAAABlwEAAHoAAAAHmAEAAAABAAAABAAAAAQ3R2xvYmVTb2Z0d2FyZS5BdGxhczQwLkF0bGFzQ29tbW9uLlR5cGUuRmllbGRPdXRwdXRGaWVsZAIAAAAJYQEAAA0DBJk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5o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A/f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T/9//8yR2xvYmVTb2Z0d2FyZS5BdGxhczQwLkF0bGFzQ29tbW9uLkNvbHVtbkF0dHJpYnV0ZXMBAAAAB3ZhbHVlX18ACAIAAAAGAAAABsICAAAFVG90YWwBPf3//0D9//8BPP3//z/9//8QAAAABsUCAAAETm9uZQE6/f//QP3//wE5/f//P/3//wkAAAAJCAAAAAE3/f//QP3//wE2/f//P/3//wsAAAAGywIAAAEwATT9//9A/f//ATP9//8//f//BAAAAAbOAgAAB0dlbmVyYWwBMf3//0D9//8BMP3//z/9//8CAAAABtECAAABMQEu/f//QP3//wEt/f//P/3//wAAAAAG1AIAAAUyMC40Mwe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Cv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1gIAAAhGb250Qm9sZAbXAgAABUZhbHNlASj9//8r/f//BtkCAAAKRm9udEl0YWxpYwnXAgAAASX9//8r/f//BtwCAAANRm9udFVuZGVybGluZQbdAgAABS00MTQyASL9//8r/f//Bt8CAAAIRm9udE5hbWUG4AIAAAdDYWxpYnJpAR/9//8r/f//BuICAAAJRm9udENvbG9yBuMCAAABMAEc/f//K/3//wblAgAACEZvbnRTaXplBuYCAAACMTEBGf3//yv9//8G6AIAAAlGb250U3R5bGUG6QIAAAdSZWd1bGFyB50BAAAAAQAAAAQAAAAEN0dsb2JlU29mdHdhcmUuQXRsYXM0MC5BdGxhc0NvbW1vbi5UeXBlLkZpZWxkT3V0cHV0RmllbGQCAAAACWQBAAANAwef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f3//0D9//8BFP3//z/9//8QAAAACcUCAAABEv3//0D9//8BEf3//z/9//8JAAAACQgAAAABD/3//0D9//8BDv3//z/9//8LAAAABvMCAAABMQEM/f//QP3//wEL/f//P/3//wQAAAAG9gIAAAdHZW5lcmFsAQn9//9A/f//AQj9//8//f//AgAAAAb5AgAAATEBBv3//0D9//8BBf3//z/9//8AAAAABvwCAAACNTYHo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D/f//K/3//wnWAgAACdcCAAABAP3//yv9//8J2QIAAAnXAgAAAf38//8r/f//CdwCAAAGBQMAAAUtNDE0MgH6/P//K/3//wnfAgAABggDAAAHQ2FsaWJyaQH3/P//K/3//wniAgAABgsDAAABMAH0/P//K/3//wnlAgAABg4DAAACMTEB8fz//yv9//8J6AIAAAYRAwAAB1JlZ3VsYXIHogEAAAABAAAABAAAAAQ3R2xvYmVTb2Z0d2FyZS5BdGxhczQwLkF0bGFzQ29tbW9uLlR5cGUuRmllbGRPdXRwdXRGaWVsZAIAAAAJZwEAAA0DB6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t/P//QP3//wHs/P//P/3//xAAAAAJxQIAAAHq/P//QP3//wHp/P//P/3//wkAAAAJCAAAAAHn/P//QP3//wHm/P//P/3//wsAAAAGGwMAAAEyAeT8//9A/f//AeP8//8//f//BAAAAAYeAwAAB0dlbmVyYWwB4fz//0D9//8B4Pz//z/9//8CAAAABiEDAAABMQHe/P//QP3//wHd/P//P/3//wAAAAAGJAMAAAUxMi4yOQe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v8//8r/f//CdYCAAAJ1wIAAAHY/P//K/3//wnZAgAACdcCAAAB1fz//yv9//8J3AIAAAYtAwAABS00MTQyAdL8//8r/f//Cd8CAAAGMAMAAAdDYWxpYnJpAc/8//8r/f//CeICAAAGMwMAAAEwAcz8//8r/f//CeUCAAAGNgMAAAIxMQHJ/P//K/3//wnoAgAABjkDAAAHUmVndWxhcgenAQAAAAEAAAAEAAAABDdHbG9iZVNvZnR3YXJlLkF0bGFzNDAuQXRsYXNDb21tb24uVHlwZS5GaWVsZE91dHB1dEZpZWxkAgAAAAlqAQAADQMHq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X8//9A/f//AcT8//8//f//EAAAAAnFAgAAAcL8//9A/f//AcH8//8//f//CQAAAAkIAAAAAb/8//9A/f//Ab78//8//f//CwAAAAZDAwAAATMBvPz//0D9//8Bu/z//z/9//8EAAAABkYDAAAHR2VuZXJhbAG5/P//QP3//wG4/P//P/3//wIAAAAGSQMAAAExAbb8//9A/f//AbX8//8//f//AAAAAAZMAwAABTExLjE0B6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z//yv9//8J1gIAAAnXAgAAAbD8//8r/f//CdkCAAAJ1wIAAAGt/P//K/3//wncAgAABlUDAAAFLTQxNDIBqvz//yv9//8J3wIAAAZYAwAAB0NhbGlicmkBp/z//yv9//8J4gIAAAZbAwAAATABpPz//yv9//8J5QIAAAZeAwAAAjExAaH8//8r/f//CegCAAAGYQMAAAdSZWd1bGFyB6wBAAAAAQAAAAQAAAAEN0dsb2JlU29mdHdhcmUuQXRsYXM0MC5BdGxhc0NvbW1vbi5UeXBlLkZpZWxkT3V0cHV0RmllbGQCAAAACbsCAAANAweu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fz//0D9//8BnPz//z/9//8JAAAACQgAAAABmvz//0D9//8Bmfz//z/9//8LAAAABmgDAAABNAGX/P//QP3//wGW/P//P/3//wQAAAAGawMAAAdHZW5lcmFsAZT8//9A/f//AZP8//8//f//AgAAAAZuAwAAATEBkfz//0D9//8BkPz//z/9//8AAAAABnEDAAAENi40Mwe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78//8r/f//CdYCAAAJ1wIAAAGL/P//K/3//wnZAgAACdcCAAABiPz//yv9//8J3AIAAAZ6AwAABS00MTQyAYX8//8r/f//Cd8CAAAGfQMAAAdDYWxpYnJpAYL8//8r/f//CeICAAAGgAMAAAEwAX/8//8r/f//CeUCAAAGgwMAAAIxMQF8/P//K/3//wnoAgAABoYDAAAHUmVndWxhcgexAQAAAAEAAAAEAAAABDdHbG9iZVNvZnR3YXJlLkF0bGFzNDAuQXRsYXNDb21tb24uVHlwZS5GaWVsZE91dHB1dEZpZWxkAgAAAAltAQAADQMBsgEAAJkBAAAHs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j8//9A/f//AXf8//8//f//CQAAAAkIAAAAAXX8//9A/f//AXT8//8//f//CwAAAAaNAwAAATUBcvz//0D9//8Bcfz//z/9//8EAAAABpADAAAHR2VuZXJhbAFv/P//QP3//wFu/P//P/3//wIAAAAGkwMAAAExAWz8//9A/f//AWv8//8//f//AAAAAAaWAwAABDguNTcHt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P//K/3//waYAwAACEZvbnRCb2xkCdcCAAABZvz//yv9//8GmwMAAApGb250SXRhbGljCdcCAAABY/z//yv9//8GngMAAA1Gb250VW5kZXJsaW5lBp8DAAAFLTQxNDIBYPz//yv9//8GoQMAAAhGb250TmFtZQaiAwAAB0NhbGlicmkBXfz//yv9//8GpAMAAAlGb250Q29sb3IGpQMAAAEwAVr8//8r/f//BqcDAAAIRm9udFNpemUGqAMAAAIxMQFX/P//K/3//waqAwAACUZvbnRTdHlsZQarAwAAB1JlZ3VsYXIHtgEAAAABAAAABAAAAAQ3R2xvYmVTb2Z0d2FyZS5BdGxhczQwLkF0bGFzQ29tbW9uLlR5cGUuRmllbGRPdXRwdXRGaWVsZAIAAAAJcAEAAA0DB7g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P//QP3//wFS/P//P/3//wkAAAAJCAAAAAFQ/P//QP3//wFP/P//P/3//wsAAAAGsgMAAAE2AU38//9A/f//AUz8//8//f//BAAAAAa1AwAAB0dlbmVyYWwBSvz//0D9//8BSfz//z/9//8CAAAABrgDAAABMQFH/P//QP3//wFG/P//P/3//wAAAAAGuwMAAAUxMy4yOQe6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T8//8r/f//CZgDAAAJ1wIAAAFB/P//K/3//wmbAwAACdcCAAABPvz//yv9//8JngMAAAbEAwAABS00MTQyATv8//8r/f//CaEDAAAGxwMAAAdDYWxpYnJpATj8//8r/f//CaQDAAAGygMAAAEwATX8//8r/f//CacDAAAGzQMAAAIxMQEy/P//K/3//wmqAwAABtADAAAHUmVndWxhcge7AQAAAAEAAAAEAAAABDdHbG9iZVNvZnR3YXJlLkF0bGFzNDAuQXRsYXNDb21tb24uVHlwZS5GaWVsZE91dHB1dEZpZWxkAgAAAAlzAQAADQMHv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78//9A/f//AS38//8//f//CQAAAAkIAAAAASv8//9A/f//ASr8//8//f//CwAAAAbXAwAAATcBKPz//0D9//8BJ/z//z/9//8EAAAABtoDAAAHR2VuZXJhbAEl/P//QP3//wEk/P//P/3//wIAAAAG3QMAAAExASL8//9A/f//ASH8//8//f//AAAAAAbgAwAABTEyLjg2B78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z//yv9//8JmAMAAAnXAgAAARz8//8r/f//CZsDAAAJ1wIAAAEZ/P//K/3//wmeAwAABukDAAAFLTQxNDIBFvz//yv9//8JoQMAAAbsAwAAB0NhbGlicmkBE/z//yv9//8JpAMAAAbvAwAAATABEPz//yv9//8JpwMAAAbyAwAAAjExAQ38//8r/f//CaoDAAAG9QMAAAdSZWd1bGFyB8ABAAAAAQAAAAQAAAAEN0dsb2JlU29mdHdhcmUuQXRsYXM0MC5BdGxhc0NvbW1vbi5UeXBlLkZpZWxkT3V0cHV0RmllbGQCAAAACXYBAAANAwfC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Cfz//0D9//8BCPz//z/9//8JAAAACQgAAAABBvz//0D9//8BBfz//z/9//8LAAAABvwDAAABOAED/P//QP3//wEC/P//P/3//wQAAAAG/wMAAAdHZW5lcmFsAQD8//9A/f//Af/7//8//f//AgAAAAYCBAAAATEB/fv//0D9//8B/Pv//z/9//8AAAAABgUEAAAEOS44NgfE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7//8r/f//CZgDAAAJ1wIAAAH3+///K/3//wmbAwAACdcCAAAB9Pv//yv9//8JngMAAAYOBAAABS00MTQyAfH7//8r/f//CaEDAAAGEQQAAAdDYWxpYnJpAe77//8r/f//CaQDAAAGFAQAAAEwAev7//8r/f//CacDAAAGFwQAAAIxMQHo+///K/3//wmqAwAABhoEAAAHUmVndWxhcgfFAQAAAAEAAAAEAAAABDdHbG9iZVNvZnR3YXJlLkF0bGFzNDAuQXRsYXNDb21tb24uVHlwZS5GaWVsZE91dHB1dEZpZWxkAgAAAAl5AQAADQMHx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T7//9A/f//AeP7//8//f//CQAAAAkIAAAAAeH7//9A/f//AeD7//8//f//CwAAAAYhBAAAATkB3vv//0D9//8B3fv//z/9//8EAAAABiQEAAAHR2VuZXJhbAHb+///QP3//wHa+///P/3//wIAAAAGJwQAAAExAdj7//9A/f//Adf7//8//f//AAAAAAYqBAAABTExLjU3B8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fv//yv9//8JmAMAAAnXAgAAAdL7//8r/f//CZsDAAAJ1wIAAAHP+///K/3//wmeAwAABjMEAAAFLTQxNDIBzPv//yv9//8JoQMAAAY2BAAAB0NhbGlicmkByfv//yv9//8JpAMAAAY5BAAAATABxvv//yv9//8JpwMAAAY8BAAAAjExAcP7//8r/f//CaoDAAAGPwQAAAdSZWd1bGFyB8oBAAAAAQAAAAQAAAAEN0dsb2JlU29mdHdhcmUuQXRsYXM0MC5BdGxhc0NvbW1vbi5UeXBlLkZpZWxkT3V0cHV0RmllbGQCAAAACXwBAAANAwfM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v//0D9//8Bvvv//z/9//8JAAAACQgAAAABvPv//0D9//8Bu/v//z/9//8LAAAABkYEAAACMTABufv//0D9//8BuPv//z/9//8EAAAABkkEAAAHR2VuZXJhbAG2+///QP3//wG1+///P/3//wIAAAAGTAQAAAExAbP7//9A/f//AbL7//8//f//AAAAAAZPBAAABTEwLjQzB84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v//yv9//8JmAMAAAnXAgAAAa37//8r/f//CZsDAAAJ1wIAAAGq+///K/3//wmeAwAABlgEAAAFLTQxNDIBp/v//yv9//8JoQMAAAZbBAAAB0NhbGlicmkBpPv//yv9//8JpAMAAAZeBAAAATABofv//yv9//8JpwMAAAZhBAAAAjExAZ77//8r/f//CaoDAAAGZAQAAAdSZWd1bGFyB88BAAAAAQAAAAQAAAAEN0dsb2JlU29mdHdhcmUuQXRsYXM0MC5BdGxhc0NvbW1vbi5UeXBlLkZpZWxkT3V0cHV0RmllbGQCAAAACX8BAAANAwfR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vv//0D9//8Bmfv//z/9//8JAAAACQgAAAABl/v//0D9//8Blvv//z/9//8LAAAABmsEAAACMTEBlPv//0D9//8Bk/v//z/9//8EAAAABm4EAAAHR2VuZXJhbAGR+///QP3//wGQ+///P/3//wIAAAAGcQQAAAExAY77//9A/f//AY37//8//f//AAAAAAZ0BAAABTIzLjg2B9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v//yv9//8JmAMAAAnXAgAAAYj7//8r/f//CZsDAAAJ1wIAAAGF+///K/3//wmeAwAABn0EAAAFLTQxNDIBgvv//yv9//8JoQMAAAaABAAAB0NhbGlicmkBf/v//yv9//8JpAMAAAaDBAAAATABfPv//yv9//8JpwMAAAaGBAAAAjExAXn7//8r/f//CaoDAAAGiQQAAAdSZWd1bGFyB9QBAAAAAQAAAAQAAAAEN0dsb2JlU29mdHdhcmUuQXRsYXM0MC5BdGxhc0NvbW1vbi5UeXBlLkZpZWxkT3V0cHV0RmllbGQCAAAACYIBAAANAwfW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fv//0D9//8BdPv//z/9//8JAAAACQgAAAABcvv//0D9//8Bcfv//z/9//8LAAAABpAEAAACMTIBb/v//0D9//8Bbvv//z/9//8EAAAABpMEAAAHR2VuZXJhbAFs+///QP3//wFr+///P/3//wIAAAAGlgQAAAExAWn7//9A/f//AWj7//8//f//AAAAAAaZBAAABTIzLjg2B9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v//yv9//8JmAMAAAnXAgAAAWP7//8r/f//CZsDAAAJ1wIAAAFg+///K/3//wmeAwAABqIEAAAFLTQxNDIBXfv//yv9//8JoQMAAAalBAAAB0NhbGlicmkBWvv//yv9//8JpAMAAAaoBAAAATABV/v//yv9//8JpwMAAAarBAAAAjExAVT7//8r/f//CaoDAAAGrgQAAAdSZWd1bGFyB9kBAAAAAQAAAAQAAAAEN0dsb2JlU29mdHdhcmUuQXRsYXM0MC5BdGxhc0NvbW1vbi5UeXBlLkZpZWxkT3V0cHV0RmllbGQCAAAACYUBAAANAwfb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Pv//0D9//8BT/v//z/9//8JAAAACQgAAAABTfv//0D9//8BTPv//z/9//8LAAAABrUEAAACMTMBSvv//0D9//8BSfv//z/9//8EAAAABrgEAAAHR2VuZXJhbAFH+///QP3//wFG+///P/3//wIAAAAGuwQAAAExAUT7//9A/f//AUP7//8//f//AAAAAAa+BAAABTEwLjcxB90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v//yv9//8JmAMAAAnXAgAAAT77//8r/f//CZsDAAAJ1wIAAAE7+///K/3//wmeAwAABscEAAAFLTQxNDIBOPv//yv9//8JoQMAAAbKBAAAB0NhbGlicmkBNfv//yv9//8JpAMAAAbNBAAAATABMvv//yv9//8JpwMAAAbQBAAAAjExAS/7//8r/f//CaoDAAAG0wQAAAdSZWd1bGFyB94BAAAAAQAAAAQAAAAEN0dsb2JlU29mdHdhcmUuQXRsYXM0MC5BdGxhc0NvbW1vbi5UeXBlLkZpZWxkT3V0cHV0RmllbGQCAAAACYgBAAANAwfg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v//0D9//8BKvv//z/9//8JAAAACQgAAAABKPv//0D9//8BJ/v//z/9//8LAAAABtoEAAACMTQBJfv//0D9//8BJPv//z/9//8EAAAABt0EAAAHR2VuZXJhbAEi+///QP3//wEh+///P/3//wIAAAAG4AQAAAExAR/7//9A/f//AR77//8//f//AAAAAAbjBAAABDkuODYH4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c+///K/3//wmYAwAACdcCAAABGfv//yv9//8JmwMAAAnXAgAAARb7//8r/f//CZ4DAAAG7AQAAAUtNDE0MgET+///K/3//wmhAwAABu8EAAAHQ2FsaWJyaQEQ+///K/3//wmkAwAABvIEAAABMAEN+///K/3//wmnAwAABvUEAAACMTEBCvv//yv9//8JqgMAAAb4BAAAB1JlZ3VsYXIB5gEAAA4AAACvAAAABvkEAAALSW52ZW50VGFibGUG+gQAAAVJdGVtcwkIAAAACQgAAAAJCAAAAAEE+///4P///wAAAAAJ/QQAAAn+BAAAAQH7///d////4kGfOgXEU0iC0ewZNyouAwkIAAAACQgAAAAJAQUAAAnpAQAACgoKCgoBAAAAAf36///Z////AAAAAAH8+v//2P///wAAAAAACQUFAAAE7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JAAAACZIBAAADAAAACQcFAAAE/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JAAAACZIBAAADAAAACQkFAAAEC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JAAAACZIBAAADAAAACQsFAAAEG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JAAAACZIBAAADAAAACQ0FAAABHgIAAA4AAAD/////Bg4FAAALSW52ZW50VGFibGUGDwUAAAVJdGVtcwkIAAAACQgAAAAJCAAAAAHv+v//4P///wAAAAAJEgUAAAkTBQAAAez6///d////scQuooJFuEe2SNJ9pzXZ+AkIAAAACQgAAAAJFgUAAAkhAgAACgoKCgoBAAAAAej6///Z////AAAAAAHn+v//2P///wAAAAAACRoFAAAEJ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RwFAAAEN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R4FAAAEQ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SAFAAAEU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SIFAAAEX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SQFAAAEb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SYFAAAEe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SgFAAAEi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SoFAAAEl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SwFAAAEpQ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DAAAACS4FAAAEr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S8FAAADAAAACTAFAAAEt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S8FAAADAAAACTIFAAABuwIAAGEBAAABzfr//2v/////////AAY0BQAABlN0cmluZwY1BQAABFVuaXQJMQAAAAHJ+v//af///wIAAAAByPr//xj+//8BAAAAAAAJMAAAAAnIAAAACQgAAAAK/////wkwAAAACgnIAAAABj4FAAAGSXRlbUlkBj8FAAALSW52ZW50VGFibGUKCQgAAAAJQQUAAAkIAAAAAb4CAACLAQAACTAAAAAGRAUAAApNb2R1bGVUeXBlCQgAAAAGRgUAAAZJbnZlbnT/////CTAAAAAKCUQFAAAGSQUAAAZJdGVtSWQKCgkIAAAACUsFAAAJCAAAAAH9BAAAIQAAAAgAAAAJTQUAAAcAAAAJTgUAAAT+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0FAAAAAAAAAQEFAAAEAAAAAQAAAAlNBQAAAwAAAAlQBQAAAQUFAAApAAAAAAAAAAlRBQAAAAAAAAcH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76//8r/f//BlMFAAAISGVscFRleHQGVAUAAA5JZGVudGlmeSBpdGVtLgGr+v//K/3//wZWBQAABUxhYmVsCeUBAAABqPr//yv9//8GWQUAAARUeXBlCeQBAAAHC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+v//K/3//wlTBQAABl0FAAAYRGVzY3JpcHRpb24gb2YgdGhlIGl0ZW0uAaL6//8r/f//CVYFAAAJ8wEAAAGf+v//K/3//wlZBQAACfIBAAAHC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+v//K/3//wlTBQAABmYFAAAoSXRlbSBncm91cCB0aGF0IHRoZSBpdGVtIGlzIGF0dGFjaGVkIHRvLgGZ+v//K/3//wlWBQAACQECAAABlvr//yv9//8JWQUAAAkAAgAABw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r//yv9//8JUwUAAAZvBQAALlR5cGUgZGV0ZXJtaW5pbmcgaG93IHRoZSBpdGVtIGlzIGFkbWluaXN0ZXJlZC4BkPr//yv9//8JVgUAAAkPAgAAAY36//8r/f//CVkFAAAJDgIAAAESBQAAIQAAAA4AAAAJdgUAABEAAAAJdwUAAAETBQAAIgAAAAIAAAAJLwUAAAMAAAAJeQUAAAEWBQAABAAAAAEAAAAJdgUAAAMAAAAJewUAAAEaBQAAKQAAAAAAAAAJfAUAAAAAAAAHH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+v//K/3//wZ+BQAABUxhYmVsCR0CAAABgPr//yv9//8GgQUAAARUeXBlCRwCAAAHH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9+v//K/3//wl+BQAACSsCAAABevr//yv9//8JgQUAAAkcAgAAByA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r//yv9//8JfgUAAAk5AgAAAXT6//8r/f//CYEFAAAJHAIAAAci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6//8r/f//CX4FAAAJRwIAAAFu+v//K/3//wmBBQAACRwCAAAHJ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v//K/3//wl+BQAACVUCAAABaPr//yv9//8JgQUAAAkcAgAAByY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r//yv9//8JfgUAAAljAgAAAWL6//8r/f//CYEFAAAJHAIAAAco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/6//8r/f//CX4FAAAJcQIAAAFc+v//K/3//wmBBQAACRwCAAAHK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+v//K/3//wl+BQAACX8CAAABVvr//yv9//8JgQUAAAkcAgAAByw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r//yv9//8JfgUAAAmNAgAAAVD6//8r/f//CYEFAAAJHAIAAAcu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36//8r/f//CX4FAAAJmwIAAAFK+v//K/3//wmBBQAACRwCAAABLwUAABIAAAAHM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+v//K/3//wa6BQAABFR5cGUJ5AEAAAFE+v//K/3//wa9BQAABUxhYmVsCeUBAAABQfr//yv9//8GwAUAAAhSZWZlcnNUbwbBBQAACz1JdGVtTnVtYmVyBzI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r//yv9//8JugUAAAkOAgAAATv6//8r/f//Cb0FAAAJDwIAAAE4+v//K/3//wnABQAABsoFAAAJPUl0ZW1UeXBlBEE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mSAQAAAwAAAAnMBQAABEs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AAAAAkvBQAAAwAAAAnOBQAAAU0FAAASAAAAB04F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H6//+h/v//BtAFAAAYVGFibGUuSW52ZW50VGFibGUuSXRlbUlkCWEBAAABLvr//6H+//8G0wUAABpUYWJsZS5JbnZlbnRUYWJsZS5JdGVtTmFtZQlkAQAAASv6//+h/v//BtYFAAAdVGFibGUuSW52ZW50VGFibGUuSXRlbUdyb3VwSWQJZwEAAAEo+v//of7//wbZBQAAGlRhYmxlLkludmVudFRhYmxlLkl0ZW1UeXBlCWoBAAAHUAU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Jfr//9T///8JMAAAAAkxAAAAAVEFAAB6AAAAAXYFAAASAAAAB3cFAAAAAQAAAA4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L6//+h/v//Bt8FAAAYVGFibGUuSW52ZW50VGFibGUuSXRlbUlkCWEBAAABH/r//6H+//8G4gUAABpUYWJsZS5JbnZlbnRUYWJsZS5JdGVtTmFtZQlkAQAAARz6//+h/v//BuUFAAAdVGFibGUuSW52ZW50VGFibGUuSXRlbUdyb3VwSWQJZwEAAAEZ+v//of7//wboBQAAGlRhYmxlLkludmVudFRhYmxlLkl0ZW1UeXBlCWoBAAABFvr//6H+//8G6wUAAB5UYWJsZS5JbnZlbnRUYWJsZS5EaW1lbnNpb25bMV0JbQEAAAET+v//of7//wbuBQAAH1RhYmxlLkludmVudFRhYmxlLkRpbWVuc2lvblsxMF0JiAEAAAEQ+v//of7//wbxBQAAHlRhYmxlLkludmVudFRhYmxlLkRpbWVuc2lvblszXQlzAQAAAQ36//+h/v//BvQFAAAeVGFibGUuSW52ZW50VGFibGUuRGltZW5zaW9uWzJdCXABAAABCvr//6H+//8G9wUAAB5UYWJsZS5JbnZlbnRUYWJsZS5EaW1lbnNpb25bOF0JggEAAAEH+v//of7//wb6BQAAHlRhYmxlLkludmVudFRhYmxlLkRpbWVuc2lvbls3XQl/AQAAAQT6//+h/v//Bv0FAAAeVGFibGUuSW52ZW50VGFibGUuRGltZW5zaW9uWzRdCXYBAAABAfr//6H+//8GAAYAAB5UYWJsZS5JbnZlbnRUYWJsZS5EaW1lbnNpb25bNl0JfAEAAAH++f//of7//wYDBgAAHlRhYmxlLkludmVudFRhYmxlLkRpbWVuc2lvbls5XQmFAQAAAfv5//+h/v//BgYGAAAeVGFibGUuSW52ZW50VGFibGUuRGltZW5zaW9uWzVdCXkBAAAHeQU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fj5//93/v//BgkGAAAYVGFibGUuSW52ZW50VGFibGUuSXRlbUlkCYsBAAAB9fn//3f+//8GDAYAABpUYWJsZS5JbnZlbnRUYWJsZS5JdGVtVHlwZQmOAQAAB3sF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fL5///U////CTAAAAAJMQAAAAF8BQAAegAAAAfM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/5//8r/f//CVYFAAAJNQUAAAHs+f//K/3//wlZBQAACTQFAAAHz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f//K/3//wm6BQAABhkGAAAERW51bQHm+f//K/3//wm9BQAABhwGAAALTW9kdWxlIHR5cGUL
    <Output>
      <OutputObject name="AtlasReport_5"/>
    </Output>
  </Query>
</Atlas>
</file>

<file path=customXml/item2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Y0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PAAAAD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kiAAAACgwj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MAAAAIAgAAAAYkAAAAFUF0bGFzUmVwb3J0XzVfVGFibGVfMQkl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jAAAACAgJJgAAAAQAAAAE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cAAAAJKAAAAAkpAAAABioAAAAGSXRlbUlkBisAAAALSXRlbSBudW1iZXIGLAAAAAZTdHJpbmcGLQAAAAAGLgAAACQyNTRiMTdhYS0xZWNmLTQyNWEtOThhYi1iMmRlNjJhZTczNGYF0f///y1HbG9iZVNvZnR3YXJlLkF0bGFzNDAuQXRsYXNDb21tb24uQWdncmVnYXRpb24BAAAAB3ZhbHVlX18ACA4AAAD/////AAAAAAXQ////LEdsb2JlU29mdHdhcmUuQXRsYXM0MC5BdGxhc0NvbW1vbi5Db2x1bW5UeXBlAQAAAAd2YWx1ZV9fAAgOAAAAAAAAAAXP////K0dsb2JlU29mdHdhcmUuQXRsYXM0MC5BdGxhc0NvbW1vbi5Tb3J0T3JkZXIBAAAAB3ZhbHVlX18ACA4AAAACAAAAAAAAAAAFzv///0BHbG9iZVNvZnR3YXJlLkF0bGFzNDAuQXRsYXNDb21tb24uVHlwZS5Db2x1bW4rQ3Jvc3NUYWJDb2x1bW5UeXBlAQAAAAd2YWx1ZV9fAAgOAAAAAAAAAAoBAAAAAAAAAAAAAAAAAAYzAAAAJGJjOGVmZTc5LTg3MzgtNGE5Mi05YmIxLTdhN2Q2ODk3YWJkMgY0AAAAGFRhYmxlLkludmVudFRhYmxlLkl0ZW1JZAoKCgoBFQAAABQAAAAJNQAAAAk2AAAACTcAAAAGOAAAAAhJdGVtTmFtZQY5AAAACUl0ZW0gbmFtZQY6AAAABlN0cmluZwktAAAABjwAAAAkMWI3Mzk0MWYtNWFhMS00MTE0LTk0ZjgtMTI5M2VjODliYzg1AcP////R/////////wEAAAABwv///9D///8AAAAAAcH////P////AgAAAAAAAAAAAcD////O////AAAAAAoBAAAAAAAAAAABAAAAAAZBAAAAJDg4OTZjNTdjLWU2MDYtNGQxYS1hNmZmLTFmNGJjZmQ4YzcwNgZCAAAAGlRhYmxlLkludmVudFRhYmxlLkl0ZW1OYW1lCgoKCgEWAAAAFAAAAAlDAAAACUQAAAAJRQAAAAZGAAAAC0l0ZW1Hcm91cElkBkcAAAAKSXRlbSBncm91cAZIAAAABlN0cmluZwktAAAABkoAAAAkODU5MzMyNjctMTlkYi00ZTcxLWJkYjUtZjcwNjAwMDJhYzM3AbX////R/////////wIAAAABtP///9D///8AAAAAAbP////P////AgAAAAAAAAAAAbL////O////AAAAAAoBAAAAAAAAAAACAAAAAAZPAAAAJDkwNjAyZGFiLWMwNDktNDg0Mi05MjNiLTFiMjE2MTc2Y2UxYwZQAAAAHVRhYmxlLkludmVudFRhYmxlLkl0ZW1Hcm91cElkCgoKCgEXAAAAFAAAAAlRAAAACVIAAAAJUwAAAAZUAAAACEl0ZW1UeXBlBlUAAAAJSXRlbSB0eXBlBlYAAAAERW51bQktAAAABlgAAAAkNDlmNTBkYjUtN2E5My00Nzk4LTlkODctOGI2OThhMzlmZTE0Aaf////R/////////wMAAAABpv///9D///8AAAAAAaX////P////AgAAAAAAAAAAAaT////O////AAAAAAoBAAAAAAAAAAADAAAAAAZdAAAAJGZlZjI1NzllLTY1ZDUtNGUzNS05Yzg1LTk3ZjY0OGFjZmFkMQZeAAAAGlRhYmxlLkludmVudFRhYmxlLkl0ZW1UeXBlCgoKCgEYAAAAFAAAAAlfAAAACWAAAAAJYQAAAAZiAAAABlVuaXRJZAZjAAAABFVuaXQGZAAAAAZTdHJpbmcJLQAAAAZmAAAAJGZiNzdmZDkxLThkNjctNGNhMy1hODA4LTk0NjdhMmI2MGZmYwGZ////0f////////8EAAAAAZj////Q////AAAAAAGX////z////wIAAAAAAAAAAAGW////zv///wAAAAAKAQAAAAAAAAAABAAAAAAGawAAACRiMjkxYThhMy0zYzVjLTRmNWEtYmQwMi0wMzU4MDYzZTQ3ODEGbAAAADdUYWJsZS5JbnZlbnRUYWJsZS5JdGVtSWR+VGFibGUuSW52ZW50VGFibGVNb2R1bGUuVW5pdElkCgoKCgEZAAAAFAAAAAltAAAACW4AAAAJbwAAAAZwAAAADERpbWVuc2lvblsxXQZxAAAABkJyYW5jaAZyAAAABlN0cmluZwktAAAABnQAAAAkYjViNmM5MzQtZDc1Mi00MDRiLTlhMjAtMTM2YWMzMTE0N2FlAYv////R/////////wUAAAABiv///9D///8AAAAAAYn////P////AgAAAAAAAAAAAYj////O////AAAAAAoBAAAAAAAAAAAFAAAAAAZ5AAAAJDViZDU5ZmM5LTJhYWMtNGViNi1iODM2LTczZWUxN2ZkODA0OQZ6AAAAHlRhYmxlLkludmVudFRhYmxlLkRpbWVuc2lvblsxXQoKCgoBGgAAABQAAAAJewAAAAl8AAAACX0AAAAGfgAAAAxEaW1lbnNpb25bMl0GfwAAAApEZXBhcnRtZW50CXIAAAAJLQAAAAaCAAAAJGJkODllYzQ1LTgwZTMtNGU2MS05ZDA3LWQ1NGIzMjBhNDliYgF9////0f////////8GAAAAAXz////Q////AAAAAAF7////z////wIAAAAAAAAAAAF6////zv///wAAAAAKAQAAAAAAAAAABgAAAAAGhwAAACQ3ZTI5NWIyNy1jOTk0LTRiOTctOTE5MC1hMTI5MzliM2I5YjkGiAAAAB5UYWJsZS5JbnZlbnRUYWJsZS5EaW1lbnNpb25bMl0KCgoKARsAAAAUAAAACYkAAAAJigAAAAmLAAAABowAAAAMRGltZW5zaW9uWzNdBo0AAAALQ29zdCBDZW50ZXIJcgAAAAktAAAABpAAAAAkOTJmNTAwZmItMGU3My00NzVlLWI0MzAtMzczYmY1Nzg0YTQ4AW/////R/////////wcAAAABbv///9D///8AAAAAAW3////P////AgAAAAAAAAAAAWz////O////AAAAAAoBAAAAAAAAAAAHAAAAAAaVAAAAJGJjZjZmYzcwLTgwODUtNDRhZC05OGJjLWIxOWFkNTFkNDg5ZQaWAAAAHlRhYmxlLkludmVudFRhYmxlLkRpbWVuc2lvblszXQoKCgoBHAAAABQAAAAJlwAAAAmYAAAACZkAAAAGmgAAAAxEaW1lbnNpb25bNF0GmwAAAAdQdXJwb3NlCXIAAAAJLQAAAAaeAAAAJDM5OGIzNmRmLTFjYTUtNDAxYS04MzBkLTMzNzBmNmNmOWM4ZQFh////0f////////8IAAAAAWD////Q////AAAAAAFf////z////wIAAAAAAAAAAAFe////zv///wAAAAAKAQAAAAAAAAAACAAAAAAGowAAACQxYTY3NjlhZi03NjM1LTRkOGUtYTE4NS1mMTU0N2JkZWE5ZGMGpAAAAB5UYWJsZS5JbnZlbnRUYWJsZS5EaW1lbnNpb25bNF0KCgoKAR0AAAAUAAAACaUAAAAJpgAAAAmnAAAABqgAAAAMRGltZW5zaW9uWzVdBqkAAAAJVGF4IEdyb3VwCXIAAAAJLQAAAAasAAAAJDA4ZDE5NzUxLTZmMjgtNDZiOS04ZWFmLTE3MWQ2ZWM2ZDhlZQFT////0f////////8JAAAAAVL////Q////AAAAAAFR////z////wIAAAAAAAAAAAFQ////zv///wAAAAAKAQAAAAAAAAAACQAAAAAGsQAAACQ0ZWIxOGZhOC1jYzM5LTRhNjMtYmQ1Zi02NWU3YmEwOTJlMDcGsgAAAB5UYWJsZS5JbnZlbnRUYWJsZS5EaW1lbnNpb25bNV0KCgoKAR4AAAAUAAAACbMAAAAJtAAAAAm1AAAABrYAAAAMRGltZW5zaW9uWzZdBrcAAAAHU2VnbWVudAlyAAAACS0AAAAGugAAACRjZWYxZDg3Ny1iMDgzLTRkYjctODRkYy0xZjNjZTM1M2ZkNjABRf///9H/////////CgAAAAFE////0P///wAAAAABQ////8////8CAAAAAAAAAAABQv///87///8AAAAACgEAAAAAAAAAAAoAAAAABr8AAAAkODA3MjExYTEtYzRhZS00ZjA1LTk3NjgtODM1ZGZkYThiNGQ3BsAAAAAeVGFibGUuSW52ZW50VGFibGUuRGltZW5zaW9uWzZdCgoKCgEfAAAAFAAAAAnBAAAACcIAAAAJwwAAAAbEAAAADERpbWVuc2lvbls3XQbFAAAAFU1ham9yIE1hcmtldGluZyBHcm91cAlyAAAACS0AAAAGyAAAACRjODFjYmVkNy0yYzVkLTRhNmMtYjJkNC1mYTViNzg0YmEzYWEBN////9H/////////CwAAAAE2////0P///wAAAAABNf///8////8CAAAAAAAAAAABNP///87///8AAAAACgEAAAAAAAAAAAsAAAAABs0AAAAkNTQ1YzZjNzMtMzg0YS00ZTJmLTgzZDUtNTQzOGRlZjMxMjVhBs4AAAAeVGFibGUuSW52ZW50VGFibGUuRGltZW5zaW9uWzddCgoKCgEgAAAAFAAAAAnPAAAACdAAAAAJ0QAAAAbSAAAADERpbWVuc2lvbls4XQbTAAAAFkRldGFpbCBNYXJrZXRpbmcgR3JvdXAJcgAAAAktAAAABtYAAAAkYmRhNDMzYjMtOTRiNC00OGE3LThiODktOTIxMGIzYmJlNTgyASn////R/////////wwAAAABKP///9D///8AAAAAASf////P////AgAAAAAAAAAAASb////O////AAAAAAoBAAAAAAAAAAAMAAAAAAbbAAAAJDhjZDBmZTQ1LWI5Y2QtNGJjMi04ZWMwLWY4MjRmYzM5NzQxMgbcAAAAHlRhYmxlLkludmVudFRhYmxlLkRpbWVuc2lvbls4XQoKCgoBIQAAABQAAAAJ3QAAAAneAAAACd8AAAAG4AAAAAxEaW1lbnNpb25bOV0G4QAAAAlTdGF0dXRvcnkJcgAAAAktAAAABuQAAAAkMmEwMmY3MWItNmRjZC00NGI0LWIzNDgtZjEwNDY1N2VjNTUwARv////R/////////w0AAAABGv///9D///8AAAAAARn////P////AgAAAAAAAAAAARj////O////AAAAAAoBAAAAAAAAAAANAAAAAAbpAAAAJDQwNzY3NjNiLTliNGEtNDUwNS05Yjg0LTdmODRhODcyODQ0YQbqAAAAHlRhYmxlLkludmVudFRhYmxlLkRpbWVuc2lvbls5XQoKCgoBIgAAABQAAAAJ6wAAAAnsAAAACe0AAAAG7gAAAA1EaW1lbnNpb25bMTBdBu8AAAAHQ2hhbm5lbAlyAAAACS0AAAAG8gAAACRlNzM3ODE1Ny1kOTI3LTQ1YmItOGFhZC04ZmNmOTViNzI1MTkBDf///9H/////////DgAAAAEM////0P///wAAAAABC////8////8CAAAAAAAAAAABCv///87///8AAAAACgEAAAAAAAAAAA4AAAAABvcAAAAkZDYwYjE5NzctNTk4YS00NjE1LWFlZjQtMDA4ZTZjNjQ2NzdiBvgAAAAfVGFibGUuSW52ZW50VGFibGUuRGltZW5zaW9uWzEwXQoKCgoFJQAAADhHbG9iZVNvZnR3YXJlLkF0bGFzNDAuQXRsYXNDb21tb25DbGllbnQuUmVwb3J0LlJlZmVyZW5jZQEAAAAKX3JlZmVyZW5jZQcIIwAAAAn5AAAAByYAAAAAAQAAAAQAAAAEPEdsb2JlU29mdHdhcmUuQXRsYXM0MC5BdGxhc0NvbW1vbkNsaWVudC5EYXRhU291cmNlRmllbGRWYWx1ZSMAAAAJ+gAAAAn7AAAACfwAAAAJ/QAAAAQn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n+AAAAAQAAAAEAAAAEK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JAAAACf8AAAAHAAAACQABAAAEK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EAAAACQEBAAAHAAAACQIBAAABNQAAACcAAAAJAwEAAAEAAAABAAAAATYAAAAoAAAAyAAAAAn/AAAABwAAAAkFAQAAATcAAAApAAAAxAAAAAkBAQAABwAAAAkHAQAAAUMAAAAnAAAACQgBAAABAAAAAQAAAAFEAAAAKAAAAMgAAAAJ/wAAAAcAAAAJCgEAAAFFAAAAKQAAAMQAAAAJAQEAAAcAAAAJDAEAAAFRAAAAJwAAAAkNAQAAAQAAAAEAAAABUgAAACgAAADIAAAACf8AAAAHAAAACQ8BAAABUwAAACkAAADEAAAACQEBAAAHAAAACREBAAABXwAAACcAAAAJEgEAAAEAAAABAAAAAWAAAAAoAAAAxwAAAAn/AAAABwAAAAkUAQAAAWEAAAApAAAAxAAAAAkBAQAABwAAAAkWAQAAAW0AAAAnAAAACRcBAAABAAAAAQAAAAFuAAAAKAAAAC0AAAAJGAEAAAcAAAAJGQEAAAFvAAAAKQAAACoAAAAJGgEAAAcAAAAJGwEAAAF7AAAAJwAAAAkcAQAAAQAAAAEAAAABfAAAACgAAAAtAAAACRgBAAAHAAAACR4BAAABfQAAACkAAAAqAAAACRoBAAAHAAAACSABAAABiQAAACcAAAAJIQEAAAEAAAABAAAAAYoAAAAoAAAALQAAAAkYAQAABwAAAAkjAQAAAYsAAAApAAAAKgAAAAkaAQAABwAAAAklAQAAAZcAAAAnAAAACSYBAAABAAAAAQAAAAGYAAAAKAAAAC0AAAAJGAEAAAcAAAAJKAEAAAGZAAAAKQAAACoAAAAJGgEAAAcAAAAJKgEAAAGlAAAAJwAAAAkrAQAAAQAAAAEAAAABpgAAACgAAAAtAAAACRgBAAAHAAAACS0BAAABpwAAACkAAAAqAAAACRoBAAAHAAAACS8BAAABswAAACcAAAAJMAEAAAEAAAABAAAAAbQAAAAoAAAALQAAAAkYAQAABwAAAAkyAQAAAbUAAAApAAAAKgAAAAkaAQAABwAAAAk0AQAAAcEAAAAnAAAACTUBAAABAAAAAQAAAAHCAAAAKAAAAC0AAAAJGAEAAAcAAAAJNwEAAAHDAAAAKQAAACoAAAAJGgEAAAcAAAAJOQEAAAHPAAAAJwAAAAk6AQAAAQAAAAEAAAAB0AAAACgAAAAtAAAACRgBAAAHAAAACTwBAAAB0QAAACkAAAAqAAAACRoBAAAHAAAACT4BAAAB3QAAACcAAAAJPwEAAAEAAAABAAAAAd4AAAAoAAAALQAAAAkYAQAABwAAAAlBAQAAAd8AAAApAAAAKgAAAAkaAQAABwAAAAlDAQAAAesAAAAnAAAACUQBAAABAAAAAQAAAAHsAAAAKAAAAC0AAAAJGAEAAAcAAAAJRgEAAAHtAAAAKQAAACoAAAAJGgEAAAcAAAAJSAEAAA/5AAAAAQAAAAgBAAAABfoAAAA8R2xvYmVTb2Z0d2FyZS5BdGxhczQwLkF0bGFzQ29tbW9uQ2xpZW50LkRhdGFTb3VyY2VGaWVsZFZhbHVlBAAAABJfaXNEcmlsbERvd25GaWx0ZXIGX2RzS2V5Cl9maWVsZG5hbWULX2ZpZWxkVmFsdWUAAQEBASMAAAAABkkBAAARVGFibGUuSW52ZW50VGFibGUGSgEAAApEYXRhQXJlYUlkCQYAAAAB+wAAAPoAAAAACUkBAAAGTQEAAAZJdGVtSWQGTgEAAAEqAfwAAAD6AAAAAAlJAQAABlABAAAISXRlbVR5cGUGUQEAAAghU2VydmljZQH9AAAA+gAAAAAGUgEAADBUYWJsZS5JbnZlbnRUYWJsZS5JdGVtSWR+VGFibGUuSW52ZW50VGFibGVNb2R1bGUGUwEAAApNb2R1bGVUeXBlBlQBAAAGSW52ZW50B/4AAAAAAQAAAAQAAAAEN0dsb2JlU29mdHdhcmUuQXRsYXM0MC5BdGxhc0NvbW1vbi5UeXBlLkZpZWxkT3V0cHV0RmllbGQOAAAACVUBAAANAwT/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A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q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Wp/v//Mkdsb2JlU29mdHdhcmUuQXRsYXM0MC5BdGxhc0NvbW1vbi5Db2x1bW5BdHRyaWJ1dGVzAQAAAAd2YWx1ZV9fAAgOAAAABgAAAAZYAQAABVRvdGFsAaf+//+q/v//Aab+//+p/v//EAAAAAZbAQAABE5vbmUBpP7//6r+//8Bo/7//6n+//8JAAAACS0AAAABof7//6r+//8BoP7//6n+//8LAAAABmEBAAABMAGe/v//qv7//wGd/v//qf7//wQAAAAGZAEAAAdHZW5lcmFsAZv+//+q/v//AZr+//+p/v//AgAAAAZnAQAAATEBmP7//6r+//8Bl/7//6n+//8AAAAABmoBAAAFMjAuNDMBAQEAAAwAAAA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V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mwBAAAIRm9udEJvbGQGbQEAAAVGYWxzZQGS/v//lf7//wZvAQAACkZvbnRJdGFsaWMJbQEAAAGP/v//lf7//wZyAQAADUZvbnRVbmRlcmxpbmUGcwEAAAUtNDE0MgGM/v//lf7//wZ1AQAACEZvbnROYW1lBnYBAAAHQ2FsaWJyaQGJ/v//lf7//wZ4AQAACUZvbnRDb2xvcgZ5AQAAATABhv7//5X+//8GewEAAAhGb250U2l6ZQZ8AQAAAjExAYP+//+V/v//Bn4BAAAJRm9udFN0eWxlBn8BAAAHUmVndWxhcgcDAQAAAAEAAAAEAAAABDdHbG9iZVNvZnR3YXJlLkF0bGFzNDAuQXRsYXNDb21tb24uVHlwZS5GaWVsZE91dHB1dEZpZWxkDgAAAAmAAQAADQMHB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/+//+q/v//AX7+//+p/v//EAAAAAlbAQAAAXz+//+q/v//AXv+//+p/v//CQAAAAktAAAAAXn+//+q/v//AXj+//+p/v//CwAAAAaJAQAAATEBdv7//6r+//8Bdf7//6n+//8EAAAABowBAAAHR2VuZXJhbAFz/v//qv7//wFy/v//qf7//wIAAAAGjwEAAAExAXD+//+q/v//AW/+//+p/v//AAAAAAaSAQAAAjU2Bw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7//5X+//8JbAEAAAltAQAAAWr+//+V/v//CW8BAAAJbQEAAAFn/v//lf7//wlyAQAABpsBAAAFLTQxNDIBZP7//5X+//8JdQEAAAaeAQAAB0NhbGlicmkBYf7//5X+//8JeAEAAAahAQAAATABXv7//5X+//8JewEAAAakAQAAAjExAVv+//+V/v//CX4BAAAGpwEAAAdSZWd1bGFyBwgBAAAAAQAAAAQAAAAEN0dsb2JlU29mdHdhcmUuQXRsYXM0MC5BdGxhc0NvbW1vbi5UeXBlLkZpZWxkT3V0cHV0RmllbGQOAAAACagBAAANAwcK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7//6r+//8BVv7//6n+//8QAAAACVsBAAABVP7//6r+//8BU/7//6n+//8JAAAACS0AAAABUf7//6r+//8BUP7//6n+//8LAAAABrEBAAABMgFO/v//qv7//wFN/v//qf7//wQAAAAGtAEAAAdHZW5lcmFsAUv+//+q/v//AUr+//+p/v//AgAAAAa3AQAAATEBSP7//6r+//8BR/7//6n+//8AAAAABroBAAAFMTIuMjkHD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v//lf7//wlsAQAACW0BAAABQv7//5X+//8JbwEAAAltAQAAAT/+//+V/v//CXIBAAAGwwEAAAUtNDE0MgE8/v//lf7//wl1AQAABsYBAAAHQ2FsaWJyaQE5/v//lf7//wl4AQAABskBAAABMAE2/v//lf7//wl7AQAABswBAAACMTEBM/7//5X+//8JfgEAAAbPAQAAB1JlZ3VsYXIHDQEAAAABAAAABAAAAAQ3R2xvYmVTb2Z0d2FyZS5BdGxhczQwLkF0bGFzQ29tbW9uLlR5cGUuRmllbGRPdXRwdXRGaWVsZA4AAAAJ0AEAAA0DBw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v//qv7//wEu/v//qf7//xAAAAAJWwEAAAEs/v//qv7//wEr/v//qf7//wkAAAAJLQAAAAEp/v//qv7//wEo/v//qf7//wsAAAAG2QEAAAEzASb+//+q/v//ASX+//+p/v//BAAAAAbcAQAAB0dlbmVyYWwBI/7//6r+//8BIv7//6n+//8CAAAABt8BAAABMQEg/v//qv7//wEf/v//qf7//wAAAAAG4gEAAAUxMS4xNAcR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3+//+V/v//CWwBAAAJbQEAAAEa/v//lf7//wlvAQAACW0BAAABF/7//5X+//8JcgEAAAbrAQAABS00MTQyART+//+V/v//CXUBAAAG7gEAAAdDYWxpYnJpARH+//+V/v//CXgBAAAG8QEAAAEwAQ7+//+V/v//CXsBAAAG9AEAAAIxMQEL/v//lf7//wl+AQAABvcBAAAHUmVndWxhcgcSAQAAAAEAAAAEAAAABDdHbG9iZVNvZnR3YXJlLkF0bGFzNDAuQXRsYXNDb21tb24uVHlwZS5GaWVsZE91dHB1dEZpZWxkDgAAAAn4AQAADQMHF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+//+q/v//AQb+//+p/v//CQAAAAktAAAAAQT+//+q/v//AQP+//+p/v//CwAAAAb+AQAAATQBAf7//6r+//8BAP7//6n+//8EAAAABgECAAAHR2VuZXJhbAH+/f//qv7//wH9/f//qf7//wIAAAAGBAIAAAExAfv9//+q/v//Afr9//+p/v//AAAAAAYHAgAABDYuNDMHF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4/f//lf7//wlsAQAACW0BAAAB9f3//5X+//8JbwEAAAltAQAAAfL9//+V/v//CXIBAAAGEAIAAAUtNDE0MgHv/f//lf7//wl1AQAABhMCAAAHQ2FsaWJyaQHs/f//lf7//wl4AQAABhYCAAABMAHp/f//lf7//wl7AQAABhkCAAACMTEB5v3//5X+//8JfgEAAAYcAgAAB1JlZ3VsYXIHFwEAAAABAAAABAAAAAQ3R2xvYmVTb2Z0d2FyZS5BdGxhczQwLkF0bGFzQ29tbW9uLlR5cGUuRmllbGRPdXRwdXRGaWVsZA4AAAAJHQIAAA0DARgBAAD/AAAABxk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i/f//qv7//wHh/f//qf7//wkAAAAJLQAAAAHf/f//qv7//wHe/f//qf7//wsAAAAGIwIAAAE1Adz9//+q/v//Adv9//+p/v//BAAAAAYmAgAAB0dlbmVyYWwB2f3//6r+//8B2P3//6n+//8CAAAABikCAAABMQHW/f//qv7//wHV/f//qf7//wAAAAAGLAIAAAQ4LjU3ARoBAAAMAAAABx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/3//5X+//8GLgIAAAhGb250Qm9sZAltAQAAAdD9//+V/v//BjECAAAKRm9udEl0YWxpYwltAQAAAc39//+V/v//BjQCAAANRm9udFVuZGVybGluZQY1AgAABS00MTQyAcr9//+V/v//BjcCAAAIRm9udE5hbWUGOAIAAAdDYWxpYnJpAcf9//+V/v//BjoCAAAJRm9udENvbG9yBjsCAAABMAHE/f//lf7//wY9AgAACEZvbnRTaXplBj4CAAACMTEBwf3//5X+//8GQAIAAAlGb250U3R5bGUGQQIAAAdSZWd1bGFyBxwBAAAAAQAAAAQAAAAEN0dsb2JlU29mdHdhcmUuQXRsYXM0MC5BdGxhc0NvbW1vbi5UeXBlLkZpZWxkT3V0cHV0RmllbGQOAAAACUICAAANAwce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f3//6r+//8BvP3//6n+//8JAAAACS0AAAABuv3//6r+//8Buf3//6n+//8LAAAABkgCAAABNgG3/f//qv7//wG2/f//qf7//wQAAAAGSwIAAAdHZW5lcmFsAbT9//+q/v//AbP9//+p/v//AgAAAAZOAgAAATEBsf3//6r+//8BsP3//6n+//8AAAAABlECAAAFMTMuMjkHI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/f//lf7//wkuAgAACW0BAAABq/3//5X+//8JMQIAAAltAQAAAaj9//+V/v//CTQCAAAGWgIAAAUtNDE0MgGl/f//lf7//wk3AgAABl0CAAAHQ2FsaWJyaQGi/f//lf7//wk6AgAABmACAAABMAGf/f//lf7//wk9AgAABmMCAAACMTEBnP3//5X+//8JQAIAAAZmAgAAB1JlZ3VsYXIHIQEAAAABAAAABAAAAAQ3R2xvYmVTb2Z0d2FyZS5BdGxhczQwLkF0bGFzQ29tbW9uLlR5cGUuRmllbGRPdXRwdXRGaWVsZA4AAAAJZwIAAA0DBy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Y/f//qv7//wGX/f//qf7//wkAAAAJLQAAAAGV/f//qv7//wGU/f//qf7//wsAAAAGbQIAAAE3AZL9//+q/v//AZH9//+p/v//BAAAAAZwAgAAB0dlbmVyYWwBj/3//6r+//8Bjv3//6n+//8CAAAABnMCAAABMQGM/f//qv7//wGL/f//qf7//wAAAAAGdgIAAAUxMi44Ngcl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9//+V/v//CS4CAAAJbQEAAAGG/f//lf7//wkxAgAACW0BAAABg/3//5X+//8JNAIAAAZ/AgAABS00MTQyAYD9//+V/v//CTcCAAAGggIAAAdDYWxpYnJpAX39//+V/v//CToCAAAGhQIAAAEwAXr9//+V/v//CT0CAAAGiAIAAAIxMQF3/f//lf7//wlAAgAABosCAAAHUmVndWxhcgcmAQAAAAEAAAAEAAAABDdHbG9iZVNvZnR3YXJlLkF0bGFzNDAuQXRsYXNDb21tb24uVHlwZS5GaWVsZE91dHB1dEZpZWxkDgAAAAmMAgAADQMHK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P9//+q/v//AXL9//+p/v//CQAAAAktAAAAAXD9//+q/v//AW/9//+p/v//CwAAAAaSAgAAATgBbf3//6r+//8BbP3//6n+//8EAAAABpUCAAAHR2VuZXJhbAFq/f//qv7//wFp/f//qf7//wIAAAAGmAIAAAExAWf9//+q/v//AWb9//+p/v//AAAAAAabAgAABDkuODYHK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/f//lf7//wkuAgAACW0BAAABYf3//5X+//8JMQIAAAltAQAAAV79//+V/v//CTQCAAAGpAIAAAUtNDE0MgFb/f//lf7//wk3AgAABqcCAAAHQ2FsaWJyaQFY/f//lf7//wk6AgAABqoCAAABMAFV/f//lf7//wk9AgAABq0CAAACMTEBUv3//5X+//8JQAIAAAawAgAAB1JlZ3VsYXIHKwEAAAABAAAABAAAAAQ3R2xvYmVTb2Z0d2FyZS5BdGxhczQwLkF0bGFzQ29tbW9uLlR5cGUuRmllbGRPdXRwdXRGaWVsZA4AAAAJsQIAAA0DBy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O/f//qv7//wFN/f//qf7//wkAAAAJLQAAAAFL/f//qv7//wFK/f//qf7//wsAAAAGtwIAAAE5AUj9//+q/v//AUf9//+p/v//BAAAAAa6AgAAB0dlbmVyYWwBRf3//6r+//8BRP3//6n+//8CAAAABr0CAAABMQFC/f//qv7//wFB/f//qf7//wAAAAAGwAIAAAUxMS41Nwcv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9//+V/v//CS4CAAAJbQEAAAE8/f//lf7//wkxAgAACW0BAAABOf3//5X+//8JNAIAAAbJAgAABS00MTQyATb9//+V/v//CTcCAAAGzAIAAAdDYWxpYnJpATP9//+V/v//CToCAAAGzwIAAAEwATD9//+V/v//CT0CAAAG0gIAAAIxMQEt/f//lf7//wlAAgAABtUCAAAHUmVndWxhcgcwAQAAAAEAAAAEAAAABDdHbG9iZVNvZnR3YXJlLkF0bGFzNDAuQXRsYXNDb21tb24uVHlwZS5GaWVsZE91dHB1dEZpZWxkDgAAAAnWAgAADQMHM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9//+q/v//ASj9//+p/v//CQAAAAktAAAAASb9//+q/v//ASX9//+p/v//CwAAAAbcAgAAAjEwASP9//+q/v//ASL9//+p/v//BAAAAAbfAgAAB0dlbmVyYWwBIP3//6r+//8BH/3//6n+//8CAAAABuICAAABMQEd/f//qv7//wEc/f//qf7//wAAAAAG5QIAAAUxMC40Mwc0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9//+V/v//CS4CAAAJbQEAAAEX/f//lf7//wkxAgAACW0BAAABFP3//5X+//8JNAIAAAbuAgAABS00MTQyARH9//+V/v//CTcCAAAG8QIAAAdDYWxpYnJpAQ79//+V/v//CToCAAAG9AIAAAEwAQv9//+V/v//CT0CAAAG9wIAAAIxMQEI/f//lf7//wlAAgAABvoCAAAHUmVndWxhcgc1AQAAAAEAAAAEAAAABDdHbG9iZVNvZnR3YXJlLkF0bGFzNDAuQXRsYXNDb21tb24uVHlwZS5GaWVsZE91dHB1dEZpZWxkDgAAAAn7AgAADQMHN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9//+q/v//AQP9//+p/v//CQAAAAktAAAAAQH9//+q/v//AQD9//+p/v//CwAAAAYBAwAAAjExAf78//+q/v//Af38//+p/v//BAAAAAYEAwAAB0dlbmVyYWwB+/z//6r+//8B+vz//6n+//8CAAAABgcDAAABMQH4/P//qv7//wH3/P//qf7//wAAAAAGCgMAAAUyMy44Ngc5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8//+V/v//CS4CAAAJbQEAAAHy/P//lf7//wkxAgAACW0BAAAB7/z//5X+//8JNAIAAAYTAwAABS00MTQyAez8//+V/v//CTcCAAAGFgMAAAdDYWxpYnJpAen8//+V/v//CToCAAAGGQMAAAEwAeb8//+V/v//CT0CAAAGHAMAAAIxMQHj/P//lf7//wlAAgAABh8DAAAHUmVndWxhcgc6AQAAAAEAAAAEAAAABDdHbG9iZVNvZnR3YXJlLkF0bGFzNDAuQXRsYXNDb21tb24uVHlwZS5GaWVsZE91dHB1dEZpZWxkDgAAAAkgAwAADQMHP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/8//+q/v//Ad78//+p/v//CQAAAAktAAAAAdz8//+q/v//Adv8//+p/v//CwAAAAYmAwAAAjEyAdn8//+q/v//Adj8//+p/v//BAAAAAYpAwAAB0dlbmVyYWwB1vz//6r+//8B1fz//6n+//8CAAAABiwDAAABMQHT/P//qv7//wHS/P//qf7//wAAAAAGLwMAAAUyMy44Ngc+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D8//+V/v//CS4CAAAJbQEAAAHN/P//lf7//wkxAgAACW0BAAAByvz//5X+//8JNAIAAAY4AwAABS00MTQyAcf8//+V/v//CTcCAAAGOwMAAAdDYWxpYnJpAcT8//+V/v//CToCAAAGPgMAAAEwAcH8//+V/v//CT0CAAAGQQMAAAIxMQG+/P//lf7//wlAAgAABkQDAAAHUmVndWxhcgc/AQAAAAEAAAAEAAAABDdHbG9iZVNvZnR3YXJlLkF0bGFzNDAuQXRsYXNDb21tb24uVHlwZS5GaWVsZE91dHB1dEZpZWxkDgAAAAlFAwAADQMHQ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r8//+q/v//Abn8//+p/v//CQAAAAktAAAAAbf8//+q/v//Abb8//+p/v//CwAAAAZLAwAAAjEzAbT8//+q/v//AbP8//+p/v//BAAAAAZOAwAAB0dlbmVyYWwBsfz//6r+//8BsPz//6n+//8CAAAABlEDAAABMQGu/P//qv7//wGt/P//qf7//wAAAAAGVAMAAAUxMC43MQd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8//+V/v//CS4CAAAJbQEAAAGo/P//lf7//wkxAgAACW0BAAABpfz//5X+//8JNAIAAAZdAwAABS00MTQyAaL8//+V/v//CTcCAAAGYAMAAAdDYWxpYnJpAZ/8//+V/v//CToCAAAGYwMAAAEwAZz8//+V/v//CT0CAAAGZgMAAAIxMQGZ/P//lf7//wlAAgAABmkDAAAHUmVndWxhcgdEAQAAAAEAAAAEAAAABDdHbG9iZVNvZnR3YXJlLkF0bGFzNDAuQXRsYXNDb21tb24uVHlwZS5GaWVsZE91dHB1dEZpZWxkDgAAAAlqAwAADQMHR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X8//+q/v//AZT8//+p/v//CQAAAAktAAAAAZL8//+q/v//AZH8//+p/v//CwAAAAZwAwAAAjE0AY/8//+q/v//AY78//+p/v//BAAAAAZzAwAAB0dlbmVyYWwBjPz//6r+//8Bi/z//6n+//8CAAAABnYDAAABMQGJ/P//qv7//wGI/P//qf7//wAAAAAGeQMAAAQ5Ljg2B0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z//5X+//8JLgIAAAltAQAAAYP8//+V/v//CTECAAAJbQEAAAGA/P//lf7//wk0AgAABoIDAAAFLTQxNDIBffz//5X+//8JNwIAAAaFAwAAB0NhbGlicmkBevz//5X+//8JOgIAAAaIAwAAATABd/z//5X+//8JPQIAAAaLAwAAAjExAXT8//+V/v//CUACAAAGjgMAAAdSZWd1bGFyBVU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XH8///R/////////wAGkAMAAAZTdHJpbmcGkQMAAAtJdGVtIG51bWJlcgmSAwAAAW38///P////AgAAAAVs/P//OUdsb2JlU29mdHdhcmUuQXRsYXM0MC5BdGxhc0NvbW1vbi5OdW1iZXJTZXF1ZW5jZUNvbmRpdGlvbgEAAAAHdmFsdWVfXwAIDgAAAAEAAAAAAAaVAwAAEVRhYmxlLkludmVudFRhYmxlCSoAAAAJLQAAAAr/////CZUDAAAKCSoAAAAKCgoJLQAAAAmbAwAACS0AAAABgAEAAFUBAAABY/z//9H/////////AAaeAwAABlN0cmluZwafAwAACUl0ZW0gbmFtZQmSAwAAAV/8///P////AgAAAAFe/P//bPz//wEAAAAAAAmVAwAACTgAAAAJLQAAAAr/////CZUDAAAKCTgAAAAKCgoJLQAAAAmpAwAACS0AAAABqAEAAFUBAAABVfz//9H/////////AAasAwAABlN0cmluZwatAwAACkl0ZW0gZ3JvdXAJkgMAAAFR/P//z////wIAAAABUPz//2z8//8BAAAAAAAJlQMAAAlGAAAACS0AAAAK/////wmVAwAACglGAAAACgoKCS0AAAAJtwMAAAktAAAAAdABAABVAQAAAUf8///R/////////wAGugMAAARFbnVtBrsDAAAJSXRlbSB0eXBlCZIDAAABQ/z//8////8CAAAAAUL8//9s/P//AQAAAAAACZUDAAAJVAAAAAktAAAACv////8JlQMAAAoJVAAAAAoKCgktAAAACcUDAAAJLQAAAAH4AQAAVQEAAAE5/P//0f////////8ABsgDAAAGU3RyaW5nBskDAAAEVW5pdAnKAwAAATX8///P////AgAAAAE0/P//bPz//wEAAAAAAAlSAQAACWIAAAAJLQAAAAr/////CVIBAAAKCWIAAAAG0gMAAAZJdGVtSWQG0wMAAAtJbnZlbnRUYWJsZQoJLQAAAAnVAwAACS0AAAABHQIAAFUBAAABKfz//9H/////////AAbYAwAABlN0cmluZwbZAwAABkJyYW5jaAnaAwAAASX8///P////AgAAAAEk/P//bPz//wEAAAAAAAbdAwAAEVRhYmxlLkludmVudFRhYmxlCXAAAAAJLQAAAAr/////Cd0DAAAKCXAAAAAKCgoJLQAAAAnjAwAACS0AAAABQgIAAFUBAAABG/z//9H/////////AAnYAwAABucDAAAKRGVwYXJ0bWVudAnaAwAAARf8///P////AgAAAAEW/P//bPz//wEAAAAAAAndAwAACX4AAAAJLQAAAAr/////Cd0DAAAKCX4AAAAKCgoJLQAAAAnxAwAACS0AAAABZwIAAFUBAAABDfz//9H/////////AAnYAwAABvUDAAALQ29zdCBDZW50ZXIJ2gMAAAEJ/P//z////wIAAAABCPz//2z8//8BAAAAAAAJ3QMAAAmMAAAACS0AAAAK/////wndAwAACgmMAAAACgoKCS0AAAAJ/wMAAAktAAAAAYwCAABVAQAAAf/7///R/////////wAJ2AMAAAYDBAAAB1B1cnBvc2UJ2gMAAAH7+///z////wIAAAAB+vv//2z8//8BAAAAAAAJ3QMAAAmaAAAACS0AAAAK/////wndAwAACgmaAAAACgoKCS0AAAAJDQQAAAktAAAAAbECAABVAQAAAfH7///R/////////wAJ2AMAAAYRBAAACVRheCBHcm91cAnaAwAAAe37///P////AgAAAAHs+///bPz//wEAAAAAAAndAwAACagAAAAJLQAAAAr/////Cd0DAAAKCagAAAAKCgoJLQAAAAkbBAAACS0AAAAB1gIAAFUBAAAB4/v//9H/////////AAnYAwAABh8EAAAHU2VnbWVudAnaAwAAAd/7///P////AgAAAAHe+///bPz//wEAAAAAAAndAwAACbYAAAAJLQAAAAr/////Cd0DAAAKCbYAAAAKCgoJLQAAAAkpBAAACS0AAAAB+wIAAFUBAAAB1fv//9H/////////AAnYAwAABi0EAAAVTWFqb3IgTWFya2V0aW5nIEdyb3VwCdoDAAAB0fv//8////8CAAAAAdD7//9s/P//AQAAAAAACd0DAAAJxAAAAAktAAAACv////8J3QMAAAoJxAAAAAoKCgktAAAACTcEAAAJLQAAAAEgAwAAVQEAAAHH+///0f////////8ACdgDAAAGOwQAABZEZXRhaWwgTWFya2V0aW5nIEdyb3VwCdoDAAABw/v//8////8CAAAAAcL7//9s/P//AQAAAAAACd0DAAAJ0gAAAAktAAAACv////8J3QMAAAoJ0gAAAAoKCgktAAAACUUEAAAJLQAAAAFFAwAAVQEAAAG5+///0f////////8ACdgDAAAGSQQAAAlTdGF0dXRvcnkJ2gMAAAG1+///z////wIAAAABtPv//2z8//8BAAAAAAAJ3QMAAAngAAAACS0AAAAK/////wndAwAACgngAAAACgoKCS0AAAAJUwQAAAktAAAAAWoDAABVAQAAAav7///R/////////wAJ2AMAAAZXBAAAB0NoYW5uZWwJ2gMAAAGn+///z////wIAAAABpvv//2z8//8BAAAAAAAJ3QMAAAnuAAAACS0AAAAK/////wndAwAACgnuAAAACgoKCS0AAAAJYQQAAAktAAAABZI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YwQAAAtJbnZlbnRUYWJsZQZkBAAABUl0ZW1zCS0AAAAJLQAAAAktAAAABZr7//8wR2xvYmVTb2Z0d2FyZS5BdGxhczQwLkF0bGFzQ29tbW9uLkRhdGFTb3VyY2VUeXBlAQAAAAd2YWx1ZV9fAAgOAAAAAAAAAAlnBAAACWgEAAAEl/v//wtTeXN0ZW0uR3VpZAsAAAACX2ECX2ICX2MCX2QCX2UCX2YCX2cCX2gCX2kCX2oCX2sAAAAAAAAAAAAAAAgHBwICAgICAgIC4kGfOgXEU0iC0ewZNyouAwktAAAACS0AAAAJawQAAAmVAwAACgoKCgoBAAAABZP7//80R2xvYmVTb2Z0d2FyZS5BdGxhczQwLkF0bGFzQ29tbW9uLkRhdGFTb3VyY2VKb2luTW9kZQEAAAAHdmFsdWVfXwAIDgAAAAAAAAAFkvv//zVHbG9iZVNvZnR3YXJlLkF0bGFzNDAuQXRsYXNDb21tb24uRGF0YVNvdXJjZUZldGNoTW9kZQEAAAAHdmFsdWVfXwAIDgAAAAAAAAAACW8EAAABmwMAACkAAABJAAAACQEBAAADAAAACXEEAAABqQMAACkAAABJAAAACQEBAAADAAAACXMEAAABtwMAACkAAABJAAAACQEBAAADAAAACXUEAAABxQMAACkAAABJAAAACQEBAAADAAAACXcEAAABygMAAJIDAAD/////BngEAAARSW52ZW50VGFibGVNb2R1bGUGeQQAABtJbnZlbnRvcnkgbW9kdWxlIHBhcmFtZXRlcnMJLQAAAAktAAAACS0AAAABhfv//5r7//8AAAAACXwEAAAJfQQAAAGC+///l/v//2wVa4zKQdlBvioWqRmwJ7UJLQAAAAktAAAACYAEAAAJUgEAAAaCBAAAC0ludmVudFRhYmxlBoMEAAARVGFibGUuSW52ZW50VGFibGUGhAQAABhUYWJsZS5JbnZlbnRUYWJsZS5JdGVtSWQGhQQAAAZJdGVtSWQGhgQAAAZJdGVtSWQBAAAAAXn7//+T+///AAAAAAF4+///kvv//wAAAAAACYkEAAAB1QMAACkAAABGAAAACQEBAAADAAAACYsEAAAB2gMAAJIDAAD/////BowEAAALSW52ZW50VGFibGUGjQQAAAVJdGVtcwktAAAACS0AAAAJLQAAAAFx+///mvv//wAAAAAJkAQAAAmRBAAAAW77//+X+///scQuooJFuEe2SNJ9pzXZ+AktAAAACS0AAAAJlAQAAAndAwAACgoKCgoBAAAAAWr7//+T+///AAAAAAFp+///kvv//wAAAAAACZgEAAAB4wMAACkAAAAOAAAACRoBAAADAAAACZoEAAAB8QMAACkAAAAOAAAACRoBAAADAAAACZwEAAAB/wMAACkAAAAOAAAACRoBAAADAAAACZ4EAAABDQQAACkAAAAOAAAACRoBAAADAAAACaAEAAABGwQAACkAAAAOAAAACRoBAAADAAAACaIEAAABKQQAACkAAAAOAAAACRoBAAADAAAACaQEAAABNwQAACkAAAAOAAAACRoBAAADAAAACaYEAAABRQQAACkAAAAOAAAACRoBAAADAAAACagEAAABUwQAACkAAAAOAAAACRoBAAADAAAACaoEAAABYQQAACkAAAAOAAAACRoBAAADAAAACawEAAAEZwQ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rQQAAAcAAAAJrgQAAARo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0EAAAAAAAABGs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a0EAAADAAAACbAEAAAEbwQ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sQQAAAAAAAAHc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+///lf7//wazBAAACEhlbHBUZXh0BrQEAAAOSWRlbnRpZnkgaXRlbS4BS/v//5X+//8GtgQAAAVMYWJlbAmRAwAAAUj7//+V/v//BrkEAAAEVHlwZQmQAwAAB3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v//5X+//8JswQAAAa9BAAAGERlc2NyaXB0aW9uIG9mIHRoZSBpdGVtLgFC+///lf7//wm2BAAACZ8DAAABP/v//5X+//8JuQQAAAmeAwAAB3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v//5X+//8JswQAAAbGBAAAKEl0ZW0gZ3JvdXAgdGhhdCB0aGUgaXRlbSBpcyBhdHRhY2hlZCB0by4BOfv//5X+//8JtgQAAAmtAwAAATb7//+V/v//CbkEAAAJrAMAAAd3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P7//+V/v//CbMEAAAGzwQAAC5UeXBlIGRldGVybWluaW5nIGhvdyB0aGUgaXRlbSBpcyBhZG1pbmlzdGVyZWQuATD7//+V/v//CbYEAAAJuwMAAAEt+///lf7//wm5BAAACboDAAABfAQAAGcEAAABAAAACQEBAAADAAAACdcEAAAEfQ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aAQAAAwAAAAnZBAAABIA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BAQAAAAAAAAGJBAAAbwQAAAAAAAAJ2wQAAAAAAAAHi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+///lf7//wm2BAAACckDAAABIfv//5X+//8JuQQAAAnIAwAAAZAEAABnBAAADgAAAAniBAAAEQAAAAnjBAAABJE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5AQAAAMAAAAJ5QQAAAGUBAAAawQAAAEAAAAJ4gQAAAMAAAAJ5wQAAAGYBAAAbwQAAAAAAAAJ6AQAAAAAAAAHm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+///lf7//wbqBAAABUxhYmVsCdkDAAABFPv//5X+//8G7QQAAARUeXBlCdgDAAAHn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+///lf7//wnqBAAACecDAAABDvv//5X+//8J7QQAAAnYAwAAB54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v//5X+//8J6gQAAAn1AwAAAQj7//+V/v//Ce0EAAAJ2AMAAAeg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X7//+V/v//CeoEAAAJAwQAAAEC+///lf7//wntBAAACdgDAAAHo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/+v//lf7//wnqBAAACREEAAAB/Pr//5X+//8J7QQAAAnYAwAAB6Q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fr//5X+//8J6gQAAAkfBAAAAfb6//+V/v//Ce0EAAAJ2AMAAAem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P6//+V/v//CeoEAAAJLQQAAAHw+v//lf7//wntBAAACdgDAAAHq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t+v//lf7//wnqBAAACTsEAAAB6vr//5X+//8J7QQAAAnYAwAAB6o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r//5X+//8J6gQAAAlJBAAAAeT6//+V/v//Ce0EAAAJ2AMAAAes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H6//+V/v//CeoEAAAJVwQAAAHe+v//lf7//wntBAAACdgDAAABrQQAAAwAAAAHrgQ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2/r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JgUAABhUYWJsZS5JbnZlbnRUYWJsZS5JdGVtSWQJVQEAAAHY+v//2/r//wYpBQAAGlRhYmxlLkludmVudFRhYmxlLkl0ZW1OYW1lCYABAAAB1fr//9v6//8GLAUAAB1UYWJsZS5JbnZlbnRUYWJsZS5JdGVtR3JvdXBJZAmoAQAAAdL6///b+v//Bi8FAAAaVGFibGUuSW52ZW50VGFibGUuSXRlbVR5cGUJ0AEAAAewB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P+v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lSAQAACcoDAAAEsQ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9c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z6///b+v//BjUFAAA3VGFibGUuSW52ZW50VGFibGUuSXRlbUlkflRhYmxlLkludmVudFRhYmxlTW9kdWxlLlVuaXRJZAn4AQAAB9kE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J+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jgFAAA7VGFibGUuSW52ZW50VGFibGUuSXRlbUlkflRhYmxlLkludmVudFRhYmxlTW9kdWxlLk1vZHVsZVR5cGUJOQUAAAHbBAAAsQQAAAHiBAAADAAAAAfjBAAAAAEAAAAO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G+v//2/r//wY7BQAAGFRhYmxlLkludmVudFRhYmxlLkl0ZW1JZAlVAQAAAcP6///b+v//Bj4FAAAaVGFibGUuSW52ZW50VGFibGUuSXRlbU5hbWUJgAEAAAHA+v//2/r//wZBBQAAHVRhYmxlLkludmVudFRhYmxlLkl0ZW1Hcm91cElkCagBAAABvfr//9v6//8GRAUAABpUYWJsZS5JbnZlbnRUYWJsZS5JdGVtVHlwZQnQAQAAAbr6///b+v//BkcFAAAeVGFibGUuSW52ZW50VGFibGUuRGltZW5zaW9uWzFdCR0CAAABt/r//9v6//8GSgUAAB9UYWJsZS5JbnZlbnRUYWJsZS5EaW1lbnNpb25bMTBdCWoDAAABtPr//9v6//8GTQUAAB5UYWJsZS5JbnZlbnRUYWJsZS5EaW1lbnNpb25bM10JZwIAAAGx+v//2/r//wZQBQAAHlRhYmxlLkludmVudFRhYmxlLkRpbWVuc2lvblsyXQlCAgAAAa76///b+v//BlMFAAAeVGFibGUuSW52ZW50VGFibGUuRGltZW5zaW9uWzhdCSADAAABq/r//9v6//8GVgUAAB5UYWJsZS5JbnZlbnRUYWJsZS5EaW1lbnNpb25bN10J+wIAAAGo+v//2/r//wZZBQAAHlRhYmxlLkludmVudFRhYmxlLkRpbWVuc2lvbls0XQmMAgAAAaX6///b+v//BlwFAAAeVGFibGUuSW52ZW50VGFibGUuRGltZW5zaW9uWzZdCdYCAAABovr//9v6//8GXwUAAB5UYWJsZS5JbnZlbnRUYWJsZS5EaW1lbnNpb25bOV0JRQMAAAGf+v//2/r//wZiBQAAHlRhYmxlLkludmVudFRhYmxlLkRpbWVuc2lvbls1XQmxAgAAAeQEAAAMAAAAB+UE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c+v//yfr//wZlBQAAGFRhYmxlLkludmVudFRhYmxlLkl0ZW1JZAlmBQAAAZn6///J+v//BmgFAAAaVGFibGUuSW52ZW50VGFibGUuSXRlbVR5cGUJaQUAAAfnB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W+v//z/r//wlSAQAACcoDAAAB6AQAALEEAAAFOQU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VIBAAAJUwEAAAktAAAACVQBAAD/////CVIBAAAKCVMBAAAGcwUAAAZJdGVtSWQKCgktAAAACXUFAAAJLQAAAAFmBQAAOQUAAAZ3BQAAEVRhYmxlLkludmVudFRhYmxlCU0BAAAJLQAAAAlOAQAA/////wl3BQAACglNAQAACgoKCS0AAAAJfgUAAAktAAAAAWkFAAA5BQAACXcFAAAJUAEAAAktAAAACVEBAAD/////CXcFAAAKCVABAAAKCgoJLQAAAAmHBQAACS0AAAABdQUAACkAAAAoAAAACeQEAAADAAAACYoFAAABfgUAACkAAAAqAAAACeQEAAADAAAACYwFAAABhwUAACkAAAAqAAAACeQEAAADAAAACY4FAAAHig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+v//lf7//waQBQAABFR5cGUGkQUAAARFbnVtAW76//+V/v//BpMFAAAFTGFiZWwGlAUAAAtNb2R1bGUgdHlwZQeM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v6//+V/v//CZAFAAAJkAMAAAFo+v//lf7//wmTBQAACZEDAAABZfr//5X+//8GnAUAAAhSZWZlcnNUbwadBQAACz1JdGVtTnVtYmVyB44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r//5X+//8JkAUAAAm6AwAAAV/6//+V/v//CZMFAAAJuwMAAAFc+v//lf7//wmcBQAABqYFAAAJPUl0ZW1UeXBlCw==</Report>
</Atlas>
</file>

<file path=customXml/item3.xml><?xml version="1.0" encoding="utf-8"?>
<Atlas>
  <Query type="ReportList" id="c58fcd72-fb39-4788-b143-276ed872501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RAAAAE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V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FRQUFRyYW5zX3NzdAYeAAAAEFRQUCB0cmFuc2FjdGlvbnMJCAAAAAkIAAAACQgAAAAF4P///zBHbG9iZVNvZnR3YXJlLkF0bGFzNDAuQXRsYXNDb21tb24uRGF0YVNvdXJjZVR5cGUBAAAAB3ZhbHVlX18ACAIAAAAAAAAACSEAAAAJIgAAAATd////C1N5c3RlbS5HdWlkCwAAAAJfYQJfYgJfYwJfZAJfZQJfZgJfZwJfaAJfaQJfagJfawAAAAAAAAAAAAAACAcHAgICAgICAgIgtVDV1agHRIxQaQjUjNpkCQgAAAAJCAAAAAklAAAABiYAAAASVGFibGUuVFBQVHJhbnN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E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5UYWJsZS5UUFBUcmFuc19zc3QuSW52ZW50RGltSWR+VGFibGUuSW52ZW50RGltCTEAAAABzv///9T///8GMwAAADFUYWJsZS5UUFBUcmFuc19zc3QuSXRlbUlkflRhYmxlLkludmVudFRhYmxlTW9kdWxlCTQAAAABy////9T///8GNgAAACtUYWJsZS5UUFBUcmFuc19zc3QuSXRlbUlkflRhYmxlLkludmVudFRhYmxlCTcAAAAHFAAAAAABAAAAIAAAAAQtR2xvYmVTb2Z0d2FyZS5BdGxhczQwLkF0bGFzQ29tbW9uLlR5cGUuQ29sdW1uAgAAAAk4AAAACTkAAAAJOgAAAAk7AAAACTwAAAAJPQAAAAk+AAAACT8AAAAJQAAAAAlBAAAACUIAAAAJQwAAAAlEAAAACUUAAAAJRgAAAAlHAAAACUgAAAANDxEVAAAABAAAAAZJAAAADUF0bGFzUmVwb3J0XzINAwcXAAAAAAEAAAAE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b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T///+2////Bk0AAAAPVGFibGUuSW52ZW50RGltCTAAAAABsf///7b///8GUAAAABdUYWJsZS5JbnZlbnRUYWJsZU1vZHVsZQkzAAAAAa7///+2////BlMAAAARVGFibGUuSW52ZW50VGFibGU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q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q////Pkdsb2JlU29mdHdhcmUuQXRsYXM0MC5BdGxhc0NvbW1vbi5UeXBlLkF0bGFzUXVlcnlBdHRyaWJ1dGVOYW1lAQAAAAd2YWx1ZV9fAAgCAAAAAgAAAAZXAAAAJGM1OGZjZDcyLWZiMzktNDc4OC1iMTQzLTI3NmVkODcyNTAxOQGo////q////wGn////qv///wAAAAAGWgAAAAR0cnVlAaX///+r////AaT///+q////CwAAAAZdAAAAEFRQUCB0cmFuc2FjdGlvbnMBov///6v///8Bof///6r///8bAAAABmAAAAAEVHJ1ZQGf////q////wGe////qv///wYAAAAGYwAAAAVGYWxzZQGc////q////wGb////qv///xwAAAAJYAAAAAGZ////q////wGY////qv///x0AAAAJYwAAAAGW////q////wGV////qv///yoAAAAJYAAAAAGT////q////wGS////qv///wEAAAAGbwAAAAMzNjQBkP///6v///8Bj////6r///8nAAAABnIAAAALPURhdGFBcmVhSWQBjf///6v///8BjP///6r///8ZAAAABnUAAAAPQ2VsbHNWZXJ0aWNhbGx5AYr///+r////AYn///+q////CQAAAAoBiP///6v///8Bh////6r///8oAAAABnoAAAACMTcBhf///6v///8BhP///6r///8rAAAABn0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wAAAAxUUFBUcmFuc19zc3QBAAAAAYD///+C////BoEAAAAJSW52ZW50RGltAQAAAAF+////gv///waDAAAAEUludmVudFRhYmxlTW9kdWxlAQAAAAF8////gv///waF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QAAAAmGAAAAEQAAAAm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EgAAAAMAAAAJiQAAAAElAAAABAAAAAMAAAAJhgAAAAMAAAAJiw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MAAAAAAAAAAcqAAAAAAEAAAAAAAAABC1HbG9iZVNvZnR3YXJlLkF0bGFzNDAuQXRsYXNDb21tb24uVHlwZS5Db2x1bW4CAAAAATEAAAAOAAAA/////waNAAAACUludmVudERpbQaOAAAAFEludmVudG9yeSBkaW1lbnNpb25zCQgAAAAJCAAAAAkIAAAAAXD////g////AAAAAAmRAAAACZIAAAABbf///93////I6FxcYb88S7AwaKejtuBGCQgAAAAJCAAAAAmVAAAACTAAAAAGlwAAAAxUUFBUcmFuc19zc3QGmAAAABJUYWJsZS5UUFBUcmFuc19zc3QGmQAAAB5UYWJsZS5UUFBUcmFuc19zc3QuSW52ZW50RGltSWQGmgAAAAtJbnZlbnREaW1JZAabAAAAC2ludmVudERpbUlkAQAAAAFk////2f///wAAAAABY////9j///8AAAAAAAmeAAAAATQAAAAOAAAA/////wafAAAAEUludmVudFRhYmxlTW9kdWxlBqAAAAAbSW52ZW50b3J5IG1vZHVsZSBwYXJhbWV0ZXJzCQgAAAAJCAAAAAkIAAAAAV7////g////AAAAAAmjAAAACaQAAAABW////93////6rnnGrj1sSqdX5DvVwSOJCQgAAAAJCAAAAAmnAAAACTMAAAAGqQAAAAxUUFBUcmFuc19zc3QGqgAAABJUYWJsZS5UUFBUcmFuc19zc3QGqwAAABlUYWJsZS5UUFBUcmFuc19zc3QuSXRlbUlkBqwAAAAGSXRlbUlkBq0AAAAGSXRlbUlkAQAAAAFS////2f///wAAAAABUf///9j///8AAAAAAAmwAAAAATcAAAAOAAAA/////waxAAAAC0ludmVudFRhYmxlBrIAAAAFSXRlbXMJCAAAAAkIAAAACQgAAAABTP///+D///8AAAAACbUAAAAJtgAAAAFJ////3f///2hKN7/QZAlCsBF1sAFd8zIJCAAAAAkIAAAACbkAAAAJNgAAAAa7AAAADFRQUFRyYW5zX3NzdAa8AAAAElRhYmxlLlRQUFRyYW5zX3NzdAa9AAAAGVRhYmxlLlRQUFRyYW5zX3NzdC5JdGVtSWQGvgAAAAZJdGVtSWQGvwAAAAZJdGVtSWQBAAAAAUD////Z////AAAAAAE/////2P///wAAAAAACcI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wwAAAAnEAAAACcUAAAAGxgAAAAlUcmFuc1R5cGUGxwAAAAlSZWZlcmVuY2UGyAAAAARFbnVtCQgAAAAGygAAACQ0MjQwZmRkNi0wYWFjLTQ3YWItOGE3My0wZWNlZmVmY2I4ZDYFNf///y1HbG9iZVNvZnR3YXJlLkF0bGFzNDAuQXRsYXNDb21tb24uQWdncmVnYXRpb24BAAAAB3ZhbHVlX18ACAIAAAD/////AAAAAAU0////LEdsb2JlU29mdHdhcmUuQXRsYXM0MC5BdGxhc0NvbW1vbi5Db2x1bW5UeXBlAQAAAAd2YWx1ZV9fAAgCAAAAAAAAAAUz////K0dsb2JlU29mdHdhcmUuQXRsYXM0MC5BdGxhc0NvbW1vbi5Tb3J0T3JkZXIBAAAAB3ZhbHVlX18ACAIAAAACAAAAAAAAAAAFMv///0BHbG9iZVNvZnR3YXJlLkF0bGFzNDAuQXRsYXNDb21tb24uVHlwZS5Db2x1bW4rQ3Jvc3NUYWJDb2x1bW5UeXBlAQAAAAd2YWx1ZV9fAAgCAAAAAAAAAAoBAAAAAAAAAAAAAAAAAAbPAAAAJGQyM2NmY2U3LTBhNTYtNGNlZS1hODdmLTg1YWQ1MDhhODI2MAbQAAAAHFRhYmxlLlRQUFRyYW5zX3NzdC5UcmFuc1R5cGUKCgoKATkAAAA4AAAACdEAAAAJ0gAAAAnTAAAABtQAAAAKVHJhbnNSZWZJZAbVAAAABk51bWJlcgbWAAAABlN0cmluZwkIAAAABtgAAAAkZTc5ZDM5N2UtMGU4MS00ZWI5LWE0MzAtYzI5YzUyMjYyYzAyASf///81/////////wEAAAABJv///zT///8AAAAAASX///8z////AgAAAAAAAAAAAST///8y////AAAAAAoBAAAAAAAAAAABAAAAAAbdAAAAJDdiNWNhZThmLTdkZjEtNGFmMC1iY2JmLTA3ZDIzMTcxYzIyNAbeAAAAHVRhYmxlLlRQUFRyYW5zX3NzdC5UcmFuc1JlZklkCgoKCgE6AAAAOAAAAAnfAAAACeAAAAAJ4QAAAAbiAAAABkl0ZW1JZAbjAAAAC0l0ZW0gbnVtYmVyBuQAAAAGU3RyaW5nCQgAAAAG5gAAACQzZTkyN2FhMi0yZjMzLTRkZjQtOGMwOC1mNDVkMTJiMDQ3YTcBGf///zX/////////AgAAAAEY////NP///wAAAAABF////zP///8CAAAAAAAAAAABFv///zL///8AAAAACgEAAAAAAAAAAAIAAAAABusAAAAkOWJjZjU2YjItMjFhYi00YzJhLTk5NDgtNDA1NWQwZDU1MjQzBuwAAAAZVGFibGUuVFBQVHJhbnNfc3N0Lkl0ZW1JZAoKCgoBOwAAADgAAAAJ7QAAAAnuAAAACe8AAAAG8AAAAAhJdGVtTmFtZQbxAAAACUl0ZW0gbmFtZQbyAAAABlN0cmluZwkIAAAABvQAAAAkZmNjYTkwNDMtNDQ4ZS00OGUzLWFjY2YtMDJjYjg3NGRhNTI5AQv///81/////////wMAAAABCv///zT///8AAAAAAQn///8z////AgAAAAAAAAAAAQj///8y////AAAAAAoBAAAAAAAAAAADAAAAAAb5AAAAJGExOWIyYmM4LWM2YmMtNDc1MS05MGY2LWU4NWJkNjkxOTA4Ywb6AAAANFRhYmxlLlRQUFRyYW5zX3NzdC5JdGVtSWR+VGFibGUuSW52ZW50VGFibGUuSXRlbU5hbWUKCgoKATwAAAA4AAAACfsAAAAJ/AAAAAn9AAAABv4AAAAJVHJhbnNEYXRlBv8AAAAERGF0ZQYAAQAABERhdGUJCAAAAAYCAQAAJDRhZDQ4MDM5LTUzN2QtNDBkZS1hMzZiLTlhNzkwOGZiMjBiOAH9/v//Nf////////8EAAAAAfz+//80////AAAAAAH7/v//M////wIAAAAAAAAAAAH6/v//Mv///wAAAAAKAQAAAAAAAAAABAAAAAAGBwEAACRmNGI4NzQzZS02OTJiLTQyZTMtYmExNS0zNTg5YWU4MDcyYzgGCAEAABxUYWJsZS5UUFBUcmFuc19zc3QuVHJhbnNEYXRlCgoKCgE9AAAAOAAAAAkJAQAACQoBAAAJCwEAAAYMAQAADEludmVudFNpdGVJZAYNAQAABFNpdGUGDgEAAAZTdHJpbmcJCAAAAAYQAQAAJDJjMmUzOGIxLTBjZWItNDAwNy05YzQ2LWQ0OTc0M2FhZjg4YwHv/v//Nf////////8FAAAAAe7+//80////AAAAAAHt/v//M////wIAAAAAAAAAAAHs/v//Mv///wAAAAAKAQAAAAAAAAAABQAAAAAGFQEAACQ1YmE3YjhkYS1jODU0LTQ4OWQtOWE1Yi02NDY0MzVhOTRkOGYGFgEAADtUYWJsZS5UUFBUcmFuc19zc3QuSW52ZW50RGltSWR+VGFibGUuSW52ZW50RGltLkludmVudFNpdGVJZAoKCgoBPgAAADgAAAAJFwEAAAkYAQAACRkBAAAGGgEAABBJbnZlbnRMb2NhdGlvbklkBhsBAAAJV2FyZWhvdXNlBhwBAAAGU3RyaW5nCQgAAAAGHgEAACQ4ZTYxMTViMS05NDQ1LTRmZmEtYmJjOC1mNDJjZjc2OTRhMzUB4f7//zX/////////BgAAAAHg/v//NP///wAAAAAB3/7//zP///8CAAAAAAAAAAAB3v7//zL///8AAAAACgEAAAAAAAAAAAYAAAAABiMBAAAkMDQ0ODFjNWItZTg2OC00YzNhLTlmNzEtNTBjMGZmMmUzMTlkBiQBAAA/VGFibGUuVFBQVHJhbnNfc3N0LkludmVudERpbUlkflRhYmxlLkludmVudERpbS5JbnZlbnRMb2NhdGlvbklkCgoKCgE/AAAAOAAAAAklAQAACSYBAAAJJwEAAAYoAQAAA1F0eQYpAQAACFF1YW50aXR5BioBAAAEUmVhbAkIAAAABiwBAAAkODhiM2JlM2MtMjVlNy00NzAwLTg2NTQtNmE5MDNmOTFmYWQ3AdP+//81////AQAAAAcAAAAB0v7//zT///8AAAAAAdH+//8z////AgAAAAAAAAAAAdD+//8y////AAAAAAoBAAAAAAAAAAAHAAAAAAYxAQAAJDEyYTM5NTc1LWI1NDYtNDViOC1iYjEyLTJiZjRhZTYzY2IzOAYyAQAAFlRhYmxlLlRQUFRyYW5zX3NzdC5RdHkKCgoKAUAAAAA4AAAACTMBAAAJNAEAAAk1AQAABjYBAAAGVW5pdElkBjcBAAAEVW5pdAY4AQAABlN0cmluZwkIAAAABjoBAAAkMGQ5MDZhMDAtOWQ4NS00NDI0LWI5YWMtMTZmZDNmOTdmYzc2AcX+//81/////////wgAAAABxP7//zT///8AAAAAAcP+//8z////AgAAAAAAAAAAAcL+//8y////AAAAAAoBAAAAAAAAAAAIAAAAAAY/AQAAJDlkMjZiMjI1LTkyMmUtNGU4OC1iZGFmLTU4YTMyMWU3ODJmOAZAAQAAOFRhYmxlLlRQUFRyYW5zX3NzdC5JdGVtSWR+VGFibGUuSW52ZW50VGFibGVNb2R1bGUuVW5pdElkCgoKCgFBAAAAOAAAAAlBAQAACUIBAAAJQwEAAAZEAQAACUNvc3RQcmljZQZFAQAADlRQUCBjb3N0IHByaWNlBkYBAAAEUmVhbAkIAAAABkgBAAAkYzBkZWEzYTAtNmJlZC00OGY3LWE5MzgtMmFhYjljOTM1YmJlAbf+//81////AQAAAAkAAAABtv7//zT///8AAAAAAbX+//8z////AgAAAAAAAAAAAbT+//8y////AAAAAAoBAAAAAAAAAAAJAAAAAAZNAQAAJGQ5NGU1NjRjLTlkZTItNDJkYi1hODg5LWRlZDkxMTEwYjBmYwZOAQAAHFRhYmxlLlRQUFRyYW5zX3NzdC5Db3N0UHJpY2UKCgoKAUIAAAA4AAAACU8BAAAJUAEAAAlRAQAABlIBAAAKQ29zdEFtb3VudAZTAQAAD1RQUCBjb3N0IGFtb3VudAZUAQAABFJlYWwJCAAAAAZWAQAAJDlkOWRhOTRmLTI5MmYtNDE2Yi1hZmJkLTQ4ZjRkMzBmYjYzOQGp/v//Nf///wEAAAAKAAAAAaj+//80////AAAAAAGn/v//M////wIAAAAAAAAAAAGm/v//Mv///wAAAAAKAQAAAAAAAAAACgAAAAAGWwEAACQyOGY4MTQ3OS1hNzg5LTRiZmEtODA2Mi03NjI5NWFmMTgxNzcGXAEAAB1UYWJsZS5UUFBUcmFuc19zc3QuQ29zdEFtb3VudAoKCgoBQwAAADgAAAAJXQEAAAleAQAACV8BAAAGYAEAAAxDdXJyZW5jeUNvZGUGYQEAAAhDdXJyZW5jeQZiAQAABlN0cmluZwkIAAAABmQBAAAkMDM4NDhiYmYtODk5ZC00OWUzLWIxNTgtODMwZDNlZTNlNDZhAZv+//81/////////wsAAAABmv7//zT///8AAAAAAZn+//8z////AgAAAAAAAAAAAZj+//8y////AAAAAAoBAAAAAAAAAAALAAAAAAZpAQAAJDBkOGVmMTE1LTJiNzItNDQ2ZC04YjIzLWEyMzE5ODY0YjhkZgZqAQAAH1RhYmxlLlRQUFRyYW5zX3NzdC5DdXJyZW5jeUNvZGUKCgoKAUQAAAA4AAAACWsBAAAJbAEAAAltAQAABm4BAAANQ29zdEFtb3VudEN1cgZvAQAAGFRQUCBjb3N0IGFtb3VudCBjdXJyZW5jeQZwAQAABFJlYWwJCAAAAAZyAQAAJDdkYTJlZmZjLWU3MDQtNGIwYy05NjM0LTg0ZDZkZDhkNmQ4ZAGN/v//Nf///wEAAAAMAAAAAYz+//80////AAAAAAGL/v//M////wIAAAAAAAAAAAGK/v//Mv///wAAAAAKAQAAAAAAAAAADAAAAAAGdwEAACRhMTcyNTRjOS01Y2NkLTQ4NDItOTcwYy1kNjY4MmIxMjA4NmYGeAEAACBUYWJsZS5UUFBUcmFuc19zc3QuQ29zdEFtb3VudEN1cgoKCgoBRQAAADgAAAAJeQEAAAl6AQAACXsBAAAGfAEAAAdWb3VjaGVyBn0BAAARRmluYW5jaWFsIHZvdWNoZXIGfgEAAAZTdHJpbmcJCAAAAAaAAQAAJDA4OTgxOGEzLTI2OGUtNGZmZC1iNDgwLWE5ZDdiOTliMmRiZAF//v//Nf////////8NAAAAAX7+//80////AAAAAAF9/v//M////wIAAAAAAAAAAAF8/v//Mv///wAAAAAKAQAAAAAAAAAADQAAAAAGhQEAACQ3NTc1OGQ1NC0xZDRkLTRhOTctODgwZi1iNjI2MDNlYWQ3YTYGhgEAABpUYWJsZS5UUFBUcmFuc19zc3QuVm91Y2hlcgoKCgoBRgAAADgAAAAJhwEAAAmIAQAACYkBAAAGigEAAA1JbnZlbnRUcmFuc0lkBosBAAAGTG90IElEBowBAAAGU3RyaW5nCQgAAAAGjgEAACQ5ZTE1YjcyZC02NmJhLTRjZDItODY0Zi01NmQ1NzI0OWIyOGEBcf7//zX/////////DgAAAAFw/v//NP///wAAAAABb/7//zP///8CAAAAAAAAAAABbv7//zL///8AAAAACgEAAAAAAAAAAA4AAAAABpMBAAAkOTZkYWU5MmYtYjdiNy00ZDVjLWI3ZDgtMWM4N2NlMDcwZTZiBpQBAAAgVGFibGUuVFBQVHJhbnNfc3N0LkludmVudFRyYW5zSWQKCgoKAUcAAAA4AAAACZUBAAAJlgEAAAmXAQAABpgBAAAGU3RhdHVzBpkBAAAGU3RhdHVzBpoBAAAERW51bQkIAAAABpwBAAAkODVjNWFjNzEtM2RmOC00MTMwLWE5NjUtM2Q3ZGNkZWJjOWQyAWP+//81/////////w8AAAABYv7//zT///8AAAAAAWH+//8z////AgAAAAAAAAAAAWD+//8y////AAAAAAoBAAAAAAAAAAAPAAAAAAahAQAAJGQ3Yjk5MWMzLWM0YzItNGVjMy1hNWFlLWQwMjZmYThmZTc5OQaiAQAAGVRhYmxlLlRQUFRyYW5zX3NzdC5TdGF0dXMKCgoKAUgAAAA4AAAACaMBAAAJpAEAAAmlAQAABqYBAAAQSW52ZW50VHJhbnNSZWNJZAanAQAAEEludmVudFRyYW5zUmVjSWQGqAEAAAVJbnQ2NAkIAAAABqoBAAAkZDhhNmZjMDUtZjZmNC00MDNlLTgzZmEtNWU3ZGY0OGI2ZmNlAVX+//81////AQAAABAAAAABVP7//zT///8AAAAAAVP+//8z////AgAAAAAAAAAAAVL+//8y////AAAAAAoBAAAAAAAAAAAQAAAAAAavAQAAJDFkYTI2ODYxLTA0YzktNGYyYy05N2U4LTVkOGE2NGJhZWI3NQawAQAAI1RhYmxlLlRQUFRyYW5zX3NzdC5JbnZlbnRUcmFuc1JlY0lkCgoKCgGGAAAAEgAAAAeHAAAAAAEAAAAN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P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yAQAAHFRhYmxlLlRQUFRyYW5zX3NzdC5UcmFuc1R5cGUJswEAAAFM/v//T/7//wa1AQAAHVRhYmxlLlRQUFRyYW5zX3NzdC5UcmFuc1JlZklkCbYBAAABSf7//0/+//8GuAEAABlUYWJsZS5UUFBUcmFuc19zc3QuSXRlbUlkCbkBAAABRv7//0/+//8GuwEAABxUYWJsZS5UUFBUcmFuc19zc3QuVHJhbnNEYXRlCbwBAAABQ/7//0/+//8GvgEAABZUYWJsZS5UUFBUcmFuc19zc3QuUXR5Cb8BAAABQP7//0/+//8GwQEAABxUYWJsZS5UUFBUcmFuc19zc3QuQ29zdFByaWNlCcIBAAABPf7//0/+//8GxAEAAB1UYWJsZS5UUFBUcmFuc19zc3QuQ29zdEFtb3VudAnFAQAAATr+//9P/v//BscBAAAfVGFibGUuVFBQVHJhbnNfc3N0LkN1cnJlbmN5Q29kZQnIAQAAATf+//9P/v//BsoBAAAgVGFibGUuVFBQVHJhbnNfc3N0LkNvc3RBbW91bnRDdXIJywEAAAE0/v//T/7//wbNAQAAGlRhYmxlLlRQUFRyYW5zX3NzdC5Wb3VjaGVyCc4BAAABMf7//0/+//8G0AEAACBUYWJsZS5UUFBUcmFuc19zc3QuSW52ZW50VHJhbnNJZAnRAQAAAS7+//9P/v//BtMBAAAZVGFibGUuVFBQVHJhbnNfc3N0LlN0YXR1cwnUAQAAASv+//9P/v//BtYBAAAjVGFibGUuVFBQVHJhbnNfc3N0LkludmVudFRyYW5zUmVjSWQJ1wEAAAeJ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K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ZAQAAHFRhYmxlLlRQUFRyYW5zX3NzdC5UcmFuc0RhdGUJ2gEAAAEl/v//KP7//wbcAQAAGVRhYmxlLlRQUFRyYW5zX3NzdC5JdGVtSWQJ3QEAAAeL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i/v//1P///wkwAAAACTEAAAABH/7//9T///8JMwAAAAk0AAAAARz+///U////CTYAAAAJNwAAAASM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kQAAACEAAAACAAAACecBAAADAAAACegBAAAEk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V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wEAAAAAAAABngAAACkAAAAAAAAACesBAAAAAAAAAaMAAAAhAAAAAQAAAAnnAQAAAwAAAAntAQAAAaQAAAAiAAAAAQAAAAkSAAAAAwAAAAnvAQAABKc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GwAAAAKQAAAAAAAAAJ6wEAAAAAAAABtQAAACEAAAABAAAACecBAAADAAAACfMBAAABtgAAACIAAAABAAAACRIAAAADAAAACfUBAAAEu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cBAAAAAAAAAcIAAAApAAAAAAAAAAnrAQAAAAAAAATD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4AQAAAQAAAAEAAAAEx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PAQAACfkBAAAHAAAACfoBAAAEx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QAACfsBAAAHAAAACfwBAAAB0QAAAMMAAAAJ/QEAAAEAAAABAAAAAdIAAADEAAAADgEAAAn5AQAABwAAAAn/AQAABN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EAAAn7AQAABwAAAAkBAgAAAd8AAADDAAAACQICAAABAAAAAQAAAAHgAAAAxAAAAA4BAAAJ+QEAAAcAAAAJBAIAAAT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BAAAJ+wEAAAcAAAAJBgIAAAHtAAAAwwAAAAkHAgAAAQAAAAEAAAAB7gAAAMQAAADcAAAACQgCAAAHAAAACQkCAAAE7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ZAAAACecBAAAHAAAACQsCAAAB+wAAAMMAAAAJDAIAAAEAAAABAAAAAfwAAADEAAAABgEAAAn5AQAABwAAAAkOAgAABP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wEAAAn7AQAABwAAAAkQAgAAAQkBAADDAAAACRECAAABAAAAAQAAAAEKAQAAxAAAAOoAAAAJCAIAAAcAAAAJEwIAAAQ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cAAAAJ5wEAAAcAAAAJFQIAAAEXAQAAwwAAAAkWAgAAAQAAAAEAAAABGAEAAMQAAADqAAAACQgCAAAHAAAACRgCAAAEG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nAAAACecBAAAHAAAACRoCAAABJQEAAMMAAAAJGwIAAAEAAAABAAAAASYBAADEAAAADgEAAAn5AQAABwAAAAkdAgAABC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EAAAn7AQAABwAAAAkfAgAAATMBAADDAAAACSACAAABAAAAAQAAAAE0AQAAxAAAAOoAAAAJCAIAAAcAAAAJIgIAAAQ1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cAAAAJ5wEAAAcAAAAJJAIAAAFBAQAAwwAAAAklAgAAAQAAAAEAAAABQgEAAMQAAAAPAQAACfkBAAAHAAAACScCAAAEQ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QAACfsBAAAHAAAACSkCAAABTwEAAMMAAAAJKgIAAAEAAAABAAAAAVABAADEAAAADgEAAAn5AQAABwAAAAksAgAABF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EAAAn7AQAABwAAAAkuAgAAAV0BAADDAAAACS8CAAABAAAAAQAAAAFeAQAAxAAAAA4BAAAJ+QEAAAcAAAAJMQIAAAR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BAAAJ+wEAAAcAAAAJMwIAAAFrAQAAwwAAAAk0AgAAAQAAAAEAAAABbAEAAMQAAAAOAQAACfkBAAAHAAAACTYCAAAEb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QAACfsBAAAHAAAACTgCAAABeQEAAMMAAAAJOQIAAAEAAAABAAAAAXoBAADEAAAADgEAAAn5AQAABwAAAAk7AgAABH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EAAAn7AQAABwAAAAk9AgAAAYcBAADDAAAACT4CAAABAAAAAQAAAAGIAQAAxAAAAA4BAAAJ+QEAAAcAAAAJQAIAAAS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oBAAAJ+wEAAAcAAAAJQgIAAAGVAQAAwwAAAAlDAgAAAQAAAAEAAAABlgEAAMQAAAAOAQAACfkBAAAHAAAACUUCAAAEl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QAACfsBAAAHAAAACUcCAAABowEAAMMAAAAJSAIAAAEAAAABAAAAAaQBAADEAAAACgEAAAn5AQAABwAAAAlKAgAABK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wEAAAn7AQAABwAAAAlMAgAABbM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P9//81/////////wAGTgIAAARFbnVtBk8CAAAJUmVmZXJlbmNlCVACAAABr/3//zP///8CAAAABa79//85R2xvYmVTb2Z0d2FyZS5BdGxhczQwLkF0bGFzQ29tbW9uLk51bWJlclNlcXVlbmNlQ29uZGl0aW9uAQAAAAd2YWx1ZV9fAAgCAAAAAQAAAAAABlMCAAASVGFibGUuVFBQVHJhbnNfc3N0CcYAAAAJCAAAAAr/////CVMCAAAKCcYAAAAKCgoJCAAAAAlZAgAACQgAAAABtgEAALMBAAABpf3//zX/////////AAZcAgAABlN0cmluZwZdAgAABk51bWJlcglQAgAAAaH9//8z////AgAAAAGg/f//rv3//wEAAAAAAAlTAgAACdQAAAAJCAAAAAr/////CVMCAAAKCdQAAAAKCgoJCAAAAAlnAgAACQgAAAABuQEAALMBAAABl/3//zX/////////AAZqAgAABlN0cmluZwZrAgAAC0l0ZW0gbnVtYmVyCVACAAABk/3//zP///8CAAAAAZL9//+u/f//AQAAAAAACVMCAAAJ4gAAAAkIAAAACv////8JUwIAAAoJ4gAAAAoKCgkIAAAACXUCAAAJCAAAAAG8AQAAswEAAAGJ/f//Nf////////8ABngCAAAERGF0ZQZ5AgAABERhdGUJegIAAAGF/f//M////wIAAAABhP3//679//8BAAAAAAAGfQIAABJUYWJsZS5UUFBUcmFuc19zc3QJ/gAAAAkIAAAACv////8JfQIAAAoJ/gAAAAoKCgkIAAAACYMCAAAJCAAAAAG/AQAAswEAAAF7/f//Nf////////8ABoYCAAAEUmVhbAaHAgAACFF1YW50aXR5CVACAAABd/3//zP///8CAAAAAXb9//+u/f//AQAAAAAACVMCAAAJKAEAAAkIAAAACv////8JUwIAAAoJKAEAAAoKCgkIAAAACZECAAAJCAAAAAHCAQAAswEAAAFt/f//Nf////////8ABpQCAAAEUmVhbAaVAgAADlRQUCBjb3N0IHByaWNlCVACAAABaf3//zP///8CAAAAAWj9//+u/f//AQAAAAAACVMCAAAJRAEAAAkIAAAACv////8JUwIAAAoJRAEAAAoKCgkIAAAACZ8CAAAJCAAAAAHFAQAAswEAAAFf/f//Nf////////8ABqICAAAEUmVhbAajAgAAD1RQUCBjb3N0IGFtb3VudAlQAgAAAVv9//8z////AgAAAAFa/f//rv3//wEAAAAAAAlTAgAACVIBAAAJCAAAAAr/////CVMCAAAKCVIBAAAKCgoJCAAAAAmtAgAACQgAAAAByAEAALMBAAABUf3//zX/////////AAawAgAABlN0cmluZwaxAgAACEN1cnJlbmN5CVACAAABTf3//zP///8CAAAAAUz9//+u/f//AQAAAAAACVMCAAAJYAEAAAkIAAAACv////8JUwIAAAoJYAEAAAoKCgkIAAAACbsCAAAJCAAAAAHLAQAAswEAAAFD/f//Nf////////8ABr4CAAAEUmVhbAa/AgAAGFRQUCBjb3N0IGFtb3VudCBjdXJyZW5jeQlQAgAAAT/9//8z////AgAAAAE+/f//rv3//wEAAAAAAAlTAgAACW4BAAAJCAAAAAr/////CVMCAAAKCW4BAAAKCgoJCAAAAAnJAgAACQgAAAABzgEAALMBAAABNf3//zX/////////AAbMAgAABlN0cmluZwbNAgAAEUZpbmFuY2lhbCB2b3VjaGVyCVACAAABMf3//zP///8CAAAAATD9//+u/f//AQAAAAAACVMCAAAJfAEAAAkIAAAACv////8JUwIAAAoJfAEAAAoKCgkIAAAACdcCAAAJCAAAAAHRAQAAswEAAAEn/f//Nf////////8ABtoCAAAGU3RyaW5nBtsCAAAGTG90IElECVACAAABI/3//zP///8CAAAAASL9//+u/f//AQAAAAAACVMCAAAJigEAAAkIAAAACv////8JUwIAAAoJigEAAAoKCgkIAAAACeUCAAAJCAAAAAHUAQAAswEAAAEZ/f//Nf////////8ABugCAAAERW51bQbpAgAABlN0YXR1cwlQAgAAARX9//8z////AgAAAAEU/f//rv3//wEAAAAAAAlTAgAACZgBAAAJCAAAAAr/////CVMCAAAKCZgBAAAKCgoJCAAAAAnzAgAACQgAAAAB1wEAALMBAAABC/3//zX/////////AAb2AgAABUludDY0CU8CAAAJegIAAAEH/f//M////wIAAAABBv3//679//8BAAAAAAAJfQIAAAmmAQAACQgAAAAK/////wl9AgAACgmmAQAACgoKCQgAAAAJAQMAAAkIAAAABdo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YDAwAAElRhYmxlLlRQUFRyYW5zX3NzdAYEAwAACVRyYW5zRGF0ZQkIAAAABgYDAAAYMDEuMjguMjAxOCAuLiAwMS4zMS4yMDE4/////wkDAwAACgkEAwAACgoKCQgAAAAJCgMAAAkIAAAAAd0BAADaAQAACQMDAAAGDQMAAAZJdGVtSWQJCAAAAAYPAwAAASr/////CQMDAAAKCQ0DAAAKCgoJCAAAAAkTAwAACQgAAAAB5wEAABIAAAAH6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6/z//0/+//8GFgMAADtUYWJsZS5UUFBUcmFuc19zc3QuSW52ZW50RGltSWR+VGFibGUuSW52ZW50RGltLkludmVudFNpdGVJZAkXAwAAAej8//9P/v//BhkDAAA/VGFibGUuVFBQVHJhbnNfc3N0LkludmVudERpbUlkflRhYmxlLkludmVudERpbS5JbnZlbnRMb2NhdGlvbklkCRoDAAAB6wEAAIwAAAAH7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5fz//0/+//8GHAMAADhUYWJsZS5UUFBUcmFuc19zc3QuSXRlbUlkflRhYmxlLkludmVudFRhYmxlTW9kdWxlLlVuaXRJZAkdAwAAB+8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i/P//KP7//wYfAwAAPFRhYmxlLlRQUFRyYW5zX3NzdC5JdGVtSWR+VGFibGUuSW52ZW50VGFibGVNb2R1bGUuTW9kdWxlVHlwZQkgAwAAB/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/8//9P/v//BiIDAAA0VGFibGUuVFBQVHJhbnNfc3N0Lkl0ZW1JZH5UYWJsZS5JbnZlbnRUYWJsZS5JdGVtTmFtZQkjAwAAB/U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c/P//KP7//wYlAwAANFRhYmxlLlRQUFRyYW5zX3NzdC5JdGVtSWR+VGFibGUuSW52ZW50VGFibGUuSXRlbVR5cGUJJgMAAAf4AQAAAAEAAAAEAAAABDdHbG9iZVNvZnR3YXJlLkF0bGFzNDAuQXRsYXNDb21tb24uVHlwZS5GaWVsZE91dHB1dEZpZWxkAgAAAAmzAQAADQME+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+g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Nj8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1/z//zJHbG9iZVNvZnR3YXJlLkF0bGFzNDAuQXRsYXNDb21tb24uQ29sdW1uQXR0cmlidXRlcwEAAAAHdmFsdWVfXwAIAgAAABAAAAAGKgMAAAROb25lAdX8///Y/P//AdT8///X/P//CQAAAAkIAAAAAdL8///Y/P//AdH8///X/P//CwAAAAYwAwAAATABz/z//9j8//8Bzvz//9f8//8EAAAABjMDAAAHR2VuZXJhbAHM/P//2Pz//wHL/P//1/z//wIAAAAGNgMAAAExAcn8///Y/P//Acj8///X/P//AAAAAAY5AwAABTEzLjcxAcb8///Y/P//AcX8///X/P//JAAAAAnHAAAAAfsBAAASAAAAB/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w/z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+AwAACEZvbnRCb2xkBj8DAAAFRmFsc2UBwPz//8P8//8GQQMAAApGb250SXRhbGljCT8DAAABvfz//8P8//8GRAMAAA1Gb250VW5kZXJsaW5lBkUDAAAFLTQxNDIBuvz//8P8//8GRwMAAAhGb250TmFtZQZIAwAAB0NhbGlicmkBt/z//8P8//8GSgMAAAlGb250Q29sb3IGSwMAAAEwAbT8///D/P//Bk0DAAAIRm9udFNpemUGTgMAAAIxMQGx/P//w/z//wZQAwAACUZvbnRTdHlsZQZRAwAAB1JlZ3VsYXIH/QEAAAABAAAABAAAAAQ3R2xvYmVTb2Z0d2FyZS5BdGxhczQwLkF0bGFzQ29tbW9uLlR5cGUuRmllbGRPdXRwdXRGaWVsZAIAAAAJtgEAAA0DB/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t/P//2Pz//wGs/P//1/z//xAAAAAJKgMAAAGq/P//2Pz//wGp/P//1/z//wkAAAAJCAAAAAGn/P//2Pz//wGm/P//1/z//wsAAAAGWwMAAAExAaT8///Y/P//AaP8///X/P//BAAAAAZeAwAAB0dlbmVyYWwBofz//9j8//8BoPz//9f8//8CAAAABmEDAAABMQGe/P//2Pz//wGd/P//1/z//wAAAAAGZAMAAAUxMC44NgcB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8///D/P//CT4DAAAJPwMAAAGY/P//w/z//wlBAwAACT8DAAABlfz//8P8//8JRAMAAAZtAwAABS00MTQyAZL8///D/P//CUcDAAAGcAMAAAdDYWxpYnJpAY/8///D/P//CUoDAAAGcwMAAAEwAYz8///D/P//CU0DAAAGdgMAAAIxMQGJ/P//w/z//wlQAwAABnkDAAAHUmVndWxhcgcCAgAAAAEAAAAEAAAABDdHbG9iZVNvZnR3YXJlLkF0bGFzNDAuQXRsYXNDb21tb24uVHlwZS5GaWVsZE91dHB1dEZpZWxkAgAAAAm5AQAADQMHB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X8///Y/P//AYT8///X/P//EAAAAAkqAwAAAYL8///Y/P//AYH8///X/P//CQAAAAkIAAAAAX/8///Y/P//AX78///X/P//CwAAAAaDAwAAATIBfPz//9j8//8Be/z//9f8//8EAAAABoYDAAAHR2VuZXJhbAF5/P//2Pz//wF4/P//1/z//wIAAAAGiQMAAAExAXb8///Y/P//AXX8///X/P//AAAAAAaMAwAABTE0LjE0BwY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z//8P8//8JPgMAAAk/AwAAAXD8///D/P//CUEDAAAJPwMAAAFt/P//w/z//wlEAwAABpUDAAAFLTQxNDIBavz//8P8//8JRwMAAAaYAwAAB0NhbGlicmkBZ/z//8P8//8JSgMAAAabAwAAATABZPz//8P8//8JTQMAAAaeAwAAAjExAWH8///D/P//CVADAAAGoQMAAAdSZWd1bGFyBwcCAAAAAQAAAAQAAAAEN0dsb2JlU29mdHdhcmUuQXRsYXM0MC5BdGxhc0NvbW1vbi5UeXBlLkZpZWxkT3V0cHV0RmllbGQCAAAACSMDAAANAwEIAgAA+QEAAAcJ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fz//9j8//8BXPz//9f8//8JAAAACQgAAAABWvz//9j8//8BWfz//9f8//8LAAAABqgDAAABMwFX/P//2Pz//wFW/P//1/z//wQAAAAGqwMAAAdHZW5lcmFsAVT8///Y/P//AVP8///X/P//AgAAAAauAwAAATEBUfz//9j8//8BUPz//9f8//8AAAAABrEDAAAFMjUuNDMHC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P//w/z//wazAwAACEZvbnRCb2xkCT8DAAABS/z//8P8//8GtgMAAApGb250SXRhbGljCT8DAAABSPz//8P8//8GuQMAAA1Gb250VW5kZXJsaW5lBroDAAAFLTQxNDIBRfz//8P8//8GvAMAAAhGb250TmFtZQa9AwAAB0NhbGlicmkBQvz//8P8//8GvwMAAAlGb250Q29sb3IGwAMAAAEwAT/8///D/P//BsIDAAAIRm9udFNpemUGwwMAAAIxMQE8/P//w/z//wbFAwAACUZvbnRTdHlsZQbGAwAAB1JlZ3VsYXIHDAIAAAABAAAABAAAAAQ3R2xvYmVTb2Z0d2FyZS5BdGxhczQwLkF0bGFzQ29tbW9uLlR5cGUuRmllbGRPdXRwdXRGaWVsZAIAAAAJvAEAAA0DBw4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4/P//2Pz//wE3/P//1/z//wkAAAAJCAAAAAE1/P//2Pz//wE0/P//1/z//wsAAAAGzQMAAAE0ATL8///Y/P//ATH8///X/P//BAAAAAbQAwAACG0vZC95eXl5AS/8///Y/P//AS78///X/P//AgAAAAbTAwAAATEBLPz//9j8//8BK/z//9f8//8AAAAABtYDAAABOQcQ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8///D/P//CT4DAAAJPwMAAAEm/P//w/z//wlBAwAACT8DAAABI/z//8P8//8JRAMAAAbfAwAABS00MTQyASD8///D/P//CUcDAAAG4gMAAAdDYWxpYnJpAR38///D/P//CUoDAAAG5QMAAAEwARr8///D/P//CU0DAAAG6AMAAAIxMQEX/P//w/z//wlQAwAABusDAAAHUmVndWxhcgcRAgAAAAEAAAAEAAAABDdHbG9iZVNvZnR3YXJlLkF0bGFzNDAuQXRsYXNDb21tb24uVHlwZS5GaWVsZE91dHB1dEZpZWxkAgAAAAkXAwAADQMHEw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P8///Y/P//ARL8///X/P//CQAAAAkIAAAAARD8///Y/P//AQ/8///X/P//CwAAAAbyAwAAATUBDfz//9j8//8BDPz//9f8//8EAAAABvUDAAAHR2VuZXJhbAEK/P//2Pz//wEJ/P//1/z//wIAAAAG+AMAAAExAQf8///Y/P//AQb8///X/P//AAAAAAb7AwAAATYHF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E/P//w/z//wb9AwAACEZvbnRCb2xkCT8DAAABAfz//8P8//8GAAQAAApGb250SXRhbGljCT8DAAAB/vv//8P8//8GAwQAAA1Gb250VW5kZXJsaW5lBgQEAAAFLTQxNDIB+/v//8P8//8GBgQAAAhGb250TmFtZQYHBAAAB0NhbGlicmkB+Pv//8P8//8GCQQAAAlGb250Q29sb3IGCgQAAAEwAfX7///D/P//BgwEAAAIRm9udFNpemUGDQQAAAIxMQHy+///w/z//wYPBAAACUZvbnRTdHlsZQYQBAAAB1JlZ3VsYXIHFgIAAAABAAAABAAAAAQ3R2xvYmVTb2Z0d2FyZS5BdGxhczQwLkF0bGFzQ29tbW9uLlR5cGUuRmllbGRPdXRwdXRGaWVsZAIAAAAJGgMAAA0DBxg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u+///2Pz//wHt+///1/z//wkAAAAJCAAAAAHr+///2Pz//wHq+///1/z//wsAAAAGFwQAAAE2Aej7///Y/P//Aef7///X/P//BAAAAAYaBAAAB0dlbmVyYWwB5fv//9j8//8B5Pv//9f8//8CAAAABh0EAAABMQHi+///2Pz//wHh+///1/z//wAAAAAGIAQAAAQ1LjE0Bxo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v//8P8//8J/QMAAAk/AwAAAdz7///D/P//CQAEAAAJPwMAAAHZ+///w/z//wkDBAAABikEAAAFLTQxNDIB1vv//8P8//8JBgQAAAYsBAAAB0NhbGlicmkB0/v//8P8//8JCQQAAAYvBAAAATAB0Pv//8P8//8JDAQAAAYyBAAAAjExAc37///D/P//CQ8EAAAGNQQAAAdSZWd1bGFyBxsCAAAAAQAAAAQAAAAEN0dsb2JlU29mdHdhcmUuQXRsYXM0MC5BdGxhc0NvbW1vbi5UeXBlLkZpZWxkT3V0cHV0RmllbGQCAAAACb8BAAANAwcd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fv//9j8//8ByPv//9f8//8QAAAACSoDAAABxvv//9j8//8Bxfv//9f8//8JAAAACQgAAAABw/v//9j8//8Bwvv//9f8//8LAAAABj8EAAABNwHA+///2Pz//wG/+///1/z//wQAAAAGQgQAAAdHZW5lcmFsAb37///Y/P//Abz7///X/P//AgAAAAZFBAAAATEBuvv//9j8//8Bufv//9f8//8AAAAABkgEAAAFMTAuMjkHH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+///w/z//wk+AwAACT8DAAABtPv//8P8//8JQQMAAAk/AwAAAbH7///D/P//CUQDAAAGUQQAAAUtNDE0MgGu+///w/z//wlHAwAABlQEAAAHQ2FsaWJyaQGr+///w/z//wlKAwAABlcEAAABMAGo+///w/z//wlNAwAABloEAAACMTEBpfv//8P8//8JUAMAAAZdBAAAB1JlZ3VsYXIHIAIAAAABAAAABAAAAAQ3R2xvYmVTb2Z0d2FyZS5BdGxhczQwLkF0bGFzQ29tbW9uLlR5cGUuRmllbGRPdXRwdXRGaWVsZAIAAAAJHQMAAA0DByI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h+///2Pz//wGg+///1/z//wkAAAAJCAAAAAGe+///2Pz//wGd+///1/z//wsAAAAGZAQAAAE4AZv7///Y/P//AZr7///X/P//BAAAAAZnBAAAB0dlbmVyYWwBmPv//9j8//8Bl/v//9f8//8CAAAABmoEAAABMQGV+///2Pz//wGU+///1/z//wAAAAAGbQQAAAQ2LjQzByQ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v//8P8//8J/QMAAAk/AwAAAY/7///D/P//CQAEAAAJPwMAAAGM+///w/z//wkDBAAABnYEAAAFLTQxNDIBifv//8P8//8JBgQAAAZ5BAAAB0NhbGlicmkBhvv//8P8//8JCQQAAAZ8BAAAATABg/v//8P8//8JDAQAAAZ/BAAAAjExAYD7///D/P//CQ8EAAAGggQAAAdSZWd1bGFyByUCAAAAAQAAAAQAAAAEN0dsb2JlU29mdHdhcmUuQXRsYXM0MC5BdGxhc0NvbW1vbi5UeXBlLkZpZWxkT3V0cHV0RmllbGQCAAAACcIBAAANAwcnAg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v//9j8//8Be/v//9f8//8GAAAABoYEAAAFVG90YWwBefv//9j8//8BePv//9f8//8QAAAACSoDAAABdvv//9j8//8Bdfv//9f8//8JAAAACQgAAAABc/v//9j8//8Bcvv//9f8//8LAAAABo8EAAABOQFw+///2Pz//wFv+///1/z//wQAAAAGkgQAAAdHZW5lcmFsAW37///Y/P//AWz7///X/P//AgAAAAaVBAAAATEBavv//9j8//8Bafv//9f8//8AAAAABpgEAAAEOS4yOQcp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f7///D/P//CT4DAAAJPwMAAAFk+///w/z//wlBAwAACT8DAAABYfv//8P8//8JRAMAAAahBAAABS00MTQyAV77///D/P//CUcDAAAGpAQAAAdDYWxpYnJpAVv7///D/P//CUoDAAAGpwQAAAEwAVj7///D/P//CU0DAAAGqgQAAAIxMQFV+///w/z//wlQAwAABq0EAAAHUmVndWxhcgcqAgAAAAEAAAAEAAAABDdHbG9iZVNvZnR3YXJlLkF0bGFzNDAuQXRsYXNDb21tb24uVHlwZS5GaWVsZE91dHB1dEZpZWxkAgAAAAnFAQAADQMHL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H7///Y/P//AVD7///X/P//EAAAAAkqAwAAAU77///Y/P//AU37///X/P//CQAAAAkIAAAAAUv7///Y/P//AUr7///X/P//CwAAAAa3BAAAAjEwAUj7///Y/P//AUf7///X/P//BAAAAAa6BAAAB0dlbmVyYWwBRfv//9j8//8BRPv//9f8//8CAAAABr0EAAABMQFC+///2Pz//wFB+///1/z//wAAAAAGwAQAAAUxMC40Mwcu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7///D/P//CT4DAAAJPwMAAAE8+///w/z//wlBAwAACT8DAAABOfv//8P8//8JRAMAAAbJBAAABS00MTQyATb7///D/P//CUcDAAAGzAQAAAdDYWxpYnJpATP7///D/P//CUoDAAAGzwQAAAEwATD7///D/P//CU0DAAAG0gQAAAIxMQEt+///w/z//wlQAwAABtUEAAAHUmVndWxhcgcvAgAAAAEAAAAEAAAABDdHbG9iZVNvZnR3YXJlLkF0bGFzNDAuQXRsYXNDb21tb24uVHlwZS5GaWVsZE91dHB1dEZpZWxkAgAAAAnIAQAADQMHMQ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7///Y/P//ASj7///X/P//EAAAAAkqAwAAASb7///Y/P//ASX7///X/P//CQAAAAkIAAAAASP7///Y/P//ASL7///X/P//CwAAAAbfBAAAAjExASD7///Y/P//AR/7///X/P//BAAAAAbiBAAAB0dlbmVyYWwBHfv//9j8//8BHPv//9f8//8CAAAABuUEAAABMQEa+///2Pz//wEZ+///1/z//wAAAAAG6AQAAAUxMC40Mwcz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7///D/P//CT4DAAAJPwMAAAEU+///w/z//wlBAwAACT8DAAABEfv//8P8//8JRAMAAAbxBAAABS00MTQyAQ77///D/P//CUcDAAAG9AQAAAdDYWxpYnJpAQv7///D/P//CUoDAAAG9wQAAAEwAQj7///D/P//CU0DAAAG+gQAAAIxMQEF+///w/z//wlQAwAABv0EAAAHUmVndWxhcgc0AgAAAAEAAAAEAAAABDdHbG9iZVNvZnR3YXJlLkF0bGFzNDAuQXRsYXNDb21tb24uVHlwZS5GaWVsZE91dHB1dEZpZWxkAgAAAAnLAQAADQMHN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H7///Y/P//AQD7///X/P//EAAAAAkqAwAAAf76///Y/P//Af36///X/P//CQAAAAkIAAAAAfv6///Y/P//Afr6///X/P//CwAAAAYHBQAAAjEyAfj6///Y/P//Aff6///X/P//BAAAAAYKBQAAB0dlbmVyYWwB9fr//9j8//8B9Pr//9f8//8CAAAABg0FAAABMQHy+v//2Pz//wHx+v//1/z//wAAAAAGEAUAAAE5Bzg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r//8P8//8JPgMAAAk/AwAAAez6///D/P//CUEDAAAJPwMAAAHp+v//w/z//wlEAwAABhkFAAAFLTQxNDIB5vr//8P8//8JRwMAAAYcBQAAB0NhbGlicmkB4/r//8P8//8JSgMAAAYfBQAAATAB4Pr//8P8//8JTQMAAAYiBQAAAjExAd36///D/P//CVADAAAGJQUAAAdSZWd1bGFyBzkCAAAAAQAAAAQAAAAEN0dsb2JlU29mdHdhcmUuQXRsYXM0MC5BdGxhc0NvbW1vbi5UeXBlLkZpZWxkT3V0cHV0RmllbGQCAAAACc4BAAANAwc7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fr//9j8//8B2Pr//9f8//8QAAAACSoDAAAB1vr//9j8//8B1fr//9f8//8JAAAACQgAAAAB0/r//9j8//8B0vr//9f8//8LAAAABi8FAAACMTMB0Pr//9j8//8Bz/r//9f8//8EAAAABjIFAAAHR2VuZXJhbAHN+v//2Pz//wHM+v//1/z//wIAAAAGNQUAAAExAcr6///Y/P//Acn6///X/P//AAAAAAY4BQAABTE4LjE0Bz0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r//8P8//8JPgMAAAk/AwAAAcT6///D/P//CUEDAAAJPwMAAAHB+v//w/z//wlEAwAABkEFAAAFLTQxNDIBvvr//8P8//8JRwMAAAZEBQAAB0NhbGlicmkBu/r//8P8//8JSgMAAAZHBQAAATABuPr//8P8//8JTQMAAAZKBQAAAjExAbX6///D/P//CVADAAAGTQUAAAdSZWd1bGFyBz4CAAAAAQAAAAQAAAAEN0dsb2JlU29mdHdhcmUuQXRsYXM0MC5BdGxhc0NvbW1vbi5UeXBlLkZpZWxkT3V0cHV0RmllbGQCAAAACdEBAAANAwdA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fr//9j8//8BsPr//9f8//8QAAAACSoDAAABrvr//9j8//8Brfr//9f8//8JAAAACQgAAAABq/r//9j8//8Bqvr//9f8//8LAAAABlcFAAACMTQBqPr//9j8//8Bp/r//9f8//8EAAAABloFAAAHR2VuZXJhbAGl+v//2Pz//wGk+v//1/z//wIAAAAGXQUAAAExAaL6///Y/P//AaH6///X/P//AAAAAAZgBQAABDkuNDMHQ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v//w/z//wk+AwAACT8DAAABnPr//8P8//8JQQMAAAk/AwAAAZn6///D/P//CUQDAAAGaQUAAAUtNDE0MgGW+v//w/z//wlHAwAABmwFAAAHQ2FsaWJyaQGT+v//w/z//wlKAwAABm8FAAABMAGQ+v//w/z//wlNAwAABnIFAAACMTEBjfr//8P8//8JUAMAAAZ1BQAAB1JlZ3VsYXIHQwIAAAABAAAABAAAAAQ3R2xvYmVTb2Z0d2FyZS5BdGxhczQwLkF0bGFzQ29tbW9uLlR5cGUuRmllbGRPdXRwdXRGaWVsZAIAAAAJ1AEAAA0DB0U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+v//2Pz//wGI+v//1/z//xAAAAAJKgMAAAGG+v//2Pz//wGF+v//1/z//wkAAAAJCAAAAAGD+v//2Pz//wGC+v//1/z//wsAAAAGfwUAAAIxNQGA+v//2Pz//wF/+v//1/z//wQAAAAGggUAAAdHZW5lcmFsAX36///Y/P//AXz6///X/P//AgAAAAaFBQAAATEBevr//9j8//8Befr//9f8//8AAAAABogFAAABOAdH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6///D/P//CT4DAAAJPwMAAAF0+v//w/z//wlBAwAACT8DAAABcfr//8P8//8JRAMAAAaRBQAABS00MTQyAW76///D/P//CUcDAAAGlAUAAAdDYWxpYnJpAWv6///D/P//CUoDAAAGlwUAAAEwAWj6///D/P//CU0DAAAGmgUAAAIxMQFl+v//w/z//wlQAwAABp0FAAAHUmVndWxhcgdIAgAAAAEAAAAEAAAABDdHbG9iZVNvZnR3YXJlLkF0bGFzNDAuQXRsYXNDb21tb24uVHlwZS5GaWVsZE91dHB1dEZpZWxkAgAAAAnXAQAADQMHS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H6///Y/P//AWD6///X/P//CQAAAAkIAAAAAV76///Y/P//AV36///X/P//CwAAAAakBQAAAjE2AVv6///Y/P//AVr6///X/P//BAAAAAanBQAAB0dlbmVyYWwBWPr//9j8//8BV/r//9f8//8CAAAABqoFAAABMQFV+v//2Pz//wFU+v//1/z//wAAAAAGrQUAAAUxMi43MQFS+v//2Pz//wFR+v//1/z//yQAAAAJpwEAAAdM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6///D/P//CT4DAAAJPwMAAAFM+v//w/z//wlBAwAACT8DAAABSfr//8P8//8JRAMAAAa5BQAABS00MTQyAUb6///D/P//CUcDAAAGvAUAAAdDYWxpYnJpAUP6///D/P//CUoDAAAGvwUAAAEwAUD6///D/P//CU0DAAAGwgUAAAIxMQE9+v//w/z//wlQAwAABsUFAAAHUmVndWxhcgFQAgAADgAAAAidAAAGxgUAAAxUUFBUcmFuc19zc3QGxwUAABBUUFAgdHJhbnNhY3Rpb25zCQgAAAAJCAAAAAkIAAAAATf6///g////AAAAAAnKBQAACcsFAAABNPr//93///8IzAPgEHuwS7uQOJO5VGL0CQgAAAAJCAAAAAnOBQAACVMCAAAKCgoKCgEAAAABMPr//9n///8AAAAAAS/6///Y////AAAAAAAJ0gUAAAR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+wEAAAMAAAAJ1AUAAAR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+wEAAAMAAAAJ1gUAAAR1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+wEAAAMAAAAJ2AUAAAF6AgAADgAAAP////8G2QUAAAxUUFBUcmFuc19zc3QG2gUAABBUUFAgdHJhbnNhY3Rpb25zCQgAAAAJCAAAAAkIAAAAAST6///g////AAAAAAndBQAACd4FAAABIfr//93///8J8/eHGF/vSqHhi2ugVYMTCQgAAAAJCAAAAAnhBQAACX0CAAAKCgoKCgEAAAABHfr//9n///8AAAAAARz6///Y////AAAAAAAJ5QUAAASD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wAAAAJ+wEAAAMAAAAJ5wUAAASR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+wEAAAMAAAAJ6QUAAASf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+wEAAAMAAAAJ6wUAAASt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+wEAAAMAAAAJ7QUAAAS7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+wEAAAMAAAAJ7wUAAAT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+wEAAAMAAAAJ8QU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+wEAAAMAAAAJ8wUAAATl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+wEAAAMAAAAJ9QUAAAT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UAAAAJ+wEAAAMAAAAJ9wUAAAQ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wAAAAJ+wEAAAMAAAAJ+QUAAAQK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EgAAAAMAAAAJ+wUAAAQT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EgAAAAMAAAAJ/QUAAAEXAwAAswEAAAEC+v//Nf////////8ABv8FAAAGU3RyaW5nBgAGAAAEU2l0ZQkxAAAAAf75//8z////AgAAAAH9+f//rv3//wEAAAAAAAkwAAAACQwBAAAJCAAAAAr/////CTAAAAAKCQwBAAAGCQYAAAtJbnZlbnREaW1JZAYKBgAADFRQUFRyYW5zX3NzdAoJCAAAAAkMBgAACQgAAAABGgMAALMBAAAB8vn//zX/////////AAYPBgAABlN0cmluZwYQBgAACVdhcmVob3VzZQkxAAAAAe75//8z////AgAAAAHt+f//rv3//wEAAAAAAAkwAAAACRoBAAAJCAAAAAr/////CTAAAAAKCRoBAAAGGQYAAAtJbnZlbnREaW1JZAYaBgAADFRQUFRyYW5zX3NzdAoJCAAAAAkcBgAACQgAAAABHQMAALMBAAAB4vn//zX/////////AAYfBgAABlN0cmluZwYgBgAABFVuaXQJNAAAAAHe+f//M////wIAAAAB3fn//679//8BAAAAAAAJMwAAAAk2AQAACQgAAAAK/////wkzAAAACgk2AQAABikGAAAGSXRlbUlkBioGAAAMVFBQVHJhbnNfc3N0CgkIAAAACSwGAAAJCAAAAAEgAwAA2gEAAAkzAAAABi8GAAAKTW9kdWxlVHlwZQkIAAAABjEGAAAGSW52ZW50/////wkzAAAACgkvBgAABjQGAAAGSXRlbUlkCgoJCAAAAAk2BgAACQgAAAABIwMAALMBAAAByPn//zX/////////AAY5BgAABlN0cmluZwY6BgAACUl0ZW0gbmFtZQk3AAAAAcT5//8z////AgAAAAHD+f//rv3//wEAAAAAAAk2AAAACfAAAAAJCAAAAAr/////CTYAAAAKCfAAAAAGQwYAAAZJdGVtSWQGRAYAAAxUUFBUcmFuc19zc3QKCQgAAAAJRgYAAAkIAAAAASYDAADaAQAACTYAAAAGSQYAAAhJdGVtVHlwZQkIAAAABksGAAAIIVNlcnZpY2X/////CTYAAAAKCUkGAAAGTgYAAAZJdGVtSWQKCgkIAAAACVAGAAAJCAAAAAHKBQAAIQAAAAwAAAAJUgYAABEAAAAJUwYAAAHLBQAAIgAAAAoAAAAJUgYAABEAAAAJVQYAAATO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UgYAAAAAAAAB0gUAACkAAAAAAAAACVcGAAAAAAAAB9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n//8P8//8GWQYAAAhIZWxwVGV4dAZaBgAAMlNwZWNpZnkgdGhlIG1vZHVsZSB0aGF0IGdlbmVyYXRlZCB0aGUgdHJhbnNhY3Rpb24uAaX5///D/P//BlwGAAAFTGFiZWwJTwIAAAGi+f//w/z//wZfBgAABFR5cGUJTgIAAAf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/5///D/P//CVkGAAAGYwYAADVPcmRlciBudW1iZXIsIHByb2plY3QgbnVtYmVyLCBwcm9kdWN0aW9uIG51bWJlciwgZXRjLgGc+f//w/z//wlcBgAACV0CAAABmfn//8P8//8JXwYAAAlcAgAAB9g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n//8P8//8JWQYAAAZsBgAADklkZW50aWZ5IGl0ZW0uAZP5///D/P//CVwGAAAJawIAAAGQ+f//w/z//wlfBgAACWoCAAAB3QUAACEAAAARAAAACXMGAAARAAAACXQGAAAB3gUAACIAAAABAAAACfsBAAADAAAACXYGAAAE4Q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MGAAAAAAAAAeUFAAApAAAAAAAAAAl4BgAAAAAAAAfn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5///D/P//CVwGAAAJeQIAAAGE+f//w/z//wlfBgAACXgCAAAH6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f//w/z//wlZBgAABoEGAAAkUXVhbnRpdHkgYXR0YWNoZWQgdG8gdGhlIHRyYW5zYWN0aW9uAX75///D/P//CVwGAAAJhwIAAAF7+f//w/z//wlfBgAACYYCAAAH6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4+f//w/z//wlZBgAABooGAAAPVFBQIGNvc3QgcHJpY2UuAXX5///D/P//CVwGAAAJlQIAAAFy+f//w/z//wlfBgAACZQCAAAH7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+f//w/z//wlZBgAABpMGAAAQVFBQIGNvc3QgYW1vdW50LgFs+f//w/z//wlcBgAACaMCAAABafn//8P8//8JXwYAAAmiAgAAB+8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n//8P8//8JWQYAAAacBgAALkN1cnJlbmN5LCBpZiBhbnksIGF0dGFjaGVkIHRvIHRoZSBpdGVtIHJlY2VpcHQBY/n//8P8//8JXAYAAAmxAgAAAWD5///D/P//CV8GAAAJsAIAAAfx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35///D/P//CVkGAAAGpQYAABxUUFAgY29zdCBhbW91bnQgaW4gY3VycmVuY3kuAVr5///D/P//CVwGAAAJvwIAAAFX+f//w/z//wlfBgAACb4CAAAH8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f//w/z//wlZBgAABq4GAAAzVm91Y2hlciBudW1iZXIgdGhhdCB0aGUgdHJhbnNhY3Rpb24gaXMgYXR0YWNoZWQgdG8uAVH5///D/P//CVwGAAAJzQIAAAFO+f//w/z//wlfBgAACcwCAAAH9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+f//w/z//wlZBgAABrcGAABSU3VtbWFyeSBudW1iZXIvTG90IElEIGZvciB0cmFuc2FjdGlvbnMgYXR0YWNoZWQgdG8gdGhlIHNhbWUgaW52ZW50b3J5IHRyYW5zYWN0aW9uLgFI+f//w/z//wlcBgAACdsCAAABRfn//8P8//8JXwYAAAnaAgAAB/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n//8P8//8JWQYAAAbABgAAFlRQUCB0cmFuc2FjdGlvbiBzdGF0dXMBP/n//8P8//8JXAYAAAnpAgAAATz5///D/P//CV8GAAAJ6AIAAAf5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5///D/P//CVwGAAAJTwIAAAE2+f//w/z//wlfBgAACfYCAAAH+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+f//w/z//wbOBgAABFR5cGUJeAIAAAEw+f//w/z//wbRBgAABUxhYmVsCXkCAAABLfn//8P8//8G1AYAAAhSZWZlcnNUbwbVBgAACz1EYXRlUGVyaW9kB/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n//8P8//8JzgYAAAlqAgAAASf5///D/P//CdEGAAAJawIAAAEk+f//w/z//wnUBgAABt4GAAALPUl0ZW1OdW1iZXIED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ecBAAADAAAACeAGAAAEH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ecBAAADAAAACeIGAAAEL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ecBAAADAAAACeQGAAAEN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RIAAAADAAAACeYGAAAER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IAAAACecBAAADAAAACegGAAAEU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RIAAAADAAAACeoGAAABUgYAABIAAAAHUwYAAAABAAAAD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Ffn//0/+//8G7AYAABxUYWJsZS5UUFBUcmFuc19zc3QuQ29zdFByaWNlCcIBAAABEvn//0/+//8G7wYAAB1UYWJsZS5UUFBUcmFuc19zc3QuQ29zdEFtb3VudAnFAQAAAQ/5//9P/v//BvIGAAAgVGFibGUuVFBQVHJhbnNfc3N0LkNvc3RBbW91bnRDdXIJywEAAAEM+f//T/7//wb1BgAAFlRhYmxlLlRQUFRyYW5zX3NzdC5RdHkJvwEAAAEJ+f//T/7//wb4BgAAHlRhYmxlLlRQUFRyYW5zX3NzdC5JbnZlbnREaW1JZAn5BgAAAQb5//9P/v//BvsGAAAaVGFibGUuVFBQVHJhbnNfc3N0LlZvdWNoZXIJzgEAAAED+f//T/7//wb+BgAAIFRhYmxlLlRQUFRyYW5zX3NzdC5JbnZlbnRUcmFuc0lkCdEBAAABAPn//0/+//8GAQcAAB1UYWJsZS5UUFBUcmFuc19zc3QuVHJhbnNSZWZJZAm2AQAAAf34//9P/v//BgQHAAAcVGFibGUuVFBQVHJhbnNfc3N0LlRyYW5zVHlwZQmzAQAAAfr4//9P/v//BgcHAAAfVGFibGUuVFBQVHJhbnNfc3N0LkN1cnJlbmN5Q29kZQnIAQAAAff4//9P/v//BgoHAAAZVGFibGUuVFBQVHJhbnNfc3N0LlN0YXR1cwnUAQAAAfT4//9P/v//Bg0HAAAZVGFibGUuVFBQVHJhbnNfc3N0Lkl0ZW1JZAm5AQAAB1UGAAAAAQAAAAo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x+P//KP7//wYQBwAAHVRhYmxlLlRQUFRyYW5zX3NzdC5EYXRhQXJlYUlkCREHAAAB7vj//yj+//8GEwcAAB9UYWJsZS5UUFBUcmFuc19zc3QuQ3VycmVuY3lDb2RlCRQHAAAB6/j//yj+//8GFgcAABxUYWJsZS5UUFBUcmFuc19zc3QuVHJhbnNEYXRlCRcHAAAB6Pj//yj+//8GGQcAAB5UYWJsZS5UUFBUcmFuc19zc3QuSW52ZW50RGltSWQJGgcAAAHl+P//KP7//wYcBwAAGlRhYmxlLlRQUFRyYW5zX3NzdC5Wb3VjaGVyCR0HAAAB4vj//yj+//8GHwcAABlUYWJsZS5UUFBUcmFuc19zc3QuSXRlbUlkCSAHAAAB3/j//yj+//8GIgcAACBUYWJsZS5UUFBUcmFuc19zc3QuSW52ZW50VHJhbnNJZAkjBwAAAdz4//8o/v//BiUHAAAdVGFibGUuVFBQVHJhbnNfc3N0LlRyYW5zUmVmSWQJJgcAAAHZ+P//KP7//wYoBwAAHFRhYmxlLlRQUFRyYW5zX3NzdC5UcmFuc1R5cGUJKQcAAAHW+P//KP7//wYrBwAAGVRhYmxlLlRQUFRyYW5zX3NzdC5TdGF0dXMJLAcAAAFXBgAAjAAAAAFzBgAAEgAAAAd0BgAAAAEAAAAR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T+P//T/7//wYuBwAAHFRhYmxlLlRQUFRyYW5zX3NzdC5Db3N0UHJpY2UJwgEAAAHQ+P//T/7//wYxBwAAHVRhYmxlLlRQUFRyYW5zX3NzdC5Db3N0QW1vdW50CcUBAAABzfj//0/+//8GNAcAACBUYWJsZS5UUFBUcmFuc19zc3QuQ29zdEFtb3VudEN1cgnLAQAAAcr4//9P/v//BjcHAAAWVGFibGUuVFBQVHJhbnNfc3N0LlF0eQm/AQAAAcf4//9P/v//BjoHAAAeVGFibGUuVFBQVHJhbnNfc3N0LkludmVudERpbUlkCfkGAAABxPj//0/+//8GPQcAABpUYWJsZS5UUFBUcmFuc19zc3QuVm91Y2hlcgnOAQAAAcH4//9P/v//BkAHAAAgVGFibGUuVFBQVHJhbnNfc3N0LkludmVudFRyYW5zSWQJ0QEAAAG++P//T/7//wZDBwAAHVRhYmxlLlRQUFRyYW5zX3NzdC5UcmFuc1JlZklkCbYBAAABu/j//0/+//8GRgcAABxUYWJsZS5UUFBUcmFuc19zc3QuVHJhbnNUeXBlCbMBAAABuPj//0/+//8GSQcAAB9UYWJsZS5UUFBUcmFuc19zc3QuQ3VycmVuY3lDb2RlCcgBAAABtfj//0/+//8GTAcAABlUYWJsZS5UUFBUcmFuc19zc3QuU3RhdHVzCdQBAAABsvj//0/+//8GTwcAABlUYWJsZS5UUFBUcmFuc19zc3QuSXRlbUlkCbkBAAABr/j//0/+//8GUgcAABxUYWJsZS5UUFBUcmFuc19zc3QuVHJhbnNEYXRlCbwBAAABrPj//0/+//8GVQcAACNUYWJsZS5UUFBUcmFuc19zc3QuSW52ZW50VHJhbnNSZWNJZAnXAQAAAan4//9P/v//BlgHAAAqVGFibGUuVFBQVHJhbnNfc3N0LkludmVudEpvdXJuYWxUcmFuc1JlY0lkCVkHAAABpvj//0/+//8GWwcAACRUYWJsZS5UUFBUcmFuc19zc3QuSW52b2ljZVRyYW5zUmVjSWQJXAcAAAGj+P//T/7//wZeBwAAH1RhYmxlLlRQUFRyYW5zX3NzdC5Qcm9kQk9NUmVjSWQJXwcAAAd2B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Pj//yj+//8GYQcAABxUYWJsZS5UUFBUcmFuc19zc3QuVHJhbnNEYXRlCWIHAAABeAYAAIwAAAAH4A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+P//w/z//wZkBwAABUxhYmVsCQAGAAABmvj//8P8//8GZwcAAARUeXBlCf8FAAAH4g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+P//w/z//wlkBwAACRAGAAABlPj//8P8//8JZwcAAAkPBgAAB+Q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j//8P8//8JZAcAAAkgBgAAAY74///D/P//CWcHAAAJHwYAAAfm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4///D/P//Cc4GAAAGdwcAAARFbnVtAYj4///D/P//CdEGAAAGegcAAAtNb2R1bGUgdHlwZQfo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4///D/P//CWQHAAAJOgYAAAGC+P//w/z//wlnBwAACTkGAAAH6g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+P//w/z//wnOBgAABoMHAAAERW51bQF8+P//w/z//wnRBgAABoYHAAAJSXRlbSB0eXBlAXn4///D/P//CdQGAAAGiQcAAAk9SXRlbVR5cGUB+QYAALMBAAABdvj//zX/////////AAaLBwAABlN0cmluZwaMBwAADURpbWVuc2lvbiBOby4JUAIAAAFy+P//M////wIAAAABcfj//679//8BAAAAAAAJUwIAAAaRBwAAC0ludmVudERpbUlkCQgAAAAK/////wlTAgAACgmRBwAACgoKCQgAAAAJlgcAAAkIAAAAAREHAADaAQAACVMCAAAGmQcAAApEYXRhQXJlYUlkCQgAAAAJCAAAAP////8JUwIAAAoJmQcAAAoKCgkIAAAACZ4HAAAJCAAAAAEUBwAA2gEAAAlTAgAABqEHAAAMQ3VycmVuY3lDb2RlCQgAAAAJCAAAAP////8JUwIAAAoJoQcAAAoKCgkIAAAACaYHAAAJCAAAAAEXBwAA2gEAAAlTAgAACQQDAAAJCAAAAAkIAAAA/////wlTAgAACgkEAwAACgoKCQgAAAAJrgcAAAkIAAAAARoHAADaAQAACVMCAAAGsQcAAAtJbnZlbnREaW1JZAkIAAAACQgAAAD/////CVMCAAAKCbEHAAAKCgoJCAAAAAm2BwAACQgAAAABHQcAANoBAAAJUwIAAAa5BwAAB1ZvdWNoZXIJCAAAAAkIAAAA/////wlTAgAACgm5BwAACgoKCQgAAAAJvgcAAAkIAAAAASAHAADaAQAACVMCAAAGwQcAAAZJdGVtSWQJCAAAAAkIAAAA/////wlTAgAACgnBBwAACgoKCQgAAAAJxgcAAAkIAAAAASMHAADaAQAACVMCAAAGyQcAAA1JbnZlbnRUcmFuc0lkCQgAAAAJCAAAAP////8JUwIAAAoJyQcAAAoKCgkIAAAACc4HAAAJCAAAAAEmBwAA2gEAAAlTAgAABtEHAAAKVHJhbnNSZWZJZAkIAAAACQgAAAD/////CVMCAAAKCdEHAAAKCgoJCAAAAAnWBwAACQgAAAABKQcAANoBAAAJUwIAAAbZBwAACVRyYW5zVHlwZQkIAAAACQgAAAD/////CVMCAAAKCdkHAAAKCgoJCAAAAAneBwAACQgAAAABLAcAANoBAAAJUwIAAAbhBwAABlN0YXR1cwkIAAAACQgAAAD/////CVMCAAAKCeEHAAAKCgoJCAAAAAnmBwAACQgAAAABWQcAALMBAAABGPj//zX/////////AAbpBwAABUludDY0BuoHAAAJUmVmZXJlbmNlCXoCAAABFPj//zP///8CAAAAARP4//+u/f//AQAAAAAACX0CAAAG7wcAABdJbnZlbnRKb3VybmFsVHJhbnNSZWNJZAkIAAAACv////8JfQIAAAoJ7wcAAAoKCgkIAAAACfQHAAAJCAAAAAFcBwAAswEAAAEK+P//Nf////////8ABvcHAAAFSW50NjQJ6gcAAAl6AgAAAQb4//8z////AgAAAAEF+P//rv3//wEAAAAAAAl9AgAABv0HAAARSW52b2ljZVRyYW5zUmVjSWQJCAAAAAr/////CX0CAAAKCf0HAAAKCgoJCAAAAAkCCAAACQgAAAABXwcAALMBAAAB/Pf//zX/////////AAYFCAAABUludDY0CeoHAAAJegIAAAH49///M////wIAAAAB9/f//679//8BAAAAAAAJfQIAAAYLCAAADFByb2RCT01SZWNJZAkIAAAACv////8JfQIAAAoJCwgAAAoKCgkIAAAACRAIAAAJCAAAAAFiBwAA2gEAAAlTAgAACQQDAAAJCAAAAAYVCAAAGDA2LjAxLjIwMTcgLi4gMDYuMzAuMjAxN/////8JUwIAAAoJBAMAAAoKCgkIAAAACRkIAAAJCAAAAASW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EAAAAJ+wEAAAMAAAAJHAgAAAGeBwAAEAAAAAAAAAAJ+wEAAAAAAAABpgcAABAAAAAAAAAACfsBAAAAAAAAAa4HAAAQAAAAAAAAAAn7AQAAAAAAAAG2BwAAEAAAAAAAAAAJ+wEAAAAAAAABvgcAABAAAAAAAAAACfsBAAAAAAAAAcYHAAAQAAAAAAAAAAn7AQAAAAAAAAHOBwAAEAAAAAAAAAAJ+wEAAAAAAAAB1gcAABAAAAAAAAAACfsBAAAAAAAAAd4HAAAQAAAAAAAAAAn7AQAAAAAAAAHmBwAAEAAAAAAAAAAJ+wEAAAAAAAAE9A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R4IAAAEAg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SAIAAAEEA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SIIAAAEGQ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fsBAAADAAAACSQIAAAHHAg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9///w/z//wlZBgAABicIAAAqSWRlbnRpZmljYXRpb24gb2YgZGltZW5zaW9ucyBmb3IgdGhlIGl0ZW0uAdj3///D/P//CVwGAAAJjAcAAAHV9///w/z//wlfBgAACYsHAAAHHgg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9///w/z//wlcBgAACeoHAAABz/f//8P8//8JXwYAAAnpBwAAByAI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f//8P8//8JXAYAAAnqBwAAAcn3///D/P//CV8GAAAJ9wcAAAciC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3///D/P//CVwGAAAJ6gcAAAHD9///w/z//wlfBgAACQUIAAAHJAg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9///w/z//wlfBgAABkIIAAAERGF0ZQG99///w/z//wlcBgAABkUIAAAERGF0ZQG69///w/z//wZHCAAACFJlZmVyc1RvCdUGAAAL
    <Output>
      <OutputObject name="AtlasReport_2"/>
    </Output>
  </Query>
</Atlas>
</file>

<file path=customXml/item4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0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RAAAAE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gAAAABC1HbG9iZVNvZnR3YXJlLkF0bGFzNDAuQXRsYXNDb21tb24uVHlwZS5Db2x1bW4OAAAACRQAAAAJFQAAAAkWAAAACRcAAAAJGAAAAAkZAAAACRoAAAAJGwAAAAkcAAAACR0AAAAJHgAAAAkfAAAACSAAAAAJIQAAAAkiAAAACSMAAAAJJAAAAA0PDCU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JQAAAAgCAAAABiYAAAAVQXRsYXNSZXBvcnRfMl9UYWJsZV8xCSc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UAAAAICAko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KQAAAAkqAAAACSsAAAAGLAAAAAlUcmFuc1R5cGUGLQAAAAlSZWZlcmVuY2UGLgAAAARFbnVtBi8AAAAABjAAAAAkNDI0MGZkZDYtMGFhYy00N2FiLThhNzMtMGVjZWZlZmNiOGQ2Bc////8tR2xvYmVTb2Z0d2FyZS5BdGxhczQwLkF0bGFzQ29tbW9uLkFnZ3JlZ2F0aW9uAQAAAAd2YWx1ZV9fAAgOAAAA/////wAAAAAFzv///yxHbG9iZVNvZnR3YXJlLkF0bGFzNDAuQXRsYXNDb21tb24uQ29sdW1uVHlwZQEAAAAHdmFsdWVfXwAIDgAAAAAAAAAFzf///ytHbG9iZVNvZnR3YXJlLkF0bGFzNDAuQXRsYXNDb21tb24uU29ydE9yZGVyAQAAAAd2YWx1ZV9fAAgOAAAAAgAAAAAAAAAABcz///9AR2xvYmVTb2Z0d2FyZS5BdGxhczQwLkF0bGFzQ29tbW9uLlR5cGUuQ29sdW1uK0Nyb3NzVGFiQ29sdW1uVHlwZQEAAAAHdmFsdWVfXwAIDgAAAAAAAAAKAQAAAAAAAAAAAAAAAAAGNQAAACRkMjNjZmNlNy0wYTU2LTRjZWUtYTg3Zi04NWFkNTA4YTgyNjAGNgAAABxUYWJsZS5UUFBUcmFuc19zc3QuVHJhbnNUeXBlCgoKCgEVAAAAFAAAAAk3AAAACTgAAAAJOQAAAAY6AAAAClRyYW5zUmVmSWQGOwAAAAZOdW1iZXIGPAAAAAZTdHJpbmcJLwAAAAY+AAAAJGU3OWQzOTdlLTBlODEtNGViOS1hNDMwLWMyOWM1MjI2MmMwMgHB////z/////////8BAAAAAcD////O////AAAAAAG/////zf///wIAAAAAAAAAAAG+////zP///wAAAAAKAQAAAAAAAAAAAQAAAAAGQwAAACQ3YjVjYWU4Zi03ZGYxLTRhZjAtYmNiZi0wN2QyMzE3MWMyMjQGRAAAAB1UYWJsZS5UUFBUcmFuc19zc3QuVHJhbnNSZWZJZAoKCgoBFgAAABQAAAAJRQAAAAlGAAAACUcAAAAGSAAAAAZJdGVtSWQGSQAAAAtJdGVtIG51bWJlcgZKAAAABlN0cmluZwkvAAAABkwAAAAkM2U5MjdhYTItMmYzMy00ZGY0LThjMDgtZjQ1ZDEyYjA0N2E3AbP////P/////////wIAAAABsv///87///8AAAAAAbH////N////AgAAAAAAAAAAAbD////M////AAAAAAoBAAAAAAAAAAACAAAAAAZRAAAAJDliY2Y1NmIyLTIxYWItNGMyYS05OTQ4LTQwNTVkMGQ1NTI0MwZSAAAAGVRhYmxlLlRQUFRyYW5zX3NzdC5JdGVtSWQKCgoKARcAAAAUAAAACVMAAAAJVAAAAAlVAAAABlYAAAAISXRlbU5hbWUGVwAAAAlJdGVtIG5hbWUGWAAAAAZTdHJpbmcJLwAAAAZaAAAAJGZjY2E5MDQzLTQ0OGUtNDhlMy1hY2NmLTAyY2I4NzRkYTUyOQGl////z/////////8DAAAAAaT////O////AAAAAAGj////zf///wIAAAAAAAAAAAGi////zP///wAAAAAKAQAAAAAAAAAAAwAAAAAGXwAAACRhMTliMmJjOC1jNmJjLTQ3NTEtOTBmNi1lODViZDY5MTkwOGMGYAAAADRUYWJsZS5UUFBUcmFuc19zc3QuSXRlbUlkflRhYmxlLkludmVudFRhYmxlLkl0ZW1OYW1lCgoKCgEYAAAAFAAAAAlhAAAACWIAAAAJYwAAAAZkAAAACVRyYW5zRGF0ZQZlAAAABERhdGUGZgAAAAREYXRlCS8AAAAGaAAAACQ0YWQ0ODAzOS01MzdkLTQwZGUtYTM2Yi05YTc5MDhmYjIwYjgBl////8//////////BAAAAAGW////zv///wAAAAABlf///83///8CAAAAAAAAAAABlP///8z///8AAAAACgEAAAAAAAAAAAQAAAAABm0AAAAkZjRiODc0M2UtNjkyYi00MmUzLWJhMTUtMzU4OWFlODA3MmM4Bm4AAAAcVGFibGUuVFBQVHJhbnNfc3N0LlRyYW5zRGF0ZQoKCgoBGQAAABQAAAAJbwAAAAlwAAAACXEAAAAGcgAAAAxJbnZlbnRTaXRlSWQGcwAAAARTaXRlBnQAAAAGU3RyaW5nCS8AAAAGdgAAACQyYzJlMzhiMS0wY2ViLTQwMDctOWM0Ni1kNDk3NDNhYWY4OGMBif///8//////////BQAAAAGI////zv///wAAAAABh////83///8CAAAAAAAAAAABhv///8z///8AAAAACgEAAAAAAAAAAAUAAAAABnsAAAAkNWJhN2I4ZGEtYzg1NC00ODlkLTlhNWItNjQ2NDM1YTk0ZDhmBnwAAAA7VGFibGUuVFBQVHJhbnNfc3N0LkludmVudERpbUlkflRhYmxlLkludmVudERpbS5JbnZlbnRTaXRlSWQKCgoKARoAAAAUAAAACX0AAAAJfgAAAAl/AAAABoAAAAAQSW52ZW50TG9jYXRpb25JZAaBAAAACVdhcmVob3VzZQaCAAAABlN0cmluZwkvAAAABoQAAAAkOGU2MTE1YjEtOTQ0NS00ZmZhLWJiYzgtZjQyY2Y3Njk0YTM1AXv////P/////////wYAAAABev///87///8AAAAAAXn////N////AgAAAAAAAAAAAXj////M////AAAAAAoBAAAAAAAAAAAGAAAAAAaJAAAAJDA0NDgxYzViLWU4NjgtNGMzYS05ZjcxLTUwYzBmZjJlMzE5ZAaKAAAAP1RhYmxlLlRQUFRyYW5zX3NzdC5JbnZlbnREaW1JZH5UYWJsZS5JbnZlbnREaW0uSW52ZW50TG9jYXRpb25JZAoKCgoBGwAAABQAAAAJiwAAAAmMAAAACY0AAAAGjgAAAANRdHkGjwAAAAhRdWFudGl0eQaQAAAABFJlYWwJLwAAAAaSAAAAJDg4YjNiZTNjLTI1ZTctNDcwMC04NjU0LTZhOTAzZjkxZmFkNwFt////z////wEAAAAHAAAAAWz////O////AAAAAAFr////zf///wIAAAAAAAAAAAFq////zP///wAAAAAKAQAAAAAAAAAABwAAAAAGlwAAACQxMmEzOTU3NS1iNTQ2LTQ1YjgtYmIxMi0yYmY0YWU2M2NiMzgGmAAAABZUYWJsZS5UUFBUcmFuc19zc3QuUXR5CgoKCgEcAAAAFAAAAAmZAAAACZoAAAAJmwAAAAacAAAABlVuaXRJZAadAAAABFVuaXQGngAAAAZTdHJpbmcJLwAAAAagAAAAJDBkOTA2YTAwLTlkODUtNDQyNC1iOWFjLTE2ZmQzZjk3ZmM3NgFf////z/////////8IAAAAAV7////O////AAAAAAFd////zf///wIAAAAAAAAAAAFc////zP///wAAAAAKAQAAAAAAAAAACAAAAAAGpQAAACQ5ZDI2YjIyNS05MjJlLTRlODgtYmRhZi01OGEzMjFlNzgyZjgGpgAAADhUYWJsZS5UUFBUcmFuc19zc3QuSXRlbUlkflRhYmxlLkludmVudFRhYmxlTW9kdWxlLlVuaXRJZAoKCgoBHQAAABQAAAAJpwAAAAmoAAAACakAAAAGqgAAAAlDb3N0UHJpY2UGqwAAAA5UUFAgY29zdCBwcmljZQasAAAABFJlYWwJLwAAAAauAAAAJGMwZGVhM2EwLTZiZWQtNDhmNy1hOTM4LTJhYWI5YzkzNWJiZQFR////z////wEAAAAJAAAAAVD////O////AAAAAAFP////zf///wIAAAAAAAAAAAFO////zP///wAAAAAKAQAAAAAAAAAACQAAAAAGswAAACRkOTRlNTY0Yy05ZGUyLTQyZGItYTg4OS1kZWQ5MTExMGIwZmMGtAAAABxUYWJsZS5UUFBUcmFuc19zc3QuQ29zdFByaWNlCgoKCgEeAAAAFAAAAAm1AAAACbYAAAAJtwAAAAa4AAAACkNvc3RBbW91bnQGuQAAAA9UUFAgY29zdCBhbW91bnQGugAAAARSZWFsCS8AAAAGvAAAACQ5ZDlkYTk0Zi0yOTJmLTQxNmItYWZiZC00OGY0ZDMwZmI2MzkBQ////8////8BAAAACgAAAAFC////zv///wAAAAABQf///83///8CAAAAAAAAAAABQP///8z///8AAAAACgEAAAAAAAAAAAoAAAAABsEAAAAkMjhmODE0NzktYTc4OS00YmZhLTgwNjItNzYyOTVhZjE4MTc3BsIAAAAdVGFibGUuVFBQVHJhbnNfc3N0LkNvc3RBbW91bnQKCgoKAR8AAAAUAAAACcMAAAAJxAAAAAnFAAAABsYAAAAMQ3VycmVuY3lDb2RlBscAAAAIQ3VycmVuY3kGyAAAAAZTdHJpbmcJLwAAAAbKAAAAJDAzODQ4YmJmLTg5OWQtNDllMy1iMTU4LTgzMGQzZWUzZTQ2YQE1////z/////////8LAAAAATT////O////AAAAAAEz////zf///wIAAAAAAAAAAAEy////zP///wAAAAAKAQAAAAAAAAAACwAAAAAGzwAAACQwZDhlZjExNS0yYjcyLTQ0NmQtOGIyMy1hMjMxOTg2NGI4ZGYG0AAAAB9UYWJsZS5UUFBUcmFuc19zc3QuQ3VycmVuY3lDb2RlCgoKCgEgAAAAFAAAAAnRAAAACdIAAAAJ0wAAAAbUAAAADUNvc3RBbW91bnRDdXIG1QAAABhUUFAgY29zdCBhbW91bnQgY3VycmVuY3kG1gAAAARSZWFsCS8AAAAG2AAAACQ3ZGEyZWZmYy1lNzA0LTRiMGMtOTYzNC04NGQ2ZGQ4ZDZkOGQBJ////8////8BAAAADAAAAAEm////zv///wAAAAABJf///83///8CAAAAAAAAAAABJP///8z///8AAAAACgEAAAAAAAAAAAwAAAAABt0AAAAkYTE3MjU0YzktNWNjZC00ODQyLTk3MGMtZDY2ODJiMTIwODZmBt4AAAAgVGFibGUuVFBQVHJhbnNfc3N0LkNvc3RBbW91bnRDdXIKCgoKASEAAAAUAAAACd8AAAAJ4AAAAAnhAAAABuIAAAAHVm91Y2hlcgbjAAAAEUZpbmFuY2lhbCB2b3VjaGVyBuQAAAAGU3RyaW5nCS8AAAAG5gAAACQwODk4MThhMy0yNjhlLTRmZmQtYjQ4MC1hOWQ3Yjk5YjJkYmQBGf///8//////////DQAAAAEY////zv///wAAAAABF////83///8CAAAAAAAAAAABFv///8z///8AAAAACgEAAAAAAAAAAA0AAAAABusAAAAkNzU3NThkNTQtMWQ0ZC00YTk3LTg4MGYtYjYyNjAzZWFkN2E2BuwAAAAaVGFibGUuVFBQVHJhbnNfc3N0LlZvdWNoZXIKCgoKASIAAAAUAAAACe0AAAAJ7gAAAAnvAAAABvAAAAANSW52ZW50VHJhbnNJZAbxAAAABkxvdCBJRAbyAAAABlN0cmluZwkvAAAABvQAAAAkOWUxNWI3MmQtNjZiYS00Y2QyLTg2NGYtNTZkNTcyNDliMjhhAQv////P/////////w4AAAABCv///87///8AAAAAAQn////N////AgAAAAAAAAAAAQj////M////AAAAAAoBAAAAAAAAAAAOAAAAAAb5AAAAJDk2ZGFlOTJmLWI3YjctNGQ1Yy1iN2Q4LTFjODdjZTA3MGU2Ygb6AAAAIFRhYmxlLlRQUFRyYW5zX3NzdC5JbnZlbnRUcmFuc0lkCgoKCgEjAAAAFAAAAAn7AAAACfwAAAAJ/QAAAAb+AAAABlN0YXR1cwb/AAAABlN0YXR1cwYAAQAABEVudW0JLwAAAAYCAQAAJDg1YzVhYzcxLTNkZjgtNDEzMC1hOTY1LTNkN2RjZGViYzlkMgH9/v//z/////////8PAAAAAfz+///O////AAAAAAH7/v//zf///wIAAAAAAAAAAAH6/v//zP///wAAAAAKAQAAAAAAAAAADwAAAAAGBwEAACRkN2I5OTFjMy1jNGMyLTRlYzMtYTVhZS1kMDI2ZmE4ZmU3OTkGCAEAABlUYWJsZS5UUFBUcmFuc19zc3QuU3RhdHVzCgoKCgEkAAAAFAAAAAkJAQAACQoBAAAJCwEAAAYMAQAAEEludmVudFRyYW5zUmVjSWQGDQEAABBJbnZlbnRUcmFuc1JlY0lkBg4BAAAFSW50NjQJLwAAAAYQAQAAJGQ4YTZmYzA1LWY2ZjQtNDAzZS04M2ZhLTVlN2RmNDhiNmZjZQHv/v//z////wEAAAAQAAAAAe7+///O////AAAAAAHt/v//zf///wIAAAAAAAAAAAHs/v//zP///wAAAAAKAQAAAAAAAAAAEAAAAAAGFQEAACQxZGEyNjg2MS0wNGM5LTRmMmMtOTdlOC01ZDhhNjRiYWViNzUGFgEAACNUYWJsZS5UUFBUcmFuc19zc3QuSW52ZW50VHJhbnNSZWNJZAoKCgoFJwAAADhHbG9iZVNvZnR3YXJlLkF0bGFzNDAuQXRsYXNDb21tb25DbGllbnQuUmVwb3J0LlJlZmVyZW5jZQEAAAAKX3JlZmVyZW5jZQcIJQAAAAkXAQAABygAAAAAAQAAAAgAAAAEPEdsb2JlU29mdHdhcmUuQXRsYXM0MC5BdGxhc0NvbW1vbkNsaWVudC5EYXRhU291cmNlRmllbGRWYWx1ZSUAAAAJGAEAAAkZAQAACRoBAAAJGwEAAAkcAQAADQMEK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HQEAAAEAAAABAAAABCo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DwEAAAkeAQAABwAAAAkfAQAABC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gEAAAkgAQAABwAAAAkhAQAAATcAAAApAAAACSIBAAABAAAAAQAAAAE4AAAAKgAAAA4BAAAJHgEAAAcAAAAJJAEAAAE5AAAAKwAAAAoBAAAJIAEAAAcAAAAJJgEAAAFFAAAAKQAAAAknAQAAAQAAAAEAAAABRgAAACoAAAAOAQAACR4BAAAHAAAACSkBAAABRwAAACsAAAAKAQAACSABAAAHAAAACSsBAAABUwAAACkAAAAJLAEAAAEAAAABAAAAAVQAAAAqAAAA3AAAAAktAQAABwAAAAkuAQAAAVUAAAArAAAA2QAAAAkvAQAABwAAAAkwAQAAAWEAAAApAAAACTEBAAABAAAAAQAAAAFiAAAAKgAAAAYBAAAJHgEAAAcAAAAJMwEAAAFjAAAAKwAAAAMBAAAJIAEAAAcAAAAJNQEAAAFvAAAAKQAAAAk2AQAAAQAAAAEAAAABcAAAACoAAADqAAAACS0BAAAHAAAACTgBAAABcQAAACsAAADnAAAACS8BAAAHAAAACToBAAABfQAAACkAAAAJOwEAAAEAAAABAAAAAX4AAAAqAAAA6gAAAAktAQAABwAAAAk9AQAAAX8AAAArAAAA5wAAAAkvAQAABwAAAAk/AQAAAYsAAAApAAAACUABAAABAAAAAQAAAAGMAAAAKgAAAA4BAAAJHgEAAAcAAAAJQgEAAAGNAAAAKwAAAAoBAAAJIAEAAAcAAAAJRAEAAAGZAAAAKQAAAAlFAQAAAQAAAAEAAAABmgAAACoAAADqAAAACS0BAAAHAAAACUcBAAABmwAAACsAAADnAAAACS8BAAAHAAAACUkBAAABpwAAACkAAAAJSgEAAAEAAAABAAAAAagAAAAqAAAADwEAAAkeAQAABwAAAAlMAQAAAakAAAArAAAACgEAAAkgAQAABwAAAAlOAQAAAbUAAAApAAAACU8BAAABAAAAAQAAAAG2AAAAKgAAAA4BAAAJHgEAAAcAAAAJUQEAAAG3AAAAKwAAAAoBAAAJIAEAAAcAAAAJUwEAAAHDAAAAKQAAAAlUAQAAAQAAAAEAAAABxAAAACoAAAAOAQAACR4BAAAHAAAACVYBAAABxQAAACsAAAAKAQAACSABAAAHAAAACVgBAAAB0QAAACkAAAAJWQEAAAEAAAABAAAAAdIAAAAqAAAADgEAAAkeAQAABwAAAAlbAQAAAdMAAAArAAAACgEAAAkgAQAABwAAAAldAQAAAd8AAAApAAAACV4BAAABAAAAAQAAAAHgAAAAKgAAAA4BAAAJHgEAAAcAAAAJYAEAAAHhAAAAKwAAAAoBAAAJIAEAAAcAAAAJYgEAAAHtAAAAKQAAAAljAQAAAQAAAAEAAAAB7gAAACoAAAAOAQAACR4BAAAHAAAACWUBAAAB7wAAACsAAAAKAQAACSABAAAHAAAACWcBAAAB+wAAACkAAAAJaAEAAAEAAAABAAAAAfwAAAAqAAAADgEAAAkeAQAABwAAAAlqAQAAAf0AAAArAAAACgEAAAkgAQAABwAAAAlsAQAAAQkBAAApAAAACW0BAAABAAAAAQAAAAEKAQAAKgAAAAoBAAAJHgEAAAcAAAAJbwEAAAELAQAAKwAAAAMBAAAJIAEAAAcAAAAJcQEAAA8XAQAAAQAAAAgBAAAABRgBAAA8R2xvYmVTb2Z0d2FyZS5BdGxhczQwLkF0bGFzQ29tbW9uQ2xpZW50LkRhdGFTb3VyY2VGaWVsZFZhbHVlBAAAABJfaXNEcmlsbERvd25GaWx0ZXIGX2RzS2V5Cl9maWVsZG5hbWULX2ZpZWxkVmFsdWUAAQEBASUAAAAABnIBAAASVGFibGUuVFBQVHJhbnNfc3N0BnMBAAAKRGF0YUFyZWFJZAkGAAAAARkBAAAYAQAAAAlyAQAABnYBAAAJVHJhbnNEYXRlBncBAAAYMDEuMjguMjAxOCAuLiAwMS4zMS4yMDE4ARoBAAAYAQAAAAlyAQAABnkBAAAGSXRlbUlkBnoBAAABKgEbAQAAGAEAAAAGewEAADFUYWJsZS5UUFBUcmFuc19zc3QuSXRlbUlkflRhYmxlLkludmVudFRhYmxlTW9kdWxlBnwBAAAKTW9kdWxlVHlwZQZ9AQAABkludmVudAEcAQAAGAEAAAAGfgEAACtUYWJsZS5UUFBUcmFuc19zc3QuSXRlbUlkflRhYmxlLkludmVudFRhYmxlBn8BAAAISXRlbVR5cGUGgAEAAAghU2VydmljZQcdAQAAAAEAAAAEAAAABDdHbG9iZVNvZnR3YXJlLkF0bGFzNDAuQXRsYXNDb21tb24uVHlwZS5GaWVsZE91dHB1dEZpZWxkDgAAAAmBAQAADQMEHg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H7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ff7//zJHbG9iZVNvZnR3YXJlLkF0bGFzNDAuQXRsYXNDb21tb24uQ29sdW1uQXR0cmlidXRlcwEAAAAHdmFsdWVfXwAIDgAAABAAAAAGhAEAAAROb25lAXv+//9+/v//AXr+//99/v//CQAAAAkvAAAAAXj+//9+/v//AXf+//99/v//CwAAAAaKAQAAATABdf7//37+//8BdP7//33+//8EAAAABo0BAAAHR2VuZXJhbAFy/v//fv7//wFx/v//ff7//wIAAAAGkAEAAAExAW/+//9+/v//AW7+//99/v//AAAAAAaTAQAABTEzLjcxAWz+//9+/v//AWv+//99/v//JAAAAAktAAAAASABAAAMAAAABy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YAQAACEZvbnRCb2xkBpkBAAAFRmFsc2UBZv7//2n+//8GmwEAAApGb250SXRhbGljCZkBAAABY/7//2n+//8GngEAAA1Gb250VW5kZXJsaW5lBp8BAAAFLTQxNDIBYP7//2n+//8GoQEAAAhGb250TmFtZQaiAQAAB0NhbGlicmkBXf7//2n+//8GpAEAAAlGb250Q29sb3IGpQEAAAEwAVr+//9p/v//BqcBAAAIRm9udFNpemUGqAEAAAIxMQFX/v//af7//waqAQAACUZvbnRTdHlsZQarAQAAB1JlZ3VsYXIHIgEAAAABAAAABAAAAAQ3R2xvYmVTb2Z0d2FyZS5BdGxhczQwLkF0bGFzQ29tbW9uLlR5cGUuRmllbGRPdXRwdXRGaWVsZA4AAAAJrAEAAA0DBy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v//fv7//wFS/v//ff7//xAAAAAJhAEAAAFQ/v//fv7//wFP/v//ff7//wkAAAAJLwAAAAFN/v//fv7//wFM/v//ff7//wsAAAAGtQEAAAExAUr+//9+/v//AUn+//99/v//BAAAAAa4AQAAB0dlbmVyYWwBR/7//37+//8BRv7//33+//8CAAAABrsBAAABMQFE/v//fv7//wFD/v//ff7//wAAAAAGvgEAAAUxMC44Ng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+//9p/v//CZgBAAAJmQEAAAE+/v//af7//wmbAQAACZkBAAABO/7//2n+//8JngEAAAbHAQAABS00MTQyATj+//9p/v//CaEBAAAGygEAAAdDYWxpYnJpATX+//9p/v//CaQBAAAGzQEAAAEwATL+//9p/v//CacBAAAG0AEAAAIxMQEv/v//af7//wmqAQAABtMBAAAHUmVndWxhcgcnAQAAAAEAAAAEAAAABDdHbG9iZVNvZnR3YXJlLkF0bGFzNDAuQXRsYXNDb21tb24uVHlwZS5GaWVsZE91dHB1dEZpZWxkDgAAAAnUAQAADQMHK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v+//9+/v//ASr+//99/v//EAAAAAmEAQAAASj+//9+/v//ASf+//99/v//CQAAAAkvAAAAASX+//9+/v//AST+//99/v//CwAAAAbdAQAAATIBIv7//37+//8BIf7//33+//8EAAAABuABAAAHR2VuZXJhbAEf/v//fv7//wEe/v//ff7//wIAAAAG4wEAAAExARz+//9+/v//ARv+//99/v//AAAAAAbmAQAABTE0LjE0By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7//2n+//8JmAEAAAmZAQAAARb+//9p/v//CZsBAAAJmQEAAAET/v//af7//wmeAQAABu8BAAAFLTQxNDIBEP7//2n+//8JoQEAAAbyAQAAB0NhbGlicmkBDf7//2n+//8JpAEAAAb1AQAAATABCv7//2n+//8JpwEAAAb4AQAAAjExAQf+//9p/v//CaoBAAAG+wEAAAdSZWd1bGFyBywBAAAAAQAAAAQAAAAEN0dsb2JlU29mdHdhcmUuQXRsYXM0MC5BdGxhc0NvbW1vbi5UeXBlLkZpZWxkT3V0cHV0RmllbGQOAAAACfwBAAANAwEtAQAAHgEAAAcu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7//37+//8BAv7//33+//8JAAAACS8AAAABAP7//37+//8B//3//33+//8LAAAABgICAAABMwH9/f//fv7//wH8/f//ff7//wQAAAAGBQIAAAdHZW5lcmFsAfr9//9+/v//Afn9//99/v//AgAAAAYIAgAAATEB9/3//37+//8B9v3//33+//8AAAAABgsCAAAFMjUuNDMBLwEAAAwAAAAHM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/f//af7//wYNAgAACEZvbnRCb2xkCZkBAAAB8f3//2n+//8GEAIAAApGb250SXRhbGljCZkBAAAB7v3//2n+//8GEwIAAA1Gb250VW5kZXJsaW5lBhQCAAAFLTQxNDIB6/3//2n+//8GFgIAAAhGb250TmFtZQYXAgAAB0NhbGlicmkB6P3//2n+//8GGQIAAAlGb250Q29sb3IGGgIAAAEwAeX9//9p/v//BhwCAAAIRm9udFNpemUGHQIAAAIxMQHi/f//af7//wYfAgAACUZvbnRTdHlsZQYgAgAAB1JlZ3VsYXIHMQEAAAABAAAABAAAAAQ3R2xvYmVTb2Z0d2FyZS5BdGxhczQwLkF0bGFzQ29tbW9uLlR5cGUuRmllbGRPdXRwdXRGaWVsZA4AAAAJIQIAAA0DBz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e/f//fv7//wHd/f//ff7//wkAAAAJLwAAAAHb/f//fv7//wHa/f//ff7//wsAAAAGJwIAAAE0Adj9//9+/v//Adf9//99/v//BAAAAAYqAgAACG0vZC95eXl5AdX9//9+/v//AdT9//99/v//AgAAAAYtAgAAATEB0v3//37+//8B0f3//33+//8AAAAABjACAAABOQc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9//9p/v//CZgBAAAJmQEAAAHM/f//af7//wmbAQAACZkBAAAByf3//2n+//8JngEAAAY5AgAABS00MTQyAcb9//9p/v//CaEBAAAGPAIAAAdDYWxpYnJpAcP9//9p/v//CaQBAAAGPwIAAAEwAcD9//9p/v//CacBAAAGQgIAAAIxMQG9/f//af7//wmqAQAABkUCAAAHUmVndWxhcgc2AQAAAAEAAAAEAAAABDdHbG9iZVNvZnR3YXJlLkF0bGFzNDAuQXRsYXNDb21tb24uVHlwZS5GaWVsZE91dHB1dEZpZWxkDgAAAAlGAgAADQMHO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n9//9+/v//Abj9//99/v//CQAAAAkvAAAAAbb9//9+/v//AbX9//99/v//CwAAAAZMAgAAATUBs/3//37+//8Bsv3//33+//8EAAAABk8CAAAHR2VuZXJhbAGw/f//fv7//wGv/f//ff7//wIAAAAGUgIAAAExAa39//9+/v//Aaz9//99/v//AAAAAAZVAgAAATYHO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af7//wZXAgAACEZvbnRCb2xkCZkBAAABp/3//2n+//8GWgIAAApGb250SXRhbGljCZkBAAABpP3//2n+//8GXQIAAA1Gb250VW5kZXJsaW5lBl4CAAAFLTQxNDIBof3//2n+//8GYAIAAAhGb250TmFtZQZhAgAAB0NhbGlicmkBnv3//2n+//8GYwIAAAlGb250Q29sb3IGZAIAAAEwAZv9//9p/v//BmYCAAAIRm9udFNpemUGZwIAAAIxMQGY/f//af7//wZpAgAACUZvbnRTdHlsZQZqAgAAB1JlZ3VsYXIHOwEAAAABAAAABAAAAAQ3R2xvYmVTb2Z0d2FyZS5BdGxhczQwLkF0bGFzQ29tbW9uLlR5cGUuRmllbGRPdXRwdXRGaWVsZA4AAAAJawIAAA0DBz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f//fv7//wGT/f//ff7//wkAAAAJLwAAAAGR/f//fv7//wGQ/f//ff7//wsAAAAGcQIAAAE2AY79//9+/v//AY39//99/v//BAAAAAZ0AgAAB0dlbmVyYWwBi/3//37+//8Biv3//33+//8CAAAABncCAAABMQGI/f//fv7//wGH/f//ff7//wAAAAAGegIAAAQ1LjE0Bz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2n+//8JVwIAAAmZAQAAAYL9//9p/v//CVoCAAAJmQEAAAF//f//af7//wldAgAABoMCAAAFLTQxNDIBfP3//2n+//8JYAIAAAaGAgAAB0NhbGlicmkBef3//2n+//8JYwIAAAaJAgAAATABdv3//2n+//8JZgIAAAaMAgAAAjExAXP9//9p/v//CWkCAAAGjwIAAAdSZWd1bGFyB0ABAAAAAQAAAAQAAAAEN0dsb2JlU29mdHdhcmUuQXRsYXM0MC5BdGxhc0NvbW1vbi5UeXBlLkZpZWxkT3V0cHV0RmllbGQOAAAACZACAAANAwd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3//37+//8Bbv3//33+//8QAAAACYQBAAABbP3//37+//8Ba/3//33+//8JAAAACS8AAAABaf3//37+//8BaP3//33+//8LAAAABpkCAAABNwFm/f//fv7//wFl/f//ff7//wQAAAAGnAIAAAdHZW5lcmFsAWP9//9+/v//AWL9//99/v//AgAAAAafAgAAATEBYP3//37+//8BX/3//33+//8AAAAABqICAAAFMTAuMjkHR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f//af7//wmYAQAACZkBAAABWv3//2n+//8JmwEAAAmZAQAAAVf9//9p/v//CZ4BAAAGqwIAAAUtNDE0MgFU/f//af7//wmhAQAABq4CAAAHQ2FsaWJyaQFR/f//af7//wmkAQAABrECAAABMAFO/f//af7//wmnAQAABrQCAAACMTEBS/3//2n+//8JqgEAAAa3AgAAB1JlZ3VsYXIHRQEAAAABAAAABAAAAAQ3R2xvYmVTb2Z0d2FyZS5BdGxhczQwLkF0bGFzQ29tbW9uLlR5cGUuRmllbGRPdXRwdXRGaWVsZA4AAAAJuAIAAA0DB0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f//fv7//wFG/f//ff7//wkAAAAJLwAAAAFE/f//fv7//wFD/f//ff7//wsAAAAGvgIAAAE4AUH9//9+/v//AUD9//99/v//BAAAAAbBAgAAB0dlbmVyYWwBPv3//37+//8BPf3//33+//8CAAAABsQCAAABMQE7/f//fv7//wE6/f//ff7//wAAAAAGxwIAAAQ2LjQzB0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2n+//8JVwIAAAmZAQAAATX9//9p/v//CVoCAAAJmQEAAAEy/f//af7//wldAgAABtACAAAFLTQxNDIBL/3//2n+//8JYAIAAAbTAgAAB0NhbGlicmkBLP3//2n+//8JYwIAAAbWAgAAATABKf3//2n+//8JZgIAAAbZAgAAAjExASb9//9p/v//CWkCAAAG3AIAAAdSZWd1bGFyB0oBAAAAAQAAAAQAAAAEN0dsb2JlU29mdHdhcmUuQXRsYXM0MC5BdGxhc0NvbW1vbi5UeXBlLkZpZWxkT3V0cHV0RmllbGQOAAAACd0CAAANAwdM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v3//37+//8BIf3//33+//8GAAAABuACAAAFVG90YWwBH/3//37+//8BHv3//33+//8QAAAACYQBAAABHP3//37+//8BG/3//33+//8JAAAACS8AAAABGf3//37+//8BGP3//33+//8LAAAABukCAAABOQEW/f//fv7//wEV/f//ff7//wQAAAAG7AIAAAdHZW5lcmFsARP9//9+/v//ARL9//99/v//AgAAAAbvAgAAATEBEP3//37+//8BD/3//33+//8AAAAABvICAAAEOS4yOQd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9p/v//CZgBAAAJmQEAAAEK/f//af7//wmbAQAACZkBAAABB/3//2n+//8JngEAAAb7AgAABS00MTQyAQT9//9p/v//CaEBAAAG/gIAAAdDYWxpYnJpAQH9//9p/v//CaQBAAAGAQMAAAEwAf78//9p/v//CacBAAAGBAMAAAIxMQH7/P//af7//wmqAQAABgcDAAAHUmVndWxhcgdPAQAAAAEAAAAEAAAABDdHbG9iZVNvZnR3YXJlLkF0bGFzNDAuQXRsYXNDb21tb24uVHlwZS5GaWVsZE91dHB1dEZpZWxkDgAAAAkIAwAADQMHU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f8//9+/v//Afb8//99/v//EAAAAAmEAQAAAfT8//9+/v//AfP8//99/v//CQAAAAkvAAAAAfH8//9+/v//AfD8//99/v//CwAAAAYRAwAAAjEwAe78//9+/v//Ae38//99/v//BAAAAAYUAwAAB0dlbmVyYWwB6/z//37+//8B6vz//33+//8CAAAABhcDAAABMQHo/P//fv7//wHn/P//ff7//wAAAAAGGgMAAAUxMC40Mwd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8//9p/v//CZgBAAAJmQEAAAHi/P//af7//wmbAQAACZkBAAAB3/z//2n+//8JngEAAAYjAwAABS00MTQyAdz8//9p/v//CaEBAAAGJgMAAAdDYWxpYnJpAdn8//9p/v//CaQBAAAGKQMAAAEwAdb8//9p/v//CacBAAAGLAMAAAIxMQHT/P//af7//wmqAQAABi8DAAAHUmVndWxhcgdUAQAAAAEAAAAEAAAABDdHbG9iZVNvZnR3YXJlLkF0bGFzNDAuQXRsYXNDb21tb24uVHlwZS5GaWVsZE91dHB1dEZpZWxkDgAAAAkwAwAADQMHV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8//9+/v//Ac78//99/v//EAAAAAmEAQAAAcz8//9+/v//Acv8//99/v//CQAAAAkvAAAAAcn8//9+/v//Acj8//99/v//CwAAAAY5AwAAAjExAcb8//9+/v//AcX8//99/v//BAAAAAY8AwAAB0dlbmVyYWwBw/z//37+//8Bwvz//33+//8CAAAABj8DAAABMQHA/P//fv7//wG//P//ff7//wAAAAAGQgMAAAUxMC40Mwd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38//9p/v//CZgBAAAJmQEAAAG6/P//af7//wmbAQAACZkBAAABt/z//2n+//8JngEAAAZLAwAABS00MTQyAbT8//9p/v//CaEBAAAGTgMAAAdDYWxpYnJpAbH8//9p/v//CaQBAAAGUQMAAAEwAa78//9p/v//CacBAAAGVAMAAAIxMQGr/P//af7//wmqAQAABlcDAAAHUmVndWxhcgdZAQAAAAEAAAAEAAAABDdHbG9iZVNvZnR3YXJlLkF0bGFzNDAuQXRsYXNDb21tb24uVHlwZS5GaWVsZE91dHB1dEZpZWxkDgAAAAlYAwAADQMHW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f8//9+/v//Aab8//99/v//EAAAAAmEAQAAAaT8//9+/v//AaP8//99/v//CQAAAAkvAAAAAaH8//9+/v//AaD8//99/v//CwAAAAZhAwAAAjEyAZ78//9+/v//AZ38//99/v//BAAAAAZkAwAAB0dlbmVyYWwBm/z//37+//8Bmvz//33+//8CAAAABmcDAAABMQGY/P//fv7//wGX/P//ff7//wAAAAAGagMAAAE5B10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z//2n+//8JmAEAAAmZAQAAAZL8//9p/v//CZsBAAAJmQEAAAGP/P//af7//wmeAQAABnMDAAAFLTQxNDIBjPz//2n+//8JoQEAAAZ2AwAAB0NhbGlicmkBifz//2n+//8JpAEAAAZ5AwAAATABhvz//2n+//8JpwEAAAZ8AwAAAjExAYP8//9p/v//CaoBAAAGfwMAAAdSZWd1bGFyB14BAAAAAQAAAAQAAAAEN0dsb2JlU29mdHdhcmUuQXRsYXM0MC5BdGxhc0NvbW1vbi5UeXBlLkZpZWxkT3V0cHV0RmllbGQOAAAACYADAAANAwd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z//37+//8Bfvz//33+//8QAAAACYQBAAABfPz//37+//8Be/z//33+//8JAAAACS8AAAABefz//37+//8BePz//33+//8LAAAABokDAAACMTMBdvz//37+//8Bdfz//33+//8EAAAABowDAAAHR2VuZXJhbAFz/P//fv7//wFy/P//ff7//wIAAAAGjwMAAAExAXD8//9+/v//AW/8//99/v//AAAAAAaSAwAABTE4LjE0B2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z//2n+//8JmAEAAAmZAQAAAWr8//9p/v//CZsBAAAJmQEAAAFn/P//af7//wmeAQAABpsDAAAFLTQxNDIBZPz//2n+//8JoQEAAAaeAwAAB0NhbGlicmkBYfz//2n+//8JpAEAAAahAwAAATABXvz//2n+//8JpwEAAAakAwAAAjExAVv8//9p/v//CaoBAAAGpwMAAAdSZWd1bGFyB2MBAAAAAQAAAAQAAAAEN0dsb2JlU29mdHdhcmUuQXRsYXM0MC5BdGxhc0NvbW1vbi5UeXBlLkZpZWxkT3V0cHV0RmllbGQOAAAACagDAAANAwd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z//37+//8BVvz//33+//8QAAAACYQBAAABVPz//37+//8BU/z//33+//8JAAAACS8AAAABUfz//37+//8BUPz//33+//8LAAAABrEDAAACMTQBTvz//37+//8BTfz//33+//8EAAAABrQDAAAHR2VuZXJhbAFL/P//fv7//wFK/P//ff7//wIAAAAGtwMAAAExAUj8//9+/v//AUf8//99/v//AAAAAAa6AwAABDkuNDMHZ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P//af7//wmYAQAACZkBAAABQvz//2n+//8JmwEAAAmZAQAAAT/8//9p/v//CZ4BAAAGwwMAAAUtNDE0MgE8/P//af7//wmhAQAABsYDAAAHQ2FsaWJyaQE5/P//af7//wmkAQAABskDAAABMAE2/P//af7//wmnAQAABswDAAACMTEBM/z//2n+//8JqgEAAAbPAwAAB1JlZ3VsYXIHaAEAAAABAAAABAAAAAQ3R2xvYmVTb2Z0d2FyZS5BdGxhczQwLkF0bGFzQ29tbW9uLlR5cGUuRmllbGRPdXRwdXRGaWVsZA4AAAAJ0AMAAA0DB2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P//fv7//wEu/P//ff7//xAAAAAJhAEAAAEs/P//fv7//wEr/P//ff7//wkAAAAJLwAAAAEp/P//fv7//wEo/P//ff7//wsAAAAG2QMAAAIxNQEm/P//fv7//wEl/P//ff7//wQAAAAG3AMAAAdHZW5lcmFsASP8//9+/v//ASL8//99/v//AgAAAAbfAwAAATEBIPz//37+//8BH/z//33+//8AAAAABuIDAAABOAd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38//9p/v//CZgBAAAJmQEAAAEa/P//af7//wmbAQAACZkBAAABF/z//2n+//8JngEAAAbrAwAABS00MTQyART8//9p/v//CaEBAAAG7gMAAAdDYWxpYnJpARH8//9p/v//CaQBAAAG8QMAAAEwAQ78//9p/v//CacBAAAG9AMAAAIxMQEL/P//af7//wmqAQAABvcDAAAHUmVndWxhcgdtAQAAAAEAAAAEAAAABDdHbG9iZVNvZnR3YXJlLkF0bGFzNDAuQXRsYXNDb21tb24uVHlwZS5GaWVsZE91dHB1dEZpZWxkDgAAAAn4AwAADQMHb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8//9+/v//AQb8//99/v//CQAAAAkvAAAAAQT8//9+/v//AQP8//99/v//CwAAAAb+AwAAAjE2AQH8//9+/v//AQD8//99/v//BAAAAAYBBAAAB0dlbmVyYWwB/vv//37+//8B/fv//33+//8CAAAABgQEAAABMQH7+///fv7//wH6+///ff7//wAAAAAGBwQAAAUxMi43MQH4+///fv7//wH3+///ff7//yQAAAAJDQEAAAd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7//9p/v//CZgBAAAJmQEAAAHy+///af7//wmbAQAACZkBAAAB7/v//2n+//8JngEAAAYTBAAABS00MTQyAez7//9p/v//CaEBAAAGFgQAAAdDYWxpYnJpAen7//9p/v//CaQBAAAGGQQAAAEwAeb7//9p/v//CacBAAAGHAQAAAIxMQHj+///af7//wmqAQAABh8EAAAHUmVndWxhcgWB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g+///z/////////8ABiEEAAAERW51bQYiBAAACVJlZmVyZW5jZQkjBAAAAdz7///N////AgAAAAXb+///OUdsb2JlU29mdHdhcmUuQXRsYXM0MC5BdGxhc0NvbW1vbi5OdW1iZXJTZXF1ZW5jZUNvbmRpdGlvbgEAAAAHdmFsdWVfXwAIDgAAAAEAAAAAAAYmBAAAElRhYmxlLlRQUFRyYW5zX3NzdAksAAAACS8AAAAK/////wkmBAAACgksAAAACgoKCS8AAAAJLAQAAAkvAAAAAawBAACBAQAAAdL7///P/////////wAGLwQAAAZTdHJpbmcGMAQAAAZOdW1iZXIJIwQAAAHO+///zf///wIAAAABzfv//9v7//8BAAAAAAAJJgQAAAk6AAAACS8AAAAK/////wkmBAAACgk6AAAACgoKCS8AAAAJOgQAAAkvAAAAAdQBAACBAQAAAcT7///P/////////wAGPQQAAAZTdHJpbmcGPgQAAAtJdGVtIG51bWJlcgkjBAAAAcD7///N////AgAAAAG/+///2/v//wEAAAAAAAkmBAAACUgAAAAJLwAAAAr/////CSYEAAAKCUgAAAAKCgoJLwAAAAlIBAAACS8AAAAB/AEAAIEBAAABtvv//8//////////AAZLBAAABlN0cmluZwZMBAAACUl0ZW0gbmFtZQlNBAAAAbL7///N////AgAAAAGx+///2/v//wEAAAAAAAl+AQAACVYAAAAJLwAAAAr/////CX4BAAAKCVYAAAAGVQQAAAZJdGVtSWQGVgQAAAxUUFBUcmFuc19zc3QKCS8AAAAJWAQAAAkvAAAAASECAACBAQAAAab7///P/////////wAGWwQAAAREYXRlBlwEAAAERGF0ZQldBAAAAaL7///N////AgAAAAGh+///2/v//wEAAAAAAAZgBAAAElRhYmxlLlRQUFRyYW5zX3NzdAlkAAAACS8AAAAK/////wlgBAAACglkAAAACgoKCS8AAAAJZgQAAAkvAAAAAUYCAACBAQAAAZj7///P/////////wAGaQQAAAZTdHJpbmcGagQAAARTaXRlCWsEAAABlPv//83///8CAAAAAZP7///b+///AQAAAAAABm4EAAAuVGFibGUuVFBQVHJhbnNfc3N0LkludmVudERpbUlkflRhYmxlLkludmVudERpbQlyAAAACS8AAAAK/////wluBAAACglyAAAABnMEAAALSW52ZW50RGltSWQGdAQAAAxUUFBUcmFuc19zc3QKCS8AAAAJdgQAAAkvAAAAAWsCAACBAQAAAYj7///P/////////wAGeQQAAAZTdHJpbmcGegQAAAlXYXJlaG91c2UJawQAAAGE+///zf///wIAAAABg/v//9v7//8BAAAAAAAJbgQAAAmAAAAACS8AAAAK/////wluBAAACgmAAAAABoMEAAALSW52ZW50RGltSWQGhAQAAAxUUFBUcmFuc19zc3QKCS8AAAAJhgQAAAkvAAAAAZACAACBAQAAAXj7///P/////////wAGiQQAAARSZWFsBooEAAAIUXVhbnRpdHkJIwQAAAF0+///zf///wIAAAABc/v//9v7//8BAAAAAAAJJgQAAAmOAAAACS8AAAAK/////wkmBAAACgmOAAAACgoKCS8AAAAJlAQAAAkvAAAAAbgCAACBAQAAAWr7///P/////////wAGlwQAAAZTdHJpbmcGmAQAAARVbml0CZkEAAABZvv//83///8CAAAAAWX7///b+///AQAAAAAACXsBAAAJnAAAAAkvAAAACv////8JewEAAAoJnAAAAAahBAAABkl0ZW1JZAaiBAAADFRQUFRyYW5zX3NzdAoJLwAAAAmkBAAACS8AAAAB3QIAAIEBAAABWvv//8//////////AAanBAAABFJlYWwGqAQAAA5UUFAgY29zdCBwcmljZQkjBAAAAVb7///N////AgAAAAFV+///2/v//wEAAAAAAAkmBAAACaoAAAAJLwAAAAr/////CSYEAAAKCaoAAAAKCgoJLwAAAAmyBAAACS8AAAABCAMAAIEBAAABTPv//8//////////AAa1BAAABFJlYWwGtgQAAA9UUFAgY29zdCBhbW91bnQJIwQAAAFI+///zf///wIAAAABR/v//9v7//8BAAAAAAAJJgQAAAm4AAAACS8AAAAK/////wkmBAAACgm4AAAACgoKCS8AAAAJwAQAAAkvAAAAATADAACBAQAAAT77///P/////////wAGwwQAAAZTdHJpbmcGxAQAAAhDdXJyZW5jeQkjBAAAATr7///N////AgAAAAE5+///2/v//wEAAAAAAAkmBAAACcYAAAAJLwAAAAr/////CSYEAAAKCcYAAAAKCgoJLwAAAAnOBAAACS8AAAABWAMAAIEBAAABMPv//8//////////AAbRBAAABFJlYWwG0gQAABhUUFAgY29zdCBhbW91bnQgY3VycmVuY3kJIwQAAAEs+///zf///wIAAAABK/v//9v7//8BAAAAAAAJJgQAAAnUAAAACS8AAAAK/////wkmBAAACgnUAAAACgoKCS8AAAAJ3AQAAAkvAAAAAYADAACBAQAAASL7///P/////////wAG3wQAAAZTdHJpbmcG4AQAABFGaW5hbmNpYWwgdm91Y2hlcgkjBAAAAR77///N////AgAAAAEd+///2/v//wEAAAAAAAkmBAAACeIAAAAJLwAAAAr/////CSYEAAAKCeIAAAAKCgoJLwAAAAnqBAAACS8AAAABqAMAAIEBAAABFPv//8//////////AAbtBAAABlN0cmluZwbuBAAABkxvdCBJRAkjBAAAARD7///N////AgAAAAEP+///2/v//wEAAAAAAAkmBAAACfAAAAAJLwAAAAr/////CSYEAAAKCfAAAAAKCgoJLwAAAAn4BAAACS8AAAAB0AMAAIEBAAABBvv//8//////////AAb7BAAABEVudW0G/AQAAAZTdGF0dXMJIwQAAAEC+///zf///wIAAAABAfv//9v7//8BAAAAAAAJJgQAAAn+AAAACS8AAAAK/////wkmBAAACgn+AAAACgoKCS8AAAAJBgUAAAkvAAAAAfgDAACBAQAAAfj6///P/////////wAGCQUAAAVJbnQ2NAkiBAAACV0EAAAB9Pr//83///8CAAAAAfP6///b+///AQAAAAAACWAEAAAJDAEAAAkvAAAACv////8JYAQAAAoJDAEAAAoKCgkvAAAACRQFAAAJLwAAAAUjB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InQAABhYFAAAMVFBQVHJhbnNfc3N0BhcFAAAQVFBQIHRyYW5zYWN0aW9ucwkvAAAACS8AAAAJLwAAAAXn+v//MEdsb2JlU29mdHdhcmUuQXRsYXM0MC5BdGxhc0NvbW1vbi5EYXRhU291cmNlVHlwZQEAAAAHdmFsdWVfXwAIDgAAAAAAAAAJGgUAAAkbBQAABOT6//8LU3lzdGVtLkd1aWQLAAAAAl9hAl9iAl9jAl9kAl9lAl9mAl9nAl9oAl9pAl9qAl9rAAAAAAAAAAAAAAAIBwcCAgICAgICAgjMA+AQe7BLu5A4k7lUYvQJLwAAAAkvAAAACR4FAAAJJgQAAAoKCgoKAQAAAAXg+v//NEdsb2JlU29mdHdhcmUuQXRsYXM0MC5BdGxhc0NvbW1vbi5EYXRhU291cmNlSm9pbk1vZGUBAAAAB3ZhbHVlX18ACA4AAAAAAAAABd/6//81R2xvYmVTb2Z0d2FyZS5BdGxhczQwLkF0bGFzQ29tbW9uLkRhdGFTb3VyY2VGZXRjaE1vZGUBAAAAB3ZhbHVlX18ACA4AAAAAAAAAAAkiBQAAASwEAAArAAAAdQAAAAkgAQAAAwAAAAkkBQAAAToEAAArAAAAdQAAAAkgAQAAAwAAAAkmBQAAAUgEAAArAAAAdQAAAAkgAQAAAwAAAAkoBQAAAU0EAAAjBAAA/////wYpBQAAC0ludmVudFRhYmxlBioFAAAFSXRlbXMJLwAAAAkvAAAACS8AAAAB1Pr//+f6//8AAAAACS0FAAAJLgUAAAHR+v//5Pr//2hKN7/QZAlCsBF1sAFd8zIJLwAAAAkvAAAACTEFAAAJfgEAAAYzBQAADFRQUFRyYW5zX3NzdAY0BQAAElRhYmxlLlRQUFRyYW5zX3NzdAY1BQAAGVRhYmxlLlRQUFRyYW5zX3NzdC5JdGVtSWQGNgUAAAZJdGVtSWQGNwUAAAZJdGVtSWQBAAAAAcj6///g+v//AAAAAAHH+v//3/r//wAAAAAACToFAAABWAQAACsAAABIAAAACS8BAAADAAAACTwFAAABXQQAACMEAAD/////Bj0FAAAMVFBQVHJhbnNfc3N0Bj4FAAAQVFBQIHRyYW5zYWN0aW9ucwkvAAAACS8AAAAJLwAAAAHA+v//5/r//wAAAAAJQQUAAAlCBQAAAb36///k+v//CfP3hxhf70qh4YtroFWDEwkvAAAACS8AAAAJRQUAAAlgBAAACgoKCgoBAAAAAbn6///g+v//AAAAAAG4+v//3/r//wAAAAAACUkFAAABZgQAACsAAABsAAAACSABAAADAAAACUsFAAABawQAACMEAAD/////BkwFAAAJSW52ZW50RGltBk0FAAAUSW52ZW50b3J5IGRpbWVuc2lvbnMJLwAAAAkvAAAACS8AAAABsfr//+f6//8AAAAACVAFAAAJUQUAAAGu+v//5Pr//8joXFxhvzxLsDBop6O24EYJLwAAAAkvAAAACVQFAAAJbgQAAAZWBQAADFRQUFRyYW5zX3NzdAZXBQAAElRhYmxlLlRQUFRyYW5zX3NzdAZYBQAAHlRhYmxlLlRQUFRyYW5zX3NzdC5JbnZlbnREaW1JZAZZBQAAC0ludmVudERpbUlkBloFAAALaW52ZW50RGltSWQBAAAAAaX6///g+v//AAAAAAGk+v//3/r//wAAAAAACV0FAAABdgQAACsAAABUAAAACS8BAAADAAAACV8FAAABhgQAACsAAABUAAAACS8BAAADAAAACWEFAAABlAQAACsAAAB1AAAACSABAAADAAAACWMFAAABmQQAACMEAAD/////BmQFAAARSW52ZW50VGFibGVNb2R1bGUGZQUAABtJbnZlbnRvcnkgbW9kdWxlIHBhcmFtZXRlcnMJLwAAAAkvAAAACS8AAAABmfr//+f6//8AAAAACWgFAAAJaQUAAAGW+v//5Pr///quecauPWxKp1fkO9XBI4kJLwAAAAkvAAAACWwFAAAJewEAAAZuBQAADFRQUFRyYW5zX3NzdAZvBQAAElRhYmxlLlRQUFRyYW5zX3NzdAZwBQAAGVRhYmxlLlRQUFRyYW5zX3NzdC5JdGVtSWQGcQUAAAZJdGVtSWQGcgUAAAZJdGVtSWQBAAAAAY36///g+v//AAAAAAGM+v//3/r//wAAAAAACXUFAAABpAQAACsAAABUAAAACS8BAAADAAAACXcFAAABsgQAACsAAAB1AAAACSABAAADAAAACXkFAAABwAQAACsAAAB1AAAACSABAAADAAAACXsFAAABzgQAACsAAAB1AAAACSABAAADAAAACX0FAAAB3AQAACsAAAB1AAAACSABAAADAAAACX8FAAAB6gQAACsAAAB1AAAACSABAAADAAAACYEFAAAB+AQAACsAAAB1AAAACSABAAADAAAACYMFAAABBgUAACsAAAB1AAAACSABAAADAAAACYUFAAABFAUAACsAAABsAAAACSABAAADAAAACYcFAAAEGgU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wAAAAJiAUAABEAAAAJiQUAAAQb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KAAAACYgFAAARAAAACYsFAAAEHg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gFAAAAAAAABCIF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0FAAAAAAAABy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r//2n+//8GjwUAAAhIZWxwVGV4dAaQBQAAMlNwZWNpZnkgdGhlIG1vZHVsZSB0aGF0IGdlbmVyYXRlZCB0aGUgdHJhbnNhY3Rpb24uAW/6//9p/v//BpIFAAAFTGFiZWwJIgQAAAFs+v//af7//waVBQAABFR5cGUJIQQAAAcm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6//9p/v//CY8FAAAGmQUAADVPcmRlciBudW1iZXIsIHByb2plY3QgbnVtYmVyLCBwcm9kdWN0aW9uIG51bWJlciwgZXRjLgFm+v//af7//wmSBQAACTAEAAABY/r//2n+//8JlQUAAAkvBAAAByg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r//2n+//8JjwUAAAaiBQAADklkZW50aWZ5IGl0ZW0uAV36//9p/v//CZIFAAAJPgQAAAFa+v//af7//wmVBQAACT0EAAABLQUAABoFAAABAAAACS8BAAADAAAACaoFAAABLgUAABsFAAABAAAACasFAAADAAAACawFAAABMQUAAB4FAAAAAAAACS8BAAAAAAAAAToFAAAiBQAAAAAAAAmuBQAAAAAAAAc8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6//9p/v//BrAFAAAFTGFiZWwJTAQAAAFO+v//af7//wazBQAABFR5cGUJSwQAAAFBBQAAGgUAABEAAAAJtQUAABEAAAAJtgUAAAFCBQAAGwUAAAEAAAAJIAEAAAMAAAAJuAUAAAFFBQAAHgUAAAAAAAAJtQUAAAAAAAABSQUAACIFAAAAAAAACboFAAAAAAAAB0s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r//2n+//8JkgUAAAlcBAAAAUL6//9p/v//CZUFAAAJWwQAAAFQBQAAGgUAAAIAAAAJLwEAAAMAAAAJwgUAAARR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sFAAAAAAAAAVQFAAAeBQAAAAAAAAkvAQAAAAAAAAFdBQAAIgUAAAAAAAAJrgUAAAAAAAAHX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6+v//af7//wmwBQAACWoEAAABN/r//2n+//8JswUAAAlpBAAAB2E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r//2n+//8JsAUAAAl6BAAAATH6//9p/v//CbMFAAAJeQQAAAdj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76//9p/v//CY8FAAAG1AUAACRRdWFudGl0eSBhdHRhY2hlZCB0byB0aGUgdHJhbnNhY3Rpb24BK/r//2n+//8JkgUAAAmKBAAAASj6//9p/v//CZUFAAAJiQQAAAFoBQAAGgUAAAEAAAAJLwEAAAMAAAAJ3AUAAAFpBQAAGwUAAAEAAAAJqwUAAAMAAAAJ3gUAAAFsBQAAHgUAAAAAAAAJLwEAAAAAAAABdQUAACIFAAAAAAAACa4FAAAAAAAAB3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r//2n+//8JsAUAAAmYBAAAARz6//9p/v//CbMFAAAJlwQAAAd5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n6//9p/v//CY8FAAAG6QUAAA9UUFAgY29zdCBwcmljZS4BFvr//2n+//8JkgUAAAmoBAAAARP6//9p/v//CZUFAAAJpwQAAAd7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D6//9p/v//CY8FAAAG8gUAABBUUFAgY29zdCBhbW91bnQuAQ36//9p/v//CZIFAAAJtgQAAAEK+v//af7//wmVBQAACbUEAAAHf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+v//af7//wmPBQAABvsFAAAuQ3VycmVuY3ksIGlmIGFueSwgYXR0YWNoZWQgdG8gdGhlIGl0ZW0gcmVjZWlwdAEE+v//af7//wmSBQAACcQEAAABAfr//2n+//8JlQUAAAnDBAAAB38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n//2n+//8JjwUAAAYEBgAAHFRQUCBjb3N0IGFtb3VudCBpbiBjdXJyZW5jeS4B+/n//2n+//8JkgUAAAnSBAAAAfj5//9p/v//CZUFAAAJ0QQAAAe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5//9p/v//CY8FAAAGDQYAADNWb3VjaGVyIG51bWJlciB0aGF0IHRoZSB0cmFuc2FjdGlvbiBpcyBhdHRhY2hlZCB0by4B8vn//2n+//8JkgUAAAngBAAAAe/5//9p/v//CZUFAAAJ3wQAAAeD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z5//9p/v//CY8FAAAGFgYAAFJTdW1tYXJ5IG51bWJlci9Mb3QgSUQgZm9yIHRyYW5zYWN0aW9ucyBhdHRhY2hlZCB0byB0aGUgc2FtZSBpbnZlbnRvcnkgdHJhbnNhY3Rpb24uAen5//9p/v//CZIFAAAJ7gQAAAHm+f//af7//wmVBQAACe0EAAAHh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+f//af7//wmPBQAABh8GAAAWVFBQIHRyYW5zYWN0aW9uIHN0YXR1cwHg+f//af7//wmSBQAACfwEAAAB3fn//2n+//8JlQUAAAn7BAAAB4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n//2n+//8JkgUAAAkiBAAAAdf5//9p/v//CZUFAAAJCQUAAAGIBQAADAAAAAeJBQ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U+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tBgAAHFRhYmxlLlRQUFRyYW5zX3NzdC5Db3N0UHJpY2UJ3QIAAAHR+f//1Pn//wYwBgAAHVRhYmxlLlRQUFRyYW5zX3NzdC5Db3N0QW1vdW50CQgDAAABzvn//9T5//8GMwYAACBUYWJsZS5UUFBUcmFuc19zc3QuQ29zdEFtb3VudEN1cglYAwAAAcv5///U+f//BjYGAAAWVGFibGUuVFBQVHJhbnNfc3N0LlF0eQmQAgAAAcj5///U+f//BjkGAAAeVGFibGUuVFBQVHJhbnNfc3N0LkludmVudERpbUlkCToGAAABxfn//9T5//8GPAYAABpUYWJsZS5UUFBUcmFuc19zc3QuVm91Y2hlcgmAAwAAAcL5///U+f//Bj8GAAAgVGFibGUuVFBQVHJhbnNfc3N0LkludmVudFRyYW5zSWQJqAMAAAG/+f//1Pn//wZCBgAAHVRhYmxlLlRQUFRyYW5zX3NzdC5UcmFuc1JlZklkCawBAAABvPn//9T5//8GRQYAABxUYWJsZS5UUFBUcmFuc19zc3QuVHJhbnNUeXBlCYEBAAABufn//9T5//8GSAYAAB9UYWJsZS5UUFBUcmFuc19zc3QuQ3VycmVuY3lDb2RlCTADAAABtvn//9T5//8GSwYAABlUYWJsZS5UUFBUcmFuc19zc3QuU3RhdHVzCdADAAABs/n//9T5//8GTgYAABlUYWJsZS5UUFBUcmFuc19zc3QuSXRlbUlkCdQBAAAHiwUAAAABAAAAC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LD5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UQYAAB1UYWJsZS5UUFBUcmFuc19zc3QuRGF0YUFyZWFJZAlSBgAAAa35//+w+f//BlQGAAAfVGFibGUuVFBQVHJhbnNfc3N0LkN1cnJlbmN5Q29kZQlVBgAAAar5//+w+f//BlcGAAAcVGFibGUuVFBQVHJhbnNfc3N0LlRyYW5zRGF0ZQlYBgAAAaf5//+w+f//BloGAAAeVGFibGUuVFBQVHJhbnNfc3N0LkludmVudERpbUlkCVsGAAABpPn//7D5//8GXQYAABpUYWJsZS5UUFBUcmFuc19zc3QuVm91Y2hlcgleBgAAAaH5//+w+f//BmAGAAAZVGFibGUuVFBQVHJhbnNfc3N0Lkl0ZW1JZAlhBgAAAZ75//+w+f//BmMGAAAgVGFibGUuVFBQVHJhbnNfc3N0LkludmVudFRyYW5zSWQJZAYAAAGb+f//sPn//wZmBgAAHVRhYmxlLlRQUFRyYW5zX3NzdC5UcmFuc1JlZklkCWcGAAABmPn//7D5//8GaQYAABxUYWJsZS5UUFBUcmFuc19zc3QuVHJhbnNUeXBlCWoGAAABlfn//7D5//8GbAYAABlUYWJsZS5UUFBUcmFuc19zc3QuU3RhdHVzCW0GAAAEjQU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6oF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L5///U+f//Bm8GAAA0VGFibGUuVFBQVHJhbnNfc3N0Lkl0ZW1JZH5UYWJsZS5JbnZlbnRUYWJsZS5JdGVtTmFtZQn8AQAAAasFAAAMAAAAB6w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P+f//sPn//wZyBgAANFRhYmxlLlRQUFRyYW5zX3NzdC5JdGVtSWR+VGFibGUuSW52ZW50VGFibGUuSXRlbVR5cGUJcwYAAAGuBQAAjQUAAAG1BQAADAAAAAe2BQAAAAEAAAAR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M+f//1Pn//wZ1BgAAHFRhYmxlLlRQUFRyYW5zX3NzdC5Db3N0UHJpY2UJ3QIAAAGJ+f//1Pn//wZ4BgAAHVRhYmxlLlRQUFRyYW5zX3NzdC5Db3N0QW1vdW50CQgDAAABhvn//9T5//8GewYAACBUYWJsZS5UUFBUcmFuc19zc3QuQ29zdEFtb3VudEN1cglYAwAAAYP5///U+f//Bn4GAAAWVGFibGUuVFBQVHJhbnNfc3N0LlF0eQmQAgAAAYD5///U+f//BoEGAAAeVGFibGUuVFBQVHJhbnNfc3N0LkludmVudERpbUlkCToGAAABffn//9T5//8GhAYAABpUYWJsZS5UUFBUcmFuc19zc3QuVm91Y2hlcgmAAwAAAXr5///U+f//BocGAAAgVGFibGUuVFBQVHJhbnNfc3N0LkludmVudFRyYW5zSWQJqAMAAAF3+f//1Pn//waKBgAAHVRhYmxlLlRQUFRyYW5zX3NzdC5UcmFuc1JlZklkCawBAAABdPn//9T5//8GjQYAABxUYWJsZS5UUFBUcmFuc19zc3QuVHJhbnNUeXBlCYEBAAABcfn//9T5//8GkAYAAB9UYWJsZS5UUFBUcmFuc19zc3QuQ3VycmVuY3lDb2RlCTADAAABbvn//9T5//8GkwYAABlUYWJsZS5UUFBUcmFuc19zc3QuU3RhdHVzCdADAAABa/n//9T5//8GlgYAABlUYWJsZS5UUFBUcmFuc19zc3QuSXRlbUlkCdQBAAABaPn//9T5//8GmQYAABxUYWJsZS5UUFBUcmFuc19zc3QuVHJhbnNEYXRlCSECAAABZfn//9T5//8GnAYAACNUYWJsZS5UUFBUcmFuc19zc3QuSW52ZW50VHJhbnNSZWNJZAn4AwAAAWL5///U+f//Bp8GAAAqVGFibGUuVFBQVHJhbnNfc3N0LkludmVudEpvdXJuYWxUcmFuc1JlY0lkCaAGAAABX/n//9T5//8GogYAACRUYWJsZS5UUFBUcmFuc19zc3QuSW52b2ljZVRyYW5zUmVjSWQJowYAAAFc+f//1Pn//walBgAAH1RhYmxlLlRQUFRyYW5zX3NzdC5Qcm9kQk9NUmVjSWQJpgYAAAe4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Wfn//7D5//8GqAYAABxUYWJsZS5UUFBUcmFuc19zc3QuVHJhbnNEYXRlCakGAAABugUAAI0FAAAHwgU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vn//9T5//8GqwYAADtUYWJsZS5UUFBUcmFuc19zc3QuSW52ZW50RGltSWR+VGFibGUuSW52ZW50RGltLkludmVudFNpdGVJZAlGAgAAAVP5///U+f//Bq4GAAA/VGFibGUuVFBQVHJhbnNfc3N0LkludmVudERpbUlkflRhYmxlLkludmVudERpbS5JbnZlbnRMb2NhdGlvbklkCWsCAAAH3AU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Pn//9T5//8GsQYAADhUYWJsZS5UUFBUcmFuc19zc3QuSXRlbUlkflRhYmxlLkludmVudFRhYmxlTW9kdWxlLlVuaXRJZAm4AgAAB94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N+f//sPn//wa0BgAAPFRhYmxlLlRQUFRyYW5zX3NzdC5JdGVtSWR+VGFibGUuSW52ZW50VGFibGVNb2R1bGUuTW9kdWxlVHlwZQm1BgAAAToGAACBAQAAAUr5///P/////////wAGtwYAAAZTdHJpbmcGuAYAAA1EaW1lbnNpb24gTm8uCSMEAAABRvn//83///8CAAAAAUX5///b+///AQAAAAAACSYEAAAGvQYAAAtJbnZlbnREaW1JZAkvAAAACv////8JJgQAAAoJvQYAAAoKCgkvAAAACcIGAAAJLwAAAAVSB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JgQAAAbFBgAACkRhdGFBcmVhSWQJLwAAAAkvAAAA/////wkmBAAACgnFBgAACgoKCS8AAAAJygYAAAkvAAAAAVUGAABSBgAACSYEAAAGzQYAAAxDdXJyZW5jeUNvZGUJLwAAAAkvAAAA/////wkmBAAACgnNBgAACgoKCS8AAAAJ0gYAAAkvAAAAAVgGAABSBgAACSYEAAAJdgEAAAkvAAAACS8AAAD/////CSYEAAAKCXYBAAAKCgoJLwAAAAnaBgAACS8AAAABWwYAAFIGAAAJJgQAAAbdBgAAC0ludmVudERpbUlkCS8AAAAJLwAAAP////8JJgQAAAoJ3QYAAAoKCgkvAAAACeIGAAAJLwAAAAFeBgAAUgYAAAkmBAAABuUGAAAHVm91Y2hlcgkvAAAACS8AAAD/////CSYEAAAKCeUGAAAKCgoJLwAAAAnqBgAACS8AAAABYQYAAFIGAAAJJgQAAAbtBgAABkl0ZW1JZAkvAAAACS8AAAD/////CSYEAAAKCe0GAAAKCgoJLwAAAAnyBgAACS8AAAABZAYAAFIGAAAJJgQAAAb1BgAADUludmVudFRyYW5zSWQJLwAAAAkvAAAA/////wkmBAAACgn1BgAACgoKCS8AAAAJ+gYAAAkvAAAAAWcGAABSBgAACSYEAAAG/QYAAApUcmFuc1JlZklkCS8AAAAJLwAAAP////8JJgQAAAoJ/QYAAAoKCgkvAAAACQIHAAAJLwAAAAFqBgAAUgYAAAkmBAAABgUHAAAJVHJhbnNUeXBlCS8AAAAJLwAAAP////8JJgQAAAoJBQcAAAoKCgkvAAAACQoHAAAJLwAAAAFtBgAAUgYAAAkmBAAABg0HAAAGU3RhdHVzCS8AAAAJLwAAAP////8JJgQAAAoJDQcAAAoKCgkvAAAACRIHAAAJLwAAAAFzBgAAUgYAAAl+AQAACX8BAAAJLwAAAAmAAQAA/////wl+AQAACgl/AQAABhoHAAAGSXRlbUlkCgoJLwAAAAkcBwAACS8AAAABoAYAAIEBAAAB4vj//8//////////AAYfBwAABUludDY0BiAHAAAJUmVmZXJlbmNlCV0EAAAB3vj//83///8CAAAAAd34///b+///AQAAAAAACWAEAAAGJQcAABdJbnZlbnRKb3VybmFsVHJhbnNSZWNJZAkvAAAACv////8JYAQAAAoJJQcAAAoKCgkvAAAACSoHAAAJLwAAAAGjBgAAgQEAAAHU+P//z/////////8ABi0HAAAFSW50NjQJIAcAAAldBAAAAdD4///N////AgAAAAHP+P//2/v//wEAAAAAAAlgBAAABjMHAAARSW52b2ljZVRyYW5zUmVjSWQJLwAAAAr/////CWAEAAAKCTMHAAAKCgoJLwAAAAk4BwAACS8AAAABpgYAAIEBAAABxvj//8//////////AAY7BwAABUludDY0CSAHAAAJXQQAAAHC+P//zf///wIAAAABwfj//9v7//8BAAAAAAAJYAQAAAZBBwAADFByb2RCT01SZWNJZAkvAAAACv////8JYAQAAAoJQQcAAAoKCgkvAAAACUYHAAAJLwAAAAGpBgAAUgYAAAkmBAAACXYBAAAJLwAAAAZLBwAAGDA2LjAxLjIwMTcgLi4gMDYuMzAuMjAxN/////8JJgQAAAoJdgEAAAoKCgkvAAAACU8HAAAJLwAAAAG1BgAAUgYAAAl7AQAACXwBAAAJLwAAAAl9AQAA/////wl7AQAACgl8AQAABlcHAAAGSXRlbUlkCgoJLwAAAAlZBwAACS8AAAABwgYAACsAAAAhAAAACSABAAADAAAACVwHAAAEy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0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2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4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6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8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+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A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C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E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BHAcAACsAAAAjAAAACasFAAADAAAACV8HAAABKgcAACsAAAASAAAACSABAAADAAAACWEHAAABOAcAACsAAAASAAAACSABAAADAAAACWMHAAABRgcAACsAAAASAAAACSABAAADAAAACWUHAAABTwcAACsAAAAlAAAACSABAAADAAAACWcHAAABWQcAACsAAAAiAAAACasFAAADAAAACWkHAAAHXA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P//af7//wmPBQAABmwHAAAqSWRlbnRpZmljYXRpb24gb2YgZGltZW5zaW9ucyBmb3IgdGhlIGl0ZW0uAZP4//9p/v//CZIFAAAJuAYAAAGQ+P//af7//wmVBQAACbcGAAAHXw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+P//af7//wZ0BwAABFR5cGUGdQcAAARFbnVtAYr4//9p/v//BncHAAAFTGFiZWwGeAcAAAlJdGVtIHR5cGUBh/j//2n+//8GegcAAAhSZWZlcnNUbwZ7BwAACT1JdGVtVHlwZQdh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4//9p/v//CZIFAAAJIAcAAAGB+P//af7//wmVBQAACR8HAAAHYw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+P//af7//wmSBQAACSAHAAABe/j//2n+//8JlQUAAAktBwAAB2U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Pj//2n+//8JkgUAAAkgBwAAAXX4//9p/v//CZUFAAAJOwcAAAdnB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4//9p/v//CZUFAAAGkAcAAAREYXRlAW/4//9p/v//CZIFAAAGkwcAAAREYXRlAWz4//9p/v//BpUHAAAIUmVmZXJzVG8GlgcAAAs9RGF0ZVBlcmlvZAdp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4//9p/v//CXQHAAAGmQcAAARFbnVtAWb4//9p/v//CXcHAAAGnAcAAAtNb2R1bGUgdHlwZQs=</Report>
</Atlas>
</file>

<file path=customXml/item5.xml><?xml version="1.0" encoding="utf-8"?>
<Atlas>
  <Query type="ReportSummary" id="babdd06b-fe4c-4545-9736-6f5ee0be0a2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NAAAAD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V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lRQUFN1bV9zc3QGHgAAAAtUUFAgc3VtbWFyeQkIAAAACQgAAAAJCAAAAAXg////MEdsb2JlU29mdHdhcmUuQXRsYXM0MC5BdGxhc0NvbW1vbi5EYXRhU291cmNlVHlwZQEAAAAHdmFsdWVfXwAIAgAAAAAAAAAJIQAAAAkiAAAABN3///8LU3lzdGVtLkd1aWQLAAAAAl9hAl9iAl9jAl9kAl9lAl9mAl9nAl9oAl9pAl9qAl9rAAAAAAAAAAAAAAAIBwcCAgICAgICAhTX9SQ0sdJKhZSm2Szemr8JCAAAAAkIAAAACSUAAAAGJgAAABBUYWJsZS5UUFBTdW1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xUYWJsZS5UUFBTdW1fc3N0LkludmVudERpbUlkflRhYmxlLkludmVudERpbQkxAAAAAc7////U////BjMAAAApVGFibGUuVFBQU3VtX3NzdC5JdGVtSWR+VGFibGUuSW52ZW50VGFibGUJNAAAAAcUAAAAAAEAAAAQAAAABC1HbG9iZVNvZnR3YXJlLkF0bGFzNDAuQXRsYXNDb21tb24uVHlwZS5Db2x1bW4CAAAACTUAAAAJNgAAAAk3AAAACTgAAAAJOQAAAAk6AAAACTsAAAAJPAAAAAk9AAAACT4AAAAJPwAAAAlAAAAACUEAAAANAxEVAAAABAAAAAZCAAAADUF0bGFzUmVwb3J0XzQNAwcXAAAAAAEAAAAD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3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v///+9////BkYAAAAPVGFibGUuSW52ZW50RGltCTAAAAABuP///73///8GSQAAABFUYWJsZS5JbnZlbnRUYWJ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1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T///8+R2xvYmVTb2Z0d2FyZS5BdGxhczQwLkF0bGFzQ29tbW9uLlR5cGUuQXRsYXNRdWVyeUF0dHJpYnV0ZU5hbWUBAAAAB3ZhbHVlX18ACAIAAAACAAAABk0AAAAkYmFiZGQwNmItZmU0Yy00NTQ1LTk3MzYtNmY1ZWUwYmUwYTJkAbL///+1////AbH///+0////AAAAAAZQAAAABHRydWUBr////7X///8Brv///7T///8LAAAABlMAAAALVFBQIHN1bW1hcnkBrP///7X///8Bq////7T///8bAAAABlYAAAAEVHJ1ZQGp////tf///wGo////tP///wYAAAAGWQAAAAVGYWxzZQGm////tf///wGl////tP///xwAAAAJVgAAAAGj////tf///wGi////tP///x0AAAAJWQAAAAGg////tf///wGf////tP///yoAAAAJVgAAAAGd////tf///wGc////tP///wEAAAAGZQAAAAMzNjQBmv///7X///8Bmf///7T///8nAAAABmgAAAALPURhdGFBcmVhSWQBl////7X///8Blv///7T///8ZAAAABmsAAAAPQ2VsbHNWZXJ0aWNhbGx5AZT///+1////AZP///+0////CQAAAAoBkv///7X///8Bkf///7T///8oAAAABnAAAAACMTMBj////7X///8Bjv///7T///8rAAAABnMAAAARVGFibGVTdHlsZU1lZGl1bTIHHAAAAAABAAAAAw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z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dQAAAApUUFBTdW1fc3N0AQAAAAGK////jP///wZ3AAAACUludmVudERpbQEAAAABiP///4z///8GeQ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egAAAAMAAAAJe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0AAAABJQAAAAQAAAACAAAACXoAAAADAAAACX8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gAAAAAAAAAAHKgAAAAABAAAAAAAAAAQtR2xvYmVTb2Z0d2FyZS5BdGxhczQwLkF0bGFzQ29tbW9uLlR5cGUuQ29sdW1uAgAAAAExAAAADgAAAP////8GgQAAAAlJbnZlbnREaW0GggAAABRJbnZlbnRvcnkgZGltZW5zaW9ucwkIAAAACQgAAAAJCAAAAAF8////4P///wAAAAAJhQAAAAmGAAAAAXn////d////OabvUY/mGUuU7DdKKKJolQkIAAAACQgAAAAJiQAAAAkwAAAABosAAAAKVFBQU3VtX3NzdAaMAAAAEFRhYmxlLlRQUFN1bV9zc3QGjQAAABxUYWJsZS5UUFBTdW1fc3N0LkludmVudERpbUlkBo4AAAALSW52ZW50RGltSWQGjwAAAAtpbnZlbnREaW1JZAEAAAABcP///9n///8AAAAAAW/////Y////AAAAAAAJkgAAAAE0AAAADgAAAP////8GkwAAAAtJbnZlbnRUYWJsZQaUAAAABUl0ZW1zCQgAAAAJCAAAAAkIAAAAAWr////g////AAAAAAmXAAAACZgAAAABZ////93///8OZNsR4xfcTq0Ih/s6vlPQCQgAAAAJCAAAAAmbAAAACTMAAAAGnQAAAApUUFBTdW1fc3N0Bp4AAAAQVGFibGUuVFBQU3VtX3NzdAafAAAAF1RhYmxlLlRQUFN1bV9zc3QuSXRlbUlkBqAAAAAGSXRlbUlkBqEAAAAGSXRlbUlkAQAAAAFe////2f///wAAAAABXf///9j///8AAAAAAAmkAAAABTU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aUAAAAJpgAAAAmnAAAABqgAAAAGSXRlbUlkBqkAAAALSXRlbSBudW1iZXIGqgAAAAZTdHJpbmcJCAAAAAasAAAAJDgzMWJlYjgxLTRmNDEtNDMwYS05YzQ3LWUwNjAxZDM5MTRmZAVT////LUdsb2JlU29mdHdhcmUuQXRsYXM0MC5BdGxhc0NvbW1vbi5BZ2dyZWdhdGlvbgEAAAAHdmFsdWVfXwAIAgAAAP////8AAAAABVL///8sR2xvYmVTb2Z0d2FyZS5BdGxhczQwLkF0bGFzQ29tbW9uLkNvbHVtblR5cGUBAAAAB3ZhbHVlX18ACAIAAAAAAAAABVH///8rR2xvYmVTb2Z0d2FyZS5BdGxhczQwLkF0bGFzQ29tbW9uLlNvcnRPcmRlcgEAAAAHdmFsdWVfXwAIAgAAAAIAAAAAAAAAAAVQ////QEdsb2JlU29mdHdhcmUuQXRsYXM0MC5BdGxhc0NvbW1vbi5UeXBlLkNvbHVtbitDcm9zc1RhYkNvbHVtblR5cGUBAAAAB3ZhbHVlX18ACAIAAAAAAAAACgEAAAAAAAAAAAAAAAAABrEAAAAkZDdlMmNhMzEtNDY5YS00MmQ3LTliZTYtOTQxZmY5YTExY2ZkBrIAAAAXVGFibGUuVFBQU3VtX3NzdC5JdGVtSWQKCgoKATYAAAA1AAAACbMAAAAJtAAAAAm1AAAABrYAAAAMSW52ZW50U2l0ZUlkBrcAAAAEU2l0ZQa4AAAABlN0cmluZwkIAAAABroAAAAkMDYzMDE3ZGYtZmJjNi00NWE0LWE5ODMtOGYwN2U2ZDUxYjZjAUX///9T/////////wEAAAABRP///1L///8AAAAAAUP///9R////AgAAAAAAAAAAAUL///9Q////AAAAAAoBAAAAAAAAAAABAAAAAAa/AAAAJGU0NzgyYjQ3LTEwOGQtNDQ3Ny05YzkzLTJiMDRiYWU1M2M3NgbAAAAAOVRhYmxlLlRQUFN1bV9zc3QuSW52ZW50RGltSWR+VGFibGUuSW52ZW50RGltLkludmVudFNpdGVJZAoKCgoBNwAAADUAAAAJwQAAAAnCAAAACcMAAAAGxAAAABBJbnZlbnRMb2NhdGlvbklkBsUAAAAJV2FyZWhvdXNlBsYAAAAGU3RyaW5nCQgAAAAGyAAAACQwOGU0MmVhMS02ZGY1LTQ0OTMtODJkNC0wMjIxZjU3NWMzZjgBN////1P/////////AgAAAAE2////Uv///wAAAAABNf///1H///8CAAAAAAAAAAABNP///1D///8AAAAACgEAAAAAAAAAAAIAAAAABs0AAAAkOTM5OWMwN2EtY2YwOC00OWRkLWJmNjktZDgxMGI0ZmYyNmJiBs4AAAA9VGFibGUuVFBQU3VtX3NzdC5JbnZlbnREaW1JZH5UYWJsZS5JbnZlbnREaW0uSW52ZW50TG9jYXRpb25JZAoKCgoBOAAAADUAAAAJzwAAAAnQAAAACdEAAAAG0gAAAANRdHkG0wAAAAhRdWFudGl0eQbUAAAABFJlYWwJCAAAAAbWAAAAJGY1MzBhN2YwLTdkZTUtNGVjMi04YjBiLTJkYjllMTE1YTE5NwEp////U////wEAAAADAAAAASj///9S////AAAAAAEn////Uf///wIAAAAAAAAAAAEm////UP///wAAAAAKAQAAAAAAAAAAAwAAAAAG2wAAACQyYmMyN2E4OS1jZDU2LTQ1OGQtYjMwMC1jMTgyNjg1ZjhhYTIG3AAAABRUYWJsZS5UUFBTdW1fc3N0LlF0eQoKCgoBOQAAADUAAAAJ3QAAAAneAAAACd8AAAAG4AAAAApDb3N0QW1vdW50BuEAAAAPVFBQIGNvc3QgYW1vdW50BuIAAAAEUmVhbAkIAAAABuQAAAAkNTIzMWZmNTgtMDllMS00ZDBlLTk1YzAtOTdmMTdhOGQ5ZWM2ARv///9T////AQAAAAQAAAABGv///1L///8AAAAAARn///9R////AgAAAAAAAAAAARj///9Q////AAAAAAoBAAAAAAAAAAAEAAAAAAbpAAAAJDMwNTk3YTNmLTQzNzUtNDYzNy05OGQzLWEzMzlmOTc5NjhjZQbqAAAAG1RhYmxlLlRQUFN1bV9zc3QuQ29zdEFtb3VudAoKCgoBOgAAADUAAAAJ6wAAAAnsAAAACe0AAAAG7gAAADdBdGxhc01hbmFnZWRDb2x1bW5fNWZjZTJhMjItYWEwYi00NWNmLWIwMzctY2QyMzY0Zjg0ZDBiBu8AAAAfVFBQIHRyYW5zIGJhY2t3YXJkcyAoQmVnaW5uaW5nKQkIAAAACQgAAAAG8QAAACQyNThmYTZlZS03NDZhLTQyN2YtOWE5ZS04YzA0YzQ1YTQwZGIBDv///1P/////////BQAAAAEN////Uv///wIAAAABDP///1H///8CAAAAAAAAAAABC////1D///8AAAAACgEAAAAAAAAAAAUAAAAABvYAAAAkYjhiMzFiY2UtOGIzMC00M2MyLWFhYjAtODkwYzk3NzM1YzljCQgAAAAKCgoKATsAAAA1AAAACfgAAAAJ+QAAAAn6AAAABvsAAAA3QXRsYXNNYW5hZ2VkQ29sdW1uX2I3M2ZlODc3LWQyOTQtNDU4Yy1iNWU2LWNhZjk1NDY5YmE0Ygb8AAAAHFRQUCB0cmFucyBiYWNrd2FyZHMgKEVuZGluZykJCAAAAAkIAAAABv4AAAAkY2RkYjFkNzQtNGJhZC00YTQzLWIwMGMtOWRlNzUyYTk2YTU5AQH///9T/////////wYAAAABAP///1L///8CAAAAAf/+//9R////AgAAAAAAAAAAAf7+//9Q////AAAAAAoBAAAAAAAAAAAGAAAAAAYDAQAAJDUzYWIyNjg5LTJlNjItNDc3YS05MmI5LWQxNmNiZGRlNjc5NwkIAAAACgoKCgE8AAAANQAAAAkFAQAACQYBAAAJBwEAAAYIAQAAN0F0bGFzTWFuYWdlZENvbHVtbl8wNmFjYjNhMi0yODJlLTQ3NjgtOWMyNC1iM2M4YWVmOWUyYmIGCQEAABdUUFAgT24taGFuZCAoQmVnaW5uaW5nKQkIAAAACQgAAAAGCwEAACRlZWJiOTQ0Zi1hMzRhLTQzNjktOTEwYy01NGNkZGM5MjQzZWMB9P7//1P/////////BwAAAAHz/v//Uv///wIAAAAB8v7//1H///8CAAAAAAAAAAAB8f7//1D///8AAAAACgEAAAAAAAAAAAcAAAAABhABAAAkZDQzOTc0OWYtNzBmNi00MGUwLTk3ZGMtNjMxMGY4MmYzYjY3CQgAAAAKCgoKAT0AAAA1AAAACRIBAAAJEwEAAAkUAQAABhUBAAA3QXRsYXNNYW5hZ2VkQ29sdW1uXzVlZWIyYTY3LTk5OGQtNGM5Mi1hODJkLTgwMGM4M2QzODBlZAYWAQAAFFRQUCBPbi1oYW5kIChFbmRpbmcpCQgAAAAJCAAAAAYYAQAAJDZjMzhkNzliLWJmZWUtNDg1MS05ZGQxLWMwZDU3NjhmOWYwYQHn/v//U/////////8IAAAAAeb+//9S////AgAAAAHl/v//Uf///wIAAAAAAAAAAAHk/v//UP///wAAAAAKAQAAAAAAAAAACAAAAAAGHQEAACQ5NjgxMzg1Mi1jZGFlLTRkYTQtYmQ0YS1kZWUwODY3OWQ5YTcJCAAAAAoKCgoBPgAAADUAAAAJHwEAAAkgAQAACSEBAAAGIgEAADdBdGxhc01hbmFnZWRDb2x1bW5fNzhlMWFjYjAtNDI4MS00ZjI0LWIwMGItZjJiYjZiMmIwNWY5BiMBAAAnVFBQIHRyYW5zIGJhY2t3YXJkcyBiYWxhbmNlIChCZWdpbm5pbmcpCQgAAAAJCAAAAAYlAQAAJGE2MWZjMjkwLWNjMDEtNGU0Ni1hNGE2LTAwOGEwYjI5OTVkNQHa/v//U/////////8JAAAAAdn+//9S////AgAAAAHY/v//Uf///wIAAAAAAAAAAAHX/v//UP///wAAAAAKAQAAAAAAAAAACQAAAAAGKgEAACQ2MTYwZjcwOC0xODZlLTQwY2QtYmNkNy01MTIzYTcwZWZjZTIJCAAAAAoKCgoBPwAAADUAAAAJLAEAAAktAQAACS4BAAAGLwEAADdBdGxhc01hbmFnZWRDb2x1bW5fYTIzNzg2ZTktNDZiNy00ZTdhLWJmY2EtNDMyZWI2MTA0ZTdlBjABAAAkVFBQIHRyYW5zIGJhY2t3YXJkcyBiYWxhbmNlIChFbmRpbmcpCQgAAAAJCAAAAAYyAQAAJGExOWM0MjU4LTQ3NmMtNDUzNS1hZGFmLWMzMzUyNmIzYzM2OAHN/v//U/////////8KAAAAAcz+//9S////AgAAAAHL/v//Uf///wIAAAAAAAAAAAHK/v//UP///wAAAAAKAQAAAAAAAAAACgAAAAAGNwEAACRmZjFmNmYyMy0yNWUxLTRkN2ItYmFhYi1hNTM0NjJiY2RkYzQJCAAAAAoKCgoBQAAAADUAAAAJOQEAAAk6AQAACTsBAAAGPAEAADdBdGxhc01hbmFnZWRDb2x1bW5fZThiZGQ3NjctNDZiYS00ODMzLWIyM2ItZDg1MjI2ODUxM2JhBj0BAAAXVFBQIEJhbGFuY2UgKEJlZ2lubmluZykJCAAAAAkIAAAABj8BAAAkODA4MmU2N2ItYjFmZS00ZTYwLThmMDAtMDAxYjRkYjRkMmYzAcD+//9T/////////wsAAAABv/7//1L///8CAAAAAb7+//9R////AgAAAAAAAAAAAb3+//9Q////AAAAAAoBAAAAAAAAAAALAAAAAAZEAQAAJGY3MzZlYjJhLTk1ZmUtNDYwZS05NWZlLTZiZDQ4MGQwMDNlMgkIAAAACgoKCgFBAAAANQAAAAlGAQAACUcBAAAJSAEAAAZJAQAAN0F0bGFzTWFuYWdlZENvbHVtbl8zZTViOTQzYy05NDJlLTQwNzAtYjcxMy00NWE4ZWVhN2NkOTEGSgEAABRUUFAgQmFsYW5jZSAoRW5kaW5nKQkIAAAACQgAAAAGTAEAACQxYjkwMjAxZi1lMDc3LTQ2MDQtYmE1Ny0wZmYxZGJhYjcyNzEBs/7//1P/////////DAAAAAGy/v//Uv///wIAAAABsf7//1H///8CAAAAAAAAAAABsP7//1D///8AAAAACgEAAAAAAAAAAAwAAAAABlEBAAAkMDZkOWY0NGItNjMzYy00ODcyLWE3ZDYtN2EyODA4MjkxNjU3CQgAAAAKCgoKAXoAAAASAAAAB3s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K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lQBAAAXVGFibGUuVFBQU3VtX3NzdC5JdGVtSWQJVQEAAAGq/v//rf7//wZXAQAAFFRhYmxlLlRQUFN1bV9zc3QuUXR5CVgBAAABp/7//63+//8GWgEAABtUYWJsZS5UUFBTdW1fc3N0LkNvc3RBbW91bnQJWwEAAAd9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p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ZdAQAAF1RhYmxlLlRQUFN1bV9zc3QuSXRlbUlkCV4BAAAHf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of7//9T///8JMAAAAAkxAAAAAZ7+///U////CTMAAAAJNAAAAASA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hQAAACEAAAACAAAACWUBAAADAAAACWYBAAAEh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J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QEAAAAAAAABkgAAACkAAAAAAAAACWkBAAAAAAAABJc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YAAAAIgAAAAEAAAAJEgAAAAMAAAAJawEAAASb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pAAAACkAAAAAAAAACW0BAAAAAAAABKU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W4BAAABAAAAAQAAAAS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QABAAAJbwEAAAcAAAAJcAEAAAS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fwAAAAJZQEAAAcAAAAJcgEAAAGzAAAApQAAAAlzAQAAAQAAAAEAAAABtAAAAKYAAAD4AAAACW8BAAAHAAAACXUBAAAEt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131AAAACWUBAAAHAAAACXcBAAABwQAAAKUAAAAJeAEAAAEAAAABAAAAAcIAAACmAAAA+AAAAAlvAQAABwAAAAl6AQAABM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9QAAAAllAQAABwAAAAl8AQAAAc8AAAClAAAACX0BAAABAAAAAQAAAAHQAAAApgAAAAABAAAJbwEAAAcAAAAJfwEAAAT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fwAAAAJZQEAAAcAAAAJgQEAAAHdAAAApQAAAAmCAQAAAQAAAAEAAAAB3gAAAKYAAAAAAQAACW8BAAAHAAAACYQBAAAE3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138AAAACWUBAAAHAAAACYYBAAAB6wAAAKUAAAAJhwEAAAAAAAAAAAAAAewAAACmAAAA9wAAAAlvAQAABwAAAAmJAQAABO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7gAAAAllAQAABwAAAAmLAQAAAfgAAAClAAAACYcBAAAAAAAAAAAAAAH5AAAApgAAAPcAAAAJbwEAAAcAAAAJjg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4AAAAJZQEAAAcAAAAJkAEAAAEFAQAApQAAAAmHAQAAAAAAAAAAAAABBgEAAKYAAAD2AAAACW8BAAAHAAAACZMBAAAEB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uAAAACWUBAAAHAAAACZUBAAABEgEAAKUAAAAJhwEAAAAAAAAAAAAAARMBAACmAAAA9gAAAAlvAQAABwAAAAmYAQAABB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7gAAAAllAQAABwAAAAmaAQAAAR8BAAClAAAACZsBAAAAAAAAAAAAAAEgAQAApgAAANgAAAAJnAEAAAcAAAAJnQ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IAAAAJngEAAAcAAAAJnwEAAAEsAQAApQAAAAmbAQAAAAAAAAAAAAABLQEAAKYAAADYAAAACZwBAAAHAAAACaIB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SAAAACZ4BAAAHAAAACaQBAAABOQEAAKUAAAAJmwEAAAAAAAAAAAAAAToBAACmAAAA4AAAAAmcAQAABwAAAAmnAQAABD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2QAAAAmeAQAABwAAAAmpAQAAAUYBAAClAAAACZsBAAAAAAAAAAAAAAFHAQAApgAAAOAAAAAJnAEAAAcAAAAJrAEAAAR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kAAAAJngEAAAcAAAAJrgEAAAVV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R/v//U/////////8ABrABAAAGU3RyaW5nBrEBAAALSXRlbSBudW1iZXIJsgEAAAFN/v//Uf///wIAAAAFTP7//zlHbG9iZVNvZnR3YXJlLkF0bGFzNDAuQXRsYXNDb21tb24uTnVtYmVyU2VxdWVuY2VDb25kaXRpb24BAAAAB3ZhbHVlX18ACAIAAAABAAAAAAAGtQEAABBUYWJsZS5UUFBTdW1fc3N0CagAAAAJCAAAAAr/////CbUBAAAKCagAAAAKCgoJCAAAAAm7AQAACQgAAAABWAEAAFUBAAABQ/7//1P///8BAAAAAAa+AQAABFJlYWwGvwEAAAhRdWFudGl0eQmyAQAAAT/+//9R////AgAAAAE+/v//TP7//wEAAAAAAAm1AQAACdIAAAAJCAAAAAr/////CbUBAAAKCdIAAAAKCgoJCAAAAAnJAQAACQgAAAABWwEAAFUBAAABNf7//1P///8BAAAAAAbMAQAABFJlYWwGzQEAAA9UUFAgY29zdCBhbW91bnQJsgEAAAEx/v//Uf///wIAAAABMP7//0z+//8BAAAAAAAJtQEAAAngAAAACQgAAAAK/////wm1AQAACgngAAAACgoKCQgAAAAJ1wEAAAkIAAAABV4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bZAQAAEFRhYmxlLlRQUFN1bV9zc3QG2gEAAAZJdGVtSWQJCAAAAAbcAQAAASr/////CdkBAAAKCdoBAAAKCgoJCAAAAAngAQAACQgAAAABZQEAABIAAAAHZg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v7//63+//8G4wEAADlUYWJsZS5UUFBTdW1fc3N0LkludmVudERpbUlkflRhYmxlLkludmVudERpbS5JbnZlbnRTaXRlSWQJ5AEAAAEb/v//rf7//wbmAQAAPVRhYmxlLlRQUFN1bV9zc3QuSW52ZW50RGltSWR+VGFibGUuSW52ZW50RGltLkludmVudExvY2F0aW9uSWQJ5wEAAAFpAQAAgAAAAAdr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GP7//6T+//8G6QEAADJUYWJsZS5UUFBTdW1fc3N0Lkl0ZW1JZH5UYWJsZS5JbnZlbnRUYWJsZS5JdGVtVHlwZQnqAQAAAW0BAACAAAAAB24BAAAAAQAAAAQAAAAEN0dsb2JlU29mdHdhcmUuQXRsYXM0MC5BdGxhc0NvbW1vbi5UeXBlLkZpZWxkT3V0cHV0RmllbGQCAAAACVUBAAANAwRv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w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F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T/v//Mkdsb2JlU29mdHdhcmUuQXRsYXM0MC5BdGxhc0NvbW1vbi5Db2x1bW5BdHRyaWJ1dGVzAQAAAAd2YWx1ZV9fAAgCAAAAEAAAAAbuAQAABE5vbmUBEf7//xT+//8BEP7//xP+//8JAAAACQgAAAABDv7//xT+//8BDf7//xP+//8LAAAABvQBAAABMAEL/v//FP7//wEK/v//E/7//wQAAAAG9wEAAAdHZW5lcmFsAQj+//8U/v//AQf+//8T/v//AgAAAAb6AQAAATEBBf7//xT+//8BBP7//xP+//8AAAAABv0BAAAFMTQuNzEHc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C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v8BAAAIRm9udEJvbGQGAAIAAAVGYWxzZQH//f//Av7//wYCAgAACkZvbnRJdGFsaWMJAAIAAAH8/f//Av7//wYFAgAADUZvbnRVbmRlcmxpbmUGBgIAAAUtNDE0MgH5/f//Av7//wYIAgAACEZvbnROYW1lBgkCAAAHQ2FsaWJyaQH2/f//Av7//wYLAgAACUZvbnRDb2xvcgYMAgAAATAB8/3//wL+//8GDgIAAAhGb250U2l6ZQYPAgAAAjExAfD9//8C/v//BhECAAAJRm9udFN0eWxlBhICAAAHUmVndWxhcgdzAQAAAAEAAAAEAAAABDdHbG9iZVNvZnR3YXJlLkF0bGFzNDAuQXRsYXNDb21tb24uVHlwZS5GaWVsZE91dHB1dEZpZWxkAgAAAAnkAQAADQMHd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z9//8U/v//Aev9//8T/v//CQAAAAkIAAAAAen9//8U/v//Aej9//8T/v//CwAAAAYZAgAAATEB5v3//xT+//8B5f3//xP+//8EAAAABhwCAAAHR2VuZXJhbAHj/f//FP7//wHi/f//E/7//wIAAAAGHwIAAAExAeD9//8U/v//Ad/9//8T/v//AAAAAAYiAgAAATYHd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d/f//Av7//wn/AQAACQACAAAB2v3//wL+//8JAgIAAAkAAgAAAdf9//8C/v//CQUCAAAGKwIAAAUtNDE0MgHU/f//Av7//wkIAgAABi4CAAAHQ2FsaWJyaQHR/f//Av7//wkLAgAABjECAAABMAHO/f//Av7//wkOAgAABjQCAAACMTEBy/3//wL+//8JEQIAAAY3AgAAB1JlZ3VsYXIHeAEAAAABAAAABAAAAAQ3R2xvYmVTb2Z0d2FyZS5BdGxhczQwLkF0bGFzQ29tbW9uLlR5cGUuRmllbGRPdXRwdXRGaWVsZAIAAAAJ5wEAAA0DB3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H/f//FP7//wHG/f//E/7//wkAAAAJCAAAAAHE/f//FP7//wHD/f//E/7//wsAAAAGPgIAAAEyAcH9//8U/v//AcD9//8T/v//BAAAAAZBAgAAB0dlbmVyYWwBvv3//xT+//8Bvf3//xP+//8CAAAABkQCAAABMQG7/f//FP7//wG6/f//E/7//wAAAAAGRwIAAAUxMi44Ngd8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9//8C/v//Cf8BAAAJAAIAAAG1/f//Av7//wkCAgAACQACAAABsv3//wL+//8JBQIAAAZQAgAABS00MTQyAa/9//8C/v//CQgCAAAGUwIAAAdDYWxpYnJpAaz9//8C/v//CQsCAAAGVgIAAAEwAan9//8C/v//CQ4CAAAGWQIAAAIxMQGm/f//Av7//wkRAgAABlwCAAAHUmVndWxhcgd9AQAAAAEAAAAEAAAABDdHbG9iZVNvZnR3YXJlLkF0bGFzNDAuQXRsYXNDb21tb24uVHlwZS5GaWVsZE91dHB1dEZpZWxkAgAAAAlYAQAADQMHf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L9//8U/v//AaH9//8T/v//EAAAAAnuAQAAAZ/9//8U/v//AZ79//8T/v//CQAAAAkIAAAAAZz9//8U/v//AZv9//8T/v//CwAAAAZmAgAAATMBmf3//xT+//8BmP3//xP+//8EAAAABmkCAAAHR2VuZXJhbAGW/f//FP7//wGV/f//E/7//wIAAAAGbAIAAAExAZP9//8U/v//AZL9//8T/v//AAAAAAZvAgAABTEwLjI5B4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3//wL+//8J/wEAAAkAAgAAAY39//8C/v//CQICAAAJAAIAAAGK/f//Av7//wkFAgAABngCAAAFLTQxNDIBh/3//wL+//8JCAIAAAZ7AgAAB0NhbGlicmkBhP3//wL+//8JCwIAAAZ+AgAAATABgf3//wL+//8JDgIAAAaBAgAAAjExAX79//8C/v//CRECAAAGhAIAAAdSZWd1bGFyB4IBAAAAAQAAAAQAAAAEN0dsb2JlU29mdHdhcmUuQXRsYXM0MC5BdGxhc0NvbW1vbi5UeXBlLkZpZWxkT3V0cHV0RmllbGQCAAAACVsBAAANAwe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v3//xT+//8Bef3//xP+//8QAAAACe4BAAABd/3//xT+//8Bdv3//xP+//8JAAAACQgAAAABdP3//xT+//8Bc/3//xP+//8LAAAABo4CAAABNAFx/f//FP7//wFw/f//E/7//wQAAAAGkQIAAAdHZW5lcmFsAW79//8U/v//AW39//8T/v//AgAAAAaUAgAAATEBa/3//xT+//8Bav3//xP+//8AAAAABpcCAAAFMTcuMjkHh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f//Av7//wn/AQAACQACAAABZf3//wL+//8JAgIAAAkAAgAAAWL9//8C/v//CQUCAAAGoAIAAAUtNDE0MgFf/f//Av7//wkIAgAABqMCAAAHQ2FsaWJyaQFc/f//Av7//wkLAgAABqYCAAABMAFZ/f//Av7//wkOAgAABqkCAAACMTEBVv3//wL+//8JEQIAAAasAgAAB1JlZ3VsYXIHhwEAAAABAAAAAAAAAAQ3R2xvYmVTb2Z0d2FyZS5BdGxhczQwLkF0bGFzQ29tbW9uLlR5cGUuRmllbGRPdXRwdXRGaWVsZAIAAAAHi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P9//8U/v//AVL9//8T/v//JAAAAAnvAAAAAVD9//8U/v//AU/9//8T/v//CwAAAAayAgAAATUBTf3//xT+//8BTP3//xP+//8EAAAABrUCAAAHR2VuZXJhbAFK/f//FP7//wFJ/f//E/7//wIAAAAGuAIAAAExAUf9//8U/v//AUb9//8T/v//AAAAAAa7AgAAAjMyAUT9//8U/v//AUP9//8T/v//AwAAAAa+AgAAxgE9QXRsYXNCYWxhbmNlKCJQUk9EIixEYXRhQXJlYUlkLCJULlRQUFRyYW5zX3NzdHxJbnZlbnREaW1JZH5pbnZlbnREaW1JZEBULkludmVudERpbSIsIlN1bXxRdHl8MCIsIiIsIiIsIiIsIiIsIiIsIiIsIkl0ZW1JZHxUcmFuc0RhdGV8VDIuSW52ZW50U2l0ZUlkfFQyLkludmVudExvY2F0aW9uSWQiLCRBMyxQZXJpb2RCZWdpbm5pbmcsJEIzLCRDMykHi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f//Av7//wbAAgAACEZvbnRCb2xkCQACAAABPv3//wL+//8GwwIAAApGb250SXRhbGljCQACAAABO/3//wL+//8GxgIAAA1Gb250VW5kZXJsaW5lBscCAAAFLTQxNDIBOP3//wL+//8GyQIAAAhGb250TmFtZQbKAgAAB0NhbGlicmkBNf3//wL+//8GzAIAAAlGb250Q29sb3IGzQIAAAEwATL9//8C/v//Bs8CAAAIRm9udFNpemUG0AIAAAIxMQEv/f//Av7//wbSAgAACUZvbnRTdHlsZQbTAgAAB1JlZ3VsYXIHj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z9//8U/v//ASv9//8T/v//JAAAAAn8AAAAASn9//8U/v//ASj9//8T/v//CwAAAAbZAgAAATYBJv3//xT+//8BJf3//xP+//8EAAAABtwCAAAHR2VuZXJhbAEj/f//FP7//wEi/f//E/7//wIAAAAG3wIAAAExASD9//8U/v//AR/9//8T/v//AAAAAAbiAgAAAjI5AR39//8U/v//ARz9//8T/v//AwAAAAblAgAAwwE9QXRsYXNCYWxhbmNlKCJQUk9EIixEYXRhQXJlYUlkLCJULlRQUFRyYW5zX3NzdHxJbnZlbnREaW1JZH5pbnZlbnREaW1JZEBULkludmVudERpbSIsIlN1bXxRdHl8MCIsIiIsIiIsIiIsIiIsIiIsIiIsIkl0ZW1JZHxUcmFuc0RhdGV8VDIuSW52ZW50U2l0ZUlkfFQyLkludmVudExvY2F0aW9uSWQiLCRBMyxQZXJpb2RFbmRpbmcsJEIzLCRDMykHk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Av7//wnAAgAACQACAAABF/3//wL+//8JwwIAAAkAAgAAART9//8C/v//CcYCAAAG7gIAAAUtNDE0MgER/f//Av7//wnJAgAABvECAAAHQ2FsaWJyaQEO/f//Av7//wnMAgAABvQCAAABMAEL/f//Av7//wnPAgAABvcCAAACMTEBCP3//wL+//8J0gIAAAb6AgAAB1JlZ3VsYXIHk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X9//8U/v//AQT9//8T/v//JAAAAAkJAQAAAQL9//8U/v//AQH9//8T/v//CwAAAAYAAwAAATcB//z//xT+//8B/vz//xP+//8EAAAABgMDAAAHR2VuZXJhbAH8/P//FP7//wH7/P//E/7//wIAAAAGBgMAAAExAfn8//8U/v//Afj8//8T/v//AAAAAAYJAwAABTI1LjE0Afb8//8U/v//AfX8//8T/v//AwAAAAYMAwAAMT1bQFF1YW50aXR5XS1bQFtUUFAgdHJhbnMgYmFja3dhcmRzIChCZWdpbm5pbmcpXV0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/P//Av7//wnAAgAACQACAAAB8Pz//wL+//8JwwIAAAkAAgAAAe38//8C/v//CcYCAAAGFQMAAAUtNDE0MgHq/P//Av7//wnJAgAABhgDAAAHQ2FsaWJyaQHn/P//Av7//wnMAgAABhsDAAABMAHk/P//Av7//wnPAgAABh4DAAACMTEB4fz//wL+//8J0gIAAAYhAwAAB1JlZ3VsYXIHm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78//8U/v//Ad38//8T/v//JAAAAAkWAQAAAdv8//8U/v//Adr8//8T/v//CwAAAAYnAwAAATgB2Pz//xT+//8B1/z//xP+//8EAAAABioDAAAHR2VuZXJhbAHV/P//FP7//wHU/P//E/7//wIAAAAGLQMAAAExAdL8//8U/v//AdH8//8T/v//AAAAAAYwAwAABTIyLjE0Ac/8//8U/v//Ac78//8T/v//AwAAAAYzAwAALj1bQFF1YW50aXR5XS1bQFtUUFAgdHJhbnMgYmFja3dhcmRzIChFbmRpbmcpXV0Hm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/P//Av7//wnAAgAACQACAAAByfz//wL+//8JwwIAAAkAAgAAAcb8//8C/v//CcYCAAAGPAMAAAUtNDE0MgHD/P//Av7//wnJAgAABj8DAAAHQ2FsaWJyaQHA/P//Av7//wnMAgAABkIDAAABMAG9/P//Av7//wnPAgAABkUDAAACMTEBuvz//wL+//8J0gIAAAZIAwAAB1JlZ3VsYXIHmwEAAAABAAAAAAAAAAQ3R2xvYmVTb2Z0d2FyZS5BdGxhczQwLkF0bGFzQ29tbW9uLlR5cGUuRmllbGRPdXRwdXRGaWVsZAIAAAABnAEAAG8BAAAHn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f8//8U/v//Abb8//8T/v//JAAAAAkjAQAAAbT8//8U/v//AbP8//8T/v//CwAAAAZOAwAAATkBsfz//xT+//8BsPz//xP+//8EAAAABlEDAAAHR2VuZXJhbAGu/P//FP7//wGt/P//E/7//wIAAAAGVAMAAAExAav8//8U/v//Aar8//8T/v//AAAAAAZXAwAABTM5LjI5Aaj8//8U/v//Aaf8//8T/v//AwAAAAZaAwAAzQE9QXRsYXNCYWxhbmNlKCJQUk9EIixEYXRhQXJlYUlkLCJULlRQUFRyYW5zX3NzdHxJbnZlbnREaW1JZH5pbnZlbnREaW1JZEBULkludmVudERpbSIsIlN1bXxDb3N0QW1vdW50fDAiLCIiLCIiLCIiLCIiLCIiLCIiLCJJdGVtSWR8VHJhbnNEYXRlfFQyLkludmVudFNpdGVJZHxUMi5JbnZlbnRMb2NhdGlvbklkIiwkQTMsUGVyaW9kQmVnaW5uaW5nLCRCMywkQzMpAZ4BAAASAAAAB58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z//wL+//8GXAMAAAhGb250Qm9sZAkAAgAAAaL8//8C/v//Bl8DAAAKRm9udEl0YWxpYwkAAgAAAZ/8//8C/v//BmIDAAANRm9udFVuZGVybGluZQZjAwAABS00MTQyAZz8//8C/v//BmUDAAAIRm9udE5hbWUGZgMAAAdDYWxpYnJpAZn8//8C/v//BmgDAAAJRm9udENvbG9yBmkDAAABMAGW/P//Av7//wZrAwAACEZvbnRTaXplBmwDAAACMTEBk/z//wL+//8GbgMAAAlGb250U3R5bGUGbwMAAAdSZWd1bGFyB6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Q/P//FP7//wGP/P//E/7//yQAAAAJMAEAAAGN/P//FP7//wGM/P//E/7//wsAAAAGdQMAAAIxMAGK/P//FP7//wGJ/P//E/7//wQAAAAGeAMAAAdHZW5lcmFsAYf8//8U/v//AYb8//8T/v//AgAAAAZ7AwAAATEBhPz//xT+//8Bg/z//xP+//8AAAAABn4DAAAFMzYuNDMBgfz//xT+//8BgPz//xP+//8DAAAABoEDAADKAT1BdGxhc0JhbGFuY2UoIlBST0QiLERhdGFBcmVhSWQsIlQuVFBQVHJhbnNfc3N0fEludmVudERpbUlkfmludmVudERpbUlkQFQuSW52ZW50RGltIiwiU3VtfENvc3RBbW91bnR8MCIsIiIsIiIsIiIsIiIsIiIsIiIsIkl0ZW1JZHxUcmFuc0RhdGV8VDIuSW52ZW50U2l0ZUlkfFQyLkludmVudExvY2F0aW9uSWQiLCRBMyxQZXJpb2RFbmRpbmcsJEIzLCRDMyk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/P//Av7//wlcAwAACQACAAABe/z//wL+//8JXwMAAAkAAgAAAXj8//8C/v//CWIDAAAGigMAAAUtNDE0MgF1/P//Av7//wllAwAABo0DAAAHQ2FsaWJyaQFy/P//Av7//wloAwAABpADAAABMAFv/P//Av7//wlrAwAABpMDAAACMTEBbPz//wL+//8JbgMAAAaWAwAAB1JlZ3VsYXI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n8//8U/v//AWj8//8T/v//JAAAAAk9AQAAAWb8//8U/v//AWX8//8T/v//CwAAAAacAwAAAjExAWP8//8U/v//AWL8//8T/v//BAAAAAafAwAAB0dlbmVyYWwBYPz//xT+//8BX/z//xP+//8CAAAABqIDAAABMQFd/P//FP7//wFc/P//E/7//wAAAAAGpQMAAAUyNC4yOQFa/P//FP7//wFZ/P//E/7//wMAAAAGqAMAAEI9W0BbVFBQIGNvc3QgYW1vdW50XV0tW0BbVFBQIHRyYW5zIGJhY2t3YXJkcyBiYWxhbmNlIChCZWdpbm5pbmcpXV0Hq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/P//Av7//wlcAwAACQACAAABVPz//wL+//8JXwMAAAkAAgAAAVH8//8C/v//CWIDAAAGsQMAAAUtNDE0MgFO/P//Av7//wllAwAABrQDAAAHQ2FsaWJyaQFL/P//Av7//wloAwAABrcDAAABMAFI/P//Av7//wlrAwAABroDAAACMTEBRfz//wL+//8JbgMAAAa9AwAAB1JlZ3VsYXIHr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L8//8U/v//AUH8//8T/v//JAAAAAlKAQAAAT/8//8U/v//AT78//8T/v//CwAAAAbDAwAAAjEyATz8//8U/v//ATv8//8T/v//BAAAAAbGAwAAB0dlbmVyYWwBOfz//xT+//8BOPz//xP+//8CAAAABskDAAABMQE2/P//FP7//wE1/P//E/7//wAAAAAGzAMAAAUyMS4yOQEz/P//FP7//wEy/P//E/7//wMAAAAGzwMAAD89W0BbVFBQIGNvc3QgYW1vdW50XV0tW0BbVFBQIHRyYW5zIGJhY2t3YXJkcyBiYWxhbmNlIChFbmRpbmcpXV0Hr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P//Av7//wlcAwAACQACAAABLfz//wL+//8JXwMAAAkAAgAAASr8//8C/v//CWIDAAAG2AMAAAUtNDE0MgEn/P//Av7//wllAwAABtsDAAAHQ2FsaWJyaQEk/P//Av7//wloAwAABt4DAAABMAEh/P//Av7//wlrAwAABuEDAAACMTEBHvz//wL+//8JbgMAAAbkAwAAB1JlZ3VsYXIBsgEAAA4AAAAFnQAABuUDAAAKVFBQU3VtX3NzdAbmAwAAC1RQUCBzdW1tYXJ5CQgAAAAJCAAAAAkIAAAAARj8///g////AAAAAAnpAwAACeoDAAABFfz//93///9474t5KEGIRJLudDjfptVWCQgAAAAJCAAAAAntAwAACbUBAAAKCgoKCgEAAAABEfz//9n///8AAAAAARD8///Y////AAAAAAAJ8QMAAAS7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ZQEAAAMAAAAJ8wMAAAT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ZQEAAAMAAAAJ9QMAAAT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ZQEAAAMAAAAJ9wMAAATg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EgAAAAMAAAAJ+QMAAAHkAQAAVQEAAAEG/P//U/////////8ABvsDAAAGU3RyaW5nBvwDAAAEU2l0ZQkxAAAAAQL8//9R////AgAAAAEB/P//TP7//wEAAAAAAAkwAAAACbYAAAAJCAAAAAr/////CTAAAAAKCbYAAAAGBQQAAAtJbnZlbnREaW1JZAYGBAAAClRQUFN1bV9zc3QKCQgAAAAJCAQAAAkIAAAAAecBAABVAQAAAfb7//9T/////////wAGCwQAAAZTdHJpbmcGDAQAAAlXYXJlaG91c2UJMQAAAAHy+///Uf///wIAAAAB8fv//0z+//8BAAAAAAAJMAAAAAnEAAAACQgAAAAK/////wkwAAAACgnEAAAABhUEAAALSW52ZW50RGltSWQGFgQAAApUUFBTdW1fc3N0CgkIAAAACRgEAAAJCAAAAAHqAQAAXgEAAAkzAAAABhsEAAAISXRlbVR5cGUJCAAAAAYdBAAACCFTZXJ2aWNl/////wkzAAAACgkbBAAABiAEAAAGSXRlbUlkCgoJCAAAAAkiBAAACQgAAAAB6QMAACEAAAAEAAAACSQEAAAHAAAACSUEAAAE6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kBAAAAAAAAATt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AQAAAAAAAAB8QMAACkAAAAAAAAACScEAAAAAAAAB/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v//wL+//8GKQQAAAhIZWxwVGV4dAYqBAAADklkZW50aWZ5IGl0ZW0uAdX7//8C/v//BiwEAAAFTGFiZWwJsQEAAAHS+///Av7//wYvBAAABFR5cGUJsAEAAAf1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7//8C/v//CSkEAAAGMwQAACRRdWFudGl0eSBhdHRhY2hlZCB0byB0aGUgdHJhbnNhY3Rpb24BzPv//wL+//8JLAQAAAm/AQAAAcn7//8C/v//CS8EAAAJvgEAAAf3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7//8C/v//CSkEAAAGPAQAABBUUFAgY29zdCBhbW91bnQuAcP7//8C/v//CSwEAAAJzQEAAAHA+///Av7//wkvBAAACcwBAAAH+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+///Av7//wZEBAAABFR5cGUJsAEAAAG6+///Av7//wZHBAAABUxhYmVsCbEBAAABt/v//wL+//8GSgQAAAhSZWZlcnNUbwZLBAAACz1JdGVtTnVtYmVyBA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AAAAAllAQAAAwAAAAlNBAAABB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AAAAAllAQAAAwAAAAlPBAAABC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SAAAAAwAAAAlRBAAAASQEAAASAAAAByUE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77//+t/v//BlMEAAAcVGFibGUuVFBQU3VtX3NzdC5JbnZlbnREaW1JZAlUBAAAAav7//+t/v//BlYEAAAXVGFibGUuVFBQU3VtX3NzdC5JdGVtSWQJVQEAAAGo+///rf7//wZZBAAAFFRhYmxlLlRQUFN1bV9zc3QuUXR5CVgBAAABpfv//63+//8GXAQAABtUYWJsZS5UUFBTdW1fc3N0LkNvc3RBbW91bnQJWwEAAAEnBAAAgAAAAAdN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L7//8C/v//CSwEAAAJ/AMAAAGf+///Av7//wkvBAAACfsDAAAHT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c+///Av7//wksBAAACQwEAAABmfv//wL+//8JLwQAAAkLBAAAB1E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v//wL+//8JRAQAAAZsBAAABEVudW0Bk/v//wL+//8JRwQAAAZvBAAACUl0ZW0gdHlwZQGQ+///Av7//wlKBAAABnIEAAAJPUl0ZW1UeXBlAVQEAABVAQAAAY37//9T/////////wAGdAQAAAZTdHJpbmcGdQQAAA1EaW1lbnNpb24gTm8uCbIBAAABifv//1H///8CAAAAAYj7//9M/v//AQAAAAAACbUBAAAGegQAAAtJbnZlbnREaW1JZAkIAAAACv////8JtQEAAAoJegQAAAoKCgkIAAAACX8EAAAJCAAAAAR/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kAAAAJZQEAAAMAAAAJggQAAAeC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37//8C/v//CSkEAAAGhQQAACpJZGVudGlmaWNhdGlvbiBvZiBkaW1lbnNpb25zIGZvciB0aGUgaXRlbS4Bevv//wL+//8JLAQAAAl1BAAAAXf7//8C/v//CS8EAAAJdAQAAAs=
    <Output>
      <OutputObject name="AtlasReport_4"/>
    </Output>
  </Query>
</Atlas>
</file>

<file path=customXml/item6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Y0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NAAAAD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NAwwh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EAAAAIAgAAAAYiAAAAFUF0bGFzUmVwb3J0XzRfVGFibGVfMQkj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hAAAACAgJJA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UAAAAJJgAAAAknAAAABigAAAAGSXRlbUlkBikAAAALSXRlbSBudW1iZXIGKgAAAAZTdHJpbmcGKwAAAAAGLAAAACQ4MzFiZWI4MS00ZjQxLTQzMGEtOWM0Ny1lMDYwMWQzOTE0ZmQF0////y1HbG9iZVNvZnR3YXJlLkF0bGFzNDAuQXRsYXNDb21tb24uQWdncmVnYXRpb24BAAAAB3ZhbHVlX18ACA4AAAD/////AAAAAAXS////LEdsb2JlU29mdHdhcmUuQXRsYXM0MC5BdGxhc0NvbW1vbi5Db2x1bW5UeXBlAQAAAAd2YWx1ZV9fAAgOAAAAAAAAAAXR////K0dsb2JlU29mdHdhcmUuQXRsYXM0MC5BdGxhc0NvbW1vbi5Tb3J0T3JkZXIBAAAAB3ZhbHVlX18ACA4AAAACAAAAAAAAAAAF0P///0BHbG9iZVNvZnR3YXJlLkF0bGFzNDAuQXRsYXNDb21tb24uVHlwZS5Db2x1bW4rQ3Jvc3NUYWJDb2x1bW5UeXBlAQAAAAd2YWx1ZV9fAAgOAAAAAAAAAAoBAAAAAAAAAAAAAAAAAAYxAAAAJGQ3ZTJjYTMxLTQ2OWEtNDJkNy05YmU2LTk0MWZmOWExMWNmZAYyAAAAF1RhYmxlLlRQUFN1bV9zc3QuSXRlbUlkCgoKCgEVAAAAFAAAAAkzAAAACTQAAAAJNQAAAAY2AAAADEludmVudFNpdGVJZAY3AAAABFNpdGUGOAAAAAZTdHJpbmcJKwAAAAY6AAAAJDA2MzAxN2RmLWZiYzYtNDVhNC1hOTgzLThmMDdlNmQ1MWI2YwHF////0/////////8BAAAAAcT////S////AAAAAAHD////0f///wIAAAAAAAAAAAHC////0P///wAAAAAKAQAAAAAAAAAAAQAAAAAGPwAAACRlNDc4MmI0Ny0xMDhkLTQ0NzctOWM5My0yYjA0YmFlNTNjNzYGQAAAADlUYWJsZS5UUFBTdW1fc3N0LkludmVudERpbUlkflRhYmxlLkludmVudERpbS5JbnZlbnRTaXRlSWQKCgoKARYAAAAUAAAACUEAAAAJQgAAAAlDAAAABkQAAAAQSW52ZW50TG9jYXRpb25JZAZFAAAACVdhcmVob3VzZQZGAAAABlN0cmluZwkrAAAABkgAAAAkMDhlNDJlYTEtNmRmNS00NDkzLTgyZDQtMDIyMWY1NzVjM2Y4Abf////T/////////wIAAAABtv///9L///8AAAAAAbX////R////AgAAAAAAAAAAAbT////Q////AAAAAAoBAAAAAAAAAAACAAAAAAZNAAAAJDkzOTljMDdhLWNmMDgtNDlkZC1iZjY5LWQ4MTBiNGZmMjZiYgZOAAAAPVRhYmxlLlRQUFN1bV9zc3QuSW52ZW50RGltSWR+VGFibGUuSW52ZW50RGltLkludmVudExvY2F0aW9uSWQKCgoKARcAAAAUAAAACU8AAAAJUAAAAAlRAAAABlIAAAADUXR5BlMAAAAIUXVhbnRpdHkGVAAAAARSZWFsCSsAAAAGVgAAACRmNTMwYTdmMC03ZGU1LTRlYzItOGIwYi0yZGI5ZTExNWExOTcBqf///9P///8BAAAAAwAAAAGo////0v///wAAAAABp////9H///8CAAAAAAAAAAABpv///9D///8AAAAACgEAAAAAAAAAAAMAAAAABlsAAAAkMmJjMjdhODktY2Q1Ni00NThkLWIzMDAtYzE4MjY4NWY4YWEyBlwAAAAUVGFibGUuVFBQU3VtX3NzdC5RdHkKCgoKARgAAAAUAAAACV0AAAAJXgAAAAlfAAAABmAAAAAKQ29zdEFtb3VudAZhAAAAD1RQUCBjb3N0IGFtb3VudAZiAAAABFJlYWwJKwAAAAZkAAAAJDUyMzFmZjU4LTA5ZTEtNGQwZS05NWMwLTk3ZjE3YThkOWVjNgGb////0////wEAAAAEAAAAAZr////S////AAAAAAGZ////0f///wIAAAAAAAAAAAGY////0P///wAAAAAKAQAAAAAAAAAABAAAAAAGaQAAACQzMDU5N2EzZi00Mzc1LTQ2MzctOThkMy1hMzM5Zjk3OTY4Y2UGagAAABtUYWJsZS5UUFBTdW1fc3N0LkNvc3RBbW91bnQKCgoKARkAAAAUAAAACWsAAAAJbAAAAAltAAAABm4AAAA3QXRsYXNNYW5hZ2VkQ29sdW1uXzVmY2UyYTIyLWFhMGItNDVjZi1iMDM3LWNkMjM2NGY4NGQwYgZvAAAAH1RQUCB0cmFucyBiYWNrd2FyZHMgKEJlZ2lubmluZykJKwAAAAkrAAAABnEAAAAkMjU4ZmE2ZWUtNzQ2YS00MjdmLTlhOWUtOGMwNGM0NWE0MGRiAY7////T/////////wUAAAABjf///9L///8CAAAAAYz////R////AgAAAAAAAAAAAYv////Q////AAAAAAoBAAAAAAAAAAAFAAAAAAZ2AAAAJGI4YjMxYmNlLThiMzAtNDNjMi1hYWIwLTg5MGM5NzczNWM5YwkrAAAACgoKCgEaAAAAFAAAAAl4AAAACXkAAAAJegAAAAZ7AAAAN0F0bGFzTWFuYWdlZENvbHVtbl9iNzNmZTg3Ny1kMjk0LTQ1OGMtYjVlNi1jYWY5NTQ2OWJhNGIGfAAAABxUUFAgdHJhbnMgYmFja3dhcmRzIChFbmRpbmcpCSsAAAAJKwAAAAZ+AAAAJGNkZGIxZDc0LTRiYWQtNGE0My1iMDBjLTlkZTc1MmE5NmE1OQGB////0/////////8GAAAAAYD////S////AgAAAAF/////0f///wIAAAAAAAAAAAF+////0P///wAAAAAKAQAAAAAAAAAABgAAAAAGgwAAACQ1M2FiMjY4OS0yZTYyLTQ3N2EtOTJiOS1kMTZjYmRkZTY3OTcJKwAAAAoKCgoBGwAAABQAAAAJhQAAAAmGAAAACYcAAAAGiAAAADdBdGxhc01hbmFnZWRDb2x1bW5fMDZhY2IzYTItMjgyZS00NzY4LTljMjQtYjNjOGFlZjllMmJiBokAAAAXVFBQIE9uLWhhbmQgKEJlZ2lubmluZykJKwAAAAkrAAAABosAAAAkZWViYjk0NGYtYTM0YS00MzY5LTkxMGMtNTRjZGRjOTI0M2VjAXT////T/////////wcAAAABc////9L///8CAAAAAXL////R////AgAAAAAAAAAAAXH////Q////AAAAAAoBAAAAAAAAAAAHAAAAAAaQAAAAJGQ0Mzk3NDlmLTcwZjYtNDBlMC05N2RjLTYzMTBmODJmM2I2NwkrAAAACgoKCgEcAAAAFAAAAAmSAAAACZMAAAAJlAAAAAaVAAAAN0F0bGFzTWFuYWdlZENvbHVtbl81ZWViMmE2Ny05OThkLTRjOTItYTgyZC04MDBjODNkMzgwZWQGlgAAABRUUFAgT24taGFuZCAoRW5kaW5nKQkrAAAACSsAAAAGmAAAACQ2YzM4ZDc5Yi1iZmVlLTQ4NTEtOWRkMS1jMGQ1NzY4ZjlmMGEBZ////9P/////////CAAAAAFm////0v///wIAAAABZf///9H///8CAAAAAAAAAAABZP///9D///8AAAAACgEAAAAAAAAAAAgAAAAABp0AAAAkOTY4MTM4NTItY2RhZS00ZGE0LWJkNGEtZGVlMDg2NzlkOWE3CSsAAAAKCgoKAR0AAAAUAAAACZ8AAAAJoAAAAAmhAAAABqIAAAA3QXRsYXNNYW5hZ2VkQ29sdW1uXzc4ZTFhY2IwLTQyODEtNGYyNC1iMDBiLWYyYmI2YjJiMDVmOQajAAAAJ1RQUCB0cmFucyBiYWNrd2FyZHMgYmFsYW5jZSAoQmVnaW5uaW5nKQkrAAAACSsAAAAGpQAAACRhNjFmYzI5MC1jYzAxLTRlNDYtYTRhNi0wMDhhMGIyOTk1ZDUBWv///9P/////////CQAAAAFZ////0v///wIAAAABWP///9H///8CAAAAAAAAAAABV////9D///8AAAAACgEAAAAAAAAAAAkAAAAABqoAAAAkNjE2MGY3MDgtMTg2ZS00MGNkLWJjZDctNTEyM2E3MGVmY2UyCSsAAAAKCgoKAR4AAAAUAAAACawAAAAJrQAAAAmuAAAABq8AAAA3QXRsYXNNYW5hZ2VkQ29sdW1uX2EyMzc4NmU5LTQ2YjctNGU3YS1iZmNhLTQzMmViNjEwNGU3ZQawAAAAJFRQUCB0cmFucyBiYWNrd2FyZHMgYmFsYW5jZSAoRW5kaW5nKQkrAAAACSsAAAAGsgAAACRhMTljNDI1OC00NzZjLTQ1MzUtYWRhZi1jMzM1MjZiM2MzNjgBTf///9P/////////CgAAAAFM////0v///wIAAAABS////9H///8CAAAAAAAAAAABSv///9D///8AAAAACgEAAAAAAAAAAAoAAAAABrcAAAAkZmYxZjZmMjMtMjVlMS00ZDdiLWJhYWItYTUzNDYyYmNkZGM0CSsAAAAKCgoKAR8AAAAUAAAACbkAAAAJugAAAAm7AAAABrwAAAA3QXRsYXNNYW5hZ2VkQ29sdW1uX2U4YmRkNzY3LTQ2YmEtNDgzMy1iMjNiLWQ4NTIyNjg1MTNiYQa9AAAAF1RQUCBCYWxhbmNlIChCZWdpbm5pbmcpCSsAAAAJKwAAAAa/AAAAJDgwODJlNjdiLWIxZmUtNGU2MC04ZjAwLTAwMWI0ZGI0ZDJmMwFA////0/////////8LAAAAAT/////S////AgAAAAE+////0f///wIAAAAAAAAAAAE9////0P///wAAAAAKAQAAAAAAAAAACwAAAAAGxAAAACRmNzM2ZWIyYS05NWZlLTQ2MGUtOTVmZS02YmQ0ODBkMDAzZTIJKwAAAAoKCgoBIAAAABQAAAAJxgAAAAnHAAAACcgAAAAGyQAAADdBdGxhc01hbmFnZWRDb2x1bW5fM2U1Yjk0M2MtOTQyZS00MDcwLWI3MTMtNDVhOGVlYTdjZDkxBsoAAAAUVFBQIEJhbGFuY2UgKEVuZGluZykJKwAAAAkrAAAABswAAAAkMWI5MDIwMWYtZTA3Ny00NjA0LWJhNTctMGZmMWRiYWI3MjcxATP////T/////////wwAAAABMv///9L///8CAAAAATH////R////AgAAAAAAAAAAATD////Q////AAAAAAoBAAAAAAAAAAAMAAAAAAbRAAAAJDA2ZDlmNDRiLTYzM2MtNDg3Mi1hN2Q2LTdhMjgwODI5MTY1NwkrAAAACgoKCgUjAAAAOEdsb2JlU29mdHdhcmUuQXRsYXM0MC5BdGxhc0NvbW1vbkNsaWVudC5SZXBvcnQuUmVmZXJlbmNlAQAAAApfcmVmZXJlbmNlBwghAAAACdMAAAAHJAAAAAABAAAABAAAAAQ8R2xvYmVTb2Z0d2FyZS5BdGxhczQwLkF0bGFzQ29tbW9uQ2xpZW50LkRhdGFTb3VyY2VGaWVsZFZhbHVlIQAAAAnUAAAACdUAAAAJ1gAAAAoEJ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1wAAAAEAAAABAAAABCY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AAEAAAnYAAAABwAAAAnZAAAABC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/AAAAAnaAAAABwAAAAnbAAAAATMAAAAlAAAACdwAAAABAAAAAQAAAAE0AAAAJgAAAPgAAAAJ2AAAAAcAAAAJ3gAAAAE1AAAAJwAAAPUAAAAJ2gAAAAcAAAAJ4AAAAAFBAAAAJQAAAAnhAAAAAQAAAAEAAAABQgAAACYAAAD4AAAACdgAAAAHAAAACeMAAAABQwAAACcAAAD1AAAACdoAAAAHAAAACeUAAAABTwAAACUAAAAJ5gAAAAEAAAABAAAAAVAAAAAmAAAAAAEAAAnYAAAABwAAAAnoAAAAAVEAAAAnAAAA/AAAAAnaAAAABwAAAAnqAAAAAV0AAAAlAAAACesAAAABAAAAAQAAAAFeAAAAJgAAAAABAAAJ2AAAAAcAAAAJ7QAAAAFfAAAAJwAAAPwAAAAJ2gAAAAcAAAAJ7wAAAAFrAAAAJQAAAAnwAAAAAAAAAAAAAAABbAAAACYAAAD3AAAACdgAAAAHAAAACfIAAAABbQAAACcAAADuAAAACdoAAAAHAAAACfQAAAABeAAAACUAAAAJ8AAAAAAAAAAAAAAAAXkAAAAmAAAA9wAAAAnYAAAABwAAAAn3AAAAAXoAAAAnAAAA7gAAAAnaAAAABwAAAAn5AAAAAYUAAAAlAAAACfAAAAAAAAAAAAAAAAGGAAAAJgAAAPYAAAAJ2AAAAAcAAAAJ/AAAAAGHAAAAJwAAAO4AAAAJ2gAAAAcAAAAJ/gAAAAGSAAAAJQAAAAnwAAAAAAAAAAAAAAABkwAAACYAAAD2AAAACdgAAAAHAAAACQEBAAABlAAAACcAAADuAAAACdoAAAAHAAAACQMBAAABnwAAACUAAAAJBAEAAAAAAAAAAAAAAaAAAAAmAAAA2AAAAAkFAQAABwAAAAkGAQAAAaEAAAAnAAAA0gAAAAkHAQAABwAAAAkIAQAAAawAAAAlAAAACQQBAAAAAAAAAAAAAAGtAAAAJgAAANgAAAAJBQEAAAcAAAAJCwEAAAGuAAAAJwAAANIAAAAJBwEAAAcAAAAJDQEAAAG5AAAAJQAAAAkEAQAAAAAAAAAAAAABugAAACYAAADgAAAACQUBAAAHAAAACRABAAABuwAAACcAAADZAAAACQcBAAAHAAAACRIBAAABxgAAACUAAAAJBAEAAAAAAAAAAAAAAccAAAAmAAAA4AAAAAkFAQAABwAAAAkVAQAAAcgAAAAnAAAA2QAAAAkHAQAABwAAAAkXAQAAD9MAAAABAAAACAEAAAAF1AAAADxHbG9iZVNvZnR3YXJlLkF0bGFzNDAuQXRsYXNDb21tb25DbGllbnQuRGF0YVNvdXJjZUZpZWxkVmFsdWUEAAAAEl9pc0RyaWxsRG93bkZpbHRlcgZfZHNLZXkKX2ZpZWxkbmFtZQtfZmllbGRWYWx1ZQABAQEBIQAAAAAGGAEAABBUYWJsZS5UUFBTdW1fc3N0BhkBAAAKRGF0YUFyZWFJZAkGAAAAAdUAAADUAAAAAAkYAQAABhwBAAAGSXRlbUlkBh0BAAABKgHWAAAA1AAAAAAGHgEAAClUYWJsZS5UUFBTdW1fc3N0Lkl0ZW1JZH5UYWJsZS5JbnZlbnRUYWJsZQYfAQAACEl0ZW1UeXBlBiABAAAIIVNlcnZpY2UH1wAAAAABAAAABAAAAAQ3R2xvYmVTb2Z0d2FyZS5BdGxhczQwLkF0bGFzQ29tbW9uLlR5cGUuRmllbGRPdXRwdXRGaWVsZA4AAAAJIQEAAA0DBNg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e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d3+//8yR2xvYmVTb2Z0d2FyZS5BdGxhczQwLkF0bGFzQ29tbW9uLkNvbHVtbkF0dHJpYnV0ZXMBAAAAB3ZhbHVlX18ACA4AAAAQAAAABiQBAAAETm9uZQHb/v//3v7//wHa/v//3f7//wkAAAAJKwAAAAHY/v//3v7//wHX/v//3f7//wsAAAAGKgEAAAEwAdX+///e/v//AdT+///d/v//BAAAAAYtAQAAB0dlbmVyYWwB0v7//97+//8B0f7//93+//8CAAAABjABAAABMQHP/v//3v7//wHO/v//3f7//wAAAAAGMwEAAAUxNC43MQHaAAAADAAAAAfb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z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QEAAAhGb250Qm9sZAY2AQAABUZhbHNlAcn+///M/v//BjgBAAAKRm9udEl0YWxpYwk2AQAAAcb+///M/v//BjsBAAANRm9udFVuZGVybGluZQY8AQAABS00MTQyAcP+///M/v//Bj4BAAAIRm9udE5hbWUGPwEAAAdDYWxpYnJpAcD+///M/v//BkEBAAAJRm9udENvbG9yBkIBAAABMAG9/v//zP7//wZEAQAACEZvbnRTaXplBkUBAAACMTEBuv7//8z+//8GRwEAAAlGb250U3R5bGUGSAEAAAdSZWd1bGFyB9wAAAAAAQAAAAQAAAAEN0dsb2JlU29mdHdhcmUuQXRsYXM0MC5BdGxhc0NvbW1vbi5UeXBlLkZpZWxkT3V0cHV0RmllbGQOAAAACUkBAAANAwfe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97+//8Btf7//93+//8JAAAACSsAAAABs/7//97+//8Bsv7//93+//8LAAAABk8BAAABMQGw/v//3v7//wGv/v//3f7//wQAAAAGUgEAAAdHZW5lcmFsAa3+///e/v//Aaz+///d/v//AgAAAAZVAQAAATEBqv7//97+//8Bqf7//93+//8AAAAABlgBAAABNgf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+///M/v//CTUBAAAJNgEAAAGk/v//zP7//wk4AQAACTYBAAABof7//8z+//8JOwEAAAZhAQAABS00MTQyAZ7+///M/v//CT4BAAAGZAEAAAdDYWxpYnJpAZv+///M/v//CUEBAAAGZwEAAAEwAZj+///M/v//CUQBAAAGagEAAAIxMQGV/v//zP7//wlHAQAABm0BAAAHUmVndWxhcgfhAAAAAAEAAAAEAAAABDdHbG9iZVNvZnR3YXJlLkF0bGFzNDAuQXRsYXNDb21tb24uVHlwZS5GaWVsZE91dHB1dEZpZWxkDgAAAAluAQAADQMH4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H+///e/v//AZD+///d/v//CQAAAAkrAAAAAY7+///e/v//AY3+///d/v//CwAAAAZ0AQAAATIBi/7//97+//8Biv7//93+//8EAAAABncBAAAHR2VuZXJhbAGI/v//3v7//wGH/v//3f7//wIAAAAGegEAAAExAYX+///e/v//AYT+///d/v//AAAAAAZ9AQAABTEyLjg2B+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7//8z+//8JNQEAAAk2AQAAAX/+///M/v//CTgBAAAJNgEAAAF8/v//zP7//wk7AQAABoYBAAAFLTQxNDIBef7//8z+//8JPgEAAAaJAQAAB0NhbGlicmkBdv7//8z+//8JQQEAAAaMAQAAATABc/7//8z+//8JRAEAAAaPAQAAAjExAXD+///M/v//CUcBAAAGkgEAAAdSZWd1bGFyB+YAAAAAAQAAAAQAAAAEN0dsb2JlU29mdHdhcmUuQXRsYXM0MC5BdGxhc0NvbW1vbi5UeXBlLkZpZWxkT3V0cHV0RmllbGQOAAAACZMBAAANAwfo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//97+//8Ba/7//93+//8QAAAACSQBAAABaf7//97+//8BaP7//93+//8JAAAACSsAAAABZv7//97+//8BZf7//93+//8LAAAABpwBAAABMwFj/v//3v7//wFi/v//3f7//wQAAAAGnwEAAAdHZW5lcmFsAWD+///e/v//AV/+///d/v//AgAAAAaiAQAAATEBXf7//97+//8BXP7//93+//8AAAAABqUBAAAFMTAuMjkH6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v//zP7//wk1AQAACTYBAAABV/7//8z+//8JOAEAAAk2AQAAAVT+///M/v//CTsBAAAGrgEAAAUtNDE0MgFR/v//zP7//wk+AQAABrEBAAAHQ2FsaWJyaQFO/v//zP7//wlBAQAABrQBAAABMAFL/v//zP7//wlEAQAABrcBAAACMTEBSP7//8z+//8JRwEAAAa6AQAAB1JlZ3VsYXIH6wAAAAABAAAABAAAAAQ3R2xvYmVTb2Z0d2FyZS5BdGxhczQwLkF0bGFzQ29tbW9uLlR5cGUuRmllbGRPdXRwdXRGaWVsZA4AAAAJuwEAAA0DB+0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v//3v7//wFD/v//3f7//xAAAAAJJAEAAAFB/v//3v7//wFA/v//3f7//wkAAAAJKwAAAAE+/v//3v7//wE9/v//3f7//wsAAAAGxAEAAAE0ATv+///e/v//ATr+///d/v//BAAAAAbHAQAAB0dlbmVyYWwBOP7//97+//8BN/7//93+//8CAAAABsoBAAABMQE1/v//3v7//wE0/v//3f7//wAAAAAGzQEAAAUxNy4yOQf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+///M/v//CTUBAAAJNgEAAAEv/v//zP7//wk4AQAACTYBAAABLP7//8z+//8JOwEAAAbWAQAABS00MTQyASn+///M/v//CT4BAAAG2QEAAAdDYWxpYnJpASb+///M/v//CUEBAAAG3AEAAAEwASP+///M/v//CUQBAAAG3wEAAAIxMQEg/v//zP7//wlHAQAABuIBAAAHUmVndWxhcgfwAAAAAAEAAAAAAAAABDdHbG9iZVNvZnR3YXJlLkF0bGFzNDAuQXRsYXNDb21tb24uVHlwZS5GaWVsZE91dHB1dEZpZWxkDgAAAAfy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f7//97+//8BHP7//93+//8kAAAACW8AAAABGv7//97+//8BGf7//93+//8LAAAABugBAAABNQEX/v//3v7//wEW/v//3f7//wQAAAAG6wEAAAdHZW5lcmFsART+///e/v//ARP+///d/v//AgAAAAbuAQAAATEBEf7//97+//8BEP7//93+//8AAAAABvEBAAACMzIBDv7//97+//8BDf7//93+//8DAAAABvQBAADGAT1BdGxhc0JhbGFuY2UoIlBST0QiLERhdGFBcmVhSWQsIlQuVFBQVHJhbnNfc3N0fEludmVudERpbUlkfmludmVudERpbUlkQFQuSW52ZW50RGltIiwiU3VtfFF0eXwwIiwiIiwiIiwiIiwiIiwiIiwiIiwiSXRlbUlkfFRyYW5zRGF0ZXxUMi5JbnZlbnRTaXRlSWR8VDIuSW52ZW50TG9jYXRpb25JZCIsJEEzLFBlcmlvZEJlZ2lubmluZywkQjMsJEMzKQf0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v+///M/v//BvYBAAAIRm9udEJvbGQJNgEAAAEI/v//zP7//wb5AQAACkZvbnRJdGFsaWMJNgEAAAEF/v//zP7//wb8AQAADUZvbnRVbmRlcmxpbmUG/QEAAAUtNDE0MgEC/v//zP7//wb/AQAACEZvbnROYW1lBgACAAAHQ2FsaWJyaQH//f//zP7//wYCAgAACUZvbnRDb2xvcgYDAgAAATAB/P3//8z+//8GBQIAAAhGb250U2l6ZQYGAgAAAjExAfn9///M/v//BggCAAAJRm9udFN0eWxlBgkCAAAHUmVndWxhcgf3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v3//97+//8B9f3//93+//8kAAAACXwAAAAB8/3//97+//8B8v3//93+//8LAAAABg8CAAABNgHw/f//3v7//wHv/f//3f7//wQAAAAGEgIAAAdHZW5lcmFsAe39///e/v//Aez9///d/v//AgAAAAYVAgAAATEB6v3//97+//8B6f3//93+//8AAAAABhgCAAACMjkB5/3//97+//8B5v3//93+//8DAAAABhsCAADDAT1BdGxhc0JhbGFuY2UoIlBST0QiLERhdGFBcmVhSWQsIlQuVFBQVHJhbnNfc3N0fEludmVudERpbUlkfmludmVudERpbUlkQFQuSW52ZW50RGltIiwiU3VtfFF0eXwwIiwiIiwiIiwiIiwiIiwiIiwiIiwiSXRlbUlkfFRyYW5zRGF0ZXxUMi5JbnZlbnRTaXRlSWR8VDIuSW52ZW50TG9jYXRpb25JZCIsJEEzLFBlcmlvZEVuZGluZywkQjMsJEMzKQf5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T9///M/v//CfYBAAAJNgEAAAHh/f//zP7//wn5AQAACTYBAAAB3v3//8z+//8J/AEAAAYkAgAABS00MTQyAdv9///M/v//Cf8BAAAGJwIAAAdDYWxpYnJpAdj9///M/v//CQICAAAGKgIAAAEwAdX9///M/v//CQUCAAAGLQIAAAIxMQHS/f//zP7//wkIAgAABjACAAAHUmVndWxhcgf8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97+//8Bzv3//93+//8kAAAACYkAAAABzP3//97+//8By/3//93+//8LAAAABjYCAAABNwHJ/f//3v7//wHI/f//3f7//wQAAAAGOQIAAAdHZW5lcmFsAcb9///e/v//AcX9///d/v//AgAAAAY8AgAAATEBw/3//97+//8Bwv3//93+//8AAAAABj8CAAAFMjUuMTQBwP3//97+//8Bv/3//93+//8DAAAABkICAAAxPVtAUXVhbnRpdHldLVtAW1RQUCB0cmFucyBiYWNrd2FyZHMgKEJlZ2lubmluZyldXQf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/M/v//CfYBAAAJNgEAAAG6/f//zP7//wn5AQAACTYBAAABt/3//8z+//8J/AEAAAZLAgAABS00MTQyAbT9///M/v//Cf8BAAAGTgIAAAdDYWxpYnJpAbH9///M/v//CQICAAAGUQIAAAEwAa79///M/v//CQUCAAAGVAIAAAIxMQGr/f//zP7//wkIAgAABlcCAAAHUmVndWxhcgcB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3//97+//8Bp/3//93+//8kAAAACZYAAAABpf3//97+//8BpP3//93+//8LAAAABl0CAAABOAGi/f//3v7//wGh/f//3f7//wQAAAAGYAIAAAdHZW5lcmFsAZ/9///e/v//AZ79///d/v//AgAAAAZjAgAAATEBnP3//97+//8Bm/3//93+//8AAAAABmYCAAAFMjIuMTQBmf3//97+//8BmP3//93+//8DAAAABmkCAAAuPVtAUXVhbnRpdHldLVtAW1RQUCB0cmFucyBiYWNrd2FyZHMgKEVuZGluZyldXQc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9///M/v//CfYBAAAJNgEAAAGT/f//zP7//wn5AQAACTYBAAABkP3//8z+//8J/AEAAAZyAgAABS00MTQyAY39///M/v//Cf8BAAAGdQIAAAdDYWxpYnJpAYr9///M/v//CQICAAAGeAIAAAEwAYf9///M/v//CQUCAAAGewIAAAIxMQGE/f//zP7//wkIAgAABn4CAAAHUmVndWxhcgcEAQAAAAEAAAAAAAAABDdHbG9iZVNvZnR3YXJlLkF0bGFzNDAuQXRsYXNDb21tb24uVHlwZS5GaWVsZE91dHB1dEZpZWxkDgAAAAEFAQAA2AAAAAc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3//97+//8BgP3//93+//8kAAAACaMAAAABfv3//97+//8Bff3//93+//8LAAAABoQCAAABOQF7/f//3v7//wF6/f//3f7//wQAAAAGhwIAAAdHZW5lcmFsAXj9///e/v//AXf9///d/v//AgAAAAaKAgAAATEBdf3//97+//8BdP3//93+//8AAAAABo0CAAAFMzkuMjkBcv3//97+//8Bcf3//93+//8DAAAABpACAADNAT1BdGxhc0JhbGFuY2UoIlBST0QiLERhdGFBcmVhSWQsIlQuVFBQVHJhbnNfc3N0fEludmVudERpbUlkfmludmVudERpbUlkQFQuSW52ZW50RGltIiwiU3VtfENvc3RBbW91bnR8MCIsIiIsIiIsIiIsIiIsIiIsIiIsIkl0ZW1JZHxUcmFuc0RhdGV8VDIuSW52ZW50U2l0ZUlkfFQyLkludmVudExvY2F0aW9uSWQiLCRBMyxQZXJpb2RCZWdpbm5pbmcsJEIzLCRDMykBBwEAAAwAAAAHC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f//zP7//waSAgAACEZvbnRCb2xkCTYBAAABbP3//8z+//8GlQIAAApGb250SXRhbGljCTYBAAABaf3//8z+//8GmAIAAA1Gb250VW5kZXJsaW5lBpkCAAAFLTQxNDIBZv3//8z+//8GmwIAAAhGb250TmFtZQacAgAAB0NhbGlicmkBY/3//8z+//8GngIAAAlGb250Q29sb3IGnwIAAAEwAWD9///M/v//BqECAAAIRm9udFNpemUGogIAAAIxMQFd/f//zP7//wakAgAACUZvbnRTdHlsZQalAgAAB1JlZ3VsYXIHC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9///e/v//AVn9///d/v//JAAAAAmwAAAAAVf9///e/v//AVb9///d/v//CwAAAAarAgAAAjEwAVT9///e/v//AVP9///d/v//BAAAAAauAgAAB0dlbmVyYWwBUf3//97+//8BUP3//93+//8CAAAABrECAAABMQFO/f//3v7//wFN/f//3f7//wAAAAAGtAIAAAUzNi40MwFL/f//3v7//wFK/f//3f7//wMAAAAGtwIAAMoBPUF0bGFzQmFsYW5jZSgiUFJPRCIsRGF0YUFyZWFJZCwiVC5UUFBUcmFuc19zc3R8SW52ZW50RGltSWR+aW52ZW50RGltSWRAVC5JbnZlbnREaW0iLCJTdW18Q29zdEFtb3VudHwwIiwiIiwiIiwiIiwiIiwiIiwiIiwiSXRlbUlkfFRyYW5zRGF0ZXxUMi5JbnZlbnRTaXRlSWR8VDIuSW52ZW50TG9jYXRpb25JZCIsJEEzLFBlcmlvZEVuZGluZywkQjMsJEMzKQc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j9///M/v//CZICAAAJNgEAAAFF/f//zP7//wmVAgAACTYBAAABQv3//8z+//8JmAIAAAbAAgAABS00MTQyAT/9///M/v//CZsCAAAGwwIAAAdDYWxpYnJpATz9///M/v//CZ4CAAAGxgIAAAEwATn9///M/v//CaECAAAGyQIAAAIxMQE2/f//zP7//wmkAgAABswCAAAHUmVndWxhcgc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/3//97+//8BMv3//93+//8kAAAACb0AAAABMP3//97+//8BL/3//93+//8LAAAABtICAAACMTEBLf3//97+//8BLP3//93+//8EAAAABtUCAAAHR2VuZXJhbAEq/f//3v7//wEp/f//3f7//wIAAAAG2AIAAAExASf9///e/v//ASb9///d/v//AAAAAAbbAgAABTI0LjI5AST9///e/v//ASP9///d/v//AwAAAAbeAgAAQj1bQFtUUFAgY29zdCBhbW91bnRdXS1bQFtUUFAgdHJhbnMgYmFja3dhcmRzIGJhbGFuY2UgKEJlZ2lubmluZyldXQc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H9///M/v//CZICAAAJNgEAAAEe/f//zP7//wmVAgAACTYBAAABG/3//8z+//8JmAIAAAbnAgAABS00MTQyARj9///M/v//CZsCAAAG6gIAAAdDYWxpYnJpARX9///M/v//CZ4CAAAG7QIAAAEwARL9///M/v//CaECAAAG8AIAAAIxMQEP/f//zP7//wmkAgAABvMCAAAHUmVndWxhcgcV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P3//97+//8BC/3//93+//8kAAAACcoAAAABCf3//97+//8BCP3//93+//8LAAAABvkCAAACMTIBBv3//97+//8BBf3//93+//8EAAAABvwCAAAHR2VuZXJhbAED/f//3v7//wEC/f//3f7//wIAAAAG/wIAAAExAQD9///e/v//Af/8///d/v//AAAAAAYCAwAABTIxLjI5Af38///e/v//Afz8///d/v//AwAAAAYFAwAAPz1bQFtUUFAgY29zdCBhbW91bnRdXS1bQFtUUFAgdHJhbnMgYmFja3dhcmRzIGJhbGFuY2UgKEVuZGluZyldXQc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r8///M/v//CZICAAAJNgEAAAH3/P//zP7//wmVAgAACTYBAAAB9Pz//8z+//8JmAIAAAYOAwAABS00MTQyAfH8///M/v//CZsCAAAGEQMAAAdDYWxpYnJpAe78///M/v//CZ4CAAAGFAMAAAEwAev8///M/v//CaECAAAGFwMAAAIxMQHo/P//zP7//wmkAgAABhoDAAAHUmVndWxhcgUh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l/P//0/////////8ABhwDAAAGU3RyaW5nBh0DAAALSXRlbSBudW1iZXIJHgMAAAHh/P//0f///wIAAAAF4Pz//zlHbG9iZVNvZnR3YXJlLkF0bGFzNDAuQXRsYXNDb21tb24uTnVtYmVyU2VxdWVuY2VDb25kaXRpb24BAAAAB3ZhbHVlX18ACA4AAAABAAAAAAAGIQMAABBUYWJsZS5UUFBTdW1fc3N0CSgAAAAJKwAAAAr/////CSEDAAAKCSgAAAAKCgoJKwAAAAknAwAACSsAAAABSQEAACEBAAAB1/z//9P/////////AAYqAwAABlN0cmluZwYrAwAABFNpdGUJLAMAAAHT/P//0f///wIAAAAB0vz//+D8//8BAAAAAAAGLwMAACxUYWJsZS5UUFBTdW1fc3N0LkludmVudERpbUlkflRhYmxlLkludmVudERpbQk2AAAACSsAAAAK/////wkvAwAACgk2AAAABjQDAAALSW52ZW50RGltSWQGNQMAAApUUFBTdW1fc3N0CgkrAAAACTcDAAAJKwAAAAFuAQAAIQEAAAHH/P//0/////////8ABjoDAAAGU3RyaW5nBjsDAAAJV2FyZWhvdXNlCSwDAAABw/z//9H///8CAAAAAcL8///g/P//AQAAAAAACS8DAAAJRAAAAAkrAAAACv////8JLwMAAAoJRAAAAAZEAwAAC0ludmVudERpbUlkBkUDAAAKVFBQU3VtX3NzdAoJKwAAAAlHAwAACSsAAAABkwEAACEBAAABt/z//9P///8BAAAAAAZKAwAABFJlYWwGSwMAAAhRdWFudGl0eQkeAwAAAbP8///R////AgAAAAGy/P//4Pz//wEAAAAAAAkhAwAACVIAAAAJKwAAAAr/////CSEDAAAKCVIAAAAKCgoJKwAAAAlVAwAACSsAAAABuwEAACEBAAABqfz//9P///8BAAAAAAZYAwAABFJlYWwGWQMAAA9UUFAgY29zdCBhbW91bnQJHgMAAAGl/P//0f///wIAAAABpPz//+D8//8BAAAAAAAJIQMAAAlgAAAACSsAAAAK/////wkhAwAACglgAAAACgoKCSsAAAAJYwMAAAkrAAAABR4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AWdAAAGZQMAAApUUFBTdW1fc3N0BmYDAAALVFBQIHN1bW1hcnkJKwAAAAkrAAAACSsAAAAFmPz//zBHbG9iZVNvZnR3YXJlLkF0bGFzNDAuQXRsYXNDb21tb24uRGF0YVNvdXJjZVR5cGUBAAAAB3ZhbHVlX18ACA4AAAAAAAAACWkDAAAJagMAAASV/P//C1N5c3RlbS5HdWlkCwAAAAJfYQJfYgJfYwJfZAJfZQJfZgJfZwJfaAJfaQJfagJfawAAAAAAAAAAAAAACAcHAgICAgICAgJ474t5KEGIRJLudDjfptVWCSsAAAAJKwAAAAltAwAACSEDAAAKCgoKCgEAAAAFkfz//zRHbG9iZVNvZnR3YXJlLkF0bGFzNDAuQXRsYXNDb21tb24uRGF0YVNvdXJjZUpvaW5Nb2RlAQAAAAd2YWx1ZV9fAAgOAAAAAAAAAAWQ/P//NUdsb2JlU29mdHdhcmUuQXRsYXM0MC5BdGxhc0NvbW1vbi5EYXRhU291cmNlRmV0Y2hNb2RlAQAAAAd2YWx1ZV9fAAgOAAAAAAAAAAAJcQMAAAEnAwAAJwAAAGkAAAAJ2gAAAAMAAAAJcwMAAAEsAwAAHgMAAP////8GdAMAAAlJbnZlbnREaW0GdQMAABRJbnZlbnRvcnkgZGltZW5zaW9ucwkrAAAACSsAAAAJKwAAAAGJ/P//mPz//wAAAAAJeAMAAAl5AwAAAYb8//+V/P//OabvUY/mGUuU7DdKKKJolQkrAAAACSsAAAAJfAMAAAkvAwAABn4DAAAKVFBQU3VtX3NzdAZ/AwAAEFRhYmxlLlRQUFN1bV9zc3QGgAMAABxUYWJsZS5UUFBTdW1fc3N0LkludmVudERpbUlkBoEDAAALSW52ZW50RGltSWQGggMAAAtpbnZlbnREaW1JZAEAAAABffz//5H8//8AAAAAAXz8//+Q/P//AAAAAAAJhQMAAAE3AwAAJwAAAGAAAAAJ2gAAAAMAAAAJhwMAAAFHAwAAJwAAAGAAAAAJ2gAAAAMAAAAJiQMAAAFVAwAAJwAAAGkAAAAJ2gAAAAMAAAAJiwMAAAFjAwAAJwAAAGkAAAAJ2gAAAAMAAAAJjQMAAARp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AAAAAmOAwAABwAAAAmPAwAABGo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gMAAAAAAAAEb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4DAAAAAAAABHED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ZEDAAAAAAAAB3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z//8z+//8GkwMAAAhIZWxwVGV4dAaUAwAADklkZW50aWZ5IGl0ZW0uAWv8///M/v//BpYDAAAFTGFiZWwJHQMAAAFo/P//zP7//waZAwAABFR5cGUJHAMAAAF4AwAAaQMAAAIAAAAJ2gAAAAMAAAAJnAMAAAF5AwAAagMAAAAAAAAJnQMAAAAAAAABfAMAAG0DAAAAAAAACdoAAAAAAAAAAYUDAABxAwAAAAAAAAmfAwAAAAAAAAeH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D8///M/v//CZYDAAAJKwMAAAFd/P//zP7//wmZAwAACSoDAAAHi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P//zP7//wmWAwAACTsDAAABV/z//8z+//8JmQMAAAk6AwAAB4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z//8z+//8JkwMAAAauAwAAJFF1YW50aXR5IGF0dGFjaGVkIHRvIHRoZSB0cmFuc2FjdGlvbgFR/P//zP7//wmWAwAACUsDAAABTvz//8z+//8JmQMAAAlKAwAAB40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z//8z+//8JkwMAAAa3AwAAEFRQUCBjb3N0IGFtb3VudC4BSPz//8z+//8JlgMAAAlZAwAAAUX8///M/v//CZkDAAAJWAMAAAGOAwAADAAAAAePAw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C/P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/AwAAHFRhYmxlLlRQUFN1bV9zc3QuSW52ZW50RGltSWQJwAMAAAE//P//Qvz//wbCAwAAF1RhYmxlLlRQUFN1bV9zc3QuSXRlbUlkCSEBAAABPPz//0L8//8GxQMAABRUYWJsZS5UUFBTdW1fc3N0LlF0eQmTAQAAATn8//9C/P//BsgDAAAbVGFibGUuVFBQU3VtX3NzdC5Db3N0QW1vdW50CbsBAAAEkQM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5wD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b8//9C/P//BssDAAA5VGFibGUuVFBQU3VtX3NzdC5JbnZlbnREaW1JZH5UYWJsZS5JbnZlbnREaW0uSW52ZW50U2l0ZUlkCUkBAAABM/z//0L8//8GzgMAAD1UYWJsZS5UUFBTdW1fc3N0LkludmVudERpbUlkflRhYmxlLkludmVudERpbS5JbnZlbnRMb2NhdGlvbklkCW4BAAABnQMAAAwAAAABnwMAAJEDAAABwAMAACEBAAABMPz//9P/////////AAbRAwAABlN0cmluZwbSAwAADURpbWVuc2lvbiBOby4JHgMAAAEs/P//0f///wIAAAABK/z//+D8//8BAAAAAAAJIQMAAAbXAwAAC0ludmVudERpbUlkCSsAAAAK/////wkhAwAACgnXAwAACgoKCSsAAAAJ3AMAAAkrAAAAAdwDAAAnAAAACQAAAAnaAAAAAwAAAAnfAwAAB98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z//8z+//8JkwMAAAbiAwAAKklkZW50aWZpY2F0aW9uIG9mIGRpbWVuc2lvbnMgZm9yIHRoZSBpdGVtLgEd/P//zP7//wmWAwAACdIDAAABGvz//8z+//8JmQMAAAnRAwAACw==</Report>
</Atlas>
</file>

<file path=customXml/item7.xml><?xml version="1.0" encoding="utf-8"?>
<Atlas>
  <Query type="ReportSummary" id="990c75b3-7953-42dc-bece-de15fdf8992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V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UludmVudFN1bQYeAAAAEU9uLWhhbmQgaW52ZW50b3J5CQgAAAAJCAAAAAkIAAAABeD///8wR2xvYmVTb2Z0d2FyZS5BdGxhczQwLkF0bGFzQ29tbW9uLkRhdGFTb3VyY2VUeXBlAQAAAAd2YWx1ZV9fAAgCAAAAAAAAAAkhAAAACSIAAAAE3f///wtTeXN0ZW0uR3VpZAsAAAACX2ECX2ICX2MCX2QCX2UCX2YCX2cCX2gCX2kCX2oCX2sAAAAAAAAAAAAAAAgHBwICAgICAgICoAKNrRjeGUedxMVQ4/t7gQkIAAAACQgAAAAJJQAAAAYmAAAAD1RhYmxlLkludmVudFN1b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rVGFibGUuSW52ZW50U3VtLkludmVudERpbUlkflRhYmxlLkludmVudERpbQkxAAAAAc7////U////BjMAAAAoVGFibGUuSW52ZW50U3VtLkl0ZW1JZH5UYWJsZS5JbnZlbnRUYWJsZQk0AAAABxQAAAAAAQAAAAgAAAAELUdsb2JlU29mdHdhcmUuQXRsYXM0MC5BdGxhc0NvbW1vbi5UeXBlLkNvbHVtbgIAAAAJNQAAAAk2AAAACTcAAAAJOAAAAAk5AAAACToAAAAJOwAAAAk8AAAAERUAAAAEAAAABj0AAAANQXRsYXNSZXBvcnRfMw0DBxcAAAAAAQAAAAM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w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P///8L///8GQQAAAA9UYWJsZS5JbnZlbnREaW0JMAAAAAG9////wv///wZEAAAAEVRhYmxlLkludmVudFRhYmxlCTM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r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uf///z5HbG9iZVNvZnR3YXJlLkF0bGFzNDAuQXRsYXNDb21tb24uVHlwZS5BdGxhc1F1ZXJ5QXR0cmlidXRlTmFtZQEAAAAHdmFsdWVfXwAIAgAAAAIAAAAGSAAAACQ5OTBjNzViMy03OTUzLTQyZGMtYmVjZS1kZTE1ZmRmODk5MmEBt////7r///8Btv///7n///8AAAAABksAAAAEdHJ1ZQG0////uv///wGz////uf///wsAAAAGTgAAABFPbi1oYW5kIGludmVudG9yeQGx////uv///wGw////uf///xsAAAAGUQAAAARUcnVlAa7///+6////Aa3///+5////BgAAAAZUAAAABUZhbHNlAav///+6////Aar///+5////HAAAAAlRAAAAAaj///+6////Aaf///+5////HQAAAAlUAAAAAaX///+6////AaT///+5////KgAAAAlRAAAAAaL///+6////AaH///+5////AQAAAAZgAAAAAzM2NAGf////uv///wGe////uf///ycAAAAGYwAAAAs9RGF0YUFyZWFJZAGc////uv///wGb////uf///xkAAAAGZgAAAA9DZWxsc1ZlcnRpY2FsbHkBmf///7r///8BmP///7n///8JAAAACgGX////uv///wGW////uf///ygAAAAGawAAAAE4AZT///+6////AZP///+5////KwAAAAZu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R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AAAAAJSW52ZW50U3VtAQAAAAGP////kf///wZyAAAACUludmVudERpbQEAAAABjf///5H///8GdA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dQAAAAMAAAAJdg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gAAAABJQAAAAQAAAACAAAACXUAAAADAAAACXo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ewAAAAAAAAAHKgAAAAABAAAAAAAAAAQtR2xvYmVTb2Z0d2FyZS5BdGxhczQwLkF0bGFzQ29tbW9uLlR5cGUuQ29sdW1uAgAAAAExAAAADgAAAP////8GfAAAAAlJbnZlbnREaW0GfQAAABRJbnZlbnRvcnkgZGltZW5zaW9ucwkIAAAACQgAAAAJCAAAAAGB////4P///wAAAAAJgAAAAAmBAAAAAX7////d////T3UhPLuUB0GUEYDWU0ziagkIAAAACQgAAAAJhAAAAAkwAAAABoYAAAAJSW52ZW50U3VtBocAAAAPVGFibGUuSW52ZW50U3VtBogAAAAbVGFibGUuSW52ZW50U3VtLkludmVudERpbUlkBokAAAALSW52ZW50RGltSWQGigAAAAtpbnZlbnREaW1JZAEAAAABdf///9n///8AAAAAAXT////Y////AAAAAAAJjQAAAAE0AAAADgAAAP////8GjgAAAAtJbnZlbnRUYWJsZQaPAAAABUl0ZW1zCQgAAAAJCAAAAAkIAAAAAW/////g////AAAAAAmSAAAACZMAAAABbP///93////trEAuv0CrSp9Hot5u+TS2CQgAAAAJCAAAAAmWAAAACTMAAAAGmAAAAAlJbnZlbnRTdW0GmQAAAA9UYWJsZS5JbnZlbnRTdW0GmgAAABZUYWJsZS5JbnZlbnRTdW0uSXRlbUlkBpsAAAAGSXRlbUlkBpwAAAAGSXRlbUlkAQAAAAFj////2f///wAAAAABYv///9j///8AAAAAAAmfAAAABTU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aAAAAAJoQAAAAmiAAAABqMAAAAGSXRlbUlkBqQAAAALSXRlbSBudW1iZXIGpQAAAAZTdHJpbmcJCAAAAAanAAAAJGNiZTA1OWUxLTU2ODMtNDYxMy1iMzg3LWFkNjg0OWUzZTJjZgVY////LUdsb2JlU29mdHdhcmUuQXRsYXM0MC5BdGxhc0NvbW1vbi5BZ2dyZWdhdGlvbgEAAAAHdmFsdWVfXwAIAgAAAP////8AAAAABVf///8sR2xvYmVTb2Z0d2FyZS5BdGxhczQwLkF0bGFzQ29tbW9uLkNvbHVtblR5cGUBAAAAB3ZhbHVlX18ACAIAAAAAAAAABVb///8rR2xvYmVTb2Z0d2FyZS5BdGxhczQwLkF0bGFzQ29tbW9uLlNvcnRPcmRlcgEAAAAHdmFsdWVfXwAIAgAAAAIAAAAAAAAAAAVV////QEdsb2JlU29mdHdhcmUuQXRsYXM0MC5BdGxhc0NvbW1vbi5UeXBlLkNvbHVtbitDcm9zc1RhYkNvbHVtblR5cGUBAAAAB3ZhbHVlX18ACAIAAAAAAAAACgEAAAAAAAAAAAAAAAAABqwAAAAkNmE2ZDc5ODYtOTlmNy00NGRjLTg5YjQtNzY0Y2QwM2RjNmM0Bq0AAAAWVGFibGUuSW52ZW50U3VtLkl0ZW1JZAoKCgoBNgAAADUAAAAJrgAAAAmvAAAACbAAAAAGsQAAAAxJbnZlbnRTaXRlSWQGsgAAAARTaXRlBrMAAAAGU3RyaW5nCQgAAAAGtQAAACQ0OTU2OTYxNi1jYzJkLTRlMjItOGUwNC1iMzkxNTdkMGZjNDcBSv///1j/////////AQAAAAFJ////V////wAAAAABSP///1b///8CAAAAAAAAAAABR////1X///8AAAAACgEAAAAAAAAAAAEAAAAABroAAAAkMTczYzBjYjAtMTUxYi00YmE1LThlZTUtN2UwYWMzMGY5NjY0BrsAAAA4VGFibGUuSW52ZW50U3VtLkludmVudERpbUlkflRhYmxlLkludmVudERpbS5JbnZlbnRTaXRlSWQKCgoKATcAAAA1AAAACbwAAAAJvQAAAAm+AAAABr8AAAAQSW52ZW50TG9jYXRpb25JZAbAAAAACVdhcmVob3VzZQbBAAAABlN0cmluZwkIAAAABsMAAAAkNThhNGMyZjMtZjMxYy00NjcwLWE5NmEtYzVhYTQzZjAyY2YyATz///9Y/////////wIAAAABO////1f///8AAAAAATr///9W////AgAAAAAAAAAAATn///9V////AAAAAAoBAAAAAAAAAAACAAAAAAbIAAAAJGQwMTYzNGViLTdmMzEtNDAzOS1iNzUzLWNhZmJkMGQxNzgzNQbJAAAAPFRhYmxlLkludmVudFN1bS5JbnZlbnREaW1JZH5UYWJsZS5JbnZlbnREaW0uSW52ZW50TG9jYXRpb25JZAoKCgoBOAAAADUAAAAJygAAAAnLAAAACcwAAAAGzQAAAAlQb3N0ZWRRdHkGzgAAAA9DdXJyZW50IE9uLWhhbmQGzwAAAARSZWFsCQgAAAAG0QAAACQyOTY4N2E4NS0zN2JjLTQ5MDYtOGI5OS02MjgzNzg3ZWEwZTcBLv///1j///8BAAAAAwAAAAEt////V////wAAAAABLP///1b///8CAAAAAAAAAAABK////1X///8AAAAACgEAAAAAAAAAAAMAAAAABtYAAAAkODI4OWJlNjEtNTNkMi00NjgzLWFiNGMtYWRlNmQ3OGQ1N2RmBtcAAAAZVGFibGUuSW52ZW50U3VtLlBvc3RlZFF0eQoKCgoBOQAAADUAAAAJ2AAAAAnZAAAACdoAAAAG2wAAADdBdGxhc01hbmFnZWRDb2x1bW5fYzk1OTU0NGYtMGQ3NC00YzcxLWJkNzgtYjE1YzhmZjIyMjU5BtwAAAAbVHJhbnMgYmFja3dvcmRzIChCZWdpbm5pbmcpCQgAAAAJCAAAAAbeAAAAJDg2NjdkZDQ4LTRiNmYtNDJkOC05YmJjLWIwMjA0MjNmYzUzMQEh////WP///wEAAAAEAAAAASD///9X////AgAAAAEf////Vv///wIAAAAAAAAAAAEe////Vf///wAAAAAKAQAAAAAAAAAABAAAAAAG4wAAACRlMGNlY2M0ZS03MWU5LTQ4M2QtOWQ4MC1jZDFjN2ExMGI2YmUJCAAAAAoKCgoBOgAAADUAAAAJ5QAAAAnmAAAACecAAAAG6AAAADdBdGxhc01hbmFnZWRDb2x1bW5fMWJkZWU0M2QtYzYyYi00ZGE4LTkzMDYtYTYyZmE5ZDNlYmU5BukAAAAYVHJhbnMgYmFja3dvcmRzIChFbmRpbmcpCQgAAAAJCAAAAAbrAAAAJDUwYTM2NWQyLTZlYjMtNDNlNC05MDU0LTFkODllYzZjNTFmNAEU////WP///wEAAAAFAAAAARP///9X////AgAAAAES////Vv///wIAAAAAAAAAAAER////Vf///wAAAAAKAQAAAAAAAAAABQAAAAAG8AAAACQ0MTdlOTNiYy1hMDIzLTQwMDYtODgyNS0wYThmOGYxODFkMWIJCAAAAAoKCgoBOwAAADUAAAAJ8gAAAAnzAAAACfQAAAAG9QAAADdBdGxhc01hbmFnZWRDb2x1bW5fNWZkMDcyYmQtMjk4ZS00ZDYzLWJmYmEtYTg3MmQ5ODkzYjJmBvYAAAARQmVnaW5uaW5nIE9uLWhhbmQJCAAAAAkIAAAABvgAAAAkODIxMzQwMDMtN2MwOC00YjUzLTgwZTItYjk3ZjJiYmUxODU1AQf///9Y////AQAAAAYAAAABBv///1f///8CAAAAAQX///9W////AgAAAAAAAAAAAQT///9V////AAAAAAoBAAAAAAAAAAAGAAAAAAb9AAAAJGQ5Y2IzZDAxLWM1MGEtNDg3Zi1iMDU4LWI1ZWFmODVhNDdmZAkIAAAACgoKCgE8AAAANQAAAAn/AAAACQABAAAJAQEAAAYCAQAAN0F0bGFzTWFuYWdlZENvbHVtbl9kZmFmZDcxYi1hYzlkLTQxZjUtYTZhYy00MDMyNDM2YTRjOGMGAwEAAA5FbmRpbmcgT24taGFuZAkIAAAACQgAAAAGBQEAACRkYzYzYzQ4Ni0wNTliLTQ3YTUtYmZhZS0zNGM5MWJhZDUxODIB+v7//1j///8BAAAABwAAAAH5/v//V////wIAAAAB+P7//1b///8CAAAAAAAAAAAB9/7//1X///8AAAAACgEAAAAAAAAAAAcAAAAABgoBAAAkOGYxZjE1N2YtMDM2ZC00ZGYyLTk4NTAtMTc0ZGFlYzY2NzFmCQgAAAAKCgoKAXUAAAASAAAAB3Y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T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g0BAAAWVGFibGUuSW52ZW50U3VtLkl0ZW1JZAkOAQAAAfH+///0/v//BhABAAAZVGFibGUuSW52ZW50U3VtLlBvc3RlZFF0eQkRAQAAB3g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u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hMBAAAWVGFibGUuSW52ZW50U3VtLkl0ZW1JZAkUAQAAB3o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ev+///U////CTAAAAAJMQAAAAHo/v//1P///wkzAAAACTQAAAAEe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AAAAAhAAAAAgAAAAkbAQAAAwAAAAkcAQAABIE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h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sBAAAAAAAAAY0AAAApAAAAAAAAAAkfAQAAAAAAAASS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kwAAACIAAAABAAAACRIAAAADAAAACSEBAAAEl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Z8AAAApAAAAAAAAAAkj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kAQAAAQAAAAEAAAAEo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IAQAACSUBAAAHAAAACSY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QAACScBAAAHAAAACSgBAAABrgAAAKAAAAAJKQEAAAEAAAABAAAAAa8AAAChAAAA/wAAAAkqAQAABwAAAAkr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/AAAAAkbAQAABwAAAAktAQAAAbwAAACgAAAACS4BAAABAAAAAQAAAAG9AAAAoQAAAP8AAAAJKgEAAAcAAAAJMAEAAAS+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fwAAAAJGwEAAAcAAAAJMgEAAAHKAAAAoAAAAAkzAQAAAQAAAAEAAAABywAAAKEAAAALAQAACSUBAAAHAAAACTU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QAACScBAAAHAAAACTcBAAAB2AAAAKAAAAAJOAEAAAAAAAAAAAAAAdkAAAChAAAA+QAAAAkqAQAABwAAAAk6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7gAAAAkbAQAABwAAAAk8AQAAAeUAAACgAAAACTgBAAAAAAAAAAAAAAHmAAAAoQAAAPcAAAAJKgEAAAcAAAAJPw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4AAAAJGwEAAAcAAAAJQQEAAAHyAAAAoAAAAAlCAQAAAAAAAAAAAAAB8wAAAKEAAADmAAAACUMBAAAHAAAACUQBAAAE9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gAAAACUUBAAAHAAAACUYBAAAB/wAAAKAAAAAJQgEAAAAAAAAAAAAAAQABAAChAAAA5gAAAAlDAQAABwAAAAlJAQAABA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4AAAAAlFAQAABwAAAAlLAQAABQ4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T+//9Y/////////wAGTQEAAAZTdHJpbmcGTgEAAAtJdGVtIG51bWJlcglPAQAAAbD+//9W////AgAAAAWv/v//OUdsb2JlU29mdHdhcmUuQXRsYXM0MC5BdGxhc0NvbW1vbi5OdW1iZXJTZXF1ZW5jZUNvbmRpdGlvbgEAAAAHdmFsdWVfXwAIAgAAAAEAAAAAAAZSAQAAD1RhYmxlLkludmVudFN1bQmjAAAACQgAAAAK/////wlSAQAACgmjAAAACgoKCQgAAAAJWAEAAAkIAAAAAREBAAAOAQAAAab+//9Y////AQAAAAAGWwEAAARSZWFsBlwBAAAPUG9zdGVkIHF1YW50aXR5CU8BAAABov7//1b///8CAAAAAaH+//+v/v//AQAAAAAACVIBAAAJzQAAAAkIAAAACv////8JUgEAAAoJzQAAAAoKCgkIAAAACWYBAAAJCAAAAAUU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aAEAAA9UYWJsZS5JbnZlbnRTdW0GaQEAAAZJdGVtSWQJCAAAAAZrAQAAASr/////CWgBAAAKCWkBAAAKCgoJCAAAAAlvAQAACQgAAAABGwEAABIAAAAHH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j/7///T+//8GcgEAADhUYWJsZS5JbnZlbnRTdW0uSW52ZW50RGltSWR+VGFibGUuSW52ZW50RGltLkludmVudFNpdGVJZAlzAQAAAYz+///0/v//BnUBAAA8VGFibGUuSW52ZW50U3VtLkludmVudERpbUlkflRhYmxlLkludmVudERpbS5JbnZlbnRMb2NhdGlvbklkCXYBAAABHwEAAHsAAAAHI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n+///u/v//BngBAAAxVGFibGUuSW52ZW50U3VtLkl0ZW1JZH5UYWJsZS5JbnZlbnRUYWJsZS5JdGVtVHlwZQl5AQAAASMBAAB7AAAAByQBAAAAAQAAAAQAAAAEN0dsb2JlU29mdHdhcmUuQXRsYXM0MC5BdGxhc0NvbW1vbi5UeXBlLkZpZWxkT3V0cHV0RmllbGQCAAAACQ4BAAANAwQl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m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hf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E/v//Mkdsb2JlU29mdHdhcmUuQXRsYXM0MC5BdGxhc0NvbW1vbi5Db2x1bW5BdHRyaWJ1dGVzAQAAAAd2YWx1ZV9fAAgCAAAABgAAAAZ9AQAABVRvdGFsAYL+//+F/v//AYH+//+E/v//EAAAAAaAAQAABE5vbmUBf/7//4X+//8Bfv7//4T+//8JAAAACQgAAAABfP7//4X+//8Be/7//4T+//8LAAAABoYBAAABMAF5/v//hf7//wF4/v//hP7//wQAAAAGiQEAAAdHZW5lcmFsAXb+//+F/v//AXX+//+E/v//AgAAAAaMAQAAATEBc/7//4X+//8Bcv7//4T+//8AAAAABo8BAAAFMzEuMjkBJwEAABIAAAAHK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w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pEBAAAIRm9udEJvbGQGkgEAAAVGYWxzZQFt/v//cP7//waUAQAACkZvbnRJdGFsaWMJkgEAAAFq/v//cP7//waXAQAADUZvbnRVbmRlcmxpbmUGmAEAAAUtNDE0MgFn/v//cP7//waaAQAACEZvbnROYW1lBpsBAAAHQ2FsaWJyaQFk/v//cP7//wadAQAACUZvbnRDb2xvcgaeAQAAATABYf7//3D+//8GoAEAAAhGb250U2l6ZQahAQAAAjExAV7+//9w/v//BqMBAAAJRm9udFN0eWxlBqQBAAAHUmVndWxhcgcpAQAAAAEAAAAEAAAABDdHbG9iZVNvZnR3YXJlLkF0bGFzNDAuQXRsYXNDb21tb24uVHlwZS5GaWVsZE91dHB1dEZpZWxkAgAAAAlzAQAADQMBKgEAACUBAAAHK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+//+F/v//AVn+//+E/v//CQAAAAkIAAAAAVf+//+F/v//AVb+//+E/v//CwAAAAarAQAAATEBVP7//4X+//8BU/7//4T+//8EAAAABq4BAAAHR2VuZXJhbAFR/v//hf7//wFQ/v//hP7//wIAAAAGsQEAAAExAU7+//+F/v//AU3+//+E/v//AAAAAAa0AQAAATY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v//cP7//wmRAQAACZIBAAABSP7//3D+//8JlAEAAAmSAQAAAUX+//9w/v//CZcBAAAGvQEAAAUtNDE0MgFC/v//cP7//wmaAQAABsABAAAHQ2FsaWJyaQE//v//cP7//wmdAQAABsMBAAABMAE8/v//cP7//wmgAQAABsYBAAACMTEBOf7//3D+//8JowEAAAbJAQAAB1JlZ3VsYXIHLgEAAAABAAAABAAAAAQ3R2xvYmVTb2Z0d2FyZS5BdGxhczQwLkF0bGFzQ29tbW9uLlR5cGUuRmllbGRPdXRwdXRGaWVsZAIAAAAJdgEAAA0DBz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1/v//hf7//wE0/v//hP7//wkAAAAJCAAAAAEy/v//hf7//wEx/v//hP7//wsAAAAG0AEAAAEyAS/+//+F/v//AS7+//+E/v//BAAAAAbTAQAAB0dlbmVyYWwBLP7//4X+//8BK/7//4T+//8CAAAABtYBAAABMQEp/v//hf7//wEo/v//hP7//wAAAAAG2QEAAAUxMi44Ngc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b+//9w/v//CZEBAAAJkgEAAAEj/v//cP7//wmUAQAACZIBAAABIP7//3D+//8JlwEAAAbiAQAABS00MTQyAR3+//9w/v//CZoBAAAG5QEAAAdDYWxpYnJpARr+//9w/v//CZ0BAAAG6AEAAAEwARf+//9w/v//CaABAAAG6wEAAAIxMQEU/v//cP7//wmjAQAABu4BAAAHUmVndWxhcgczAQAAAAEAAAAEAAAABDdHbG9iZVNvZnR3YXJlLkF0bGFzNDAuQXRsYXNDb21tb24uVHlwZS5GaWVsZE91dHB1dEZpZWxkAgAAAAkRAQAADQMHN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D+//+F/v//AQ/+//+E/v//EAAAAAmAAQAAAQ3+//+F/v//AQz+//+E/v//CQAAAAkIAAAAAQr+//+F/v//AQn+//+E/v//CwAAAAb4AQAAATMBB/7//4X+//8BBv7//4T+//8EAAAABvsBAAAvXygqICMsIyMwLjAwXyk7XygqICgjLCMjMC4wMCk7XygqICItIj8/Xyk7XyhAXykBBP7//4X+//8BA/7//4T+//8CAAAABv4BAAABMQEB/v//hf7//wEA/v//hP7//wAAAAAGAQIAAAUxNi43MQH+/f//hf7//wH9/f//hP7//yQAAAAJzgAAAAc3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9//9w/v//CZEBAAAJkgEAAAH4/f//cP7//wmUAQAACZIBAAAB9f3//3D+//8JlwEAAAYNAgAABS00MTQyAfL9//9w/v//CZoBAAAGEAIAAAdDYWxpYnJpAe/9//9w/v//CZ0BAAAGEwIAAAEwAez9//9w/v//CaABAAAGFgIAAAIxMQHp/f//cP7//wmjAQAABhkCAAAHUmVndWxhcgc4AQAAAAEAAAAAAAAABDdHbG9iZVNvZnR3YXJlLkF0bGFzNDAuQXRsYXNDb21tb24uVHlwZS5GaWVsZE91dHB1dEZpZWxkAgAAAAc6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3//4X+//8B5f3//4T+//8kAAAACdwAAAAB4/3//4X+//8B4v3//4T+//8LAAAABh8CAAABNAHg/f//hf7//wHf/f//hP7//wQAAAAGIgIAAC9fKCogIywjIzAuMDBfKTtfKCogKCMsIyMwLjAwKTtfKCogIi0iPz9fKTtfKEBfKQHd/f//hf7//wHc/f//hP7//wIAAAAGJQIAAAExAdr9//+F/v//Adn9//+E/v//AAAAAAYoAgAABTE5Ljg2Adf9//+F/v//Adb9//+E/v//AwAAAAYrAgAAyQE9QXRsYXNCYWxhbmNlKCJQUk9EIixEYXRhQXJlYUlkLCJULkludmVudFRyYW5zfGludmVudERpbUlkfmludmVudERpbUlkQFQuSW52ZW50RGltIiwiU3VtfFF0eXwwIiwiIiwiIiwiIiwiIiwiIiwiIiwiRGF0ZUZpbmFuY2lhbHxJdGVtSWR8VDIuSW52ZW50U2l0ZUlkfFQyLkludmVudExvY2F0aW9uSWQiLFBlcmlvZEJlZ2lubmluZywkQTMsJEIzLCRDMyk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f//cP7//wYtAgAACEZvbnRCb2xkCZIBAAAB0f3//3D+//8GMAIAAApGb250SXRhbGljCZIBAAABzv3//3D+//8GMwIAAA1Gb250VW5kZXJsaW5lBjQCAAAFLTQxNDIBy/3//3D+//8GNgIAAAhGb250TmFtZQY3AgAAB0NhbGlicmkByP3//3D+//8GOQIAAAlGb250Q29sb3IGOgIAAAEwAcX9//9w/v//BjwCAAAIRm9udFNpemUGPQIAAAIxMQHC/f//cP7//wY/AgAACUZvbnRTdHlsZQZAAgAAB1JlZ3VsYXI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/9//+F/v//Ab79//+E/v//JAAAAAnpAAAAAbz9//+F/v//Abv9//+E/v//CwAAAAZGAgAAATUBuf3//4X+//8BuP3//4T+//8EAAAABkkCAAAvXygqICMsIyMwLjAwXyk7XygqICgjLCMjMC4wMCk7XygqICItIj8/Xyk7XyhAXykBtv3//4X+//8Btf3//4T+//8CAAAABkwCAAABMQGz/f//hf7//wGy/f//hP7//wAAAAAGTwIAAAUxNi44NgGw/f//hf7//wGv/f//hP7//wMAAAAGUgIAAMYBPUF0bGFzQmFsYW5jZSgiUFJPRCIsRGF0YUFyZWFJZCwiVC5JbnZlbnRUcmFuc3xpbnZlbnREaW1JZH5pbnZlbnREaW1JZEBULkludmVudERpbSIsIlN1bXxRdHl8MCIsIiIsIiIsIiIsIiIsIiIsIiIsIkRhdGVGaW5hbmNpYWx8SXRlbUlkfFQyLkludmVudFNpdGVJZHxUMi5JbnZlbnRMb2NhdGlvbklkIixQZXJpb2RFbmRpbmcsJEEzLCRCMywkQzMpB0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3//3D+//8JLQIAAAmSAQAAAar9//9w/v//CTACAAAJkgEAAAGn/f//cP7//wkzAgAABlsCAAAFLTQxNDIBpP3//3D+//8JNgIAAAZeAgAAB0NhbGlicmkBof3//3D+//8JOQIAAAZhAgAAATABnv3//3D+//8JPAIAAAZkAgAAAjExAZv9//9w/v//CT8CAAAGZwIAAAdSZWd1bGFyB0IBAAAAAQAAAAAAAAAEN0dsb2JlU29mdHdhcmUuQXRsYXM0MC5BdGxhc0NvbW1vbi5UeXBlLkZpZWxkT3V0cHV0RmllbGQCAAAAAUMBAAAlAQAAB0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Y/f//hf7//wGX/f//hP7//yQAAAAJ9gAAAAGV/f//hf7//wGU/f//hP7//wsAAAAGbQIAAAE2AZL9//+F/v//AZH9//+E/v//BAAAAAZwAgAAL18oKiAjLCMjMC4wMF8pO18oKiAoIywjIzAuMDApO18oKiAiLSI/P18pO18oQF8pAY/9//+F/v//AY79//+E/v//AgAAAAZzAgAAATEBjP3//4X+//8Bi/3//4T+//8AAAAABnYCAAAFMTkuODYBif3//4X+//8BiP3//4T+//8DAAAABnkCAAA2PVtAW0N1cnJlbnQgT24taGFuZF1dLVtAW1RyYW5zIGJhY2t3b3JkcyAoQmVnaW5uaW5nKV1dAUUBAAASAAAAB0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3//3D+//8GewIAAAhGb250Qm9sZAmSAQAAAYP9//9w/v//Bn4CAAAKRm9udEl0YWxpYwmSAQAAAYD9//9w/v//BoECAAANRm9udFVuZGVybGluZQaCAgAABS00MTQyAX39//9w/v//BoQCAAAIRm9udE5hbWUGhQIAAAdDYWxpYnJpAXr9//9w/v//BocCAAAJRm9udENvbG9yBogCAAABMAF3/f//cP7//waKAgAACEZvbnRTaXplBosCAAACMTEBdP3//3D+//8GjQIAAAlGb250U3R5bGUGjgIAAAdSZWd1bGFyB0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x/f//hf7//wFw/f//hP7//yQAAAAJAwEAAAFu/f//hf7//wFt/f//hP7//wsAAAAGlAIAAAE3AWv9//+F/v//AWr9//+E/v//BAAAAAaXAgAAL18oKiAjLCMjMC4wMF8pO18oKiAoIywjIzAuMDApO18oKiAiLSI/P18pO18oQF8pAWj9//+F/v//AWf9//+E/v//AgAAAAaaAgAAATEBZf3//4X+//8BZP3//4T+//8AAAAABp0CAAAFMTYuODYBYv3//4X+//8BYf3//4T+//8DAAAABqACAAAzPVtAW0N1cnJlbnQgT24taGFuZF1dLVtAW1RyYW5zIGJhY2t3b3JkcyAoRW5kaW5nKV1dB0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3//3D+//8JewIAAAmSAQAAAVz9//9w/v//CX4CAAAJkgEAAAFZ/f//cP7//wmBAgAABqkCAAAFLTQxNDIBVv3//3D+//8JhAIAAAasAgAAB0NhbGlicmkBU/3//3D+//8JhwIAAAavAgAAATABUP3//3D+//8JigIAAAayAgAAAjExAU39//9w/v//CY0CAAAGtQIAAAdSZWd1bGFyAU8BAAAOAAAArgAAAAa2AgAACUludmVudFN1bQa3AgAAEU9uLWhhbmQgaW52ZW50b3J5CQgAAAAJCAAAAAkIAAAAAUf9///g////AAAAAAm6AgAACbsCAAABRP3//93////hxyIP7XY2T46vgTZM2figCQgAAAAJCAAAAAm+AgAACVIBAAAKCgoKCgEAAAABQP3//9n///8AAAAAAT/9///Y////AAAAAAAJwgIAAAR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8AAAAJJwEAAAMAAAAJxAIAAAR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8AAAAJJwEAAAMAAAAJxgIAAAR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EgAAAAMAAAAJyAIAAAFzAQAADgEAAAE3/f//WP////////8ABsoCAAAGU3RyaW5nBssCAAAEU2l0ZQkxAAAAATP9//9W////AgAAAAEy/f//r/7//wEAAAAAAAkwAAAACbEAAAAJCAAAAAr/////CTAAAAAKCbEAAAAG1AIAAAtJbnZlbnREaW1JZAbVAgAACUludmVudFN1bQoJCAAAAAnXAgAACQgAAAABdgEAAA4BAAABJ/3//1j/////////AAbaAgAABlN0cmluZwbbAgAACVdhcmVob3VzZQkxAAAAASP9//9W////AgAAAAEi/f//r/7//wEAAAAAAAkwAAAACb8AAAAJCAAAAAr/////CTAAAAAKCb8AAAAG5AIAAAtJbnZlbnREaW1JZAblAgAACUludmVudFN1bQoJCAAAAAnnAgAACQgAAAABeQEAABQBAAAJMwAAAAbqAgAACEl0ZW1UeXBlCQgAAAAG7AIAAAghU2VydmljZf////8JMwAAAAoJ6gIAAAbvAgAABkl0ZW1JZAoKCQgAAAAJ8QIAAAkIAAAAAboCAAAhAAAACQAAAAnzAgAAEQAAAAn0AgAABLs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8wIAAAAAAAAEvg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MCAAAAAAAAAcICAAApAAAAAAAAAAn2AgAAAAAAAAfE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n9//9w/v//BvgCAAAISGVscFRleHQG+QIAAA5JZGVudGlmeSBpdGVtLgEG/f//cP7//wb7AgAABUxhYmVsCU4BAAABA/3//3D+//8G/gIAAARUeXBlCU0BAAAHx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cP7//wn4AgAABgIDAAAcRmluYW5jaWFsbHkgZW50ZXJlZCBxdWFudGl0eQH9/P//cP7//wn7AgAACVwBAAAB+vz//3D+//8J/gIAAAlbAQAAB8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/z//3D+//8GCgMAAARUeXBlCU0BAAAB9Pz//3D+//8GDQMAAAVMYWJlbAlOAQAAAfH8//9w/v//BhADAAAIUmVmZXJzVG8GEQMAAAs9SXRlbU51bWJlcg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YAAAAJGwEAAAMAAAAJEwMAAAT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YAAAAJGwEAAAMAAAAJFQM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EgAAAAMAAAAJFwMAAAHzAgAAEgAAAAf0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o/P//9P7//wYZAwAAFlRhYmxlLkludmVudFN1bS5JdGVtSWQJDgEAAAHl/P//9P7//wYcAwAAG1RhYmxlLkludmVudFN1bS5Qb3N0ZWRWYWx1ZQkdAwAAAeL8///0/v//Bh8DAAAZVGFibGUuSW52ZW50U3VtLlBvc3RlZFF0eQkRAQAAAd/8///0/v//BiIDAAAYVGFibGUuSW52ZW50U3VtLkRlZHVjdGVkCSMDAAAB3Pz///T+//8GJQMAABhUYWJsZS5JbnZlbnRTdW0uUmVjZWl2ZWQJJgMAAAHZ/P//9P7//wYoAwAAHVRhYmxlLkludmVudFN1bS5SZXNlcnZPcmRlcmVkCSkDAAAB1vz///T+//8GKwMAAB5UYWJsZS5JbnZlbnRTdW0uUmVzZXJ2UGh5c2ljYWwJLAMAAAHT/P//9P7//wYuAwAAF1RhYmxlLkludmVudFN1bS5Pbk9yZGVyCS8DAAAB0Pz///T+//8GMQMAABdUYWJsZS5JbnZlbnRTdW0uT3JkZXJlZAkyAwAAAfYCAAB7AAAABxM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3D+//8GNAMAAAVMYWJlbAnLAgAAAcr8//9w/v//BjcDAAAEVHlwZQnKAgAABxU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z//3D+//8JNAMAAAnbAgAAAcT8//9w/v//CTcDAAAJ2g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8//9w/v//CQoDAAAGQQMAAARFbnVtAb78//9w/v//CQ0DAAAGRAMAAAlJdGVtIHR5cGUBu/z//3D+//8JEAMAAAZHAwAACT1JdGVtVHlwZQEdAwAADgEAAAG4/P//WP////////8ABkkDAAAEUmVhbAZKAwAAFUZpbmFuY2lhbCBjb3N0IGFtb3VudAlPAQAAAbT8//9W////AgAAAAGz/P//r/7//wEAAAAAAAlSAQAABk8DAAALUG9zdGVkVmFsdWUJCAAAAAr/////CVIBAAAKCU8DAAAKCgoJCAAAAAlUAwAACQgAAAABIwMAAA4BAAABqvz//1j/////////AAZXAwAABFJlYWwGWAMAAAhEZWR1Y3RlZAlPAQAAAab8//9W////AgAAAAGl/P//r/7//wEAAAAAAAlSAQAABl0DAAAIRGVkdWN0ZWQJCAAAAAr/////CVIBAAAKCV0DAAAKCgoJCAAAAAliAwAACQgAAAABJgMAAA4BAAABnPz//1j/////////AAZlAwAABFJlYWwGZgMAAAhSZWNlaXZlZAlPAQAAAZj8//9W////AgAAAAGX/P//r/7//wEAAAAAAAlSAQAABmsDAAAIUmVjZWl2ZWQJCAAAAAr/////CVIBAAAKCWsDAAAKCgoJCAAAAAlwAwAACQgAAAABKQMAAA4BAAABjvz//1j/////////AAZzAwAABFJlYWwGdAMAABBPcmRlcmVkIHJlc2VydmVkCU8BAAABivz//1b///8CAAAAAYn8//+v/v//AQAAAAAACVIBAAAGeQMAAA1SZXNlcnZPcmRlcmVkCQgAAAAK/////wlSAQAACgl5AwAACgoKCQgAAAAJfgMAAAkIAAAAASwDAAAOAQAAAYD8//9Y/////////wAGgQMAAARSZWFsBoIDAAARUGh5c2ljYWwgcmVzZXJ2ZWQJTwEAAAF8/P//Vv///wIAAAABe/z//6/+//8BAAAAAAAJUgEAAAaHAwAADlJlc2VydlBoeXNpY2FsCQgAAAAK/////wlSAQAACgmHAwAACgoKCQgAAAAJjAMAAAkIAAAAAS8DAAAOAQAAAXL8//9Y/////////wAGjwMAAARSZWFsBpADAAAIT24gb3JkZXIJTwEAAAFu/P//Vv///wIAAAABbfz//6/+//8BAAAAAAAJUgEAAAaVAwAAB09uT3JkZXIJCAAAAAr/////CVIBAAAKCZUDAAAKCgoJCAAAAAmaAwAACQgAAAABMgMAAA4BAAABZPz//1j/////////AAadAwAABFJlYWwGngMAAAdPcmRlcmVkCU8BAAABYPz//1b///8CAAAAAV/8//+v/v//AQAAAAAACVIBAAAGowMAAAdPcmRlcmVkCQgAAAAK/////wlSAQAACgmjAwAACgoKCQgAAAAJqAMAAAkIAAAABFQ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rAwAABGI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tAwAABH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vAwAABH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xAwAABIw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zAwAABJo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1AwAABKg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3AwAAB6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z//3D+//8J+AIAAAa6AwAANUludmVudG9yeSB2YWx1ZSBmb3IgdGhlIGZpbmFuY2lhbGx5IHVwZGF0ZWQgcXVhbnRpdHkuAUX8//9w/v//CfsCAAAJSgMAAAFC/P//cP7//wn+AgAACUkDAAAHr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P//cP7//wn4AgAABsMDAAA7UXVhbnRpdHkgdGhhdCBoYXMgYmVlbiBwaHlzaWNhbGx5IGRlZHVjdGVkLCBidXQgbm90IHBvc3RlZC4BPPz//3D+//8J+wIAAAlYAwAAATn8//9w/v//Cf4CAAAJVwMAAAev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8//9w/v//CfgCAAAGzAMAACpQaHlzaWNhbCBxdWFudGl0eSByZWNlaXZlZCwgYnV0IG5vdCBwb3N0ZWQBM/z//3D+//8J+wIAAAlmAwAAATD8//9w/v//Cf4CAAAJZQMAAAe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38//9w/v//CfgCAAAG1QMAACVRdWFudGl0eSByZXNlcnZlZCBvbiBxdWFudGl0eSBvcmRlcmVkASr8//9w/v//CfsCAAAJdAMAAAEn/P//cP7//wn+AgAACXMDAAAHs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P//cP7//wn4AgAABt4DAAAqUXVhbnRpdHkgcmVzZXJ2ZWQgb2YgdGhlIHBoeXNpY2FsIHF1YW50aXR5ASH8//9w/v//CfsCAAAJggMAAAEe/P//cP7//wn+AgAACYEDAAAHt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P//cP7//wn4AgAABucDAAARUXVhbnRpdHkgb24gb3JkZXIBGPz//3D+//8J+wIAAAmQAwAAARX8//9w/v//Cf4CAAAJjwMAAAe3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8//9w/v//CfgCAAAG8AMAABBRdWFudGl0eSBvcmRlcmVkAQ/8//9w/v//CfsCAAAJngMAAAEM/P//cP7//wn+AgAACZ0DAAAL
    <Output>
      <OutputObject name="AtlasReport_3"/>
    </Output>
  </Query>
</Atlas>
</file>

<file path=customXml/item8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Y0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N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SXRlbUlkBiQAAAALSXRlbSBudW1iZXIGJQAAAAZTdHJpbmcGJgAAAAAGJwAAACRjYmUwNTllMS01NjgzLTQ2MTMtYjM4Ny1hZDY4NDllM2UyY2Y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CAAAAAAAAAAAF1f///0BHbG9iZVNvZnR3YXJlLkF0bGFzNDAuQXRsYXNDb21tb24uVHlwZS5Db2x1bW4rQ3Jvc3NUYWJDb2x1bW5UeXBlAQAAAAd2YWx1ZV9fAAgOAAAAAAAAAAoBAAAAAAAAAAAAAAAAAAYsAAAAJDZhNmQ3OTg2LTk5ZjctNDRkYy04OWI0LTc2NGNkMDNkYzZjNAYtAAAAFlRhYmxlLkludmVudFN1bS5JdGVtSWQKCgoKARUAAAAUAAAACS4AAAAJLwAAAAkwAAAABjEAAAAMSW52ZW50U2l0ZUlkBjIAAAAEU2l0ZQYzAAAABlN0cmluZwkmAAAABjUAAAAkNDk1Njk2MTYtY2MyZC00ZTIyLThlMDQtYjM5MTU3ZDBmYzQ3Acr////Y/////////wEAAAAByf///9f///8AAAAAAcj////W////AgAAAAAAAAAAAcf////V////AAAAAAoBAAAAAAAAAAABAAAAAAY6AAAAJDE3M2MwY2IwLTE1MWItNGJhNS04ZWU1LTdlMGFjMzBmOTY2NAY7AAAAOFRhYmxlLkludmVudFN1bS5JbnZlbnREaW1JZH5UYWJsZS5JbnZlbnREaW0uSW52ZW50U2l0ZUlkCgoKCgEWAAAAFAAAAAk8AAAACT0AAAAJPgAAAAY/AAAAEEludmVudExvY2F0aW9uSWQGQAAAAAlXYXJlaG91c2UGQQAAAAZTdHJpbmcJJgAAAAZDAAAAJDU4YTRjMmYzLWYzMWMtNDY3MC1hOTZhLWM1YWE0M2YwMmNmMgG8////2P////////8CAAAAAbv////X////AAAAAAG6////1v///wIAAAAAAAAAAAG5////1f///wAAAAAKAQAAAAAAAAAAAgAAAAAGSAAAACRkMDE2MzRlYi03ZjMxLTQwMzktYjc1My1jYWZiZDBkMTc4MzUGSQAAADxUYWJsZS5JbnZlbnRTdW0uSW52ZW50RGltSWR+VGFibGUuSW52ZW50RGltLkludmVudExvY2F0aW9uSWQKCgoKARcAAAAUAAAACUoAAAAJSwAAAAlMAAAABk0AAAAJUG9zdGVkUXR5Bk4AAAAPQ3VycmVudCBPbi1oYW5kBk8AAAAEUmVhbAkmAAAABlEAAAAkMjk2ODdhODUtMzdiYy00OTA2LThiOTktNjI4Mzc4N2VhMGU3Aa7////Y////AQAAAAMAAAABrf///9f///8AAAAAAaz////W////AgAAAAAAAAAAAav////V////AAAAAAoBAAAAAAAAAAADAAAAAAZWAAAAJDgyODliZTYxLTUzZDItNDY4My1hYjRjLWFkZTZkNzhkNTdkZgZXAAAAGVRhYmxlLkludmVudFN1bS5Qb3N0ZWRRdHkKCgoKARgAAAAUAAAACVgAAAAJWQAAAAlaAAAABlsAAAA3QXRsYXNNYW5hZ2VkQ29sdW1uX2M5NTk1NDRmLTBkNzQtNGM3MS1iZDc4LWIxNWM4ZmYyMjI1OQZcAAAAG1RyYW5zIGJhY2t3b3JkcyAoQmVnaW5uaW5nKQkmAAAACSYAAAAGXgAAACQ4NjY3ZGQ0OC00YjZmLTQyZDgtOWJiYy1iMDIwNDIzZmM1MzEBof///9j///8BAAAABAAAAAGg////1////wIAAAABn////9b///8CAAAAAAAAAAABnv///9X///8AAAAACgEAAAAAAAAAAAQAAAAABmMAAAAkZTBjZWNjNGUtNzFlOS00ODNkLTlkODAtY2QxYzdhMTBiNmJlCSYAAAAKCgoKARkAAAAUAAAACWUAAAAJZgAAAAlnAAAABmgAAAA3QXRsYXNNYW5hZ2VkQ29sdW1uXzFiZGVlNDNkLWM2MmItNGRhOC05MzA2LWE2MmZhOWQzZWJlOQZpAAAAGFRyYW5zIGJhY2t3b3JkcyAoRW5kaW5nKQkmAAAACSYAAAAGawAAACQ1MGEzNjVkMi02ZWIzLTQzZTQtOTA1NC0xZDg5ZWM2YzUxZjQBlP///9j///8BAAAABQAAAAGT////1////wIAAAABkv///9b///8CAAAAAAAAAAABkf///9X///8AAAAACgEAAAAAAAAAAAUAAAAABnAAAAAkNDE3ZTkzYmMtYTAyMy00MDA2LTg4MjUtMGE4ZjhmMTgxZDFiCSYAAAAKCgoKARoAAAAUAAAACXIAAAAJcwAAAAl0AAAABnUAAAA3QXRsYXNNYW5hZ2VkQ29sdW1uXzVmZDA3MmJkLTI5OGUtNGQ2My1iZmJhLWE4NzJkOTg5M2IyZgZ2AAAAEUJlZ2lubmluZyBPbi1oYW5kCSYAAAAJJgAAAAZ4AAAAJDgyMTM0MDAzLTdjMDgtNGI1My04MGUyLWI5N2YyYmJlMTg1NQGH////2P///wEAAAAGAAAAAYb////X////AgAAAAGF////1v///wIAAAAAAAAAAAGE////1f///wAAAAAKAQAAAAAAAAAABgAAAAAGfQAAACRkOWNiM2QwMS1jNTBhLTQ4N2YtYjA1OC1iNWVhZjg1YTQ3ZmQJJgAAAAoKCgoBGwAAABQAAAAJfwAAAAmAAAAACYEAAAAGggAAADdBdGxhc01hbmFnZWRDb2x1bW5fZGZhZmQ3MWItYWM5ZC00MWY1LWE2YWMtNDAzMjQzNmE0YzhjBoMAAAAORW5kaW5nIE9uLWhhbmQJJgAAAAkmAAAABoUAAAAkZGM2M2M0ODYtMDU5Yi00N2E1LWJmYWUtMzRjOTFiYWQ1MTgyAXr////Y////AQAAAAcAAAABef///9f///8CAAAAAXj////W////AgAAAAAAAAAAAXf////V////AAAAAAoBAAAAAAAAAAAHAAAAAAaKAAAAJDhmMWYxNTdmLTAzNmQtNGRmMi05ODUwLTE3NGRhZWM2NjcxZgkmAAAACgoKCgUeAAAAOEdsb2JlU29mdHdhcmUuQXRsYXM0MC5BdGxhc0NvbW1vbkNsaWVudC5SZXBvcnQuUmVmZXJlbmNlAQAAAApfcmVmZXJlbmNlBwgcAAAACYwAAAAHHwAAAAABAAAABAAAAAQ8R2xvYmVTb2Z0d2FyZS5BdGxhczQwLkF0bGFzQ29tbW9uQ2xpZW50LkRhdGFTb3VyY2VGaWVsZFZhbHVlHAAAAAmNAAAACY4AAAAJjwAAAAoEI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kAAAAAEAAAABAAAABC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CAEAAAmRAAAABwAAAAmSAAAABC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wEAAAmTAAAABwAAAAmUAAAAAS4AAAAgAAAACZUAAAABAAAAAQAAAAEvAAAAIQAAAP8AAAAJlgAAAAcAAAAJlwAAAAEwAAAAIgAAAPwAAAAJmAAAAAcAAAAJmQAAAAE8AAAAIAAAAAmaAAAAAQAAAAEAAAABPQAAACEAAAD/AAAACZYAAAAHAAAACZwAAAABPgAAACIAAAD8AAAACZgAAAAHAAAACZ4AAAABSgAAACAAAAAJnwAAAAEAAAABAAAAAUsAAAAhAAAACwEAAAmRAAAABwAAAAmhAAAAAUwAAAAiAAAAAwEAAAmTAAAABwAAAAmjAAAAAVgAAAAgAAAACaQAAAAAAAAAAAAAAAFZAAAAIQAAAPkAAAAJlgAAAAcAAAAJpgAAAAFaAAAAIgAAAO4AAAAJmAAAAAcAAAAJqAAAAAFlAAAAIAAAAAmkAAAAAAAAAAAAAAABZgAAACEAAAD3AAAACZYAAAAHAAAACasAAAABZwAAACIAAADuAAAACZgAAAAHAAAACa0AAAABcgAAACAAAAAJrgAAAAAAAAAAAAAAAXMAAAAhAAAA5gAAAAmvAAAABwAAAAmwAAAAAXQAAAAiAAAA4AAAAAmxAAAABwAAAAmyAAAAAX8AAAAgAAAACa4AAAAAAAAAAAAAAAGAAAAAIQAAAOYAAAAJrwAAAAcAAAAJtQAAAAGBAAAAIgAAAOAAAAAJsQAAAAcAAAAJtwAAAA+MAAAAAQAAAAgBAAAABY0AAAA8R2xvYmVTb2Z0d2FyZS5BdGxhczQwLkF0bGFzQ29tbW9uQ2xpZW50LkRhdGFTb3VyY2VGaWVsZFZhbHVlBAAAABJfaXNEcmlsbERvd25GaWx0ZXIGX2RzS2V5Cl9maWVsZG5hbWULX2ZpZWxkVmFsdWUAAQEBARwAAAAABrgAAAAPVGFibGUuSW52ZW50U3VtBrkAAAAKRGF0YUFyZWFJZAkGAAAAAY4AAACNAAAAAAm4AAAABrwAAAAGSXRlbUlkBr0AAAABKgGPAAAAjQAAAAAGvgAAAChUYWJsZS5JbnZlbnRTdW0uSXRlbUlkflRhYmxlLkludmVudFRhYmxlBr8AAAAISXRlbVR5cGUGwAAAAAghU2VydmljZQeQAAAAAAEAAAAEAAAABDdHbG9iZVNvZnR3YXJlLkF0bGFzNDAuQXRsYXNDb21tb24uVHlwZS5GaWVsZE91dHB1dEZpZWxkDgAAAAnBAAAADQMEk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k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7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Pf///zJHbG9iZVNvZnR3YXJlLkF0bGFzNDAuQXRsYXNDb21tb24uQ29sdW1uQXR0cmlidXRlcwEAAAAHdmFsdWVfXwAIDgAAAAYAAAAGxAAAAAVUb3RhbAE7////Pv///wE6////Pf///xAAAAAGxwAAAAROb25lATj///8+////ATf///89////CQAAAAkmAAAAATX///8+////ATT///89////CwAAAAbNAAAAATABMv///z7///8BMf///z3///8EAAAABtAAAAAHR2VuZXJhbAEv////Pv///wEu////Pf///wIAAAAG0wAAAAExASz///8+////ASv///89////AAAAAAbWAAAABTMxLjI5AZMAAAAMAAAAB5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K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YAAAACEZvbnRCb2xkBtkAAAAFRmFsc2UBJv///yn///8G2wAAAApGb250SXRhbGljCdkAAAABI////yn///8G3gAAAA1Gb250VW5kZXJsaW5lBt8AAAAFLTQxNDIBIP///yn///8G4QAAAAhGb250TmFtZQbiAAAAB0NhbGlicmkBHf///yn///8G5AAAAAlGb250Q29sb3IG5QAAAAEwARr///8p////BucAAAAIRm9udFNpemUG6AAAAAIxMQEX////Kf///wbqAAAACUZvbnRTdHlsZQbrAAAAB1JlZ3VsYXIHlQAAAAABAAAABAAAAAQ3R2xvYmVTb2Z0d2FyZS5BdGxhczQwLkF0bGFzQ29tbW9uLlR5cGUuRmllbGRPdXRwdXRGaWVsZA4AAAAJ7AAAAA0DAZYAAACRAAAAB5c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////Pv///wES////Pf///wkAAAAJJgAAAAEQ////Pv///wEP////Pf///wsAAAAG8gAAAAExAQ3///8+////AQz///89////BAAAAAb1AAAAB0dlbmVyYWwBCv///z7///8BCf///z3///8CAAAABvgAAAABMQEH////Pv///wEG////Pf///wAAAAAG+wAAAAE2AZgAAAAMAAAAB5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///yn///8J2AAAAAnZAAAAAQH///8p////CdsAAAAJ2QAAAAH+/v//Kf///wneAAAABgQBAAAFLTQxNDIB+/7//yn///8J4QAAAAYHAQAAB0NhbGlicmkB+P7//yn///8J5AAAAAYKAQAAATAB9f7//yn///8J5wAAAAYNAQAAAjExAfL+//8p////CeoAAAAGEAEAAAdSZWd1bGFyB5oAAAAAAQAAAAQAAAAEN0dsb2JlU29mdHdhcmUuQXRsYXM0MC5BdGxhc0NvbW1vbi5UeXBlLkZpZWxkT3V0cHV0RmllbGQOAAAACREBAAANAwec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7v7//z7///8B7f7//z3///8JAAAACSYAAAAB6/7//z7///8B6v7//z3///8LAAAABhcBAAABMgHo/v//Pv///wHn/v//Pf///wQAAAAGGgEAAAdHZW5lcmFsAeX+//8+////AeT+//89////AgAAAAYdAQAAATEB4v7//z7///8B4f7//z3///8AAAAABiABAAAFMTIuODYHn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v//Kf///wnYAAAACdkAAAAB3P7//yn///8J2wAAAAnZAAAAAdn+//8p////Cd4AAAAGKQEAAAUtNDE0MgHW/v//Kf///wnhAAAABiwBAAAHQ2FsaWJyaQHT/v//Kf///wnkAAAABi8BAAABMAHQ/v//Kf///wnnAAAABjIBAAACMTEBzf7//yn///8J6gAAAAY1AQAAB1JlZ3VsYXIHnwAAAAABAAAABAAAAAQ3R2xvYmVTb2Z0d2FyZS5BdGxhczQwLkF0bGFzQ29tbW9uLlR5cGUuRmllbGRPdXRwdXRGaWVsZA4AAAAJNgEAAA0DB6E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J/v//Pv///wHI/v//Pf///xAAAAAJxwAAAAHG/v//Pv///wHF/v//Pf///wkAAAAJJgAAAAHD/v//Pv///wHC/v//Pf///wsAAAAGPwEAAAEzAcD+//8+////Ab/+//89////BAAAAAZCAQAAL18oKiAjLCMjMC4wMF8pO18oKiAoIywjIzAuMDApO18oKiAiLSI/P18pO18oQF8pAb3+//8+////Abz+//89////AgAAAAZFAQAAATEBuv7//z7///8Buf7//z3///8AAAAABkgBAAAFMTYuNzEBt/7//z7///8Btv7//z3///8kAAAACU4AAAAHo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/v//Kf///wnYAAAACdkAAAABsf7//yn///8J2wAAAAnZAAAAAa7+//8p////Cd4AAAAGVAEAAAUtNDE0MgGr/v//Kf///wnhAAAABlcBAAAHQ2FsaWJyaQGo/v//Kf///wnkAAAABloBAAABMAGl/v//Kf///wnnAAAABl0BAAACMTEBov7//yn///8J6gAAAAZgAQAAB1JlZ3VsYXIHpAAAAAABAAAAAAAAAAQ3R2xvYmVTb2Z0d2FyZS5BdGxhczQwLkF0bGFzQ29tbW9uLlR5cGUuRmllbGRPdXRwdXRGaWVsZA4AAAAHp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/+//8+////AZ7+//89////JAAAAAlcAAAAAZz+//8+////AZv+//89////CwAAAAZmAQAAATQBmf7//z7///8BmP7//z3///8EAAAABmkBAAAvXygqICMsIyMwLjAwXyk7XygqICgjLCMjMC4wMCk7XygqICItIj8/Xyk7XyhAXykBlv7//z7///8Blf7//z3///8CAAAABmwBAAABMQGT/v//Pv///wGS/v//Pf///wAAAAAGbwEAAAUxOS44NgGQ/v//Pv///wGP/v//Pf///wMAAAAGcgEAAMkBPUF0bGFzQmFsYW5jZSgiUFJPRCIsRGF0YUFyZWFJZCwiVC5JbnZlbnRUcmFuc3xpbnZlbnREaW1JZH5pbnZlbnREaW1JZEBULkludmVudERpbSIsIlN1bXxRdHl8MCIsIiIsIiIsIiIsIiIsIiIsIiIsIkRhdGVGaW5hbmNpYWx8SXRlbUlkfFQyLkludmVudFNpdGVJZHxUMi5JbnZlbnRMb2NhdGlvbklkIixQZXJpb2RCZWdpbm5pbmcsJEEzLCRCMywkQzMpB6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7//yn///8GdAEAAAhGb250Qm9sZAnZAAAAAYr+//8p////BncBAAAKRm9udEl0YWxpYwnZAAAAAYf+//8p////BnoBAAANRm9udFVuZGVybGluZQZ7AQAABS00MTQyAYT+//8p////Bn0BAAAIRm9udE5hbWUGfgEAAAdDYWxpYnJpAYH+//8p////BoABAAAJRm9udENvbG9yBoEBAAABMAF+/v//Kf///waDAQAACEZvbnRTaXplBoQBAAACMTEBe/7//yn///8GhgEAAAlGb250U3R5bGUGhwEAAAdSZWd1bGFyB6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4/v//Pv///wF3/v//Pf///yQAAAAJaQAAAAF1/v//Pv///wF0/v//Pf///wsAAAAGjQEAAAE1AXL+//8+////AXH+//89////BAAAAAaQAQAAL18oKiAjLCMjMC4wMF8pO18oKiAoIywjIzAuMDApO18oKiAiLSI/P18pO18oQF8pAW/+//8+////AW7+//89////AgAAAAaTAQAAATEBbP7//z7///8Ba/7//z3///8AAAAABpYBAAAFMTYuODYBaf7//z7///8BaP7//z3///8DAAAABpkBAADGAT1BdGxhc0JhbGFuY2UoIlBST0QiLERhdGFBcmVhSWQsIlQuSW52ZW50VHJhbnN8aW52ZW50RGltSWR+aW52ZW50RGltSWRAVC5JbnZlbnREaW0iLCJTdW18UXR5fDAiLCIiLCIiLCIiLCIiLCIiLCIiLCJEYXRlRmluYW5jaWFsfEl0ZW1JZHxUMi5JbnZlbnRTaXRlSWR8VDIuSW52ZW50TG9jYXRpb25JZCIsUGVyaW9kRW5kaW5nLCRBMywkQjMsJEMzKQ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b+//8p////CXQBAAAJ2QAAAAFj/v//Kf///wl3AQAACdkAAAABYP7//yn///8JegEAAAaiAQAABS00MTQyAV3+//8p////CX0BAAAGpQEAAAdDYWxpYnJpAVr+//8p////CYABAAAGqAEAAAEwAVf+//8p////CYMBAAAGqwEAAAIxMQFU/v//Kf///wmGAQAABq4BAAAHUmVndWxhcgeuAAAAAAEAAAAAAAAABDdHbG9iZVNvZnR3YXJlLkF0bGFzNDAuQXRsYXNDb21tb24uVHlwZS5GaWVsZE91dHB1dEZpZWxkDgAAAAGvAAAAkQAAAAew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f7//z7///8BUP7//z3///8kAAAACXYAAAABTv7//z7///8BTf7//z3///8LAAAABrQBAAABNgFL/v//Pv///wFK/v//Pf///wQAAAAGtwEAAC9fKCogIywjIzAuMDBfKTtfKCogKCMsIyMwLjAwKTtfKCogIi0iPz9fKTtfKEBfKQFI/v//Pv///wFH/v//Pf///wIAAAAGugEAAAExAUX+//8+////AUT+//89////AAAAAAa9AQAABTE5Ljg2AUL+//8+////AUH+//89////AwAAAAbAAQAANj1bQFtDdXJyZW50IE9uLWhhbmRdXS1bQFtUcmFucyBiYWNrd29yZHMgKEJlZ2lubmluZyldXQGxAAAADAAAAAey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+//8p////BsIBAAAIRm9udEJvbGQJ2QAAAAE8/v//Kf///wbFAQAACkZvbnRJdGFsaWMJ2QAAAAE5/v//Kf///wbIAQAADUZvbnRVbmRlcmxpbmUGyQEAAAUtNDE0MgE2/v//Kf///wbLAQAACEZvbnROYW1lBswBAAAHQ2FsaWJyaQEz/v//Kf///wbOAQAACUZvbnRDb2xvcgbPAQAAATABMP7//yn///8G0QEAAAhGb250U2l6ZQbSAQAAAjExAS3+//8p////BtQBAAAJRm9udFN0eWxlBtUBAAAHUmVndWxhcg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v7//z7///8BKf7//z3///8kAAAACYMAAAABJ/7//z7///8BJv7//z3///8LAAAABtsBAAABNwEk/v//Pv///wEj/v//Pf///wQAAAAG3gEAAC9fKCogIywjIzAuMDBfKTtfKCogKCMsIyMwLjAwKTtfKCogIi0iPz9fKTtfKEBfKQEh/v//Pv///wEg/v//Pf///wIAAAAG4QEAAAExAR7+//8+////AR3+//89////AAAAAAbkAQAABTE2Ljg2ARv+//8+////ARr+//89////AwAAAAbnAQAAMz1bQFtDdXJyZW50IE9uLWhhbmRdXS1bQFtUcmFucyBiYWNrd29yZHMgKEVuZGluZyldXQe3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j+//8p////CcIBAAAJ2QAAAAEV/v//Kf///wnFAQAACdkAAAABEv7//yn///8JyAEAAAbwAQAABS00MTQyAQ/+//8p////CcsBAAAG8wEAAAdDYWxpYnJpAQz+//8p////Cc4BAAAG9gEAAAEwAQn+//8p////CdEBAAAG+QEAAAIxMQEG/v//Kf///wnUAQAABvwBAAAHUmVndWxhcgXB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D/v//2P////////8ABv4BAAAGU3RyaW5nBv8BAAALSXRlbSBudW1iZXIJAAIAAAH//f//1v///wIAAAAF/v3//zlHbG9iZVNvZnR3YXJlLkF0bGFzNDAuQXRsYXNDb21tb24uTnVtYmVyU2VxdWVuY2VDb25kaXRpb24BAAAAB3ZhbHVlX18ACA4AAAABAAAAAAAGAwIAAA9UYWJsZS5JbnZlbnRTdW0JIwAAAAkmAAAACv////8JAwIAAAoJIwAAAAoKCgkmAAAACQkCAAAJJgAAAAHsAAAAwQAAAAH1/f//2P////////8ABgwCAAAGU3RyaW5nBg0CAAAEU2l0ZQkOAgAAAfH9///W////AgAAAAHw/f///v3//wEAAAAAAAYRAgAAK1RhYmxlLkludmVudFN1bS5JbnZlbnREaW1JZH5UYWJsZS5JbnZlbnREaW0JMQAAAAkmAAAACv////8JEQIAAAoJMQAAAAYWAgAAC0ludmVudERpbUlkBhcCAAAJSW52ZW50U3VtCgkmAAAACRkCAAAJJgAAAAERAQAAwQAAAAHl/f//2P////////8ABhwCAAAGU3RyaW5nBh0CAAAJV2FyZWhvdXNlCQ4CAAAB4f3//9b///8CAAAAAeD9///+/f//AQAAAAAACRECAAAJPwAAAAkmAAAACv////8JEQIAAAoJPwAAAAYmAgAAC0ludmVudERpbUlkBicCAAAJSW52ZW50U3VtCgkmAAAACSkCAAAJJgAAAAE2AQAAwQAAAAHV/f//2P///wEAAAAABiwCAAAEUmVhbAYtAgAAD1Bvc3RlZCBxdWFudGl0eQkAAgAAAdH9///W////AgAAAAHQ/f///v3//wEAAAAAAAkDAgAACU0AAAAJJgAAAAr/////CQMCAAAKCU0AAAAKCgoJJgAAAAk3AgAACSYAAAAFAA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gAAAAY5AgAACUludmVudFN1bQY6AgAAEU9uLWhhbmQgaW52ZW50b3J5CSYAAAAJJgAAAAkmAAAABcT9//8wR2xvYmVTb2Z0d2FyZS5BdGxhczQwLkF0bGFzQ29tbW9uLkRhdGFTb3VyY2VUeXBlAQAAAAd2YWx1ZV9fAAgOAAAAAAAAAAk9AgAACT4CAAAEwf3//wtTeXN0ZW0uR3VpZAsAAAACX2ECX2ICX2MCX2QCX2UCX2YCX2cCX2gCX2kCX2oCX2sAAAAAAAAAAAAAAAgHBwICAgICAgIC4cciD+12Nk+Or4E2TNn4oAkmAAAACSYAAAAJQQIAAAkDAgAACgoKCgoBAAAABb39//80R2xvYmVTb2Z0d2FyZS5BdGxhczQwLkF0bGFzQ29tbW9uLkRhdGFTb3VyY2VKb2luTW9kZQEAAAAHdmFsdWVfXwAIDgAAAAAAAAAFvP3//zVHbG9iZVNvZnR3YXJlLkF0bGFzNDAuQXRsYXNDb21tb24uRGF0YVNvdXJjZUZldGNoTW9kZQEAAAAHdmFsdWVfXwAIDgAAAAAAAAAACUUCAAABCQIAACIAAABvAAAACZMAAAADAAAACUcCAAABDgIAAAACAAD/////BkgCAAAJSW52ZW50RGltBkkCAAAUSW52ZW50b3J5IGRpbWVuc2lvbnMJJgAAAAkmAAAACSYAAAABtf3//8T9//8AAAAACUwCAAAJTQIAAAGy/f//wf3//091ITy7lAdBlBGA1lNM4moJJgAAAAkmAAAACVACAAAJEQIAAAZSAgAACUludmVudFN1bQZTAgAAD1RhYmxlLkludmVudFN1bQZUAgAAG1RhYmxlLkludmVudFN1bS5JbnZlbnREaW1JZAZVAgAAC0ludmVudERpbUlkBlYCAAALaW52ZW50RGltSWQBAAAAAan9//+9/f//AAAAAAGo/f//vP3//wAAAAAACVkCAAABGQIAACIAAABmAAAACZgAAAADAAAACVsCAAABKQIAACIAAABmAAAACZgAAAADAAAACV0CAAABNwIAACIAAABvAAAACZMAAAADAAAACV8CAAAEP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kAAAAJYAIAABEAAAAJYQIAAAQ+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ACAAAAAAAABEE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gAgAAAAAAAARF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jAgAAAAAAAAd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9//8p////BmUCAAAISGVscFRleHQGZgIAAA5JZGVudGlmeSBpdGVtLgGZ/f//Kf///wZoAgAABUxhYmVsCf8BAAABlv3//yn///8GawIAAARUeXBlCf4BAAABTAIAAD0CAAACAAAACZgAAAADAAAACW4CAAABTQIAAD4CAAAAAAAACW8CAAAAAAAAAVACAABBAgAAAAAAAAmYAAAAAAAAAAFZAgAARQIAAAAAAAAJcQIAAAAAAAAHW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f//Kf///wZzAgAABUxhYmVsCQ0CAAABi/3//yn///8GdgIAAARUeXBlCQwCAAAHX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f//Kf///wlzAgAACR0CAAABhf3//yn///8JdgIAAAkcAgAAB18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3//yn///8JZQIAAAaAAgAAHEZpbmFuY2lhbGx5IGVudGVyZWQgcXVhbnRpdHkBf/3//yn///8JaAIAAAktAgAAAXz9//8p////CWsCAAAJLAIAAAFgAgAADAAAAAdh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5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IAgAAFlRhYmxlLkludmVudFN1bS5JdGVtSWQJwQAAAAF2/f//ef3//waLAgAAG1RhYmxlLkludmVudFN1bS5Qb3N0ZWRWYWx1ZQmMAgAAAXP9//95/f//Bo4CAAAZVGFibGUuSW52ZW50U3VtLlBvc3RlZFF0eQk2AQAAAXD9//95/f//BpECAAAYVGFibGUuSW52ZW50U3VtLkRlZHVjdGVkCZICAAABbf3//3n9//8GlAIAABhUYWJsZS5JbnZlbnRTdW0uUmVjZWl2ZWQJlQIAAAFq/f//ef3//waXAgAAHVRhYmxlLkludmVudFN1bS5SZXNlcnZPcmRlcmVkCZgCAAABZ/3//3n9//8GmgIAAB5UYWJsZS5JbnZlbnRTdW0uUmVzZXJ2UGh5c2ljYWwJmwIAAAFk/f//ef3//wadAgAAF1RhYmxlLkludmVudFN1bS5Pbk9yZGVyCZ4CAAABYf3//3n9//8GoAIAABdUYWJsZS5JbnZlbnRTdW0uT3JkZXJlZAmhAgAABGM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duAg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e/f//ef3//wajAgAAOFRhYmxlLkludmVudFN1bS5JbnZlbnREaW1JZH5UYWJsZS5JbnZlbnREaW0uSW52ZW50U2l0ZUlkCewAAAABW/3//3n9//8GpgIAADxUYWJsZS5JbnZlbnRTdW0uSW52ZW50RGltSWR+VGFibGUuSW52ZW50RGltLkludmVudExvY2F0aW9uSWQJEQEAAAFvAgAADAAAAAFxAgAAYwIAAAGMAgAAwQAAAAFY/f//2P////////8ABqkCAAAEUmVhbAaqAgAAFUZpbmFuY2lhbCBjb3N0IGFtb3VudAkAAgAAAVT9///W////AgAAAAFT/f///v3//wEAAAAAAAkDAgAABq8CAAALUG9zdGVkVmFsdWUJJgAAAAr/////CQMCAAAKCa8CAAAKCgoJJgAAAAm0AgAACSYAAAABkgIAAMEAAAABSv3//9j/////////AAa3AgAABFJlYWwGuAIAAAhEZWR1Y3RlZAkAAgAAAUb9///W////AgAAAAFF/f///v3//wEAAAAAAAkDAgAABr0CAAAIRGVkdWN0ZWQJJgAAAAr/////CQMCAAAKCb0CAAAKCgoJJgAAAAnCAgAACSYAAAABlQIAAMEAAAABPP3//9j/////////AAbFAgAABFJlYWwGxgIAAAhSZWNlaXZlZAkAAgAAATj9///W////AgAAAAE3/f///v3//wEAAAAAAAkDAgAABssCAAAIUmVjZWl2ZWQJJgAAAAr/////CQMCAAAKCcsCAAAKCgoJJgAAAAnQAgAACSYAAAABmAIAAMEAAAABLv3//9j/////////AAbTAgAABFJlYWwG1AIAABBPcmRlcmVkIHJlc2VydmVkCQACAAABKv3//9b///8CAAAAASn9///+/f//AQAAAAAACQMCAAAG2QIAAA1SZXNlcnZPcmRlcmVkCSYAAAAK/////wkDAgAACgnZAgAACgoKCSYAAAAJ3gIAAAkmAAAAAZsCAADBAAAAASD9///Y/////////wAG4QIAAARSZWFsBuICAAARUGh5c2ljYWwgcmVzZXJ2ZWQJAAIAAAEc/f//1v///wIAAAABG/3///79//8BAAAAAAAJAwIAAAbnAgAADlJlc2VydlBoeXNpY2FsCSYAAAAK/////wkDAgAACgnnAgAACgoKCSYAAAAJ7AIAAAkmAAAAAZ4CAADBAAAAARL9///Y/////////wAG7wIAAARSZWFsBvACAAAIT24gb3JkZXIJAAIAAAEO/f//1v///wIAAAABDf3///79//8BAAAAAAAJAwIAAAb1AgAAB09uT3JkZXIJJgAAAAr/////CQMCAAAKCfUCAAAKCgoJJgAAAAn6AgAACSYAAAABoQIAAMEAAAABBP3//9j/////////AAb9AgAABFJlYWwG/gIAAAdPcmRlcmVkCQACAAABAP3//9b///8CAAAAAf/8///+/f//AQAAAAAACQMCAAAGAwMAAAdPcmRlcmVkCSYAAAAK/////wkDAgAACgkDAwAACgoKCSYAAAAJCAMAAAkmAAAAAbQCAAAiAAAACQAAAAmTAAAAAwAAAAkLAwAAAcICAAAiAAAACQAAAAmTAAAAAwAAAAkNAwAAAdACAAAiAAAACQAAAAmTAAAAAwAAAAkPAwAAAd4CAAAiAAAACQAAAAmTAAAAAwAAAAkRAwAAAewCAAAiAAAACQAAAAmTAAAAAwAAAAkTAwAAAfoCAAAiAAAACQAAAAmTAAAAAwAAAAkVAwAAAQgDAAAiAAAACQAAAAmTAAAAAwAAAAkXAwAABw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Pz//yn///8JZQIAAAYaAwAANUludmVudG9yeSB2YWx1ZSBmb3IgdGhlIGZpbmFuY2lhbGx5IHVwZGF0ZWQgcXVhbnRpdHkuAeX8//8p////CWgCAAAJqgIAAAHi/P//Kf///wlrAgAACak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P//Kf///wllAgAABiMDAAA7UXVhbnRpdHkgdGhhdCBoYXMgYmVlbiBwaHlzaWNhbGx5IGRlZHVjdGVkLCBidXQgbm90IHBvc3RlZC4B3Pz//yn///8JaAIAAAm4AgAAAdn8//8p////CWsCAAAJtwIAAAc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b8//8p////CWUCAAAGLAMAACpQaHlzaWNhbCBxdWFudGl0eSByZWNlaXZlZCwgYnV0IG5vdCBwb3N0ZWQB0/z//yn///8JaAIAAAnGAgAAAdD8//8p////CWsCAAAJxQIAAAcR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38//8p////CWUCAAAGNQMAACVRdWFudGl0eSByZXNlcnZlZCBvbiBxdWFudGl0eSBvcmRlcmVkAcr8//8p////CWgCAAAJ1AIAAAHH/P//Kf///wlrAgAACdMCAAAHE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P//Kf///wllAgAABj4DAAAqUXVhbnRpdHkgcmVzZXJ2ZWQgb2YgdGhlIHBoeXNpY2FsIHF1YW50aXR5AcH8//8p////CWgCAAAJ4gIAAAG+/P//Kf///wlrAgAACeECAAAHF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7/P//Kf///wllAgAABkcDAAARUXVhbnRpdHkgb24gb3JkZXIBuPz//yn///8JaAIAAAnwAgAAAbX8//8p////CWsCAAAJ7w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8//8p////CWUCAAAGUAMAABBRdWFudGl0eSBvcmRlcmVkAa/8//8p////CWgCAAAJ/gIAAAGs/P//Kf///wlrAgAACf0CAAAL</Report>
</Atlas>
</file>

<file path=customXml/item9.xml><?xml version="1.0" encoding="utf-8"?>
<Atlas>
  <Query type="ReportSummary" id="8b3cb353-9c48-423f-ac56-b58b95eaf1b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OAAAAD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V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gOCj0vWjARFq9VvcRPv4AM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B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qVGFibGUuSW52ZW50VHJhbnMuSXRlbUlkflRhYmxlLkludmVudFRhYmxlCTEAAAABzv///9T///8GMwAAAElUYWJsZS5JbnZlbnRUcmFucy5JdGVtSWR+VGFibGUuSW52ZW50VGFibGUuSXRlbUlkflRhYmxlLkludmVudFRhYmxlTW9kdWxlCTQAAAABy////9T///8GNgAAAC1UYWJsZS5JbnZlbnRUcmFucy5pbnZlbnREaW1JZH5UYWJsZS5JbnZlbnREaW0JNwAAAAcUAAAAAAEAAAAQAAAABC1HbG9iZVNvZnR3YXJlLkF0bGFzNDAuQXRsYXNDb21tb24uVHlwZS5Db2x1bW4CAAAACTgAAAAJOQAAAAk6AAAACTsAAAAJPAAAAAk9AAAACT4AAAAJPwAAAAlAAAAACUEAAAAJQgAAAAlDAAAACUQAAAAJRQAAAA0CERUAAAAEAAAABkYAAAANQXRsYXNSZXBvcnRfMQ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u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t////7n///8GSgAAABFUYWJsZS5JbnZlbnRUYWJsZQkwAAAAAbT///+5////Bk0AAAAwVGFibGUuSW52ZW50VGFibGUuSXRlbUlkflRhYmxlLkludmVudFRhYmxlTW9kdWxlCTMAAAABsf///7n///8GUAAAAA9UYWJsZS5JbnZlbnREaW0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r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t////Pkdsb2JlU29mdHdhcmUuQXRsYXM0MC5BdGxhc0NvbW1vbi5UeXBlLkF0bGFzUXVlcnlBdHRyaWJ1dGVOYW1lAQAAAAd2YWx1ZV9fAAgCAAAAAgAAAAZUAAAAJDhiM2NiMzUzLTljNDgtNDIzZi1hYzU2LWI1OGI5NWVhZjFiMgGr////rv///wGq////rf///wAAAAAGVwAAAAR0cnVlAaj///+u////Aaf///+t////CwAAAAZaAAAAFkludmVudG9yeSB0cmFuc2FjdGlvbnMBpf///67///8BpP///63///8bAAAABl0AAAAEVHJ1ZQGi////rv///wGh////rf///wYAAAAGYAAAAAVGYWxzZQGf////rv///wGe////rf///xwAAAAJXQAAAAGc////rv///wGb////rf///x0AAAAJYAAAAAGZ////rv///wGY////rf///yoAAAAJXQAAAAGW////rv///wGV////rf///wEAAAAGbAAAAAMzNjQBk////67///8Bkv///63///8nAAAABm8AAAALPURhdGFBcmVhSWQBkP///67///8Bj////63///8ZAAAABnIAAAAPQ2VsbHNWZXJ0aWNhbGx5AY3///+u////AYz///+t////CQAAAAoBi////67///8Biv///63///8oAAAABncAAAACMTQBiP///67///8Bh////63///8rAAAABno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X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AAAAAtJbnZlbnRUcmFucwEAAAABg////4X///8GfgAAAAtJbnZlbnRUYWJsZQEAAAABgf///4X///8GgAAAABFJbnZlbnRUYWJsZU1vZHVsZQEAAAABf////4X///8GggAAAAlJbnZlbnREaW0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YMAAAAHAAAACY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mGAAAAASUAAAAEAAAAAgAAAAmDAAAAAwAAAAmI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kAAAAAAAAAByoAAAAAAQAAAAAAAAAELUdsb2JlU29mdHdhcmUuQXRsYXM0MC5BdGxhc0NvbW1vbi5UeXBlLkNvbHVtbgIAAAABMQAAAA4AAAD/////BooAAAALSW52ZW50VGFibGUGiwAAAAVJdGVtcwkIAAAACQgAAAAJCAAAAAFz////4P///wAAAAAJjgAAAAmPAAAAAXD////d////Co5aDLIjTEGYUXnHNTRDHAkIAAAACQgAAAAJkgAAAAkwAAAABpQAAAALSW52ZW50VHJhbnMGlQAAABFUYWJsZS5JbnZlbnRUcmFucwaWAAAAGFRhYmxlLkludmVudFRyYW5zLkl0ZW1JZAaXAAAABkl0ZW1JZAaYAAAABkl0ZW1JZAEAAAABZ////9n///8AAAAAAWb////Y////AAAAAAAJmwAAAAE0AAAADgAAAP////8GnAAAABFJbnZlbnRUYWJsZU1vZHVsZQadAAAAG0ludmVudG9yeSBtb2R1bGUgcGFyYW1ldGVycwkIAAAACQgAAAAJCAAAAAFh////4P///wAAAAAJoAAAAAmhAAAAAV7////d////jDY7bo0joECb+NWUlyQGpAkIAAAACQgAAAAJpAAAAAkzAAAABqYAAAALSW52ZW50VGFibGUGpwAAACpUYWJsZS5JbnZlbnRUcmFucy5JdGVtSWR+VGFibGUuSW52ZW50VGFibGUGqAAAADFUYWJsZS5JbnZlbnRUcmFucy5JdGVtSWR+VGFibGUuSW52ZW50VGFibGUuSXRlbUlkBqkAAAAGSXRlbUlkBqoAAAAGSXRlbUlkAQAAAAFV////2f///wAAAAABVP///9j///8AAAAAAAmtAAAAATcAAAAOAAAA/////wauAAAACUludmVudERpbQavAAAAFEludmVudG9yeSBkaW1lbnNpb25zCQgAAAAJCAAAAAkIAAAAAU/////g////AAAAAAmyAAAACbMAAAABTP///93///+V85fOxn/PQIPyuKnHlYT2CQgAAAAJCAAAAAm2AAAACTYAAAAGuAAAAAtJbnZlbnRUcmFucwa5AAAAEVRhYmxlLkludmVudFRyYW5zBroAAAAdVGFibGUuSW52ZW50VHJhbnMuaW52ZW50RGltSWQGuwAAAAtpbnZlbnREaW1JZAa8AAAAC2ludmVudERpbUlkAQAAAAFD////2f///wAAAAABQv///9j///8AAAAAAAm/AAAABTg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cAAAAAJwQAAAAnCAAAABsMAAAAJVHJhbnNUeXBlBsQAAAAJUmVmZXJlbmNlBsUAAAAERW51bQkIAAAABscAAAAkMTJiNTM3NTktOTVlMS00MTBiLTk3YzgtNjNjMmQ0MDgwMDBiBTj///8tR2xvYmVTb2Z0d2FyZS5BdGxhczQwLkF0bGFzQ29tbW9uLkFnZ3JlZ2F0aW9uAQAAAAd2YWx1ZV9fAAgCAAAA/////wAAAAAFN////yxHbG9iZVNvZnR3YXJlLkF0bGFzNDAuQXRsYXNDb21tb24uQ29sdW1uVHlwZQEAAAAHdmFsdWVfXwAIAgAAAAAAAAAFNv///ytHbG9iZVNvZnR3YXJlLkF0bGFzNDAuQXRsYXNDb21tb24uU29ydE9yZGVyAQAAAAd2YWx1ZV9fAAgCAAAAAgAAAAAAAAAABTX///9AR2xvYmVTb2Z0d2FyZS5BdGxhczQwLkF0bGFzQ29tbW9uLlR5cGUuQ29sdW1uK0Nyb3NzVGFiQ29sdW1uVHlwZQEAAAAHdmFsdWVfXwAIAgAAAAAAAAAKAQAAAAAAAAAAAAAAAAAGzAAAACQwZTg1ZTYyYS1iMzNhLTRjZjktODA1MS0xNGE2YWRjNTQzYTYGzQAAABtUYWJsZS5JbnZlbnRUcmFucy5UcmFuc1R5cGUKCgoKATkAAAA4AAAACc4AAAAJzwAAAAnQAAAABtEAAAAKVHJhbnNSZWZJZAbSAAAABk51bWJlcgbTAAAABlN0cmluZwkIAAAABtUAAAAkNDQ3ZTYxZjEtNTJlYy00ZjkxLWJkN2EtZTNkYWE1NjAyZjdlASr///84/////////wEAAAABKf///zf///8AAAAAASj///82////AgAAAAAAAAAAASf///81////AAAAAAoBAAAAAAAAAAABAAAAAAbaAAAAJDdkNjQ0YTkzLTkwYmMtNGYxYi04ZGI0LTlmNjdhMTAzYjk4YQbbAAAAHFRhYmxlLkludmVudFRyYW5zLlRyYW5zUmVmSWQKCgoKAToAAAA4AAAACdwAAAAJ3QAAAAneAAAABt8AAAAGSXRlbUlkBuAAAAALSXRlbSBudW1iZXIG4QAAAAZTdHJpbmcJCAAAAAbjAAAAJDY2Yjk4Nzg3LWU1YjUtNGYwMy1iNzMzLTJiYjdkZmU2YjAzNgEc////OP////////8CAAAAARv///83////AAAAAAEa////Nv///wIAAAAAAAAAAAEZ////Nf///wAAAAAKAQAAAAAAAAAAAgAAAAAG6AAAACQ3ZmVkOGQyYS02ZjlkLTQ1MzYtODM5Mi0yNTYyOWY2YjEyMzQG6QAAABhUYWJsZS5JbnZlbnRUcmFucy5JdGVtSWQKCgoKATsAAAA4AAAACeoAAAAJ6wAAAAnsAAAABu0AAAAISXRlbU5hbWUG7gAAAAlJdGVtIG5hbWUG7wAAAAZTdHJpbmcJCAAAAAbxAAAAJGYwZDYwODc4LWFiNmEtNGIwZC1iYjBmLTljOGY1M2RiYjdlOQEO////OP////////8DAAAAAQ3///83////AAAAAAEM////Nv///wIAAAAAAAAAAAEL////Nf///wAAAAAKAQAAAAAAAAAAAwAAAAAG9gAAACRhMDIxZDczYy1hZTY1LTQ5ODYtYmYzZC0wNmM0Mzc5YmRjOTMG9wAAADNUYWJsZS5JbnZlbnRUcmFucy5JdGVtSWR+VGFibGUuSW52ZW50VGFibGUuSXRlbU5hbWUKCgoKATwAAAA4AAAACfgAAAAJ+QAAAAn6AAAABvsAAAAMSW52ZW50U2l0ZUlkBvwAAAAEU2l0ZQb9AAAABlN0cmluZwkIAAAABv8AAAAkOTNmN2M5ODAtMjJjYy00Njg3LTg4ODUtNTU2NzhjNTZjZTVkAQD///84/////////wQAAAAB//7//zf///8AAAAAAf7+//82////AgAAAAAAAAAAAf3+//81////AAAAAAoBAAAAAAAAAAAEAAAAAAYEAQAAJDRiZjMyOThkLWY3YjUtNGE0Yi05NWZmLTc0NDdlZmE3Zjg5NAYFAQAAOlRhYmxlLkludmVudFRyYW5zLmludmVudERpbUlkflRhYmxlLkludmVudERpbS5JbnZlbnRTaXRlSWQKCgoKAT0AAAA4AAAACQYBAAAJBwEAAAkIAQAABgkBAAAQSW52ZW50TG9jYXRpb25JZAYKAQAACVdhcmVob3VzZQYLAQAABlN0cmluZwkIAAAABg0BAAAkZmNjNWE5YTEtZmYyOS00OGRmLWIxNmQtOTQ5ZWRlMDYxY2Q4AfL+//84/////////wUAAAAB8f7//zf///8AAAAAAfD+//82////AgAAAAAAAAAAAe/+//81////AAAAAAoBAAAAAAAAAAAFAAAAAAYSAQAAJDQwNDk1ZjM0LTM4MTAtNDFlYy1hOWIyLWExN2Y5YzdlODE0YwYTAQAAPlRhYmxlLkludmVudFRyYW5zLmludmVudERpbUlkflRhYmxlLkludmVudERpbS5JbnZlbnRMb2NhdGlvbklkCgoKCgE+AAAAOAAAAAkUAQAACRUBAAAJFgEAAAYXAQAADERhdGVQaHlzaWNhbAYYAQAADVBoeXNpY2FsIGRhdGUGGQEAAAREYXRlCQgAAAAGGwEAACQ5OTE4MWM0Yi05YWZhLTRmNDEtYmQzNC1jNzk5MDZlOTY1MDcB5P7//zj/////////BgAAAAHj/v//N////wAAAAAB4v7//zb///8CAAAAAAAAAAAB4f7//zX///8AAAAACgEAAAAAAAAAAAYAAAAABiABAAAkYWM2ODFlN2EtNmJkYy00NTUxLWI0MjQtOTY5ZjE1OGMwOThjBiEBAAAeVGFibGUuSW52ZW50VHJhbnMuRGF0ZVBoeXNpY2FsCgoKCgE/AAAAOAAAAAkiAQAACSMBAAAJJAEAAAYlAQAADURhdGVGaW5hbmNpYWwGJgEAAA5GaW5hbmNpYWwgZGF0ZQYnAQAABERhdGUJCAAAAAYpAQAAJDkxMzNkNmVhLTk2OTAtNDk0YS05YWI0LTFjZDAwNTM5MjVlMQHW/v//OP////////8HAAAAAdX+//83////AAAAAAHU/v//Nv///wIAAAAAAAAAAAHT/v//Nf///wAAAAAKAQAAAAAAAAAABwAAAAAGLgEAACQ4NDA0YTk5OS1hZDFmLTRkYjQtODIwMy1mMTZlZjk2YWQwMDcGLwEAAB9UYWJsZS5JbnZlbnRUcmFucy5EYXRlRmluYW5jaWFsCgoKCgFAAAAAOAAAAAkwAQAACTEBAAAJMgEAAAYzAQAAA1F0eQY0AQAACFF1YW50aXR5BjUBAAAEUmVhbAkIAAAABjcBAAAkNzMwMzQ0MjItM2ZiZS00MjdlLWE1ZjAtNDFlOTJmMGYyNzJlAcj+//84////AQAAAAgAAAABx/7//zf///8AAAAAAcb+//82////AgAAAAAAAAAAAcX+//81////AAAAAAoBAAAAAAAAAAAIAAAAAAY8AQAAJDU1MDBkYzM2LWY3MzgtNDFiNC1iMTU1LTY3YTc5MjhjNTc1NAY9AQAAFVRhYmxlLkludmVudFRyYW5zLlF0eQoKCgoBQQAAADgAAAAJPgEAAAk/AQAACUABAAAGQQEAAAZVbml0SWQGQgEAAARVbml0BkMBAAAGU3RyaW5nCQgAAAAGRQEAACQ3NjE1NmNmMy00YmQ3LTQyZjgtYmU0Yy1jOTFiMjgxMmI0MWMBuv7//zj/////////CQAAAAG5/v//N////wAAAAABuP7//zb///8CAAAAAAAAAAABt/7//zX///8AAAAACgEAAAAAAAAAAAkAAAAABkoBAAAkNjgxODgzYjEtZDZhNS00NGRhLTgwOGUtYjlhZDI2OWNiOGY2BksBAABQVGFibGUuSW52ZW50VHJhbnMuSXRlbUlkflRhYmxlLkludmVudFRhYmxlLkl0ZW1JZH5UYWJsZS5JbnZlbnRUYWJsZU1vZHVsZS5Vbml0SWQKCgoKAUIAAAA4AAAACUwBAAAJTQEAAAlOAQAABk8BAAANSW52ZW50VHJhbnNJZAZQAQAABkxvdCBJRAZRAQAABlN0cmluZwkIAAAABlMBAAAkM2ZhMmE0MWYtNTRlZS00NjY3LThjNmYtZTBjM2EzNjg3MWFiAaz+//84/////////woAAAABq/7//zf///8AAAAAAar+//82////AgAAAAAAAAAAAan+//81////AAAAAAoBAAAAAAAAAAAKAAAAAAZYAQAAJGZjMDMyZmNlLTgzZGYtNDI0YS05OTJlLTBlMDQzM2FjZWI2ZAZZAQAAH1RhYmxlLkludmVudFRyYW5zLkludmVudFRyYW5zSWQKCgoKAUMAAAA4AAAACVoBAAAJWwEAAAlcAQAABl0BAAA3QXRsYXNNYW5hZ2VkQ29sdW1uXzVkZTU5YjEzLTI4YTAtNDJhZC1iOGM2LTE5ZDIzNTY3NjIzYQZeAQAAElZlbmRJbnZvaWNlVHJhbnNJZAkIAAAACQgAAAAGYAEAACRlNDk2MjA2Zi05YzhhLTRhMzMtYjc3Mi0wZGJhZmZhY2M1ZDUBn/7//zj/////////CwAAAAGe/v//N////wIAAAABnf7//zb///8CAAAAAAAAAAABnP7//zX///8AAAAACgEAAAAAAAAAAAsAAAAABmUBAAAkMjI4ZTE0MTAtMDc4NC00NDljLTg4NTEtOTNkOWE3YzNkODFiCQgAAAAKCgoKAUQAAAA4AAAACWcBAAAJaAEAAAlpAQAABmoBAAA3QXRsYXNNYW5hZ2VkQ29sdW1uX2RiOWQ0N2U1LTJhYTItNGVlNy04Yzg1LTVlNTkyOTg4NjlkMQZrAQAACEN1cnJlbmN5CQgAAAAJCAAAAAZtAQAAJGVmZmVkYzZhLWZhMTgtNDAyZi05NGQ1LWIxMzM5NDhmZmUyMwGS/v//OP////////8MAAAAAZH+//83////AgAAAAGQ/v//Nv///wIAAAAAAAAAAAGP/v//Nf///wAAAAAKAQAAAAAAAAAADAAAAAAGcgEAACQ3MDAwMmQ2NS0wODk5LTQ1MGMtODBkOC00NzJlNjQ5YzQwMzIJCAAAAAoKCgoBRQAAADgAAAAJdAEAAAl1AQAACXYBAAAGdwEAADdBdGxhc01hbmFnZWRDb2x1bW5fYzZlZjdiMWQtYjg2YS00NTFjLWE4NDUtM2Y5OGQ4ZWZhYTIwBngBAAAcVFBQIChQdXJjaGFzZSBpbnZvaWNlIHRyYW5zKQkIAAAACQgAAAAGegEAACQxZDRiZTkxZC0zY2Q5LTQ2MzQtOGY0Zi03NjJkYTI1NWFlZTgBhf7//zj/////////DQAAAAGE/v//N////wIAAAABg/7//zb///8CAAAAAAAAAAABgv7//zX///8AAAAACgEAAAAAAAAAAA0AAAAABn8BAAAkNjI5NTA3YjktMzlhYy00MTZkLWIwOGEtZTdiM2UyZjEwZWYzCQgAAAAKCgoKAYMAAAASAAAAB4QA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oIBAAAbVGFibGUuSW52ZW50VHJhbnMuVHJhbnNUeXBlCYMBAAABfP7//3/+//8GhQEAABxUYWJsZS5JbnZlbnRUcmFucy5UcmFuc1JlZklkCYYBAAABef7//3/+//8GiAEAABhUYWJsZS5JbnZlbnRUcmFucy5JdGVtSWQJiQEAAAF2/v//f/7//waLAQAAHlRhYmxlLkludmVudFRyYW5zLkRhdGVQaHlzaWNhbAmMAQAAAXP+//9//v//Bo4BAAAfVGFibGUuSW52ZW50VHJhbnMuRGF0ZUZpbmFuY2lhbAmPAQAAAXD+//9//v//BpEBAAAVVGFibGUuSW52ZW50VHJhbnMuUXR5CZIBAAABbf7//3/+//8GlAEAAB9UYWJsZS5JbnZlbnRUcmFucy5JbnZlbnRUcmFuc0lkCZUBAAAHhgA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Gr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lwEAAB9UYWJsZS5JbnZlbnRUcmFucy5EYXRlRmluYW5jaWFsCZgBAAABZ/7//2r+//8GmgEAABhUYWJsZS5JbnZlbnRUcmFucy5JdGVtSWQJmwEAAAeI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k/v//1P///wkwAAAACTEAAAABYf7//9T///8JNgAAAAk3AAAABIk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OAAAAIQAAAAEAAAAJogEAAAMAAAAJowEAAAGPAAAAIgAAAAEAAAAJEgAAAAMAAAAJpQEAAAGSAAAABAAAAAEAAAAJogEAAAMAAAAJpwEAAAGbAAAAKQAAAAAAAAAJqAEAAAAAAAABoAAAACEAAAABAAAACaIBAAADAAAACaoBAAABoQAAACIAAAABAAAACRIAAAADAAAACawBAAAEp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IBAAAAAAAAAa0AAAApAAAAAAAAAAmoAQAAAAAAAAGyAAAAIQAAAAIAAAAJogEAAAMAAAAJsAEAAASz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LY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iAQAAAAAAAAG/AAAAKQAAAAAAAAAJqAEAAAAAAAAEw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tAEAAAEAAAABAAAABM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MQEAAAm1AQAABwAAAAm2AQAABM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QEAAAm3AQAABwAAAAm4AQAAAc4AAADAAAAACbkBAAABAAAAAQAAAAHPAAAAwQAAADEBAAAJtQEAAAcAAAAJuwEAAAT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0BAAAJtwEAAAcAAAAJvQEAAAHcAAAAwAAAAAm+AQAAAQAAAAEAAAAB3QAAAMEAAAAyAQAACbUBAAAHAAAACcABAAAE3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QAACbcBAAAHAAAACcIBAAAB6gAAAMAAAAAJwwEAAAEAAAABAAAAAesAAADBAAAAKQEAAAnEAQAABwAAAAnFAQAABO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gEAAAmiAQAABwAAAAnHAQAAAfgAAADAAAAACcgBAAABAAAAAQAAAAH5AAAAwQAAACkBAAAJxAEAAAcAAAAJyg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YBAAAJogEAAAcAAAAJzAEAAAEGAQAAwAAAAAnNAQAAAQAAAAEAAAABBwEAAMEAAAApAQAACcQBAAAHAAAACc8BAAAEC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QAACaIBAAAHAAAACdEBAAABFAEAAMAAAAAJ0gEAAAEAAAABAAAAARUBAADBAAAAMQEAAAm1AQAABwAAAAnUAQAABB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QEAAAm3AQAABwAAAAnWAQAAASIBAADAAAAACdcBAAABAAAAAQAAAAEjAQAAwQAAADEBAAAJtQEAAAcAAAAJ2Q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0BAAAJtwEAAAcAAAAJ2wEAAAEwAQAAwAAAAAncAQAAAQAAAAEAAAABMQEAAMEAAAAxAQAACbUBAAAHAAAACd4BAAAEM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tAQAACbcBAAAHAAAACeABAAABPgEAAMAAAAAJ4QEAAAEAAAABAAAAAT8BAADBAAAAKQEAAAnEAQAABwAAAAnjAQAABE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gEAAAmiAQAABwAAAAnlAQAAAUwBAADAAAAACeYBAAABAAAAAQAAAAFNAQAAwQAAADEBAAAJtQEAAAcAAAAJ6AEAAAR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0BAAAJtwEAAAcAAAAJ6gEAAAFaAQAAwAAAAAnrAQAAAAAAAAAAAAABWwEAAMEAAADzAAAACewBAAAHAAAACe0BAAAEX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uAAAACe4BAAAHAAAACe8BAAABZwEAAMAAAAAJ8AEAAAAAAAAAAAAAAWgBAADBAAAAGgEAAAnxAQAABwAAAAnyAQAABG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QEAAAnzAQAABwAAAAn0AQAAAXQBAADAAAAACfABAAAAAAAAAAAAAAF1AQAAwQAAABoBAAAJ8QEAAAcAAAAJ9wEAAAR2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EBAAAJ8wEAAAcAAAAJ+QEAAAWD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G/v//OP////////8ABvsBAAAERW51bQb8AQAACVJlZmVyZW5jZQn9AQAAAQL+//82////AgAAAAUB/v//OUdsb2JlU29mdHdhcmUuQXRsYXM0MC5BdGxhc0NvbW1vbi5OdW1iZXJTZXF1ZW5jZUNvbmRpdGlvbgEAAAAHdmFsdWVfXwAIAgAAAAEAAAAAAAYAAgAAEVRhYmxlLkludmVudFRyYW5zCcMAAAAJCAAAAAr/////CQACAAAKCcMAAAAKCgoJCAAAAAkGAgAACQgAAAABhgEAAIMBAAAB+P3//zj/////////AAYJAgAABlN0cmluZwYKAgAABk51bWJlcgn9AQAAAfT9//82////AgAAAAHz/f//Af7//wEAAAAAAAkAAgAACdEAAAAJCAAAAAr/////CQACAAAKCdEAAAAKCgoJCAAAAAkUAgAACQgAAAABiQEAAIMBAAAB6v3//zj/////////AAYXAgAABlN0cmluZwYYAgAAC0l0ZW0gbnVtYmVyCf0BAAAB5v3//zb///8CAAAAAeX9//8B/v//AQAAAAAACQACAAAJ3wAAAAkIAAAACv////8JAAIAAAoJ3wAAAAoKCgkIAAAACSICAAAJCAAAAAGMAQAAgwEAAAHc/f//OP////////8ABiUCAAAERGF0ZQYmAgAADVBoeXNpY2FsIGRhdGUJ/QEAAAHY/f//Nv///wIAAAAB1/3//wH+//8BAAAAAAAJAAIAAAkXAQAACQgAAAAK/////wkAAgAACgkXAQAACgoKCQgAAAAJMAIAAAkIAAAAAY8BAACDAQAAAc79//84/////////wAGMwIAAAREYXRlBjQCAAAORmluYW5jaWFsIGRhdGUJ/QEAAAHK/f//Nv///wIAAAAByf3//wH+//8BAAAAAAAJAAIAAAklAQAACQgAAAAK/////wkAAgAACgklAQAACgoKCQgAAAAJPgIAAAkIAAAAAZIBAACDAQAAAcD9//84////AQAAAAAGQQIAAARSZWFsBkICAAAIUXVhbnRpdHkJ/QEAAAG8/f//Nv///wIAAAABu/3//wH+//8BAAAAAAAJAAIAAAkzAQAACQgAAAAK/////wkAAgAACgkzAQAACgoKCQgAAAAJTAIAAAkIAAAAAZUBAACDAQAAAbL9//84/////////wAGTwIAAAZTdHJpbmcGUAIAAAZMb3QgSUQJ/QEAAAGu/f//Nv///wIAAAABrf3//wH+//8BAAAAAAAJAAIAAAlPAQAACQgAAAAK/////wkAAgAACglPAQAACgoKCQgAAAAJWgIAAAkIAAAABZg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ZcAgAAEVRhYmxlLkludmVudFRyYW5zBl0CAAANRGF0ZUZpbmFuY2lhbAkIAAAABl8CAAAYMDEuMjguMjAxOCAuLiAwMS4zMS4yMDE4/////wlcAgAACgldAgAACgoKCQgAAAAJYwIAAAkIAAAAAZsBAACYAQAACVwCAAAGZgIAAAZJdGVtSWQJCAAAAAZoAgAAASr/////CVwCAAAKCWYCAAAKCgoJCAAAAAlsAgAACQgAAAABogEAABIAAAAHo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kv3//3/+//8GbwIAADNUYWJsZS5JbnZlbnRUcmFucy5JdGVtSWR+VGFibGUuSW52ZW50VGFibGUuSXRlbU5hbWUJcAIAAAel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j/3//2r+//8GcgIAADNUYWJsZS5JbnZlbnRUcmFucy5JdGVtSWR+VGFibGUuSW52ZW50VGFibGUuSXRlbVR5cGUJcwIAAAen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M/f//1P///wkzAAAACTQAAAABqAEAAIkAAAAHq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if3//3/+//8GeAIAAFBUYWJsZS5JbnZlbnRUcmFucy5JdGVtSWR+VGFibGUuSW52ZW50VGFibGUuSXRlbUlkflRhYmxlLkludmVudFRhYmxlTW9kdWxlLlVuaXRJZAl5AgAAB6w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G/f//av7//wZ7AgAAVFRhYmxlLkludmVudFRyYW5zLkl0ZW1JZH5UYWJsZS5JbnZlbnRUYWJsZS5JdGVtSWR+VGFibGUuSW52ZW50VGFibGVNb2R1bGUuTW9kdWxlVHlwZQl8AgAAB7A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P9//9//v//Bn4CAAA6VGFibGUuSW52ZW50VHJhbnMuaW52ZW50RGltSWR+VGFibGUuSW52ZW50RGltLkludmVudFNpdGVJZAl/AgAAAYD9//9//v//BoECAAA+VGFibGUuSW52ZW50VHJhbnMuaW52ZW50RGltSWR+VGFibGUuSW52ZW50RGltLkludmVudExvY2F0aW9uSWQJggIAAAe0AQAAAAEAAAAEAAAABDdHbG9iZVNvZnR3YXJlLkF0bGFzNDAuQXRsYXNDb21tb24uVHlwZS5GaWVsZE91dHB1dEZpZWxkAgAAAAmDAQAADQMEt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t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Hz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e/3//zJHbG9iZVNvZnR3YXJlLkF0bGFzNDAuQXRsYXNDb21tb24uQ29sdW1uQXR0cmlidXRlcwEAAAAHdmFsdWVfXwAIAgAAABAAAAAGhgIAAAROb25lAXn9//98/f//AXj9//97/f//CQAAAAkIAAAAAXb9//98/f//AXX9//97/f//CwAAAAaMAgAAATABc/3//3z9//8Bcv3//3v9//8EAAAABo8CAAAHR2VuZXJhbAFw/f//fP3//wFv/f//e/3//wIAAAAGkgIAAAExAW39//98/f//AWz9//97/f//AAAAAAaVAgAABTEzLjcxAbcBAAASAAAAB7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v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XAgAACEZvbnRCb2xkBpgCAAAFRmFsc2UBZ/3//2r9//8GmgIAAApGb250SXRhbGljCZgCAAABZP3//2r9//8GnQIAAA1Gb250VW5kZXJsaW5lBp4CAAAFLTQxNDIBYf3//2r9//8GoAIAAAhGb250TmFtZQahAgAAB0NhbGlicmkBXv3//2r9//8GowIAAAlGb250Q29sb3IGpAIAAAEwAVv9//9q/f//BqYCAAAIRm9udFNpemUGpwIAAAIxMQFY/f//av3//wapAgAACUZvbnRTdHlsZQaqAgAAB1JlZ3VsYXIHuQEAAAABAAAABAAAAAQ3R2xvYmVTb2Z0d2FyZS5BdGxhczQwLkF0bGFzQ29tbW9uLlR5cGUuRmllbGRPdXRwdXRGaWVsZAIAAAAJhgEAAA0DB7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U/f//fP3//wFT/f//e/3//xAAAAAJhgIAAAFR/f//fP3//wFQ/f//e/3//wkAAAAJCAAAAAFO/f//fP3//wFN/f//e/3//wsAAAAGtAIAAAExAUv9//98/f//AUr9//97/f//BAAAAAa3AgAAB0dlbmVyYWwBSP3//3z9//8BR/3//3v9//8CAAAABroCAAABMQFF/f//fP3//wFE/f//e/3//wAAAAAGvQIAAAUxMC44Nge9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L9//9q/f//CZcCAAAJmAIAAAE//f//av3//wmaAgAACZgCAAABPP3//2r9//8JnQIAAAbGAgAABS00MTQyATn9//9q/f//CaACAAAGyQIAAAdDYWxpYnJpATb9//9q/f//CaMCAAAGzAIAAAEwATP9//9q/f//CaYCAAAGzwIAAAIxMQEw/f//av3//wmpAgAABtICAAAHUmVndWxhcge+AQAAAAEAAAAEAAAABDdHbG9iZVNvZnR3YXJlLkF0bGFzNDAuQXRsYXNDb21tb24uVHlwZS5GaWVsZE91dHB1dEZpZWxkAgAAAAmJAQAADQMHwA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z9//98/f//ASv9//97/f//BgAAAAbWAgAABVRvdGFsASn9//98/f//ASj9//97/f//EAAAAAmGAgAAASb9//98/f//ASX9//97/f//CQAAAAkIAAAAASP9//98/f//ASL9//97/f//CwAAAAbfAgAAATIBIP3//3z9//8BH/3//3v9//8EAAAABuICAAAHR2VuZXJhbAEd/f//fP3//wEc/f//e/3//wIAAAAG5QIAAAExARr9//98/f//ARn9//97/f//AAAAAAboAgAABTEzLjcxB8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/3//2r9//8JlwIAAAmYAgAAART9//9q/f//CZoCAAAJmAIAAAER/f//av3//wmdAgAABvECAAAFLTQxNDIBDv3//2r9//8JoAIAAAb0AgAAB0NhbGlicmkBC/3//2r9//8JowIAAAb3AgAAATABCP3//2r9//8JpgIAAAb6AgAAAjExAQX9//9q/f//CakCAAAG/QIAAAdSZWd1bGFyB8MBAAAAAQAAAAQAAAAEN0dsb2JlU29mdHdhcmUuQXRsYXM0MC5BdGxhc0NvbW1vbi5UeXBlLkZpZWxkT3V0cHV0RmllbGQCAAAACXACAAANAwHEAQAAtQEAAAfF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f3//3z9//8BAP3//3v9//8JAAAACQgAAAAB/vz//3z9//8B/fz//3v9//8LAAAABgQDAAABMwH7/P//fP3//wH6/P//e/3//wQAAAAGBwMAAAdHZW5lcmFsAfj8//98/f//Aff8//97/f//AgAAAAYKAwAAATEB9fz//3z9//8B9Pz//3v9//8AAAAABg0DAAAFMzQuMTQHx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/P//av3//wmXAgAACZgCAAAB7/z//2r9//8JmgIAAAmYAgAAAez8//9q/f//CZ0CAAAGFgMAAAUtNDE0MgHp/P//av3//wmgAgAABhkDAAAHQ2FsaWJyaQHm/P//av3//wmjAgAABhwDAAABMAHj/P//av3//wmmAgAABh8DAAACMTEB4Pz//2r9//8JqQIAAAYiAwAAB1JlZ3VsYXIHyAEAAAABAAAABAAAAAQ3R2xvYmVTb2Z0d2FyZS5BdGxhczQwLkF0bGFzQ29tbW9uLlR5cGUuRmllbGRPdXRwdXRGaWVsZAIAAAAJfwIAAA0DB8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c/P//fP3//wHb/P//e/3//wkAAAAJCAAAAAHZ/P//fP3//wHY/P//e/3//wsAAAAGKQMAAAE0Adb8//98/f//AdX8//97/f//BAAAAAYsAwAAB0dlbmVyYWwB0/z//3z9//8B0vz//3v9//8CAAAABi8DAAABMQHQ/P//fP3//wHP/P//e/3//wAAAAAGMgMAAAE2B8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2r9//8JlwIAAAmYAgAAAcr8//9q/f//CZoCAAAJmAIAAAHH/P//av3//wmdAgAABjsDAAAFLTQxNDIBxPz//2r9//8JoAIAAAY+AwAAB0NhbGlicmkBwfz//2r9//8JowIAAAZBAwAAATABvvz//2r9//8JpgIAAAZEAwAAAjExAbv8//9q/f//CakCAAAGRwMAAAdSZWd1bGFyB80BAAAAAQAAAAQAAAAEN0dsb2JlU29mdHdhcmUuQXRsYXM0MC5BdGxhc0NvbW1vbi5UeXBlLkZpZWxkT3V0cHV0RmllbGQCAAAACYICAAANAwfP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z//3z9//8Btvz//3v9//8JAAAACQgAAAABtPz//3z9//8Bs/z//3v9//8LAAAABk4DAAABNQGx/P//fP3//wGw/P//e/3//wQAAAAGUQMAAAdHZW5lcmFsAa78//98/f//Aa38//97/f//AgAAAAZUAwAAATEBq/z//3z9//8Bqvz//3v9//8AAAAABlcDAAAFMTIuODYH0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P//av3//wmXAgAACZgCAAABpfz//2r9//8JmgIAAAmYAgAAAaL8//9q/f//CZ0CAAAGYAMAAAUtNDE0MgGf/P//av3//wmgAgAABmMDAAAHQ2FsaWJyaQGc/P//av3//wmjAgAABmYDAAABMAGZ/P//av3//wmmAgAABmkDAAACMTEBlvz//2r9//8JqQIAAAZsAwAAB1JlZ3VsYXIH0gEAAAABAAAABAAAAAQ3R2xvYmVTb2Z0d2FyZS5BdGxhczQwLkF0bGFzQ29tbW9uLlR5cGUuRmllbGRPdXRwdXRGaWVsZAIAAAAJjAEAAA0DB9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S/P//fP3//wGR/P//e/3//xAAAAAJhgIAAAGP/P//fP3//wGO/P//e/3//wkAAAAJCAAAAAGM/P//fP3//wGL/P//e/3//wsAAAAGdgMAAAE2AYn8//98/f//AYj8//97/f//BAAAAAZ5AwAACG0vZC95eXl5AYb8//98/f//AYX8//97/f//AgAAAAZ8AwAAATEBg/z//3z9//8Bgvz//3v9//8AAAAABn8DAAAFMTQuMTQH1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A/P//av3//wmXAgAACZgCAAABffz//2r9//8JmgIAAAmYAgAAAXr8//9q/f//CZ0CAAAGiAMAAAUtNDE0MgF3/P//av3//wmgAgAABosDAAAHQ2FsaWJyaQF0/P//av3//wmjAgAABo4DAAABMAFx/P//av3//wmmAgAABpEDAAACMTEBbvz//2r9//8JqQIAAAaUAwAAB1JlZ3VsYXIH1wEAAAABAAAABAAAAAQ3R2xvYmVTb2Z0d2FyZS5BdGxhczQwLkF0bGFzQ29tbW9uLlR5cGUuRmllbGRPdXRwdXRGaWVsZAIAAAAJjwEAAA0DB9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q/P//fP3//wFp/P//e/3//xAAAAAJhgIAAAFn/P//fP3//wFm/P//e/3//wkAAAAJCAAAAAFk/P//fP3//wFj/P//e/3//wsAAAAGngMAAAE3AWH8//98/f//AWD8//97/f//BAAAAAahAwAACG0vZC95eXl5AV78//98/f//AV38//97/f//AgAAAAakAwAAATEBW/z//3z9//8BWvz//3v9//8AAAAABqcDAAACMTUH2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av3//wmXAgAACZgCAAABVfz//2r9//8JmgIAAAmYAgAAAVL8//9q/f//CZ0CAAAGsAMAAAUtNDE0MgFP/P//av3//wmgAgAABrMDAAAHQ2FsaWJyaQFM/P//av3//wmjAgAABrYDAAABMAFJ/P//av3//wmmAgAABrkDAAACMTEBRvz//2r9//8JqQIAAAa8AwAAB1JlZ3VsYXIH3AEAAAABAAAABAAAAAQ3R2xvYmVTb2Z0d2FyZS5BdGxhczQwLkF0bGFzQ29tbW9uLlR5cGUuRmllbGRPdXRwdXRGaWVsZAIAAAAJkgEAAA0DB94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C/P//fP3//wFB/P//e/3//xAAAAAJhgIAAAE//P//fP3//wE+/P//e/3//wkAAAAJCAAAAAE8/P//fP3//wE7/P//e/3//wsAAAAGxgMAAAE4ATn8//98/f//ATj8//97/f//BAAAAAbJAwAAB0dlbmVyYWwBNvz//3z9//8BNfz//3v9//8CAAAABswDAAABMQEz/P//fP3//wEy/P//e/3//wAAAAAGzwMAAAUxMC4yOQf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8//9q/f//CZcCAAAJmAIAAAEt/P//av3//wmaAgAACZgCAAABKvz//2r9//8JnQIAAAbYAwAABS00MTQyASf8//9q/f//CaACAAAG2wMAAAdDYWxpYnJpAST8//9q/f//CaMCAAAG3gMAAAEwASH8//9q/f//CaYCAAAG4QMAAAIxMQEe/P//av3//wmpAgAABuQDAAAHUmVndWxhcgfhAQAAAAEAAAAEAAAABDdHbG9iZVNvZnR3YXJlLkF0bGFzNDAuQXRsYXNDb21tb24uVHlwZS5GaWVsZE91dHB1dEZpZWxkAgAAAAl5AgAADQMH4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r8//98/f//ARn8//97/f//CQAAAAkIAAAAARf8//98/f//ARb8//97/f//CwAAAAbrAwAAATkBFPz//3z9//8BE/z//3v9//8EAAAABu4DAAAHR2VuZXJhbAER/P//fP3//wEQ/P//e/3//wIAAAAG8QMAAAExAQ78//98/f//AQ38//97/f//AAAAAAb0AwAABDYuNDMH5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L/P//av3//wmXAgAACZgCAAABCPz//2r9//8JmgIAAAmYAgAAAQX8//9q/f//CZ0CAAAG/QMAAAUtNDE0MgEC/P//av3//wmgAgAABgAEAAAHQ2FsaWJyaQH/+///av3//wmjAgAABgMEAAABMAH8+///av3//wmmAgAABgYEAAACMTEB+fv//2r9//8JqQIAAAYJBAAAB1JlZ3VsYXIH5gEAAAABAAAABAAAAAQ3R2xvYmVTb2Z0d2FyZS5BdGxhczQwLkF0bGFzQ29tbW9uLlR5cGUuRmllbGRPdXRwdXRGaWVsZAIAAAAJlQEAAA0DB+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1+///fP3//wH0+///e/3//xAAAAAJhgIAAAHy+///fP3//wHx+///e/3//wkAAAAJCAAAAAHv+///fP3//wHu+///e/3//wsAAAAGEwQAAAIxMAHs+///fP3//wHr+///e/3//wQAAAAGFgQAAAdHZW5lcmFsAen7//98/f//Aej7//97/f//AgAAAAYZBAAAATEB5vv//3z9//8B5fv//3v9//8AAAAABhwEAAAEOS40Mwf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7//9q/f//CZcCAAAJmAIAAAHg+///av3//wmaAgAACZgCAAAB3fv//2r9//8JnQIAAAYlBAAABS00MTQyAdr7//9q/f//CaACAAAGKAQAAAdDYWxpYnJpAdf7//9q/f//CaMCAAAGKwQAAAEwAdT7//9q/f//CaYCAAAGLgQAAAIxMQHR+///av3//wmpAgAABjEEAAAHUmVndWxhcgfrAQAAAAEAAAAAAAAABDdHbG9iZVNvZnR3YXJlLkF0bGFzNDAuQXRsYXNDb21tb24uVHlwZS5GaWVsZE91dHB1dEZpZWxkAgAAAAHsAQAAtQEAAAft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vv//3z9//8Bzfv//3v9//8kAAAACV4BAAABy/v//3z9//8Byvv//3v9//8LAAAABjcEAAACMTEByPv//3z9//8Bx/v//3v9//8EAAAABjoEAAAHR2VuZXJhbAHF+///fP3//wHE+///e/3//wIAAAAGPQQAAAExAcL7//98/f//AcH7//97/f//AAAAAAZABAAABTIwLjQzAb/7//98/f//Ab77//97/f//AwAAAAZDBAAAnQE9SUYoW0BSZWZlcmVuY2VdPSJQdXJjaGFzZSBvcmRlciIsQXRsYXNUYWJsZSgiVUFUIixEYXRhQXJlYUlkLCJULlZlbmRJbnZvaWNlVHJhbnMiLCIlUmVjSWQiLCIiLCIiLCIiLCIiLCIiLCIiLCJJdGVtSWR8UHVyY2hJRHxJbnZlbnRUcmFuc0lkIiwkQzMsJEIzLCRLMyksIiIpAe4BAAASAAAAB+8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v//2r9//8GRQQAAAhGb250Qm9sZAmYAgAAAbn7//9q/f//BkgEAAAKRm9udEl0YWxpYwmYAgAAAbb7//9q/f//BksEAAANRm9udFVuZGVybGluZQZMBAAABS00MTQyAbP7//9q/f//Bk4EAAAIRm9udE5hbWUGTwQAAAdDYWxpYnJpAbD7//9q/f//BlEEAAAJRm9udENvbG9yBlIEAAABMAGt+///av3//wZUBAAACEZvbnRTaXplBlUEAAACMTEBqvv//2r9//8GVwQAAAlGb250U3R5bGUGWAQAAAdSZWd1bGFyB/ABAAAAAQAAAAAAAAAEN0dsb2JlU29mdHdhcmUuQXRsYXM0MC5BdGxhc0NvbW1vbi5UeXBlLkZpZWxkT3V0cHV0RmllbGQCAAAAAfEBAAC1AQAAB/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+///fP3//wGm+///e/3//yQAAAAJawEAAAGk+///fP3//wGj+///e/3//wsAAAAGXgQAAAIxMgGh+///fP3//wGg+///e/3//wQAAAAGYQQAAAdHZW5lcmFsAZ77//98/f//AZ37//97/f//AgAAAAZkBAAAATEBm/v//3z9//8Bmvv//3v9//8AAAAABmcEAAAFMTAuNDMBmPv//3z9//8Bl/v//3v9//8DAAAABmoEAACpAT1JRihbQFJlZmVyZW5jZV09IlB1cmNoYXNlIG9yZGVyIixBdGxhc1RhYmxlKCJVQVQiLERhdGFBcmVhSWQsIlQuTWFya3VwVHJhbnMiLCIlQ3VycmVuY3lDb2RlIiwiIiwiIiwiIiwiIiwiIiwiIiwiTWFya3VwQ29kZXxUcmFuc1JlY0lkfFRyYW5zVGFibGVJZCIsIlRQUCIsJEwzLCI0OTIiKSwiIikB8wEAABIAAAAH9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///av3//wZsBAAACEZvbnRCb2xkCZgCAAABkvv//2r9//8GbwQAAApGb250SXRhbGljCZgCAAABj/v//2r9//8GcgQAAA1Gb250VW5kZXJsaW5lBnMEAAAFLTQxNDIBjPv//2r9//8GdQQAAAhGb250TmFtZQZ2BAAAB0NhbGlicmkBifv//2r9//8GeAQAAAlGb250Q29sb3IGeQQAAAEwAYb7//9q/f//BnsEAAAIRm9udFNpemUGfAQAAAIxMQGD+///av3//wZ+BAAACUZvbnRTdHlsZQZ/BAAAB1JlZ3VsYXIH9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D7//98/f//AX/7//97/f//JAAAAAl4AQAAAX37//98/f//AXz7//97/f//CwAAAAaFBAAAAjEzAXr7//98/f//AXn7//97/f//BAAAAAaIBAAAB0dlbmVyYWwBd/v//3z9//8Bdvv//3v9//8CAAAABosEAAABMQF0+///fP3//wFz+///e/3//wAAAAAGjgQAAAIyOAFx+///fP3//wFw+///e/3//wMAAAAGkQQAAKoBPUlGKFtAUmVmZXJlbmNlXT0iUHVyY2hhc2Ugb3JkZXIiLEF0bGFzQmFsYW5jZSgiVUFUIixEYXRhQXJlYUlkLCJULk1hcmt1cFRyYW5zIiwiU3VtfFBvc3RlZHwwIiwiIiwiIiwiIiwiIiwiIiwiIiwiTWFya3VwQ29kZXxUcmFuc1RhYmxlSWR8VHJhbnNSZWNJZCIsIlRQUCIsIjQ5MiIsJEwzKSwiIikH+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///av3//wlsBAAACZgCAAABa/v//2r9//8JbwQAAAmYAgAAAWj7//9q/f//CXIEAAAGmgQAAAUtNDE0MgFl+///av3//wl1BAAABp0EAAAHQ2FsaWJyaQFi+///av3//wl4BAAABqAEAAABMAFf+///av3//wl7BAAABqMEAAACMTEBXPv//2r9//8JfgQAAAamBAAAB1JlZ3VsYXIB/QEAAA4AAACxAAAABqcEAAALSW52ZW50VHJhbnMGqAQAABZJbnZlbnRvcnkgdHJhbnNhY3Rpb25zCQgAAAAJCAAAAAkIAAAAAVb7///g////AAAAAAmrBAAACawEAAABU/v//93////+2hPNUKGMR7xQeVAaoNHPCQgAAAAJCAAAAAmvBAAACQACAAAKCgoKCgEAAAABT/v//9n///8AAAAAAU77///Y////AAAAAAAJswQAAAQG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sAAAAJtwEAAAMAAAAJtQQAAAQU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sAAAAJtwEAAAMAAAAJtwQAAAQi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sAAAAJtwEAAAMAAAAJuQQAAAQw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sAAAAJtwEAAAMAAAAJuwQAAAQ+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sAAAAJtwEAAAMAAAAJvQQAAARM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sAAAAJtwEAAAMAAAAJvwQAAARa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sAAAAJtwEAAAMAAAAJwQQAAAR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sAAAAJwgQAAAMAAAAJwwQAAARs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sAAAAJwgQAAAMAAAAJxQQAAAFwAgAAgwEAAAE6+///OP////////8ABscEAAAGU3RyaW5nBsgEAAAJSXRlbSBuYW1lCTEAAAABNvv//zb///8CAAAAATX7//8B/v//AQAAAAAACTAAAAAJ7QAAAAkIAAAACv////8JMAAAAAoJ7QAAAAbRBAAABkl0ZW1JZAbSBAAAC0ludmVudFRyYW5zCgkIAAAACdQEAAAJCAAAAAFzAgAAmAEAAAkwAAAABtcEAAAISXRlbVR5cGUJCAAAAAbZBAAACCFTZXJ2aWNl/////wkwAAAABtsEAAALSW52ZW50VGFibGUJ1wQAAAbdBAAABkl0ZW1JZAoKCQgAAAAJ3wQAAAkIAAAAAXkCAACDAQAAAR/7//84/////////wAG4gQAAAZTdHJpbmcG4wQAAARVbml0CTQAAAABG/v//zb///8CAAAAARr7//8B/v//AQAAAAAACTMAAAAJQQEAAAkIAAAACv////8JMwAAAAoJQQEAAAbsBAAABkl0ZW1JZAbtBAAAC0ludmVudFRhYmxlCgkIAAAACe8EAAAJCAAAAAF8AgAAmAEAAAkzAAAABvIEAAAKTW9kdWxlVHlwZQkIAAAABvQEAAAGSW52ZW50/////wkzAAAACgnyBAAABvcEAAAGSXRlbUlkCgoJCAAAAAn5BAAACQgAAAABfwIAAIMBAAABBfv//zj/////////AAb8BAAABlN0cmluZwb9BAAABFNpdGUJNwAAAAEB+///Nv///wIAAAABAPv//wH+//8BAAAAAAAJNgAAAAn7AAAACQgAAAAK/////wk2AAAACgn7AAAABgYFAAALaW52ZW50RGltSWQGBwUAAAtJbnZlbnRUcmFucwoJCAAAAAkJBQAACQgAAAABggIAAIMBAAAB9fr//zj/////////AAYMBQAABlN0cmluZwYNBQAACVdhcmVob3VzZQk3AAAAAfH6//82////AgAAAAHw+v//Af7//wEAAAAAAAk2AAAACQkBAAAJCAAAAAr/////CTYAAAAKCQkBAAAGFgUAAAtpbnZlbnREaW1JZAYXBQAAC0ludmVudFRyYW5zCgkIAAAACRkFAAAJCAAAAAGrBAAAIQAAAAoAAAAJGwUAABEAAAAJHAUAAASs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sFAAAAAAAABK8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bBQAAAAAAAAGzBAAAKQAAAAAAAAAJHgUAAAAAAAAHt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h+v//av3//wYgBQAACEhlbHBUZXh0BiEFAAAyU3BlY2lmeSB0aGUgbW9kdWxlIHRoYXQgZ2VuZXJhdGVkIHRoZSB0cmFuc2FjdGlvbi4B3vr//2r9//8GIwUAAAVMYWJlbAn8AQAAAdv6//9q/f//BiYFAAAEVHlwZQn7AQAAB7c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r//2r9//8JIAUAAAYqBQAANU9yZGVyIG51bWJlciwgcHJvamVjdCBudW1iZXIsIHByb2R1Y3Rpb24gbnVtYmVyLCBldGMuAdX6//9q/f//CSMFAAAJCgIAAAHS+v//av3//wkmBQAACQkCAAAHu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v//av3//wkgBQAABjMFAAAOSWRlbnRpZnkgaXRlbS4BzPr//2r9//8JIwUAAAkYAgAAAcn6//9q/f//CSYFAAAJFwIAAAe7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6//9q/f//CSAFAAAGPAUAABxEYXRlIG9mIHBoeXNpY2FsIHRyYW5zYWN0aW9uAcP6//9q/f//CSMFAAAJJgIAAAHA+v//av3//wkmBQAACSUCAAAHv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+v//av3//wkgBQAABkUFAAAdRGF0ZSBvZiBmaW5hbmNpYWwgdHJhbnNhY3Rpb24Buvr//2r9//8JIwUAAAk0AgAAAbf6//9q/f//CSYFAAAJMwIAAAe/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T6//9q/f//CSAFAAAGTgUAACRRdWFudGl0eSBhdHRhY2hlZCB0byB0aGUgdHJhbnNhY3Rpb24Bsfr//2r9//8JIwUAAAlCAgAAAa76//9q/f//CSYFAAAJQQIAAAfB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v6//9q/f//CSAFAAAGVwUAAFJTdW1tYXJ5IG51bWJlci9Mb3QgSUQgZm9yIHRyYW5zYWN0aW9ucyBhdHRhY2hlZCB0byB0aGUgc2FtZSBpbnZlbnRvcnkgdHJhbnNhY3Rpb24uAaj6//9q/f//CSMFAAAJUAIAAAGl+v//av3//wkmBQAACU8CAAABwgQAABIAAAAHw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+v//av3//wZfBQAABFR5cGUJMwIAAAGf+v//av3//wZiBQAABUxhYmVsCTQCAAABnPr//2r9//8GZQUAAAhSZWZlcnNUbwZmBQAACz1EYXRlUGVyaW9kB8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r//2r9//8JXwUAAAkXAgAAAZb6//9q/f//CWIFAAAJGAIAAAGT+v//av3//wllBQAABm8FAAALPUl0ZW1OdW1iZXIE1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CAAAACaIBAAADAAAACXEFAAAE3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106AAAACcIEAAADAAAACXMFAAAE7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CAAAACaIBAAADAAAACXUFAAAE+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102AAAACcIEAAADAAAACXcFAAAEC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CAAAACaIBAAADAAAACXkFAAAEG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CAAAACaIBAAADAAAACXsFAAABGwUAABIAAAAHHAU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Pr//3/+//8GfQUAABhUYWJsZS5JbnZlbnRUcmFucy5JdGVtSWQJiQEAAAGB+v//f/7//waABQAAH1RhYmxlLkludmVudFRyYW5zLkludmVudFRyYW5zSWQJlQEAAAF++v//f/7//waDBQAAG1RhYmxlLkludmVudFRyYW5zLlRyYW5zVHlwZQmDAQAAAXv6//9//v//BoYFAAAcVGFibGUuSW52ZW50VHJhbnMuVHJhbnNSZWZJZAmGAQAAAXj6//9//v//BokFAAAeVGFibGUuSW52ZW50VHJhbnMuRGF0ZVBoeXNpY2FsCYwBAAABdfr//3/+//8GjAUAAB9UYWJsZS5JbnZlbnRUcmFucy5EYXRlRmluYW5jaWFsCY8BAAABcvr//3/+//8GjwUAAB9UYWJsZS5JbnZlbnRUcmFucy5TdGF0dXNSZWNlaXB0CZAFAAABb/r//3/+//8GkgUAAB1UYWJsZS5JbnZlbnRUcmFucy5TdGF0dXNJc3N1ZQmTBQAAAWz6//9//v//BpUFAAAVVGFibGUuSW52ZW50VHJhbnMuUXR5CZIBAAABafr//3/+//8GmAUAACJUYWJsZS5JbnZlbnRUcmFucy5Db3N0QW1vdW50UG9zdGVkCZkFAAABHgUAAIkAAAAHc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+v//av3//wabBQAABUxhYmVsCcgEAAABY/r//2r9//8GngUAAARUeXBlCccEAAAHc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+v//av3//wlfBQAABqIFAAAERW51bQFd+v//av3//wliBQAABqUFAAAJSXRlbSB0eXBlAVr6//9q/f//CWUFAAAGqAUAAAk9SXRlbVR5cGUHd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+v//av3//wmbBQAACeMEAAABVPr//2r9//8JngUAAAniBAAAB3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r//2r9//8JXwUAAAaxBQAABEVudW0BTvr//2r9//8JYgUAAAa0BQAAC01vZHVsZSB0eXBlB3k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/r//2r9//8JmwUAAAn9BAAAAUj6//9q/f//CZ4FAAAJ/AQAAAd7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X6//9q/f//CZsFAAAJDQUAAAFC+v//av3//wmeBQAACQwFAAABkAUAAIMBAAABP/r//zj/////////AAbCBQAABEVudW0GwwUAAA5SZWNlaXB0IHN0YXR1cwn9AQAAATv6//82////AgAAAAE6+v//Af7//wEAAAAAAAkAAgAABsgFAAANU3RhdHVzUmVjZWlwdAkIAAAACv////8JAAIAAAoJyAUAAAoKCgkIAAAACc0FAAAJCAAAAAGTBQAAgwEAAAEx+v//OP////////8ABtAFAAAERW51bQbRBQAADElzc3VlIHN0YXR1cwn9AQAAAS36//82////AgAAAAEs+v//Af7//wEAAAAAAAkAAgAABtYFAAALU3RhdHVzSXNzdWUJCAAAAAr/////CQACAAAKCdYFAAAKCgoJCAAAAAnbBQAACQgAAAABmQUAAIMBAAABI/r//zj/////////AAbeBQAABFJlYWwG3wUAABVGaW5hbmNpYWwgY29zdCBhbW91bnQJ/QEAAAEf+v//Nv///wIAAAABHvr//wH+//8BAAAAAAAJAAIAAAbkBQAAEENvc3RBbW91bnRQb3N0ZWQJCAAAAAr/////CQACAAAKCeQFAAAKCgoJCAAAAAnpBQAACQgAAAAEz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bcBAAADAAAACewFAAAE2w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bcBAAADAAAACe4FAAAE6Q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bcBAAADAAAACfAFAAAH7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+v//av3//wkgBQAABvMFAAApU3RhdHVzIG9mIHF1YW50aXR5IGluIHJlbGF0aW9uIHRvIHJlY2VpcHQBDPr//2r9//8JIwUAAAnDBQAAAQn6//9q/f//CSYFAAAJwgUAAAfu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b6//9q/f//CSAFAAAG/AUAAClTdGF0dXMgZm9yIHF1YW50aXR5IGluIHJlbGF0aW9uIHRvIGlzc3VlcwED+v//av3//wkjBQAACdEFAAABAPr//2r9//8JJgUAAAnQBQAAB/A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n//2r9//8JIAUAAAYFBgAANUludmVudG9yeSB2YWx1ZSBmb3IgdGhlIGZpbmFuY2lhbGx5IHVwZGF0ZWQgcXVhbnRpdHkuAfr5//9q/f//CSMFAAAJ3wUAAAH3+f//av3//wkmBQAACd4FAAAL
    <Output>
      <OutputObject name="AtlasReport_1"/>
    </Output>
  </Query>
</Atlas>
</file>

<file path=customXml/item10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0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M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AlUcmFuc1R5cGUGKgAAAAlSZWZlcmVuY2UGKwAAAARFbnVtBiwAAAAABi0AAAAkMTJiNTM3NTktOTVlMS00MTBiLTk3YzgtNjNjMmQ0MDgwMDBiBdL///8tR2xvYmVTb2Z0d2FyZS5BdGxhczQwLkF0bGFzQ29tbW9uLkFnZ3JlZ2F0aW9uAQAAAAd2YWx1ZV9fAAgOAAAA/////wAAAAAF0f///yxHbG9iZVNvZnR3YXJlLkF0bGFzNDAuQXRsYXNDb21tb24uQ29sdW1uVHlwZQEAAAAHdmFsdWVfXwAIDgAAAAAAAAAF0P///ytHbG9iZVNvZnR3YXJlLkF0bGFzNDAuQXRsYXNDb21tb24uU29ydE9yZGVyAQAAAAd2YWx1ZV9fAAgOAAAAAgAAAAAAAAAABc////9AR2xvYmVTb2Z0d2FyZS5BdGxhczQwLkF0bGFzQ29tbW9uLlR5cGUuQ29sdW1uK0Nyb3NzVGFiQ29sdW1uVHlwZQEAAAAHdmFsdWVfXwAIDgAAAAAAAAAKAQAAAAAAAAAAAAAAAAAGMgAAACQwZTg1ZTYyYS1iMzNhLTRjZjktODA1MS0xNGE2YWRjNTQzYTYGMwAAABtUYWJsZS5JbnZlbnRUcmFucy5UcmFuc1R5cGUKCgoKARUAAAAUAAAACTQAAAAJNQAAAAk2AAAABjcAAAAKVHJhbnNSZWZJZAY4AAAABk51bWJlcgY5AAAABlN0cmluZwksAAAABjsAAAAkNDQ3ZTYxZjEtNTJlYy00ZjkxLWJkN2EtZTNkYWE1NjAyZjdlAcT////S/////////wEAAAABw////9H///8AAAAAAcL////Q////AgAAAAAAAAAAAcH////P////AAAAAAoBAAAAAAAAAAABAAAAAAZAAAAAJDdkNjQ0YTkzLTkwYmMtNGYxYi04ZGI0LTlmNjdhMTAzYjk4YQZBAAAAHFRhYmxlLkludmVudFRyYW5zLlRyYW5zUmVmSWQKCgoKARYAAAAUAAAACUIAAAAJQwAAAAlEAAAABkUAAAAGSXRlbUlkBkYAAAALSXRlbSBudW1iZXIGRwAAAAZTdHJpbmcJLAAAAAZJAAAAJDY2Yjk4Nzg3LWU1YjUtNGYwMy1iNzMzLTJiYjdkZmU2YjAzNgG2////0v////////8CAAAAAbX////R////AAAAAAG0////0P///wIAAAAAAAAAAAGz////z////wAAAAAKAQAAAAAAAAAAAgAAAAAGTgAAACQ3ZmVkOGQyYS02ZjlkLTQ1MzYtODM5Mi0yNTYyOWY2YjEyMzQGTwAAABhUYWJsZS5JbnZlbnRUcmFucy5JdGVtSWQKCgoKARcAAAAUAAAACVAAAAAJUQAAAAlSAAAABlMAAAAISXRlbU5hbWUGVAAAAAlJdGVtIG5hbWUGVQAAAAZTdHJpbmcJLAAAAAZXAAAAJGYwZDYwODc4LWFiNmEtNGIwZC1iYjBmLTljOGY1M2RiYjdlOQGo////0v////////8DAAAAAaf////R////AAAAAAGm////0P///wIAAAAAAAAAAAGl////z////wAAAAAKAQAAAAAAAAAAAwAAAAAGXAAAACRhMDIxZDczYy1hZTY1LTQ5ODYtYmYzZC0wNmM0Mzc5YmRjOTMGXQAAADNUYWJsZS5JbnZlbnRUcmFucy5JdGVtSWR+VGFibGUuSW52ZW50VGFibGUuSXRlbU5hbWUKCgoKARgAAAAUAAAACV4AAAAJXwAAAAlgAAAABmEAAAAMSW52ZW50U2l0ZUlkBmIAAAAEU2l0ZQZjAAAABlN0cmluZwksAAAABmUAAAAkOTNmN2M5ODAtMjJjYy00Njg3LTg4ODUtNTU2NzhjNTZjZTVkAZr////S/////////wQAAAABmf///9H///8AAAAAAZj////Q////AgAAAAAAAAAAAZf////P////AAAAAAoBAAAAAAAAAAAEAAAAAAZqAAAAJDRiZjMyOThkLWY3YjUtNGE0Yi05NWZmLTc0NDdlZmE3Zjg5NAZrAAAAOlRhYmxlLkludmVudFRyYW5zLmludmVudERpbUlkflRhYmxlLkludmVudERpbS5JbnZlbnRTaXRlSWQKCgoKARkAAAAUAAAACWwAAAAJbQAAAAluAAAABm8AAAAQSW52ZW50TG9jYXRpb25JZAZwAAAACVdhcmVob3VzZQZxAAAABlN0cmluZwksAAAABnMAAAAkZmNjNWE5YTEtZmYyOS00OGRmLWIxNmQtOTQ5ZWRlMDYxY2Q4AYz////S/////////wUAAAABi////9H///8AAAAAAYr////Q////AgAAAAAAAAAAAYn////P////AAAAAAoBAAAAAAAAAAAFAAAAAAZ4AAAAJDQwNDk1ZjM0LTM4MTAtNDFlYy1hOWIyLWExN2Y5YzdlODE0YwZ5AAAAPlRhYmxlLkludmVudFRyYW5zLmludmVudERpbUlkflRhYmxlLkludmVudERpbS5JbnZlbnRMb2NhdGlvbklkCgoKCgEaAAAAFAAAAAl6AAAACXsAAAAJfAAAAAZ9AAAADERhdGVQaHlzaWNhbAZ+AAAADVBoeXNpY2FsIGRhdGUGfwAAAAREYXRlCSwAAAAGgQAAACQ5OTE4MWM0Yi05YWZhLTRmNDEtYmQzNC1jNzk5MDZlOTY1MDcBfv///9L/////////BgAAAAF9////0f///wAAAAABfP///9D///8CAAAAAAAAAAABe////8////8AAAAACgEAAAAAAAAAAAYAAAAABoYAAAAkYWM2ODFlN2EtNmJkYy00NTUxLWI0MjQtOTY5ZjE1OGMwOThjBocAAAAeVGFibGUuSW52ZW50VHJhbnMuRGF0ZVBoeXNpY2FsCgoKCgEbAAAAFAAAAAmIAAAACYkAAAAJigAAAAaLAAAADURhdGVGaW5hbmNpYWwGjAAAAA5GaW5hbmNpYWwgZGF0ZQaNAAAABERhdGUJLAAAAAaPAAAAJDkxMzNkNmVhLTk2OTAtNDk0YS05YWI0LTFjZDAwNTM5MjVlMQFw////0v////////8HAAAAAW/////R////AAAAAAFu////0P///wIAAAAAAAAAAAFt////z////wAAAAAKAQAAAAAAAAAABwAAAAAGlAAAACQ4NDA0YTk5OS1hZDFmLTRkYjQtODIwMy1mMTZlZjk2YWQwMDcGlQAAAB9UYWJsZS5JbnZlbnRUcmFucy5EYXRlRmluYW5jaWFsCgoKCgEcAAAAFAAAAAmWAAAACZcAAAAJmAAAAAaZAAAAA1F0eQaaAAAACFF1YW50aXR5BpsAAAAEUmVhbAksAAAABp0AAAAkNzMwMzQ0MjItM2ZiZS00MjdlLWE1ZjAtNDFlOTJmMGYyNzJlAWL////S////AQAAAAgAAAABYf///9H///8AAAAAAWD////Q////AgAAAAAAAAAAAV/////P////AAAAAAoBAAAAAAAAAAAIAAAAAAaiAAAAJDU1MDBkYzM2LWY3MzgtNDFiNC1iMTU1LTY3YTc5MjhjNTc1NAajAAAAFVRhYmxlLkludmVudFRyYW5zLlF0eQoKCgoBHQAAABQAAAAJpAAAAAmlAAAACaYAAAAGpwAAAAZVbml0SWQGqAAAAARVbml0BqkAAAAGU3RyaW5nCSwAAAAGqwAAACQ3NjE1NmNmMy00YmQ3LTQyZjgtYmU0Yy1jOTFiMjgxMmI0MWMBVP///9L/////////CQAAAAFT////0f///wAAAAABUv///9D///8CAAAAAAAAAAABUf///8////8AAAAACgEAAAAAAAAAAAkAAAAABrAAAAAkNjgxODgzYjEtZDZhNS00NGRhLTgwOGUtYjlhZDI2OWNiOGY2BrEAAABQVGFibGUuSW52ZW50VHJhbnMuSXRlbUlkflRhYmxlLkludmVudFRhYmxlLkl0ZW1JZH5UYWJsZS5JbnZlbnRUYWJsZU1vZHVsZS5Vbml0SWQKCgoKAR4AAAAUAAAACbIAAAAJswAAAAm0AAAABrUAAAANSW52ZW50VHJhbnNJZAa2AAAABkxvdCBJRAa3AAAABlN0cmluZwksAAAABrkAAAAkM2ZhMmE0MWYtNTRlZS00NjY3LThjNmYtZTBjM2EzNjg3MWFiAUb////S/////////woAAAABRf///9H///8AAAAAAUT////Q////AgAAAAAAAAAAAUP////P////AAAAAAoBAAAAAAAAAAAKAAAAAAa+AAAAJGZjMDMyZmNlLTgzZGYtNDI0YS05OTJlLTBlMDQzM2FjZWI2ZAa/AAAAH1RhYmxlLkludmVudFRyYW5zLkludmVudFRyYW5zSWQKCgoKAR8AAAAUAAAACcAAAAAJwQAAAAnCAAAABsMAAAA3QXRsYXNNYW5hZ2VkQ29sdW1uXzVkZTU5YjEzLTI4YTAtNDJhZC1iOGM2LTE5ZDIzNTY3NjIzYQbEAAAAElZlbmRJbnZvaWNlVHJhbnNJZAksAAAACSwAAAAGxgAAACRlNDk2MjA2Zi05YzhhLTRhMzMtYjc3Mi0wZGJhZmZhY2M1ZDUBOf///9L/////////CwAAAAE4////0f///wIAAAABN////9D///8CAAAAAAAAAAABNv///8////8AAAAACgEAAAAAAAAAAAsAAAAABssAAAAkMjI4ZTE0MTAtMDc4NC00NDljLTg4NTEtOTNkOWE3YzNkODFiCSwAAAAKCgoKASAAAAAUAAAACc0AAAAJzgAAAAnPAAAABtAAAAA3QXRsYXNNYW5hZ2VkQ29sdW1uX2RiOWQ0N2U1LTJhYTItNGVlNy04Yzg1LTVlNTkyOTg4NjlkMQbRAAAACEN1cnJlbmN5CSwAAAAJLAAAAAbTAAAAJGVmZmVkYzZhLWZhMTgtNDAyZi05NGQ1LWIxMzM5NDhmZmUyMwEs////0v////////8MAAAAASv////R////AgAAAAEq////0P///wIAAAAAAAAAAAEp////z////wAAAAAKAQAAAAAAAAAADAAAAAAG2AAAACQ3MDAwMmQ2NS0wODk5LTQ1MGMtODBkOC00NzJlNjQ5YzQwMzIJLAAAAAoKCgoBIQAAABQAAAAJ2gAAAAnbAAAACdwAAAAG3QAAADdBdGxhc01hbmFnZWRDb2x1bW5fYzZlZjdiMWQtYjg2YS00NTFjLWE4NDUtM2Y5OGQ4ZWZhYTIwBt4AAAAcVFBQIChQdXJjaGFzZSBpbnZvaWNlIHRyYW5zKQksAAAACSwAAAAG4AAAACQxZDRiZTkxZC0zY2Q5LTQ2MzQtOGY0Zi03NjJkYTI1NWFlZTgBH////9L/////////DQAAAAEe////0f///wIAAAABHf///9D///8CAAAAAAAAAAABHP///8////8AAAAACgEAAAAAAAAAAA0AAAAABuUAAAAkNjI5NTA3YjktMzlhYy00MTZkLWIwOGEtZTdiM2UyZjEwZWYzCSwAAAAKCgoKBSQAAAA4R2xvYmVTb2Z0d2FyZS5BdGxhczQwLkF0bGFzQ29tbW9uQ2xpZW50LlJlcG9ydC5SZWZlcmVuY2UBAAAACl9yZWZlcmVuY2UHCCIAAAAJ5wAAAAclAAAAAAEAAAAIAAAABDxHbG9iZVNvZnR3YXJlLkF0bGFzNDAuQXRsYXNDb21tb25DbGllbnQuRGF0YVNvdXJjZUZpZWxkVmFsdWUiAAAACegAAAAJ6QAAAAnqAAAACesAAAAJ7AAAAA0DBCY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e0AAAABAAAAAQAAAAQn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TEBAAAJ7gAAAAcAAAAJ7wAAAAQ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0BAAAJ8AAAAAcAAAAJ8QAAAAE0AAAAJgAAAAnyAAAAAQAAAAEAAAABNQAAACcAAAAxAQAACe4AAAAHAAAACfQAAAABNgAAACgAAAAtAQAACfAAAAAHAAAACfYAAAABQgAAACYAAAAJ9wAAAAEAAAABAAAAAUMAAAAnAAAAMgEAAAnuAAAABwAAAAn5AAAAAUQAAAAoAAAALQEAAAnwAAAABwAAAAn7AAAAAVAAAAAmAAAACfwAAAABAAAAAQAAAAFRAAAAJwAAACkBAAAJ/QAAAAcAAAAJ/gAAAAFSAAAAKAAAACYBAAAJ/wAAAAcAAAAJAAEAAAFeAAAAJgAAAAkBAQAAAQAAAAEAAAABXwAAACcAAAApAQAACf0AAAAHAAAACQMBAAABYAAAACgAAAAmAQAACf8AAAAHAAAACQUBAAABbAAAACYAAAAJBgEAAAEAAAABAAAAAW0AAAAnAAAAKQEAAAn9AAAABwAAAAkIAQAAAW4AAAAoAAAAJgEAAAn/AAAABwAAAAkKAQAAAXoAAAAmAAAACQsBAAABAAAAAQAAAAF7AAAAJwAAADEBAAAJ7gAAAAcAAAAJDQEAAAF8AAAAKAAAAC0BAAAJ8AAAAAcAAAAJDwEAAAGIAAAAJgAAAAkQAQAAAQAAAAEAAAABiQAAACcAAAAxAQAACe4AAAAHAAAACRIBAAABigAAACgAAAAtAQAACfAAAAAHAAAACRQBAAABlgAAACYAAAAJFQEAAAEAAAABAAAAAZcAAAAnAAAAMQEAAAnuAAAABwAAAAkXAQAAAZgAAAAoAAAALQEAAAnwAAAABwAAAAkZAQAAAaQAAAAmAAAACRoBAAABAAAAAQAAAAGlAAAAJwAAACkBAAAJ/QAAAAcAAAAJHAEAAAGmAAAAKAAAACYBAAAJ/wAAAAcAAAAJHgEAAAGyAAAAJgAAAAkfAQAAAQAAAAEAAAABswAAACcAAAAxAQAACe4AAAAHAAAACSEBAAABtAAAACgAAAAtAQAACfAAAAAHAAAACSMBAAABwAAAACYAAAAJJAEAAAAAAAAAAAAAAcEAAAAnAAAA8wAAAAklAQAABwAAAAkmAQAAAcIAAAAoAAAA7gAAAAknAQAABwAAAAkoAQAAAc0AAAAmAAAACSkBAAAAAAAAAAAAAAHOAAAAJwAAABoBAAAJKgEAAAcAAAAJKwEAAAHPAAAAKAAAABEBAAAJLAEAAAcAAAAJLQEAAAHaAAAAJgAAAAkpAQAAAAAAAAAAAAAB2wAAACcAAAAaAQAACSoBAAAHAAAACTABAAAB3AAAACgAAAARAQAACSwBAAAHAAAACTIBAAAP5wAAAAEAAAAIAQAAAAXoAAAAPEdsb2JlU29mdHdhcmUuQXRsYXM0MC5BdGxhc0NvbW1vbkNsaWVudC5EYXRhU291cmNlRmllbGRWYWx1ZQQAAAASX2lzRHJpbGxEb3duRmlsdGVyBl9kc0tleQpfZmllbGRuYW1lC19maWVsZFZhbHVlAAEBAQEiAAAAAAYzAQAAEVRhYmxlLkludmVudFRyYW5zBjQBAAAKRGF0YUFyZWFJZAkGAAAAAekAAADoAAAAAAkzAQAABjcBAAANRGF0ZUZpbmFuY2lhbAY4AQAAGDAxLjI4LjIwMTggLi4gMDEuMzEuMjAxOAHqAAAA6AAAAAAJMwEAAAY6AQAABkl0ZW1JZAY7AQAAASoB6wAAAOgAAAAABjwBAAAqVGFibGUuSW52ZW50VHJhbnMuSXRlbUlkflRhYmxlLkludmVudFRhYmxlBj0BAAAISXRlbVR5cGUGPgEAAAghU2VydmljZQHsAAAA6AAAAAAGPwEAAElUYWJsZS5JbnZlbnRUcmFucy5JdGVtSWR+VGFibGUuSW52ZW50VGFibGUuSXRlbUlkflRhYmxlLkludmVudFRhYmxlTW9kdWxlBkABAAAKTW9kdWxlVHlwZQZBAQAABkludmVudAftAAAAAAEAAAAEAAAABDdHbG9iZVNvZnR3YXJlLkF0bGFzNDAuQXRsYXNDb21tb24uVHlwZS5GaWVsZE91dHB1dEZpZWxkDgAAAAlCAQAADQME7g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7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L3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vP7//zJHbG9iZVNvZnR3YXJlLkF0bGFzNDAuQXRsYXNDb21tb24uQ29sdW1uQXR0cmlidXRlcwEAAAAHdmFsdWVfXwAIDgAAABAAAAAGRQEAAAROb25lAbr+//+9/v//Abn+//+8/v//CQAAAAksAAAAAbf+//+9/v//Abb+//+8/v//CwAAAAZLAQAAATABtP7//73+//8Bs/7//7z+//8EAAAABk4BAAAHR2VuZXJhbAGx/v//vf7//wGw/v//vP7//wIAAAAGUQEAAAExAa7+//+9/v//Aa3+//+8/v//AAAAAAZUAQAABTEzLjcxAfAAAAAMAAAAB/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q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WAQAACEZvbnRCb2xkBlcBAAAFRmFsc2UBqP7//6v+//8GWQEAAApGb250SXRhbGljCVcBAAABpf7//6v+//8GXAEAAA1Gb250VW5kZXJsaW5lBl0BAAAFLTQxNDIBov7//6v+//8GXwEAAAhGb250TmFtZQZgAQAAB0NhbGlicmkBn/7//6v+//8GYgEAAAlGb250Q29sb3IGYwEAAAEwAZz+//+r/v//BmUBAAAIRm9udFNpemUGZgEAAAIxMQGZ/v//q/7//wZoAQAACUZvbnRTdHlsZQZpAQAAB1JlZ3VsYXIH8gAAAAABAAAABAAAAAQ3R2xvYmVTb2Z0d2FyZS5BdGxhczQwLkF0bGFzQ29tbW9uLlR5cGUuRmllbGRPdXRwdXRGaWVsZA4AAAAJagEAAA0DB/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V/v//vf7//wGU/v//vP7//xAAAAAJRQEAAAGS/v//vf7//wGR/v//vP7//wkAAAAJLAAAAAGP/v//vf7//wGO/v//vP7//wsAAAAGcwEAAAExAYz+//+9/v//AYv+//+8/v//BAAAAAZ2AQAAB0dlbmVyYWwBif7//73+//8BiP7//7z+//8CAAAABnkBAAABMQGG/v//vf7//wGF/v//vP7//wAAAAAGfAEAAAUxMC44Ngf2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+//+r/v//CVYBAAAJVwEAAAGA/v//q/7//wlZAQAACVcBAAABff7//6v+//8JXAEAAAaFAQAABS00MTQyAXr+//+r/v//CV8BAAAGiAEAAAdDYWxpYnJpAXf+//+r/v//CWIBAAAGiwEAAAEwAXT+//+r/v//CWUBAAAGjgEAAAIxMQFx/v//q/7//wloAQAABpEBAAAHUmVndWxhcgf3AAAAAAEAAAAEAAAABDdHbG9iZVNvZnR3YXJlLkF0bGFzNDAuQXRsYXNDb21tb24uVHlwZS5GaWVsZE91dHB1dEZpZWxkDgAAAAmSAQAADQMH+Q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3+//+9/v//AWz+//+8/v//BgAAAAaVAQAABVRvdGFsAWr+//+9/v//AWn+//+8/v//EAAAAAlFAQAAAWf+//+9/v//AWb+//+8/v//CQAAAAksAAAAAWT+//+9/v//AWP+//+8/v//CwAAAAaeAQAAATIBYf7//73+//8BYP7//7z+//8EAAAABqEBAAAHR2VuZXJhbAFe/v//vf7//wFd/v//vP7//wIAAAAGpAEAAAExAVv+//+9/v//AVr+//+8/v//AAAAAAanAQAABTEzLjcxB/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7//6v+//8JVgEAAAlXAQAAAVX+//+r/v//CVkBAAAJVwEAAAFS/v//q/7//wlcAQAABrABAAAFLTQxNDIBT/7//6v+//8JXwEAAAazAQAAB0NhbGlicmkBTP7//6v+//8JYgEAAAa2AQAAATABSf7//6v+//8JZQEAAAa5AQAAAjExAUb+//+r/v//CWgBAAAGvAEAAAdSZWd1bGFyB/wAAAAAAQAAAAQAAAAEN0dsb2JlU29mdHdhcmUuQXRsYXM0MC5BdGxhc0NvbW1vbi5UeXBlLkZpZWxkT3V0cHV0RmllbGQOAAAACb0BAAANAwH9AAAA7gAAAAf+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v7//73+//8BQf7//7z+//8JAAAACSwAAAABP/7//73+//8BPv7//7z+//8LAAAABsMBAAABMwE8/v//vf7//wE7/v//vP7//wQAAAAGxgEAAAdHZW5lcmFsATn+//+9/v//ATj+//+8/v//AgAAAAbJAQAAATEBNv7//73+//8BNf7//7z+//8AAAAABswBAAAFMzQuMTQB/wAAAAwAAAAHA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v//q/7//wlWAQAACVcBAAABMP7//6v+//8JWQEAAAlXAQAAAS3+//+r/v//CVwBAAAG1QEAAAUtNDE0MgEq/v//q/7//wlfAQAABtgBAAAHQ2FsaWJyaQEn/v//q/7//wliAQAABtsBAAABMAEk/v//q/7//wllAQAABt4BAAACMTEBIf7//6v+//8JaAEAAAbhAQAAB1JlZ3VsYXIHAQEAAAABAAAABAAAAAQ3R2xvYmVTb2Z0d2FyZS5BdGxhczQwLkF0bGFzQ29tbW9uLlR5cGUuRmllbGRPdXRwdXRGaWVsZA4AAAAJ4gEAAA0DBw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v//vf7//wEc/v//vP7//wkAAAAJLAAAAAEa/v//vf7//wEZ/v//vP7//wsAAAAG6AEAAAE0ARf+//+9/v//ARb+//+8/v//BAAAAAbrAQAAB0dlbmVyYWwBFP7//73+//8BE/7//7z+//8CAAAABu4BAAABMQER/v//vf7//wEQ/v//vP7//wAAAAAG8QEAAAE2Bw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v7//6v+//8JVgEAAAlXAQAAAQv+//+r/v//CVkBAAAJVwEAAAEI/v//q/7//wlcAQAABvoBAAAFLTQxNDIBBf7//6v+//8JXwEAAAb9AQAAB0NhbGlicmkBAv7//6v+//8JYgEAAAYAAgAAATAB//3//6v+//8JZQEAAAYDAgAAAjExAfz9//+r/v//CWgBAAAGBgIAAAdSZWd1bGFyBwYBAAAAAQAAAAQAAAAEN0dsb2JlU29mdHdhcmUuQXRsYXM0MC5BdGxhc0NvbW1vbi5UeXBlLkZpZWxkT3V0cHV0RmllbGQOAAAACQcCAAANAwcI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+P3//73+//8B9/3//7z+//8JAAAACSwAAAAB9f3//73+//8B9P3//7z+//8LAAAABg0CAAABNQHy/f//vf7//wHx/f//vP7//wQAAAAGEAIAAAdHZW5lcmFsAe/9//+9/v//Ae79//+8/v//AgAAAAYTAgAAATEB7P3//73+//8B6/3//7z+//8AAAAABhYCAAAFMTIuODYHC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/f//q/7//wlWAQAACVcBAAAB5v3//6v+//8JWQEAAAlXAQAAAeP9//+r/v//CVwBAAAGHwIAAAUtNDE0MgHg/f//q/7//wlfAQAABiICAAAHQ2FsaWJyaQHd/f//q/7//wliAQAABiUCAAABMAHa/f//q/7//wllAQAABigCAAACMTEB1/3//6v+//8JaAEAAAYrAgAAB1JlZ3VsYXIHCwEAAAABAAAABAAAAAQ3R2xvYmVTb2Z0d2FyZS5BdGxhczQwLkF0bGFzQ29tbW9uLlR5cGUuRmllbGRPdXRwdXRGaWVsZA4AAAAJLAIAAA0DBw0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T/f//vf7//wHS/f//vP7//xAAAAAJRQEAAAHQ/f//vf7//wHP/f//vP7//wkAAAAJLAAAAAHN/f//vf7//wHM/f//vP7//wsAAAAGNQIAAAE2Acr9//+9/v//Acn9//+8/v//BAAAAAY4AgAACG0vZC95eXl5Acf9//+9/v//Acb9//+8/v//AgAAAAY7AgAAATEBxP3//73+//8Bw/3//7z+//8AAAAABj4CAAAFMTQuMTQHD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/f//q/7//wlWAQAACVcBAAABvv3//6v+//8JWQEAAAlXAQAAAbv9//+r/v//CVwBAAAGRwIAAAUtNDE0MgG4/f//q/7//wlfAQAABkoCAAAHQ2FsaWJyaQG1/f//q/7//wliAQAABk0CAAABMAGy/f//q/7//wllAQAABlACAAACMTEBr/3//6v+//8JaAEAAAZTAgAAB1JlZ3VsYXIHEAEAAAABAAAABAAAAAQ3R2xvYmVTb2Z0d2FyZS5BdGxhczQwLkF0bGFzQ29tbW9uLlR5cGUuRmllbGRPdXRwdXRGaWVsZA4AAAAJVAIAAA0DBx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r/f//vf7//wGq/f//vP7//xAAAAAJRQEAAAGo/f//vf7//wGn/f//vP7//wkAAAAJLAAAAAGl/f//vf7//wGk/f//vP7//wsAAAAGXQIAAAE3AaL9//+9/v//AaH9//+8/v//BAAAAAZgAgAACG0vZC95eXl5AZ/9//+9/v//AZ79//+8/v//AgAAAAZjAgAAATEBnP3//73+//8Bm/3//7z+//8AAAAABmYCAAACMTUHF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f//q/7//wlWAQAACVcBAAABlv3//6v+//8JWQEAAAlXAQAAAZP9//+r/v//CVwBAAAGbwIAAAUtNDE0MgGQ/f//q/7//wlfAQAABnICAAAHQ2FsaWJyaQGN/f//q/7//wliAQAABnUCAAABMAGK/f//q/7//wllAQAABngCAAACMTEBh/3//6v+//8JaAEAAAZ7AgAAB1JlZ3VsYXIHFQEAAAABAAAABAAAAAQ3R2xvYmVTb2Z0d2FyZS5BdGxhczQwLkF0bGFzQ29tbW9uLlR5cGUuRmllbGRPdXRwdXRGaWVsZA4AAAAJfAIAAA0DBxc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D/f//vf7//wGC/f//vP7//xAAAAAJRQEAAAGA/f//vf7//wF//f//vP7//wkAAAAJLAAAAAF9/f//vf7//wF8/f//vP7//wsAAAAGhQIAAAE4AXr9//+9/v//AXn9//+8/v//BAAAAAaIAgAAB0dlbmVyYWwBd/3//73+//8Bdv3//7z+//8CAAAABosCAAABMQF0/f//vf7//wFz/f//vP7//wAAAAAGjgIAAAUxMC4yOQc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9//+r/v//CVYBAAAJVwEAAAFu/f//q/7//wlZAQAACVcBAAABa/3//6v+//8JXAEAAAaXAgAABS00MTQyAWj9//+r/v//CV8BAAAGmgIAAAdDYWxpYnJpAWX9//+r/v//CWIBAAAGnQIAAAEwAWL9//+r/v//CWUBAAAGoAIAAAIxMQFf/f//q/7//wloAQAABqMCAAAHUmVndWxhcgcaAQAAAAEAAAAEAAAABDdHbG9iZVNvZnR3YXJlLkF0bGFzNDAuQXRsYXNDb21tb24uVHlwZS5GaWVsZE91dHB1dEZpZWxkDgAAAAmkAgAADQMHH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v9//+9/v//AVr9//+8/v//CQAAAAksAAAAAVj9//+9/v//AVf9//+8/v//CwAAAAaqAgAAATkBVf3//73+//8BVP3//7z+//8EAAAABq0CAAAHR2VuZXJhbAFS/f//vf7//wFR/f//vP7//wIAAAAGsAIAAAExAU/9//+9/v//AU79//+8/v//AAAAAAazAgAABDYuNDMHH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f//q/7//wlWAQAACVcBAAABSf3//6v+//8JWQEAAAlXAQAAAUb9//+r/v//CVwBAAAGvAIAAAUtNDE0MgFD/f//q/7//wlfAQAABr8CAAAHQ2FsaWJyaQFA/f//q/7//wliAQAABsICAAABMAE9/f//q/7//wllAQAABsUCAAACMTEBOv3//6v+//8JaAEAAAbIAgAAB1JlZ3VsYXIHHwEAAAABAAAABAAAAAQ3R2xvYmVTb2Z0d2FyZS5BdGxhczQwLkF0bGFzQ29tbW9uLlR5cGUuRmllbGRPdXRwdXRGaWVsZA4AAAAJyQIAAA0DBy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2/f//vf7//wE1/f//vP7//xAAAAAJRQEAAAEz/f//vf7//wEy/f//vP7//wkAAAAJLAAAAAEw/f//vf7//wEv/f//vP7//wsAAAAG0gIAAAIxMAEt/f//vf7//wEs/f//vP7//wQAAAAG1QIAAAdHZW5lcmFsASr9//+9/v//ASn9//+8/v//AgAAAAbYAgAAATEBJ/3//73+//8BJv3//7z+//8AAAAABtsCAAAEOS40Mwcj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9//+r/v//CVYBAAAJVwEAAAEh/f//q/7//wlZAQAACVcBAAABHv3//6v+//8JXAEAAAbkAgAABS00MTQyARv9//+r/v//CV8BAAAG5wIAAAdDYWxpYnJpARj9//+r/v//CWIBAAAG6gIAAAEwARX9//+r/v//CWUBAAAG7QIAAAIxMQES/f//q/7//wloAQAABvACAAAHUmVndWxhcgckAQAAAAEAAAAAAAAABDdHbG9iZVNvZnR3YXJlLkF0bGFzNDAuQXRsYXNDb21tb24uVHlwZS5GaWVsZE91dHB1dEZpZWxkDgAAAAElAQAA7gAAAAcm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/3//73+//8BDv3//7z+//8kAAAACcQAAAABDP3//73+//8BC/3//7z+//8LAAAABvYCAAACMTEBCf3//73+//8BCP3//7z+//8EAAAABvkCAAAHR2VuZXJhbAEG/f//vf7//wEF/f//vP7//wIAAAAG/AIAAAExAQP9//+9/v//AQL9//+8/v//AAAAAAb/AgAABTIwLjQzAQD9//+9/v//Af/8//+8/v//AwAAAAYCAwAAnQE9SUYoW0BSZWZlcmVuY2VdPSJQdXJjaGFzZSBvcmRlciIsQXRsYXNUYWJsZSgiVUFUIixEYXRhQXJlYUlkLCJULlZlbmRJbnZvaWNlVHJhbnMiLCIlUmVjSWQiLCIiLCIiLCIiLCIiLCIiLCIiLCJJdGVtSWR8UHVyY2hJRHxJbnZlbnRUcmFuc0lkIiwkQzMsJEIzLCRLMyksIiIpAScBAAAMAAAABy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z//6v+//8GBAMAAAhGb250Qm9sZAlXAQAAAfr8//+r/v//BgcDAAAKRm9udEl0YWxpYwlXAQAAAff8//+r/v//BgoDAAANRm9udFVuZGVybGluZQYLAwAABS00MTQyAfT8//+r/v//Bg0DAAAIRm9udE5hbWUGDgMAAAdDYWxpYnJpAfH8//+r/v//BhADAAAJRm9udENvbG9yBhEDAAABMAHu/P//q/7//wYTAwAACEZvbnRTaXplBhQDAAACMTEB6/z//6v+//8GFgMAAAlGb250U3R5bGUGFwMAAAdSZWd1bGFyBykBAAAAAQAAAAAAAAAEN0dsb2JlU29mdHdhcmUuQXRsYXM0MC5BdGxhc0NvbW1vbi5UeXBlLkZpZWxkT3V0cHV0RmllbGQOAAAAASoBAADuAAAABy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o/P//vf7//wHn/P//vP7//yQAAAAJ0QAAAAHl/P//vf7//wHk/P//vP7//wsAAAAGHQMAAAIxMgHi/P//vf7//wHh/P//vP7//wQAAAAGIAMAAAdHZW5lcmFsAd/8//+9/v//Ad78//+8/v//AgAAAAYjAwAAATEB3Pz//73+//8B2/z//7z+//8AAAAABiYDAAAFMTAuNDMB2fz//73+//8B2Pz//7z+//8DAAAABikDAACpAT1JRihbQFJlZmVyZW5jZV09IlB1cmNoYXNlIG9yZGVyIixBdGxhc1RhYmxlKCJVQVQiLERhdGFBcmVhSWQsIlQuTWFya3VwVHJhbnMiLCIlQ3VycmVuY3lDb2RlIiwiIiwiIiwiIiwiIiwiIiwiIiwiTWFya3VwQ29kZXxUcmFuc1JlY0lkfFRyYW5zVGFibGVJZCIsIlRQUCIsJEwzLCI0OTIiKSwiIikBLAEAAAwAAAA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/P//q/7//wYrAwAACEZvbnRCb2xkCVcBAAAB0/z//6v+//8GLgMAAApGb250SXRhbGljCVcBAAAB0Pz//6v+//8GMQMAAA1Gb250VW5kZXJsaW5lBjIDAAAFLTQxNDIBzfz//6v+//8GNAMAAAhGb250TmFtZQY1AwAAB0NhbGlicmkByvz//6v+//8GNwMAAAlGb250Q29sb3IGOAMAAAEwAcf8//+r/v//BjoDAAAIRm9udFNpemUGOwMAAAIxMQHE/P//q/7//wY9AwAACUZvbnRTdHlsZQY+AwAAB1JlZ3VsYXIHM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H8//+9/v//AcD8//+8/v//JAAAAAneAAAAAb78//+9/v//Ab38//+8/v//CwAAAAZEAwAAAjEzAbv8//+9/v//Abr8//+8/v//BAAAAAZHAwAAB0dlbmVyYWwBuPz//73+//8Bt/z//7z+//8CAAAABkoDAAABMQG1/P//vf7//wG0/P//vP7//wAAAAAGTQMAAAIyOAGy/P//vf7//wGx/P//vP7//wMAAAAGUAMAAKoBPUlGKFtAUmVmZXJlbmNlXT0iUHVyY2hhc2Ugb3JkZXIiLEF0bGFzQmFsYW5jZSgiVUFUIixEYXRhQXJlYUlkLCJULk1hcmt1cFRyYW5zIiwiU3VtfFBvc3RlZHwwIiwiIiwiIiwiIiwiIiwiIiwiIiwiTWFya3VwQ29kZXxUcmFuc1RhYmxlSWR8VHJhbnNSZWNJZCIsIlRQUCIsIjQ5MiIsJEwzKSwiIikHM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P//q/7//wkrAwAACVcBAAABrPz//6v+//8JLgMAAAlXAQAAAan8//+r/v//CTEDAAAGWQMAAAUtNDE0MgGm/P//q/7//wk0AwAABlwDAAAHQ2FsaWJyaQGj/P//q/7//wk3AwAABl8DAAABMAGg/P//q/7//wk6AwAABmIDAAACMTEBnfz//6v+//8JPQMAAAZlAwAAB1JlZ3VsYXIFQg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mvz//9L/////////AAZnAwAABEVudW0GaAMAAAlSZWZlcmVuY2UJaQMAAAGW/P//0P///wIAAAAFlfz//zlHbG9iZVNvZnR3YXJlLkF0bGFzNDAuQXRsYXNDb21tb24uTnVtYmVyU2VxdWVuY2VDb25kaXRpb24BAAAAB3ZhbHVlX18ACA4AAAABAAAAAAAGbAMAABFUYWJsZS5JbnZlbnRUcmFucwkpAAAACSwAAAAK/////wlsAwAACgkpAAAACgoKCSwAAAAJcgMAAAksAAAAAWoBAABCAQAAAYz8///S/////////wAGdQMAAAZTdHJpbmcGdgMAAAZOdW1iZXIJaQMAAAGI/P//0P///wIAAAABh/z//5X8//8BAAAAAAAJbAMAAAk3AAAACSwAAAAK/////wlsAwAACgk3AAAACgoKCSwAAAAJgAMAAAksAAAAAZIBAABCAQAAAX78///S/////////wAGgwMAAAZTdHJpbmcGhAMAAAtJdGVtIG51bWJlcglpAwAAAXr8///Q////AgAAAAF5/P//lfz//wEAAAAAAAlsAwAACUUAAAAJLAAAAAr/////CWwDAAAKCUUAAAAKCgoJLAAAAAmOAwAACSwAAAABvQEAAEIBAAABcPz//9L/////////AAaRAwAABlN0cmluZwaSAwAACUl0ZW0gbmFtZQmTAwAAAWz8///Q////AgAAAAFr/P//lfz//wEAAAAAAAk8AQAACVMAAAAJLAAAAAr/////CTwBAAAKCVMAAAAGmwMAAAZJdGVtSWQGnAMAAAtJbnZlbnRUcmFucwoJLAAAAAmeAwAACSwAAAAB4gEAAEIBAAABYPz//9L/////////AAahAwAABlN0cmluZwaiAwAABFNpdGUJowMAAAFc/P//0P///wIAAAABW/z//5X8//8BAAAAAAAGpgMAAC1UYWJsZS5JbnZlbnRUcmFucy5pbnZlbnREaW1JZH5UYWJsZS5JbnZlbnREaW0JYQAAAAksAAAACv////8JpgMAAAoJYQAAAAarAwAAC2ludmVudERpbUlkBqwDAAALSW52ZW50VHJhbnMKCSwAAAAJrgMAAAksAAAAAQcCAABCAQAAAVD8///S/////////wAGsQMAAAZTdHJpbmcGsgMAAAlXYXJlaG91c2UJowMAAAFM/P//0P///wIAAAABS/z//5X8//8BAAAAAAAJpgMAAAlvAAAACSwAAAAK/////wmmAwAACglvAAAABrsDAAALaW52ZW50RGltSWQGvAMAAAtJbnZlbnRUcmFucwoJLAAAAAm+AwAACSwAAAABLAIAAEIBAAABQPz//9L/////////AAbBAwAABERhdGUGwgMAAA1QaHlzaWNhbCBkYXRlCWkDAAABPPz//9D///8CAAAAATv8//+V/P//AQAAAAAACWwDAAAJfQAAAAksAAAACv////8JbAMAAAoJfQAAAAoKCgksAAAACcwDAAAJLAAAAAFUAgAAQgEAAAEy/P//0v////////8ABs8DAAAERGF0ZQbQAwAADkZpbmFuY2lhbCBkYXRlCWkDAAABLvz//9D///8CAAAAAS38//+V/P//AQAAAAAACWwDAAAJiwAAAAksAAAACv////8JbAMAAAoJiwAAAAoKCgksAAAACdoDAAAJLAAAAAF8AgAAQgEAAAEk/P//0v///wEAAAAABt0DAAAEUmVhbAbeAwAACFF1YW50aXR5CWkDAAABIPz//9D///8CAAAAAR/8//+V/P//AQAAAAAACWwDAAAJmQAAAAksAAAACv////8JbAMAAAoJmQAAAAoKCgksAAAACegDAAAJLAAAAAGkAgAAQgEAAAEW/P//0v////////8ABusDAAAGU3RyaW5nBuwDAAAEVW5pdAntAwAAARL8///Q////AgAAAAER/P//lfz//wEAAAAAAAk/AQAACacAAAAJLAAAAAr/////CT8BAAAKCacAAAAG9QMAAAZJdGVtSWQG9gMAAAtJbnZlbnRUYWJsZQoJLAAAAAn4AwAACSwAAAAByQIAAEIBAAABBvz//9L/////////AAb7AwAABlN0cmluZwb8AwAABkxvdCBJRAlpAwAAAQL8///Q////AgAAAAEB/P//lfz//wEAAAAAAAlsAwAACbUAAAAJLAAAAAr/////CWwDAAAKCbUAAAAKCgoJLAAAAAkGBAAACSwAAAAFaQ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sQAAAAYIBAAAC0ludmVudFRyYW5zBgkEAAAWSW52ZW50b3J5IHRyYW5zYWN0aW9ucwksAAAACSwAAAAJLAAAAAX1+///MEdsb2JlU29mdHdhcmUuQXRsYXM0MC5BdGxhc0NvbW1vbi5EYXRhU291cmNlVHlwZQEAAAAHdmFsdWVfXwAIDgAAAAAAAAAJDAQAAAkNBAAABPL7//8LU3lzdGVtLkd1aWQLAAAAAl9hAl9iAl9jAl9kAl9lAl9mAl9nAl9oAl9pAl9qAl9rAAAAAAAAAAAAAAAIBwcCAgICAgICAv7aE81QoYxHvFB5UBqg0c8JLAAAAAksAAAACRAEAAAJbAMAAAoKCgoKAQAAAAXu+///NEdsb2JlU29mdHdhcmUuQXRsYXM0MC5BdGxhc0NvbW1vbi5EYXRhU291cmNlSm9pbk1vZGUBAAAAB3ZhbHVlX18ACA4AAAAAAAAABe37//81R2xvYmVTb2Z0d2FyZS5BdGxhczQwLkF0bGFzQ29tbW9uLkRhdGFTb3VyY2VGZXRjaE1vZGUBAAAAB3ZhbHVlX18ACA4AAAAAAAAAAAkUBAAAAXIDAAAoAAAAiwAAAAnwAAAAAwAAAAkWBAAAAYADAAAoAAAAiwAAAAnwAAAAAwAAAAkYBAAAAY4DAAAoAAAAiwAAAAnwAAAAAwAAAAkaBAAAAZMDAABpAwAA/////wYbBAAAC0ludmVudFRhYmxlBhwEAAAFSXRlbXMJLAAAAAksAAAACSwAAAAB4vv///X7//8AAAAACR8EAAAJIAQAAAHf+///8vv//wqOWgyyI0xBmFF5xzU0QxwJLAAAAAksAAAACSMEAAAJPAEAAAYlBAAAC0ludmVudFRyYW5zBiYEAAARVGFibGUuSW52ZW50VHJhbnMGJwQAABhUYWJsZS5JbnZlbnRUcmFucy5JdGVtSWQGKAQAAAZJdGVtSWQGKQQAAAZJdGVtSWQBAAAAAdb7///u+///AAAAAAHV+///7fv//wAAAAAACSwEAAABngMAACgAAACCAAAACf8AAAADAAAACS4EAAABowMAAGkDAAD/////Bi8EAAAJSW52ZW50RGltBjAEAAAUSW52ZW50b3J5IGRpbWVuc2lvbnMJLAAAAAksAAAACSwAAAABzvv///X7//8AAAAACTMEAAAJNAQAAAHL+///8vv//5Xzl87Gf89Ag/K4qceVhPYJLAAAAAksAAAACTcEAAAJpgMAAAY5BAAAC0ludmVudFRyYW5zBjoEAAARVGFibGUuSW52ZW50VHJhbnMGOwQAAB1UYWJsZS5JbnZlbnRUcmFucy5pbnZlbnREaW1JZAY8BAAAC2ludmVudERpbUlkBj0EAAALaW52ZW50RGltSWQBAAAAAcL7///u+///AAAAAAHB+///7fv//wAAAAAACUAEAAABrgMAACgAAACCAAAACf8AAAADAAAACUIEAAABvgMAACgAAACCAAAACf8AAAADAAAACUQEAAABzAMAACgAAACLAAAACfAAAAADAAAACUYEAAAB2gMAACgAAACLAAAACfAAAAADAAAACUgEAAAB6AMAACgAAACLAAAACfAAAAADAAAACUoEAAAB7QMAAGkDAAD/////BksEAAARSW52ZW50VGFibGVNb2R1bGUGTAQAABtJbnZlbnRvcnkgbW9kdWxlIHBhcmFtZXRlcnMJLAAAAAksAAAACSwAAAABsvv///X7//8AAAAACU8EAAAJUAQAAAGv+///8vv//4w2O26NI6BAm/jVlJckBqQJLAAAAAksAAAACVMEAAAJPwEAAAZVBAAAC0ludmVudFRhYmxlBlYEAAAqVGFibGUuSW52ZW50VHJhbnMuSXRlbUlkflRhYmxlLkludmVudFRhYmxlBlcEAAAxVGFibGUuSW52ZW50VHJhbnMuSXRlbUlkflRhYmxlLkludmVudFRhYmxlLkl0ZW1JZAZYBAAABkl0ZW1JZAZZBAAABkl0ZW1JZAEAAAABpvv//+77//8AAAAAAaX7///t+///AAAAAAAJXAQAAAH4AwAAKAAAAIIAAAAJ/wAAAAMAAAAJXgQAAAEGBAAAKAAAAIsAAAAJ8AAAAAMAAAAJYAQAAAQMB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gAAAAlhBAAAEQAAAAliBAAABA0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YQQAAAAAAAAEEA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EEAAAAAAAABBQE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QEAAAAAAAABx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v//6v+//8GZgQAAAhIZWxwVGV4dAZnBAAAMlNwZWNpZnkgdGhlIG1vZHVsZSB0aGF0IGdlbmVyYXRlZCB0aGUgdHJhbnNhY3Rpb24uAZj7//+r/v//BmkEAAAFTGFiZWwJaAMAAAGV+///q/7//wZsBAAABFR5cGUJZwMAAAcY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7//+r/v//CWYEAAAGcAQAADVPcmRlciBudW1iZXIsIHByb2plY3QgbnVtYmVyLCBwcm9kdWN0aW9uIG51bWJlciwgZXRjLgGP+///q/7//wlpBAAACXYDAAABjPv//6v+//8JbAQAAAl1AwAABx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fv//6v+//8JZgQAAAZ5BAAADklkZW50aWZ5IGl0ZW0uAYb7//+r/v//CWkEAAAJhAMAAAGD+///q/7//wlsBAAACYMDAAABHwQAAAwEAAABAAAACf8AAAADAAAACYEEAAAEI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mCBAAAAwAAAAmDBAAABCM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f8AAAADAAAACYUEAAABLAQAABQEAAAAAAAACYYEAAAAAAAABy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v//6v+//8GiAQAAAVMYWJlbAmSAwAAAXb7//+r/v//BosEAAAEVHlwZQmRAwAAATMEAAAMBAAAAgAAAAn/AAAAAwAAAAmOBAAAATQEAAANBAAAAAAAAAmCBAAAAAAAAAE3BAAAEAQAAAAAAAAJ/wAAAAAAAAABQAQAABQEAAAAAAAACYYEAAAAAAAAB0I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v//6v+//8JiAQAAAmiAwAAAWv7//+r/v//CYsEAAAJoQMAAAdE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j7//+r/v//CYgEAAAJsgMAAAFl+///q/7//wmLBAAACbEDAAAHR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i+///q/7//wlmBAAABqAEAAAcRGF0ZSBvZiBwaHlzaWNhbCB0cmFuc2FjdGlvbgFf+///q/7//wlpBAAACcIDAAABXPv//6v+//8JbAQAAAnBAwAAB0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v//6v+//8JZgQAAAapBAAAHURhdGUgb2YgZmluYW5jaWFsIHRyYW5zYWN0aW9uAVb7//+r/v//CWkEAAAJ0AMAAAFT+///q/7//wlsBAAACc8DAAAHS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+///q/7//wlmBAAABrIEAAAkUXVhbnRpdHkgYXR0YWNoZWQgdG8gdGhlIHRyYW5zYWN0aW9uAU37//+r/v//CWkEAAAJ3gMAAAFK+///q/7//wlsBAAACd0DAAABTwQAAAwEAAABAAAACf8AAAADAAAACboEAAAEU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mCBAAAAwAAAAm8BAAAAVMEAAAQBAAAAAAAAAn/AAAAAAAAAAFcBAAAFAQAAAAAAAAJhgQAAAAAAAAHX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///q/7//wmIBAAACewDAAABPvv//6v+//8JiwQAAAnrAwAAB2A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/v//6v+//8JZgQAAAbHBAAAUlN1bW1hcnkgbnVtYmVyL0xvdCBJRCBmb3IgdHJhbnNhY3Rpb25zIGF0dGFjaGVkIHRvIHRoZSBzYW1lIGludmVudG9yeSB0cmFuc2FjdGlvbi4BOPv//6v+//8JaQQAAAn8AwAAATX7//+r/v//CWwEAAAJ+wMAAAFhBAAADAAAAAdiBAAAAAEAAAAK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y+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PBAAAGFRhYmxlLkludmVudFRyYW5zLkl0ZW1JZAmSAQAAAS/7//8y+///BtIEAAAfVGFibGUuSW52ZW50VHJhbnMuSW52ZW50VHJhbnNJZAnJAgAAASz7//8y+///BtUEAAAbVGFibGUuSW52ZW50VHJhbnMuVHJhbnNUeXBlCUIBAAABKfv//zL7//8G2AQAABxUYWJsZS5JbnZlbnRUcmFucy5UcmFuc1JlZklkCWoBAAABJvv//zL7//8G2wQAAB5UYWJsZS5JbnZlbnRUcmFucy5EYXRlUGh5c2ljYWwJLAIAAAEj+///Mvv//wbeBAAAH1RhYmxlLkludmVudFRyYW5zLkRhdGVGaW5hbmNpYWwJVAIAAAEg+///Mvv//wbhBAAAH1RhYmxlLkludmVudFRyYW5zLlN0YXR1c1JlY2VpcHQJ4gQAAAEd+///Mvv//wbkBAAAHVRhYmxlLkludmVudFRyYW5zLlN0YXR1c0lzc3VlCeUEAAABGvv//zL7//8G5wQAABVUYWJsZS5JbnZlbnRUcmFucy5RdHkJfAIAAAEX+///Mvv//wbqBAAAIlRhYmxlLkludmVudFRyYW5zLkNvc3RBbW91bnRQb3N0ZWQJ6wQAAARkB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gQQ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FPv//zL7//8G7QQAADNUYWJsZS5JbnZlbnRUcmFucy5JdGVtSWR+VGFibGUuSW52ZW50VGFibGUuSXRlbU5hbWUJvQEAAAGCBAAADAAAAAeDB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Efv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bwBAAAM1RhYmxlLkludmVudFRyYW5zLkl0ZW1JZH5UYWJsZS5JbnZlbnRUYWJsZS5JdGVtVHlwZQnxBAAAB4UE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77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T8BAAAJ7QMAAAGGBAAAZAQAAAeOBA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L+///Mvv//wb2BAAAOlRhYmxlLkludmVudFRyYW5zLmludmVudERpbUlkflRhYmxlLkludmVudERpbS5JbnZlbnRTaXRlSWQJ4gEAAAEI+///Mvv//wb5BAAAPlRhYmxlLkludmVudFRyYW5zLmludmVudERpbUlkflRhYmxlLkludmVudERpbS5JbnZlbnRMb2NhdGlvbklkCQcCAAAHugQ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Bfv//zL7//8G/AQAAFBUYWJsZS5JbnZlbnRUcmFucy5JdGVtSWR+VGFibGUuSW52ZW50VGFibGUuSXRlbUlkflRhYmxlLkludmVudFRhYmxlTW9kdWxlLlVuaXRJZAmkAgAAB7wE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C+///Efv//wb/BAAAVFRhYmxlLkludmVudFRyYW5zLkl0ZW1JZH5UYWJsZS5JbnZlbnRUYWJsZS5JdGVtSWR+VGFibGUuSW52ZW50VGFibGVNb2R1bGUuTW9kdWxlVHlwZQkABQAAAeIEAABCAQAAAf/6///S/////////wAGAgUAAARFbnVtBgMFAAAOUmVjZWlwdCBzdGF0dXMJaQMAAAH7+v//0P///wIAAAAB+vr//5X8//8BAAAAAAAJbAMAAAYIBQAADVN0YXR1c1JlY2VpcHQJLAAAAAr/////CWwDAAAKCQgFAAAKCgoJLAAAAAkNBQAACSwAAAAB5QQAAEIBAAAB8fr//9L/////////AAYQBQAABEVudW0GEQUAAAxJc3N1ZSBzdGF0dXMJaQMAAAHt+v//0P///wIAAAAB7Pr//5X8//8BAAAAAAAJbAMAAAYWBQAAC1N0YXR1c0lzc3VlCSwAAAAK/////wlsAwAACgkWBQAACgoKCSwAAAAJGwUAAAksAAAAAesEAABCAQAAAeP6///S/////////wAGHgUAAARSZWFsBh8FAAAVRmluYW5jaWFsIGNvc3QgYW1vdW50CWkDAAAB3/r//9D///8CAAAAAd76//+V/P//AQAAAAAACWwDAAAGJAUAABBDb3N0QW1vdW50UG9zdGVkCSwAAAAK/////wlsAwAACgkkBQAACgoKCSwAAAAJKQUAAAksAAAABfEE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8AQAACT0BAAAJLAAAAAk+AQAA/////wk8AQAABjAFAAALSW52ZW50VGFibGUJPQEAAAYyBQAABkl0ZW1JZAoKCSwAAAAJNAUAAAksAAAAAQAFAADxBAAACT8BAAAJQAEAAAksAAAACUEBAAD/////CT8BAAAKCUABAAAGPAUAAAZJdGVtSWQKCgksAAAACT4FAAAJLAAAAAENBQAAKAAAAA8AAAAJ8AAAAAMAAAAJQQUAAAEbBQAAKAAAAA8AAAAJ8AAAAAMAAAAJQwUAAAEpBQAAKAAAAA8AAAAJ8AAAAAMAAAAJRQUAAAE0BQAAKAAAADoAAAAJRgUAAAMAAAAJRwUAAAE+BQAAKAAAADYAAAAJRgUAAAMAAAAJSQUAAAd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b6//+r/v//CWYEAAAGTAUAAClTdGF0dXMgb2YgcXVhbnRpdHkgaW4gcmVsYXRpb24gdG8gcmVjZWlwdAGz+v//q/7//wlpBAAACQMFAAABsPr//6v+//8JbAQAAAkCBQAAB0M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r//6v+//8JZgQAAAZVBQAAKVN0YXR1cyBmb3IgcXVhbnRpdHkgaW4gcmVsYXRpb24gdG8gaXNzdWVzAar6//+r/v//CWkEAAAJEQUAAAGn+v//q/7//wlsBAAACRAFAAAHR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k+v//q/7//wlmBAAABl4FAAA1SW52ZW50b3J5IHZhbHVlIGZvciB0aGUgZmluYW5jaWFsbHkgdXBkYXRlZCBxdWFudGl0eS4Bofr//6v+//8JaQQAAAkfBQAAAZ76//+r/v//CWwEAAAJHgUAAAFGBQAADAAAAAdH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6//+r/v//BmYFAAAEVHlwZQZnBQAABEVudW0BmPr//6v+//8GaQUAAAVMYWJlbAZqBQAACUl0ZW0gdHlwZQGV+v//q/7//wZsBQAACFJlZmVyc1RvBm0FAAAJPUl0ZW1UeXBlB0k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r//6v+//8JZgUAAAZwBQAABEVudW0Bj/r//6v+//8JaQUAAAZzBQAAC01vZHVsZSB0eXBlCw==</Report>
</Atlas>
</file>

<file path=customXml/itemProps1.xml><?xml version="1.0" encoding="utf-8"?>
<ds:datastoreItem xmlns:ds="http://schemas.openxmlformats.org/officeDocument/2006/customXml" ds:itemID="{D4637B29-9BE6-487D-BCF6-A39C3997A54F}">
  <ds:schemaRefs/>
</ds:datastoreItem>
</file>

<file path=customXml/itemProps2.xml><?xml version="1.0" encoding="utf-8"?>
<ds:datastoreItem xmlns:ds="http://schemas.openxmlformats.org/officeDocument/2006/customXml" ds:itemID="{4E95DDF3-782A-425C-9ABF-A7E4E3D1577C}">
  <ds:schemaRefs/>
</ds:datastoreItem>
</file>

<file path=customXml/itemProps3.xml><?xml version="1.0" encoding="utf-8"?>
<ds:datastoreItem xmlns:ds="http://schemas.openxmlformats.org/officeDocument/2006/customXml" ds:itemID="{4B18E595-E8B3-4102-9AB7-17C4C852ADC8}">
  <ds:schemaRefs/>
</ds:datastoreItem>
</file>

<file path=customXml/itemProps4.xml><?xml version="1.0" encoding="utf-8"?>
<ds:datastoreItem xmlns:ds="http://schemas.openxmlformats.org/officeDocument/2006/customXml" ds:itemID="{112D8730-0BD8-4C81-A78F-FE8EC0F716F6}">
  <ds:schemaRefs/>
</ds:datastoreItem>
</file>

<file path=customXml/itemProps5.xml><?xml version="1.0" encoding="utf-8"?>
<ds:datastoreItem xmlns:ds="http://schemas.openxmlformats.org/officeDocument/2006/customXml" ds:itemID="{E8DD8715-2DD9-412E-8F04-E87E72008A8B}">
  <ds:schemaRefs/>
</ds:datastoreItem>
</file>

<file path=customXml/itemProps6.xml><?xml version="1.0" encoding="utf-8"?>
<ds:datastoreItem xmlns:ds="http://schemas.openxmlformats.org/officeDocument/2006/customXml" ds:itemID="{4E91DE9B-71A4-4A64-90D1-626C10BBA056}">
  <ds:schemaRefs/>
</ds:datastoreItem>
</file>

<file path=customXml/itemProps7.xml><?xml version="1.0" encoding="utf-8"?>
<ds:datastoreItem xmlns:ds="http://schemas.openxmlformats.org/officeDocument/2006/customXml" ds:itemID="{AF5D6971-FBE1-4B52-BE08-FA015650D555}">
  <ds:schemaRefs/>
</ds:datastoreItem>
</file>

<file path=customXml/itemProps8.xml><?xml version="1.0" encoding="utf-8"?>
<ds:datastoreItem xmlns:ds="http://schemas.openxmlformats.org/officeDocument/2006/customXml" ds:itemID="{02D4AA5E-BD97-4FF6-9486-36119B54470A}">
  <ds:schemaRefs/>
</ds:datastoreItem>
</file>

<file path=customXml/itemProps9.xml><?xml version="1.0" encoding="utf-8"?>
<ds:datastoreItem xmlns:ds="http://schemas.openxmlformats.org/officeDocument/2006/customXml" ds:itemID="{C349F6A3-2899-4FA5-AC60-F1BC76D99D8B}">
  <ds:schemaRefs/>
</ds:datastoreItem>
</file>

<file path=customXml/itemProps10.xml><?xml version="1.0" encoding="utf-8"?>
<ds:datastoreItem xmlns:ds="http://schemas.openxmlformats.org/officeDocument/2006/customXml" ds:itemID="{B9BAB8F1-E7C6-4685-841F-029A0025921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General</vt:lpstr>
      <vt:lpstr>On-hand statement</vt:lpstr>
      <vt:lpstr>Adjustment suggestion</vt:lpstr>
      <vt:lpstr>TPP Adjustment Journal</vt:lpstr>
      <vt:lpstr>InventTrans</vt:lpstr>
      <vt:lpstr>TPPTrans</vt:lpstr>
      <vt:lpstr>InventSum</vt:lpstr>
      <vt:lpstr>TPPSum</vt:lpstr>
      <vt:lpstr>InventTable</vt:lpstr>
      <vt:lpstr>Parameter</vt:lpstr>
      <vt:lpstr>InventTrans!AtlasReport_1</vt:lpstr>
      <vt:lpstr>TPPTrans!AtlasReport_2</vt:lpstr>
      <vt:lpstr>InventSum!AtlasReport_3</vt:lpstr>
      <vt:lpstr>TPPSum!AtlasReport_4</vt:lpstr>
      <vt:lpstr>InventTable!AtlasReport_5</vt:lpstr>
      <vt:lpstr>DataAreaId</vt:lpstr>
      <vt:lpstr>DateFormat</vt:lpstr>
      <vt:lpstr>DatePeriod</vt:lpstr>
      <vt:lpstr>DateRegion</vt:lpstr>
      <vt:lpstr>FromDate</vt:lpstr>
      <vt:lpstr>ItemNumber</vt:lpstr>
      <vt:lpstr>ItemType</vt:lpstr>
      <vt:lpstr>PeriodBeginning</vt:lpstr>
      <vt:lpstr>PeriodEnding</vt:lpstr>
      <vt:lpstr>Region</vt:lpstr>
      <vt:lpstr>ToDate</vt:lpstr>
    </vt:vector>
  </TitlesOfParts>
  <Company>Simpson Manufacturing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2017-06-30T05:53:30Z</dcterms:created>
  <dcterms:modified xsi:type="dcterms:W3CDTF">2018-03-07T02:22:46Z</dcterms:modified>
</cp:coreProperties>
</file>