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Simpson\Companies\S&amp;P\INC1951033 Preparation of Atlas File\"/>
    </mc:Choice>
  </mc:AlternateContent>
  <bookViews>
    <workbookView xWindow="480" yWindow="105" windowWidth="27795" windowHeight="12600"/>
  </bookViews>
  <sheets>
    <sheet name="General" sheetId="1" r:id="rId1"/>
    <sheet name="Report" sheetId="5" r:id="rId2"/>
    <sheet name="Charts" sheetId="10" r:id="rId3"/>
    <sheet name="SalesBudget" sheetId="6" r:id="rId4"/>
    <sheet name="CustInvoiceJour" sheetId="2" r:id="rId5"/>
    <sheet name="CustPackingSlipTrans" sheetId="7" r:id="rId6"/>
    <sheet name="InventTrans" sheetId="3" r:id="rId7"/>
    <sheet name="Notes" sheetId="4" r:id="rId8"/>
  </sheets>
  <functionGroups builtInGroupCount="18"/>
  <definedNames>
    <definedName name="AtlasReport_1" localSheetId="4">CustInvoiceJour!$A$1:$F$347</definedName>
    <definedName name="AtlasReport_2" localSheetId="6">InventTrans!$A$1:$H$1786</definedName>
    <definedName name="AtlasReport_3" localSheetId="5">CustPackingSlipTrans!$A$1:$G$1688</definedName>
    <definedName name="CustGroup">General!$C$6</definedName>
    <definedName name="DataAreaId">General!$C$2</definedName>
    <definedName name="DatePeriod">General!$C$5</definedName>
    <definedName name="EndDate">General!$E$4</definedName>
    <definedName name="StartDate">General!$C$4</definedName>
    <definedName name="TopN">General!$C$8</definedName>
  </definedNames>
  <calcPr calcId="162913"/>
</workbook>
</file>

<file path=xl/calcChain.xml><?xml version="1.0" encoding="utf-8"?>
<calcChain xmlns="http://schemas.openxmlformats.org/spreadsheetml/2006/main">
  <c r="N61" i="5" l="1"/>
  <c r="M61" i="5"/>
  <c r="L61" i="5"/>
  <c r="K61" i="5"/>
  <c r="J61" i="5"/>
  <c r="I61" i="5"/>
  <c r="H61" i="5"/>
  <c r="G61" i="5"/>
  <c r="F61" i="5"/>
  <c r="E61" i="5"/>
  <c r="D61" i="5"/>
  <c r="O61" i="5" s="1"/>
  <c r="O58" i="5"/>
  <c r="O37" i="5"/>
  <c r="O60" i="5"/>
  <c r="O54" i="5"/>
  <c r="O59" i="5"/>
  <c r="O48" i="5"/>
  <c r="O41" i="5"/>
  <c r="O26" i="5"/>
  <c r="O24" i="5"/>
  <c r="O57" i="5"/>
  <c r="O29" i="5"/>
  <c r="O50" i="5"/>
  <c r="O45" i="5"/>
  <c r="O28" i="5"/>
  <c r="O51" i="5"/>
  <c r="O23" i="5"/>
  <c r="O53" i="5"/>
  <c r="O34" i="5"/>
  <c r="O27" i="5"/>
  <c r="O39" i="5"/>
  <c r="O42" i="5"/>
  <c r="O38" i="5"/>
  <c r="O20" i="5"/>
  <c r="O40" i="5"/>
  <c r="O52" i="5"/>
  <c r="O56" i="5"/>
  <c r="O21" i="5"/>
  <c r="O46" i="5"/>
  <c r="O49" i="5"/>
  <c r="O30" i="5"/>
  <c r="O25" i="5"/>
  <c r="O35" i="5"/>
  <c r="O32" i="5"/>
  <c r="O47" i="5"/>
  <c r="O31" i="5"/>
  <c r="O55" i="5"/>
  <c r="O36" i="5"/>
  <c r="O33" i="5"/>
  <c r="O44" i="5"/>
  <c r="O43" i="5"/>
  <c r="O22" i="5"/>
  <c r="O14" i="5"/>
  <c r="O13" i="5"/>
  <c r="O8" i="5"/>
  <c r="O9" i="5" s="1"/>
  <c r="O5" i="5"/>
  <c r="O2" i="5"/>
  <c r="N14" i="5"/>
  <c r="N9" i="5"/>
  <c r="M14" i="5"/>
  <c r="M9" i="5"/>
  <c r="L14" i="5"/>
  <c r="L9" i="5"/>
  <c r="K14" i="5"/>
  <c r="K9" i="5"/>
  <c r="J14" i="5"/>
  <c r="J9" i="5"/>
  <c r="I14" i="5"/>
  <c r="I9" i="5"/>
  <c r="H14" i="5"/>
  <c r="H9" i="5"/>
  <c r="G14" i="5"/>
  <c r="G9" i="5"/>
  <c r="F14" i="5"/>
  <c r="F9" i="5"/>
  <c r="E14" i="5"/>
  <c r="E10" i="5"/>
  <c r="F10" i="5" s="1"/>
  <c r="E9" i="5"/>
  <c r="E6" i="5"/>
  <c r="F6" i="5" s="1"/>
  <c r="G6" i="5" s="1"/>
  <c r="H6" i="5" s="1"/>
  <c r="I6" i="5" s="1"/>
  <c r="J6" i="5" s="1"/>
  <c r="K6" i="5" s="1"/>
  <c r="L6" i="5" s="1"/>
  <c r="M6" i="5" s="1"/>
  <c r="N6" i="5" s="1"/>
  <c r="O6" i="5" s="1"/>
  <c r="D15" i="5"/>
  <c r="E15" i="5" s="1"/>
  <c r="F15" i="5" s="1"/>
  <c r="G15" i="5" s="1"/>
  <c r="H15" i="5" s="1"/>
  <c r="I15" i="5" s="1"/>
  <c r="J15" i="5" s="1"/>
  <c r="K15" i="5" s="1"/>
  <c r="L15" i="5" s="1"/>
  <c r="M15" i="5" s="1"/>
  <c r="N15" i="5" s="1"/>
  <c r="O15" i="5" s="1"/>
  <c r="D14" i="5"/>
  <c r="D10" i="5"/>
  <c r="D11" i="5" s="1"/>
  <c r="D9" i="5"/>
  <c r="D6" i="5"/>
  <c r="D3" i="5"/>
  <c r="E3" i="5" s="1"/>
  <c r="F3" i="5" l="1"/>
  <c r="E16" i="5"/>
  <c r="G10" i="5"/>
  <c r="F11" i="5"/>
  <c r="E11" i="5"/>
  <c r="D16" i="5"/>
  <c r="F346" i="2"/>
  <c r="G1785" i="3"/>
  <c r="F1785" i="3"/>
  <c r="H1785" i="3"/>
  <c r="F1687" i="7"/>
  <c r="H10" i="5" l="1"/>
  <c r="G3" i="5"/>
  <c r="F16" i="5"/>
  <c r="A2" i="6"/>
  <c r="A3" i="6"/>
  <c r="A4" i="6"/>
  <c r="A5" i="6"/>
  <c r="A6" i="6"/>
  <c r="A7" i="6"/>
  <c r="A8" i="6"/>
  <c r="A9" i="6"/>
  <c r="A10" i="6"/>
  <c r="A11" i="6"/>
  <c r="A12" i="6"/>
  <c r="A13" i="6"/>
  <c r="A15" i="6"/>
  <c r="A16" i="6"/>
  <c r="A17" i="6"/>
  <c r="A18" i="6"/>
  <c r="A19" i="6"/>
  <c r="A20" i="6"/>
  <c r="A21" i="6"/>
  <c r="A22" i="6"/>
  <c r="A23" i="6"/>
  <c r="A24" i="6"/>
  <c r="A25" i="6"/>
  <c r="A14" i="6"/>
  <c r="I10" i="5" l="1"/>
  <c r="H3" i="5"/>
  <c r="G16" i="5"/>
  <c r="G11" i="5"/>
  <c r="C5" i="1"/>
  <c r="I3" i="5" l="1"/>
  <c r="H16" i="5"/>
  <c r="J10" i="5"/>
  <c r="I11" i="5"/>
  <c r="H11" i="5"/>
  <c r="K10" i="5" l="1"/>
  <c r="J3" i="5"/>
  <c r="I16" i="5"/>
  <c r="K3" i="5" l="1"/>
  <c r="J16" i="5"/>
  <c r="K11" i="5"/>
  <c r="L10" i="5"/>
  <c r="J11" i="5"/>
  <c r="M10" i="5" l="1"/>
  <c r="L11" i="5"/>
  <c r="L3" i="5"/>
  <c r="K16" i="5"/>
  <c r="M3" i="5" l="1"/>
  <c r="L16" i="5"/>
  <c r="N10" i="5"/>
  <c r="M11" i="5"/>
  <c r="O10" i="5" l="1"/>
  <c r="N3" i="5"/>
  <c r="M16" i="5"/>
  <c r="N16" i="5" l="1"/>
  <c r="O3" i="5"/>
  <c r="O16" i="5" s="1"/>
  <c r="N11" i="5"/>
  <c r="O11" i="5"/>
</calcChain>
</file>

<file path=xl/sharedStrings.xml><?xml version="1.0" encoding="utf-8"?>
<sst xmlns="http://schemas.openxmlformats.org/spreadsheetml/2006/main" count="15436" uniqueCount="3320">
  <si>
    <t>Company:</t>
  </si>
  <si>
    <t>Start Date</t>
  </si>
  <si>
    <t>End Date</t>
  </si>
  <si>
    <t>Date Period:</t>
  </si>
  <si>
    <t>Cust group:</t>
  </si>
  <si>
    <t>!IC*</t>
  </si>
  <si>
    <t>Customer invoice journal</t>
  </si>
  <si>
    <t>Customer account</t>
  </si>
  <si>
    <t>Sales order</t>
  </si>
  <si>
    <t>Date</t>
  </si>
  <si>
    <t>Invoice</t>
  </si>
  <si>
    <t>Sales balance in default currency</t>
  </si>
  <si>
    <t>372-000072</t>
  </si>
  <si>
    <t>SO0000174</t>
  </si>
  <si>
    <t>111000214</t>
  </si>
  <si>
    <t>372-000050</t>
  </si>
  <si>
    <t>SO0000230</t>
  </si>
  <si>
    <t>111000216</t>
  </si>
  <si>
    <t>372-000127</t>
  </si>
  <si>
    <t>SO0000231</t>
  </si>
  <si>
    <t>111000217</t>
  </si>
  <si>
    <t>372-000186</t>
  </si>
  <si>
    <t>SO0000205</t>
  </si>
  <si>
    <t>111000218</t>
  </si>
  <si>
    <t>372-000151</t>
  </si>
  <si>
    <t>SO0000215</t>
  </si>
  <si>
    <t>111000219</t>
  </si>
  <si>
    <t>SO0000228</t>
  </si>
  <si>
    <t>111000220</t>
  </si>
  <si>
    <t>372-000141</t>
  </si>
  <si>
    <t>SO0000237</t>
  </si>
  <si>
    <t>111000225</t>
  </si>
  <si>
    <t>372-000054</t>
  </si>
  <si>
    <t>SO0000239</t>
  </si>
  <si>
    <t>111000226</t>
  </si>
  <si>
    <t>372-000086</t>
  </si>
  <si>
    <t>SO0000202</t>
  </si>
  <si>
    <t>111000227</t>
  </si>
  <si>
    <t>372-000058</t>
  </si>
  <si>
    <t>SO0000227</t>
  </si>
  <si>
    <t>111000228</t>
  </si>
  <si>
    <t>372-000223</t>
  </si>
  <si>
    <t>SO0000216</t>
  </si>
  <si>
    <t>111000229</t>
  </si>
  <si>
    <t>SO0000204</t>
  </si>
  <si>
    <t>111000230</t>
  </si>
  <si>
    <t>372-000111</t>
  </si>
  <si>
    <t>SO0000240</t>
  </si>
  <si>
    <t>111000231</t>
  </si>
  <si>
    <t>372-000153</t>
  </si>
  <si>
    <t>SO0000141</t>
  </si>
  <si>
    <t>111000232</t>
  </si>
  <si>
    <t>SO0000235</t>
  </si>
  <si>
    <t>111000233</t>
  </si>
  <si>
    <t>SO0000232</t>
  </si>
  <si>
    <t>111000234</t>
  </si>
  <si>
    <t>372-000056</t>
  </si>
  <si>
    <t>SO0000252</t>
  </si>
  <si>
    <t>111000235</t>
  </si>
  <si>
    <t>372-000090</t>
  </si>
  <si>
    <t>SO0000248</t>
  </si>
  <si>
    <t>111000236</t>
  </si>
  <si>
    <t>372-000075</t>
  </si>
  <si>
    <t>SO0000247</t>
  </si>
  <si>
    <t>111000237</t>
  </si>
  <si>
    <t>372-000122</t>
  </si>
  <si>
    <t>SO0000236</t>
  </si>
  <si>
    <t>111000238</t>
  </si>
  <si>
    <t>SO0000245</t>
  </si>
  <si>
    <t>111000239</t>
  </si>
  <si>
    <t>372-000052</t>
  </si>
  <si>
    <t>SO0000255</t>
  </si>
  <si>
    <t>111000240</t>
  </si>
  <si>
    <t>372-000051</t>
  </si>
  <si>
    <t>SO0000251</t>
  </si>
  <si>
    <t>111000241</t>
  </si>
  <si>
    <t>SO0000246</t>
  </si>
  <si>
    <t>111000242</t>
  </si>
  <si>
    <t>SO0000220</t>
  </si>
  <si>
    <t>111000243</t>
  </si>
  <si>
    <t>372-000195</t>
  </si>
  <si>
    <t>SO0000241</t>
  </si>
  <si>
    <t>111000244</t>
  </si>
  <si>
    <t>SO0000258</t>
  </si>
  <si>
    <t>111000245</t>
  </si>
  <si>
    <t>372-000227</t>
  </si>
  <si>
    <t>SO0000262</t>
  </si>
  <si>
    <t>111000246</t>
  </si>
  <si>
    <t>372-000113</t>
  </si>
  <si>
    <t>SO0000250</t>
  </si>
  <si>
    <t>111000247</t>
  </si>
  <si>
    <t>372-000095</t>
  </si>
  <si>
    <t>SO0000238</t>
  </si>
  <si>
    <t>111000248</t>
  </si>
  <si>
    <t>SO0000256</t>
  </si>
  <si>
    <t>111000249</t>
  </si>
  <si>
    <t>SO0000259</t>
  </si>
  <si>
    <t>111000250</t>
  </si>
  <si>
    <t>372-000080</t>
  </si>
  <si>
    <t>SO0000242</t>
  </si>
  <si>
    <t>111000251</t>
  </si>
  <si>
    <t>372-000207</t>
  </si>
  <si>
    <t>SO0000266</t>
  </si>
  <si>
    <t>111000254</t>
  </si>
  <si>
    <t>SO0000267</t>
  </si>
  <si>
    <t>111000255</t>
  </si>
  <si>
    <t>111000256</t>
  </si>
  <si>
    <t>372-000048</t>
  </si>
  <si>
    <t>SO0000249</t>
  </si>
  <si>
    <t>111000259</t>
  </si>
  <si>
    <t>SO0000269</t>
  </si>
  <si>
    <t>111000260</t>
  </si>
  <si>
    <t>SO0000284</t>
  </si>
  <si>
    <t>111000261</t>
  </si>
  <si>
    <t>372-000226</t>
  </si>
  <si>
    <t>SO0000288</t>
  </si>
  <si>
    <t>111000262</t>
  </si>
  <si>
    <t>372-000229</t>
  </si>
  <si>
    <t>SO0000275</t>
  </si>
  <si>
    <t>111000263</t>
  </si>
  <si>
    <t>372-000078</t>
  </si>
  <si>
    <t>SO0000261</t>
  </si>
  <si>
    <t>111000264</t>
  </si>
  <si>
    <t>372-000107</t>
  </si>
  <si>
    <t>SO0000278</t>
  </si>
  <si>
    <t>111000265</t>
  </si>
  <si>
    <t>372-000123</t>
  </si>
  <si>
    <t>SO0000264</t>
  </si>
  <si>
    <t>111000266</t>
  </si>
  <si>
    <t>372-000088</t>
  </si>
  <si>
    <t>SO0000279</t>
  </si>
  <si>
    <t>111000267</t>
  </si>
  <si>
    <t>372-000008</t>
  </si>
  <si>
    <t>SO0000244</t>
  </si>
  <si>
    <t>111000270</t>
  </si>
  <si>
    <t>372-000069</t>
  </si>
  <si>
    <t>SO0000290</t>
  </si>
  <si>
    <t>111000271</t>
  </si>
  <si>
    <t>SO0000234</t>
  </si>
  <si>
    <t>111000272</t>
  </si>
  <si>
    <t>372-000188</t>
  </si>
  <si>
    <t>SO0000276</t>
  </si>
  <si>
    <t>111000273</t>
  </si>
  <si>
    <t>SO0000263</t>
  </si>
  <si>
    <t>111000274</t>
  </si>
  <si>
    <t>SO0000292</t>
  </si>
  <si>
    <t>111000275</t>
  </si>
  <si>
    <t>SO0000233</t>
  </si>
  <si>
    <t>111000276</t>
  </si>
  <si>
    <t>SO0000299</t>
  </si>
  <si>
    <t>111000279</t>
  </si>
  <si>
    <t>SO0000291</t>
  </si>
  <si>
    <t>111000280</t>
  </si>
  <si>
    <t>SO0000298</t>
  </si>
  <si>
    <t>111000281</t>
  </si>
  <si>
    <t>SO0000300</t>
  </si>
  <si>
    <t>111000282</t>
  </si>
  <si>
    <t>SO0000260</t>
  </si>
  <si>
    <t>111000283</t>
  </si>
  <si>
    <t>SO0000254</t>
  </si>
  <si>
    <t>111000284</t>
  </si>
  <si>
    <t>SO0000268</t>
  </si>
  <si>
    <t>111000285</t>
  </si>
  <si>
    <t>372-000232</t>
  </si>
  <si>
    <t>SO0000294</t>
  </si>
  <si>
    <t>111000286</t>
  </si>
  <si>
    <t>372-000005</t>
  </si>
  <si>
    <t>SO0000303</t>
  </si>
  <si>
    <t>111000287</t>
  </si>
  <si>
    <t>372-000121</t>
  </si>
  <si>
    <t>SO0000282</t>
  </si>
  <si>
    <t>111000288</t>
  </si>
  <si>
    <t>372-000097</t>
  </si>
  <si>
    <t>SO0000274</t>
  </si>
  <si>
    <t>111000289</t>
  </si>
  <si>
    <t>372-000231</t>
  </si>
  <si>
    <t>SO0000295</t>
  </si>
  <si>
    <t>111000292</t>
  </si>
  <si>
    <t>372-000036</t>
  </si>
  <si>
    <t>SO0000271</t>
  </si>
  <si>
    <t>111000293</t>
  </si>
  <si>
    <t>SO0000277</t>
  </si>
  <si>
    <t>111000294</t>
  </si>
  <si>
    <t>SO0000293</t>
  </si>
  <si>
    <t>111000295</t>
  </si>
  <si>
    <t>372-000230</t>
  </si>
  <si>
    <t>SO0000286</t>
  </si>
  <si>
    <t>111000296</t>
  </si>
  <si>
    <t>372-000102</t>
  </si>
  <si>
    <t>SO0000253</t>
  </si>
  <si>
    <t>111000297</t>
  </si>
  <si>
    <t>SO0000305</t>
  </si>
  <si>
    <t>111000298</t>
  </si>
  <si>
    <t>SO0000302</t>
  </si>
  <si>
    <t>111000299</t>
  </si>
  <si>
    <t>372-000085</t>
  </si>
  <si>
    <t>SO0000301</t>
  </si>
  <si>
    <t>111000300</t>
  </si>
  <si>
    <t>372-000109</t>
  </si>
  <si>
    <t>SO0000289</t>
  </si>
  <si>
    <t>111000301</t>
  </si>
  <si>
    <t>372-000037</t>
  </si>
  <si>
    <t>SO0000309</t>
  </si>
  <si>
    <t>111000302</t>
  </si>
  <si>
    <t>SO0000308</t>
  </si>
  <si>
    <t>111000305</t>
  </si>
  <si>
    <t>SO0000307</t>
  </si>
  <si>
    <t>111000306</t>
  </si>
  <si>
    <t>SO0000270</t>
  </si>
  <si>
    <t>111000307</t>
  </si>
  <si>
    <t>SO0000312</t>
  </si>
  <si>
    <t>111000308</t>
  </si>
  <si>
    <t>SO0000320</t>
  </si>
  <si>
    <t>111000309</t>
  </si>
  <si>
    <t>SO0000306</t>
  </si>
  <si>
    <t>111000310</t>
  </si>
  <si>
    <t>372-000235</t>
  </si>
  <si>
    <t>SO0000323</t>
  </si>
  <si>
    <t>111000311</t>
  </si>
  <si>
    <t>SO0000319</t>
  </si>
  <si>
    <t>111000312</t>
  </si>
  <si>
    <t>SO0000321</t>
  </si>
  <si>
    <t>111000313</t>
  </si>
  <si>
    <t>SO0000334</t>
  </si>
  <si>
    <t>111000314</t>
  </si>
  <si>
    <t>SO0000326</t>
  </si>
  <si>
    <t>111000315</t>
  </si>
  <si>
    <t>SO0000329</t>
  </si>
  <si>
    <t>111000316</t>
  </si>
  <si>
    <t>SO0000318</t>
  </si>
  <si>
    <t>111000317</t>
  </si>
  <si>
    <t>372-000182</t>
  </si>
  <si>
    <t>SO0000317</t>
  </si>
  <si>
    <t>111000318</t>
  </si>
  <si>
    <t>SO0000327</t>
  </si>
  <si>
    <t>111000319</t>
  </si>
  <si>
    <t>372-000192</t>
  </si>
  <si>
    <t>SO0000335</t>
  </si>
  <si>
    <t>111000320</t>
  </si>
  <si>
    <t>SO0000328</t>
  </si>
  <si>
    <t>111000323</t>
  </si>
  <si>
    <t>SO0000296</t>
  </si>
  <si>
    <t>111000324</t>
  </si>
  <si>
    <t>SO0000273</t>
  </si>
  <si>
    <t>111000325</t>
  </si>
  <si>
    <t>SO0000272</t>
  </si>
  <si>
    <t>111000326</t>
  </si>
  <si>
    <t>SO0000337</t>
  </si>
  <si>
    <t>111000327</t>
  </si>
  <si>
    <t>372-000104</t>
  </si>
  <si>
    <t>SO0000304</t>
  </si>
  <si>
    <t>111000328</t>
  </si>
  <si>
    <t>372-000105</t>
  </si>
  <si>
    <t>SO0000338</t>
  </si>
  <si>
    <t>111000329</t>
  </si>
  <si>
    <t>372-000079</t>
  </si>
  <si>
    <t>SO0000313</t>
  </si>
  <si>
    <t>111000330</t>
  </si>
  <si>
    <t>SO0000265</t>
  </si>
  <si>
    <t>111000331</t>
  </si>
  <si>
    <t>SO0000345</t>
  </si>
  <si>
    <t>111000333</t>
  </si>
  <si>
    <t>111000334</t>
  </si>
  <si>
    <t>372-000118</t>
  </si>
  <si>
    <t>SO0000339</t>
  </si>
  <si>
    <t>111000335</t>
  </si>
  <si>
    <t>372-000001</t>
  </si>
  <si>
    <t>SO0000351</t>
  </si>
  <si>
    <t>111000336</t>
  </si>
  <si>
    <t>SO0000343</t>
  </si>
  <si>
    <t>111000337</t>
  </si>
  <si>
    <t>111000338</t>
  </si>
  <si>
    <t>SO0000330</t>
  </si>
  <si>
    <t>111000339</t>
  </si>
  <si>
    <t>SO0000356</t>
  </si>
  <si>
    <t>111000340</t>
  </si>
  <si>
    <t>SO0000310</t>
  </si>
  <si>
    <t>111000342</t>
  </si>
  <si>
    <t>SO0000349</t>
  </si>
  <si>
    <t>111000343</t>
  </si>
  <si>
    <t>SO0000348</t>
  </si>
  <si>
    <t>111000344</t>
  </si>
  <si>
    <t>SO0000355</t>
  </si>
  <si>
    <t>111000345</t>
  </si>
  <si>
    <t>372-000209</t>
  </si>
  <si>
    <t>SO0000346</t>
  </si>
  <si>
    <t>111000346</t>
  </si>
  <si>
    <t>372-000199</t>
  </si>
  <si>
    <t>SO0000353</t>
  </si>
  <si>
    <t>111000347</t>
  </si>
  <si>
    <t>SO0000347</t>
  </si>
  <si>
    <t>111000348</t>
  </si>
  <si>
    <t>SO0000354</t>
  </si>
  <si>
    <t>111000349</t>
  </si>
  <si>
    <t>SO0000281</t>
  </si>
  <si>
    <t>111000350</t>
  </si>
  <si>
    <t>372-000033</t>
  </si>
  <si>
    <t>SO0000344</t>
  </si>
  <si>
    <t>111000351</t>
  </si>
  <si>
    <t>SO0000358</t>
  </si>
  <si>
    <t>111000352</t>
  </si>
  <si>
    <t>372-000020</t>
  </si>
  <si>
    <t>SO0000336</t>
  </si>
  <si>
    <t>111000353</t>
  </si>
  <si>
    <t>SO0000359</t>
  </si>
  <si>
    <t>111000354</t>
  </si>
  <si>
    <t>SO0000350</t>
  </si>
  <si>
    <t>111000355</t>
  </si>
  <si>
    <t>SO0000360</t>
  </si>
  <si>
    <t>111000356</t>
  </si>
  <si>
    <t>SO0000361</t>
  </si>
  <si>
    <t>111000357</t>
  </si>
  <si>
    <t>SO0000297</t>
  </si>
  <si>
    <t>111000358</t>
  </si>
  <si>
    <t>SO0000368</t>
  </si>
  <si>
    <t>111000361</t>
  </si>
  <si>
    <t>SO0000369</t>
  </si>
  <si>
    <t>111000362</t>
  </si>
  <si>
    <t>372-000237</t>
  </si>
  <si>
    <t>SO0000357</t>
  </si>
  <si>
    <t>111000363</t>
  </si>
  <si>
    <t>372-000018</t>
  </si>
  <si>
    <t>SO0000371</t>
  </si>
  <si>
    <t>111000364</t>
  </si>
  <si>
    <t>SO0000366</t>
  </si>
  <si>
    <t>111000365</t>
  </si>
  <si>
    <t>SO0000372</t>
  </si>
  <si>
    <t>111000366</t>
  </si>
  <si>
    <t>SO0000365</t>
  </si>
  <si>
    <t>111000367</t>
  </si>
  <si>
    <t>SO0000314</t>
  </si>
  <si>
    <t>111000368</t>
  </si>
  <si>
    <t>SO0000363</t>
  </si>
  <si>
    <t>111000369</t>
  </si>
  <si>
    <t>SO0000322</t>
  </si>
  <si>
    <t>111000372</t>
  </si>
  <si>
    <t>372-000144</t>
  </si>
  <si>
    <t>SO0000340</t>
  </si>
  <si>
    <t>111000373</t>
  </si>
  <si>
    <t>372-000046</t>
  </si>
  <si>
    <t>SO0000373</t>
  </si>
  <si>
    <t>111000374</t>
  </si>
  <si>
    <t>SO0000364</t>
  </si>
  <si>
    <t>111000375</t>
  </si>
  <si>
    <t>SO0000374</t>
  </si>
  <si>
    <t>111000376</t>
  </si>
  <si>
    <t>372-000234</t>
  </si>
  <si>
    <t>SO0000315</t>
  </si>
  <si>
    <t>111000377</t>
  </si>
  <si>
    <t>SO0000378</t>
  </si>
  <si>
    <t>111000378</t>
  </si>
  <si>
    <t>372-000071</t>
  </si>
  <si>
    <t>SO0000377</t>
  </si>
  <si>
    <t>111000379</t>
  </si>
  <si>
    <t>SO0000375</t>
  </si>
  <si>
    <t>111000380</t>
  </si>
  <si>
    <t>SO0000382</t>
  </si>
  <si>
    <t>111000381</t>
  </si>
  <si>
    <t>SO0000376</t>
  </si>
  <si>
    <t>111000382</t>
  </si>
  <si>
    <t>SO0000367</t>
  </si>
  <si>
    <t>111000383</t>
  </si>
  <si>
    <t>SO0000380</t>
  </si>
  <si>
    <t>111000384</t>
  </si>
  <si>
    <t>SO0000381</t>
  </si>
  <si>
    <t>111000385</t>
  </si>
  <si>
    <t>372-000239</t>
  </si>
  <si>
    <t>SO0000379</t>
  </si>
  <si>
    <t>111000386</t>
  </si>
  <si>
    <t>SO0000384</t>
  </si>
  <si>
    <t>111000387</t>
  </si>
  <si>
    <t>SO0000311</t>
  </si>
  <si>
    <t>111000388</t>
  </si>
  <si>
    <t>372-000189</t>
  </si>
  <si>
    <t>SO0000383</t>
  </si>
  <si>
    <t>111000389</t>
  </si>
  <si>
    <t>SO0000389</t>
  </si>
  <si>
    <t>111000390</t>
  </si>
  <si>
    <t>SO0000395</t>
  </si>
  <si>
    <t>111000391</t>
  </si>
  <si>
    <t>SO0000396</t>
  </si>
  <si>
    <t>111000392</t>
  </si>
  <si>
    <t>372-000043</t>
  </si>
  <si>
    <t>SO0000206</t>
  </si>
  <si>
    <t>111000393</t>
  </si>
  <si>
    <t>372-000010</t>
  </si>
  <si>
    <t>SO0000392</t>
  </si>
  <si>
    <t>111000394</t>
  </si>
  <si>
    <t>SO0000390</t>
  </si>
  <si>
    <t>111000395</t>
  </si>
  <si>
    <t>SO0000397</t>
  </si>
  <si>
    <t>111000400</t>
  </si>
  <si>
    <t>372-000217</t>
  </si>
  <si>
    <t>SO0000280</t>
  </si>
  <si>
    <t>111000401</t>
  </si>
  <si>
    <t>SO0000331</t>
  </si>
  <si>
    <t>111000402</t>
  </si>
  <si>
    <t>SO0000332</t>
  </si>
  <si>
    <t>111000403</t>
  </si>
  <si>
    <t>SO0000352</t>
  </si>
  <si>
    <t>111000404</t>
  </si>
  <si>
    <t>SO0000388</t>
  </si>
  <si>
    <t>111000405</t>
  </si>
  <si>
    <t>SO0000387</t>
  </si>
  <si>
    <t>111000406</t>
  </si>
  <si>
    <t>372-000103</t>
  </si>
  <si>
    <t>SO0000402</t>
  </si>
  <si>
    <t>111000407</t>
  </si>
  <si>
    <t>372-000240</t>
  </si>
  <si>
    <t>SO0000400</t>
  </si>
  <si>
    <t>111000408</t>
  </si>
  <si>
    <t>SO0000401</t>
  </si>
  <si>
    <t>111000411</t>
  </si>
  <si>
    <t>SO0000324</t>
  </si>
  <si>
    <t>111000412</t>
  </si>
  <si>
    <t>SO0000403</t>
  </si>
  <si>
    <t>111000417</t>
  </si>
  <si>
    <t>372-000067</t>
  </si>
  <si>
    <t>SO0000407</t>
  </si>
  <si>
    <t>111000418</t>
  </si>
  <si>
    <t>SO0000413</t>
  </si>
  <si>
    <t>111000419</t>
  </si>
  <si>
    <t>SO0000408</t>
  </si>
  <si>
    <t>111000420</t>
  </si>
  <si>
    <t>SO0000411</t>
  </si>
  <si>
    <t>111000421</t>
  </si>
  <si>
    <t>SO0000398</t>
  </si>
  <si>
    <t>111000422</t>
  </si>
  <si>
    <t>SO0000399</t>
  </si>
  <si>
    <t>111000423</t>
  </si>
  <si>
    <t>SO0000342</t>
  </si>
  <si>
    <t>111000424</t>
  </si>
  <si>
    <t>SO0000386</t>
  </si>
  <si>
    <t>111000425</t>
  </si>
  <si>
    <t>SO0000417</t>
  </si>
  <si>
    <t>111000426</t>
  </si>
  <si>
    <t>SO0000420</t>
  </si>
  <si>
    <t>111000427</t>
  </si>
  <si>
    <t>SO0000404</t>
  </si>
  <si>
    <t>111000430</t>
  </si>
  <si>
    <t>372-000135</t>
  </si>
  <si>
    <t>SO0000370</t>
  </si>
  <si>
    <t>111000431</t>
  </si>
  <si>
    <t>SO0000426</t>
  </si>
  <si>
    <t>111000432</t>
  </si>
  <si>
    <t>SO0000425</t>
  </si>
  <si>
    <t>111000433</t>
  </si>
  <si>
    <t>SO0000325</t>
  </si>
  <si>
    <t>111000434</t>
  </si>
  <si>
    <t>SO0000419</t>
  </si>
  <si>
    <t>111000435</t>
  </si>
  <si>
    <t>SO0000421</t>
  </si>
  <si>
    <t>111000436</t>
  </si>
  <si>
    <t>SO0000424</t>
  </si>
  <si>
    <t>111000437</t>
  </si>
  <si>
    <t>372-000185</t>
  </si>
  <si>
    <t>SO0000423</t>
  </si>
  <si>
    <t>111000438</t>
  </si>
  <si>
    <t>SO0000429</t>
  </si>
  <si>
    <t>111000439</t>
  </si>
  <si>
    <t>SO0000430</t>
  </si>
  <si>
    <t>111000440</t>
  </si>
  <si>
    <t>372-000244</t>
  </si>
  <si>
    <t>SO0000432</t>
  </si>
  <si>
    <t>111000441</t>
  </si>
  <si>
    <t>SO0000416</t>
  </si>
  <si>
    <t>111000442</t>
  </si>
  <si>
    <t>372-000242</t>
  </si>
  <si>
    <t>SO0000434</t>
  </si>
  <si>
    <t>111000443</t>
  </si>
  <si>
    <t>SO0000437</t>
  </si>
  <si>
    <t>111000444</t>
  </si>
  <si>
    <t>SO0000422</t>
  </si>
  <si>
    <t>111000445</t>
  </si>
  <si>
    <t>SO0000415</t>
  </si>
  <si>
    <t>111000446</t>
  </si>
  <si>
    <t>SO0000446</t>
  </si>
  <si>
    <t>111000447</t>
  </si>
  <si>
    <t>SO0000443</t>
  </si>
  <si>
    <t>111000448</t>
  </si>
  <si>
    <t>SO0000409</t>
  </si>
  <si>
    <t>111000449</t>
  </si>
  <si>
    <t>SO0000410</t>
  </si>
  <si>
    <t>111000450</t>
  </si>
  <si>
    <t>SO0000442</t>
  </si>
  <si>
    <t>111000451</t>
  </si>
  <si>
    <t>SO0000454</t>
  </si>
  <si>
    <t>111000452</t>
  </si>
  <si>
    <t>SO0000444</t>
  </si>
  <si>
    <t>111000453</t>
  </si>
  <si>
    <t>SO0000441</t>
  </si>
  <si>
    <t>111000454</t>
  </si>
  <si>
    <t>372-000245</t>
  </si>
  <si>
    <t>SO0000448</t>
  </si>
  <si>
    <t>111000455</t>
  </si>
  <si>
    <t>SO0000438</t>
  </si>
  <si>
    <t>111000456</t>
  </si>
  <si>
    <t>SO0000447</t>
  </si>
  <si>
    <t>111000459</t>
  </si>
  <si>
    <t>SO0000453</t>
  </si>
  <si>
    <t>111000460</t>
  </si>
  <si>
    <t>372-000154</t>
  </si>
  <si>
    <t>SO0000418</t>
  </si>
  <si>
    <t>111000461</t>
  </si>
  <si>
    <t>372-000017</t>
  </si>
  <si>
    <t>SO0000412</t>
  </si>
  <si>
    <t>111000462</t>
  </si>
  <si>
    <t>SO0000450</t>
  </si>
  <si>
    <t>111000463</t>
  </si>
  <si>
    <t>SO0000455</t>
  </si>
  <si>
    <t>111000464</t>
  </si>
  <si>
    <t>372-000233</t>
  </si>
  <si>
    <t>SO0000316</t>
  </si>
  <si>
    <t>111000465</t>
  </si>
  <si>
    <t>372-000243</t>
  </si>
  <si>
    <t>SO0000431</t>
  </si>
  <si>
    <t>111000466</t>
  </si>
  <si>
    <t>SO0000449</t>
  </si>
  <si>
    <t>111000467</t>
  </si>
  <si>
    <t>372-000146</t>
  </si>
  <si>
    <t>SO0000456</t>
  </si>
  <si>
    <t>111000468</t>
  </si>
  <si>
    <t>SO0000457</t>
  </si>
  <si>
    <t>111000469</t>
  </si>
  <si>
    <t>372-000247</t>
  </si>
  <si>
    <t>SO0000459</t>
  </si>
  <si>
    <t>111000470</t>
  </si>
  <si>
    <t>SO0000458</t>
  </si>
  <si>
    <t>111000471</t>
  </si>
  <si>
    <t>SO0000464</t>
  </si>
  <si>
    <t>111000474</t>
  </si>
  <si>
    <t>SO0000462</t>
  </si>
  <si>
    <t>111000475</t>
  </si>
  <si>
    <t>SO0000470</t>
  </si>
  <si>
    <t>111000477</t>
  </si>
  <si>
    <t>372-000132</t>
  </si>
  <si>
    <t>SO0000440</t>
  </si>
  <si>
    <t>111000478</t>
  </si>
  <si>
    <t>SO0000469</t>
  </si>
  <si>
    <t>111000479</t>
  </si>
  <si>
    <t>SO0000471</t>
  </si>
  <si>
    <t>111000480</t>
  </si>
  <si>
    <t>SO0000472</t>
  </si>
  <si>
    <t>111000481</t>
  </si>
  <si>
    <t>SO0000477</t>
  </si>
  <si>
    <t>111000482</t>
  </si>
  <si>
    <t>SO0000474</t>
  </si>
  <si>
    <t>111000483</t>
  </si>
  <si>
    <t>372-000248</t>
  </si>
  <si>
    <t>SO0000460</t>
  </si>
  <si>
    <t>111000484</t>
  </si>
  <si>
    <t>SO0000473</t>
  </si>
  <si>
    <t>111000485</t>
  </si>
  <si>
    <t>SO0000467</t>
  </si>
  <si>
    <t>111000490</t>
  </si>
  <si>
    <t>SO0000479</t>
  </si>
  <si>
    <t>111000491</t>
  </si>
  <si>
    <t>SO0000414</t>
  </si>
  <si>
    <t>111000492</t>
  </si>
  <si>
    <t>SO0000435</t>
  </si>
  <si>
    <t>111000493</t>
  </si>
  <si>
    <t>372-000139</t>
  </si>
  <si>
    <t>SO0000483</t>
  </si>
  <si>
    <t>111000494</t>
  </si>
  <si>
    <t>372-000053</t>
  </si>
  <si>
    <t>SO0000475</t>
  </si>
  <si>
    <t>111000495</t>
  </si>
  <si>
    <t>SO0000476</t>
  </si>
  <si>
    <t>111000496</t>
  </si>
  <si>
    <t>SO0000461</t>
  </si>
  <si>
    <t>111000499</t>
  </si>
  <si>
    <t>372-000215</t>
  </si>
  <si>
    <t>SO0000489</t>
  </si>
  <si>
    <t>111000500</t>
  </si>
  <si>
    <t>SO0000484</t>
  </si>
  <si>
    <t>111000501</t>
  </si>
  <si>
    <t>SO0000482</t>
  </si>
  <si>
    <t>111000502</t>
  </si>
  <si>
    <t>372-000249</t>
  </si>
  <si>
    <t>SO0000491</t>
  </si>
  <si>
    <t>111000503</t>
  </si>
  <si>
    <t>SO0000488</t>
  </si>
  <si>
    <t>111000504</t>
  </si>
  <si>
    <t>372-000194</t>
  </si>
  <si>
    <t>SO0000486</t>
  </si>
  <si>
    <t>111000505</t>
  </si>
  <si>
    <t>SO0000485</t>
  </si>
  <si>
    <t>111000506</t>
  </si>
  <si>
    <t>SO0000480</t>
  </si>
  <si>
    <t>111000507</t>
  </si>
  <si>
    <t>SO0000478</t>
  </si>
  <si>
    <t>111000508</t>
  </si>
  <si>
    <t>SO0000487</t>
  </si>
  <si>
    <t>111000509</t>
  </si>
  <si>
    <t>SO0000465</t>
  </si>
  <si>
    <t>111000510</t>
  </si>
  <si>
    <t>SO0000436</t>
  </si>
  <si>
    <t>111000511</t>
  </si>
  <si>
    <t>SO0000492</t>
  </si>
  <si>
    <t>111000512</t>
  </si>
  <si>
    <t>SO0000481</t>
  </si>
  <si>
    <t>111000515</t>
  </si>
  <si>
    <t>372-000208</t>
  </si>
  <si>
    <t>SO0000490</t>
  </si>
  <si>
    <t>111000516</t>
  </si>
  <si>
    <t>SO0000499</t>
  </si>
  <si>
    <t>111000517</t>
  </si>
  <si>
    <t>SO0000498</t>
  </si>
  <si>
    <t>111000518</t>
  </si>
  <si>
    <t>SO0000505</t>
  </si>
  <si>
    <t>111000522</t>
  </si>
  <si>
    <t>SO0000500</t>
  </si>
  <si>
    <t>111000523</t>
  </si>
  <si>
    <t>SO0000494</t>
  </si>
  <si>
    <t>111000524</t>
  </si>
  <si>
    <t>SO0000495</t>
  </si>
  <si>
    <t>111000525</t>
  </si>
  <si>
    <t>SO0000504</t>
  </si>
  <si>
    <t>111000526</t>
  </si>
  <si>
    <t>SO0000508</t>
  </si>
  <si>
    <t>111000527</t>
  </si>
  <si>
    <t>372-000044</t>
  </si>
  <si>
    <t>SO0000509</t>
  </si>
  <si>
    <t>111000528</t>
  </si>
  <si>
    <t>SO0000511</t>
  </si>
  <si>
    <t>111000529</t>
  </si>
  <si>
    <t>SO0000503</t>
  </si>
  <si>
    <t>111000530</t>
  </si>
  <si>
    <t>SO0000513</t>
  </si>
  <si>
    <t>111000531</t>
  </si>
  <si>
    <t>SO0000463</t>
  </si>
  <si>
    <t>111000532</t>
  </si>
  <si>
    <t>SO0000518</t>
  </si>
  <si>
    <t>111000533</t>
  </si>
  <si>
    <t>SO0000506</t>
  </si>
  <si>
    <t>111000534</t>
  </si>
  <si>
    <t>SO0000517</t>
  </si>
  <si>
    <t>111000535</t>
  </si>
  <si>
    <t>SO0000516</t>
  </si>
  <si>
    <t>111000536</t>
  </si>
  <si>
    <t>SO0000496</t>
  </si>
  <si>
    <t>111000537</t>
  </si>
  <si>
    <t>SO0000522</t>
  </si>
  <si>
    <t>111000538</t>
  </si>
  <si>
    <t>SO0000523</t>
  </si>
  <si>
    <t>111000541</t>
  </si>
  <si>
    <t>SO0000520</t>
  </si>
  <si>
    <t>111000542</t>
  </si>
  <si>
    <t>SO0000510</t>
  </si>
  <si>
    <t>111000543</t>
  </si>
  <si>
    <t>372-000070</t>
  </si>
  <si>
    <t>SO0000512</t>
  </si>
  <si>
    <t>111000544</t>
  </si>
  <si>
    <t>SO0000529</t>
  </si>
  <si>
    <t>111000545</t>
  </si>
  <si>
    <t>SO0000493</t>
  </si>
  <si>
    <t>111000546</t>
  </si>
  <si>
    <t>SO0000524</t>
  </si>
  <si>
    <t>111000554</t>
  </si>
  <si>
    <t>SO0000515</t>
  </si>
  <si>
    <t>111000555</t>
  </si>
  <si>
    <t>SO0000497</t>
  </si>
  <si>
    <t>111000556</t>
  </si>
  <si>
    <t>SO0000534</t>
  </si>
  <si>
    <t>111000557</t>
  </si>
  <si>
    <t>372-000251</t>
  </si>
  <si>
    <t>SO0000538</t>
  </si>
  <si>
    <t>111000558</t>
  </si>
  <si>
    <t>SO0000536</t>
  </si>
  <si>
    <t>111000559</t>
  </si>
  <si>
    <t>SO0000537</t>
  </si>
  <si>
    <t>111000560</t>
  </si>
  <si>
    <t>372-000250</t>
  </si>
  <si>
    <t>SO0000514</t>
  </si>
  <si>
    <t>111000561</t>
  </si>
  <si>
    <t>SO0000519</t>
  </si>
  <si>
    <t>111000563</t>
  </si>
  <si>
    <t>SO0000548</t>
  </si>
  <si>
    <t>111000564</t>
  </si>
  <si>
    <t>SO0000541</t>
  </si>
  <si>
    <t>111000565</t>
  </si>
  <si>
    <t>SO0000525</t>
  </si>
  <si>
    <t>111000568</t>
  </si>
  <si>
    <t>SO0000526</t>
  </si>
  <si>
    <t>111000569</t>
  </si>
  <si>
    <t>SO0000546</t>
  </si>
  <si>
    <t>111000570</t>
  </si>
  <si>
    <t>SO0000551</t>
  </si>
  <si>
    <t>111000571</t>
  </si>
  <si>
    <t>SO0000545</t>
  </si>
  <si>
    <t>111000572</t>
  </si>
  <si>
    <t>SO0000540</t>
  </si>
  <si>
    <t>111000573</t>
  </si>
  <si>
    <t>SO0000549</t>
  </si>
  <si>
    <t>111000574</t>
  </si>
  <si>
    <t>SO0000558</t>
  </si>
  <si>
    <t>111000575</t>
  </si>
  <si>
    <t>SO0000554</t>
  </si>
  <si>
    <t>111000576</t>
  </si>
  <si>
    <t>SO0000556</t>
  </si>
  <si>
    <t>111000577</t>
  </si>
  <si>
    <t>SO0000530</t>
  </si>
  <si>
    <t>111000578</t>
  </si>
  <si>
    <t>SO0000531</t>
  </si>
  <si>
    <t>111000579</t>
  </si>
  <si>
    <t>SO0000535</t>
  </si>
  <si>
    <t>111000582</t>
  </si>
  <si>
    <t>SO0000507</t>
  </si>
  <si>
    <t>111000583</t>
  </si>
  <si>
    <t>SO0000550</t>
  </si>
  <si>
    <t>111000584</t>
  </si>
  <si>
    <t>372-000254</t>
  </si>
  <si>
    <t>SO0000559</t>
  </si>
  <si>
    <t>111000587</t>
  </si>
  <si>
    <t>SO0000573</t>
  </si>
  <si>
    <t>111000588</t>
  </si>
  <si>
    <t>SO0000561</t>
  </si>
  <si>
    <t>111000589</t>
  </si>
  <si>
    <t>SO0000552</t>
  </si>
  <si>
    <t>111000590</t>
  </si>
  <si>
    <t>SO0000527</t>
  </si>
  <si>
    <t>111000591</t>
  </si>
  <si>
    <t>SO0000560</t>
  </si>
  <si>
    <t>111000592</t>
  </si>
  <si>
    <t>SO0000564</t>
  </si>
  <si>
    <t>111000593</t>
  </si>
  <si>
    <t>SO0000557</t>
  </si>
  <si>
    <t>111000594</t>
  </si>
  <si>
    <t>SO0000570</t>
  </si>
  <si>
    <t>111000595</t>
  </si>
  <si>
    <t>SO0000580</t>
  </si>
  <si>
    <t>111000596</t>
  </si>
  <si>
    <t>SO0000577</t>
  </si>
  <si>
    <t>111000599</t>
  </si>
  <si>
    <t>SO0000553</t>
  </si>
  <si>
    <t>111000600</t>
  </si>
  <si>
    <t>372-000029</t>
  </si>
  <si>
    <t>SO0000572</t>
  </si>
  <si>
    <t>111000601</t>
  </si>
  <si>
    <t>SO0000578</t>
  </si>
  <si>
    <t>111000602</t>
  </si>
  <si>
    <t>372-000002</t>
  </si>
  <si>
    <t>SO0000583</t>
  </si>
  <si>
    <t>111000608</t>
  </si>
  <si>
    <t>SO0000243</t>
  </si>
  <si>
    <t>2222000012</t>
  </si>
  <si>
    <t>SO0000257</t>
  </si>
  <si>
    <t>2222000013</t>
  </si>
  <si>
    <t>SO0000283</t>
  </si>
  <si>
    <t>2222000014</t>
  </si>
  <si>
    <t>SO0000385</t>
  </si>
  <si>
    <t>2222000016</t>
  </si>
  <si>
    <t>SO0000393</t>
  </si>
  <si>
    <t>2222000017</t>
  </si>
  <si>
    <t>SO0000394</t>
  </si>
  <si>
    <t>2222000018</t>
  </si>
  <si>
    <t>SO0000427</t>
  </si>
  <si>
    <t>2222000019</t>
  </si>
  <si>
    <t>SO0000428</t>
  </si>
  <si>
    <t>2222000020</t>
  </si>
  <si>
    <t>SO0000445</t>
  </si>
  <si>
    <t>2222000021</t>
  </si>
  <si>
    <t>SO0000468</t>
  </si>
  <si>
    <t>2222000022</t>
  </si>
  <si>
    <t>SO0000501</t>
  </si>
  <si>
    <t>2222000023</t>
  </si>
  <si>
    <t>SO0000521</t>
  </si>
  <si>
    <t>2222000024</t>
  </si>
  <si>
    <t>SO0000528</t>
  </si>
  <si>
    <t>2222000026</t>
  </si>
  <si>
    <t>SO0000547</t>
  </si>
  <si>
    <t>2222000029</t>
  </si>
  <si>
    <t>SO0000579</t>
  </si>
  <si>
    <t>2222000032</t>
  </si>
  <si>
    <t>Total</t>
  </si>
  <si>
    <t>Inventory transactions</t>
  </si>
  <si>
    <t>Item number</t>
  </si>
  <si>
    <t>Lot ID</t>
  </si>
  <si>
    <t>Financial date</t>
  </si>
  <si>
    <t>Quantity</t>
  </si>
  <si>
    <t>Financial cost amount</t>
  </si>
  <si>
    <t>Adjustment</t>
  </si>
  <si>
    <t>C1RO 14A0 0002</t>
  </si>
  <si>
    <t>Lot 005422</t>
  </si>
  <si>
    <t>TRSPEDI001</t>
  </si>
  <si>
    <t>Lot 005423</t>
  </si>
  <si>
    <t>C1TU 5B00 00D7</t>
  </si>
  <si>
    <t>Lot 006338</t>
  </si>
  <si>
    <t>Lot 006339</t>
  </si>
  <si>
    <t>GTPV PK11 0190</t>
  </si>
  <si>
    <t>Lot 007034</t>
  </si>
  <si>
    <t>GTPV PK11 0320</t>
  </si>
  <si>
    <t>Lot 007035</t>
  </si>
  <si>
    <t>GTPV PK11 0360</t>
  </si>
  <si>
    <t>Lot 007036</t>
  </si>
  <si>
    <t>GTPV PK11 0220</t>
  </si>
  <si>
    <t>Lot 007039</t>
  </si>
  <si>
    <t>GTPV PK11 0340</t>
  </si>
  <si>
    <t>Lot 007040</t>
  </si>
  <si>
    <t>C1TU 5B00 00D8</t>
  </si>
  <si>
    <t>Lot 007071</t>
  </si>
  <si>
    <t>C1TU 5B00 00D9</t>
  </si>
  <si>
    <t>Lot 007072</t>
  </si>
  <si>
    <t>C1TU 5B00 ELAN</t>
  </si>
  <si>
    <t>Lot 007073</t>
  </si>
  <si>
    <t>Lot 007074</t>
  </si>
  <si>
    <t>C1TS 6A00 CUST</t>
  </si>
  <si>
    <t>Lot 007077</t>
  </si>
  <si>
    <t>Lot 007078</t>
  </si>
  <si>
    <t>Lot 007079</t>
  </si>
  <si>
    <t>G2RO 3A00 0003</t>
  </si>
  <si>
    <t>Lot 007089</t>
  </si>
  <si>
    <t>Lot 007090</t>
  </si>
  <si>
    <t>C1RO 3A00 0002</t>
  </si>
  <si>
    <t>Lot 007311</t>
  </si>
  <si>
    <t>C1TU 5B00 0002</t>
  </si>
  <si>
    <t>Lot 007312</t>
  </si>
  <si>
    <t>C1RO 2A00 0002</t>
  </si>
  <si>
    <t>Lot 007313</t>
  </si>
  <si>
    <t>C1RO 12A0 0002</t>
  </si>
  <si>
    <t>Lot 007314</t>
  </si>
  <si>
    <t>C1SQ 4A00 0002</t>
  </si>
  <si>
    <t>Lot 007315</t>
  </si>
  <si>
    <t>C1TU 8B00 0002</t>
  </si>
  <si>
    <t>Lot 007316</t>
  </si>
  <si>
    <t>Lot 007317</t>
  </si>
  <si>
    <t>C1RO 8A00 CUST</t>
  </si>
  <si>
    <t>Lot 007375</t>
  </si>
  <si>
    <t>Lot 007376</t>
  </si>
  <si>
    <t>Lot 007377</t>
  </si>
  <si>
    <t>Lot 007378</t>
  </si>
  <si>
    <t>Lot 007379</t>
  </si>
  <si>
    <t>Lot 007380</t>
  </si>
  <si>
    <t>Lot 007381</t>
  </si>
  <si>
    <t>GTPV PK11 0230</t>
  </si>
  <si>
    <t>Lot 008311</t>
  </si>
  <si>
    <t>Lot 008312</t>
  </si>
  <si>
    <t>Lot 008313</t>
  </si>
  <si>
    <t>Lot 008314</t>
  </si>
  <si>
    <t>Lot 008429</t>
  </si>
  <si>
    <t>MACHINEPROD</t>
  </si>
  <si>
    <t>Lot 008430</t>
  </si>
  <si>
    <t>Lot 008431</t>
  </si>
  <si>
    <t>C1RE 50A0 0002</t>
  </si>
  <si>
    <t>Lot 008502</t>
  </si>
  <si>
    <t>Lot 008503</t>
  </si>
  <si>
    <t>Lot 008539</t>
  </si>
  <si>
    <t>C1RO 8A00 0001</t>
  </si>
  <si>
    <t>Lot 008540</t>
  </si>
  <si>
    <t>C1RO 8A00 0002</t>
  </si>
  <si>
    <t>Lot 008541</t>
  </si>
  <si>
    <t>C1TU 6B00 0001</t>
  </si>
  <si>
    <t>Lot 008542</t>
  </si>
  <si>
    <t>C1TU 8B00 0001</t>
  </si>
  <si>
    <t>Lot 008543</t>
  </si>
  <si>
    <t>C1SQ 4A00 0001</t>
  </si>
  <si>
    <t>Lot 008544</t>
  </si>
  <si>
    <t>Lot 008545</t>
  </si>
  <si>
    <t>C1TS 4A00 0002</t>
  </si>
  <si>
    <t>Lot 008546</t>
  </si>
  <si>
    <t>C1TS 6A00 0002</t>
  </si>
  <si>
    <t>Lot 008547</t>
  </si>
  <si>
    <t>C1TS 8A00 0002</t>
  </si>
  <si>
    <t>Lot 008548</t>
  </si>
  <si>
    <t>Lot 008549</t>
  </si>
  <si>
    <t>M1RE 10A0 0002</t>
  </si>
  <si>
    <t>Lot 008551</t>
  </si>
  <si>
    <t>C1RO 2B00 0002</t>
  </si>
  <si>
    <t>Lot 008552</t>
  </si>
  <si>
    <t>H1RE 6A00 0002</t>
  </si>
  <si>
    <t>Lot 008553</t>
  </si>
  <si>
    <t>Lot 008554</t>
  </si>
  <si>
    <t>Lot 008555</t>
  </si>
  <si>
    <t>C1RO 1D00 0001</t>
  </si>
  <si>
    <t>Lot 008581</t>
  </si>
  <si>
    <t>C1ST 2A00 0001</t>
  </si>
  <si>
    <t>Lot 008582</t>
  </si>
  <si>
    <t>C1RE 6A00 0001</t>
  </si>
  <si>
    <t>Lot 008583</t>
  </si>
  <si>
    <t>C1RE 8A00 0001</t>
  </si>
  <si>
    <t>Lot 008584</t>
  </si>
  <si>
    <t>C1TS 8A00 0001</t>
  </si>
  <si>
    <t>Lot 008585</t>
  </si>
  <si>
    <t>C1TU 0A00 0001</t>
  </si>
  <si>
    <t>Lot 008586</t>
  </si>
  <si>
    <t>C1TU 10B0 0002</t>
  </si>
  <si>
    <t>Lot 008587</t>
  </si>
  <si>
    <t>C1RO 0B00 0001</t>
  </si>
  <si>
    <t>Lot 008588</t>
  </si>
  <si>
    <t>C1ST 3A00 0001</t>
  </si>
  <si>
    <t>Lot 008589</t>
  </si>
  <si>
    <t>C1TU 1A00 0001</t>
  </si>
  <si>
    <t>Lot 008590</t>
  </si>
  <si>
    <t>C1TU 6B00 0002</t>
  </si>
  <si>
    <t>Lot 008591</t>
  </si>
  <si>
    <t>Lot 008592</t>
  </si>
  <si>
    <t>Lot 008594</t>
  </si>
  <si>
    <t>Lot 008595</t>
  </si>
  <si>
    <t>Lot 008596</t>
  </si>
  <si>
    <t>Lot 008597</t>
  </si>
  <si>
    <t>Lot 008599</t>
  </si>
  <si>
    <t>Lot 008600</t>
  </si>
  <si>
    <t>Lot 008601</t>
  </si>
  <si>
    <t>Lot 008602</t>
  </si>
  <si>
    <t>C1RO 10A0 0002</t>
  </si>
  <si>
    <t>Lot 008612</t>
  </si>
  <si>
    <t>C1ST 3A00 0250</t>
  </si>
  <si>
    <t>Lot 008613</t>
  </si>
  <si>
    <t>C1RE 4A00 0001</t>
  </si>
  <si>
    <t>Lot 008614</t>
  </si>
  <si>
    <t>C1RE 6A00 0002</t>
  </si>
  <si>
    <t>Lot 008615</t>
  </si>
  <si>
    <t>C1RO 1B00 0002</t>
  </si>
  <si>
    <t>Lot 008616</t>
  </si>
  <si>
    <t>C1RO 1A00 0002</t>
  </si>
  <si>
    <t>Lot 008617</t>
  </si>
  <si>
    <t>C1RO 0A00 0001</t>
  </si>
  <si>
    <t>Lot 008618</t>
  </si>
  <si>
    <t>Lot 008619</t>
  </si>
  <si>
    <t>Lot 008620</t>
  </si>
  <si>
    <t>C1SQ 3B00 0001</t>
  </si>
  <si>
    <t>Lot 008621</t>
  </si>
  <si>
    <t>C1TU 0A00 0002</t>
  </si>
  <si>
    <t>Lot 008631</t>
  </si>
  <si>
    <t>Lot 008632</t>
  </si>
  <si>
    <t>C1RO 2B00 D257</t>
  </si>
  <si>
    <t>Lot 008633</t>
  </si>
  <si>
    <t>Lot 008634</t>
  </si>
  <si>
    <t>C1RE 40A0 0002</t>
  </si>
  <si>
    <t>Lot 008640</t>
  </si>
  <si>
    <t>C1RE 3B00 00D5</t>
  </si>
  <si>
    <t>Lot 008641</t>
  </si>
  <si>
    <t>C1TU 2B00 00D5</t>
  </si>
  <si>
    <t>Lot 008642</t>
  </si>
  <si>
    <t>C1TU 4B00 00D5</t>
  </si>
  <si>
    <t>Lot 008643</t>
  </si>
  <si>
    <t>C1RO 2A00 0001</t>
  </si>
  <si>
    <t>Lot 008644</t>
  </si>
  <si>
    <t>Lot 008645</t>
  </si>
  <si>
    <t>Lot 008646</t>
  </si>
  <si>
    <t>C1RO 3A00 0001</t>
  </si>
  <si>
    <t>Lot 008647</t>
  </si>
  <si>
    <t>C1RO 4A00 0001</t>
  </si>
  <si>
    <t>Lot 008648</t>
  </si>
  <si>
    <t>C1TU 2B00 0002</t>
  </si>
  <si>
    <t>Lot 008649</t>
  </si>
  <si>
    <t>Lot 008650</t>
  </si>
  <si>
    <t>Lot 008651</t>
  </si>
  <si>
    <t>Lot 008653</t>
  </si>
  <si>
    <t>C1RO 0C00 0001</t>
  </si>
  <si>
    <t>Lot 008654</t>
  </si>
  <si>
    <t>Lot 008655</t>
  </si>
  <si>
    <t>C1RE 3A00 0001</t>
  </si>
  <si>
    <t>Lot 008656</t>
  </si>
  <si>
    <t>Lot 008657</t>
  </si>
  <si>
    <t>C1ST 1A00 0001</t>
  </si>
  <si>
    <t>Lot 008658</t>
  </si>
  <si>
    <t>C1TE 1A00 0001</t>
  </si>
  <si>
    <t>Lot 008659</t>
  </si>
  <si>
    <t>C1HR 1A00 0002</t>
  </si>
  <si>
    <t>Lot 008660</t>
  </si>
  <si>
    <t>H1RE 6C00 CUST</t>
  </si>
  <si>
    <t>Lot 008811</t>
  </si>
  <si>
    <t>Lot 008812</t>
  </si>
  <si>
    <t>C1TU 4A00 0001</t>
  </si>
  <si>
    <t>Lot 008862</t>
  </si>
  <si>
    <t>C1RO 2B00 0001</t>
  </si>
  <si>
    <t>Lot 008863</t>
  </si>
  <si>
    <t>CLEA LCA3 CUST</t>
  </si>
  <si>
    <t>Lot 008874</t>
  </si>
  <si>
    <t>CLEA LCA3 D608</t>
  </si>
  <si>
    <t>Lot 008875</t>
  </si>
  <si>
    <t>Lot 008876</t>
  </si>
  <si>
    <t>Lot 008887</t>
  </si>
  <si>
    <t>Lot 008888</t>
  </si>
  <si>
    <t>Lot 008889</t>
  </si>
  <si>
    <t>C1RO 0B00 0002</t>
  </si>
  <si>
    <t>Lot 008890</t>
  </si>
  <si>
    <t>Lot 008891</t>
  </si>
  <si>
    <t>C1RO 5A00 0001</t>
  </si>
  <si>
    <t>Lot 008892</t>
  </si>
  <si>
    <t>Lot 008893</t>
  </si>
  <si>
    <t>C1RO 10A0 0001</t>
  </si>
  <si>
    <t>Lot 008894</t>
  </si>
  <si>
    <t>Lot 008895</t>
  </si>
  <si>
    <t>C1RE 10A0 0002</t>
  </si>
  <si>
    <t>Lot 008896</t>
  </si>
  <si>
    <t>C1TU 2B00 0001</t>
  </si>
  <si>
    <t>Lot 008897</t>
  </si>
  <si>
    <t>C1TU 6A00 0001</t>
  </si>
  <si>
    <t>Lot 008898</t>
  </si>
  <si>
    <t>Lot 008899</t>
  </si>
  <si>
    <t>Lot 008902</t>
  </si>
  <si>
    <t>C1RO 1A00 0001</t>
  </si>
  <si>
    <t>Lot 008903</t>
  </si>
  <si>
    <t>C1RE 3C00 0002</t>
  </si>
  <si>
    <t>Lot 008904</t>
  </si>
  <si>
    <t>C1RE 8A00 0002</t>
  </si>
  <si>
    <t>Lot 008905</t>
  </si>
  <si>
    <t>C1TE 3A00 0002</t>
  </si>
  <si>
    <t>Lot 008906</t>
  </si>
  <si>
    <t>Lot 008907</t>
  </si>
  <si>
    <t>Lot 008908</t>
  </si>
  <si>
    <t>Lot 008909</t>
  </si>
  <si>
    <t>Lot 008910</t>
  </si>
  <si>
    <t>C1TU 1B00 0001</t>
  </si>
  <si>
    <t>Lot 008911</t>
  </si>
  <si>
    <t>Lot 008912</t>
  </si>
  <si>
    <t>G2RO 2B00 0001</t>
  </si>
  <si>
    <t>Lot 008915</t>
  </si>
  <si>
    <t>Lot 008916</t>
  </si>
  <si>
    <t>C1RE 3C00 0001</t>
  </si>
  <si>
    <t>Lot 008930</t>
  </si>
  <si>
    <t>Lot 008931</t>
  </si>
  <si>
    <t>Lot 008932</t>
  </si>
  <si>
    <t>C1RE 10A0 0001</t>
  </si>
  <si>
    <t>Lot 008933</t>
  </si>
  <si>
    <t>Lot 008934</t>
  </si>
  <si>
    <t>C1RO 1B00 0001</t>
  </si>
  <si>
    <t>Lot 008935</t>
  </si>
  <si>
    <t>Lot 008936</t>
  </si>
  <si>
    <t>Lot 008937</t>
  </si>
  <si>
    <t>Lot 008938</t>
  </si>
  <si>
    <t>Lot 008939</t>
  </si>
  <si>
    <t>Lot 008940</t>
  </si>
  <si>
    <t>Lot 008941</t>
  </si>
  <si>
    <t>C1TU 3A00 0001</t>
  </si>
  <si>
    <t>Lot 008942</t>
  </si>
  <si>
    <t>C1TU 5B00 0001</t>
  </si>
  <si>
    <t>Lot 008943</t>
  </si>
  <si>
    <t>C1TU 10B0 0001</t>
  </si>
  <si>
    <t>Lot 008944</t>
  </si>
  <si>
    <t>C1TU 12B0 0001</t>
  </si>
  <si>
    <t>Lot 008945</t>
  </si>
  <si>
    <t>Lot 008946</t>
  </si>
  <si>
    <t>C1RO 2A00 CUST</t>
  </si>
  <si>
    <t>Lot 008947</t>
  </si>
  <si>
    <t>Lot 008948</t>
  </si>
  <si>
    <t>Lot 008949</t>
  </si>
  <si>
    <t>Lot 008950</t>
  </si>
  <si>
    <t>C1TS 6A00 0001</t>
  </si>
  <si>
    <t>Lot 008951</t>
  </si>
  <si>
    <t>C1RE 2A00 0001</t>
  </si>
  <si>
    <t>Lot 008952</t>
  </si>
  <si>
    <t>C1RO 12A0 0001</t>
  </si>
  <si>
    <t>Lot 008953</t>
  </si>
  <si>
    <t>Lot 008954</t>
  </si>
  <si>
    <t>C1RO 1A00 BOBB</t>
  </si>
  <si>
    <t>Lot 008981</t>
  </si>
  <si>
    <t>HANDLING</t>
  </si>
  <si>
    <t>Lot 008982</t>
  </si>
  <si>
    <t>Lot 008983</t>
  </si>
  <si>
    <t>Lot 009050</t>
  </si>
  <si>
    <t>Lot 009051</t>
  </si>
  <si>
    <t>Lot 009052</t>
  </si>
  <si>
    <t>C1TU 1A00 00D5</t>
  </si>
  <si>
    <t>Lot 009062</t>
  </si>
  <si>
    <t>Lot 009063</t>
  </si>
  <si>
    <t>Lot 009073</t>
  </si>
  <si>
    <t>Lot 009074</t>
  </si>
  <si>
    <t>C1RE 6B00 0001</t>
  </si>
  <si>
    <t>Lot 009075</t>
  </si>
  <si>
    <t>Lot 009076</t>
  </si>
  <si>
    <t>C1TU 2A00 0001</t>
  </si>
  <si>
    <t>Lot 009077</t>
  </si>
  <si>
    <t>Lot 009078</t>
  </si>
  <si>
    <t>Lot 009079</t>
  </si>
  <si>
    <t>Lot 009080</t>
  </si>
  <si>
    <t>Lot 009081</t>
  </si>
  <si>
    <t>Lot 009130</t>
  </si>
  <si>
    <t>Lot 009131</t>
  </si>
  <si>
    <t>Lot 009132</t>
  </si>
  <si>
    <t>Lot 009133</t>
  </si>
  <si>
    <t>Lot 009134</t>
  </si>
  <si>
    <t>Lot 009135</t>
  </si>
  <si>
    <t>Lot 009136</t>
  </si>
  <si>
    <t>Lot 009137</t>
  </si>
  <si>
    <t>Lot 009138</t>
  </si>
  <si>
    <t>Lot 009139</t>
  </si>
  <si>
    <t>C1TU 5B00 CUST</t>
  </si>
  <si>
    <t>Lot 009142</t>
  </si>
  <si>
    <t>Lot 009143</t>
  </si>
  <si>
    <t>C1TU 4A00 CUST</t>
  </si>
  <si>
    <t>Lot 009144</t>
  </si>
  <si>
    <t>Lot 009145</t>
  </si>
  <si>
    <t>Lot 009146</t>
  </si>
  <si>
    <t>C1RO 3A00 CUST</t>
  </si>
  <si>
    <t>Lot 009147</t>
  </si>
  <si>
    <t>C1TU 2A00 00D5</t>
  </si>
  <si>
    <t>Lot 009150</t>
  </si>
  <si>
    <t>C1TU 2A00 CUST</t>
  </si>
  <si>
    <t>Lot 009151</t>
  </si>
  <si>
    <t>Lot 009152</t>
  </si>
  <si>
    <t>Lot 009153</t>
  </si>
  <si>
    <t>C1HR 0A00 0002</t>
  </si>
  <si>
    <t>Lot 009163</t>
  </si>
  <si>
    <t>C1HR 2A00 0002</t>
  </si>
  <si>
    <t>Lot 009167</t>
  </si>
  <si>
    <t>Lot 009168</t>
  </si>
  <si>
    <t>Lot 009169</t>
  </si>
  <si>
    <t>Lot 009170</t>
  </si>
  <si>
    <t>Lot 009171</t>
  </si>
  <si>
    <t>C1SQ 8A00 0002</t>
  </si>
  <si>
    <t>Lot 009172</t>
  </si>
  <si>
    <t>C1TU 2A00 0002</t>
  </si>
  <si>
    <t>Lot 009173</t>
  </si>
  <si>
    <t>C1TU 3A00 0002</t>
  </si>
  <si>
    <t>Lot 009174</t>
  </si>
  <si>
    <t>Lot 009175</t>
  </si>
  <si>
    <t>C1TU 6A00 0002</t>
  </si>
  <si>
    <t>Lot 009176</t>
  </si>
  <si>
    <t>Lot 009177</t>
  </si>
  <si>
    <t>Lot 009178</t>
  </si>
  <si>
    <t>C1TU 12B0 0002</t>
  </si>
  <si>
    <t>Lot 009179</t>
  </si>
  <si>
    <t>Lot 009180</t>
  </si>
  <si>
    <t>GTPV PK11 0280</t>
  </si>
  <si>
    <t>Lot 009252</t>
  </si>
  <si>
    <t>Lot 009253</t>
  </si>
  <si>
    <t>Lot 009254</t>
  </si>
  <si>
    <t>Lot 009255</t>
  </si>
  <si>
    <t>Lot 009256</t>
  </si>
  <si>
    <t>Lot 009284</t>
  </si>
  <si>
    <t>Lot 009285</t>
  </si>
  <si>
    <t>Lot 009289</t>
  </si>
  <si>
    <t>Lot 009290</t>
  </si>
  <si>
    <t>C1RO 6A00 0001</t>
  </si>
  <si>
    <t>Lot 009291</t>
  </si>
  <si>
    <t>Lot 009292</t>
  </si>
  <si>
    <t>C1RO 0C00 00D5</t>
  </si>
  <si>
    <t>Lot 009293</t>
  </si>
  <si>
    <t>C1RO 1A00 00D5</t>
  </si>
  <si>
    <t>Lot 009294</t>
  </si>
  <si>
    <t>C1RO 1D00 00D5</t>
  </si>
  <si>
    <t>Lot 009295</t>
  </si>
  <si>
    <t>C1RO 2A00 00D5</t>
  </si>
  <si>
    <t>Lot 009296</t>
  </si>
  <si>
    <t>C1RO 3A00 00D5</t>
  </si>
  <si>
    <t>Lot 009297</t>
  </si>
  <si>
    <t>C1RO 5A00 00D5</t>
  </si>
  <si>
    <t>Lot 009298</t>
  </si>
  <si>
    <t>Lot 009299</t>
  </si>
  <si>
    <t>Lot 009300</t>
  </si>
  <si>
    <t>C1TU 4A00 00D5</t>
  </si>
  <si>
    <t>Lot 009301</t>
  </si>
  <si>
    <t>Lot 009302</t>
  </si>
  <si>
    <t>C1TU 4B00 0001</t>
  </si>
  <si>
    <t>Lot 009303</t>
  </si>
  <si>
    <t>Lot 009304</t>
  </si>
  <si>
    <t>C1TU 7B00 00D5</t>
  </si>
  <si>
    <t>Lot 009305</t>
  </si>
  <si>
    <t>C1TU 8B00 00D5</t>
  </si>
  <si>
    <t>Lot 009306</t>
  </si>
  <si>
    <t>Lot 009307</t>
  </si>
  <si>
    <t>C1TU 10B0 00D5</t>
  </si>
  <si>
    <t>Lot 009308</t>
  </si>
  <si>
    <t>Lot 009309</t>
  </si>
  <si>
    <t>C1RO 2B00 D261</t>
  </si>
  <si>
    <t>Lot 009339</t>
  </si>
  <si>
    <t>Lot 009340</t>
  </si>
  <si>
    <t>Lot 009435</t>
  </si>
  <si>
    <t>C1SQ 8A00 0001</t>
  </si>
  <si>
    <t>Lot 009436</t>
  </si>
  <si>
    <t>Lot 009437</t>
  </si>
  <si>
    <t>Lot 009438</t>
  </si>
  <si>
    <t>C1TU 5A00 0001</t>
  </si>
  <si>
    <t>Lot 009439</t>
  </si>
  <si>
    <t>Lot 009440</t>
  </si>
  <si>
    <t>C1RO 1D00 0002</t>
  </si>
  <si>
    <t>Lot 009441</t>
  </si>
  <si>
    <t>Lot 009442</t>
  </si>
  <si>
    <t>Lot 009443</t>
  </si>
  <si>
    <t>Lot 009444</t>
  </si>
  <si>
    <t>Lot 009445</t>
  </si>
  <si>
    <t>Lot 009446</t>
  </si>
  <si>
    <t>Lot 009447</t>
  </si>
  <si>
    <t>Lot 009448</t>
  </si>
  <si>
    <t>Lot 009449</t>
  </si>
  <si>
    <t>Lot 009450</t>
  </si>
  <si>
    <t>C1RO 1F00 D974</t>
  </si>
  <si>
    <t>Lot 009463</t>
  </si>
  <si>
    <t>C1RO 1F00 D1105</t>
  </si>
  <si>
    <t>Lot 009464</t>
  </si>
  <si>
    <t>Lot 009465</t>
  </si>
  <si>
    <t>Lot 009517</t>
  </si>
  <si>
    <t>Lot 009518</t>
  </si>
  <si>
    <t>Lot 009519</t>
  </si>
  <si>
    <t>Lot 009520</t>
  </si>
  <si>
    <t>Lot 009521</t>
  </si>
  <si>
    <t>Lot 009522</t>
  </si>
  <si>
    <t>Lot 009528</t>
  </si>
  <si>
    <t>Lot 009529</t>
  </si>
  <si>
    <t>Lot 009530</t>
  </si>
  <si>
    <t>Lot 009531</t>
  </si>
  <si>
    <t>Lot 009533</t>
  </si>
  <si>
    <t>Lot 009534</t>
  </si>
  <si>
    <t>Lot 009535</t>
  </si>
  <si>
    <t>Lot 009536</t>
  </si>
  <si>
    <t>Lot 009537</t>
  </si>
  <si>
    <t>Lot 009538</t>
  </si>
  <si>
    <t>A1RO 0A00 BOBB</t>
  </si>
  <si>
    <t>Lot 009539</t>
  </si>
  <si>
    <t>H1RE 3B00 0001</t>
  </si>
  <si>
    <t>Lot 009540</t>
  </si>
  <si>
    <t>C1ST 1B00 0001</t>
  </si>
  <si>
    <t>Lot 009542</t>
  </si>
  <si>
    <t>Lot 009543</t>
  </si>
  <si>
    <t>Lot 009544</t>
  </si>
  <si>
    <t>C1TU 8A00 0001</t>
  </si>
  <si>
    <t>Lot 009545</t>
  </si>
  <si>
    <t>Lot 009546</t>
  </si>
  <si>
    <t>Lot 009551</t>
  </si>
  <si>
    <t>Lot 009552</t>
  </si>
  <si>
    <t>C1RE 3B00 0001</t>
  </si>
  <si>
    <t>Lot 009553</t>
  </si>
  <si>
    <t>Lot 009554</t>
  </si>
  <si>
    <t>Lot 009555</t>
  </si>
  <si>
    <t>Lot 009556</t>
  </si>
  <si>
    <t>Lot 009557</t>
  </si>
  <si>
    <t>Lot 009558</t>
  </si>
  <si>
    <t>C1RO 0C00 0002</t>
  </si>
  <si>
    <t>Lot 009559</t>
  </si>
  <si>
    <t>C1RE 1B00 0002</t>
  </si>
  <si>
    <t>Lot 009560</t>
  </si>
  <si>
    <t>Lot 009561</t>
  </si>
  <si>
    <t>Lot 009562</t>
  </si>
  <si>
    <t>Lot 009563</t>
  </si>
  <si>
    <t>Lot 009564</t>
  </si>
  <si>
    <t>Lot 009565</t>
  </si>
  <si>
    <t>Lot 009566</t>
  </si>
  <si>
    <t>Lot 009567</t>
  </si>
  <si>
    <t>Lot 009568</t>
  </si>
  <si>
    <t>C1SQ 6A00 0002</t>
  </si>
  <si>
    <t>Lot 009569</t>
  </si>
  <si>
    <t>Lot 009570</t>
  </si>
  <si>
    <t>Lot 009571</t>
  </si>
  <si>
    <t>MACHINETESTHR</t>
  </si>
  <si>
    <t>Lot 009572</t>
  </si>
  <si>
    <t>Lot 009573</t>
  </si>
  <si>
    <t>Lot 009669</t>
  </si>
  <si>
    <t>Lot 009670</t>
  </si>
  <si>
    <t>Lot 009671</t>
  </si>
  <si>
    <t>C1RE 10A0 CUST</t>
  </si>
  <si>
    <t>Lot 009691</t>
  </si>
  <si>
    <t>Lot 009692</t>
  </si>
  <si>
    <t>Lot 009696</t>
  </si>
  <si>
    <t>Lot 009697</t>
  </si>
  <si>
    <t>Lot 009698</t>
  </si>
  <si>
    <t>Lot 009699</t>
  </si>
  <si>
    <t>Lot 009700</t>
  </si>
  <si>
    <t>Lot 009701</t>
  </si>
  <si>
    <t>Lot 009702</t>
  </si>
  <si>
    <t>Lot 009703</t>
  </si>
  <si>
    <t>Lot 009704</t>
  </si>
  <si>
    <t>Lot 009705</t>
  </si>
  <si>
    <t>Lot 009706</t>
  </si>
  <si>
    <t>Lot 009707</t>
  </si>
  <si>
    <t>Lot 009708</t>
  </si>
  <si>
    <t>Lot 009709</t>
  </si>
  <si>
    <t>Lot 009710</t>
  </si>
  <si>
    <t>Lot 009711</t>
  </si>
  <si>
    <t>Lot 009712</t>
  </si>
  <si>
    <t>Lot 009713</t>
  </si>
  <si>
    <t>Lot 009714</t>
  </si>
  <si>
    <t>Lot 009715</t>
  </si>
  <si>
    <t>Lot 009716</t>
  </si>
  <si>
    <t>Lot 009717</t>
  </si>
  <si>
    <t>Lot 009718</t>
  </si>
  <si>
    <t>Lot 009719</t>
  </si>
  <si>
    <t>Lot 009720</t>
  </si>
  <si>
    <t>Lot 009721</t>
  </si>
  <si>
    <t>Lot 009722</t>
  </si>
  <si>
    <t>Lot 009723</t>
  </si>
  <si>
    <t>Lot 009724</t>
  </si>
  <si>
    <t>Lot 009725</t>
  </si>
  <si>
    <t>Lot 009726</t>
  </si>
  <si>
    <t>Lot 009727</t>
  </si>
  <si>
    <t>Lot 009728</t>
  </si>
  <si>
    <t>Lot 009729</t>
  </si>
  <si>
    <t>Lot 009730</t>
  </si>
  <si>
    <t>Lot 009883</t>
  </si>
  <si>
    <t>Lot 009884</t>
  </si>
  <si>
    <t>Lot 009885</t>
  </si>
  <si>
    <t>C1RO 2B00 CUST</t>
  </si>
  <si>
    <t>Lot 009887</t>
  </si>
  <si>
    <t>Lot 009888</t>
  </si>
  <si>
    <t>Lot 009889</t>
  </si>
  <si>
    <t>Lot 009890</t>
  </si>
  <si>
    <t>Lot 009891</t>
  </si>
  <si>
    <t>Lot 009892</t>
  </si>
  <si>
    <t>C1RO 0D00 0001</t>
  </si>
  <si>
    <t>Lot 009893</t>
  </si>
  <si>
    <t>Lot 009894</t>
  </si>
  <si>
    <t>Lot 009895</t>
  </si>
  <si>
    <t>Lot 009896</t>
  </si>
  <si>
    <t>Lot 009897</t>
  </si>
  <si>
    <t>Lot 009898</t>
  </si>
  <si>
    <t>Lot 009899</t>
  </si>
  <si>
    <t>C1TU 1A00 0002</t>
  </si>
  <si>
    <t>Lot 009902</t>
  </si>
  <si>
    <t>Lot 009903</t>
  </si>
  <si>
    <t>Lot 009904</t>
  </si>
  <si>
    <t>Lot 009905</t>
  </si>
  <si>
    <t>Lot 009906</t>
  </si>
  <si>
    <t>C1RE 7A00 0002</t>
  </si>
  <si>
    <t>Lot 009908</t>
  </si>
  <si>
    <t>H1RE 4B00 0002</t>
  </si>
  <si>
    <t>Lot 009909</t>
  </si>
  <si>
    <t>Lot 009910</t>
  </si>
  <si>
    <t>Lot 009911</t>
  </si>
  <si>
    <t>C1TE 3B00 0001</t>
  </si>
  <si>
    <t>Lot 009984</t>
  </si>
  <si>
    <t>Lot 009985</t>
  </si>
  <si>
    <t>C1TE 3A00 00D5</t>
  </si>
  <si>
    <t>Lot 009986</t>
  </si>
  <si>
    <t>Lot 009987</t>
  </si>
  <si>
    <t>Lot 009988</t>
  </si>
  <si>
    <t>Lot 009989</t>
  </si>
  <si>
    <t>Lot 009990</t>
  </si>
  <si>
    <t>Lot 009991</t>
  </si>
  <si>
    <t>Lot 009992</t>
  </si>
  <si>
    <t>Lot 009994</t>
  </si>
  <si>
    <t>Lot 009995</t>
  </si>
  <si>
    <t>C1RO 2B00 00D5</t>
  </si>
  <si>
    <t>Lot 009996</t>
  </si>
  <si>
    <t>C1RO 4A00 00D5</t>
  </si>
  <si>
    <t>Lot 009997</t>
  </si>
  <si>
    <t>Lot 009999</t>
  </si>
  <si>
    <t>Lot 010000</t>
  </si>
  <si>
    <t>Lot 010001</t>
  </si>
  <si>
    <t>Lot 010002</t>
  </si>
  <si>
    <t>Lot 010003</t>
  </si>
  <si>
    <t>Lot 010010</t>
  </si>
  <si>
    <t>Lot 010011</t>
  </si>
  <si>
    <t>Lot 010012</t>
  </si>
  <si>
    <t>Lot 010013</t>
  </si>
  <si>
    <t>Lot 010014</t>
  </si>
  <si>
    <t>Lot 010027</t>
  </si>
  <si>
    <t>Lot 010028</t>
  </si>
  <si>
    <t>C1RO 1D00 D0003</t>
  </si>
  <si>
    <t>Lot 010062</t>
  </si>
  <si>
    <t>C1RO 1D00 D0006</t>
  </si>
  <si>
    <t>Lot 010063</t>
  </si>
  <si>
    <t>C1RO 1D00 D00085</t>
  </si>
  <si>
    <t>Lot 010064</t>
  </si>
  <si>
    <t>C1TU 1B00 D0003</t>
  </si>
  <si>
    <t>Lot 010066</t>
  </si>
  <si>
    <t>C1TU 1C00 D0003</t>
  </si>
  <si>
    <t>Lot 010067</t>
  </si>
  <si>
    <t>C1TU 1C00 D0006</t>
  </si>
  <si>
    <t>Lot 010068</t>
  </si>
  <si>
    <t>C1TU 1B00 D0006</t>
  </si>
  <si>
    <t>Lot 010069</t>
  </si>
  <si>
    <t>Lot 010070</t>
  </si>
  <si>
    <t>Lot 010071</t>
  </si>
  <si>
    <t>Lot 010072</t>
  </si>
  <si>
    <t>Lot 010101</t>
  </si>
  <si>
    <t>Lot 010102</t>
  </si>
  <si>
    <t>Lot 010103</t>
  </si>
  <si>
    <t>Lot 010104</t>
  </si>
  <si>
    <t>Lot 010105</t>
  </si>
  <si>
    <t>Lot 010107</t>
  </si>
  <si>
    <t>Lot 010108</t>
  </si>
  <si>
    <t>Lot 010109</t>
  </si>
  <si>
    <t>C1RO 6A00 0002</t>
  </si>
  <si>
    <t>Lot 010110</t>
  </si>
  <si>
    <t>C1HR 1B00 0001</t>
  </si>
  <si>
    <t>Lot 010111</t>
  </si>
  <si>
    <t>Lot 010112</t>
  </si>
  <si>
    <t>C1RE 20B0 0001</t>
  </si>
  <si>
    <t>Lot 010113</t>
  </si>
  <si>
    <t>C1TU 4A00 0002</t>
  </si>
  <si>
    <t>Lot 010114</t>
  </si>
  <si>
    <t>C1TU 4B00 0002</t>
  </si>
  <si>
    <t>Lot 010115</t>
  </si>
  <si>
    <t>Lot 010116</t>
  </si>
  <si>
    <t>Lot 010117</t>
  </si>
  <si>
    <t>Lot 010118</t>
  </si>
  <si>
    <t>Lot 010138</t>
  </si>
  <si>
    <t>Lot 010139</t>
  </si>
  <si>
    <t>G2RO 3A02 0003</t>
  </si>
  <si>
    <t>Lot 010173</t>
  </si>
  <si>
    <t>Lot 010174</t>
  </si>
  <si>
    <t>Lot 010183</t>
  </si>
  <si>
    <t>C1RE 4B00 0001</t>
  </si>
  <si>
    <t>Lot 010184</t>
  </si>
  <si>
    <t>Lot 010185</t>
  </si>
  <si>
    <t>Lot 010186</t>
  </si>
  <si>
    <t>Lot 010187</t>
  </si>
  <si>
    <t>Lot 010188</t>
  </si>
  <si>
    <t>Lot 010189</t>
  </si>
  <si>
    <t>Lot 010190</t>
  </si>
  <si>
    <t>Lot 010191</t>
  </si>
  <si>
    <t>Lot 010192</t>
  </si>
  <si>
    <t>C1HR 1A00 0001</t>
  </si>
  <si>
    <t>Lot 010193</t>
  </si>
  <si>
    <t>Lot 010194</t>
  </si>
  <si>
    <t>Lot 010195</t>
  </si>
  <si>
    <t>Lot 010196</t>
  </si>
  <si>
    <t>Lot 010273</t>
  </si>
  <si>
    <t>Lot 010305</t>
  </si>
  <si>
    <t>C1RO 1F00 0002</t>
  </si>
  <si>
    <t>Lot 010306</t>
  </si>
  <si>
    <t>Lot 010307</t>
  </si>
  <si>
    <t>C1RE 20B0 0002</t>
  </si>
  <si>
    <t>Lot 010308</t>
  </si>
  <si>
    <t>Lot 010309</t>
  </si>
  <si>
    <t>Lot 010310</t>
  </si>
  <si>
    <t>Lot 010311</t>
  </si>
  <si>
    <t>Lot 010312</t>
  </si>
  <si>
    <t>Lot 010313</t>
  </si>
  <si>
    <t>Lot 010314</t>
  </si>
  <si>
    <t>Lot 010315</t>
  </si>
  <si>
    <t>Lot 010316</t>
  </si>
  <si>
    <t>Lot 010317</t>
  </si>
  <si>
    <t>Lot 010318</t>
  </si>
  <si>
    <t>Lot 010319</t>
  </si>
  <si>
    <t>Lot 010341</t>
  </si>
  <si>
    <t>Lot 010342</t>
  </si>
  <si>
    <t>Lot 010343</t>
  </si>
  <si>
    <t>Lot 010344</t>
  </si>
  <si>
    <t>Lot 010345</t>
  </si>
  <si>
    <t>Lot 010346</t>
  </si>
  <si>
    <t>Lot 010347</t>
  </si>
  <si>
    <t>Lot 010348</t>
  </si>
  <si>
    <t>Lot 010349</t>
  </si>
  <si>
    <t>Lot 010350</t>
  </si>
  <si>
    <t>Lot 010351</t>
  </si>
  <si>
    <t>Lot 010352</t>
  </si>
  <si>
    <t>Lot 010353</t>
  </si>
  <si>
    <t>Lot 010354</t>
  </si>
  <si>
    <t>GTPV PK11 0300</t>
  </si>
  <si>
    <t>Lot 010422</t>
  </si>
  <si>
    <t>Lot 010423</t>
  </si>
  <si>
    <t>Lot 010424</t>
  </si>
  <si>
    <t>Lot 010425</t>
  </si>
  <si>
    <t>Lot 010426</t>
  </si>
  <si>
    <t>Lot 010427</t>
  </si>
  <si>
    <t>Lot 010531</t>
  </si>
  <si>
    <t>C1RO 4A00 0002</t>
  </si>
  <si>
    <t>Lot 010532</t>
  </si>
  <si>
    <t>Lot 010533</t>
  </si>
  <si>
    <t>Lot 010534</t>
  </si>
  <si>
    <t>Lot 010535</t>
  </si>
  <si>
    <t>Lot 010536</t>
  </si>
  <si>
    <t>Lot 010537</t>
  </si>
  <si>
    <t>Lot 010538</t>
  </si>
  <si>
    <t>Lot 010539</t>
  </si>
  <si>
    <t>Lot 010561</t>
  </si>
  <si>
    <t>Lot 010562</t>
  </si>
  <si>
    <t>Lot 010563</t>
  </si>
  <si>
    <t>STARTOFF</t>
  </si>
  <si>
    <t>Lot 010605</t>
  </si>
  <si>
    <t>Lot 010606</t>
  </si>
  <si>
    <t>Lot 010607</t>
  </si>
  <si>
    <t>Lot 010608</t>
  </si>
  <si>
    <t>Lot 010609</t>
  </si>
  <si>
    <t>Lot 010610</t>
  </si>
  <si>
    <t>Lot 010611</t>
  </si>
  <si>
    <t>Lot 010612</t>
  </si>
  <si>
    <t>Lot 010613</t>
  </si>
  <si>
    <t>Lot 010614</t>
  </si>
  <si>
    <t>Lot 010615</t>
  </si>
  <si>
    <t>Lot 010616</t>
  </si>
  <si>
    <t>Lot 010617</t>
  </si>
  <si>
    <t>Lot 010618</t>
  </si>
  <si>
    <t>Lot 010619</t>
  </si>
  <si>
    <t>Lot 010620</t>
  </si>
  <si>
    <t>Lot 010621</t>
  </si>
  <si>
    <t>Lot 010622</t>
  </si>
  <si>
    <t>Lot 010623</t>
  </si>
  <si>
    <t>C1TU 6B00 CUST</t>
  </si>
  <si>
    <t>Lot 010640</t>
  </si>
  <si>
    <t>Lot 010641</t>
  </si>
  <si>
    <t>Lot 010642</t>
  </si>
  <si>
    <t>Lot 010649</t>
  </si>
  <si>
    <t>C1RO 5A00 0002</t>
  </si>
  <si>
    <t>Lot 010650</t>
  </si>
  <si>
    <t>Lot 010651</t>
  </si>
  <si>
    <t>Lot 010652</t>
  </si>
  <si>
    <t>Lot 010653</t>
  </si>
  <si>
    <t>Lot 010656</t>
  </si>
  <si>
    <t>Lot 010657</t>
  </si>
  <si>
    <t>Lot 010658</t>
  </si>
  <si>
    <t>Lot 010660</t>
  </si>
  <si>
    <t>H1RE 4B00 0001</t>
  </si>
  <si>
    <t>Lot 010661</t>
  </si>
  <si>
    <t>Lot 010662</t>
  </si>
  <si>
    <t>Lot 010663</t>
  </si>
  <si>
    <t>Lot 010664</t>
  </si>
  <si>
    <t>Lot 010665</t>
  </si>
  <si>
    <t>Lot 010666</t>
  </si>
  <si>
    <t>C1ST 1B00 0250</t>
  </si>
  <si>
    <t>Lot 010667</t>
  </si>
  <si>
    <t>Lot 010695</t>
  </si>
  <si>
    <t>Lot 010696</t>
  </si>
  <si>
    <t>Lot 010697</t>
  </si>
  <si>
    <t>Lot 010698</t>
  </si>
  <si>
    <t>Lot 010699</t>
  </si>
  <si>
    <t>Lot 010703</t>
  </si>
  <si>
    <t>Lot 010704</t>
  </si>
  <si>
    <t>Lot 010710</t>
  </si>
  <si>
    <t>Lot 010711</t>
  </si>
  <si>
    <t>Lot 010712</t>
  </si>
  <si>
    <t>Lot 010713</t>
  </si>
  <si>
    <t>Lot 010714</t>
  </si>
  <si>
    <t>Lot 010715</t>
  </si>
  <si>
    <t>Lot 010796</t>
  </si>
  <si>
    <t>Lot 010797</t>
  </si>
  <si>
    <t>Lot 010798</t>
  </si>
  <si>
    <t>Lot 010799</t>
  </si>
  <si>
    <t>Lot 010800</t>
  </si>
  <si>
    <t>Lot 010801</t>
  </si>
  <si>
    <t>Lot 010802</t>
  </si>
  <si>
    <t>Lot 010803</t>
  </si>
  <si>
    <t>Lot 010804</t>
  </si>
  <si>
    <t>C1TU 12B0 00D5</t>
  </si>
  <si>
    <t>Lot 010805</t>
  </si>
  <si>
    <t>Lot 010806</t>
  </si>
  <si>
    <t>Lot 010813</t>
  </si>
  <si>
    <t>Lot 010814</t>
  </si>
  <si>
    <t>Lot 010815</t>
  </si>
  <si>
    <t>Lot 010816</t>
  </si>
  <si>
    <t>Lot 010817</t>
  </si>
  <si>
    <t>Lot 010818</t>
  </si>
  <si>
    <t>Lot 010819</t>
  </si>
  <si>
    <t>Lot 010820</t>
  </si>
  <si>
    <t>C1RO 7A00 0001</t>
  </si>
  <si>
    <t>Lot 010821</t>
  </si>
  <si>
    <t>Lot 010822</t>
  </si>
  <si>
    <t>C1RE 20A0 0001</t>
  </si>
  <si>
    <t>Lot 010823</t>
  </si>
  <si>
    <t>Lot 010824</t>
  </si>
  <si>
    <t>Lot 010825</t>
  </si>
  <si>
    <t>Lot 010826</t>
  </si>
  <si>
    <t>Lot 010827</t>
  </si>
  <si>
    <t>Lot 010828</t>
  </si>
  <si>
    <t>C1RO 6A00 CUST</t>
  </si>
  <si>
    <t>Lot 010839</t>
  </si>
  <si>
    <t>Lot 010840</t>
  </si>
  <si>
    <t>Lot 010841</t>
  </si>
  <si>
    <t>Lot 010842</t>
  </si>
  <si>
    <t>Lot 010847</t>
  </si>
  <si>
    <t>Lot 010859</t>
  </si>
  <si>
    <t>Lot 010860</t>
  </si>
  <si>
    <t>Lot 010861</t>
  </si>
  <si>
    <t>Lot 010862</t>
  </si>
  <si>
    <t>Lot 010863</t>
  </si>
  <si>
    <t>Lot 010864</t>
  </si>
  <si>
    <t>Lot 010865</t>
  </si>
  <si>
    <t>Lot 010898</t>
  </si>
  <si>
    <t>Lot 010899</t>
  </si>
  <si>
    <t>Lot 011031</t>
  </si>
  <si>
    <t>Lot 011032</t>
  </si>
  <si>
    <t>Lot 011033</t>
  </si>
  <si>
    <t>Lot 011034</t>
  </si>
  <si>
    <t>Lot 011036</t>
  </si>
  <si>
    <t>Lot 011037</t>
  </si>
  <si>
    <t>Lot 011038</t>
  </si>
  <si>
    <t>Lot 011039</t>
  </si>
  <si>
    <t>Lot 011040</t>
  </si>
  <si>
    <t>C1RE 1A00 00D5</t>
  </si>
  <si>
    <t>Lot 011060</t>
  </si>
  <si>
    <t>Lot 011061</t>
  </si>
  <si>
    <t>Lot 011062</t>
  </si>
  <si>
    <t>C1TU 0A00 CUST</t>
  </si>
  <si>
    <t>Lot 011074</t>
  </si>
  <si>
    <t>C1TU 1B00 CUST</t>
  </si>
  <si>
    <t>Lot 011075</t>
  </si>
  <si>
    <t>Lot 011076</t>
  </si>
  <si>
    <t>Lot 011098</t>
  </si>
  <si>
    <t>Lot 011099</t>
  </si>
  <si>
    <t>Lot 011100</t>
  </si>
  <si>
    <t>Lot 011104</t>
  </si>
  <si>
    <t>Lot 011114</t>
  </si>
  <si>
    <t>Lot 011115</t>
  </si>
  <si>
    <t>Lot 011116</t>
  </si>
  <si>
    <t>H1RO 0C00 0001</t>
  </si>
  <si>
    <t>Lot 011282</t>
  </si>
  <si>
    <t>H1RO 1D00 0001</t>
  </si>
  <si>
    <t>Lot 011283</t>
  </si>
  <si>
    <t>H1RO 2A00 0001</t>
  </si>
  <si>
    <t>Lot 011284</t>
  </si>
  <si>
    <t>Lot 011286</t>
  </si>
  <si>
    <t>Lot 011287</t>
  </si>
  <si>
    <t>Lot 011288</t>
  </si>
  <si>
    <t>Lot 011289</t>
  </si>
  <si>
    <t>Lot 011290</t>
  </si>
  <si>
    <t>Lot 011291</t>
  </si>
  <si>
    <t>Lot 011292</t>
  </si>
  <si>
    <t>Lot 011294</t>
  </si>
  <si>
    <t>Lot 011295</t>
  </si>
  <si>
    <t>Lot 011309</t>
  </si>
  <si>
    <t>Lot 011310</t>
  </si>
  <si>
    <t>Lot 011311</t>
  </si>
  <si>
    <t>Lot 011312</t>
  </si>
  <si>
    <t>Lot 011313</t>
  </si>
  <si>
    <t>Lot 011314</t>
  </si>
  <si>
    <t>C1TU 5B00 00D5</t>
  </si>
  <si>
    <t>Lot 011315</t>
  </si>
  <si>
    <t>C1TU 6B00 00D5</t>
  </si>
  <si>
    <t>Lot 011316</t>
  </si>
  <si>
    <t>Lot 011317</t>
  </si>
  <si>
    <t>Lot 011318</t>
  </si>
  <si>
    <t>Lot 011329</t>
  </si>
  <si>
    <t>C1SQ 8A00 00D5</t>
  </si>
  <si>
    <t>Lot 011452</t>
  </si>
  <si>
    <t>Lot 011453</t>
  </si>
  <si>
    <t>Lot 011454</t>
  </si>
  <si>
    <t>Lot 011455</t>
  </si>
  <si>
    <t>Lot 011465</t>
  </si>
  <si>
    <t>Lot 011466</t>
  </si>
  <si>
    <t>Lot 011467</t>
  </si>
  <si>
    <t>Lot 011468</t>
  </si>
  <si>
    <t>Lot 011469</t>
  </si>
  <si>
    <t>Lot 011470</t>
  </si>
  <si>
    <t>Lot 011500</t>
  </si>
  <si>
    <t>Lot 011501</t>
  </si>
  <si>
    <t>Lot 011502</t>
  </si>
  <si>
    <t>Lot 011504</t>
  </si>
  <si>
    <t>Lot 011505</t>
  </si>
  <si>
    <t>Lot 011506</t>
  </si>
  <si>
    <t>Lot 011507</t>
  </si>
  <si>
    <t>Lot 011508</t>
  </si>
  <si>
    <t>Lot 011509</t>
  </si>
  <si>
    <t>Lot 011510</t>
  </si>
  <si>
    <t>Lot 011532</t>
  </si>
  <si>
    <t>Lot 011533</t>
  </si>
  <si>
    <t>C1RO 0A00 0002</t>
  </si>
  <si>
    <t>Lot 011534</t>
  </si>
  <si>
    <t>Lot 011535</t>
  </si>
  <si>
    <t>Lot 011536</t>
  </si>
  <si>
    <t>C1RO 1C00 0002</t>
  </si>
  <si>
    <t>Lot 011537</t>
  </si>
  <si>
    <t>C1RE 1A00 0002</t>
  </si>
  <si>
    <t>Lot 011538</t>
  </si>
  <si>
    <t>C1RE 2A00 0002</t>
  </si>
  <si>
    <t>Lot 011539</t>
  </si>
  <si>
    <t>C1RE 3A00 0002</t>
  </si>
  <si>
    <t>Lot 011540</t>
  </si>
  <si>
    <t>H1RE 3B00 0002</t>
  </si>
  <si>
    <t>Lot 011541</t>
  </si>
  <si>
    <t>Lot 011542</t>
  </si>
  <si>
    <t>Lot 011543</t>
  </si>
  <si>
    <t>I1RO 2A00 CUST</t>
  </si>
  <si>
    <t>Lot 011582</t>
  </si>
  <si>
    <t>Lot 011587</t>
  </si>
  <si>
    <t>G1RO 0AA0 BOBB</t>
  </si>
  <si>
    <t>Lot 011588</t>
  </si>
  <si>
    <t>Lot 011589</t>
  </si>
  <si>
    <t>Lot 011653</t>
  </si>
  <si>
    <t>Lot 011654</t>
  </si>
  <si>
    <t>C1RO 1F00 0001</t>
  </si>
  <si>
    <t>Lot 011655</t>
  </si>
  <si>
    <t>Lot 011656</t>
  </si>
  <si>
    <t>C1RE 4B00 0002</t>
  </si>
  <si>
    <t>Lot 011657</t>
  </si>
  <si>
    <t>Lot 011658</t>
  </si>
  <si>
    <t>Lot 011659</t>
  </si>
  <si>
    <t>Lot 011660</t>
  </si>
  <si>
    <t>Lot 011661</t>
  </si>
  <si>
    <t>Lot 011662</t>
  </si>
  <si>
    <t>Lot 011663</t>
  </si>
  <si>
    <t>Lot 011664</t>
  </si>
  <si>
    <t>Lot 011665</t>
  </si>
  <si>
    <t>Lot 011666</t>
  </si>
  <si>
    <t>Lot 011667</t>
  </si>
  <si>
    <t>Lot 011668</t>
  </si>
  <si>
    <t>Lot 011669</t>
  </si>
  <si>
    <t>C1SQ 6A00 0001</t>
  </si>
  <si>
    <t>Lot 011670</t>
  </si>
  <si>
    <t>Lot 011671</t>
  </si>
  <si>
    <t>Lot 011694</t>
  </si>
  <si>
    <t>Lot 011695</t>
  </si>
  <si>
    <t>H1RE 4B00 01D6</t>
  </si>
  <si>
    <t>Lot 011730</t>
  </si>
  <si>
    <t>Lot 011731</t>
  </si>
  <si>
    <t>Lot 011732</t>
  </si>
  <si>
    <t>Lot 011739</t>
  </si>
  <si>
    <t>Lot 011740</t>
  </si>
  <si>
    <t>Lot 011741</t>
  </si>
  <si>
    <t>Lot 011742</t>
  </si>
  <si>
    <t>Lot 011743</t>
  </si>
  <si>
    <t>Lot 011744</t>
  </si>
  <si>
    <t>Lot 011796</t>
  </si>
  <si>
    <t>Lot 011797</t>
  </si>
  <si>
    <t>Lot 011798</t>
  </si>
  <si>
    <t>Lot 011799</t>
  </si>
  <si>
    <t>Lot 011800</t>
  </si>
  <si>
    <t>Lot 011801</t>
  </si>
  <si>
    <t>Lot 011802</t>
  </si>
  <si>
    <t>Lot 011803</t>
  </si>
  <si>
    <t>Lot 011804</t>
  </si>
  <si>
    <t>Lot 011805</t>
  </si>
  <si>
    <t>Lot 011806</t>
  </si>
  <si>
    <t>Lot 011812</t>
  </si>
  <si>
    <t>Lot 011813</t>
  </si>
  <si>
    <t>C1TU 6A00 CUST</t>
  </si>
  <si>
    <t>Lot 011816</t>
  </si>
  <si>
    <t>Lot 011871</t>
  </si>
  <si>
    <t>Lot 011872</t>
  </si>
  <si>
    <t>Lot 011873</t>
  </si>
  <si>
    <t>Lot 011874</t>
  </si>
  <si>
    <t>Lot 011875</t>
  </si>
  <si>
    <t>Lot 011876</t>
  </si>
  <si>
    <t>Lot 011877</t>
  </si>
  <si>
    <t>Lot 011925</t>
  </si>
  <si>
    <t>Lot 011926</t>
  </si>
  <si>
    <t>Lot 011927</t>
  </si>
  <si>
    <t>Lot 011930</t>
  </si>
  <si>
    <t>Lot 011931</t>
  </si>
  <si>
    <t>Lot 011978</t>
  </si>
  <si>
    <t>Lot 011979</t>
  </si>
  <si>
    <t>Lot 011980</t>
  </si>
  <si>
    <t>Lot 011981</t>
  </si>
  <si>
    <t>Lot 011990</t>
  </si>
  <si>
    <t>C1RE 1A00 0001</t>
  </si>
  <si>
    <t>Lot 012000</t>
  </si>
  <si>
    <t>Lot 012001</t>
  </si>
  <si>
    <t>Lot 012002</t>
  </si>
  <si>
    <t>Lot 012022</t>
  </si>
  <si>
    <t>C1RO 1C00 0001</t>
  </si>
  <si>
    <t>Lot 012023</t>
  </si>
  <si>
    <t>H1RE 8B00 0002</t>
  </si>
  <si>
    <t>Lot 012024</t>
  </si>
  <si>
    <t>Lot 012025</t>
  </si>
  <si>
    <t>Lot 012026</t>
  </si>
  <si>
    <t>C1TE 3B00 0002</t>
  </si>
  <si>
    <t>Lot 012027</t>
  </si>
  <si>
    <t>Lot 012028</t>
  </si>
  <si>
    <t>Lot 012057</t>
  </si>
  <si>
    <t>Lot 012058</t>
  </si>
  <si>
    <t>Lot 012059</t>
  </si>
  <si>
    <t>Lot 012060</t>
  </si>
  <si>
    <t>Lot 012062</t>
  </si>
  <si>
    <t>C1RE 2A00 00D5</t>
  </si>
  <si>
    <t>Lot 012063</t>
  </si>
  <si>
    <t>C1RE 3C00 00D5</t>
  </si>
  <si>
    <t>Lot 012064</t>
  </si>
  <si>
    <t>C1RE 6B00 00D5</t>
  </si>
  <si>
    <t>Lot 012065</t>
  </si>
  <si>
    <t>C1RO 14A0 CUST</t>
  </si>
  <si>
    <t>Lot 012066</t>
  </si>
  <si>
    <t>Lot 012067</t>
  </si>
  <si>
    <t>Lot 012068</t>
  </si>
  <si>
    <t>C1RE 2B00 0002</t>
  </si>
  <si>
    <t>Lot 012080</t>
  </si>
  <si>
    <t>Lot 012081</t>
  </si>
  <si>
    <t>Lot 012082</t>
  </si>
  <si>
    <t>Lot 012083</t>
  </si>
  <si>
    <t>C1TE 1A00 0002</t>
  </si>
  <si>
    <t>Lot 012095</t>
  </si>
  <si>
    <t>Lot 012096</t>
  </si>
  <si>
    <t>Lot 012098</t>
  </si>
  <si>
    <t>Lot 012099</t>
  </si>
  <si>
    <t>Lot 012100</t>
  </si>
  <si>
    <t>Lot 012101</t>
  </si>
  <si>
    <t>Lot 012102</t>
  </si>
  <si>
    <t>Lot 012103</t>
  </si>
  <si>
    <t>Lot 012104</t>
  </si>
  <si>
    <t>Lot 012105</t>
  </si>
  <si>
    <t>Lot 012107</t>
  </si>
  <si>
    <t>Lot 012108</t>
  </si>
  <si>
    <t>C1RO 0D00 0002</t>
  </si>
  <si>
    <t>Lot 012121</t>
  </si>
  <si>
    <t>Lot 012122</t>
  </si>
  <si>
    <t>Lot 012123</t>
  </si>
  <si>
    <t>C1RO 1D00 CUST</t>
  </si>
  <si>
    <t>Lot 012125</t>
  </si>
  <si>
    <t>Lot 012126</t>
  </si>
  <si>
    <t>BOBBIN</t>
  </si>
  <si>
    <t>Lot 012158</t>
  </si>
  <si>
    <t>Lot 012159</t>
  </si>
  <si>
    <t>Lot 012160</t>
  </si>
  <si>
    <t>Lot 012161</t>
  </si>
  <si>
    <t>Lot 012162</t>
  </si>
  <si>
    <t>Lot 012163</t>
  </si>
  <si>
    <t>C1RO 1E00 0002</t>
  </si>
  <si>
    <t>Lot 012164</t>
  </si>
  <si>
    <t>Lot 012165</t>
  </si>
  <si>
    <t>Lot 012166</t>
  </si>
  <si>
    <t>Lot 012167</t>
  </si>
  <si>
    <t>Lot 012168</t>
  </si>
  <si>
    <t>Lot 012169</t>
  </si>
  <si>
    <t>Lot 012170</t>
  </si>
  <si>
    <t>Lot 012171</t>
  </si>
  <si>
    <t>C1TU 5A00 0002</t>
  </si>
  <si>
    <t>Lot 012172</t>
  </si>
  <si>
    <t>Lot 012173</t>
  </si>
  <si>
    <t>Lot 012174</t>
  </si>
  <si>
    <t>Lot 012175</t>
  </si>
  <si>
    <t>Lot 012209</t>
  </si>
  <si>
    <t>Lot 012262</t>
  </si>
  <si>
    <t>Lot 012263</t>
  </si>
  <si>
    <t>Lot 012330</t>
  </si>
  <si>
    <t>C1RO 6A00 00D5</t>
  </si>
  <si>
    <t>Lot 012331</t>
  </si>
  <si>
    <t>Lot 012332</t>
  </si>
  <si>
    <t>Lot 012333</t>
  </si>
  <si>
    <t>Lot 012334</t>
  </si>
  <si>
    <t>Lot 012335</t>
  </si>
  <si>
    <t>Lot 012336</t>
  </si>
  <si>
    <t>Lot 012337</t>
  </si>
  <si>
    <t>Lot 012339</t>
  </si>
  <si>
    <t>Lot 012340</t>
  </si>
  <si>
    <t>Lot 012341</t>
  </si>
  <si>
    <t>Lot 012342</t>
  </si>
  <si>
    <t>Lot 012343</t>
  </si>
  <si>
    <t>Lot 012344</t>
  </si>
  <si>
    <t>Lot 012345</t>
  </si>
  <si>
    <t>C1TS 4A00 0001</t>
  </si>
  <si>
    <t>Lot 012346</t>
  </si>
  <si>
    <t>Lot 012347</t>
  </si>
  <si>
    <t>Lot 012348</t>
  </si>
  <si>
    <t>Lot 012349</t>
  </si>
  <si>
    <t>Lot 012350</t>
  </si>
  <si>
    <t>Lot 012351</t>
  </si>
  <si>
    <t>Lot 012352</t>
  </si>
  <si>
    <t>Lot 012392</t>
  </si>
  <si>
    <t>Lot 012393</t>
  </si>
  <si>
    <t>Lot 012450</t>
  </si>
  <si>
    <t>Lot 012451</t>
  </si>
  <si>
    <t>Lot 012452</t>
  </si>
  <si>
    <t>Lot 012454</t>
  </si>
  <si>
    <t>Lot 012455</t>
  </si>
  <si>
    <t>Lot 012457</t>
  </si>
  <si>
    <t>Lot 012459</t>
  </si>
  <si>
    <t>Lot 012460</t>
  </si>
  <si>
    <t>C1RE 2B00 00D5</t>
  </si>
  <si>
    <t>Lot 012461</t>
  </si>
  <si>
    <t>Lot 012462</t>
  </si>
  <si>
    <t>Lot 012463</t>
  </si>
  <si>
    <t>Lot 012464</t>
  </si>
  <si>
    <t>Lot 012465</t>
  </si>
  <si>
    <t>Lot 012466</t>
  </si>
  <si>
    <t>Lot 012467</t>
  </si>
  <si>
    <t>Lot 012468</t>
  </si>
  <si>
    <t>Lot 012469</t>
  </si>
  <si>
    <t>Lot 012470</t>
  </si>
  <si>
    <t>Lot 012471</t>
  </si>
  <si>
    <t>Lot 012472</t>
  </si>
  <si>
    <t>Lot 012473</t>
  </si>
  <si>
    <t>Lot 012474</t>
  </si>
  <si>
    <t>Lot 012475</t>
  </si>
  <si>
    <t>Lot 012587</t>
  </si>
  <si>
    <t>Lot 012634</t>
  </si>
  <si>
    <t>Lot 012636</t>
  </si>
  <si>
    <t>Lot 012637</t>
  </si>
  <si>
    <t>Lot 012642</t>
  </si>
  <si>
    <t>Lot 012643</t>
  </si>
  <si>
    <t>Lot 012766</t>
  </si>
  <si>
    <t>Lot 012767</t>
  </si>
  <si>
    <t>Lot 012768</t>
  </si>
  <si>
    <t>Lot 012769</t>
  </si>
  <si>
    <t>Lot 012770</t>
  </si>
  <si>
    <t>Lot 012771</t>
  </si>
  <si>
    <t>Lot 012772</t>
  </si>
  <si>
    <t>Lot 012773</t>
  </si>
  <si>
    <t>Lot 012774</t>
  </si>
  <si>
    <t>Lot 012775</t>
  </si>
  <si>
    <t>Lot 012776</t>
  </si>
  <si>
    <t>C1TU 8A00 0002</t>
  </si>
  <si>
    <t>Lot 012777</t>
  </si>
  <si>
    <t>Lot 012778</t>
  </si>
  <si>
    <t>Lot 012779</t>
  </si>
  <si>
    <t>Lot 012780</t>
  </si>
  <si>
    <t>Lot 012781</t>
  </si>
  <si>
    <t>Lot 012782</t>
  </si>
  <si>
    <t>Lot 012783</t>
  </si>
  <si>
    <t>Lot 012784</t>
  </si>
  <si>
    <t>Lot 012819</t>
  </si>
  <si>
    <t>Lot 012820</t>
  </si>
  <si>
    <t>Lot 012821</t>
  </si>
  <si>
    <t>Lot 012822</t>
  </si>
  <si>
    <t>Lot 012823</t>
  </si>
  <si>
    <t>Lot 012824</t>
  </si>
  <si>
    <t>C1ST 2A00 0250</t>
  </si>
  <si>
    <t>Lot 012825</t>
  </si>
  <si>
    <t>Lot 012826</t>
  </si>
  <si>
    <t>Lot 012856</t>
  </si>
  <si>
    <t>Lot 012857</t>
  </si>
  <si>
    <t>Lot 012858</t>
  </si>
  <si>
    <t>Lot 012859</t>
  </si>
  <si>
    <t>Lot 012860</t>
  </si>
  <si>
    <t>Lot 012861</t>
  </si>
  <si>
    <t>Lot 012862</t>
  </si>
  <si>
    <t>Lot 012863</t>
  </si>
  <si>
    <t>Lot 012864</t>
  </si>
  <si>
    <t>Lot 012865</t>
  </si>
  <si>
    <t>Lot 012866</t>
  </si>
  <si>
    <t>Lot 012968</t>
  </si>
  <si>
    <t>Lot 012969</t>
  </si>
  <si>
    <t>Lot 012970</t>
  </si>
  <si>
    <t>Lot 012971</t>
  </si>
  <si>
    <t>Lot 012972</t>
  </si>
  <si>
    <t>Lot 012984</t>
  </si>
  <si>
    <t>Lot 012985</t>
  </si>
  <si>
    <t>Lot 012986</t>
  </si>
  <si>
    <t>Lot 012987</t>
  </si>
  <si>
    <t>Lot 012988</t>
  </si>
  <si>
    <t>Lot 012989</t>
  </si>
  <si>
    <t>Lot 012990</t>
  </si>
  <si>
    <t>Lot 012991</t>
  </si>
  <si>
    <t>Lot 012992</t>
  </si>
  <si>
    <t>M1RE 10A0 0001</t>
  </si>
  <si>
    <t>Lot 013044</t>
  </si>
  <si>
    <t>Lot 013045</t>
  </si>
  <si>
    <t>Lot 013046</t>
  </si>
  <si>
    <t>Lot 013047</t>
  </si>
  <si>
    <t>Lot 013048</t>
  </si>
  <si>
    <t>Lot 013049</t>
  </si>
  <si>
    <t>Lot 013050</t>
  </si>
  <si>
    <t>Lot 013051</t>
  </si>
  <si>
    <t>Lot 013052</t>
  </si>
  <si>
    <t>Lot 013053</t>
  </si>
  <si>
    <t>Lot 013054</t>
  </si>
  <si>
    <t>Lot 013055</t>
  </si>
  <si>
    <t>Lot 013056</t>
  </si>
  <si>
    <t>Lot 013057</t>
  </si>
  <si>
    <t>Lot 013058</t>
  </si>
  <si>
    <t>Lot 013059</t>
  </si>
  <si>
    <t>Lot 013060</t>
  </si>
  <si>
    <t>Lot 013061</t>
  </si>
  <si>
    <t>Lot 013309</t>
  </si>
  <si>
    <t>Lot 013310</t>
  </si>
  <si>
    <t>Lot 013311</t>
  </si>
  <si>
    <t>Lot 013312</t>
  </si>
  <si>
    <t>Lot 013313</t>
  </si>
  <si>
    <t>Lot 013314</t>
  </si>
  <si>
    <t>Lot 013315</t>
  </si>
  <si>
    <t>Lot 013316</t>
  </si>
  <si>
    <t>Lot 013317</t>
  </si>
  <si>
    <t>Lot 013318</t>
  </si>
  <si>
    <t>Lot 013319</t>
  </si>
  <si>
    <t>Lot 013320</t>
  </si>
  <si>
    <t>Lot 013348</t>
  </si>
  <si>
    <t>Lot 013349</t>
  </si>
  <si>
    <t>Lot 013361</t>
  </si>
  <si>
    <t>Lot 013362</t>
  </si>
  <si>
    <t>Lot 013428</t>
  </si>
  <si>
    <t>Lot 013429</t>
  </si>
  <si>
    <t>Lot 013430</t>
  </si>
  <si>
    <t>Lot 013431</t>
  </si>
  <si>
    <t>Lot 013432</t>
  </si>
  <si>
    <t>Lot 013433</t>
  </si>
  <si>
    <t>Lot 013434</t>
  </si>
  <si>
    <t>Lot 013435</t>
  </si>
  <si>
    <t>Lot 013436</t>
  </si>
  <si>
    <t>C1RO 0A00 00D5</t>
  </si>
  <si>
    <t>Lot 013564</t>
  </si>
  <si>
    <t>C1RO 0B00 00D5</t>
  </si>
  <si>
    <t>Lot 013565</t>
  </si>
  <si>
    <t>Lot 013566</t>
  </si>
  <si>
    <t>Lot 013567</t>
  </si>
  <si>
    <t>Lot 013568</t>
  </si>
  <si>
    <t>Lot 013569</t>
  </si>
  <si>
    <t>C1TU 3A00 00D5</t>
  </si>
  <si>
    <t>Lot 013570</t>
  </si>
  <si>
    <t>Lot 013571</t>
  </si>
  <si>
    <t>Lot 013572</t>
  </si>
  <si>
    <t>Lot 013573</t>
  </si>
  <si>
    <t>Lot 013574</t>
  </si>
  <si>
    <t>Lot 013575</t>
  </si>
  <si>
    <t>Lot 013576</t>
  </si>
  <si>
    <t>Lot 013577</t>
  </si>
  <si>
    <t>VKCOATING</t>
  </si>
  <si>
    <t>Lot 013578</t>
  </si>
  <si>
    <t>Lot 013579</t>
  </si>
  <si>
    <t>Lot 013606</t>
  </si>
  <si>
    <t>C1RO 8A00 00D5</t>
  </si>
  <si>
    <t>Lot 013607</t>
  </si>
  <si>
    <t>Lot 013608</t>
  </si>
  <si>
    <t>Lot 013609</t>
  </si>
  <si>
    <t>Lot 013706</t>
  </si>
  <si>
    <t>Lot 013707</t>
  </si>
  <si>
    <t>Lot 013708</t>
  </si>
  <si>
    <t>Lot 013709</t>
  </si>
  <si>
    <t>Lot 013712</t>
  </si>
  <si>
    <t>Lot 013754</t>
  </si>
  <si>
    <t>Lot 013808</t>
  </si>
  <si>
    <t>Lot 013809</t>
  </si>
  <si>
    <t>Lot 013810</t>
  </si>
  <si>
    <t>Lot 013824</t>
  </si>
  <si>
    <t>Lot 013825</t>
  </si>
  <si>
    <t>Lot 013826</t>
  </si>
  <si>
    <t>Lot 013827</t>
  </si>
  <si>
    <t>Lot 013828</t>
  </si>
  <si>
    <t>Lot 013829</t>
  </si>
  <si>
    <t>Lot 013830</t>
  </si>
  <si>
    <t>Lot 013831</t>
  </si>
  <si>
    <t>Lot 013832</t>
  </si>
  <si>
    <t>Lot 013833</t>
  </si>
  <si>
    <t>Lot 013834</t>
  </si>
  <si>
    <t>Lot 013912</t>
  </si>
  <si>
    <t>Lot 013913</t>
  </si>
  <si>
    <t>Lot 013914</t>
  </si>
  <si>
    <t>Lot 013915</t>
  </si>
  <si>
    <t>Lot 013916</t>
  </si>
  <si>
    <t>Lot 013917</t>
  </si>
  <si>
    <t>Lot 013918</t>
  </si>
  <si>
    <t>Lot 013919</t>
  </si>
  <si>
    <t>Lot 013923</t>
  </si>
  <si>
    <t>Lot 013924</t>
  </si>
  <si>
    <t>Lot 013925</t>
  </si>
  <si>
    <t>Lot 013926</t>
  </si>
  <si>
    <t>Lot 013927</t>
  </si>
  <si>
    <t>Lot 013928</t>
  </si>
  <si>
    <t>Lot 013929</t>
  </si>
  <si>
    <t>Lot 013936</t>
  </si>
  <si>
    <t>Lot 013937</t>
  </si>
  <si>
    <t>C1RE 50C0 CUST</t>
  </si>
  <si>
    <t>Lot 014107</t>
  </si>
  <si>
    <t>Lot 014108</t>
  </si>
  <si>
    <t>Lot 014109</t>
  </si>
  <si>
    <t>Lot 014158</t>
  </si>
  <si>
    <t>Lot 014159</t>
  </si>
  <si>
    <t>Lot 014160</t>
  </si>
  <si>
    <t>Lot 014161</t>
  </si>
  <si>
    <t>Lot 014162</t>
  </si>
  <si>
    <t>Lot 014163</t>
  </si>
  <si>
    <t>Lot 014164</t>
  </si>
  <si>
    <t>Lot 014165</t>
  </si>
  <si>
    <t>Lot 014166</t>
  </si>
  <si>
    <t>Lot 014167</t>
  </si>
  <si>
    <t>Lot 014168</t>
  </si>
  <si>
    <t>Lot 014169</t>
  </si>
  <si>
    <t>Lot 014170</t>
  </si>
  <si>
    <t>Lot 014171</t>
  </si>
  <si>
    <t>Lot 014172</t>
  </si>
  <si>
    <t>Lot 014173</t>
  </si>
  <si>
    <t>Lot 016206</t>
  </si>
  <si>
    <t>Lot 016207</t>
  </si>
  <si>
    <t>Lot 016208</t>
  </si>
  <si>
    <t>Lot 016209</t>
  </si>
  <si>
    <t>Lot 016210</t>
  </si>
  <si>
    <t>Lot 016211</t>
  </si>
  <si>
    <t>Lot 016212</t>
  </si>
  <si>
    <t>Lot 016213</t>
  </si>
  <si>
    <t>Lot 016214</t>
  </si>
  <si>
    <t>Lot 016215</t>
  </si>
  <si>
    <t>C1TU 7B00 0001</t>
  </si>
  <si>
    <t>Lot 016216</t>
  </si>
  <si>
    <t>Lot 016217</t>
  </si>
  <si>
    <t>Lot 016218</t>
  </si>
  <si>
    <t>Lot 016219</t>
  </si>
  <si>
    <t>Lot 016220</t>
  </si>
  <si>
    <t>Lot 016225</t>
  </si>
  <si>
    <t>Lot 016226</t>
  </si>
  <si>
    <t>C1RE 20B0 CUST</t>
  </si>
  <si>
    <t>Lot 016227</t>
  </si>
  <si>
    <t>Lot 016228</t>
  </si>
  <si>
    <t>Lot 016238</t>
  </si>
  <si>
    <t>Lot 016239</t>
  </si>
  <si>
    <t>C1RO 10A0 CUST</t>
  </si>
  <si>
    <t>Lot 016250</t>
  </si>
  <si>
    <t>Lot 016251</t>
  </si>
  <si>
    <t>Lot 016252</t>
  </si>
  <si>
    <t>Lot 016253</t>
  </si>
  <si>
    <t>Lot 016254</t>
  </si>
  <si>
    <t>Lot 016255</t>
  </si>
  <si>
    <t>Lot 016290</t>
  </si>
  <si>
    <t>Lot 016292</t>
  </si>
  <si>
    <t>Lot 016293</t>
  </si>
  <si>
    <t>Lot 016294</t>
  </si>
  <si>
    <t>Lot 016295</t>
  </si>
  <si>
    <t>Lot 016296</t>
  </si>
  <si>
    <t>Lot 016297</t>
  </si>
  <si>
    <t>Lot 016298</t>
  </si>
  <si>
    <t>Lot 016299</t>
  </si>
  <si>
    <t>Lot 016342</t>
  </si>
  <si>
    <t>Lot 016343</t>
  </si>
  <si>
    <t>Lot 016344</t>
  </si>
  <si>
    <t>Lot 016345</t>
  </si>
  <si>
    <t>Lot 016346</t>
  </si>
  <si>
    <t>Lot 016347</t>
  </si>
  <si>
    <t>Lot 016348</t>
  </si>
  <si>
    <t>C1RO 12A0 CUST</t>
  </si>
  <si>
    <t>Lot 016393</t>
  </si>
  <si>
    <t>Lot 016395</t>
  </si>
  <si>
    <t>C1TU 2C00 D188</t>
  </si>
  <si>
    <t>Lot 016407</t>
  </si>
  <si>
    <t>Lot 016408</t>
  </si>
  <si>
    <t>Lot 016433</t>
  </si>
  <si>
    <t>Lot 016434</t>
  </si>
  <si>
    <t>Lot 016435</t>
  </si>
  <si>
    <t>Lot 016436</t>
  </si>
  <si>
    <t>Lot 016437</t>
  </si>
  <si>
    <t>Lot 016438</t>
  </si>
  <si>
    <t>Lot 016439</t>
  </si>
  <si>
    <t>Lot 016440</t>
  </si>
  <si>
    <t>Lot 016441</t>
  </si>
  <si>
    <t>Lot 016442</t>
  </si>
  <si>
    <t>Lot 016443</t>
  </si>
  <si>
    <t>Lot 016444</t>
  </si>
  <si>
    <t>Lot 016445</t>
  </si>
  <si>
    <t>Lot 016446</t>
  </si>
  <si>
    <t>Lot 016447</t>
  </si>
  <si>
    <t>Lot 016448</t>
  </si>
  <si>
    <t>Lot 016449</t>
  </si>
  <si>
    <t>Lot 016450</t>
  </si>
  <si>
    <t>Lot 016451</t>
  </si>
  <si>
    <t>Lot 016452</t>
  </si>
  <si>
    <t>C1RE 4B00 CUST</t>
  </si>
  <si>
    <t>Lot 016453</t>
  </si>
  <si>
    <t>Lot 016454</t>
  </si>
  <si>
    <t>Lot 016512</t>
  </si>
  <si>
    <t>Lot 016513</t>
  </si>
  <si>
    <t>Lot 016702</t>
  </si>
  <si>
    <t>Lot 016703</t>
  </si>
  <si>
    <t>Lot 016704</t>
  </si>
  <si>
    <t>G2RO 3A01 0003</t>
  </si>
  <si>
    <t>Lot 016710</t>
  </si>
  <si>
    <t>Lot 016711</t>
  </si>
  <si>
    <t>C1TS 8A00 CUST</t>
  </si>
  <si>
    <t>Lot 016744</t>
  </si>
  <si>
    <t>Lot 016747</t>
  </si>
  <si>
    <t>Lot 016752</t>
  </si>
  <si>
    <t>Lot 016857</t>
  </si>
  <si>
    <t>Lot 016858</t>
  </si>
  <si>
    <t>Lot 016859</t>
  </si>
  <si>
    <t>Lot 016860</t>
  </si>
  <si>
    <t>Lot 016861</t>
  </si>
  <si>
    <t>Lot 016862</t>
  </si>
  <si>
    <t>Lot 016863</t>
  </si>
  <si>
    <t>Lot 016864</t>
  </si>
  <si>
    <t>C1RE 3D00 0001</t>
  </si>
  <si>
    <t>Lot 016865</t>
  </si>
  <si>
    <t>Lot 016866</t>
  </si>
  <si>
    <t>Lot 016867</t>
  </si>
  <si>
    <t>Lot 016868</t>
  </si>
  <si>
    <t>Lot 016869</t>
  </si>
  <si>
    <t>Lot 016870</t>
  </si>
  <si>
    <t>C1SQ 6A00 PROD</t>
  </si>
  <si>
    <t>Lot 016873</t>
  </si>
  <si>
    <t>Lot 016874</t>
  </si>
  <si>
    <t>Lot 016875</t>
  </si>
  <si>
    <t>Lot 016882</t>
  </si>
  <si>
    <t>Lot 016903</t>
  </si>
  <si>
    <t>Lot 016904</t>
  </si>
  <si>
    <t>Lot 016905</t>
  </si>
  <si>
    <t>Lot 016906</t>
  </si>
  <si>
    <t>C1RE 5A00 1215</t>
  </si>
  <si>
    <t>Lot 017067</t>
  </si>
  <si>
    <t>Lot 017070</t>
  </si>
  <si>
    <t>Lot 017071</t>
  </si>
  <si>
    <t>Lot 017072</t>
  </si>
  <si>
    <t>Lot 017073</t>
  </si>
  <si>
    <t>Lot 017074</t>
  </si>
  <si>
    <t>Lot 017075</t>
  </si>
  <si>
    <t>Lot 017076</t>
  </si>
  <si>
    <t>Lot 017077</t>
  </si>
  <si>
    <t>Lot 017123</t>
  </si>
  <si>
    <t>Lot 017124</t>
  </si>
  <si>
    <t>Lot 017125</t>
  </si>
  <si>
    <t>Lot 017126</t>
  </si>
  <si>
    <t>H1RE 8B00 0001</t>
  </si>
  <si>
    <t>Lot 017127</t>
  </si>
  <si>
    <t>Lot 017128</t>
  </si>
  <si>
    <t>C1RE 50A0 0001</t>
  </si>
  <si>
    <t>Lot 017129</t>
  </si>
  <si>
    <t>Lot 017130</t>
  </si>
  <si>
    <t>Lot 017131</t>
  </si>
  <si>
    <t>Lot 017132</t>
  </si>
  <si>
    <t>Lot 017133</t>
  </si>
  <si>
    <t>Lot 017134</t>
  </si>
  <si>
    <t>Lot 017209</t>
  </si>
  <si>
    <t>Lot 017210</t>
  </si>
  <si>
    <t>Lot 017215</t>
  </si>
  <si>
    <t>Lot 017216</t>
  </si>
  <si>
    <t>Lot 017229</t>
  </si>
  <si>
    <t>Lot 017230</t>
  </si>
  <si>
    <t>Lot 017291</t>
  </si>
  <si>
    <t>Lot 017292</t>
  </si>
  <si>
    <t>Lot 017293</t>
  </si>
  <si>
    <t>Lot 017294</t>
  </si>
  <si>
    <t>Lot 017295</t>
  </si>
  <si>
    <t>M1RE 10A0 PROD</t>
  </si>
  <si>
    <t>Lot 017363</t>
  </si>
  <si>
    <t>Lot 017364</t>
  </si>
  <si>
    <t>Lot 017365</t>
  </si>
  <si>
    <t>Lot 017366</t>
  </si>
  <si>
    <t>Lot 017373</t>
  </si>
  <si>
    <t>Lot 017374</t>
  </si>
  <si>
    <t>Lot 017387</t>
  </si>
  <si>
    <t>Lot 017388</t>
  </si>
  <si>
    <t>Lot 017389</t>
  </si>
  <si>
    <t>Lot 017390</t>
  </si>
  <si>
    <t>Lot 017391</t>
  </si>
  <si>
    <t>Lot 017392</t>
  </si>
  <si>
    <t>Lot 017393</t>
  </si>
  <si>
    <t>Lot 017394</t>
  </si>
  <si>
    <t>Lot 017395</t>
  </si>
  <si>
    <t>Lot 017396</t>
  </si>
  <si>
    <t>Lot 017397</t>
  </si>
  <si>
    <t>Lot 017453</t>
  </si>
  <si>
    <t>Lot 017454</t>
  </si>
  <si>
    <t>Lot 017455</t>
  </si>
  <si>
    <t>Lot 017456</t>
  </si>
  <si>
    <t>Lot 017457</t>
  </si>
  <si>
    <t>Lot 017458</t>
  </si>
  <si>
    <t>Lot 017459</t>
  </si>
  <si>
    <t>Lot 017460</t>
  </si>
  <si>
    <t>Lot 017461</t>
  </si>
  <si>
    <t>Lot 017462</t>
  </si>
  <si>
    <t>Lot 017463</t>
  </si>
  <si>
    <t>Lot 017464</t>
  </si>
  <si>
    <t>Lot 017465</t>
  </si>
  <si>
    <t>Lot 017466</t>
  </si>
  <si>
    <t>Lot 017494</t>
  </si>
  <si>
    <t>Lot 017495</t>
  </si>
  <si>
    <t>Lot 017496</t>
  </si>
  <si>
    <t>Lot 017497</t>
  </si>
  <si>
    <t>Lot 017498</t>
  </si>
  <si>
    <t>Lot 017499</t>
  </si>
  <si>
    <t>Lot 017500</t>
  </si>
  <si>
    <t>Lot 017501</t>
  </si>
  <si>
    <t>Lot 017502</t>
  </si>
  <si>
    <t>Lot 017503</t>
  </si>
  <si>
    <t>Lot 017504</t>
  </si>
  <si>
    <t>Lot 017505</t>
  </si>
  <si>
    <t>Lot 017506</t>
  </si>
  <si>
    <t>Lot 017507</t>
  </si>
  <si>
    <t>Lot 017508</t>
  </si>
  <si>
    <t>Lot 017509</t>
  </si>
  <si>
    <t>Lot 017529</t>
  </si>
  <si>
    <t>Lot 017530</t>
  </si>
  <si>
    <t>Lot 017531</t>
  </si>
  <si>
    <t>Lot 017550</t>
  </si>
  <si>
    <t>Lot 017602</t>
  </si>
  <si>
    <t>Lot 017603</t>
  </si>
  <si>
    <t>Lot 017604</t>
  </si>
  <si>
    <t>Lot 017605</t>
  </si>
  <si>
    <t>Lot 017606</t>
  </si>
  <si>
    <t>Lot 017607</t>
  </si>
  <si>
    <t>C1RE 6A00 00D5</t>
  </si>
  <si>
    <t>Lot 017608</t>
  </si>
  <si>
    <t>Lot 017609</t>
  </si>
  <si>
    <t>Lot 017610</t>
  </si>
  <si>
    <t>Lot 017611</t>
  </si>
  <si>
    <t>Lot 017649</t>
  </si>
  <si>
    <t>Lot 017650</t>
  </si>
  <si>
    <t>Lot 017651</t>
  </si>
  <si>
    <t>Lot 017652</t>
  </si>
  <si>
    <t>Lot 017665</t>
  </si>
  <si>
    <t>Lot 017803</t>
  </si>
  <si>
    <t>Lot 017804</t>
  </si>
  <si>
    <t>Lot 017805</t>
  </si>
  <si>
    <t>Lot 017806</t>
  </si>
  <si>
    <t>C1TU 1B00 0002</t>
  </si>
  <si>
    <t>Lot 017807</t>
  </si>
  <si>
    <t>Lot 017808</t>
  </si>
  <si>
    <t>Lot 017809</t>
  </si>
  <si>
    <t>H1RE 7A00 0002</t>
  </si>
  <si>
    <t>Lot 017810</t>
  </si>
  <si>
    <t>H1RO 0C00 0002</t>
  </si>
  <si>
    <t>Lot 017811</t>
  </si>
  <si>
    <t>Lot 017812</t>
  </si>
  <si>
    <t>Lot 017814</t>
  </si>
  <si>
    <t>Lot 017823</t>
  </si>
  <si>
    <t>Lot 017824</t>
  </si>
  <si>
    <t>Lot 017825</t>
  </si>
  <si>
    <t>Lot 017835</t>
  </si>
  <si>
    <t>Lot 017836</t>
  </si>
  <si>
    <t>Lot 017998</t>
  </si>
  <si>
    <t>Lot 017999</t>
  </si>
  <si>
    <t>Lot 018000</t>
  </si>
  <si>
    <t>Lot 018001</t>
  </si>
  <si>
    <t>Lot 018002</t>
  </si>
  <si>
    <t>Lot 018003</t>
  </si>
  <si>
    <t>Lot 018004</t>
  </si>
  <si>
    <t>Lot 018022</t>
  </si>
  <si>
    <t>Lot 018023</t>
  </si>
  <si>
    <t>CLEA LCA3 1765</t>
  </si>
  <si>
    <t>Lot 018024</t>
  </si>
  <si>
    <t>Lot 018051</t>
  </si>
  <si>
    <t>Lot 018052</t>
  </si>
  <si>
    <t>Lot 018053</t>
  </si>
  <si>
    <t>Lot 018054</t>
  </si>
  <si>
    <t>Lot 018055</t>
  </si>
  <si>
    <t>Lot 018073</t>
  </si>
  <si>
    <t>Lot 018074</t>
  </si>
  <si>
    <t>Lot 018075</t>
  </si>
  <si>
    <t>Lot 018076</t>
  </si>
  <si>
    <t>Lot 018077</t>
  </si>
  <si>
    <t>Lot 018078</t>
  </si>
  <si>
    <t>Lot 018079</t>
  </si>
  <si>
    <t>Lot 018080</t>
  </si>
  <si>
    <t>Lot 018081</t>
  </si>
  <si>
    <t>Lot 018082</t>
  </si>
  <si>
    <t>Lot 018083</t>
  </si>
  <si>
    <t>Lot 018084</t>
  </si>
  <si>
    <t>Lot 018085</t>
  </si>
  <si>
    <t>Lot 018086</t>
  </si>
  <si>
    <t>Lot 018087</t>
  </si>
  <si>
    <t>Lot 018088</t>
  </si>
  <si>
    <t>Lot 018089</t>
  </si>
  <si>
    <t>Lot 018090</t>
  </si>
  <si>
    <t>Lot 018091</t>
  </si>
  <si>
    <t>Lot 018092</t>
  </si>
  <si>
    <t>Lot 018093</t>
  </si>
  <si>
    <t>Lot 018094</t>
  </si>
  <si>
    <t>Lot 018199</t>
  </si>
  <si>
    <t>Lot 018200</t>
  </si>
  <si>
    <t>Lot 018202</t>
  </si>
  <si>
    <t>Lot 018203</t>
  </si>
  <si>
    <t>Lot 018204</t>
  </si>
  <si>
    <t>Lot 018205</t>
  </si>
  <si>
    <t>Lot 018206</t>
  </si>
  <si>
    <t>Lot 018207</t>
  </si>
  <si>
    <t>Lot 018208</t>
  </si>
  <si>
    <t>Lot 018209</t>
  </si>
  <si>
    <t>Lot 018215</t>
  </si>
  <si>
    <t>Lot 018216</t>
  </si>
  <si>
    <t>Lot 018258</t>
  </si>
  <si>
    <t>Lot 018259</t>
  </si>
  <si>
    <t>Lot 018260</t>
  </si>
  <si>
    <t>Lot 018261</t>
  </si>
  <si>
    <t>Lot 018262</t>
  </si>
  <si>
    <t>H1RE 8B00 CUST</t>
  </si>
  <si>
    <t>Lot 018273</t>
  </si>
  <si>
    <t>Lot 018274</t>
  </si>
  <si>
    <t>C1RE 40A0 0001</t>
  </si>
  <si>
    <t>Lot 018276</t>
  </si>
  <si>
    <t>Lot 018277</t>
  </si>
  <si>
    <t>Lot 018278</t>
  </si>
  <si>
    <t>Lot 018279</t>
  </si>
  <si>
    <t>C1RO 14A0 0001</t>
  </si>
  <si>
    <t>Lot 018280</t>
  </si>
  <si>
    <t>Lot 018281</t>
  </si>
  <si>
    <t>Lot 018282</t>
  </si>
  <si>
    <t>Lot 018283</t>
  </si>
  <si>
    <t>C1RE 16A0 0001</t>
  </si>
  <si>
    <t>Lot 018284</t>
  </si>
  <si>
    <t>C1RE 16A0 CUST</t>
  </si>
  <si>
    <t>Lot 018285</t>
  </si>
  <si>
    <t>C1RE 16A0 0002</t>
  </si>
  <si>
    <t>Lot 018286</t>
  </si>
  <si>
    <t>Lot 018287</t>
  </si>
  <si>
    <t>Lot 018288</t>
  </si>
  <si>
    <t>Lot 018289</t>
  </si>
  <si>
    <t>Lot 018290</t>
  </si>
  <si>
    <t>Lot 018291</t>
  </si>
  <si>
    <t>Lot 018292</t>
  </si>
  <si>
    <t>Lot 018293</t>
  </si>
  <si>
    <t>Lot 018447</t>
  </si>
  <si>
    <t>Lot 018448</t>
  </si>
  <si>
    <t>Lot 018551</t>
  </si>
  <si>
    <t>Lot 018552</t>
  </si>
  <si>
    <t>Lot 018553</t>
  </si>
  <si>
    <t>Lot 018554</t>
  </si>
  <si>
    <t>Lot 018555</t>
  </si>
  <si>
    <t>Lot 018556</t>
  </si>
  <si>
    <t>Lot 018557</t>
  </si>
  <si>
    <t>Lot 018558</t>
  </si>
  <si>
    <t>Lot 018559</t>
  </si>
  <si>
    <t>Lot 018560</t>
  </si>
  <si>
    <t>Lot 018561</t>
  </si>
  <si>
    <t>Lot 018562</t>
  </si>
  <si>
    <t>Lot 018709</t>
  </si>
  <si>
    <t>Lot 018710</t>
  </si>
  <si>
    <t>GTPV PK11 0250</t>
  </si>
  <si>
    <t>Lot 018711</t>
  </si>
  <si>
    <t>Lot 018712</t>
  </si>
  <si>
    <t>Lot 018725</t>
  </si>
  <si>
    <t>Lot 018727</t>
  </si>
  <si>
    <t>Lot 018728</t>
  </si>
  <si>
    <t>Lot 018729</t>
  </si>
  <si>
    <t>Lot 018730</t>
  </si>
  <si>
    <t>Lot 018731</t>
  </si>
  <si>
    <t>Lot 018732</t>
  </si>
  <si>
    <t>Lot 018733</t>
  </si>
  <si>
    <t>Lot 018734</t>
  </si>
  <si>
    <t>Lot 018735</t>
  </si>
  <si>
    <t>Lot 018782</t>
  </si>
  <si>
    <t>Lot 018783</t>
  </si>
  <si>
    <t>Lot 018850</t>
  </si>
  <si>
    <t>Lot 018851</t>
  </si>
  <si>
    <t>Lot 018852</t>
  </si>
  <si>
    <t>Lot 018853</t>
  </si>
  <si>
    <t>Lot 018863</t>
  </si>
  <si>
    <t>C1RO 10A0 00D5</t>
  </si>
  <si>
    <t>Lot 018864</t>
  </si>
  <si>
    <t>Lot 018865</t>
  </si>
  <si>
    <t>Lot 018866</t>
  </si>
  <si>
    <t>Lot 018867</t>
  </si>
  <si>
    <t>Lot 018868</t>
  </si>
  <si>
    <t>Lot 018869</t>
  </si>
  <si>
    <t>C1RE 1B00 01D5</t>
  </si>
  <si>
    <t>Lot 018871</t>
  </si>
  <si>
    <t>Lot 018873</t>
  </si>
  <si>
    <t>Lot 018874</t>
  </si>
  <si>
    <t>C1TU 3A00 CUST</t>
  </si>
  <si>
    <t>Lot 018875</t>
  </si>
  <si>
    <t>Lot 018877</t>
  </si>
  <si>
    <t>Lot 019028</t>
  </si>
  <si>
    <t>Lot 019029</t>
  </si>
  <si>
    <t>Lot 019030</t>
  </si>
  <si>
    <t>Lot 019031</t>
  </si>
  <si>
    <t>Lot 019091</t>
  </si>
  <si>
    <t>Lot 019092</t>
  </si>
  <si>
    <t>Lot 019093</t>
  </si>
  <si>
    <t>Lot 019094</t>
  </si>
  <si>
    <t>Lot 019095</t>
  </si>
  <si>
    <t>Lot 019096</t>
  </si>
  <si>
    <t>Lot 019097</t>
  </si>
  <si>
    <t>Lot 019098</t>
  </si>
  <si>
    <t>Lot 019099</t>
  </si>
  <si>
    <t>Lot 019100</t>
  </si>
  <si>
    <t>Lot 019101</t>
  </si>
  <si>
    <t>Lot 019102</t>
  </si>
  <si>
    <t>Lot 019103</t>
  </si>
  <si>
    <t>Lot 019104</t>
  </si>
  <si>
    <t>Lot 019105</t>
  </si>
  <si>
    <t>Lot 019114</t>
  </si>
  <si>
    <t>Lot 019115</t>
  </si>
  <si>
    <t>Lot 019116</t>
  </si>
  <si>
    <t>Lot 019117</t>
  </si>
  <si>
    <t>Lot 019118</t>
  </si>
  <si>
    <t>Lot 019119</t>
  </si>
  <si>
    <t>Lot 019120</t>
  </si>
  <si>
    <t>Lot 019121</t>
  </si>
  <si>
    <t>Lot 019122</t>
  </si>
  <si>
    <t>Lot 019136</t>
  </si>
  <si>
    <t>Lot 019137</t>
  </si>
  <si>
    <t>C1HR 0A00 0001</t>
  </si>
  <si>
    <t>Lot 019138</t>
  </si>
  <si>
    <t>Lot 019139</t>
  </si>
  <si>
    <t>Lot 019140</t>
  </si>
  <si>
    <t>Lot 019141</t>
  </si>
  <si>
    <t>Lot 019142</t>
  </si>
  <si>
    <t>Lot 019143</t>
  </si>
  <si>
    <t>Lot 019144</t>
  </si>
  <si>
    <t>Lot 019145</t>
  </si>
  <si>
    <t>Lot 019146</t>
  </si>
  <si>
    <t>Lot 019147</t>
  </si>
  <si>
    <t>Lot 019148</t>
  </si>
  <si>
    <t>Lot 019150</t>
  </si>
  <si>
    <t>Lot 019151</t>
  </si>
  <si>
    <t>Lot 019152</t>
  </si>
  <si>
    <t>Lot 019153</t>
  </si>
  <si>
    <t>Lot 019154</t>
  </si>
  <si>
    <t>Lot 019155</t>
  </si>
  <si>
    <t>Lot 019156</t>
  </si>
  <si>
    <t>Lot 019157</t>
  </si>
  <si>
    <t>Lot 019167</t>
  </si>
  <si>
    <t>Lot 019197</t>
  </si>
  <si>
    <t>Lot 019198</t>
  </si>
  <si>
    <t>Lot 019275</t>
  </si>
  <si>
    <t>Lot 019276</t>
  </si>
  <si>
    <t>Lot 019277</t>
  </si>
  <si>
    <t>Lot 019280</t>
  </si>
  <si>
    <t>Lot 019281</t>
  </si>
  <si>
    <t>Lot 019282</t>
  </si>
  <si>
    <t>Lot 019283</t>
  </si>
  <si>
    <t>Lot 019284</t>
  </si>
  <si>
    <t>Lot 019285</t>
  </si>
  <si>
    <t>Lot 019286</t>
  </si>
  <si>
    <t>Lot 019287</t>
  </si>
  <si>
    <t>Lot 019288</t>
  </si>
  <si>
    <t>Lot 019289</t>
  </si>
  <si>
    <t>Lot 019290</t>
  </si>
  <si>
    <t>Lot 019291</t>
  </si>
  <si>
    <t>Lot 019292</t>
  </si>
  <si>
    <t>Lot 019293</t>
  </si>
  <si>
    <t>Lot 019294</t>
  </si>
  <si>
    <t>Lot 019295</t>
  </si>
  <si>
    <t>Lot 019395</t>
  </si>
  <si>
    <t>Lot 019396</t>
  </si>
  <si>
    <t>Lot 019397</t>
  </si>
  <si>
    <t>Lot 019398</t>
  </si>
  <si>
    <t>Lot 019399</t>
  </si>
  <si>
    <t>C1RE 8A00 00D5</t>
  </si>
  <si>
    <t>Lot 019400</t>
  </si>
  <si>
    <t>Lot 019401</t>
  </si>
  <si>
    <t>Lot 019523</t>
  </si>
  <si>
    <t>Lot 019524</t>
  </si>
  <si>
    <t>Lot 019581</t>
  </si>
  <si>
    <t>Lot 019582</t>
  </si>
  <si>
    <t>Lot 019583</t>
  </si>
  <si>
    <t>Lot 019584</t>
  </si>
  <si>
    <t>Lot 019585</t>
  </si>
  <si>
    <t>Lot 019586</t>
  </si>
  <si>
    <t>Lot 019587</t>
  </si>
  <si>
    <t>Lot 019588</t>
  </si>
  <si>
    <t>Lot 019589</t>
  </si>
  <si>
    <t>Lot 019624</t>
  </si>
  <si>
    <t>Lot 019625</t>
  </si>
  <si>
    <t>Lot 019626</t>
  </si>
  <si>
    <t>Lot 019627</t>
  </si>
  <si>
    <t>Lot 019628</t>
  </si>
  <si>
    <t>Lot 019629</t>
  </si>
  <si>
    <t>Lot 019631</t>
  </si>
  <si>
    <t>Lot 019632</t>
  </si>
  <si>
    <t>Lot 019634</t>
  </si>
  <si>
    <t>Lot 019635</t>
  </si>
  <si>
    <t>Lot 019636</t>
  </si>
  <si>
    <t>Lot 019641</t>
  </si>
  <si>
    <t>Lot 019642</t>
  </si>
  <si>
    <t>Lot 019643</t>
  </si>
  <si>
    <t>Lot 019644</t>
  </si>
  <si>
    <t>Lot 019645</t>
  </si>
  <si>
    <t>Lot 019646</t>
  </si>
  <si>
    <t>Lot 019673</t>
  </si>
  <si>
    <t>Lot 019674</t>
  </si>
  <si>
    <t>Lot 019675</t>
  </si>
  <si>
    <t>Lot 019676</t>
  </si>
  <si>
    <t>Lot 019677</t>
  </si>
  <si>
    <t>Lot 019679</t>
  </si>
  <si>
    <t>Lot 019680</t>
  </si>
  <si>
    <t>Lot 019681</t>
  </si>
  <si>
    <t>Lot 019682</t>
  </si>
  <si>
    <t>Lot 019683</t>
  </si>
  <si>
    <t>Lot 019684</t>
  </si>
  <si>
    <t>Lot 019685</t>
  </si>
  <si>
    <t>Lot 019686</t>
  </si>
  <si>
    <t>Lot 019687</t>
  </si>
  <si>
    <t>Lot 019688</t>
  </si>
  <si>
    <t>Lot 021675</t>
  </si>
  <si>
    <t>Lot 021676</t>
  </si>
  <si>
    <t>Lot 021677</t>
  </si>
  <si>
    <t>Lot 021678</t>
  </si>
  <si>
    <t>Lot 021679</t>
  </si>
  <si>
    <t>Lot 021680</t>
  </si>
  <si>
    <t>Lot 021681</t>
  </si>
  <si>
    <t>Lot 021682</t>
  </si>
  <si>
    <t>Lot 021683</t>
  </si>
  <si>
    <t>Lot 021684</t>
  </si>
  <si>
    <t>Lot 021685</t>
  </si>
  <si>
    <t>Lot 021686</t>
  </si>
  <si>
    <t>Lot 021687</t>
  </si>
  <si>
    <t>Lot 021688</t>
  </si>
  <si>
    <t>Lot 021689</t>
  </si>
  <si>
    <t>Lot 021690</t>
  </si>
  <si>
    <t>Lot 021691</t>
  </si>
  <si>
    <t>Lot 021692</t>
  </si>
  <si>
    <t>Lot 021693</t>
  </si>
  <si>
    <t>Lot 021694</t>
  </si>
  <si>
    <t>Lot 021695</t>
  </si>
  <si>
    <t>Lot 021696</t>
  </si>
  <si>
    <t>Lot 021697</t>
  </si>
  <si>
    <t>Lot 021698</t>
  </si>
  <si>
    <t>Lot 021699</t>
  </si>
  <si>
    <t>Lot 021700</t>
  </si>
  <si>
    <t>Lot 021701</t>
  </si>
  <si>
    <t>Lot 021702</t>
  </si>
  <si>
    <t>Lot 021703</t>
  </si>
  <si>
    <t>Lot 021704</t>
  </si>
  <si>
    <t>Lot 021705</t>
  </si>
  <si>
    <t>Lot 021706</t>
  </si>
  <si>
    <t>Lot 021707</t>
  </si>
  <si>
    <t>Lot 021708</t>
  </si>
  <si>
    <t>H1RE 3B00 CUST</t>
  </si>
  <si>
    <t>Lot 021727</t>
  </si>
  <si>
    <t>Lot 021728</t>
  </si>
  <si>
    <t>Lot 021729</t>
  </si>
  <si>
    <t>Lot 021730</t>
  </si>
  <si>
    <t>Lot 021731</t>
  </si>
  <si>
    <t>Lot 021732</t>
  </si>
  <si>
    <t>Lot 021733</t>
  </si>
  <si>
    <t>Lot 021734</t>
  </si>
  <si>
    <t>Lot 021735</t>
  </si>
  <si>
    <t>Lot 021736</t>
  </si>
  <si>
    <t>Lot 021890</t>
  </si>
  <si>
    <t>Lot 021891</t>
  </si>
  <si>
    <t>Lot 021892</t>
  </si>
  <si>
    <t>Lot 021893</t>
  </si>
  <si>
    <t>Lot 021894</t>
  </si>
  <si>
    <t>Lot 021895</t>
  </si>
  <si>
    <t>Lot 021896</t>
  </si>
  <si>
    <t>G2RO 1G00 0001</t>
  </si>
  <si>
    <t>Lot 021897</t>
  </si>
  <si>
    <t>G3RO 2B00 CUST</t>
  </si>
  <si>
    <t>Lot 021898</t>
  </si>
  <si>
    <t>Lot 021899</t>
  </si>
  <si>
    <t>Lot 021900</t>
  </si>
  <si>
    <t>Lot 021984</t>
  </si>
  <si>
    <t>Lot 021985</t>
  </si>
  <si>
    <t>Lot 021986</t>
  </si>
  <si>
    <t>Lot 021987</t>
  </si>
  <si>
    <t>Lot 021988</t>
  </si>
  <si>
    <t>Lot 021989</t>
  </si>
  <si>
    <t>Lot 021990</t>
  </si>
  <si>
    <t>Lot 021991</t>
  </si>
  <si>
    <t>Lot 021992</t>
  </si>
  <si>
    <t>Lot 021993</t>
  </si>
  <si>
    <t>Lot 021994</t>
  </si>
  <si>
    <t>Lot 022153</t>
  </si>
  <si>
    <t>Lot 022154</t>
  </si>
  <si>
    <t>Lot 022155</t>
  </si>
  <si>
    <t>Lot 022156</t>
  </si>
  <si>
    <t>Lot 022157</t>
  </si>
  <si>
    <t>Lot 022158</t>
  </si>
  <si>
    <t>Lot 022159</t>
  </si>
  <si>
    <t>Lot 022160</t>
  </si>
  <si>
    <t>Lot 022161</t>
  </si>
  <si>
    <t>Lot 022162</t>
  </si>
  <si>
    <t>Lot 022167</t>
  </si>
  <si>
    <t>Lot 022168</t>
  </si>
  <si>
    <t>Lot 022169</t>
  </si>
  <si>
    <t>Lot 022170</t>
  </si>
  <si>
    <t>Lot 022171</t>
  </si>
  <si>
    <t>Lot 022172</t>
  </si>
  <si>
    <t>Lot 022173</t>
  </si>
  <si>
    <t>Lot 022174</t>
  </si>
  <si>
    <t>Lot 022175</t>
  </si>
  <si>
    <t>Lot 022176</t>
  </si>
  <si>
    <t>Lot 022177</t>
  </si>
  <si>
    <t>Lot 022178</t>
  </si>
  <si>
    <t>Lot 022179</t>
  </si>
  <si>
    <t>Lot 022180</t>
  </si>
  <si>
    <t>Lot 022181</t>
  </si>
  <si>
    <t>Lot 022182</t>
  </si>
  <si>
    <t>Lot 022183</t>
  </si>
  <si>
    <t>Lot 022184</t>
  </si>
  <si>
    <t>Lot 022185</t>
  </si>
  <si>
    <t>Lot 022186</t>
  </si>
  <si>
    <t>Lot 022198</t>
  </si>
  <si>
    <t>Lot 022199</t>
  </si>
  <si>
    <t>Lot 022200</t>
  </si>
  <si>
    <t>Lot 022201</t>
  </si>
  <si>
    <t>Lot 022202</t>
  </si>
  <si>
    <t>Lot 022203</t>
  </si>
  <si>
    <t>Lot 022204</t>
  </si>
  <si>
    <t>Lot 022205</t>
  </si>
  <si>
    <t>Lot 022206</t>
  </si>
  <si>
    <t>Lot 022207</t>
  </si>
  <si>
    <t>Lot 022208</t>
  </si>
  <si>
    <t>Lot 022209</t>
  </si>
  <si>
    <t>Lot 022210</t>
  </si>
  <si>
    <t>Lot 022211</t>
  </si>
  <si>
    <t>Lot 022212</t>
  </si>
  <si>
    <t>Lot 022213</t>
  </si>
  <si>
    <t>Lot 022214</t>
  </si>
  <si>
    <t>Lot 022215</t>
  </si>
  <si>
    <t>Lot 022216</t>
  </si>
  <si>
    <t>Lot 022217</t>
  </si>
  <si>
    <t>Lot 022218</t>
  </si>
  <si>
    <t>Lot 022219</t>
  </si>
  <si>
    <t>Lot 022304</t>
  </si>
  <si>
    <t>Lot 022305</t>
  </si>
  <si>
    <t>Lot 022306</t>
  </si>
  <si>
    <t>Lot 022307</t>
  </si>
  <si>
    <t>Lot 022308</t>
  </si>
  <si>
    <t>Lot 022309</t>
  </si>
  <si>
    <t>Lot 022311</t>
  </si>
  <si>
    <t>Lot 022312</t>
  </si>
  <si>
    <t>Lot 022342</t>
  </si>
  <si>
    <t>Lot 022343</t>
  </si>
  <si>
    <t>Lot 022344</t>
  </si>
  <si>
    <t>Lot 022345</t>
  </si>
  <si>
    <t>Lot 022346</t>
  </si>
  <si>
    <t>Lot 022347</t>
  </si>
  <si>
    <t>Lot 022348</t>
  </si>
  <si>
    <t>Lot 022349</t>
  </si>
  <si>
    <t>Lot 022350</t>
  </si>
  <si>
    <t>C1TU 4A00 D105</t>
  </si>
  <si>
    <t>Lot 022351</t>
  </si>
  <si>
    <t>Lot 022394</t>
  </si>
  <si>
    <t>Lot 022396</t>
  </si>
  <si>
    <t>Lot 022397</t>
  </si>
  <si>
    <t>Lot 022399</t>
  </si>
  <si>
    <t>Lot 022400</t>
  </si>
  <si>
    <t>Lot 022401</t>
  </si>
  <si>
    <t>H1RO 2A00 0002</t>
  </si>
  <si>
    <t>Lot 022402</t>
  </si>
  <si>
    <t>Lot 022403</t>
  </si>
  <si>
    <t>Lot 022442</t>
  </si>
  <si>
    <t>Lot 022443</t>
  </si>
  <si>
    <t>Lot 022444</t>
  </si>
  <si>
    <t>Lot 022449</t>
  </si>
  <si>
    <t>Lot 022450</t>
  </si>
  <si>
    <t>Lot 022451</t>
  </si>
  <si>
    <t>Lot 022452</t>
  </si>
  <si>
    <t>Lot 022453</t>
  </si>
  <si>
    <t>Lot 022456</t>
  </si>
  <si>
    <t>Lot 022457</t>
  </si>
  <si>
    <t>Lot 022458</t>
  </si>
  <si>
    <t>Lot 022459</t>
  </si>
  <si>
    <t>Lot 022460</t>
  </si>
  <si>
    <t>Lot 022470</t>
  </si>
  <si>
    <t>Lot 022471</t>
  </si>
  <si>
    <t>Lot 022472</t>
  </si>
  <si>
    <t>Lot 022624</t>
  </si>
  <si>
    <t>Lot 022625</t>
  </si>
  <si>
    <t>Lot 022626</t>
  </si>
  <si>
    <t>Lot 022627</t>
  </si>
  <si>
    <t>C1TU 1A00 CUST</t>
  </si>
  <si>
    <t>Lot 022640</t>
  </si>
  <si>
    <t>Lot 022641</t>
  </si>
  <si>
    <t>C1RE 3A00 00D5</t>
  </si>
  <si>
    <t>Lot 022642</t>
  </si>
  <si>
    <t>Lot 022650</t>
  </si>
  <si>
    <t>Lot 022651</t>
  </si>
  <si>
    <t>Lot 022652</t>
  </si>
  <si>
    <t>Lot 022653</t>
  </si>
  <si>
    <t>Lot 022654</t>
  </si>
  <si>
    <t>Lot 022655</t>
  </si>
  <si>
    <t>Lot 022656</t>
  </si>
  <si>
    <t>Lot 022657</t>
  </si>
  <si>
    <t>Lot 022658</t>
  </si>
  <si>
    <t>Lot 022728</t>
  </si>
  <si>
    <t>Lot 022729</t>
  </si>
  <si>
    <t>Lot 022730</t>
  </si>
  <si>
    <t>Lot 022931</t>
  </si>
  <si>
    <t>Lot 022932</t>
  </si>
  <si>
    <t>Lot 022964</t>
  </si>
  <si>
    <t>Lot 022965</t>
  </si>
  <si>
    <t>Lot 022966</t>
  </si>
  <si>
    <t>Lot 023002</t>
  </si>
  <si>
    <t>Lot 023003</t>
  </si>
  <si>
    <t>Lot 023004</t>
  </si>
  <si>
    <t>Lot 023005</t>
  </si>
  <si>
    <t>Lot 023006</t>
  </si>
  <si>
    <t>Lot 023007</t>
  </si>
  <si>
    <t>Lot 023008</t>
  </si>
  <si>
    <t>Lot 023115</t>
  </si>
  <si>
    <t>Lot 023116</t>
  </si>
  <si>
    <t>Lot 023117</t>
  </si>
  <si>
    <t>Lot 023118</t>
  </si>
  <si>
    <t>Lot 023119</t>
  </si>
  <si>
    <t>Lot 023120</t>
  </si>
  <si>
    <t>Lot 023121</t>
  </si>
  <si>
    <t>Lot 023122</t>
  </si>
  <si>
    <t>Lot 023123</t>
  </si>
  <si>
    <t>Lot 023124</t>
  </si>
  <si>
    <t>Lot 023125</t>
  </si>
  <si>
    <t>Lot 023126</t>
  </si>
  <si>
    <t>Lot 023127</t>
  </si>
  <si>
    <t>Lot 023128</t>
  </si>
  <si>
    <t>Lot 023129</t>
  </si>
  <si>
    <t>Lot 023254</t>
  </si>
  <si>
    <t>Lot 023255</t>
  </si>
  <si>
    <t>Lot 023256</t>
  </si>
  <si>
    <t>Sales Order</t>
  </si>
  <si>
    <t>Version:</t>
    <phoneticPr fontId="2" type="noConversion"/>
  </si>
  <si>
    <t>V1</t>
    <phoneticPr fontId="2" type="noConversion"/>
  </si>
  <si>
    <t>Initial version</t>
    <phoneticPr fontId="2" type="noConversion"/>
  </si>
  <si>
    <t>Top N:</t>
    <phoneticPr fontId="2" type="noConversion"/>
  </si>
  <si>
    <t>Margin %</t>
  </si>
  <si>
    <t>Margin acc.</t>
  </si>
  <si>
    <t>Margin acc. %</t>
  </si>
  <si>
    <t>Details:</t>
  </si>
  <si>
    <t>CustAccount</t>
  </si>
  <si>
    <t>Period</t>
  </si>
  <si>
    <t>FinancialCostAmount</t>
  </si>
  <si>
    <t>CostAmountAdjustment</t>
  </si>
  <si>
    <t>CostAmount</t>
  </si>
  <si>
    <t>Summary:</t>
  </si>
  <si>
    <t>SalesMonth</t>
  </si>
  <si>
    <t>SalesAccu</t>
  </si>
  <si>
    <t>Margin</t>
  </si>
  <si>
    <t>MarginPec</t>
  </si>
  <si>
    <t>MarginAccu</t>
  </si>
  <si>
    <t>MarginAccuPec</t>
  </si>
  <si>
    <t>SalesBudget</t>
  </si>
  <si>
    <t>ActualVsBudget</t>
  </si>
  <si>
    <t>SalesBudgetAccu</t>
  </si>
  <si>
    <t>ActualVsBudgetAccu</t>
  </si>
  <si>
    <t>Period</t>
    <phoneticPr fontId="2" type="noConversion"/>
  </si>
  <si>
    <t>Budget</t>
    <phoneticPr fontId="2" type="noConversion"/>
  </si>
  <si>
    <t>Name</t>
  </si>
  <si>
    <t>SO0000588</t>
  </si>
  <si>
    <t>111000609</t>
  </si>
  <si>
    <t>SO0000586</t>
  </si>
  <si>
    <t>111000610</t>
  </si>
  <si>
    <t>ATC Composite Solutions</t>
  </si>
  <si>
    <t>CarbonWinkel.nl</t>
  </si>
  <si>
    <t>Compositesplaza BV</t>
  </si>
  <si>
    <t>Doors Covers &amp; More BV</t>
  </si>
  <si>
    <t>Ephi B.V.</t>
  </si>
  <si>
    <t>Hineni Banners</t>
  </si>
  <si>
    <t>Institute for Science &amp; Industry</t>
  </si>
  <si>
    <t>MOBA BV</t>
  </si>
  <si>
    <t>Ter Laak Orchideeën BV</t>
  </si>
  <si>
    <t>Abertax Kemtronics Ltd</t>
  </si>
  <si>
    <t>ADTP - Site du Thiou</t>
  </si>
  <si>
    <t>Aerobertics bvbv</t>
  </si>
  <si>
    <t>Avenir srl</t>
  </si>
  <si>
    <t>Bacuplast Faserverbundtechnik GmbH</t>
  </si>
  <si>
    <t>Baumgartner Orgelbau GmbH</t>
  </si>
  <si>
    <t>Bioloren srl</t>
  </si>
  <si>
    <t>Carbon Fibre Profiles</t>
  </si>
  <si>
    <t>Carbon fibre Tubes Ltd</t>
  </si>
  <si>
    <t>Carbon Team Germany GmbH</t>
  </si>
  <si>
    <t>CarbonTube SAS</t>
  </si>
  <si>
    <t>Carbotec GmbH &amp; Co. KG</t>
  </si>
  <si>
    <t>C-Composites AG</t>
  </si>
  <si>
    <t>CFK Carbon Express</t>
  </si>
  <si>
    <t>Delkim Ltd.</t>
  </si>
  <si>
    <t>UAB "Donairis"</t>
  </si>
  <si>
    <t>Drachenwerkstatt Arnd Vogel</t>
  </si>
  <si>
    <t>Easy Composites Ltd</t>
  </si>
  <si>
    <t>Elan, d.o.o. Ski</t>
  </si>
  <si>
    <t>EMC-Vega</t>
  </si>
  <si>
    <t>Fa. Renkenfinder</t>
  </si>
  <si>
    <t>FAF Kunststoftechnik GmbH &amp; Co KG</t>
  </si>
  <si>
    <t>Flow-Tronic S.A.</t>
  </si>
  <si>
    <t>GRM Systems s.r.o.</t>
  </si>
  <si>
    <t>GTP Verbrugge NV</t>
  </si>
  <si>
    <t>Heinrich Derix Betriebsgesellschaft mbH</t>
  </si>
  <si>
    <t>Hörluchs Hearing GmbH &amp; Co</t>
  </si>
  <si>
    <t>KIPP Car Comfort Systems</t>
  </si>
  <si>
    <t>MarVis Interventional GmbH</t>
  </si>
  <si>
    <t>Maxspar srl</t>
  </si>
  <si>
    <t>Michael Woodhouse</t>
  </si>
  <si>
    <t>Micro.Medica s.r.l.</t>
  </si>
  <si>
    <t>Microaces Ltd</t>
  </si>
  <si>
    <t>Urs Schaller</t>
  </si>
  <si>
    <t>One2Trees ApS</t>
  </si>
  <si>
    <t>R&amp;G Faserverbundwerkstoffe GmbH</t>
  </si>
  <si>
    <t>RC-netbutik</t>
  </si>
  <si>
    <t>Safibra s.r.o.</t>
  </si>
  <si>
    <t>Spacek s.r.o.</t>
  </si>
  <si>
    <t>Sportine Aviacija ir Ko Ltd</t>
  </si>
  <si>
    <t>Stefan Bolek - Modelltechnik</t>
  </si>
  <si>
    <t>Nokivalo Oy</t>
  </si>
  <si>
    <t>Aim Lab Automation Technologies Pty Ltd</t>
  </si>
  <si>
    <t>Northrop Grumman Corporation</t>
  </si>
  <si>
    <t>Carbo-Link AG</t>
  </si>
  <si>
    <t>CST-The Composites Store Inc.</t>
  </si>
  <si>
    <t>Flyability SA</t>
  </si>
  <si>
    <t>Kin Shun Injection Moulding Industrial L</t>
  </si>
  <si>
    <t>Rock West Composites, Inc.</t>
  </si>
  <si>
    <t>Suter-Kunststoffe AG</t>
  </si>
  <si>
    <t>Tango Engineering Ltd.</t>
  </si>
  <si>
    <t>Sil.Lux S.r.l.</t>
  </si>
  <si>
    <t>ODSecurity</t>
  </si>
  <si>
    <t>senseFly SA</t>
  </si>
  <si>
    <t>S. Djandara</t>
  </si>
  <si>
    <t>Allard van Wallene</t>
  </si>
  <si>
    <t>Erik Crins</t>
  </si>
  <si>
    <t>DS Kompoziti d.o.o.</t>
  </si>
  <si>
    <t>Maarten van Dijk</t>
  </si>
  <si>
    <t>WPS Horti Systems BV</t>
  </si>
  <si>
    <t>ProReva BV</t>
  </si>
  <si>
    <t>Glasfaser-Flugzeug-Service GmbH</t>
  </si>
  <si>
    <t>RMW GmbH</t>
  </si>
  <si>
    <t>Atelier 20.12</t>
  </si>
  <si>
    <t>LIST</t>
  </si>
  <si>
    <t>North Sails France</t>
  </si>
  <si>
    <t>ATG Composite</t>
  </si>
  <si>
    <t>Mark Rossen</t>
  </si>
  <si>
    <t>Anthony Bert</t>
  </si>
  <si>
    <t>Hutchinson SA - Centre de Recherche</t>
  </si>
  <si>
    <t>Willory Agencies Ltd</t>
  </si>
  <si>
    <t>Kimmo Kulmakko</t>
  </si>
  <si>
    <t>Yangzhou Compotistes Advanced Material Co. LTD</t>
  </si>
  <si>
    <t>ZV3 - Zircon Vison GmbH</t>
  </si>
  <si>
    <t>Cordstrap BV</t>
  </si>
  <si>
    <t>Tegara Corporation</t>
  </si>
  <si>
    <t>David Tepmann</t>
  </si>
  <si>
    <t>Emmanuel Ragot</t>
  </si>
  <si>
    <t>SailFast AB</t>
  </si>
  <si>
    <t>JH Aircraft GmbH</t>
  </si>
  <si>
    <t>Dhr. Mart Dinkla</t>
  </si>
  <si>
    <t>Airborne Aerospace B.V.</t>
  </si>
  <si>
    <t>Roland Koglot</t>
  </si>
  <si>
    <t>Gilmore Engineers Pty Ltd</t>
  </si>
  <si>
    <t>Photvoltaik-Technik</t>
  </si>
  <si>
    <t>Anisoprint S.a.r.l.</t>
  </si>
  <si>
    <t>Oskar Pascal AB</t>
  </si>
  <si>
    <t>Curve Works BV</t>
  </si>
  <si>
    <t>Jan-2020</t>
  </si>
  <si>
    <t>Feb-2020</t>
  </si>
  <si>
    <t>Mar-2020</t>
  </si>
  <si>
    <t>Apr-2020</t>
  </si>
  <si>
    <t>May-2020</t>
  </si>
  <si>
    <t>Jun-2020</t>
  </si>
  <si>
    <t>Jul-2020</t>
  </si>
  <si>
    <t>Aug-2020</t>
  </si>
  <si>
    <t>Sep-2020</t>
  </si>
  <si>
    <t>Oct-2020</t>
  </si>
  <si>
    <t>Nov-2020</t>
  </si>
  <si>
    <t>Sales per month</t>
  </si>
  <si>
    <t>Sales acc.</t>
  </si>
  <si>
    <t>Sales budget</t>
  </si>
  <si>
    <t>Actual vs budget</t>
  </si>
  <si>
    <t>Sales budget acc.</t>
  </si>
  <si>
    <t>Top 40</t>
  </si>
  <si>
    <t>Customer Name</t>
  </si>
  <si>
    <t>SalesBalanceMST</t>
    <phoneticPr fontId="2" type="noConversion"/>
  </si>
  <si>
    <t>Note:</t>
    <phoneticPr fontId="2" type="noConversion"/>
  </si>
  <si>
    <t>1. Please maintain the parameters in:</t>
    <phoneticPr fontId="2" type="noConversion"/>
  </si>
  <si>
    <t>Company in C2</t>
    <phoneticPr fontId="2" type="noConversion"/>
  </si>
  <si>
    <t>Start date in C4</t>
    <phoneticPr fontId="2" type="noConversion"/>
  </si>
  <si>
    <t>End date in E4</t>
    <phoneticPr fontId="2" type="noConversion"/>
  </si>
  <si>
    <t>Customer group in C6</t>
    <phoneticPr fontId="2" type="noConversion"/>
  </si>
  <si>
    <t>Number of top customers in C8</t>
    <phoneticPr fontId="2" type="noConversion"/>
  </si>
  <si>
    <t>You can use dot or slash in the date, but please follow your date format.</t>
    <phoneticPr fontId="2" type="noConversion"/>
  </si>
  <si>
    <t>Lot 023299</t>
  </si>
  <si>
    <t>Lot 023300</t>
  </si>
  <si>
    <t>Lot 023301</t>
  </si>
  <si>
    <t>Lot 023302</t>
  </si>
  <si>
    <t>Lot 023303</t>
  </si>
  <si>
    <t>Lot 023304</t>
  </si>
  <si>
    <t>Lot 023305</t>
  </si>
  <si>
    <t>Lot 023306</t>
  </si>
  <si>
    <t>Lot 023307</t>
  </si>
  <si>
    <t>C1TU 10B0 CUST</t>
  </si>
  <si>
    <t>Lot 023312</t>
  </si>
  <si>
    <t>2. Click the "Refresh" button in ribbon tab "Atlas 5.1" to fetch data;</t>
    <phoneticPr fontId="2" type="noConversion"/>
  </si>
  <si>
    <t>4. Click button "Generate report" to generate the report</t>
    <phoneticPr fontId="2" type="noConversion"/>
  </si>
  <si>
    <t>Budget date</t>
  </si>
  <si>
    <t>3. Sales budget can be maintained in sheet "SalesBudget", please key in the budget date in column C and value in column B. The budget period will be updated automatically.</t>
  </si>
  <si>
    <t>Customer - Packing slip lines</t>
  </si>
  <si>
    <t>Packing slip</t>
  </si>
  <si>
    <t>Item</t>
  </si>
  <si>
    <t>Delivered</t>
  </si>
  <si>
    <t>C1RO 12A0 00D5</t>
  </si>
  <si>
    <t>Unit price</t>
  </si>
  <si>
    <t>Ship date</t>
  </si>
  <si>
    <t>V2</t>
    <phoneticPr fontId="2" type="noConversion"/>
  </si>
  <si>
    <t>Add customer's po</t>
    <phoneticPr fontId="2" type="noConversion"/>
  </si>
  <si>
    <t>SO0000566</t>
  </si>
  <si>
    <t>111000613</t>
  </si>
  <si>
    <t>Lot 022747</t>
  </si>
  <si>
    <t>Lot 022748</t>
  </si>
  <si>
    <t>Lot 022749</t>
  </si>
  <si>
    <t>Lot 022750</t>
  </si>
  <si>
    <t>Lot 022751</t>
  </si>
  <si>
    <t>SO0000589</t>
  </si>
  <si>
    <t>111000612</t>
  </si>
  <si>
    <t>Lot 023344</t>
  </si>
  <si>
    <t>Lot 023345</t>
  </si>
  <si>
    <t>Lot 023346</t>
  </si>
  <si>
    <t>C1RO 7A00 00D5</t>
  </si>
  <si>
    <t>Lot 023347</t>
  </si>
  <si>
    <t>Lot 023348</t>
  </si>
  <si>
    <t>Lot 023349</t>
  </si>
  <si>
    <t>Lot 023350</t>
  </si>
  <si>
    <t>Lot 023351</t>
  </si>
  <si>
    <t>Lot 023352</t>
  </si>
  <si>
    <t>SO0000590</t>
  </si>
  <si>
    <t>111000611</t>
  </si>
  <si>
    <t>Lot 023397</t>
  </si>
  <si>
    <t>Lot 023398</t>
  </si>
  <si>
    <t>Lot 023399</t>
  </si>
  <si>
    <t>Lot 023400</t>
  </si>
  <si>
    <t>SO0000591</t>
  </si>
  <si>
    <t>111000614</t>
  </si>
  <si>
    <t>Lot 023441</t>
  </si>
  <si>
    <t>Lot 023442</t>
  </si>
  <si>
    <t>Lot 023443</t>
  </si>
  <si>
    <t>SOPS00000247</t>
  </si>
  <si>
    <t>SOPS00000229</t>
  </si>
  <si>
    <t>SOPS00000241</t>
  </si>
  <si>
    <t>SOPS00000244</t>
  </si>
  <si>
    <t>SOPS00000233</t>
  </si>
  <si>
    <t>SOPS00000401</t>
  </si>
  <si>
    <t>SOPS00000234</t>
  </si>
  <si>
    <t>SOPS00000243</t>
  </si>
  <si>
    <t>SOPS00000258</t>
  </si>
  <si>
    <t>SOPS00000271</t>
  </si>
  <si>
    <t>SOPS00000242</t>
  </si>
  <si>
    <t>SOPS00000235</t>
  </si>
  <si>
    <t>SOPS00000231</t>
  </si>
  <si>
    <t>SOPS00000232</t>
  </si>
  <si>
    <t>SOPS00000249</t>
  </si>
  <si>
    <t>SOPS00000288</t>
  </si>
  <si>
    <t>SOPS00000284</t>
  </si>
  <si>
    <t>SOPS00000246</t>
  </si>
  <si>
    <t>SOPS00000253</t>
  </si>
  <si>
    <t>SOPS00000239</t>
  </si>
  <si>
    <t>SOPS00000264</t>
  </si>
  <si>
    <t>SOPS00000240</t>
  </si>
  <si>
    <t>SOPS00000245</t>
  </si>
  <si>
    <t>SOPS00000259</t>
  </si>
  <si>
    <t>SOPS00000267</t>
  </si>
  <si>
    <t>SOPS00000248</t>
  </si>
  <si>
    <t>SOPS00000282</t>
  </si>
  <si>
    <t>SOPS00000254</t>
  </si>
  <si>
    <t>SOPS00000257</t>
  </si>
  <si>
    <t>SOPS00000252</t>
  </si>
  <si>
    <t>SOPS00000251</t>
  </si>
  <si>
    <t>SOPS00000273</t>
  </si>
  <si>
    <t>SOPS00000263</t>
  </si>
  <si>
    <t>SOPS00000256</t>
  </si>
  <si>
    <t>SOPS00000250</t>
  </si>
  <si>
    <t>SOPS00000307</t>
  </si>
  <si>
    <t>SOPS00000295</t>
  </si>
  <si>
    <t>SOPS00000255</t>
  </si>
  <si>
    <t>SOPS00000265</t>
  </si>
  <si>
    <t>SOPS00000260</t>
  </si>
  <si>
    <t>SOPS00000261</t>
  </si>
  <si>
    <t>SOPS00000266</t>
  </si>
  <si>
    <t>SOPS00000294</t>
  </si>
  <si>
    <t>SOPS00000277</t>
  </si>
  <si>
    <t>SOPS00000262</t>
  </si>
  <si>
    <t>SOPS00000286</t>
  </si>
  <si>
    <t>SOPS00000279</t>
  </si>
  <si>
    <t>SOPS00000339</t>
  </si>
  <si>
    <t>SOPS00000269</t>
  </si>
  <si>
    <t>SOPS00000270</t>
  </si>
  <si>
    <t>SOPS00000296</t>
  </si>
  <si>
    <t>SOPS00000274</t>
  </si>
  <si>
    <t>SOPS00000317</t>
  </si>
  <si>
    <t>SOPS00000303</t>
  </si>
  <si>
    <t>SOPS00000336</t>
  </si>
  <si>
    <t>SOPS00000335</t>
  </si>
  <si>
    <t>SOPS00000300</t>
  </si>
  <si>
    <t>SOPS00000276</t>
  </si>
  <si>
    <t>SOPS00000285</t>
  </si>
  <si>
    <t>SOPS00000304</t>
  </si>
  <si>
    <t>SOPS00000278</t>
  </si>
  <si>
    <t>SOPS00000280</t>
  </si>
  <si>
    <t>SOPS00000409</t>
  </si>
  <si>
    <t>SOPS00000359</t>
  </si>
  <si>
    <t>SOPS00000299</t>
  </si>
  <si>
    <t>SOPS00000306</t>
  </si>
  <si>
    <t>SOPS00000275</t>
  </si>
  <si>
    <t>SOPS00000311</t>
  </si>
  <si>
    <t>SOPS00000283</t>
  </si>
  <si>
    <t>SOPS00000291</t>
  </si>
  <si>
    <t>SOPS00000287</t>
  </si>
  <si>
    <t>SOPS00000305</t>
  </si>
  <si>
    <t>SOPS00000297</t>
  </si>
  <si>
    <t>SOPS00000302</t>
  </si>
  <si>
    <t>SOPS00000334</t>
  </si>
  <si>
    <t>SOPS00000367</t>
  </si>
  <si>
    <t>SOPS00000292</t>
  </si>
  <si>
    <t>SOPS00000290</t>
  </si>
  <si>
    <t>SOPS00000293</t>
  </si>
  <si>
    <t>SOPS00000310</t>
  </si>
  <si>
    <t>SOPS00000309</t>
  </si>
  <si>
    <t>SOPS00000298</t>
  </si>
  <si>
    <t>SOPS00000338</t>
  </si>
  <si>
    <t>SOPS00000308</t>
  </si>
  <si>
    <t>SOPS00000320</t>
  </si>
  <si>
    <t>SOPS00000316</t>
  </si>
  <si>
    <t>SOPS00000315</t>
  </si>
  <si>
    <t>SOPS00000312</t>
  </si>
  <si>
    <t>SOPS00000351</t>
  </si>
  <si>
    <t>SOPS00000398</t>
  </si>
  <si>
    <t>SOPS00000318</t>
  </si>
  <si>
    <t>SOPS00000340</t>
  </si>
  <si>
    <t>SOPS00000377</t>
  </si>
  <si>
    <t>SOPS00000386</t>
  </si>
  <si>
    <t>SOPS00000453</t>
  </si>
  <si>
    <t>SOPS00000328</t>
  </si>
  <si>
    <t>SOPS00000327</t>
  </si>
  <si>
    <t>SOPS00000322</t>
  </si>
  <si>
    <t>SOPS00000319</t>
  </si>
  <si>
    <t>SOPS00000323</t>
  </si>
  <si>
    <t>SOPS00000381</t>
  </si>
  <si>
    <t>SOPS00000321</t>
  </si>
  <si>
    <t>SOPS00000420</t>
  </si>
  <si>
    <t>SOPS00000444</t>
  </si>
  <si>
    <t>SOPS00000325</t>
  </si>
  <si>
    <t>SOPS00000329</t>
  </si>
  <si>
    <t>SOPS00000333</t>
  </si>
  <si>
    <t>SOPS00000326</t>
  </si>
  <si>
    <t>SOPS00000348</t>
  </si>
  <si>
    <t>SOPS00000410</t>
  </si>
  <si>
    <t>SOPS00000411</t>
  </si>
  <si>
    <t>SOPS00000324</t>
  </si>
  <si>
    <t>SOPS00000330</t>
  </si>
  <si>
    <t>SOPS00000362</t>
  </si>
  <si>
    <t>SOPS00000337</t>
  </si>
  <si>
    <t>SOPS00000344</t>
  </si>
  <si>
    <t>SOPS00000382</t>
  </si>
  <si>
    <t>SOPS00000432</t>
  </si>
  <si>
    <t>SOPS00000346</t>
  </si>
  <si>
    <t>SOPS00000360</t>
  </si>
  <si>
    <t>SOPS00000342</t>
  </si>
  <si>
    <t>SOPS00000343</t>
  </si>
  <si>
    <t>SOPS00000347</t>
  </si>
  <si>
    <t>SOPS00000355</t>
  </si>
  <si>
    <t>SOPS00000357</t>
  </si>
  <si>
    <t>SOPS00000353</t>
  </si>
  <si>
    <t>SOPS00000352</t>
  </si>
  <si>
    <t>SOPS00000364</t>
  </si>
  <si>
    <t>SOPS00000345</t>
  </si>
  <si>
    <t>SOPS00000412</t>
  </si>
  <si>
    <t>SOPS00000356</t>
  </si>
  <si>
    <t>SOPS00000358</t>
  </si>
  <si>
    <t>SOPS00000354</t>
  </si>
  <si>
    <t>SOPS00000349</t>
  </si>
  <si>
    <t>SOPS00000372</t>
  </si>
  <si>
    <t>SOPS00000361</t>
  </si>
  <si>
    <t>SOPS00000363</t>
  </si>
  <si>
    <t>SOPS00000365</t>
  </si>
  <si>
    <t>SOPS00000366</t>
  </si>
  <si>
    <t>SOPS00000378</t>
  </si>
  <si>
    <t>SOPS00000384</t>
  </si>
  <si>
    <t>SOPS00000376</t>
  </si>
  <si>
    <t>SOPS00000374</t>
  </si>
  <si>
    <t>SOPS00000393</t>
  </si>
  <si>
    <t>SOPS00000370</t>
  </si>
  <si>
    <t>SOPS00000371</t>
  </si>
  <si>
    <t>SOPS00000441</t>
  </si>
  <si>
    <t>SOPS00000373</t>
  </si>
  <si>
    <t>SOPS00000375</t>
  </si>
  <si>
    <t>SOPS00000383</t>
  </si>
  <si>
    <t>SOPS00000385</t>
  </si>
  <si>
    <t>SOPS00000389</t>
  </si>
  <si>
    <t>SOPS00000392</t>
  </si>
  <si>
    <t>SOPS00000388</t>
  </si>
  <si>
    <t>SOPS00000387</t>
  </si>
  <si>
    <t>SOPS00000396</t>
  </si>
  <si>
    <t>SOPS00000394</t>
  </si>
  <si>
    <t>SOPS00000395</t>
  </si>
  <si>
    <t>SOPS00000390</t>
  </si>
  <si>
    <t>SOPS00000399</t>
  </si>
  <si>
    <t>SOPS00000397</t>
  </si>
  <si>
    <t>SOPS00000391</t>
  </si>
  <si>
    <t>SOPS00000433</t>
  </si>
  <si>
    <t>SOPS00000414</t>
  </si>
  <si>
    <t>SOPS00000413</t>
  </si>
  <si>
    <t>SOPS00000400</t>
  </si>
  <si>
    <t>SOPS00000403</t>
  </si>
  <si>
    <t>SOPS00000402</t>
  </si>
  <si>
    <t>SOPS00000408</t>
  </si>
  <si>
    <t>SOPS00000430</t>
  </si>
  <si>
    <t>SOPS00000431</t>
  </si>
  <si>
    <t>SOPS00000416</t>
  </si>
  <si>
    <t>SOPS00000419</t>
  </si>
  <si>
    <t>SOPS00000415</t>
  </si>
  <si>
    <t>SOPS00000425</t>
  </si>
  <si>
    <t>SOPS00000440</t>
  </si>
  <si>
    <t>SOPS00000426</t>
  </si>
  <si>
    <t>SOPS00000428</t>
  </si>
  <si>
    <t>SOPS00000461</t>
  </si>
  <si>
    <t>SOPS00000462</t>
  </si>
  <si>
    <t>SOPS00000429</t>
  </si>
  <si>
    <t>SOPS00000474</t>
  </si>
  <si>
    <t>SOPS00000427</t>
  </si>
  <si>
    <t>SOPS00000504</t>
  </si>
  <si>
    <t>SOPS00000457</t>
  </si>
  <si>
    <t>SOPS00000452</t>
  </si>
  <si>
    <t>SOPS00000434</t>
  </si>
  <si>
    <t>SOPS00000473</t>
  </si>
  <si>
    <t>SOPS00000445</t>
  </si>
  <si>
    <t>SOPS00000436</t>
  </si>
  <si>
    <t>SOPS00000446</t>
  </si>
  <si>
    <t>SOPS00000456</t>
  </si>
  <si>
    <t>SOPS00000448</t>
  </si>
  <si>
    <t>SOPS00000447</t>
  </si>
  <si>
    <t>SOPS00000443</t>
  </si>
  <si>
    <t>SOPS00000442</t>
  </si>
  <si>
    <t>SOPS00000449</t>
  </si>
  <si>
    <t>SOPS00000450</t>
  </si>
  <si>
    <t>SOPS00000477</t>
  </si>
  <si>
    <t>SOPS00000451</t>
  </si>
  <si>
    <t>SOPS00000454</t>
  </si>
  <si>
    <t>SOPS00000505</t>
  </si>
  <si>
    <t>SOPS00000523</t>
  </si>
  <si>
    <t>SOPS00000455</t>
  </si>
  <si>
    <t>SOPS00000468</t>
  </si>
  <si>
    <t>SOPS00000490</t>
  </si>
  <si>
    <t>SOPS00000466</t>
  </si>
  <si>
    <t>SOPS00000463</t>
  </si>
  <si>
    <t>SOPS00000460</t>
  </si>
  <si>
    <t>SOPS00000465</t>
  </si>
  <si>
    <t>SOPS00000458</t>
  </si>
  <si>
    <t>SOPS00000459</t>
  </si>
  <si>
    <t>SOPS00000471</t>
  </si>
  <si>
    <t>SOPS00000467</t>
  </si>
  <si>
    <t>SOPS00000478</t>
  </si>
  <si>
    <t>SOPS00000475</t>
  </si>
  <si>
    <t>SOPS00000472</t>
  </si>
  <si>
    <t>SOPS00000464</t>
  </si>
  <si>
    <t>SOPS00000476</t>
  </si>
  <si>
    <t>SOPS00000479</t>
  </si>
  <si>
    <t>SOPS00000480</t>
  </si>
  <si>
    <t>SOPS00000482</t>
  </si>
  <si>
    <t>SOPS00000481</t>
  </si>
  <si>
    <t>SOPS00000496</t>
  </si>
  <si>
    <t>SOPS00000511</t>
  </si>
  <si>
    <t>SOPS00000486</t>
  </si>
  <si>
    <t>SOPS00000544</t>
  </si>
  <si>
    <t>SOPS00000485</t>
  </si>
  <si>
    <t>SOPS00000522</t>
  </si>
  <si>
    <t>SOPS00000502</t>
  </si>
  <si>
    <t>SOPS00000487</t>
  </si>
  <si>
    <t>SOPS00000491</t>
  </si>
  <si>
    <t>SOPS00000489</t>
  </si>
  <si>
    <t>SOPS00000492</t>
  </si>
  <si>
    <t>SOPS00000493</t>
  </si>
  <si>
    <t>SOPS00000497</t>
  </si>
  <si>
    <t>SOPS00000495</t>
  </si>
  <si>
    <t>SOPS00000507</t>
  </si>
  <si>
    <t>SOPS00000508</t>
  </si>
  <si>
    <t>SOPS00000494</t>
  </si>
  <si>
    <t>SOPS00000520</t>
  </si>
  <si>
    <t>SOPS00000503</t>
  </si>
  <si>
    <t>SOPS00000519</t>
  </si>
  <si>
    <t>SOPS00000527</t>
  </si>
  <si>
    <t>SOPS00000514</t>
  </si>
  <si>
    <t>SOPS00000506</t>
  </si>
  <si>
    <t>SOPS00000513</t>
  </si>
  <si>
    <t>SOPS00000518</t>
  </si>
  <si>
    <t>SOPS00000517</t>
  </si>
  <si>
    <t>SOPS00000521</t>
  </si>
  <si>
    <t>SOPS00000516</t>
  </si>
  <si>
    <t>SOPS00000512</t>
  </si>
  <si>
    <t>SOPS00000528</t>
  </si>
  <si>
    <t>SOPS00000515</t>
  </si>
  <si>
    <t>SOPS00000524</t>
  </si>
  <si>
    <t>SOPS00000558</t>
  </si>
  <si>
    <t>SOPS00000536</t>
  </si>
  <si>
    <t>SOPS00000537</t>
  </si>
  <si>
    <t>SOPS00000549</t>
  </si>
  <si>
    <t>SOPS00000567</t>
  </si>
  <si>
    <t>SOPS00000530</t>
  </si>
  <si>
    <t>SOPS00000529</t>
  </si>
  <si>
    <t>SOPS00000535</t>
  </si>
  <si>
    <t>SOPS00000542</t>
  </si>
  <si>
    <t>SOPS00000538</t>
  </si>
  <si>
    <t>SOPS00000534</t>
  </si>
  <si>
    <t>SOPS00000546</t>
  </si>
  <si>
    <t>SOPS00000597</t>
  </si>
  <si>
    <t>SOPS00000539</t>
  </si>
  <si>
    <t>SOPS00000540</t>
  </si>
  <si>
    <t>SOPS00000554</t>
  </si>
  <si>
    <t>SOPS00000541</t>
  </si>
  <si>
    <t>SOPS00000555</t>
  </si>
  <si>
    <t>SOPS00000543</t>
  </si>
  <si>
    <t>SOPS00000572</t>
  </si>
  <si>
    <t>SOPS00000566</t>
  </si>
  <si>
    <t>SOPS00000548</t>
  </si>
  <si>
    <t>SOPS00000547</t>
  </si>
  <si>
    <t>SOPS00000545</t>
  </si>
  <si>
    <t>SOPS00000576</t>
  </si>
  <si>
    <t>SOPS00000553</t>
  </si>
  <si>
    <t>SOPS00000552</t>
  </si>
  <si>
    <t>SOPS00000565</t>
  </si>
  <si>
    <t>SOPS00000582</t>
  </si>
  <si>
    <t>SOPS00000583</t>
  </si>
  <si>
    <t>SOPS00000607</t>
  </si>
  <si>
    <t>SOPS00000556</t>
  </si>
  <si>
    <t>SOPS00000557</t>
  </si>
  <si>
    <t>SOPS00000592</t>
  </si>
  <si>
    <t>SOPS00000593</t>
  </si>
  <si>
    <t>SOPS00000568</t>
  </si>
  <si>
    <t>SOPS00000596</t>
  </si>
  <si>
    <t>SOPS00000570</t>
  </si>
  <si>
    <t>SOPS00000571</t>
  </si>
  <si>
    <t>SOPS00000569</t>
  </si>
  <si>
    <t>SOPS00000587</t>
  </si>
  <si>
    <t>SOPS00000579</t>
  </si>
  <si>
    <t>SOPS00000586</t>
  </si>
  <si>
    <t>SOPS00000584</t>
  </si>
  <si>
    <t>SOPS00000577</t>
  </si>
  <si>
    <t>SOPS00000578</t>
  </si>
  <si>
    <t>SOPS00000588</t>
  </si>
  <si>
    <t>SOPS00000598</t>
  </si>
  <si>
    <t>SOPS00000585</t>
  </si>
  <si>
    <t>SOPS00000606</t>
  </si>
  <si>
    <t>SOPS00000618</t>
  </si>
  <si>
    <t>SOPS00000619</t>
  </si>
  <si>
    <t>SOPS00000590</t>
  </si>
  <si>
    <t>SOPS00000591</t>
  </si>
  <si>
    <t>SOPS00000611</t>
  </si>
  <si>
    <t>SOPS00000589</t>
  </si>
  <si>
    <t>SOPS00000603</t>
  </si>
  <si>
    <t>SOPS00000608</t>
  </si>
  <si>
    <t>SOPS00000605</t>
  </si>
  <si>
    <t>SOPS00000609</t>
  </si>
  <si>
    <t>SOPS00000610</t>
  </si>
  <si>
    <t>SOPS00000632</t>
  </si>
  <si>
    <t>SOPS00000612</t>
  </si>
  <si>
    <t>SOPS00000620</t>
  </si>
  <si>
    <t>SOPS00000604</t>
  </si>
  <si>
    <t>SOPS00000617</t>
  </si>
  <si>
    <t>SOPS00000621</t>
  </si>
  <si>
    <t>SOPS00000613</t>
  </si>
  <si>
    <t>SOPS00000614</t>
  </si>
  <si>
    <t>SOPS00000627</t>
  </si>
  <si>
    <t>SOPS00000629</t>
  </si>
  <si>
    <t>SOPS00000628</t>
  </si>
  <si>
    <t>SOPS00000631</t>
  </si>
  <si>
    <t>SOPS00000630</t>
  </si>
  <si>
    <t>SOPS00000633</t>
  </si>
  <si>
    <t>Customer's PO per month</t>
  </si>
  <si>
    <t>Customer's PO acc.</t>
  </si>
  <si>
    <t>Actual vs budget acc.</t>
  </si>
  <si>
    <t>Customer Account</t>
  </si>
  <si>
    <t>C1EL 8A00 0002</t>
  </si>
  <si>
    <t>1.1.2020</t>
  </si>
  <si>
    <t>12.31.2020</t>
  </si>
  <si>
    <t>SO0000576</t>
  </si>
  <si>
    <t>SOPS00000636</t>
  </si>
  <si>
    <t>SO0000581</t>
  </si>
  <si>
    <t>SOPS00000640</t>
  </si>
  <si>
    <t>SO0000593</t>
  </si>
  <si>
    <t>SOPS00000639</t>
  </si>
  <si>
    <t>C1HR 0C00 0002</t>
  </si>
  <si>
    <t>111000617</t>
  </si>
  <si>
    <t>Lot 022998</t>
  </si>
  <si>
    <t>Lot 022999</t>
  </si>
  <si>
    <t>Lot 023000</t>
  </si>
  <si>
    <t>Lot 023001</t>
  </si>
  <si>
    <t>111000621</t>
  </si>
  <si>
    <t>Lot 023162</t>
  </si>
  <si>
    <t>Lot 023163</t>
  </si>
  <si>
    <t>Lot 023289</t>
  </si>
  <si>
    <t>Lot 023290</t>
  </si>
  <si>
    <t>Lot 023291</t>
  </si>
  <si>
    <t>Lot 023292</t>
  </si>
  <si>
    <t>Lot 023293</t>
  </si>
  <si>
    <t>Lot 023294</t>
  </si>
  <si>
    <t>Lot 023295</t>
  </si>
  <si>
    <t>Lot 023296</t>
  </si>
  <si>
    <t>Lot 023297</t>
  </si>
  <si>
    <t>Lot 023334</t>
  </si>
  <si>
    <t>111000620</t>
  </si>
  <si>
    <t>Lot 023622</t>
  </si>
  <si>
    <t>Lot 023624</t>
  </si>
  <si>
    <t>Lot 023625</t>
  </si>
  <si>
    <t>Lot 023627</t>
  </si>
  <si>
    <t>Lot 023628</t>
  </si>
  <si>
    <t>Lot 023629</t>
  </si>
  <si>
    <t>Lot 023630</t>
  </si>
  <si>
    <t>Lot 023631</t>
  </si>
  <si>
    <t>Lot 023632</t>
  </si>
  <si>
    <t>Other customers</t>
    <phoneticPr fontId="2" type="noConversion"/>
  </si>
  <si>
    <t>Total:</t>
    <phoneticPr fontId="2" type="noConversion"/>
  </si>
  <si>
    <t>Assumptions:</t>
    <phoneticPr fontId="2" type="noConversion"/>
  </si>
  <si>
    <t>1. for sales delivery, we assume that all the sales price on sales orders are sales tax excluded. Meaning the sales delivery is coming from delivered qty * sales price, without checking if the sales tax should be excluded.</t>
    <phoneticPr fontId="2" type="noConversion"/>
  </si>
  <si>
    <t>2. for sales delivery, we assume that all the sales price on sales orders are in EUR. Meaning the sales delivery is coming from delivery qty * sales price, without convertion for foreign currency.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</si>
</sst>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 * #,##0.00_ ;_ * \-#,##0.00_ ;_ * &quot;-&quot;??_ ;_ @_ "/>
    <numFmt numFmtId="176" formatCode="_ * #,##0_ ;_ * \-#,##0_ ;_ * &quot;-&quot;??_ ;_ @_ "/>
    <numFmt numFmtId="177" formatCode="0.0%"/>
  </numFmts>
  <fonts count="27">
    <font>
      <sz val="11"/>
      <color theme="1"/>
      <name val="宋体"/>
      <family val="2"/>
      <scheme val="minor"/>
    </font>
    <font>
      <sz val="11"/>
      <color rgb="FF00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i/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1"/>
      <color theme="0"/>
      <name val="宋体"/>
      <family val="2"/>
      <scheme val="minor"/>
    </font>
    <font>
      <sz val="11"/>
      <color theme="1"/>
      <name val="Czcionka tekstu podstawowego"/>
      <family val="2"/>
      <charset val="238"/>
    </font>
    <font>
      <sz val="11"/>
      <color rgb="FF006100"/>
      <name val="宋体"/>
      <family val="2"/>
      <scheme val="minor"/>
    </font>
    <font>
      <sz val="11"/>
      <color rgb="FF9C0006"/>
      <name val="宋体"/>
      <family val="2"/>
      <scheme val="minor"/>
    </font>
    <font>
      <sz val="18"/>
      <color theme="3"/>
      <name val="宋体"/>
      <family val="1"/>
      <scheme val="major"/>
    </font>
    <font>
      <b/>
      <sz val="15"/>
      <color theme="3"/>
      <name val="宋体"/>
      <family val="2"/>
      <scheme val="minor"/>
    </font>
    <font>
      <b/>
      <sz val="13"/>
      <color theme="3"/>
      <name val="宋体"/>
      <family val="2"/>
      <scheme val="minor"/>
    </font>
    <font>
      <b/>
      <sz val="11"/>
      <color theme="3"/>
      <name val="宋体"/>
      <family val="2"/>
      <scheme val="minor"/>
    </font>
    <font>
      <b/>
      <sz val="11"/>
      <color theme="0"/>
      <name val="宋体"/>
      <family val="2"/>
      <scheme val="minor"/>
    </font>
    <font>
      <b/>
      <sz val="11"/>
      <color theme="1"/>
      <name val="宋体"/>
      <family val="2"/>
      <scheme val="minor"/>
    </font>
    <font>
      <i/>
      <sz val="11"/>
      <color rgb="FF7F7F7F"/>
      <name val="宋体"/>
      <family val="2"/>
      <scheme val="minor"/>
    </font>
    <font>
      <sz val="11"/>
      <color rgb="FFFF0000"/>
      <name val="宋体"/>
      <family val="2"/>
      <scheme val="minor"/>
    </font>
    <font>
      <b/>
      <sz val="11"/>
      <color rgb="FFFA7D00"/>
      <name val="宋体"/>
      <family val="2"/>
      <scheme val="minor"/>
    </font>
    <font>
      <sz val="11"/>
      <color rgb="FF3F3F76"/>
      <name val="宋体"/>
      <family val="2"/>
      <scheme val="minor"/>
    </font>
    <font>
      <b/>
      <sz val="11"/>
      <color rgb="FF3F3F3F"/>
      <name val="宋体"/>
      <family val="2"/>
      <scheme val="minor"/>
    </font>
    <font>
      <sz val="11"/>
      <color rgb="FF9C6500"/>
      <name val="宋体"/>
      <family val="2"/>
      <scheme val="minor"/>
    </font>
    <font>
      <sz val="11"/>
      <color rgb="FFFA7D00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rgb="FF000000"/>
      <name val="宋体"/>
      <family val="3"/>
      <charset val="134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43" fontId="3" fillId="0" borderId="0" applyFont="0" applyFill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7" fillId="0" borderId="0"/>
    <xf numFmtId="0" fontId="9" fillId="0" borderId="0"/>
    <xf numFmtId="9" fontId="9" fillId="0" borderId="0" applyFont="0" applyFill="0" applyBorder="0" applyAlignment="0" applyProtection="0"/>
    <xf numFmtId="0" fontId="10" fillId="2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7" borderId="10" applyNumberFormat="0" applyAlignment="0" applyProtection="0">
      <alignment vertical="center"/>
    </xf>
    <xf numFmtId="0" fontId="17" fillId="0" borderId="12" applyNumberFormat="0" applyFill="0" applyAlignment="0" applyProtection="0">
      <alignment vertical="center"/>
    </xf>
    <xf numFmtId="0" fontId="7" fillId="8" borderId="11" applyNumberFormat="0" applyFont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6" borderId="7" applyNumberFormat="0" applyAlignment="0" applyProtection="0">
      <alignment vertical="center"/>
    </xf>
    <xf numFmtId="0" fontId="21" fillId="5" borderId="7" applyNumberFormat="0" applyAlignment="0" applyProtection="0">
      <alignment vertical="center"/>
    </xf>
    <xf numFmtId="0" fontId="22" fillId="6" borderId="8" applyNumberFormat="0" applyAlignment="0" applyProtection="0">
      <alignment vertical="center"/>
    </xf>
    <xf numFmtId="0" fontId="23" fillId="4" borderId="0" applyNumberFormat="0" applyBorder="0" applyAlignment="0" applyProtection="0">
      <alignment vertical="center"/>
    </xf>
    <xf numFmtId="0" fontId="24" fillId="0" borderId="9" applyNumberFormat="0" applyFill="0" applyAlignment="0" applyProtection="0">
      <alignment vertical="center"/>
    </xf>
  </cellStyleXfs>
  <cellXfs count="21">
    <xf numFmtId="0" fontId="0" fillId="0" borderId="0" xfId="0"/>
    <xf numFmtId="14" fontId="0" fillId="0" borderId="0" xfId="0" applyNumberFormat="1"/>
    <xf numFmtId="0" fontId="0" fillId="0" borderId="0" xfId="0" applyNumberFormat="1" applyAlignment="1"/>
    <xf numFmtId="0" fontId="0" fillId="0" borderId="0" xfId="0" quotePrefix="1" applyNumberFormat="1" applyAlignment="1"/>
    <xf numFmtId="0" fontId="1" fillId="0" borderId="0" xfId="0" quotePrefix="1" applyNumberFormat="1" applyFont="1" applyAlignment="1"/>
    <xf numFmtId="14" fontId="0" fillId="0" borderId="0" xfId="0" applyNumberFormat="1" applyAlignment="1"/>
    <xf numFmtId="14" fontId="1" fillId="0" borderId="0" xfId="0" applyNumberFormat="1" applyFont="1" applyAlignment="1"/>
    <xf numFmtId="0" fontId="1" fillId="0" borderId="0" xfId="0" applyNumberFormat="1" applyFont="1" applyAlignment="1"/>
    <xf numFmtId="49" fontId="0" fillId="0" borderId="0" xfId="0" applyNumberFormat="1"/>
    <xf numFmtId="0" fontId="5" fillId="0" borderId="0" xfId="0" applyFont="1"/>
    <xf numFmtId="0" fontId="6" fillId="0" borderId="0" xfId="0" applyFont="1"/>
    <xf numFmtId="0" fontId="0" fillId="0" borderId="0" xfId="0" applyNumberFormat="1"/>
    <xf numFmtId="0" fontId="0" fillId="0" borderId="0" xfId="0" applyNumberFormat="1" applyBorder="1"/>
    <xf numFmtId="176" fontId="25" fillId="0" borderId="1" xfId="20" applyNumberFormat="1" applyFont="1" applyBorder="1" applyAlignment="1">
      <alignment vertical="center"/>
    </xf>
    <xf numFmtId="176" fontId="4" fillId="0" borderId="13" xfId="1" applyNumberFormat="1" applyFont="1" applyBorder="1" applyAlignment="1">
      <alignment vertical="center"/>
    </xf>
    <xf numFmtId="176" fontId="4" fillId="0" borderId="14" xfId="1" applyNumberFormat="1" applyFont="1" applyBorder="1" applyAlignment="1">
      <alignment vertical="center"/>
    </xf>
    <xf numFmtId="0" fontId="12" fillId="0" borderId="0" xfId="25" applyAlignment="1"/>
    <xf numFmtId="43" fontId="0" fillId="0" borderId="0" xfId="1" applyFont="1" applyAlignment="1"/>
    <xf numFmtId="177" fontId="0" fillId="0" borderId="0" xfId="1" applyNumberFormat="1" applyFont="1" applyAlignment="1"/>
    <xf numFmtId="43" fontId="16" fillId="33" borderId="2" xfId="1" applyNumberFormat="1" applyFont="1" applyFill="1" applyBorder="1" applyAlignment="1"/>
    <xf numFmtId="43" fontId="16" fillId="33" borderId="3" xfId="1" applyNumberFormat="1" applyFont="1" applyFill="1" applyBorder="1" applyAlignment="1"/>
  </cellXfs>
  <cellStyles count="46">
    <cellStyle name="20% - 着色 1" xfId="2"/>
    <cellStyle name="20% - 着色 2" xfId="3"/>
    <cellStyle name="20% - 着色 3" xfId="4"/>
    <cellStyle name="20% - 着色 4" xfId="5"/>
    <cellStyle name="20% - 着色 5" xfId="6"/>
    <cellStyle name="20% - 着色 6" xfId="7"/>
    <cellStyle name="40% - 着色 1" xfId="8"/>
    <cellStyle name="40% - 着色 2" xfId="9"/>
    <cellStyle name="40% - 着色 3" xfId="10"/>
    <cellStyle name="40% - 着色 4" xfId="11"/>
    <cellStyle name="40% - 着色 5" xfId="12"/>
    <cellStyle name="40% - 着色 6" xfId="13"/>
    <cellStyle name="60% - 着色 1" xfId="14"/>
    <cellStyle name="60% - 着色 2" xfId="15"/>
    <cellStyle name="60% - 着色 3" xfId="16"/>
    <cellStyle name="60% - 着色 4" xfId="17"/>
    <cellStyle name="60% - 着色 5" xfId="18"/>
    <cellStyle name="60% - 着色 6" xfId="19"/>
    <cellStyle name="Normal_SalesBudget" xfId="20"/>
    <cellStyle name="Normalny 2" xfId="21"/>
    <cellStyle name="Procentowy 2" xfId="22"/>
    <cellStyle name="标题" xfId="25" builtinId="15"/>
    <cellStyle name="标题 1" xfId="26"/>
    <cellStyle name="标题 2" xfId="27"/>
    <cellStyle name="标题 3" xfId="28"/>
    <cellStyle name="标题 4" xfId="29"/>
    <cellStyle name="差" xfId="24"/>
    <cellStyle name="常规" xfId="0" builtinId="0"/>
    <cellStyle name="好" xfId="23"/>
    <cellStyle name="汇总" xfId="31"/>
    <cellStyle name="计算" xfId="41"/>
    <cellStyle name="检查单元格" xfId="30"/>
    <cellStyle name="解释性文本" xfId="39"/>
    <cellStyle name="警告文本" xfId="40"/>
    <cellStyle name="链接单元格" xfId="45"/>
    <cellStyle name="千位分隔" xfId="1" builtinId="3"/>
    <cellStyle name="适中" xfId="44"/>
    <cellStyle name="输出" xfId="43"/>
    <cellStyle name="输入" xfId="42"/>
    <cellStyle name="着色 1" xfId="33"/>
    <cellStyle name="着色 2" xfId="34"/>
    <cellStyle name="着色 3" xfId="35"/>
    <cellStyle name="着色 4" xfId="36"/>
    <cellStyle name="着色 5" xfId="37"/>
    <cellStyle name="着色 6" xfId="38"/>
    <cellStyle name="注释" xfId="32"/>
  </cellStyles>
  <dxfs count="45"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78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8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78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8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78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8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6" formatCode="_ * #,##0_ ;_ * \-#,##0_ ;_ * &quot;-&quot;??_ ;_ @_ "/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Report!$B$2:$C$2</c:f>
              <c:strCache>
                <c:ptCount val="2"/>
                <c:pt idx="0">
                  <c:v>Sales per month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Report!$D$1:$N$1</c:f>
              <c:strCache>
                <c:ptCount val="11"/>
                <c:pt idx="0">
                  <c:v>Jan-2020</c:v>
                </c:pt>
                <c:pt idx="1">
                  <c:v>Feb-2020</c:v>
                </c:pt>
                <c:pt idx="2">
                  <c:v>Mar-2020</c:v>
                </c:pt>
                <c:pt idx="3">
                  <c:v>Apr-2020</c:v>
                </c:pt>
                <c:pt idx="4">
                  <c:v>May-2020</c:v>
                </c:pt>
                <c:pt idx="5">
                  <c:v>Jun-2020</c:v>
                </c:pt>
                <c:pt idx="6">
                  <c:v>Jul-2020</c:v>
                </c:pt>
                <c:pt idx="7">
                  <c:v>Aug-2020</c:v>
                </c:pt>
                <c:pt idx="8">
                  <c:v>Sep-2020</c:v>
                </c:pt>
                <c:pt idx="9">
                  <c:v>Oct-2020</c:v>
                </c:pt>
                <c:pt idx="10">
                  <c:v>Nov-2020</c:v>
                </c:pt>
              </c:strCache>
            </c:strRef>
          </c:cat>
          <c:val>
            <c:numRef>
              <c:f>Report!$D$2:$N$2</c:f>
              <c:numCache>
                <c:formatCode>_(* #,##0.00_);_(* \(#,##0.00\);_(* "-"??_);_(@_)</c:formatCode>
                <c:ptCount val="11"/>
                <c:pt idx="0">
                  <c:v>101606.13000000002</c:v>
                </c:pt>
                <c:pt idx="1">
                  <c:v>79018.8</c:v>
                </c:pt>
                <c:pt idx="2">
                  <c:v>107895.31999999998</c:v>
                </c:pt>
                <c:pt idx="3">
                  <c:v>52015.92</c:v>
                </c:pt>
                <c:pt idx="4">
                  <c:v>59618.31</c:v>
                </c:pt>
                <c:pt idx="5">
                  <c:v>70344.369999999981</c:v>
                </c:pt>
                <c:pt idx="6">
                  <c:v>59249.71</c:v>
                </c:pt>
                <c:pt idx="7">
                  <c:v>57923.890000000007</c:v>
                </c:pt>
                <c:pt idx="8">
                  <c:v>38360.5</c:v>
                </c:pt>
                <c:pt idx="9">
                  <c:v>75847.489999999976</c:v>
                </c:pt>
                <c:pt idx="10">
                  <c:v>34606.36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32-4AC4-B233-5DE4200FE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8644736"/>
        <c:axId val="228646272"/>
      </c:barChart>
      <c:catAx>
        <c:axId val="228644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28646272"/>
        <c:crosses val="autoZero"/>
        <c:auto val="1"/>
        <c:lblAlgn val="ctr"/>
        <c:lblOffset val="100"/>
        <c:noMultiLvlLbl val="0"/>
      </c:catAx>
      <c:valAx>
        <c:axId val="22864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28644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0</xdr:rowOff>
        </xdr:from>
        <xdr:to>
          <xdr:col>8</xdr:col>
          <xdr:colOff>438150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2</xdr:row>
      <xdr:rowOff>114300</xdr:rowOff>
    </xdr:from>
    <xdr:to>
      <xdr:col>7</xdr:col>
      <xdr:colOff>590550</xdr:colOff>
      <xdr:row>18</xdr:row>
      <xdr:rowOff>114300</xdr:rowOff>
    </xdr:to>
    <xdr:graphicFrame macro="">
      <xdr:nvGraphicFramePr>
        <xdr:cNvPr id="7" name="图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CustomerDetailsPerMonth" displayName="CustomerDetailsPerMonth" ref="A19:O60" totalsRowShown="0" headerRowDxfId="44">
  <autoFilter ref="A19:O60"/>
  <tableColumns count="15">
    <tableColumn id="1" name="Top 40"/>
    <tableColumn id="2" name="Customer Account"/>
    <tableColumn id="3" name="Customer Name"/>
    <tableColumn id="4" name="Jan-2020" dataCellStyle="千位分隔"/>
    <tableColumn id="5" name="Feb-2020" dataCellStyle="千位分隔"/>
    <tableColumn id="6" name="Mar-2020" dataCellStyle="千位分隔"/>
    <tableColumn id="7" name="Apr-2020" dataCellStyle="千位分隔"/>
    <tableColumn id="8" name="May-2020" dataCellStyle="千位分隔"/>
    <tableColumn id="9" name="Jun-2020" dataCellStyle="千位分隔"/>
    <tableColumn id="10" name="Jul-2020" dataCellStyle="千位分隔"/>
    <tableColumn id="11" name="Aug-2020" dataCellStyle="千位分隔"/>
    <tableColumn id="12" name="Sep-2020" dataCellStyle="千位分隔"/>
    <tableColumn id="13" name="Oct-2020" dataCellStyle="千位分隔"/>
    <tableColumn id="14" name="Nov-2020" dataCellStyle="千位分隔"/>
    <tableColumn id="15" name="Total" dataCellStyle="千位分隔">
      <calculatedColumnFormula>SUM(D20:N20)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1:C25" totalsRowShown="0">
  <autoFilter ref="A1:C25"/>
  <sortState ref="A2:C25">
    <sortCondition ref="C1:C25"/>
  </sortState>
  <tableColumns count="3">
    <tableColumn id="1" name="Period" dataDxfId="43">
      <calculatedColumnFormula>TEXT(表2[[#This Row],[Budget date]],"MMM-YYYY")</calculatedColumnFormula>
    </tableColumn>
    <tableColumn id="2" name="Budget" dataDxfId="42"/>
    <tableColumn id="3" name="Budget d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2" name="AtlasReport_1_Table_1" displayName="AtlasReport_1_Table_1" ref="A2:F346" totalsRowCount="1">
  <autoFilter ref="A2:F345"/>
  <tableColumns count="6">
    <tableColumn id="1" name="Customer account" totalsRowLabel="Total" dataDxfId="41" totalsRowDxfId="40"/>
    <tableColumn id="2" name="Name" dataDxfId="39" totalsRowDxfId="38"/>
    <tableColumn id="3" name="Sales order" dataDxfId="37" totalsRowDxfId="36"/>
    <tableColumn id="4" name="Date" dataDxfId="35" totalsRowDxfId="34"/>
    <tableColumn id="5" name="Invoice" dataDxfId="33" totalsRowDxfId="32"/>
    <tableColumn id="6" name="Sales balance in default currency" totalsRowFunction="sum" dataDxfId="31" totalsRowDxfId="3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0" name="AtlasReport_3_Table_1" displayName="AtlasReport_3_Table_1" ref="A2:G1687" totalsRowCount="1">
  <autoFilter ref="A2:G1686"/>
  <tableColumns count="7">
    <tableColumn id="1" name="Customer account" totalsRowLabel="Total" dataDxfId="29" totalsRowDxfId="28"/>
    <tableColumn id="2" name="Sales order" dataDxfId="27" totalsRowDxfId="26"/>
    <tableColumn id="3" name="Packing slip" totalsRowLabel="Total" dataDxfId="25" totalsRowDxfId="24"/>
    <tableColumn id="4" name="Item" dataDxfId="23" totalsRowDxfId="22"/>
    <tableColumn id="5" name="Ship date" dataDxfId="21" totalsRowDxfId="20"/>
    <tableColumn id="6" name="Delivered" totalsRowFunction="sum" dataDxfId="19" totalsRowDxfId="18"/>
    <tableColumn id="7" name="Unit price" dataDxfId="17" totalsRowDxfId="1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1" name="AtlasReport_2_Table_1" displayName="AtlasReport_2_Table_1" ref="A2:H1785" totalsRowCount="1">
  <autoFilter ref="A2:H1784"/>
  <tableColumns count="8">
    <tableColumn id="1" name="Sales Order" totalsRowLabel="Total" dataDxfId="15" totalsRowDxfId="14"/>
    <tableColumn id="2" name="Invoice" dataDxfId="13" totalsRowDxfId="12"/>
    <tableColumn id="3" name="Item number" totalsRowLabel="Total" dataDxfId="11" totalsRowDxfId="10"/>
    <tableColumn id="4" name="Lot ID" dataDxfId="9" totalsRowDxfId="8"/>
    <tableColumn id="5" name="Financial date" dataDxfId="7" totalsRowDxfId="6"/>
    <tableColumn id="6" name="Quantity" totalsRowFunction="sum" dataDxfId="5" totalsRowDxfId="4"/>
    <tableColumn id="7" name="Financial cost amount" totalsRowFunction="sum" dataDxfId="3" totalsRowDxfId="2"/>
    <tableColumn id="8" name="Adjustment" totalsRowFunction="sum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General"/>
  <dimension ref="B2:F23"/>
  <sheetViews>
    <sheetView tabSelected="1" workbookViewId="0">
      <selection activeCell="E5" sqref="E5"/>
    </sheetView>
  </sheetViews>
  <sheetFormatPr defaultRowHeight="13.5"/>
  <cols>
    <col min="2" max="2" width="15.375" customWidth="1"/>
    <col min="3" max="3" width="11.875" customWidth="1"/>
    <col min="5" max="5" width="14.875" customWidth="1"/>
  </cols>
  <sheetData>
    <row r="2" spans="2:5">
      <c r="B2" s="10" t="s">
        <v>0</v>
      </c>
      <c r="C2">
        <v>372</v>
      </c>
    </row>
    <row r="3" spans="2:5">
      <c r="C3" s="10" t="s">
        <v>1</v>
      </c>
      <c r="E3" s="10" t="s">
        <v>2</v>
      </c>
    </row>
    <row r="4" spans="2:5">
      <c r="C4" s="8" t="s">
        <v>3278</v>
      </c>
      <c r="E4" s="8" t="s">
        <v>3279</v>
      </c>
    </row>
    <row r="5" spans="2:5">
      <c r="B5" s="10" t="s">
        <v>3</v>
      </c>
      <c r="C5" t="str">
        <f xml:space="preserve"> TRIM(StartDate) &amp; " .. " &amp; TRIM(EndDate)</f>
        <v>1.1.2020 .. 12.31.2020</v>
      </c>
    </row>
    <row r="6" spans="2:5">
      <c r="B6" s="10" t="s">
        <v>4</v>
      </c>
      <c r="C6" t="s">
        <v>5</v>
      </c>
    </row>
    <row r="8" spans="2:5">
      <c r="B8" s="10" t="s">
        <v>2737</v>
      </c>
      <c r="C8">
        <v>40</v>
      </c>
    </row>
    <row r="14" spans="2:5">
      <c r="B14" t="s">
        <v>2881</v>
      </c>
    </row>
    <row r="15" spans="2:5">
      <c r="B15" t="s">
        <v>2882</v>
      </c>
    </row>
    <row r="16" spans="2:5">
      <c r="C16" t="s">
        <v>2883</v>
      </c>
    </row>
    <row r="17" spans="2:6">
      <c r="C17" t="s">
        <v>2884</v>
      </c>
      <c r="F17" s="9" t="s">
        <v>2888</v>
      </c>
    </row>
    <row r="18" spans="2:6">
      <c r="C18" t="s">
        <v>2885</v>
      </c>
      <c r="F18" s="9" t="s">
        <v>2888</v>
      </c>
    </row>
    <row r="19" spans="2:6">
      <c r="C19" t="s">
        <v>2886</v>
      </c>
    </row>
    <row r="20" spans="2:6">
      <c r="C20" t="s">
        <v>2887</v>
      </c>
    </row>
    <row r="21" spans="2:6">
      <c r="B21" t="s">
        <v>2900</v>
      </c>
    </row>
    <row r="22" spans="2:6">
      <c r="B22" t="s">
        <v>2903</v>
      </c>
    </row>
    <row r="23" spans="2:6">
      <c r="B23" t="s">
        <v>2901</v>
      </c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">
                <anchor moveWithCells="1" siz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8</xdr:col>
                    <xdr:colOff>438150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Report">
    <tabColor theme="3" tint="0.79998168889431442"/>
  </sheetPr>
  <dimension ref="A1:O61"/>
  <sheetViews>
    <sheetView workbookViewId="0">
      <pane xSplit="3" ySplit="19" topLeftCell="D20" activePane="bottomRight" state="frozen"/>
      <selection activeCell="G30" sqref="G30"/>
      <selection pane="topRight" activeCell="G30" sqref="G30"/>
      <selection pane="bottomLeft" activeCell="G30" sqref="G30"/>
      <selection pane="bottomRight" activeCell="E36" sqref="E36"/>
    </sheetView>
  </sheetViews>
  <sheetFormatPr defaultRowHeight="13.5"/>
  <cols>
    <col min="1" max="1" width="9.5" customWidth="1"/>
    <col min="2" max="2" width="20.75" customWidth="1"/>
    <col min="3" max="3" width="17.375" customWidth="1"/>
    <col min="4" max="14" width="15.25" bestFit="1" customWidth="1"/>
    <col min="15" max="15" width="15" bestFit="1" customWidth="1"/>
  </cols>
  <sheetData>
    <row r="1" spans="2:15">
      <c r="D1" s="19" t="s">
        <v>2862</v>
      </c>
      <c r="E1" s="19" t="s">
        <v>2863</v>
      </c>
      <c r="F1" s="19" t="s">
        <v>2864</v>
      </c>
      <c r="G1" s="19" t="s">
        <v>2865</v>
      </c>
      <c r="H1" s="19" t="s">
        <v>2866</v>
      </c>
      <c r="I1" s="19" t="s">
        <v>2867</v>
      </c>
      <c r="J1" s="19" t="s">
        <v>2868</v>
      </c>
      <c r="K1" s="19" t="s">
        <v>2869</v>
      </c>
      <c r="L1" s="19" t="s">
        <v>2870</v>
      </c>
      <c r="M1" s="19" t="s">
        <v>2871</v>
      </c>
      <c r="N1" s="19" t="s">
        <v>2872</v>
      </c>
      <c r="O1" s="20" t="s">
        <v>774</v>
      </c>
    </row>
    <row r="2" spans="2:15">
      <c r="B2" s="10" t="s">
        <v>2873</v>
      </c>
      <c r="D2" s="17">
        <v>101606.13000000002</v>
      </c>
      <c r="E2" s="17">
        <v>79018.8</v>
      </c>
      <c r="F2" s="17">
        <v>107895.31999999998</v>
      </c>
      <c r="G2" s="17">
        <v>52015.92</v>
      </c>
      <c r="H2" s="17">
        <v>59618.31</v>
      </c>
      <c r="I2" s="17">
        <v>70344.369999999981</v>
      </c>
      <c r="J2" s="17">
        <v>59249.71</v>
      </c>
      <c r="K2" s="17">
        <v>57923.890000000007</v>
      </c>
      <c r="L2" s="17">
        <v>38360.5</v>
      </c>
      <c r="M2" s="17">
        <v>75847.489999999976</v>
      </c>
      <c r="N2" s="17">
        <v>34606.36</v>
      </c>
      <c r="O2" s="17">
        <f>SUM(D2:N2)</f>
        <v>736486.79999999993</v>
      </c>
    </row>
    <row r="3" spans="2:15">
      <c r="B3" s="10" t="s">
        <v>2874</v>
      </c>
      <c r="D3" s="17">
        <f t="shared" ref="D3:N3" si="0">C3 + D2</f>
        <v>101606.13000000002</v>
      </c>
      <c r="E3" s="17">
        <f t="shared" si="0"/>
        <v>180624.93000000002</v>
      </c>
      <c r="F3" s="17">
        <f t="shared" si="0"/>
        <v>288520.25</v>
      </c>
      <c r="G3" s="17">
        <f t="shared" si="0"/>
        <v>340536.17</v>
      </c>
      <c r="H3" s="17">
        <f t="shared" si="0"/>
        <v>400154.48</v>
      </c>
      <c r="I3" s="17">
        <f t="shared" si="0"/>
        <v>470498.85</v>
      </c>
      <c r="J3" s="17">
        <f t="shared" si="0"/>
        <v>529748.55999999994</v>
      </c>
      <c r="K3" s="17">
        <f t="shared" si="0"/>
        <v>587672.44999999995</v>
      </c>
      <c r="L3" s="17">
        <f t="shared" si="0"/>
        <v>626032.94999999995</v>
      </c>
      <c r="M3" s="17">
        <f t="shared" si="0"/>
        <v>701880.44</v>
      </c>
      <c r="N3" s="17">
        <f t="shared" si="0"/>
        <v>736486.79999999993</v>
      </c>
      <c r="O3" s="17">
        <f>N3</f>
        <v>736486.79999999993</v>
      </c>
    </row>
    <row r="4" spans="2:15">
      <c r="B4" s="10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</row>
    <row r="5" spans="2:15">
      <c r="B5" s="10" t="s">
        <v>3273</v>
      </c>
      <c r="D5" s="17">
        <v>100328.45200000003</v>
      </c>
      <c r="E5" s="17">
        <v>77454.530000000042</v>
      </c>
      <c r="F5" s="17">
        <v>106869.01999999999</v>
      </c>
      <c r="G5" s="17">
        <v>50568.239999999983</v>
      </c>
      <c r="H5" s="17">
        <v>58857.509999999987</v>
      </c>
      <c r="I5" s="17">
        <v>75557.37000000001</v>
      </c>
      <c r="J5" s="17">
        <v>57254.914000000012</v>
      </c>
      <c r="K5" s="17">
        <v>57229.860000000015</v>
      </c>
      <c r="L5" s="17">
        <v>37422.120000000003</v>
      </c>
      <c r="M5" s="17">
        <v>73894.49000000002</v>
      </c>
      <c r="N5" s="17">
        <v>34644.86</v>
      </c>
      <c r="O5" s="17">
        <f>SUM(D5:N5)</f>
        <v>730081.36600000004</v>
      </c>
    </row>
    <row r="6" spans="2:15">
      <c r="B6" s="10" t="s">
        <v>3274</v>
      </c>
      <c r="D6" s="17">
        <f t="shared" ref="D6:N6" si="1">C6 + D5</f>
        <v>100328.45200000003</v>
      </c>
      <c r="E6" s="17">
        <f t="shared" si="1"/>
        <v>177782.98200000008</v>
      </c>
      <c r="F6" s="17">
        <f t="shared" si="1"/>
        <v>284652.00200000009</v>
      </c>
      <c r="G6" s="17">
        <f t="shared" si="1"/>
        <v>335220.24200000009</v>
      </c>
      <c r="H6" s="17">
        <f t="shared" si="1"/>
        <v>394077.75200000009</v>
      </c>
      <c r="I6" s="17">
        <f t="shared" si="1"/>
        <v>469635.12200000009</v>
      </c>
      <c r="J6" s="17">
        <f t="shared" si="1"/>
        <v>526890.03600000008</v>
      </c>
      <c r="K6" s="17">
        <f t="shared" si="1"/>
        <v>584119.89600000007</v>
      </c>
      <c r="L6" s="17">
        <f t="shared" si="1"/>
        <v>621542.01600000006</v>
      </c>
      <c r="M6" s="17">
        <f t="shared" si="1"/>
        <v>695436.50600000005</v>
      </c>
      <c r="N6" s="17">
        <f t="shared" si="1"/>
        <v>730081.36600000004</v>
      </c>
      <c r="O6" s="17">
        <f>N6</f>
        <v>730081.36600000004</v>
      </c>
    </row>
    <row r="7" spans="2:15">
      <c r="B7" s="10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</row>
    <row r="8" spans="2:15">
      <c r="B8" s="10" t="s">
        <v>2750</v>
      </c>
      <c r="D8" s="17">
        <v>43241.379999999968</v>
      </c>
      <c r="E8" s="17">
        <v>29649.280000000057</v>
      </c>
      <c r="F8" s="17">
        <v>37760.659999999989</v>
      </c>
      <c r="G8" s="17">
        <v>21984.739999999972</v>
      </c>
      <c r="H8" s="17">
        <v>22390.35</v>
      </c>
      <c r="I8" s="17">
        <v>23566.019999999975</v>
      </c>
      <c r="J8" s="17">
        <v>20505.149999999965</v>
      </c>
      <c r="K8" s="17">
        <v>19045.909999999996</v>
      </c>
      <c r="L8" s="17">
        <v>12971.839999999982</v>
      </c>
      <c r="M8" s="17">
        <v>32090.819999999949</v>
      </c>
      <c r="N8" s="17">
        <v>12844.210000000014</v>
      </c>
      <c r="O8" s="17">
        <f>SUM(D8:N8)</f>
        <v>276050.35999999993</v>
      </c>
    </row>
    <row r="9" spans="2:15">
      <c r="B9" s="10" t="s">
        <v>2738</v>
      </c>
      <c r="D9" s="18">
        <f t="shared" ref="D9:O9" si="2">D8 /D2</f>
        <v>0.42557845673287586</v>
      </c>
      <c r="E9" s="18">
        <f t="shared" si="2"/>
        <v>0.37521804937559233</v>
      </c>
      <c r="F9" s="18">
        <f t="shared" si="2"/>
        <v>0.34997495720852395</v>
      </c>
      <c r="G9" s="18">
        <f t="shared" si="2"/>
        <v>0.42265406437106129</v>
      </c>
      <c r="H9" s="18">
        <f t="shared" si="2"/>
        <v>0.375561635343236</v>
      </c>
      <c r="I9" s="18">
        <f t="shared" si="2"/>
        <v>0.33500932626164653</v>
      </c>
      <c r="J9" s="18">
        <f t="shared" si="2"/>
        <v>0.34608017490718462</v>
      </c>
      <c r="K9" s="18">
        <f t="shared" si="2"/>
        <v>0.32880923570568193</v>
      </c>
      <c r="L9" s="18">
        <f t="shared" si="2"/>
        <v>0.33815617627507416</v>
      </c>
      <c r="M9" s="18">
        <f t="shared" si="2"/>
        <v>0.42309666410846236</v>
      </c>
      <c r="N9" s="18">
        <f t="shared" si="2"/>
        <v>0.37115171893258964</v>
      </c>
      <c r="O9" s="18">
        <f t="shared" si="2"/>
        <v>0.37482051273695599</v>
      </c>
    </row>
    <row r="10" spans="2:15">
      <c r="B10" s="10" t="s">
        <v>2739</v>
      </c>
      <c r="D10" s="17">
        <f t="shared" ref="D10:N10" si="3">C10 + D8</f>
        <v>43241.379999999968</v>
      </c>
      <c r="E10" s="17">
        <f t="shared" si="3"/>
        <v>72890.660000000033</v>
      </c>
      <c r="F10" s="17">
        <f t="shared" si="3"/>
        <v>110651.32000000002</v>
      </c>
      <c r="G10" s="17">
        <f t="shared" si="3"/>
        <v>132636.06</v>
      </c>
      <c r="H10" s="17">
        <f t="shared" si="3"/>
        <v>155026.41</v>
      </c>
      <c r="I10" s="17">
        <f t="shared" si="3"/>
        <v>178592.43</v>
      </c>
      <c r="J10" s="17">
        <f t="shared" si="3"/>
        <v>199097.57999999996</v>
      </c>
      <c r="K10" s="17">
        <f t="shared" si="3"/>
        <v>218143.48999999996</v>
      </c>
      <c r="L10" s="17">
        <f t="shared" si="3"/>
        <v>231115.32999999996</v>
      </c>
      <c r="M10" s="17">
        <f t="shared" si="3"/>
        <v>263206.14999999991</v>
      </c>
      <c r="N10" s="17">
        <f t="shared" si="3"/>
        <v>276050.35999999993</v>
      </c>
      <c r="O10" s="17">
        <f>N10</f>
        <v>276050.35999999993</v>
      </c>
    </row>
    <row r="11" spans="2:15">
      <c r="B11" s="10" t="s">
        <v>2740</v>
      </c>
      <c r="D11" s="18">
        <f t="shared" ref="D11:O11" si="4">D10/D3</f>
        <v>0.42557845673287586</v>
      </c>
      <c r="E11" s="18">
        <f t="shared" si="4"/>
        <v>0.40354706296633597</v>
      </c>
      <c r="F11" s="18">
        <f t="shared" si="4"/>
        <v>0.38351318494975661</v>
      </c>
      <c r="G11" s="18">
        <f t="shared" si="4"/>
        <v>0.38949184164489781</v>
      </c>
      <c r="H11" s="18">
        <f t="shared" si="4"/>
        <v>0.38741640478447226</v>
      </c>
      <c r="I11" s="18">
        <f t="shared" si="4"/>
        <v>0.37958101279099832</v>
      </c>
      <c r="J11" s="18">
        <f t="shared" si="4"/>
        <v>0.37583411269678579</v>
      </c>
      <c r="K11" s="18">
        <f t="shared" si="4"/>
        <v>0.37119910929974681</v>
      </c>
      <c r="L11" s="18">
        <f t="shared" si="4"/>
        <v>0.36917438610859055</v>
      </c>
      <c r="M11" s="18">
        <f t="shared" si="4"/>
        <v>0.37500140337291621</v>
      </c>
      <c r="N11" s="18">
        <f t="shared" si="4"/>
        <v>0.37482051273695599</v>
      </c>
      <c r="O11" s="18">
        <f t="shared" si="4"/>
        <v>0.37482051273695599</v>
      </c>
    </row>
    <row r="12" spans="2:15">
      <c r="B12" s="10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</row>
    <row r="13" spans="2:15">
      <c r="B13" s="10" t="s">
        <v>2875</v>
      </c>
      <c r="D13" s="17">
        <v>56230.353623509211</v>
      </c>
      <c r="E13" s="17">
        <v>73676.989535838831</v>
      </c>
      <c r="F13" s="17">
        <v>76283.523761633536</v>
      </c>
      <c r="G13" s="17">
        <v>89140.152444664142</v>
      </c>
      <c r="H13" s="17">
        <v>65811.30244852195</v>
      </c>
      <c r="I13" s="17">
        <v>75740.188568526748</v>
      </c>
      <c r="J13" s="17">
        <v>146684.37259535523</v>
      </c>
      <c r="K13" s="17">
        <v>102152.08558916797</v>
      </c>
      <c r="L13" s="17">
        <v>75317.133685344379</v>
      </c>
      <c r="M13" s="17">
        <v>79901.610785451499</v>
      </c>
      <c r="N13" s="17">
        <v>152669.35491331771</v>
      </c>
      <c r="O13" s="17">
        <f>SUM(D13:N13)</f>
        <v>993607.06795133126</v>
      </c>
    </row>
    <row r="14" spans="2:15">
      <c r="B14" s="10" t="s">
        <v>2876</v>
      </c>
      <c r="D14" s="17">
        <f t="shared" ref="D14:O14" si="5">D2 - D13</f>
        <v>45375.776376490809</v>
      </c>
      <c r="E14" s="17">
        <f t="shared" si="5"/>
        <v>5341.8104641611717</v>
      </c>
      <c r="F14" s="17">
        <f t="shared" si="5"/>
        <v>31611.796238366442</v>
      </c>
      <c r="G14" s="17">
        <f t="shared" si="5"/>
        <v>-37124.232444664143</v>
      </c>
      <c r="H14" s="17">
        <f t="shared" si="5"/>
        <v>-6192.9924485219526</v>
      </c>
      <c r="I14" s="17">
        <f t="shared" si="5"/>
        <v>-5395.8185685267672</v>
      </c>
      <c r="J14" s="17">
        <f t="shared" si="5"/>
        <v>-87434.662595355243</v>
      </c>
      <c r="K14" s="17">
        <f t="shared" si="5"/>
        <v>-44228.195589167961</v>
      </c>
      <c r="L14" s="17">
        <f t="shared" si="5"/>
        <v>-36956.633685344379</v>
      </c>
      <c r="M14" s="17">
        <f t="shared" si="5"/>
        <v>-4054.1207854515233</v>
      </c>
      <c r="N14" s="17">
        <f t="shared" si="5"/>
        <v>-118062.99491331771</v>
      </c>
      <c r="O14" s="17">
        <f t="shared" si="5"/>
        <v>-257120.26795133133</v>
      </c>
    </row>
    <row r="15" spans="2:15">
      <c r="B15" s="10" t="s">
        <v>2877</v>
      </c>
      <c r="D15" s="17">
        <f t="shared" ref="D15:N15" si="6">C15 + D13</f>
        <v>56230.353623509211</v>
      </c>
      <c r="E15" s="17">
        <f t="shared" si="6"/>
        <v>129907.34315934803</v>
      </c>
      <c r="F15" s="17">
        <f t="shared" si="6"/>
        <v>206190.86692098156</v>
      </c>
      <c r="G15" s="17">
        <f t="shared" si="6"/>
        <v>295331.01936564571</v>
      </c>
      <c r="H15" s="17">
        <f t="shared" si="6"/>
        <v>361142.32181416766</v>
      </c>
      <c r="I15" s="17">
        <f t="shared" si="6"/>
        <v>436882.51038269443</v>
      </c>
      <c r="J15" s="17">
        <f t="shared" si="6"/>
        <v>583566.88297804969</v>
      </c>
      <c r="K15" s="17">
        <f t="shared" si="6"/>
        <v>685718.9685672177</v>
      </c>
      <c r="L15" s="17">
        <f t="shared" si="6"/>
        <v>761036.10225256206</v>
      </c>
      <c r="M15" s="17">
        <f t="shared" si="6"/>
        <v>840937.71303801355</v>
      </c>
      <c r="N15" s="17">
        <f t="shared" si="6"/>
        <v>993607.06795133126</v>
      </c>
      <c r="O15" s="17">
        <f>N15</f>
        <v>993607.06795133126</v>
      </c>
    </row>
    <row r="16" spans="2:15">
      <c r="B16" s="10" t="s">
        <v>3275</v>
      </c>
      <c r="D16" s="17">
        <f t="shared" ref="D16:N16" si="7">D3 - D15</f>
        <v>45375.776376490809</v>
      </c>
      <c r="E16" s="17">
        <f t="shared" si="7"/>
        <v>50717.586840651988</v>
      </c>
      <c r="F16" s="17">
        <f t="shared" si="7"/>
        <v>82329.383079018444</v>
      </c>
      <c r="G16" s="17">
        <f t="shared" si="7"/>
        <v>45205.150634354271</v>
      </c>
      <c r="H16" s="17">
        <f t="shared" si="7"/>
        <v>39012.158185832319</v>
      </c>
      <c r="I16" s="17">
        <f t="shared" si="7"/>
        <v>33616.339617305552</v>
      </c>
      <c r="J16" s="17">
        <f t="shared" si="7"/>
        <v>-53818.32297804975</v>
      </c>
      <c r="K16" s="17">
        <f t="shared" si="7"/>
        <v>-98046.518567217747</v>
      </c>
      <c r="L16" s="17">
        <f t="shared" si="7"/>
        <v>-135003.15225256211</v>
      </c>
      <c r="M16" s="17">
        <f t="shared" si="7"/>
        <v>-139057.27303801361</v>
      </c>
      <c r="N16" s="17">
        <f t="shared" si="7"/>
        <v>-257120.26795133133</v>
      </c>
      <c r="O16" s="17">
        <f>O3-O15</f>
        <v>-257120.26795133133</v>
      </c>
    </row>
    <row r="17" spans="1:15">
      <c r="B17" s="10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</row>
    <row r="18" spans="1:15">
      <c r="B18" s="10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</row>
    <row r="19" spans="1:15">
      <c r="A19" t="s">
        <v>2878</v>
      </c>
      <c r="B19" t="s">
        <v>3276</v>
      </c>
      <c r="C19" t="s">
        <v>2879</v>
      </c>
      <c r="D19" s="17" t="s">
        <v>2862</v>
      </c>
      <c r="E19" s="17" t="s">
        <v>2863</v>
      </c>
      <c r="F19" s="17" t="s">
        <v>2864</v>
      </c>
      <c r="G19" s="17" t="s">
        <v>2865</v>
      </c>
      <c r="H19" s="17" t="s">
        <v>2866</v>
      </c>
      <c r="I19" s="17" t="s">
        <v>2867</v>
      </c>
      <c r="J19" s="17" t="s">
        <v>2868</v>
      </c>
      <c r="K19" s="17" t="s">
        <v>2869</v>
      </c>
      <c r="L19" s="17" t="s">
        <v>2870</v>
      </c>
      <c r="M19" s="17" t="s">
        <v>2871</v>
      </c>
      <c r="N19" s="17" t="s">
        <v>2872</v>
      </c>
      <c r="O19" s="17" t="s">
        <v>774</v>
      </c>
    </row>
    <row r="20" spans="1:15">
      <c r="A20">
        <v>1</v>
      </c>
      <c r="B20" t="s">
        <v>35</v>
      </c>
      <c r="C20" t="s">
        <v>2798</v>
      </c>
      <c r="D20" s="17">
        <v>59195.82</v>
      </c>
      <c r="E20" s="17"/>
      <c r="F20" s="17">
        <v>58955.979999999996</v>
      </c>
      <c r="G20" s="17"/>
      <c r="H20" s="17">
        <v>29518.28</v>
      </c>
      <c r="I20" s="17">
        <v>44290.43</v>
      </c>
      <c r="J20" s="17">
        <v>14768.12</v>
      </c>
      <c r="K20" s="17"/>
      <c r="L20" s="17">
        <v>14791.939999999999</v>
      </c>
      <c r="M20" s="17">
        <v>14823.079999999998</v>
      </c>
      <c r="N20" s="17"/>
      <c r="O20" s="17">
        <f t="shared" ref="O20:O61" si="8">SUM(D20:N20)</f>
        <v>236343.64999999997</v>
      </c>
    </row>
    <row r="21" spans="1:15">
      <c r="A21">
        <v>2</v>
      </c>
      <c r="B21" t="s">
        <v>12</v>
      </c>
      <c r="C21" t="s">
        <v>2792</v>
      </c>
      <c r="D21" s="17">
        <v>4490</v>
      </c>
      <c r="E21" s="17">
        <v>6395</v>
      </c>
      <c r="F21" s="17">
        <v>4273</v>
      </c>
      <c r="G21" s="17">
        <v>2795</v>
      </c>
      <c r="H21" s="17">
        <v>7105</v>
      </c>
      <c r="I21" s="17">
        <v>6840.5</v>
      </c>
      <c r="J21" s="17">
        <v>8004</v>
      </c>
      <c r="K21" s="17">
        <v>16156</v>
      </c>
      <c r="L21" s="17">
        <v>9055</v>
      </c>
      <c r="M21" s="17">
        <v>12474</v>
      </c>
      <c r="N21" s="17">
        <v>5330</v>
      </c>
      <c r="O21" s="17">
        <f t="shared" si="8"/>
        <v>82917.5</v>
      </c>
    </row>
    <row r="22" spans="1:15">
      <c r="A22">
        <v>3</v>
      </c>
      <c r="B22" t="s">
        <v>132</v>
      </c>
      <c r="C22" t="s">
        <v>2768</v>
      </c>
      <c r="D22" s="17"/>
      <c r="E22" s="17">
        <v>15215.98</v>
      </c>
      <c r="F22" s="17">
        <v>16434</v>
      </c>
      <c r="G22" s="17"/>
      <c r="H22" s="17"/>
      <c r="I22" s="17"/>
      <c r="J22" s="17"/>
      <c r="K22" s="17">
        <v>16174.1</v>
      </c>
      <c r="L22" s="17"/>
      <c r="M22" s="17"/>
      <c r="N22" s="17">
        <v>16796.64</v>
      </c>
      <c r="O22" s="17">
        <f t="shared" si="8"/>
        <v>64620.72</v>
      </c>
    </row>
    <row r="23" spans="1:15">
      <c r="A23">
        <v>4</v>
      </c>
      <c r="B23" t="s">
        <v>46</v>
      </c>
      <c r="C23" t="s">
        <v>2809</v>
      </c>
      <c r="D23" s="17">
        <v>4978.5</v>
      </c>
      <c r="E23" s="17">
        <v>3019.5</v>
      </c>
      <c r="F23" s="17">
        <v>6717</v>
      </c>
      <c r="G23" s="17">
        <v>3403.5</v>
      </c>
      <c r="H23" s="17">
        <v>3408.75</v>
      </c>
      <c r="I23" s="17">
        <v>2526.25</v>
      </c>
      <c r="J23" s="17">
        <v>2366.5</v>
      </c>
      <c r="K23" s="17">
        <v>6950</v>
      </c>
      <c r="L23" s="17">
        <v>2057.5</v>
      </c>
      <c r="M23" s="17">
        <v>3889</v>
      </c>
      <c r="N23" s="17">
        <v>2750</v>
      </c>
      <c r="O23" s="17">
        <f t="shared" si="8"/>
        <v>42066.5</v>
      </c>
    </row>
    <row r="24" spans="1:15">
      <c r="A24">
        <v>5</v>
      </c>
      <c r="B24" t="s">
        <v>24</v>
      </c>
      <c r="C24" t="s">
        <v>2822</v>
      </c>
      <c r="D24" s="17">
        <v>4623</v>
      </c>
      <c r="E24" s="17">
        <v>10765.9</v>
      </c>
      <c r="F24" s="17">
        <v>838</v>
      </c>
      <c r="G24" s="17">
        <v>3296.5</v>
      </c>
      <c r="H24" s="17">
        <v>572.5</v>
      </c>
      <c r="I24" s="17">
        <v>1044.4000000000001</v>
      </c>
      <c r="J24" s="17">
        <v>1808.1</v>
      </c>
      <c r="K24" s="17"/>
      <c r="L24" s="17">
        <v>873.75</v>
      </c>
      <c r="M24" s="17">
        <v>1023.7</v>
      </c>
      <c r="N24" s="17">
        <v>1430.2</v>
      </c>
      <c r="O24" s="17">
        <f t="shared" si="8"/>
        <v>26276.050000000003</v>
      </c>
    </row>
    <row r="25" spans="1:15">
      <c r="A25">
        <v>6</v>
      </c>
      <c r="B25" t="s">
        <v>38</v>
      </c>
      <c r="C25" t="s">
        <v>2787</v>
      </c>
      <c r="D25" s="17">
        <v>2686</v>
      </c>
      <c r="E25" s="17">
        <v>4414</v>
      </c>
      <c r="F25" s="17">
        <v>3805</v>
      </c>
      <c r="G25" s="17">
        <v>5042</v>
      </c>
      <c r="H25" s="17"/>
      <c r="I25" s="17"/>
      <c r="J25" s="17"/>
      <c r="K25" s="17">
        <v>1410</v>
      </c>
      <c r="L25" s="17">
        <v>1107</v>
      </c>
      <c r="M25" s="17"/>
      <c r="N25" s="17">
        <v>2952</v>
      </c>
      <c r="O25" s="17">
        <f t="shared" si="8"/>
        <v>21416</v>
      </c>
    </row>
    <row r="26" spans="1:15">
      <c r="A26">
        <v>7</v>
      </c>
      <c r="B26" t="s">
        <v>49</v>
      </c>
      <c r="C26" t="s">
        <v>2823</v>
      </c>
      <c r="D26" s="17">
        <v>1618.98</v>
      </c>
      <c r="E26" s="17">
        <v>4642.8</v>
      </c>
      <c r="F26" s="17">
        <v>1362.31</v>
      </c>
      <c r="G26" s="17">
        <v>1482.5</v>
      </c>
      <c r="H26" s="17">
        <v>1558.15</v>
      </c>
      <c r="I26" s="17">
        <v>1205.54</v>
      </c>
      <c r="J26" s="17">
        <v>2965.78</v>
      </c>
      <c r="K26" s="17"/>
      <c r="L26" s="17"/>
      <c r="M26" s="17">
        <v>4079</v>
      </c>
      <c r="N26" s="17"/>
      <c r="O26" s="17">
        <f t="shared" si="8"/>
        <v>18915.059999999998</v>
      </c>
    </row>
    <row r="27" spans="1:15">
      <c r="A27">
        <v>8</v>
      </c>
      <c r="B27" t="s">
        <v>188</v>
      </c>
      <c r="C27" t="s">
        <v>2803</v>
      </c>
      <c r="D27" s="17"/>
      <c r="E27" s="17">
        <v>8700</v>
      </c>
      <c r="F27" s="17"/>
      <c r="G27" s="17">
        <v>10185</v>
      </c>
      <c r="H27" s="17"/>
      <c r="I27" s="17"/>
      <c r="J27" s="17"/>
      <c r="K27" s="17"/>
      <c r="L27" s="17"/>
      <c r="M27" s="17"/>
      <c r="N27" s="17"/>
      <c r="O27" s="17">
        <f t="shared" si="8"/>
        <v>18885</v>
      </c>
    </row>
    <row r="28" spans="1:15">
      <c r="A28">
        <v>9</v>
      </c>
      <c r="B28" t="s">
        <v>65</v>
      </c>
      <c r="C28" t="s">
        <v>2813</v>
      </c>
      <c r="D28" s="17">
        <v>8624</v>
      </c>
      <c r="E28" s="17">
        <v>1024</v>
      </c>
      <c r="F28" s="17"/>
      <c r="G28" s="17"/>
      <c r="H28" s="17"/>
      <c r="I28" s="17"/>
      <c r="J28" s="17"/>
      <c r="K28" s="17">
        <v>8680</v>
      </c>
      <c r="L28" s="17"/>
      <c r="M28" s="17"/>
      <c r="N28" s="17"/>
      <c r="O28" s="17">
        <f t="shared" si="8"/>
        <v>18328</v>
      </c>
    </row>
    <row r="29" spans="1:15">
      <c r="A29">
        <v>10</v>
      </c>
      <c r="B29" t="s">
        <v>29</v>
      </c>
      <c r="C29" t="s">
        <v>2819</v>
      </c>
      <c r="D29" s="17">
        <v>969</v>
      </c>
      <c r="E29" s="17">
        <v>1278.5</v>
      </c>
      <c r="F29" s="17"/>
      <c r="G29" s="17">
        <v>3328</v>
      </c>
      <c r="H29" s="17"/>
      <c r="I29" s="17">
        <v>1229.25</v>
      </c>
      <c r="J29" s="17"/>
      <c r="K29" s="17">
        <v>3427.25</v>
      </c>
      <c r="L29" s="17">
        <v>1859</v>
      </c>
      <c r="M29" s="17">
        <v>6115.1900000000005</v>
      </c>
      <c r="N29" s="17"/>
      <c r="O29" s="17">
        <f t="shared" si="8"/>
        <v>18206.190000000002</v>
      </c>
    </row>
    <row r="30" spans="1:15">
      <c r="A30">
        <v>11</v>
      </c>
      <c r="B30" t="s">
        <v>417</v>
      </c>
      <c r="C30" t="s">
        <v>2788</v>
      </c>
      <c r="D30" s="17"/>
      <c r="E30" s="17"/>
      <c r="F30" s="17"/>
      <c r="G30" s="17"/>
      <c r="H30" s="17"/>
      <c r="I30" s="17">
        <v>2969.8</v>
      </c>
      <c r="J30" s="17"/>
      <c r="K30" s="17"/>
      <c r="L30" s="17"/>
      <c r="M30" s="17">
        <v>9288</v>
      </c>
      <c r="N30" s="17"/>
      <c r="O30" s="17">
        <f t="shared" si="8"/>
        <v>12257.8</v>
      </c>
    </row>
    <row r="31" spans="1:15">
      <c r="A31">
        <v>12</v>
      </c>
      <c r="B31" t="s">
        <v>107</v>
      </c>
      <c r="C31" t="s">
        <v>2780</v>
      </c>
      <c r="D31" s="17"/>
      <c r="E31" s="17">
        <v>3856.35</v>
      </c>
      <c r="F31" s="17"/>
      <c r="G31" s="17"/>
      <c r="H31" s="17"/>
      <c r="I31" s="17"/>
      <c r="J31" s="17"/>
      <c r="K31" s="17"/>
      <c r="L31" s="17"/>
      <c r="M31" s="17">
        <v>8115.25</v>
      </c>
      <c r="N31" s="17"/>
      <c r="O31" s="17">
        <f t="shared" si="8"/>
        <v>11971.6</v>
      </c>
    </row>
    <row r="32" spans="1:15">
      <c r="A32">
        <v>13</v>
      </c>
      <c r="B32" t="s">
        <v>32</v>
      </c>
      <c r="C32" t="s">
        <v>2785</v>
      </c>
      <c r="D32" s="17">
        <v>1461.35</v>
      </c>
      <c r="E32" s="17">
        <v>239.58000000000004</v>
      </c>
      <c r="F32" s="17">
        <v>1376.8000000000002</v>
      </c>
      <c r="G32" s="17">
        <v>428.64</v>
      </c>
      <c r="H32" s="17">
        <v>394.84000000000003</v>
      </c>
      <c r="I32" s="17">
        <v>1468.5</v>
      </c>
      <c r="J32" s="17">
        <v>391.75</v>
      </c>
      <c r="K32" s="17">
        <v>1049.23</v>
      </c>
      <c r="L32" s="17">
        <v>1160.48</v>
      </c>
      <c r="M32" s="17">
        <v>805.47</v>
      </c>
      <c r="N32" s="17">
        <v>366.3</v>
      </c>
      <c r="O32" s="17">
        <f t="shared" si="8"/>
        <v>9142.9399999999987</v>
      </c>
    </row>
    <row r="33" spans="1:15">
      <c r="A33">
        <v>14</v>
      </c>
      <c r="B33" t="s">
        <v>178</v>
      </c>
      <c r="C33" t="s">
        <v>2775</v>
      </c>
      <c r="D33" s="17"/>
      <c r="E33" s="17">
        <v>2039</v>
      </c>
      <c r="F33" s="17">
        <v>2054</v>
      </c>
      <c r="G33" s="17">
        <v>1637</v>
      </c>
      <c r="H33" s="17">
        <v>1635</v>
      </c>
      <c r="I33" s="17">
        <v>1663.2</v>
      </c>
      <c r="J33" s="17"/>
      <c r="K33" s="17"/>
      <c r="L33" s="17"/>
      <c r="M33" s="17"/>
      <c r="N33" s="17"/>
      <c r="O33" s="17">
        <f t="shared" si="8"/>
        <v>9028.2000000000007</v>
      </c>
    </row>
    <row r="34" spans="1:15">
      <c r="A34">
        <v>15</v>
      </c>
      <c r="B34" t="s">
        <v>249</v>
      </c>
      <c r="C34" t="s">
        <v>2805</v>
      </c>
      <c r="D34" s="17"/>
      <c r="E34" s="17"/>
      <c r="F34" s="17">
        <v>5311.02</v>
      </c>
      <c r="G34" s="17"/>
      <c r="H34" s="17"/>
      <c r="I34" s="17"/>
      <c r="J34" s="17">
        <v>3031.5</v>
      </c>
      <c r="K34" s="17"/>
      <c r="L34" s="17"/>
      <c r="M34" s="17"/>
      <c r="N34" s="17"/>
      <c r="O34" s="17">
        <f t="shared" si="8"/>
        <v>8342.52</v>
      </c>
    </row>
    <row r="35" spans="1:15">
      <c r="A35">
        <v>16</v>
      </c>
      <c r="B35" t="s">
        <v>56</v>
      </c>
      <c r="C35" t="s">
        <v>2786</v>
      </c>
      <c r="D35" s="17">
        <v>2186.5</v>
      </c>
      <c r="E35" s="17"/>
      <c r="F35" s="17">
        <v>683.5</v>
      </c>
      <c r="G35" s="17"/>
      <c r="H35" s="17"/>
      <c r="I35" s="17"/>
      <c r="J35" s="17">
        <v>1602.5</v>
      </c>
      <c r="K35" s="17"/>
      <c r="L35" s="17"/>
      <c r="M35" s="17"/>
      <c r="N35" s="17">
        <v>2972</v>
      </c>
      <c r="O35" s="17">
        <f t="shared" si="8"/>
        <v>7444.5</v>
      </c>
    </row>
    <row r="36" spans="1:15">
      <c r="A36">
        <v>17</v>
      </c>
      <c r="B36" t="s">
        <v>382</v>
      </c>
      <c r="C36" t="s">
        <v>2777</v>
      </c>
      <c r="D36" s="17"/>
      <c r="E36" s="17"/>
      <c r="F36" s="17"/>
      <c r="G36" s="17"/>
      <c r="H36" s="17">
        <v>6685.55</v>
      </c>
      <c r="I36" s="17"/>
      <c r="J36" s="17"/>
      <c r="K36" s="17"/>
      <c r="L36" s="17"/>
      <c r="M36" s="17"/>
      <c r="N36" s="17"/>
      <c r="O36" s="17">
        <f t="shared" si="8"/>
        <v>6685.55</v>
      </c>
    </row>
    <row r="37" spans="1:15">
      <c r="A37">
        <v>18</v>
      </c>
      <c r="B37" t="s">
        <v>346</v>
      </c>
      <c r="C37" t="s">
        <v>2847</v>
      </c>
      <c r="D37" s="17"/>
      <c r="E37" s="17"/>
      <c r="F37" s="17"/>
      <c r="G37" s="17">
        <v>6495</v>
      </c>
      <c r="H37" s="17"/>
      <c r="I37" s="17"/>
      <c r="J37" s="17"/>
      <c r="K37" s="17"/>
      <c r="L37" s="17"/>
      <c r="M37" s="17"/>
      <c r="N37" s="17"/>
      <c r="O37" s="17">
        <f t="shared" si="8"/>
        <v>6495</v>
      </c>
    </row>
    <row r="38" spans="1:15">
      <c r="A38">
        <v>19</v>
      </c>
      <c r="B38" t="s">
        <v>59</v>
      </c>
      <c r="C38" t="s">
        <v>2800</v>
      </c>
      <c r="D38" s="17">
        <v>73.7</v>
      </c>
      <c r="E38" s="17">
        <v>1853.7</v>
      </c>
      <c r="F38" s="17"/>
      <c r="G38" s="17"/>
      <c r="H38" s="17">
        <v>755.5</v>
      </c>
      <c r="I38" s="17"/>
      <c r="J38" s="17">
        <v>2370.6999999999998</v>
      </c>
      <c r="K38" s="17">
        <v>255</v>
      </c>
      <c r="L38" s="17"/>
      <c r="M38" s="17">
        <v>1017</v>
      </c>
      <c r="N38" s="17"/>
      <c r="O38" s="17">
        <f t="shared" si="8"/>
        <v>6325.6</v>
      </c>
    </row>
    <row r="39" spans="1:15">
      <c r="A39">
        <v>20</v>
      </c>
      <c r="B39" t="s">
        <v>172</v>
      </c>
      <c r="C39" t="s">
        <v>2802</v>
      </c>
      <c r="D39" s="17"/>
      <c r="E39" s="17">
        <v>1854.8</v>
      </c>
      <c r="F39" s="17"/>
      <c r="G39" s="17"/>
      <c r="H39" s="17">
        <v>3790.4</v>
      </c>
      <c r="I39" s="17"/>
      <c r="J39" s="17"/>
      <c r="K39" s="17"/>
      <c r="L39" s="17"/>
      <c r="M39" s="17"/>
      <c r="N39" s="17"/>
      <c r="O39" s="17">
        <f t="shared" si="8"/>
        <v>5645.2</v>
      </c>
    </row>
    <row r="40" spans="1:15">
      <c r="A40">
        <v>21</v>
      </c>
      <c r="B40" t="s">
        <v>98</v>
      </c>
      <c r="C40" t="s">
        <v>2796</v>
      </c>
      <c r="D40" s="17">
        <v>2561</v>
      </c>
      <c r="E40" s="17"/>
      <c r="F40" s="17"/>
      <c r="G40" s="17"/>
      <c r="H40" s="17"/>
      <c r="I40" s="17"/>
      <c r="J40" s="17"/>
      <c r="K40" s="17"/>
      <c r="L40" s="17"/>
      <c r="M40" s="17">
        <v>2764</v>
      </c>
      <c r="N40" s="17"/>
      <c r="O40" s="17">
        <f t="shared" si="8"/>
        <v>5325</v>
      </c>
    </row>
    <row r="41" spans="1:15">
      <c r="A41">
        <v>22</v>
      </c>
      <c r="B41" t="s">
        <v>455</v>
      </c>
      <c r="C41" t="s">
        <v>2826</v>
      </c>
      <c r="D41" s="17"/>
      <c r="E41" s="17"/>
      <c r="F41" s="17"/>
      <c r="G41" s="17"/>
      <c r="H41" s="17"/>
      <c r="I41" s="17">
        <v>1634</v>
      </c>
      <c r="J41" s="17"/>
      <c r="K41" s="17"/>
      <c r="L41" s="17">
        <v>2064</v>
      </c>
      <c r="M41" s="17">
        <v>1545.5</v>
      </c>
      <c r="N41" s="17"/>
      <c r="O41" s="17">
        <f t="shared" si="8"/>
        <v>5243.5</v>
      </c>
    </row>
    <row r="42" spans="1:15">
      <c r="A42">
        <v>23</v>
      </c>
      <c r="B42" t="s">
        <v>91</v>
      </c>
      <c r="C42" t="s">
        <v>2801</v>
      </c>
      <c r="D42" s="17">
        <v>84.25</v>
      </c>
      <c r="E42" s="17">
        <v>1427</v>
      </c>
      <c r="F42" s="17">
        <v>84.25</v>
      </c>
      <c r="G42" s="17"/>
      <c r="H42" s="17"/>
      <c r="I42" s="17">
        <v>1431</v>
      </c>
      <c r="J42" s="17"/>
      <c r="K42" s="17"/>
      <c r="L42" s="17"/>
      <c r="M42" s="17">
        <v>1432</v>
      </c>
      <c r="N42" s="17"/>
      <c r="O42" s="17">
        <f t="shared" si="8"/>
        <v>4458.5</v>
      </c>
    </row>
    <row r="43" spans="1:15">
      <c r="A43">
        <v>24</v>
      </c>
      <c r="B43" t="s">
        <v>301</v>
      </c>
      <c r="C43" t="s">
        <v>2772</v>
      </c>
      <c r="D43" s="17"/>
      <c r="E43" s="17"/>
      <c r="F43" s="17"/>
      <c r="G43" s="17">
        <v>4412</v>
      </c>
      <c r="H43" s="17"/>
      <c r="I43" s="17"/>
      <c r="J43" s="17"/>
      <c r="K43" s="17"/>
      <c r="L43" s="17"/>
      <c r="M43" s="17"/>
      <c r="N43" s="17">
        <v>0</v>
      </c>
      <c r="O43" s="17">
        <f t="shared" si="8"/>
        <v>4412</v>
      </c>
    </row>
    <row r="44" spans="1:15">
      <c r="A44">
        <v>25</v>
      </c>
      <c r="B44" t="s">
        <v>296</v>
      </c>
      <c r="C44" t="s">
        <v>2774</v>
      </c>
      <c r="D44" s="17"/>
      <c r="E44" s="17"/>
      <c r="F44" s="17"/>
      <c r="G44" s="17">
        <v>2309.4</v>
      </c>
      <c r="H44" s="17"/>
      <c r="I44" s="17"/>
      <c r="J44" s="17">
        <v>2009.7</v>
      </c>
      <c r="K44" s="17"/>
      <c r="L44" s="17"/>
      <c r="M44" s="17"/>
      <c r="N44" s="17"/>
      <c r="O44" s="17">
        <f t="shared" si="8"/>
        <v>4319.1000000000004</v>
      </c>
    </row>
    <row r="45" spans="1:15">
      <c r="A45">
        <v>26</v>
      </c>
      <c r="B45" t="s">
        <v>126</v>
      </c>
      <c r="C45" t="s">
        <v>2814</v>
      </c>
      <c r="D45" s="17"/>
      <c r="E45" s="17">
        <v>364.9</v>
      </c>
      <c r="F45" s="17">
        <v>322</v>
      </c>
      <c r="G45" s="17">
        <v>549.25</v>
      </c>
      <c r="H45" s="17"/>
      <c r="I45" s="17">
        <v>451.5</v>
      </c>
      <c r="J45" s="17">
        <v>1337</v>
      </c>
      <c r="K45" s="17">
        <v>341</v>
      </c>
      <c r="L45" s="17"/>
      <c r="M45" s="17"/>
      <c r="N45" s="17">
        <v>561.9</v>
      </c>
      <c r="O45" s="17">
        <f t="shared" si="8"/>
        <v>3927.55</v>
      </c>
    </row>
    <row r="46" spans="1:15">
      <c r="A46">
        <v>27</v>
      </c>
      <c r="B46" t="s">
        <v>351</v>
      </c>
      <c r="C46" t="s">
        <v>2791</v>
      </c>
      <c r="D46" s="17"/>
      <c r="E46" s="17"/>
      <c r="F46" s="17"/>
      <c r="G46" s="17">
        <v>1190</v>
      </c>
      <c r="H46" s="17"/>
      <c r="I46" s="17"/>
      <c r="J46" s="17"/>
      <c r="K46" s="17"/>
      <c r="L46" s="17"/>
      <c r="M46" s="17">
        <v>2646</v>
      </c>
      <c r="N46" s="17"/>
      <c r="O46" s="17">
        <f t="shared" si="8"/>
        <v>3836</v>
      </c>
    </row>
    <row r="47" spans="1:15">
      <c r="A47">
        <v>28</v>
      </c>
      <c r="B47" t="s">
        <v>15</v>
      </c>
      <c r="C47" t="s">
        <v>2781</v>
      </c>
      <c r="D47" s="17">
        <v>1657.4</v>
      </c>
      <c r="E47" s="17"/>
      <c r="F47" s="17"/>
      <c r="G47" s="17"/>
      <c r="H47" s="17"/>
      <c r="I47" s="17"/>
      <c r="J47" s="17">
        <v>1956.3</v>
      </c>
      <c r="K47" s="17"/>
      <c r="L47" s="17"/>
      <c r="M47" s="17"/>
      <c r="N47" s="17"/>
      <c r="O47" s="17">
        <f t="shared" si="8"/>
        <v>3613.7</v>
      </c>
    </row>
    <row r="48" spans="1:15">
      <c r="A48">
        <v>29</v>
      </c>
      <c r="B48" t="s">
        <v>80</v>
      </c>
      <c r="C48" t="s">
        <v>2832</v>
      </c>
      <c r="D48" s="17">
        <v>27.44</v>
      </c>
      <c r="E48" s="17"/>
      <c r="F48" s="17">
        <v>780.93999999999994</v>
      </c>
      <c r="G48" s="17">
        <v>53.28</v>
      </c>
      <c r="H48" s="17"/>
      <c r="I48" s="17"/>
      <c r="J48" s="17">
        <v>1393.12</v>
      </c>
      <c r="K48" s="17"/>
      <c r="L48" s="17">
        <v>84.78</v>
      </c>
      <c r="M48" s="17"/>
      <c r="N48" s="17">
        <v>1048.82</v>
      </c>
      <c r="O48" s="17">
        <f t="shared" si="8"/>
        <v>3388.38</v>
      </c>
    </row>
    <row r="49" spans="1:15">
      <c r="A49">
        <v>30</v>
      </c>
      <c r="B49" t="s">
        <v>135</v>
      </c>
      <c r="C49" t="s">
        <v>2789</v>
      </c>
      <c r="D49" s="17"/>
      <c r="E49" s="17">
        <v>867.3</v>
      </c>
      <c r="F49" s="17">
        <v>824</v>
      </c>
      <c r="G49" s="17">
        <v>482.48</v>
      </c>
      <c r="H49" s="17"/>
      <c r="I49" s="17"/>
      <c r="J49" s="17">
        <v>980.2</v>
      </c>
      <c r="K49" s="17"/>
      <c r="L49" s="17"/>
      <c r="M49" s="17"/>
      <c r="N49" s="17"/>
      <c r="O49" s="17">
        <f t="shared" si="8"/>
        <v>3153.9799999999996</v>
      </c>
    </row>
    <row r="50" spans="1:15">
      <c r="A50">
        <v>31</v>
      </c>
      <c r="B50" t="s">
        <v>440</v>
      </c>
      <c r="C50" t="s">
        <v>2817</v>
      </c>
      <c r="D50" s="17"/>
      <c r="E50" s="17"/>
      <c r="F50" s="17"/>
      <c r="G50" s="17"/>
      <c r="H50" s="17"/>
      <c r="I50" s="17">
        <v>2950</v>
      </c>
      <c r="J50" s="17"/>
      <c r="K50" s="17"/>
      <c r="L50" s="17"/>
      <c r="M50" s="17"/>
      <c r="N50" s="17"/>
      <c r="O50" s="17">
        <f t="shared" si="8"/>
        <v>2950</v>
      </c>
    </row>
    <row r="51" spans="1:15">
      <c r="A51">
        <v>32</v>
      </c>
      <c r="B51" t="s">
        <v>169</v>
      </c>
      <c r="C51" t="s">
        <v>2812</v>
      </c>
      <c r="D51" s="17"/>
      <c r="E51" s="17">
        <v>2756</v>
      </c>
      <c r="F51" s="17"/>
      <c r="G51" s="17"/>
      <c r="H51" s="17"/>
      <c r="I51" s="17"/>
      <c r="J51" s="17"/>
      <c r="K51" s="17"/>
      <c r="L51" s="17"/>
      <c r="M51" s="17"/>
      <c r="N51" s="17"/>
      <c r="O51" s="17">
        <f t="shared" si="8"/>
        <v>2756</v>
      </c>
    </row>
    <row r="52" spans="1:15">
      <c r="A52">
        <v>33</v>
      </c>
      <c r="B52" t="s">
        <v>255</v>
      </c>
      <c r="C52" t="s">
        <v>2795</v>
      </c>
      <c r="D52" s="17"/>
      <c r="E52" s="17"/>
      <c r="F52" s="17">
        <v>1283</v>
      </c>
      <c r="G52" s="17"/>
      <c r="H52" s="17"/>
      <c r="I52" s="17"/>
      <c r="J52" s="17"/>
      <c r="K52" s="17"/>
      <c r="L52" s="17">
        <v>1337</v>
      </c>
      <c r="M52" s="17"/>
      <c r="N52" s="17"/>
      <c r="O52" s="17">
        <f t="shared" si="8"/>
        <v>2620</v>
      </c>
    </row>
    <row r="53" spans="1:15">
      <c r="A53">
        <v>34</v>
      </c>
      <c r="B53" t="s">
        <v>198</v>
      </c>
      <c r="C53" t="s">
        <v>2808</v>
      </c>
      <c r="D53" s="17"/>
      <c r="E53" s="17">
        <v>1445.5</v>
      </c>
      <c r="F53" s="17"/>
      <c r="G53" s="17"/>
      <c r="H53" s="17">
        <v>419</v>
      </c>
      <c r="I53" s="17"/>
      <c r="J53" s="17"/>
      <c r="K53" s="17"/>
      <c r="L53" s="17">
        <v>564</v>
      </c>
      <c r="M53" s="17"/>
      <c r="N53" s="17"/>
      <c r="O53" s="17">
        <f t="shared" si="8"/>
        <v>2428.5</v>
      </c>
    </row>
    <row r="54" spans="1:15">
      <c r="A54">
        <v>35</v>
      </c>
      <c r="B54" t="s">
        <v>41</v>
      </c>
      <c r="C54" t="s">
        <v>2839</v>
      </c>
      <c r="D54" s="17">
        <v>2391</v>
      </c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>
        <f t="shared" si="8"/>
        <v>2391</v>
      </c>
    </row>
    <row r="55" spans="1:15">
      <c r="A55">
        <v>36</v>
      </c>
      <c r="B55" t="s">
        <v>339</v>
      </c>
      <c r="C55" t="s">
        <v>2779</v>
      </c>
      <c r="D55" s="17"/>
      <c r="E55" s="17"/>
      <c r="F55" s="17"/>
      <c r="G55" s="17">
        <v>2106</v>
      </c>
      <c r="H55" s="17">
        <v>0</v>
      </c>
      <c r="I55" s="17">
        <v>269</v>
      </c>
      <c r="J55" s="17"/>
      <c r="K55" s="17"/>
      <c r="L55" s="17"/>
      <c r="M55" s="17"/>
      <c r="N55" s="17"/>
      <c r="O55" s="17">
        <f t="shared" si="8"/>
        <v>2375</v>
      </c>
    </row>
    <row r="56" spans="1:15">
      <c r="A56">
        <v>37</v>
      </c>
      <c r="B56" t="s">
        <v>120</v>
      </c>
      <c r="C56" t="s">
        <v>2794</v>
      </c>
      <c r="D56" s="17"/>
      <c r="E56" s="17">
        <v>1454</v>
      </c>
      <c r="F56" s="17"/>
      <c r="G56" s="17"/>
      <c r="H56" s="17"/>
      <c r="I56" s="17"/>
      <c r="J56" s="17">
        <v>900</v>
      </c>
      <c r="K56" s="17"/>
      <c r="L56" s="17"/>
      <c r="M56" s="17"/>
      <c r="N56" s="17"/>
      <c r="O56" s="17">
        <f t="shared" si="8"/>
        <v>2354</v>
      </c>
    </row>
    <row r="57" spans="1:15">
      <c r="A57">
        <v>38</v>
      </c>
      <c r="B57" t="s">
        <v>519</v>
      </c>
      <c r="C57" t="s">
        <v>2821</v>
      </c>
      <c r="D57" s="17"/>
      <c r="E57" s="17"/>
      <c r="F57" s="17"/>
      <c r="G57" s="17"/>
      <c r="H57" s="17"/>
      <c r="I57" s="17"/>
      <c r="J57" s="17">
        <v>2241.96</v>
      </c>
      <c r="K57" s="17"/>
      <c r="L57" s="17"/>
      <c r="M57" s="17"/>
      <c r="N57" s="17"/>
      <c r="O57" s="17">
        <f t="shared" si="8"/>
        <v>2241.96</v>
      </c>
    </row>
    <row r="58" spans="1:15">
      <c r="A58">
        <v>39</v>
      </c>
      <c r="B58" t="s">
        <v>672</v>
      </c>
      <c r="C58" t="s">
        <v>2859</v>
      </c>
      <c r="D58" s="17"/>
      <c r="E58" s="17"/>
      <c r="F58" s="17"/>
      <c r="G58" s="17"/>
      <c r="H58" s="17"/>
      <c r="I58" s="17"/>
      <c r="J58" s="17"/>
      <c r="K58" s="17"/>
      <c r="L58" s="17"/>
      <c r="M58" s="17">
        <v>2240</v>
      </c>
      <c r="N58" s="17"/>
      <c r="O58" s="17">
        <f t="shared" si="8"/>
        <v>2240</v>
      </c>
    </row>
    <row r="59" spans="1:15">
      <c r="A59">
        <v>40</v>
      </c>
      <c r="B59" t="s">
        <v>392</v>
      </c>
      <c r="C59" t="s">
        <v>2838</v>
      </c>
      <c r="D59" s="17"/>
      <c r="E59" s="17"/>
      <c r="F59" s="17"/>
      <c r="G59" s="17"/>
      <c r="H59" s="17">
        <v>1965</v>
      </c>
      <c r="I59" s="17"/>
      <c r="J59" s="17"/>
      <c r="K59" s="17"/>
      <c r="L59" s="17"/>
      <c r="M59" s="17"/>
      <c r="N59" s="17"/>
      <c r="O59" s="17">
        <f t="shared" si="8"/>
        <v>1965</v>
      </c>
    </row>
    <row r="60" spans="1:15">
      <c r="B60" t="s">
        <v>3315</v>
      </c>
      <c r="D60" s="17">
        <v>3978.1899999999996</v>
      </c>
      <c r="E60" s="17">
        <v>5404.99</v>
      </c>
      <c r="F60" s="17">
        <v>2790.5199999999995</v>
      </c>
      <c r="G60" s="17">
        <v>2820.37</v>
      </c>
      <c r="H60" s="17">
        <v>1810.3399999999997</v>
      </c>
      <c r="I60" s="17">
        <v>371</v>
      </c>
      <c r="J60" s="17">
        <v>11122.480000000001</v>
      </c>
      <c r="K60" s="17">
        <v>3481.3099999999995</v>
      </c>
      <c r="L60" s="17">
        <v>3406.05</v>
      </c>
      <c r="M60" s="17">
        <v>3590.2999999999997</v>
      </c>
      <c r="N60" s="17">
        <v>398.5</v>
      </c>
      <c r="O60" s="17">
        <f t="shared" si="8"/>
        <v>39174.050000000003</v>
      </c>
    </row>
    <row r="61" spans="1:15">
      <c r="C61" t="s">
        <v>3316</v>
      </c>
      <c r="D61" s="17">
        <f t="shared" ref="D61:N61" si="9">SUM(D20:D60)</f>
        <v>101606.13</v>
      </c>
      <c r="E61" s="17">
        <f t="shared" si="9"/>
        <v>79018.8</v>
      </c>
      <c r="F61" s="17">
        <f t="shared" si="9"/>
        <v>107895.32</v>
      </c>
      <c r="G61" s="17">
        <f t="shared" si="9"/>
        <v>52015.920000000006</v>
      </c>
      <c r="H61" s="17">
        <f t="shared" si="9"/>
        <v>59618.31</v>
      </c>
      <c r="I61" s="17">
        <f t="shared" si="9"/>
        <v>70344.37</v>
      </c>
      <c r="J61" s="17">
        <f t="shared" si="9"/>
        <v>59249.71</v>
      </c>
      <c r="K61" s="17">
        <f t="shared" si="9"/>
        <v>57923.89</v>
      </c>
      <c r="L61" s="17">
        <f t="shared" si="9"/>
        <v>38360.5</v>
      </c>
      <c r="M61" s="17">
        <f t="shared" si="9"/>
        <v>75847.490000000005</v>
      </c>
      <c r="N61" s="17">
        <f t="shared" si="9"/>
        <v>34606.36</v>
      </c>
      <c r="O61" s="17">
        <f t="shared" si="8"/>
        <v>736486.79999999993</v>
      </c>
    </row>
  </sheetData>
  <sortState ref="A20:O116">
    <sortCondition descending="1" ref="O20:O116"/>
  </sortState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3" tint="0.79998168889431442"/>
  </sheetPr>
  <dimension ref="A1"/>
  <sheetViews>
    <sheetView workbookViewId="0">
      <selection activeCell="E36" sqref="E36"/>
    </sheetView>
  </sheetViews>
  <sheetFormatPr defaultRowHeight="13.5"/>
  <sheetData/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alesBudget">
    <tabColor theme="2" tint="-9.9978637043366805E-2"/>
  </sheetPr>
  <dimension ref="A1:C25"/>
  <sheetViews>
    <sheetView workbookViewId="0">
      <selection activeCell="D37" sqref="D37"/>
    </sheetView>
  </sheetViews>
  <sheetFormatPr defaultRowHeight="13.5"/>
  <cols>
    <col min="1" max="1" width="10.375" bestFit="1" customWidth="1"/>
    <col min="2" max="9" width="12" bestFit="1" customWidth="1"/>
  </cols>
  <sheetData>
    <row r="1" spans="1:3">
      <c r="A1" t="s">
        <v>2758</v>
      </c>
      <c r="B1" t="s">
        <v>2759</v>
      </c>
      <c r="C1" t="s">
        <v>2902</v>
      </c>
    </row>
    <row r="2" spans="1:3">
      <c r="A2" s="11" t="str">
        <f>TEXT(表2[[#This Row],[Budget date]],"MMM-YYYY")</f>
        <v>Jan-2020</v>
      </c>
      <c r="B2" s="13">
        <v>56230.353623509211</v>
      </c>
      <c r="C2" s="1">
        <v>43831</v>
      </c>
    </row>
    <row r="3" spans="1:3">
      <c r="A3" s="11" t="str">
        <f>TEXT(表2[[#This Row],[Budget date]],"MMM-YYYY")</f>
        <v>Feb-2020</v>
      </c>
      <c r="B3" s="13">
        <v>73676.989535838831</v>
      </c>
      <c r="C3" s="1">
        <v>43862</v>
      </c>
    </row>
    <row r="4" spans="1:3">
      <c r="A4" s="11" t="str">
        <f>TEXT(表2[[#This Row],[Budget date]],"MMM-YYYY")</f>
        <v>Mar-2020</v>
      </c>
      <c r="B4" s="13">
        <v>76283.523761633536</v>
      </c>
      <c r="C4" s="1">
        <v>43891</v>
      </c>
    </row>
    <row r="5" spans="1:3">
      <c r="A5" s="11" t="str">
        <f>TEXT(表2[[#This Row],[Budget date]],"MMM-YYYY")</f>
        <v>Apr-2020</v>
      </c>
      <c r="B5" s="13">
        <v>89140.152444664142</v>
      </c>
      <c r="C5" s="1">
        <v>43922</v>
      </c>
    </row>
    <row r="6" spans="1:3">
      <c r="A6" s="11" t="str">
        <f>TEXT(表2[[#This Row],[Budget date]],"MMM-YYYY")</f>
        <v>May-2020</v>
      </c>
      <c r="B6" s="13">
        <v>65811.30244852195</v>
      </c>
      <c r="C6" s="1">
        <v>43952</v>
      </c>
    </row>
    <row r="7" spans="1:3">
      <c r="A7" s="11" t="str">
        <f>TEXT(表2[[#This Row],[Budget date]],"MMM-YYYY")</f>
        <v>Jun-2020</v>
      </c>
      <c r="B7" s="13">
        <v>75740.188568526748</v>
      </c>
      <c r="C7" s="1">
        <v>43983</v>
      </c>
    </row>
    <row r="8" spans="1:3">
      <c r="A8" s="11" t="str">
        <f>TEXT(表2[[#This Row],[Budget date]],"MMM-YYYY")</f>
        <v>Jul-2020</v>
      </c>
      <c r="B8" s="13">
        <v>146684.37259535523</v>
      </c>
      <c r="C8" s="1">
        <v>44013</v>
      </c>
    </row>
    <row r="9" spans="1:3">
      <c r="A9" s="11" t="str">
        <f>TEXT(表2[[#This Row],[Budget date]],"MMM-YYYY")</f>
        <v>Aug-2020</v>
      </c>
      <c r="B9" s="13">
        <v>102152.08558916797</v>
      </c>
      <c r="C9" s="1">
        <v>44044</v>
      </c>
    </row>
    <row r="10" spans="1:3">
      <c r="A10" s="11" t="str">
        <f>TEXT(表2[[#This Row],[Budget date]],"MMM-YYYY")</f>
        <v>Sep-2020</v>
      </c>
      <c r="B10" s="13">
        <v>75317.133685344379</v>
      </c>
      <c r="C10" s="1">
        <v>44075</v>
      </c>
    </row>
    <row r="11" spans="1:3">
      <c r="A11" s="11" t="str">
        <f>TEXT(表2[[#This Row],[Budget date]],"MMM-YYYY")</f>
        <v>Oct-2020</v>
      </c>
      <c r="B11" s="13">
        <v>79901.610785451499</v>
      </c>
      <c r="C11" s="1">
        <v>44105</v>
      </c>
    </row>
    <row r="12" spans="1:3">
      <c r="A12" s="11" t="str">
        <f>TEXT(表2[[#This Row],[Budget date]],"MMM-YYYY")</f>
        <v>Nov-2020</v>
      </c>
      <c r="B12" s="13">
        <v>152669.35491331771</v>
      </c>
      <c r="C12" s="1">
        <v>44136</v>
      </c>
    </row>
    <row r="13" spans="1:3">
      <c r="A13" s="12" t="str">
        <f>TEXT(表2[[#This Row],[Budget date]],"MMM-YYYY")</f>
        <v>Dec-2020</v>
      </c>
      <c r="B13" s="13">
        <v>98856.128590779757</v>
      </c>
      <c r="C13" s="1">
        <v>44166</v>
      </c>
    </row>
    <row r="14" spans="1:3">
      <c r="A14" s="11" t="str">
        <f>TEXT(表2[[#This Row],[Budget date]],"MMM-YYYY")</f>
        <v>Jan-2021</v>
      </c>
      <c r="B14" s="14">
        <v>190367.70822586241</v>
      </c>
      <c r="C14" s="1">
        <v>44197</v>
      </c>
    </row>
    <row r="15" spans="1:3">
      <c r="A15" s="11" t="str">
        <f>TEXT(表2[[#This Row],[Budget date]],"MMM-YYYY")</f>
        <v>Feb-2021</v>
      </c>
      <c r="B15" s="14">
        <v>150212.39457681385</v>
      </c>
      <c r="C15" s="1">
        <v>44228</v>
      </c>
    </row>
    <row r="16" spans="1:3">
      <c r="A16" s="11" t="str">
        <f>TEXT(表2[[#This Row],[Budget date]],"MMM-YYYY")</f>
        <v>Mar-2021</v>
      </c>
      <c r="B16" s="14">
        <v>199616.75595848338</v>
      </c>
      <c r="C16" s="1">
        <v>44256</v>
      </c>
    </row>
    <row r="17" spans="1:3">
      <c r="A17" s="11" t="str">
        <f>TEXT(表2[[#This Row],[Budget date]],"MMM-YYYY")</f>
        <v>Apr-2021</v>
      </c>
      <c r="B17" s="14">
        <v>96672.75285239573</v>
      </c>
      <c r="C17" s="1">
        <v>44287</v>
      </c>
    </row>
    <row r="18" spans="1:3">
      <c r="A18" s="11" t="str">
        <f>TEXT(表2[[#This Row],[Budget date]],"MMM-YYYY")</f>
        <v>May-2021</v>
      </c>
      <c r="B18" s="14">
        <v>111846.15169550701</v>
      </c>
      <c r="C18" s="1">
        <v>44317</v>
      </c>
    </row>
    <row r="19" spans="1:3">
      <c r="A19" s="11" t="str">
        <f>TEXT(表2[[#This Row],[Budget date]],"MMM-YYYY")</f>
        <v>Jun-2021</v>
      </c>
      <c r="B19" s="14">
        <v>130354.08250205057</v>
      </c>
      <c r="C19" s="1">
        <v>44348</v>
      </c>
    </row>
    <row r="20" spans="1:3">
      <c r="A20" s="11" t="str">
        <f>TEXT(表2[[#This Row],[Budget date]],"MMM-YYYY")</f>
        <v>Jul-2021</v>
      </c>
      <c r="B20" s="14">
        <v>110878.14705161254</v>
      </c>
      <c r="C20" s="1">
        <v>44378</v>
      </c>
    </row>
    <row r="21" spans="1:3">
      <c r="A21" s="11" t="str">
        <f>TEXT(表2[[#This Row],[Budget date]],"MMM-YYYY")</f>
        <v>Aug-2021</v>
      </c>
      <c r="B21" s="14">
        <v>213833.88970981768</v>
      </c>
      <c r="C21" s="1">
        <v>44409</v>
      </c>
    </row>
    <row r="22" spans="1:3">
      <c r="A22" s="11" t="str">
        <f>TEXT(表2[[#This Row],[Budget date]],"MMM-YYYY")</f>
        <v>Sep-2021</v>
      </c>
      <c r="B22" s="14">
        <v>143266.72091958355</v>
      </c>
      <c r="C22" s="1">
        <v>44440</v>
      </c>
    </row>
    <row r="23" spans="1:3">
      <c r="A23" s="11" t="str">
        <f>TEXT(表2[[#This Row],[Budget date]],"MMM-YYYY")</f>
        <v>Oct-2021</v>
      </c>
      <c r="B23" s="14">
        <v>231293.15498130347</v>
      </c>
      <c r="C23" s="1">
        <v>44470</v>
      </c>
    </row>
    <row r="24" spans="1:3">
      <c r="A24" s="11" t="str">
        <f>TEXT(表2[[#This Row],[Budget date]],"MMM-YYYY")</f>
        <v>Nov-2021</v>
      </c>
      <c r="B24" s="14">
        <v>133243.89804629111</v>
      </c>
      <c r="C24" s="1">
        <v>44501</v>
      </c>
    </row>
    <row r="25" spans="1:3">
      <c r="A25" s="11" t="str">
        <f>TEXT(表2[[#This Row],[Budget date]],"MMM-YYYY")</f>
        <v>Dec-2021</v>
      </c>
      <c r="B25" s="15">
        <v>188414.5425532466</v>
      </c>
      <c r="C25" s="1">
        <v>44531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CustInvoiceJour">
    <tabColor theme="2" tint="-9.9978637043366805E-2"/>
  </sheetPr>
  <dimension ref="A1:F348"/>
  <sheetViews>
    <sheetView workbookViewId="0">
      <selection activeCell="D37" sqref="D37"/>
    </sheetView>
  </sheetViews>
  <sheetFormatPr defaultRowHeight="13.5"/>
  <cols>
    <col min="1" max="1" width="15.875" customWidth="1"/>
    <col min="2" max="2" width="46" customWidth="1"/>
    <col min="3" max="3" width="13.125" customWidth="1"/>
    <col min="4" max="4" width="10.75" customWidth="1"/>
    <col min="5" max="5" width="11" customWidth="1"/>
    <col min="6" max="6" width="32.875" customWidth="1"/>
  </cols>
  <sheetData>
    <row r="1" spans="1:6" ht="22.5">
      <c r="A1" s="16" t="s">
        <v>6</v>
      </c>
      <c r="B1" s="16"/>
      <c r="C1" s="16"/>
      <c r="D1" s="16"/>
      <c r="E1" s="16"/>
      <c r="F1" s="16"/>
    </row>
    <row r="2" spans="1:6">
      <c r="A2" s="2" t="s">
        <v>7</v>
      </c>
      <c r="B2" s="2" t="s">
        <v>2760</v>
      </c>
      <c r="C2" s="2" t="s">
        <v>8</v>
      </c>
      <c r="D2" s="5" t="s">
        <v>9</v>
      </c>
      <c r="E2" s="2" t="s">
        <v>10</v>
      </c>
      <c r="F2" s="2" t="s">
        <v>11</v>
      </c>
    </row>
    <row r="3" spans="1:6">
      <c r="A3" s="4" t="s">
        <v>266</v>
      </c>
      <c r="B3" s="4" t="s">
        <v>2765</v>
      </c>
      <c r="C3" s="4" t="s">
        <v>267</v>
      </c>
      <c r="D3" s="6">
        <v>43915</v>
      </c>
      <c r="E3" s="4" t="s">
        <v>268</v>
      </c>
      <c r="F3" s="7">
        <v>30</v>
      </c>
    </row>
    <row r="4" spans="1:6">
      <c r="A4" s="4" t="s">
        <v>266</v>
      </c>
      <c r="B4" s="4" t="s">
        <v>2765</v>
      </c>
      <c r="C4" s="4" t="s">
        <v>376</v>
      </c>
      <c r="D4" s="6">
        <v>43959</v>
      </c>
      <c r="E4" s="4" t="s">
        <v>377</v>
      </c>
      <c r="F4" s="7">
        <v>64.400000000000006</v>
      </c>
    </row>
    <row r="5" spans="1:6">
      <c r="A5" s="4" t="s">
        <v>266</v>
      </c>
      <c r="B5" s="4" t="s">
        <v>2765</v>
      </c>
      <c r="C5" s="4" t="s">
        <v>668</v>
      </c>
      <c r="D5" s="6">
        <v>44111</v>
      </c>
      <c r="E5" s="4" t="s">
        <v>669</v>
      </c>
      <c r="F5" s="7">
        <v>95.75</v>
      </c>
    </row>
    <row r="6" spans="1:6">
      <c r="A6" s="4" t="s">
        <v>266</v>
      </c>
      <c r="B6" s="4" t="s">
        <v>2765</v>
      </c>
      <c r="C6" s="4" t="s">
        <v>724</v>
      </c>
      <c r="D6" s="6">
        <v>44133</v>
      </c>
      <c r="E6" s="4" t="s">
        <v>725</v>
      </c>
      <c r="F6" s="7">
        <v>704.05</v>
      </c>
    </row>
    <row r="7" spans="1:6">
      <c r="A7" s="4" t="s">
        <v>741</v>
      </c>
      <c r="B7" s="4" t="s">
        <v>2766</v>
      </c>
      <c r="C7" s="4" t="s">
        <v>742</v>
      </c>
      <c r="D7" s="6">
        <v>44145</v>
      </c>
      <c r="E7" s="4" t="s">
        <v>743</v>
      </c>
      <c r="F7" s="7">
        <v>175</v>
      </c>
    </row>
    <row r="8" spans="1:6">
      <c r="A8" s="4" t="s">
        <v>166</v>
      </c>
      <c r="B8" s="4" t="s">
        <v>2767</v>
      </c>
      <c r="C8" s="4" t="s">
        <v>167</v>
      </c>
      <c r="D8" s="6">
        <v>43879</v>
      </c>
      <c r="E8" s="4" t="s">
        <v>168</v>
      </c>
      <c r="F8" s="7">
        <v>62</v>
      </c>
    </row>
    <row r="9" spans="1:6">
      <c r="A9" s="4" t="s">
        <v>166</v>
      </c>
      <c r="B9" s="4" t="s">
        <v>2767</v>
      </c>
      <c r="C9" s="4" t="s">
        <v>212</v>
      </c>
      <c r="D9" s="6">
        <v>43894</v>
      </c>
      <c r="E9" s="4" t="s">
        <v>213</v>
      </c>
      <c r="F9" s="7">
        <v>70</v>
      </c>
    </row>
    <row r="10" spans="1:6">
      <c r="A10" s="4" t="s">
        <v>166</v>
      </c>
      <c r="B10" s="4" t="s">
        <v>2767</v>
      </c>
      <c r="C10" s="4" t="s">
        <v>223</v>
      </c>
      <c r="D10" s="6">
        <v>43900</v>
      </c>
      <c r="E10" s="4" t="s">
        <v>224</v>
      </c>
      <c r="F10" s="7">
        <v>116.46</v>
      </c>
    </row>
    <row r="11" spans="1:6">
      <c r="A11" s="4" t="s">
        <v>166</v>
      </c>
      <c r="B11" s="4" t="s">
        <v>2767</v>
      </c>
      <c r="C11" s="4" t="s">
        <v>344</v>
      </c>
      <c r="D11" s="6">
        <v>43950</v>
      </c>
      <c r="E11" s="4" t="s">
        <v>345</v>
      </c>
      <c r="F11" s="7">
        <v>1128.6500000000001</v>
      </c>
    </row>
    <row r="12" spans="1:6">
      <c r="A12" s="4" t="s">
        <v>166</v>
      </c>
      <c r="B12" s="4" t="s">
        <v>2767</v>
      </c>
      <c r="C12" s="4" t="s">
        <v>750</v>
      </c>
      <c r="D12" s="6">
        <v>43951</v>
      </c>
      <c r="E12" s="4" t="s">
        <v>751</v>
      </c>
      <c r="F12" s="7">
        <v>-95</v>
      </c>
    </row>
    <row r="13" spans="1:6">
      <c r="A13" s="4" t="s">
        <v>166</v>
      </c>
      <c r="B13" s="4" t="s">
        <v>2767</v>
      </c>
      <c r="C13" s="4" t="s">
        <v>2938</v>
      </c>
      <c r="D13" s="6">
        <v>44148</v>
      </c>
      <c r="E13" s="4" t="s">
        <v>2939</v>
      </c>
      <c r="F13" s="7">
        <v>83.5</v>
      </c>
    </row>
    <row r="14" spans="1:6">
      <c r="A14" s="4" t="s">
        <v>132</v>
      </c>
      <c r="B14" s="4" t="s">
        <v>2768</v>
      </c>
      <c r="C14" s="4" t="s">
        <v>133</v>
      </c>
      <c r="D14" s="6">
        <v>43873</v>
      </c>
      <c r="E14" s="4" t="s">
        <v>134</v>
      </c>
      <c r="F14" s="7">
        <v>15215.98</v>
      </c>
    </row>
    <row r="15" spans="1:6">
      <c r="A15" s="4" t="s">
        <v>132</v>
      </c>
      <c r="B15" s="4" t="s">
        <v>2768</v>
      </c>
      <c r="C15" s="4" t="s">
        <v>208</v>
      </c>
      <c r="D15" s="6">
        <v>43892</v>
      </c>
      <c r="E15" s="4" t="s">
        <v>209</v>
      </c>
      <c r="F15" s="7">
        <v>16434</v>
      </c>
    </row>
    <row r="16" spans="1:6">
      <c r="A16" s="4" t="s">
        <v>132</v>
      </c>
      <c r="B16" s="4" t="s">
        <v>2768</v>
      </c>
      <c r="C16" s="4" t="s">
        <v>588</v>
      </c>
      <c r="D16" s="6">
        <v>44060</v>
      </c>
      <c r="E16" s="4" t="s">
        <v>589</v>
      </c>
      <c r="F16" s="7">
        <v>16174.1</v>
      </c>
    </row>
    <row r="17" spans="1:6">
      <c r="A17" s="4" t="s">
        <v>132</v>
      </c>
      <c r="B17" s="4" t="s">
        <v>2768</v>
      </c>
      <c r="C17" s="4" t="s">
        <v>3280</v>
      </c>
      <c r="D17" s="6">
        <v>44153</v>
      </c>
      <c r="E17" s="4" t="s">
        <v>3287</v>
      </c>
      <c r="F17" s="7">
        <v>16796.64</v>
      </c>
    </row>
    <row r="18" spans="1:6">
      <c r="A18" s="4" t="s">
        <v>385</v>
      </c>
      <c r="B18" s="4" t="s">
        <v>2769</v>
      </c>
      <c r="C18" s="4" t="s">
        <v>386</v>
      </c>
      <c r="D18" s="6">
        <v>43963</v>
      </c>
      <c r="E18" s="4" t="s">
        <v>387</v>
      </c>
      <c r="F18" s="7">
        <v>181.31</v>
      </c>
    </row>
    <row r="19" spans="1:6">
      <c r="A19" s="4" t="s">
        <v>504</v>
      </c>
      <c r="B19" s="4" t="s">
        <v>2770</v>
      </c>
      <c r="C19" s="4" t="s">
        <v>505</v>
      </c>
      <c r="D19" s="6">
        <v>44022</v>
      </c>
      <c r="E19" s="4" t="s">
        <v>506</v>
      </c>
      <c r="F19" s="7">
        <v>182</v>
      </c>
    </row>
    <row r="20" spans="1:6">
      <c r="A20" s="4" t="s">
        <v>321</v>
      </c>
      <c r="B20" s="4" t="s">
        <v>2771</v>
      </c>
      <c r="C20" s="4" t="s">
        <v>322</v>
      </c>
      <c r="D20" s="6">
        <v>43936</v>
      </c>
      <c r="E20" s="4" t="s">
        <v>323</v>
      </c>
      <c r="F20" s="7">
        <v>37.4</v>
      </c>
    </row>
    <row r="21" spans="1:6">
      <c r="A21" s="4" t="s">
        <v>321</v>
      </c>
      <c r="B21" s="4" t="s">
        <v>2771</v>
      </c>
      <c r="C21" s="4" t="s">
        <v>326</v>
      </c>
      <c r="D21" s="6">
        <v>43938</v>
      </c>
      <c r="E21" s="4" t="s">
        <v>327</v>
      </c>
      <c r="F21" s="7">
        <v>30.39</v>
      </c>
    </row>
    <row r="22" spans="1:6">
      <c r="A22" s="4" t="s">
        <v>301</v>
      </c>
      <c r="B22" s="4" t="s">
        <v>2772</v>
      </c>
      <c r="C22" s="4" t="s">
        <v>302</v>
      </c>
      <c r="D22" s="6">
        <v>43924</v>
      </c>
      <c r="E22" s="4" t="s">
        <v>303</v>
      </c>
      <c r="F22" s="7">
        <v>4412</v>
      </c>
    </row>
    <row r="23" spans="1:6">
      <c r="A23" s="4" t="s">
        <v>301</v>
      </c>
      <c r="B23" s="4" t="s">
        <v>2772</v>
      </c>
      <c r="C23" s="4" t="s">
        <v>2761</v>
      </c>
      <c r="D23" s="6">
        <v>44145</v>
      </c>
      <c r="E23" s="4" t="s">
        <v>2762</v>
      </c>
      <c r="F23" s="7">
        <v>0</v>
      </c>
    </row>
    <row r="24" spans="1:6">
      <c r="A24" s="4" t="s">
        <v>736</v>
      </c>
      <c r="B24" s="4" t="s">
        <v>2773</v>
      </c>
      <c r="C24" s="4" t="s">
        <v>737</v>
      </c>
      <c r="D24" s="6">
        <v>44139</v>
      </c>
      <c r="E24" s="4" t="s">
        <v>738</v>
      </c>
      <c r="F24" s="7">
        <v>140</v>
      </c>
    </row>
    <row r="25" spans="1:6">
      <c r="A25" s="4" t="s">
        <v>296</v>
      </c>
      <c r="B25" s="4" t="s">
        <v>2774</v>
      </c>
      <c r="C25" s="4" t="s">
        <v>297</v>
      </c>
      <c r="D25" s="6">
        <v>43924</v>
      </c>
      <c r="E25" s="4" t="s">
        <v>298</v>
      </c>
      <c r="F25" s="7">
        <v>2309.4</v>
      </c>
    </row>
    <row r="26" spans="1:6">
      <c r="A26" s="4" t="s">
        <v>296</v>
      </c>
      <c r="B26" s="4" t="s">
        <v>2774</v>
      </c>
      <c r="C26" s="4" t="s">
        <v>465</v>
      </c>
      <c r="D26" s="6">
        <v>44013</v>
      </c>
      <c r="E26" s="4" t="s">
        <v>466</v>
      </c>
      <c r="F26" s="7">
        <v>2009.7</v>
      </c>
    </row>
    <row r="27" spans="1:6">
      <c r="A27" s="4" t="s">
        <v>178</v>
      </c>
      <c r="B27" s="4" t="s">
        <v>2775</v>
      </c>
      <c r="C27" s="4" t="s">
        <v>179</v>
      </c>
      <c r="D27" s="6">
        <v>43880</v>
      </c>
      <c r="E27" s="4" t="s">
        <v>180</v>
      </c>
      <c r="F27" s="7">
        <v>2039</v>
      </c>
    </row>
    <row r="28" spans="1:6">
      <c r="A28" s="4" t="s">
        <v>178</v>
      </c>
      <c r="B28" s="4" t="s">
        <v>2775</v>
      </c>
      <c r="C28" s="4" t="s">
        <v>294</v>
      </c>
      <c r="D28" s="6">
        <v>43921</v>
      </c>
      <c r="E28" s="4" t="s">
        <v>295</v>
      </c>
      <c r="F28" s="7">
        <v>2054</v>
      </c>
    </row>
    <row r="29" spans="1:6">
      <c r="A29" s="4" t="s">
        <v>178</v>
      </c>
      <c r="B29" s="4" t="s">
        <v>2775</v>
      </c>
      <c r="C29" s="4" t="s">
        <v>334</v>
      </c>
      <c r="D29" s="6">
        <v>43943</v>
      </c>
      <c r="E29" s="4" t="s">
        <v>335</v>
      </c>
      <c r="F29" s="7">
        <v>1637</v>
      </c>
    </row>
    <row r="30" spans="1:6">
      <c r="A30" s="4" t="s">
        <v>178</v>
      </c>
      <c r="B30" s="4" t="s">
        <v>2775</v>
      </c>
      <c r="C30" s="4" t="s">
        <v>413</v>
      </c>
      <c r="D30" s="6">
        <v>43970</v>
      </c>
      <c r="E30" s="4" t="s">
        <v>414</v>
      </c>
      <c r="F30" s="7">
        <v>1635</v>
      </c>
    </row>
    <row r="31" spans="1:6">
      <c r="A31" s="4" t="s">
        <v>178</v>
      </c>
      <c r="B31" s="4" t="s">
        <v>2775</v>
      </c>
      <c r="C31" s="4" t="s">
        <v>447</v>
      </c>
      <c r="D31" s="6">
        <v>44005</v>
      </c>
      <c r="E31" s="4" t="s">
        <v>448</v>
      </c>
      <c r="F31" s="7">
        <v>1663.2</v>
      </c>
    </row>
    <row r="32" spans="1:6">
      <c r="A32" s="4" t="s">
        <v>201</v>
      </c>
      <c r="B32" s="4" t="s">
        <v>2776</v>
      </c>
      <c r="C32" s="4" t="s">
        <v>202</v>
      </c>
      <c r="D32" s="6">
        <v>43887</v>
      </c>
      <c r="E32" s="4" t="s">
        <v>203</v>
      </c>
      <c r="F32" s="7">
        <v>549.35</v>
      </c>
    </row>
    <row r="33" spans="1:6">
      <c r="A33" s="4" t="s">
        <v>201</v>
      </c>
      <c r="B33" s="4" t="s">
        <v>2776</v>
      </c>
      <c r="C33" s="4" t="s">
        <v>517</v>
      </c>
      <c r="D33" s="6">
        <v>44026</v>
      </c>
      <c r="E33" s="4" t="s">
        <v>518</v>
      </c>
      <c r="F33" s="7">
        <v>475.3</v>
      </c>
    </row>
    <row r="34" spans="1:6">
      <c r="A34" s="4" t="s">
        <v>201</v>
      </c>
      <c r="B34" s="4" t="s">
        <v>2776</v>
      </c>
      <c r="C34" s="4" t="s">
        <v>619</v>
      </c>
      <c r="D34" s="6">
        <v>44083</v>
      </c>
      <c r="E34" s="4" t="s">
        <v>620</v>
      </c>
      <c r="F34" s="7">
        <v>845.45</v>
      </c>
    </row>
    <row r="35" spans="1:6">
      <c r="A35" s="4" t="s">
        <v>382</v>
      </c>
      <c r="B35" s="4" t="s">
        <v>2777</v>
      </c>
      <c r="C35" s="4" t="s">
        <v>383</v>
      </c>
      <c r="D35" s="6">
        <v>43963</v>
      </c>
      <c r="E35" s="4" t="s">
        <v>384</v>
      </c>
      <c r="F35" s="7">
        <v>6685.55</v>
      </c>
    </row>
    <row r="36" spans="1:6">
      <c r="A36" s="4" t="s">
        <v>621</v>
      </c>
      <c r="B36" s="4" t="s">
        <v>2778</v>
      </c>
      <c r="C36" s="4" t="s">
        <v>622</v>
      </c>
      <c r="D36" s="6">
        <v>44083</v>
      </c>
      <c r="E36" s="4" t="s">
        <v>623</v>
      </c>
      <c r="F36" s="7">
        <v>438</v>
      </c>
    </row>
    <row r="37" spans="1:6">
      <c r="A37" s="4" t="s">
        <v>621</v>
      </c>
      <c r="B37" s="4" t="s">
        <v>2778</v>
      </c>
      <c r="C37" s="4" t="s">
        <v>675</v>
      </c>
      <c r="D37" s="6">
        <v>44113</v>
      </c>
      <c r="E37" s="4" t="s">
        <v>676</v>
      </c>
      <c r="F37" s="7">
        <v>458.5</v>
      </c>
    </row>
    <row r="38" spans="1:6">
      <c r="A38" s="4" t="s">
        <v>339</v>
      </c>
      <c r="B38" s="4" t="s">
        <v>2779</v>
      </c>
      <c r="C38" s="4" t="s">
        <v>340</v>
      </c>
      <c r="D38" s="6">
        <v>43949</v>
      </c>
      <c r="E38" s="4" t="s">
        <v>341</v>
      </c>
      <c r="F38" s="7">
        <v>1680</v>
      </c>
    </row>
    <row r="39" spans="1:6">
      <c r="A39" s="4" t="s">
        <v>339</v>
      </c>
      <c r="B39" s="4" t="s">
        <v>2779</v>
      </c>
      <c r="C39" s="4" t="s">
        <v>356</v>
      </c>
      <c r="D39" s="6">
        <v>43951</v>
      </c>
      <c r="E39" s="4" t="s">
        <v>357</v>
      </c>
      <c r="F39" s="7">
        <v>426</v>
      </c>
    </row>
    <row r="40" spans="1:6">
      <c r="A40" s="4" t="s">
        <v>339</v>
      </c>
      <c r="B40" s="4" t="s">
        <v>2779</v>
      </c>
      <c r="C40" s="4" t="s">
        <v>378</v>
      </c>
      <c r="D40" s="6">
        <v>43952</v>
      </c>
      <c r="E40" s="4" t="s">
        <v>379</v>
      </c>
      <c r="F40" s="7">
        <v>1680</v>
      </c>
    </row>
    <row r="41" spans="1:6">
      <c r="A41" s="4" t="s">
        <v>339</v>
      </c>
      <c r="B41" s="4" t="s">
        <v>2779</v>
      </c>
      <c r="C41" s="4" t="s">
        <v>380</v>
      </c>
      <c r="D41" s="6">
        <v>43952</v>
      </c>
      <c r="E41" s="4" t="s">
        <v>381</v>
      </c>
      <c r="F41" s="7">
        <v>426</v>
      </c>
    </row>
    <row r="42" spans="1:6">
      <c r="A42" s="4" t="s">
        <v>339</v>
      </c>
      <c r="B42" s="4" t="s">
        <v>2779</v>
      </c>
      <c r="C42" s="4" t="s">
        <v>752</v>
      </c>
      <c r="D42" s="6">
        <v>43952</v>
      </c>
      <c r="E42" s="4" t="s">
        <v>753</v>
      </c>
      <c r="F42" s="7">
        <v>-1680</v>
      </c>
    </row>
    <row r="43" spans="1:6">
      <c r="A43" s="4" t="s">
        <v>339</v>
      </c>
      <c r="B43" s="4" t="s">
        <v>2779</v>
      </c>
      <c r="C43" s="4" t="s">
        <v>754</v>
      </c>
      <c r="D43" s="6">
        <v>43952</v>
      </c>
      <c r="E43" s="4" t="s">
        <v>755</v>
      </c>
      <c r="F43" s="7">
        <v>-426</v>
      </c>
    </row>
    <row r="44" spans="1:6">
      <c r="A44" s="4" t="s">
        <v>339</v>
      </c>
      <c r="B44" s="4" t="s">
        <v>2779</v>
      </c>
      <c r="C44" s="4" t="s">
        <v>436</v>
      </c>
      <c r="D44" s="6">
        <v>43998</v>
      </c>
      <c r="E44" s="4" t="s">
        <v>437</v>
      </c>
      <c r="F44" s="7">
        <v>269</v>
      </c>
    </row>
    <row r="45" spans="1:6">
      <c r="A45" s="4" t="s">
        <v>107</v>
      </c>
      <c r="B45" s="4" t="s">
        <v>2780</v>
      </c>
      <c r="C45" s="4" t="s">
        <v>108</v>
      </c>
      <c r="D45" s="6">
        <v>43865</v>
      </c>
      <c r="E45" s="4" t="s">
        <v>109</v>
      </c>
      <c r="F45" s="7">
        <v>3856.35</v>
      </c>
    </row>
    <row r="46" spans="1:6">
      <c r="A46" s="4" t="s">
        <v>107</v>
      </c>
      <c r="B46" s="4" t="s">
        <v>2780</v>
      </c>
      <c r="C46" s="4" t="s">
        <v>705</v>
      </c>
      <c r="D46" s="6">
        <v>44127</v>
      </c>
      <c r="E46" s="4" t="s">
        <v>706</v>
      </c>
      <c r="F46" s="7">
        <v>8115.25</v>
      </c>
    </row>
    <row r="47" spans="1:6">
      <c r="A47" s="4" t="s">
        <v>15</v>
      </c>
      <c r="B47" s="4" t="s">
        <v>2781</v>
      </c>
      <c r="C47" s="4" t="s">
        <v>16</v>
      </c>
      <c r="D47" s="6">
        <v>43838</v>
      </c>
      <c r="E47" s="4" t="s">
        <v>17</v>
      </c>
      <c r="F47" s="7">
        <v>1657.4</v>
      </c>
    </row>
    <row r="48" spans="1:6">
      <c r="A48" s="4" t="s">
        <v>15</v>
      </c>
      <c r="B48" s="4" t="s">
        <v>2781</v>
      </c>
      <c r="C48" s="4" t="s">
        <v>542</v>
      </c>
      <c r="D48" s="6">
        <v>44039</v>
      </c>
      <c r="E48" s="4" t="s">
        <v>543</v>
      </c>
      <c r="F48" s="7">
        <v>1956.3</v>
      </c>
    </row>
    <row r="49" spans="1:6">
      <c r="A49" s="4" t="s">
        <v>73</v>
      </c>
      <c r="B49" s="4" t="s">
        <v>2782</v>
      </c>
      <c r="C49" s="4" t="s">
        <v>74</v>
      </c>
      <c r="D49" s="6">
        <v>43854</v>
      </c>
      <c r="E49" s="4" t="s">
        <v>75</v>
      </c>
      <c r="F49" s="7">
        <v>418</v>
      </c>
    </row>
    <row r="50" spans="1:6">
      <c r="A50" s="4" t="s">
        <v>73</v>
      </c>
      <c r="B50" s="4" t="s">
        <v>2782</v>
      </c>
      <c r="C50" s="4" t="s">
        <v>509</v>
      </c>
      <c r="D50" s="6">
        <v>44022</v>
      </c>
      <c r="E50" s="4" t="s">
        <v>510</v>
      </c>
      <c r="F50" s="7">
        <v>174</v>
      </c>
    </row>
    <row r="51" spans="1:6">
      <c r="A51" s="4" t="s">
        <v>73</v>
      </c>
      <c r="B51" s="4" t="s">
        <v>2782</v>
      </c>
      <c r="C51" s="4" t="s">
        <v>628</v>
      </c>
      <c r="D51" s="6">
        <v>44085</v>
      </c>
      <c r="E51" s="4" t="s">
        <v>629</v>
      </c>
      <c r="F51" s="7">
        <v>620</v>
      </c>
    </row>
    <row r="52" spans="1:6">
      <c r="A52" s="4" t="s">
        <v>70</v>
      </c>
      <c r="B52" s="4" t="s">
        <v>2783</v>
      </c>
      <c r="C52" s="4" t="s">
        <v>71</v>
      </c>
      <c r="D52" s="6">
        <v>43854</v>
      </c>
      <c r="E52" s="4" t="s">
        <v>72</v>
      </c>
      <c r="F52" s="7">
        <v>103</v>
      </c>
    </row>
    <row r="53" spans="1:6">
      <c r="A53" s="4" t="s">
        <v>70</v>
      </c>
      <c r="B53" s="4" t="s">
        <v>2783</v>
      </c>
      <c r="C53" s="4" t="s">
        <v>96</v>
      </c>
      <c r="D53" s="6">
        <v>43859</v>
      </c>
      <c r="E53" s="4" t="s">
        <v>97</v>
      </c>
      <c r="F53" s="7">
        <v>268.60000000000002</v>
      </c>
    </row>
    <row r="54" spans="1:6">
      <c r="A54" s="4" t="s">
        <v>564</v>
      </c>
      <c r="B54" s="4" t="s">
        <v>2784</v>
      </c>
      <c r="C54" s="4" t="s">
        <v>565</v>
      </c>
      <c r="D54" s="6">
        <v>44050</v>
      </c>
      <c r="E54" s="4" t="s">
        <v>566</v>
      </c>
      <c r="F54" s="7">
        <v>292</v>
      </c>
    </row>
    <row r="55" spans="1:6">
      <c r="A55" s="4" t="s">
        <v>564</v>
      </c>
      <c r="B55" s="4" t="s">
        <v>2784</v>
      </c>
      <c r="C55" s="4" t="s">
        <v>567</v>
      </c>
      <c r="D55" s="6">
        <v>44050</v>
      </c>
      <c r="E55" s="4" t="s">
        <v>568</v>
      </c>
      <c r="F55" s="7">
        <v>155</v>
      </c>
    </row>
    <row r="56" spans="1:6">
      <c r="A56" s="4" t="s">
        <v>32</v>
      </c>
      <c r="B56" s="4" t="s">
        <v>2785</v>
      </c>
      <c r="C56" s="4" t="s">
        <v>33</v>
      </c>
      <c r="D56" s="6">
        <v>43840</v>
      </c>
      <c r="E56" s="4" t="s">
        <v>34</v>
      </c>
      <c r="F56" s="7">
        <v>256.10000000000002</v>
      </c>
    </row>
    <row r="57" spans="1:6">
      <c r="A57" s="4" t="s">
        <v>32</v>
      </c>
      <c r="B57" s="4" t="s">
        <v>2785</v>
      </c>
      <c r="C57" s="4" t="s">
        <v>104</v>
      </c>
      <c r="D57" s="6">
        <v>43861</v>
      </c>
      <c r="E57" s="4" t="s">
        <v>105</v>
      </c>
      <c r="F57" s="7">
        <v>1205.25</v>
      </c>
    </row>
    <row r="58" spans="1:6">
      <c r="A58" s="4" t="s">
        <v>32</v>
      </c>
      <c r="B58" s="4" t="s">
        <v>2785</v>
      </c>
      <c r="C58" s="4" t="s">
        <v>112</v>
      </c>
      <c r="D58" s="6">
        <v>43866</v>
      </c>
      <c r="E58" s="4" t="s">
        <v>113</v>
      </c>
      <c r="F58" s="7">
        <v>1097.25</v>
      </c>
    </row>
    <row r="59" spans="1:6">
      <c r="A59" s="4" t="s">
        <v>32</v>
      </c>
      <c r="B59" s="4" t="s">
        <v>2785</v>
      </c>
      <c r="C59" s="4" t="s">
        <v>748</v>
      </c>
      <c r="D59" s="6">
        <v>43866</v>
      </c>
      <c r="E59" s="4" t="s">
        <v>749</v>
      </c>
      <c r="F59" s="7">
        <v>-1205.25</v>
      </c>
    </row>
    <row r="60" spans="1:6">
      <c r="A60" s="4" t="s">
        <v>32</v>
      </c>
      <c r="B60" s="4" t="s">
        <v>2785</v>
      </c>
      <c r="C60" s="4" t="s">
        <v>151</v>
      </c>
      <c r="D60" s="6">
        <v>43875</v>
      </c>
      <c r="E60" s="4" t="s">
        <v>152</v>
      </c>
      <c r="F60" s="7">
        <v>281.58000000000004</v>
      </c>
    </row>
    <row r="61" spans="1:6">
      <c r="A61" s="4" t="s">
        <v>32</v>
      </c>
      <c r="B61" s="4" t="s">
        <v>2785</v>
      </c>
      <c r="C61" s="4" t="s">
        <v>153</v>
      </c>
      <c r="D61" s="6">
        <v>43875</v>
      </c>
      <c r="E61" s="4" t="s">
        <v>154</v>
      </c>
      <c r="F61" s="7">
        <v>66</v>
      </c>
    </row>
    <row r="62" spans="1:6">
      <c r="A62" s="4" t="s">
        <v>32</v>
      </c>
      <c r="B62" s="4" t="s">
        <v>2785</v>
      </c>
      <c r="C62" s="4" t="s">
        <v>225</v>
      </c>
      <c r="D62" s="6">
        <v>43900</v>
      </c>
      <c r="E62" s="4" t="s">
        <v>226</v>
      </c>
      <c r="F62" s="7">
        <v>448.6</v>
      </c>
    </row>
    <row r="63" spans="1:6">
      <c r="A63" s="4" t="s">
        <v>32</v>
      </c>
      <c r="B63" s="4" t="s">
        <v>2785</v>
      </c>
      <c r="C63" s="4" t="s">
        <v>260</v>
      </c>
      <c r="D63" s="6">
        <v>43910</v>
      </c>
      <c r="E63" s="4" t="s">
        <v>261</v>
      </c>
      <c r="F63" s="7">
        <v>668.7</v>
      </c>
    </row>
    <row r="64" spans="1:6">
      <c r="A64" s="4" t="s">
        <v>32</v>
      </c>
      <c r="B64" s="4" t="s">
        <v>2785</v>
      </c>
      <c r="C64" s="4" t="s">
        <v>260</v>
      </c>
      <c r="D64" s="6">
        <v>43910</v>
      </c>
      <c r="E64" s="4" t="s">
        <v>262</v>
      </c>
      <c r="F64" s="7">
        <v>53.5</v>
      </c>
    </row>
    <row r="65" spans="1:6">
      <c r="A65" s="4" t="s">
        <v>32</v>
      </c>
      <c r="B65" s="4" t="s">
        <v>2785</v>
      </c>
      <c r="C65" s="4" t="s">
        <v>260</v>
      </c>
      <c r="D65" s="6">
        <v>43917</v>
      </c>
      <c r="E65" s="4" t="s">
        <v>271</v>
      </c>
      <c r="F65" s="7">
        <v>206</v>
      </c>
    </row>
    <row r="66" spans="1:6">
      <c r="A66" s="4" t="s">
        <v>32</v>
      </c>
      <c r="B66" s="4" t="s">
        <v>2785</v>
      </c>
      <c r="C66" s="4" t="s">
        <v>324</v>
      </c>
      <c r="D66" s="6">
        <v>43938</v>
      </c>
      <c r="E66" s="4" t="s">
        <v>325</v>
      </c>
      <c r="F66" s="7">
        <v>428.64</v>
      </c>
    </row>
    <row r="67" spans="1:6">
      <c r="A67" s="4" t="s">
        <v>32</v>
      </c>
      <c r="B67" s="4" t="s">
        <v>2785</v>
      </c>
      <c r="C67" s="4" t="s">
        <v>362</v>
      </c>
      <c r="D67" s="6">
        <v>43957</v>
      </c>
      <c r="E67" s="4" t="s">
        <v>363</v>
      </c>
      <c r="F67" s="7">
        <v>394.84000000000003</v>
      </c>
    </row>
    <row r="68" spans="1:6">
      <c r="A68" s="4" t="s">
        <v>32</v>
      </c>
      <c r="B68" s="4" t="s">
        <v>2785</v>
      </c>
      <c r="C68" s="4" t="s">
        <v>424</v>
      </c>
      <c r="D68" s="6">
        <v>43990</v>
      </c>
      <c r="E68" s="4" t="s">
        <v>425</v>
      </c>
      <c r="F68" s="7">
        <v>630.20000000000005</v>
      </c>
    </row>
    <row r="69" spans="1:6">
      <c r="A69" s="4" t="s">
        <v>32</v>
      </c>
      <c r="B69" s="4" t="s">
        <v>2785</v>
      </c>
      <c r="C69" s="4" t="s">
        <v>458</v>
      </c>
      <c r="D69" s="6">
        <v>44006</v>
      </c>
      <c r="E69" s="4" t="s">
        <v>459</v>
      </c>
      <c r="F69" s="7">
        <v>838.3</v>
      </c>
    </row>
    <row r="70" spans="1:6">
      <c r="A70" s="4" t="s">
        <v>32</v>
      </c>
      <c r="B70" s="4" t="s">
        <v>2785</v>
      </c>
      <c r="C70" s="4" t="s">
        <v>488</v>
      </c>
      <c r="D70" s="6">
        <v>44019</v>
      </c>
      <c r="E70" s="4" t="s">
        <v>489</v>
      </c>
      <c r="F70" s="7">
        <v>391.75</v>
      </c>
    </row>
    <row r="71" spans="1:6">
      <c r="A71" s="4" t="s">
        <v>32</v>
      </c>
      <c r="B71" s="4" t="s">
        <v>2785</v>
      </c>
      <c r="C71" s="4" t="s">
        <v>590</v>
      </c>
      <c r="D71" s="6">
        <v>44062</v>
      </c>
      <c r="E71" s="4" t="s">
        <v>591</v>
      </c>
      <c r="F71" s="7">
        <v>1075.47</v>
      </c>
    </row>
    <row r="72" spans="1:6">
      <c r="A72" s="4" t="s">
        <v>32</v>
      </c>
      <c r="B72" s="4" t="s">
        <v>2785</v>
      </c>
      <c r="C72" s="4" t="s">
        <v>764</v>
      </c>
      <c r="D72" s="6">
        <v>44070</v>
      </c>
      <c r="E72" s="4" t="s">
        <v>765</v>
      </c>
      <c r="F72" s="7">
        <v>-26.24</v>
      </c>
    </row>
    <row r="73" spans="1:6">
      <c r="A73" s="4" t="s">
        <v>32</v>
      </c>
      <c r="B73" s="4" t="s">
        <v>2785</v>
      </c>
      <c r="C73" s="4" t="s">
        <v>617</v>
      </c>
      <c r="D73" s="6">
        <v>44082</v>
      </c>
      <c r="E73" s="4" t="s">
        <v>618</v>
      </c>
      <c r="F73" s="7">
        <v>771</v>
      </c>
    </row>
    <row r="74" spans="1:6">
      <c r="A74" s="4" t="s">
        <v>32</v>
      </c>
      <c r="B74" s="4" t="s">
        <v>2785</v>
      </c>
      <c r="C74" s="4" t="s">
        <v>632</v>
      </c>
      <c r="D74" s="6">
        <v>44089</v>
      </c>
      <c r="E74" s="4" t="s">
        <v>633</v>
      </c>
      <c r="F74" s="7">
        <v>389.48</v>
      </c>
    </row>
    <row r="75" spans="1:6">
      <c r="A75" s="4" t="s">
        <v>32</v>
      </c>
      <c r="B75" s="4" t="s">
        <v>2785</v>
      </c>
      <c r="C75" s="4" t="s">
        <v>679</v>
      </c>
      <c r="D75" s="6">
        <v>44117</v>
      </c>
      <c r="E75" s="4" t="s">
        <v>680</v>
      </c>
      <c r="F75" s="7">
        <v>463.46999999999997</v>
      </c>
    </row>
    <row r="76" spans="1:6">
      <c r="A76" s="4" t="s">
        <v>32</v>
      </c>
      <c r="B76" s="4" t="s">
        <v>2785</v>
      </c>
      <c r="C76" s="4" t="s">
        <v>697</v>
      </c>
      <c r="D76" s="6">
        <v>44124</v>
      </c>
      <c r="E76" s="4" t="s">
        <v>698</v>
      </c>
      <c r="F76" s="7">
        <v>342</v>
      </c>
    </row>
    <row r="77" spans="1:6">
      <c r="A77" s="4" t="s">
        <v>32</v>
      </c>
      <c r="B77" s="4" t="s">
        <v>2785</v>
      </c>
      <c r="C77" s="4" t="s">
        <v>732</v>
      </c>
      <c r="D77" s="6">
        <v>44138</v>
      </c>
      <c r="E77" s="4" t="s">
        <v>733</v>
      </c>
      <c r="F77" s="7">
        <v>366.3</v>
      </c>
    </row>
    <row r="78" spans="1:6">
      <c r="A78" s="4" t="s">
        <v>56</v>
      </c>
      <c r="B78" s="4" t="s">
        <v>2786</v>
      </c>
      <c r="C78" s="4" t="s">
        <v>744</v>
      </c>
      <c r="D78" s="6">
        <v>43847</v>
      </c>
      <c r="E78" s="4" t="s">
        <v>745</v>
      </c>
      <c r="F78" s="7">
        <v>-18</v>
      </c>
    </row>
    <row r="79" spans="1:6">
      <c r="A79" s="4" t="s">
        <v>56</v>
      </c>
      <c r="B79" s="4" t="s">
        <v>2786</v>
      </c>
      <c r="C79" s="4" t="s">
        <v>57</v>
      </c>
      <c r="D79" s="6">
        <v>43851</v>
      </c>
      <c r="E79" s="4" t="s">
        <v>58</v>
      </c>
      <c r="F79" s="7">
        <v>2545</v>
      </c>
    </row>
    <row r="80" spans="1:6">
      <c r="A80" s="4" t="s">
        <v>56</v>
      </c>
      <c r="B80" s="4" t="s">
        <v>2786</v>
      </c>
      <c r="C80" s="4" t="s">
        <v>83</v>
      </c>
      <c r="D80" s="6">
        <v>43851</v>
      </c>
      <c r="E80" s="4" t="s">
        <v>84</v>
      </c>
      <c r="F80" s="7">
        <v>2204.5</v>
      </c>
    </row>
    <row r="81" spans="1:6">
      <c r="A81" s="4" t="s">
        <v>56</v>
      </c>
      <c r="B81" s="4" t="s">
        <v>2786</v>
      </c>
      <c r="C81" s="4" t="s">
        <v>746</v>
      </c>
      <c r="D81" s="6">
        <v>43857</v>
      </c>
      <c r="E81" s="4" t="s">
        <v>747</v>
      </c>
      <c r="F81" s="7">
        <v>-2545</v>
      </c>
    </row>
    <row r="82" spans="1:6">
      <c r="A82" s="4" t="s">
        <v>56</v>
      </c>
      <c r="B82" s="4" t="s">
        <v>2786</v>
      </c>
      <c r="C82" s="4" t="s">
        <v>282</v>
      </c>
      <c r="D82" s="6">
        <v>43921</v>
      </c>
      <c r="E82" s="4" t="s">
        <v>283</v>
      </c>
      <c r="F82" s="7">
        <v>683.5</v>
      </c>
    </row>
    <row r="83" spans="1:6">
      <c r="A83" s="4" t="s">
        <v>56</v>
      </c>
      <c r="B83" s="4" t="s">
        <v>2786</v>
      </c>
      <c r="C83" s="4" t="s">
        <v>490</v>
      </c>
      <c r="D83" s="6">
        <v>44019</v>
      </c>
      <c r="E83" s="4" t="s">
        <v>491</v>
      </c>
      <c r="F83" s="7">
        <v>1602.5</v>
      </c>
    </row>
    <row r="84" spans="1:6">
      <c r="A84" s="4" t="s">
        <v>56</v>
      </c>
      <c r="B84" s="4" t="s">
        <v>2786</v>
      </c>
      <c r="C84" s="4" t="s">
        <v>3282</v>
      </c>
      <c r="D84" s="6">
        <v>44153</v>
      </c>
      <c r="E84" s="4" t="s">
        <v>3292</v>
      </c>
      <c r="F84" s="7">
        <v>2972</v>
      </c>
    </row>
    <row r="85" spans="1:6">
      <c r="A85" s="4" t="s">
        <v>38</v>
      </c>
      <c r="B85" s="4" t="s">
        <v>2787</v>
      </c>
      <c r="C85" s="4" t="s">
        <v>39</v>
      </c>
      <c r="D85" s="6">
        <v>43844</v>
      </c>
      <c r="E85" s="4" t="s">
        <v>40</v>
      </c>
      <c r="F85" s="7">
        <v>2686</v>
      </c>
    </row>
    <row r="86" spans="1:6">
      <c r="A86" s="4" t="s">
        <v>38</v>
      </c>
      <c r="B86" s="4" t="s">
        <v>2787</v>
      </c>
      <c r="C86" s="4" t="s">
        <v>159</v>
      </c>
      <c r="D86" s="6">
        <v>43878</v>
      </c>
      <c r="E86" s="4" t="s">
        <v>160</v>
      </c>
      <c r="F86" s="7">
        <v>4414</v>
      </c>
    </row>
    <row r="87" spans="1:6">
      <c r="A87" s="4" t="s">
        <v>38</v>
      </c>
      <c r="B87" s="4" t="s">
        <v>2787</v>
      </c>
      <c r="C87" s="4" t="s">
        <v>227</v>
      </c>
      <c r="D87" s="6">
        <v>43900</v>
      </c>
      <c r="E87" s="4" t="s">
        <v>228</v>
      </c>
      <c r="F87" s="7">
        <v>960</v>
      </c>
    </row>
    <row r="88" spans="1:6">
      <c r="A88" s="4" t="s">
        <v>38</v>
      </c>
      <c r="B88" s="4" t="s">
        <v>2787</v>
      </c>
      <c r="C88" s="4" t="s">
        <v>272</v>
      </c>
      <c r="D88" s="6">
        <v>43917</v>
      </c>
      <c r="E88" s="4" t="s">
        <v>273</v>
      </c>
      <c r="F88" s="7">
        <v>2845</v>
      </c>
    </row>
    <row r="89" spans="1:6">
      <c r="A89" s="4" t="s">
        <v>38</v>
      </c>
      <c r="B89" s="4" t="s">
        <v>2787</v>
      </c>
      <c r="C89" s="4" t="s">
        <v>299</v>
      </c>
      <c r="D89" s="6">
        <v>43924</v>
      </c>
      <c r="E89" s="4" t="s">
        <v>300</v>
      </c>
      <c r="F89" s="7">
        <v>1385</v>
      </c>
    </row>
    <row r="90" spans="1:6">
      <c r="A90" s="4" t="s">
        <v>38</v>
      </c>
      <c r="B90" s="4" t="s">
        <v>2787</v>
      </c>
      <c r="C90" s="4" t="s">
        <v>332</v>
      </c>
      <c r="D90" s="6">
        <v>43943</v>
      </c>
      <c r="E90" s="4" t="s">
        <v>333</v>
      </c>
      <c r="F90" s="7">
        <v>3657</v>
      </c>
    </row>
    <row r="91" spans="1:6">
      <c r="A91" s="4" t="s">
        <v>38</v>
      </c>
      <c r="B91" s="4" t="s">
        <v>2787</v>
      </c>
      <c r="C91" s="4" t="s">
        <v>576</v>
      </c>
      <c r="D91" s="6">
        <v>44056</v>
      </c>
      <c r="E91" s="4" t="s">
        <v>577</v>
      </c>
      <c r="F91" s="7">
        <v>1410</v>
      </c>
    </row>
    <row r="92" spans="1:6">
      <c r="A92" s="4" t="s">
        <v>38</v>
      </c>
      <c r="B92" s="4" t="s">
        <v>2787</v>
      </c>
      <c r="C92" s="4" t="s">
        <v>634</v>
      </c>
      <c r="D92" s="6">
        <v>44089</v>
      </c>
      <c r="E92" s="4" t="s">
        <v>635</v>
      </c>
      <c r="F92" s="7">
        <v>1107</v>
      </c>
    </row>
    <row r="93" spans="1:6">
      <c r="A93" s="4" t="s">
        <v>38</v>
      </c>
      <c r="B93" s="4" t="s">
        <v>2787</v>
      </c>
      <c r="C93" s="4" t="s">
        <v>734</v>
      </c>
      <c r="D93" s="6">
        <v>44138</v>
      </c>
      <c r="E93" s="4" t="s">
        <v>735</v>
      </c>
      <c r="F93" s="7">
        <v>2952</v>
      </c>
    </row>
    <row r="94" spans="1:6">
      <c r="A94" s="4" t="s">
        <v>417</v>
      </c>
      <c r="B94" s="4" t="s">
        <v>2788</v>
      </c>
      <c r="C94" s="4" t="s">
        <v>418</v>
      </c>
      <c r="D94" s="6">
        <v>43987</v>
      </c>
      <c r="E94" s="4" t="s">
        <v>419</v>
      </c>
      <c r="F94" s="7">
        <v>2969.8</v>
      </c>
    </row>
    <row r="95" spans="1:6">
      <c r="A95" s="4" t="s">
        <v>417</v>
      </c>
      <c r="B95" s="4" t="s">
        <v>2788</v>
      </c>
      <c r="C95" s="4" t="s">
        <v>718</v>
      </c>
      <c r="D95" s="6">
        <v>44132</v>
      </c>
      <c r="E95" s="4" t="s">
        <v>719</v>
      </c>
      <c r="F95" s="7">
        <v>9288</v>
      </c>
    </row>
    <row r="96" spans="1:6">
      <c r="A96" s="4" t="s">
        <v>135</v>
      </c>
      <c r="B96" s="4" t="s">
        <v>2789</v>
      </c>
      <c r="C96" s="4" t="s">
        <v>136</v>
      </c>
      <c r="D96" s="6">
        <v>43873</v>
      </c>
      <c r="E96" s="4" t="s">
        <v>137</v>
      </c>
      <c r="F96" s="7">
        <v>867.3</v>
      </c>
    </row>
    <row r="97" spans="1:6">
      <c r="A97" s="4" t="s">
        <v>135</v>
      </c>
      <c r="B97" s="4" t="s">
        <v>2789</v>
      </c>
      <c r="C97" s="4" t="s">
        <v>247</v>
      </c>
      <c r="D97" s="6">
        <v>43903</v>
      </c>
      <c r="E97" s="4" t="s">
        <v>248</v>
      </c>
      <c r="F97" s="7">
        <v>824</v>
      </c>
    </row>
    <row r="98" spans="1:6">
      <c r="A98" s="4" t="s">
        <v>135</v>
      </c>
      <c r="B98" s="4" t="s">
        <v>2789</v>
      </c>
      <c r="C98" s="4" t="s">
        <v>328</v>
      </c>
      <c r="D98" s="6">
        <v>43938</v>
      </c>
      <c r="E98" s="4" t="s">
        <v>329</v>
      </c>
      <c r="F98" s="7">
        <v>482.48</v>
      </c>
    </row>
    <row r="99" spans="1:6">
      <c r="A99" s="4" t="s">
        <v>135</v>
      </c>
      <c r="B99" s="4" t="s">
        <v>2789</v>
      </c>
      <c r="C99" s="4" t="s">
        <v>538</v>
      </c>
      <c r="D99" s="6">
        <v>44035</v>
      </c>
      <c r="E99" s="4" t="s">
        <v>539</v>
      </c>
      <c r="F99" s="7">
        <v>980.2</v>
      </c>
    </row>
    <row r="100" spans="1:6">
      <c r="A100" s="4" t="s">
        <v>650</v>
      </c>
      <c r="B100" s="4" t="s">
        <v>2790</v>
      </c>
      <c r="C100" s="4" t="s">
        <v>651</v>
      </c>
      <c r="D100" s="6">
        <v>44097</v>
      </c>
      <c r="E100" s="4" t="s">
        <v>652</v>
      </c>
      <c r="F100" s="7">
        <v>2402</v>
      </c>
    </row>
    <row r="101" spans="1:6">
      <c r="A101" s="4" t="s">
        <v>650</v>
      </c>
      <c r="B101" s="4" t="s">
        <v>2790</v>
      </c>
      <c r="C101" s="4" t="s">
        <v>653</v>
      </c>
      <c r="D101" s="6">
        <v>44099</v>
      </c>
      <c r="E101" s="4" t="s">
        <v>654</v>
      </c>
      <c r="F101" s="7">
        <v>1317.1</v>
      </c>
    </row>
    <row r="102" spans="1:6">
      <c r="A102" s="4" t="s">
        <v>650</v>
      </c>
      <c r="B102" s="4" t="s">
        <v>2790</v>
      </c>
      <c r="C102" s="4" t="s">
        <v>768</v>
      </c>
      <c r="D102" s="6">
        <v>44099</v>
      </c>
      <c r="E102" s="4" t="s">
        <v>769</v>
      </c>
      <c r="F102" s="7">
        <v>-2402</v>
      </c>
    </row>
    <row r="103" spans="1:6">
      <c r="A103" s="4" t="s">
        <v>351</v>
      </c>
      <c r="B103" s="4" t="s">
        <v>2791</v>
      </c>
      <c r="C103" s="4" t="s">
        <v>352</v>
      </c>
      <c r="D103" s="6">
        <v>43951</v>
      </c>
      <c r="E103" s="4" t="s">
        <v>353</v>
      </c>
      <c r="F103" s="7">
        <v>1190</v>
      </c>
    </row>
    <row r="104" spans="1:6">
      <c r="A104" s="4" t="s">
        <v>351</v>
      </c>
      <c r="B104" s="4" t="s">
        <v>2791</v>
      </c>
      <c r="C104" s="4" t="s">
        <v>657</v>
      </c>
      <c r="D104" s="6">
        <v>44106</v>
      </c>
      <c r="E104" s="4" t="s">
        <v>658</v>
      </c>
      <c r="F104" s="7">
        <v>982</v>
      </c>
    </row>
    <row r="105" spans="1:6">
      <c r="A105" s="4" t="s">
        <v>351</v>
      </c>
      <c r="B105" s="4" t="s">
        <v>2791</v>
      </c>
      <c r="C105" s="4" t="s">
        <v>726</v>
      </c>
      <c r="D105" s="6">
        <v>44133</v>
      </c>
      <c r="E105" s="4" t="s">
        <v>727</v>
      </c>
      <c r="F105" s="7">
        <v>1664</v>
      </c>
    </row>
    <row r="106" spans="1:6">
      <c r="A106" s="4" t="s">
        <v>12</v>
      </c>
      <c r="B106" s="4" t="s">
        <v>2792</v>
      </c>
      <c r="C106" s="4" t="s">
        <v>13</v>
      </c>
      <c r="D106" s="6">
        <v>43837</v>
      </c>
      <c r="E106" s="4" t="s">
        <v>14</v>
      </c>
      <c r="F106" s="7">
        <v>1555</v>
      </c>
    </row>
    <row r="107" spans="1:6">
      <c r="A107" s="4" t="s">
        <v>12</v>
      </c>
      <c r="B107" s="4" t="s">
        <v>2792</v>
      </c>
      <c r="C107" s="4" t="s">
        <v>44</v>
      </c>
      <c r="D107" s="6">
        <v>43845</v>
      </c>
      <c r="E107" s="4" t="s">
        <v>45</v>
      </c>
      <c r="F107" s="7">
        <v>2935</v>
      </c>
    </row>
    <row r="108" spans="1:6">
      <c r="A108" s="4" t="s">
        <v>12</v>
      </c>
      <c r="B108" s="4" t="s">
        <v>2792</v>
      </c>
      <c r="C108" s="4" t="s">
        <v>138</v>
      </c>
      <c r="D108" s="6">
        <v>43873</v>
      </c>
      <c r="E108" s="4" t="s">
        <v>139</v>
      </c>
      <c r="F108" s="7">
        <v>3040</v>
      </c>
    </row>
    <row r="109" spans="1:6">
      <c r="A109" s="4" t="s">
        <v>12</v>
      </c>
      <c r="B109" s="4" t="s">
        <v>2792</v>
      </c>
      <c r="C109" s="4" t="s">
        <v>147</v>
      </c>
      <c r="D109" s="6">
        <v>43873</v>
      </c>
      <c r="E109" s="4" t="s">
        <v>148</v>
      </c>
      <c r="F109" s="7">
        <v>3355</v>
      </c>
    </row>
    <row r="110" spans="1:6">
      <c r="A110" s="4" t="s">
        <v>12</v>
      </c>
      <c r="B110" s="4" t="s">
        <v>2792</v>
      </c>
      <c r="C110" s="4" t="s">
        <v>241</v>
      </c>
      <c r="D110" s="6">
        <v>43901</v>
      </c>
      <c r="E110" s="4" t="s">
        <v>242</v>
      </c>
      <c r="F110" s="7">
        <v>1518</v>
      </c>
    </row>
    <row r="111" spans="1:6">
      <c r="A111" s="4" t="s">
        <v>12</v>
      </c>
      <c r="B111" s="4" t="s">
        <v>2792</v>
      </c>
      <c r="C111" s="4" t="s">
        <v>243</v>
      </c>
      <c r="D111" s="6">
        <v>43901</v>
      </c>
      <c r="E111" s="4" t="s">
        <v>244</v>
      </c>
      <c r="F111" s="7">
        <v>1377.5</v>
      </c>
    </row>
    <row r="112" spans="1:6">
      <c r="A112" s="4" t="s">
        <v>12</v>
      </c>
      <c r="B112" s="4" t="s">
        <v>2792</v>
      </c>
      <c r="C112" s="4" t="s">
        <v>245</v>
      </c>
      <c r="D112" s="6">
        <v>43901</v>
      </c>
      <c r="E112" s="4" t="s">
        <v>246</v>
      </c>
      <c r="F112" s="7">
        <v>1377.5</v>
      </c>
    </row>
    <row r="113" spans="1:6">
      <c r="A113" s="4" t="s">
        <v>12</v>
      </c>
      <c r="B113" s="4" t="s">
        <v>2792</v>
      </c>
      <c r="C113" s="4" t="s">
        <v>312</v>
      </c>
      <c r="D113" s="6">
        <v>43929</v>
      </c>
      <c r="E113" s="4" t="s">
        <v>313</v>
      </c>
      <c r="F113" s="7">
        <v>2795</v>
      </c>
    </row>
    <row r="114" spans="1:6">
      <c r="A114" s="4" t="s">
        <v>12</v>
      </c>
      <c r="B114" s="4" t="s">
        <v>2792</v>
      </c>
      <c r="C114" s="4" t="s">
        <v>395</v>
      </c>
      <c r="D114" s="6">
        <v>43970</v>
      </c>
      <c r="E114" s="4" t="s">
        <v>396</v>
      </c>
      <c r="F114" s="7">
        <v>2330</v>
      </c>
    </row>
    <row r="115" spans="1:6">
      <c r="A115" s="4" t="s">
        <v>12</v>
      </c>
      <c r="B115" s="4" t="s">
        <v>2792</v>
      </c>
      <c r="C115" s="4" t="s">
        <v>397</v>
      </c>
      <c r="D115" s="6">
        <v>43970</v>
      </c>
      <c r="E115" s="4" t="s">
        <v>398</v>
      </c>
      <c r="F115" s="7">
        <v>4775</v>
      </c>
    </row>
    <row r="116" spans="1:6">
      <c r="A116" s="4" t="s">
        <v>12</v>
      </c>
      <c r="B116" s="4" t="s">
        <v>2792</v>
      </c>
      <c r="C116" s="4" t="s">
        <v>426</v>
      </c>
      <c r="D116" s="6">
        <v>43994</v>
      </c>
      <c r="E116" s="4" t="s">
        <v>427</v>
      </c>
      <c r="F116" s="7">
        <v>3820.5</v>
      </c>
    </row>
    <row r="117" spans="1:6">
      <c r="A117" s="4" t="s">
        <v>12</v>
      </c>
      <c r="B117" s="4" t="s">
        <v>2792</v>
      </c>
      <c r="C117" s="4" t="s">
        <v>428</v>
      </c>
      <c r="D117" s="6">
        <v>43994</v>
      </c>
      <c r="E117" s="4" t="s">
        <v>429</v>
      </c>
      <c r="F117" s="7">
        <v>3020</v>
      </c>
    </row>
    <row r="118" spans="1:6">
      <c r="A118" s="4" t="s">
        <v>12</v>
      </c>
      <c r="B118" s="4" t="s">
        <v>2792</v>
      </c>
      <c r="C118" s="4" t="s">
        <v>460</v>
      </c>
      <c r="D118" s="6">
        <v>44006</v>
      </c>
      <c r="E118" s="4" t="s">
        <v>461</v>
      </c>
      <c r="F118" s="7">
        <v>0</v>
      </c>
    </row>
    <row r="119" spans="1:6">
      <c r="A119" s="4" t="s">
        <v>12</v>
      </c>
      <c r="B119" s="4" t="s">
        <v>2792</v>
      </c>
      <c r="C119" s="4" t="s">
        <v>480</v>
      </c>
      <c r="D119" s="6">
        <v>44019</v>
      </c>
      <c r="E119" s="4" t="s">
        <v>481</v>
      </c>
      <c r="F119" s="7">
        <v>4636</v>
      </c>
    </row>
    <row r="120" spans="1:6">
      <c r="A120" s="4" t="s">
        <v>12</v>
      </c>
      <c r="B120" s="4" t="s">
        <v>2792</v>
      </c>
      <c r="C120" s="4" t="s">
        <v>482</v>
      </c>
      <c r="D120" s="6">
        <v>44019</v>
      </c>
      <c r="E120" s="4" t="s">
        <v>483</v>
      </c>
      <c r="F120" s="7">
        <v>3368</v>
      </c>
    </row>
    <row r="121" spans="1:6">
      <c r="A121" s="4" t="s">
        <v>12</v>
      </c>
      <c r="B121" s="4" t="s">
        <v>2792</v>
      </c>
      <c r="C121" s="4" t="s">
        <v>557</v>
      </c>
      <c r="D121" s="6">
        <v>44048</v>
      </c>
      <c r="E121" s="4" t="s">
        <v>558</v>
      </c>
      <c r="F121" s="7">
        <v>4545</v>
      </c>
    </row>
    <row r="122" spans="1:6">
      <c r="A122" s="4" t="s">
        <v>12</v>
      </c>
      <c r="B122" s="4" t="s">
        <v>2792</v>
      </c>
      <c r="C122" s="4" t="s">
        <v>559</v>
      </c>
      <c r="D122" s="6">
        <v>44048</v>
      </c>
      <c r="E122" s="4" t="s">
        <v>560</v>
      </c>
      <c r="F122" s="7">
        <v>3668</v>
      </c>
    </row>
    <row r="123" spans="1:6">
      <c r="A123" s="4" t="s">
        <v>12</v>
      </c>
      <c r="B123" s="4" t="s">
        <v>2792</v>
      </c>
      <c r="C123" s="4" t="s">
        <v>594</v>
      </c>
      <c r="D123" s="6">
        <v>44063</v>
      </c>
      <c r="E123" s="4" t="s">
        <v>595</v>
      </c>
      <c r="F123" s="7">
        <v>5335</v>
      </c>
    </row>
    <row r="124" spans="1:6">
      <c r="A124" s="4" t="s">
        <v>12</v>
      </c>
      <c r="B124" s="4" t="s">
        <v>2792</v>
      </c>
      <c r="C124" s="4" t="s">
        <v>596</v>
      </c>
      <c r="D124" s="6">
        <v>44063</v>
      </c>
      <c r="E124" s="4" t="s">
        <v>597</v>
      </c>
      <c r="F124" s="7">
        <v>2608</v>
      </c>
    </row>
    <row r="125" spans="1:6">
      <c r="A125" s="4" t="s">
        <v>12</v>
      </c>
      <c r="B125" s="4" t="s">
        <v>2792</v>
      </c>
      <c r="C125" s="4" t="s">
        <v>613</v>
      </c>
      <c r="D125" s="6">
        <v>44082</v>
      </c>
      <c r="E125" s="4" t="s">
        <v>614</v>
      </c>
      <c r="F125" s="7">
        <v>3053</v>
      </c>
    </row>
    <row r="126" spans="1:6">
      <c r="A126" s="4" t="s">
        <v>12</v>
      </c>
      <c r="B126" s="4" t="s">
        <v>2792</v>
      </c>
      <c r="C126" s="4" t="s">
        <v>615</v>
      </c>
      <c r="D126" s="6">
        <v>44082</v>
      </c>
      <c r="E126" s="4" t="s">
        <v>616</v>
      </c>
      <c r="F126" s="7">
        <v>2965</v>
      </c>
    </row>
    <row r="127" spans="1:6">
      <c r="A127" s="4" t="s">
        <v>12</v>
      </c>
      <c r="B127" s="4" t="s">
        <v>2792</v>
      </c>
      <c r="C127" s="4" t="s">
        <v>640</v>
      </c>
      <c r="D127" s="6">
        <v>44090</v>
      </c>
      <c r="E127" s="4" t="s">
        <v>641</v>
      </c>
      <c r="F127" s="7">
        <v>3037</v>
      </c>
    </row>
    <row r="128" spans="1:6">
      <c r="A128" s="4" t="s">
        <v>12</v>
      </c>
      <c r="B128" s="4" t="s">
        <v>2792</v>
      </c>
      <c r="C128" s="4" t="s">
        <v>659</v>
      </c>
      <c r="D128" s="6">
        <v>44106</v>
      </c>
      <c r="E128" s="4" t="s">
        <v>660</v>
      </c>
      <c r="F128" s="7">
        <v>4139</v>
      </c>
    </row>
    <row r="129" spans="1:6">
      <c r="A129" s="4" t="s">
        <v>12</v>
      </c>
      <c r="B129" s="4" t="s">
        <v>2792</v>
      </c>
      <c r="C129" s="4" t="s">
        <v>681</v>
      </c>
      <c r="D129" s="6">
        <v>44118</v>
      </c>
      <c r="E129" s="4" t="s">
        <v>682</v>
      </c>
      <c r="F129" s="7">
        <v>3184</v>
      </c>
    </row>
    <row r="130" spans="1:6">
      <c r="A130" s="4" t="s">
        <v>12</v>
      </c>
      <c r="B130" s="4" t="s">
        <v>2792</v>
      </c>
      <c r="C130" s="4" t="s">
        <v>683</v>
      </c>
      <c r="D130" s="6">
        <v>44118</v>
      </c>
      <c r="E130" s="4" t="s">
        <v>684</v>
      </c>
      <c r="F130" s="7">
        <v>2540</v>
      </c>
    </row>
    <row r="131" spans="1:6">
      <c r="A131" s="4" t="s">
        <v>12</v>
      </c>
      <c r="B131" s="4" t="s">
        <v>2792</v>
      </c>
      <c r="C131" s="4" t="s">
        <v>720</v>
      </c>
      <c r="D131" s="6">
        <v>44132</v>
      </c>
      <c r="E131" s="4" t="s">
        <v>721</v>
      </c>
      <c r="F131" s="7">
        <v>2611</v>
      </c>
    </row>
    <row r="132" spans="1:6">
      <c r="A132" s="4" t="s">
        <v>12</v>
      </c>
      <c r="B132" s="4" t="s">
        <v>2792</v>
      </c>
      <c r="C132" s="4" t="s">
        <v>2913</v>
      </c>
      <c r="D132" s="6">
        <v>44151</v>
      </c>
      <c r="E132" s="4" t="s">
        <v>2914</v>
      </c>
      <c r="F132" s="7">
        <v>5330</v>
      </c>
    </row>
    <row r="133" spans="1:6">
      <c r="A133" s="4" t="s">
        <v>62</v>
      </c>
      <c r="B133" s="4" t="s">
        <v>2793</v>
      </c>
      <c r="C133" s="4" t="s">
        <v>63</v>
      </c>
      <c r="D133" s="6">
        <v>43851</v>
      </c>
      <c r="E133" s="4" t="s">
        <v>64</v>
      </c>
      <c r="F133" s="7">
        <v>665.25</v>
      </c>
    </row>
    <row r="134" spans="1:6">
      <c r="A134" s="4" t="s">
        <v>62</v>
      </c>
      <c r="B134" s="4" t="s">
        <v>2793</v>
      </c>
      <c r="C134" s="4" t="s">
        <v>388</v>
      </c>
      <c r="D134" s="6">
        <v>43964</v>
      </c>
      <c r="E134" s="4" t="s">
        <v>389</v>
      </c>
      <c r="F134" s="7">
        <v>692.49</v>
      </c>
    </row>
    <row r="135" spans="1:6">
      <c r="A135" s="4" t="s">
        <v>62</v>
      </c>
      <c r="B135" s="4" t="s">
        <v>2793</v>
      </c>
      <c r="C135" s="4" t="s">
        <v>609</v>
      </c>
      <c r="D135" s="6">
        <v>44074</v>
      </c>
      <c r="E135" s="4" t="s">
        <v>610</v>
      </c>
      <c r="F135" s="7">
        <v>384.8</v>
      </c>
    </row>
    <row r="136" spans="1:6">
      <c r="A136" s="4" t="s">
        <v>120</v>
      </c>
      <c r="B136" s="4" t="s">
        <v>2794</v>
      </c>
      <c r="C136" s="4" t="s">
        <v>121</v>
      </c>
      <c r="D136" s="6">
        <v>43868</v>
      </c>
      <c r="E136" s="4" t="s">
        <v>122</v>
      </c>
      <c r="F136" s="7">
        <v>1454</v>
      </c>
    </row>
    <row r="137" spans="1:6">
      <c r="A137" s="4" t="s">
        <v>120</v>
      </c>
      <c r="B137" s="4" t="s">
        <v>2794</v>
      </c>
      <c r="C137" s="4" t="s">
        <v>472</v>
      </c>
      <c r="D137" s="6">
        <v>44014</v>
      </c>
      <c r="E137" s="4" t="s">
        <v>473</v>
      </c>
      <c r="F137" s="7">
        <v>900</v>
      </c>
    </row>
    <row r="138" spans="1:6">
      <c r="A138" s="4" t="s">
        <v>255</v>
      </c>
      <c r="B138" s="4" t="s">
        <v>2795</v>
      </c>
      <c r="C138" s="4" t="s">
        <v>256</v>
      </c>
      <c r="D138" s="6">
        <v>43907</v>
      </c>
      <c r="E138" s="4" t="s">
        <v>257</v>
      </c>
      <c r="F138" s="7">
        <v>1283</v>
      </c>
    </row>
    <row r="139" spans="1:6">
      <c r="A139" s="4" t="s">
        <v>255</v>
      </c>
      <c r="B139" s="4" t="s">
        <v>2795</v>
      </c>
      <c r="C139" s="4" t="s">
        <v>655</v>
      </c>
      <c r="D139" s="6">
        <v>44103</v>
      </c>
      <c r="E139" s="4" t="s">
        <v>656</v>
      </c>
      <c r="F139" s="7">
        <v>1337</v>
      </c>
    </row>
    <row r="140" spans="1:6">
      <c r="A140" s="4" t="s">
        <v>98</v>
      </c>
      <c r="B140" s="4" t="s">
        <v>2796</v>
      </c>
      <c r="C140" s="4" t="s">
        <v>99</v>
      </c>
      <c r="D140" s="6">
        <v>43859</v>
      </c>
      <c r="E140" s="4" t="s">
        <v>100</v>
      </c>
      <c r="F140" s="7">
        <v>2561</v>
      </c>
    </row>
    <row r="141" spans="1:6">
      <c r="A141" s="4" t="s">
        <v>98</v>
      </c>
      <c r="B141" s="4" t="s">
        <v>2796</v>
      </c>
      <c r="C141" s="4" t="s">
        <v>709</v>
      </c>
      <c r="D141" s="6">
        <v>44131</v>
      </c>
      <c r="E141" s="4" t="s">
        <v>710</v>
      </c>
      <c r="F141" s="7">
        <v>2764</v>
      </c>
    </row>
    <row r="142" spans="1:6">
      <c r="A142" s="4" t="s">
        <v>195</v>
      </c>
      <c r="B142" s="4" t="s">
        <v>2797</v>
      </c>
      <c r="C142" s="4" t="s">
        <v>196</v>
      </c>
      <c r="D142" s="6">
        <v>43882</v>
      </c>
      <c r="E142" s="4" t="s">
        <v>197</v>
      </c>
      <c r="F142" s="7">
        <v>821.5</v>
      </c>
    </row>
    <row r="143" spans="1:6">
      <c r="A143" s="4" t="s">
        <v>35</v>
      </c>
      <c r="B143" s="4" t="s">
        <v>2798</v>
      </c>
      <c r="C143" s="4" t="s">
        <v>36</v>
      </c>
      <c r="D143" s="6">
        <v>43844</v>
      </c>
      <c r="E143" s="4" t="s">
        <v>37</v>
      </c>
      <c r="F143" s="7">
        <v>29722.390000000003</v>
      </c>
    </row>
    <row r="144" spans="1:6">
      <c r="A144" s="4" t="s">
        <v>35</v>
      </c>
      <c r="B144" s="4" t="s">
        <v>2798</v>
      </c>
      <c r="C144" s="4" t="s">
        <v>78</v>
      </c>
      <c r="D144" s="6">
        <v>43857</v>
      </c>
      <c r="E144" s="4" t="s">
        <v>79</v>
      </c>
      <c r="F144" s="7">
        <v>10208</v>
      </c>
    </row>
    <row r="145" spans="1:6">
      <c r="A145" s="4" t="s">
        <v>35</v>
      </c>
      <c r="B145" s="4" t="s">
        <v>2798</v>
      </c>
      <c r="C145" s="4" t="s">
        <v>78</v>
      </c>
      <c r="D145" s="6">
        <v>43861</v>
      </c>
      <c r="E145" s="4" t="s">
        <v>106</v>
      </c>
      <c r="F145" s="7">
        <v>19265.43</v>
      </c>
    </row>
    <row r="146" spans="1:6">
      <c r="A146" s="4" t="s">
        <v>35</v>
      </c>
      <c r="B146" s="4" t="s">
        <v>2798</v>
      </c>
      <c r="C146" s="4" t="s">
        <v>258</v>
      </c>
      <c r="D146" s="6">
        <v>43907</v>
      </c>
      <c r="E146" s="4" t="s">
        <v>259</v>
      </c>
      <c r="F146" s="7">
        <v>29488.079999999998</v>
      </c>
    </row>
    <row r="147" spans="1:6">
      <c r="A147" s="4" t="s">
        <v>35</v>
      </c>
      <c r="B147" s="4" t="s">
        <v>2798</v>
      </c>
      <c r="C147" s="4" t="s">
        <v>276</v>
      </c>
      <c r="D147" s="6">
        <v>43921</v>
      </c>
      <c r="E147" s="4" t="s">
        <v>277</v>
      </c>
      <c r="F147" s="7">
        <v>29467.9</v>
      </c>
    </row>
    <row r="148" spans="1:6">
      <c r="A148" s="4" t="s">
        <v>35</v>
      </c>
      <c r="B148" s="4" t="s">
        <v>2798</v>
      </c>
      <c r="C148" s="4" t="s">
        <v>371</v>
      </c>
      <c r="D148" s="6">
        <v>43959</v>
      </c>
      <c r="E148" s="4" t="s">
        <v>372</v>
      </c>
      <c r="F148" s="7">
        <v>29518.28</v>
      </c>
    </row>
    <row r="149" spans="1:6">
      <c r="A149" s="4" t="s">
        <v>35</v>
      </c>
      <c r="B149" s="4" t="s">
        <v>2798</v>
      </c>
      <c r="C149" s="4" t="s">
        <v>430</v>
      </c>
      <c r="D149" s="6">
        <v>43994</v>
      </c>
      <c r="E149" s="4" t="s">
        <v>431</v>
      </c>
      <c r="F149" s="7">
        <v>29434.959999999999</v>
      </c>
    </row>
    <row r="150" spans="1:6">
      <c r="A150" s="4" t="s">
        <v>35</v>
      </c>
      <c r="B150" s="4" t="s">
        <v>2798</v>
      </c>
      <c r="C150" s="4" t="s">
        <v>432</v>
      </c>
      <c r="D150" s="6">
        <v>43994</v>
      </c>
      <c r="E150" s="4" t="s">
        <v>433</v>
      </c>
      <c r="F150" s="7">
        <v>14855.470000000001</v>
      </c>
    </row>
    <row r="151" spans="1:6">
      <c r="A151" s="4" t="s">
        <v>35</v>
      </c>
      <c r="B151" s="4" t="s">
        <v>2798</v>
      </c>
      <c r="C151" s="4" t="s">
        <v>474</v>
      </c>
      <c r="D151" s="6">
        <v>44014</v>
      </c>
      <c r="E151" s="4" t="s">
        <v>475</v>
      </c>
      <c r="F151" s="7">
        <v>0</v>
      </c>
    </row>
    <row r="152" spans="1:6">
      <c r="A152" s="4" t="s">
        <v>35</v>
      </c>
      <c r="B152" s="4" t="s">
        <v>2798</v>
      </c>
      <c r="C152" s="4" t="s">
        <v>476</v>
      </c>
      <c r="D152" s="6">
        <v>44014</v>
      </c>
      <c r="E152" s="4" t="s">
        <v>477</v>
      </c>
      <c r="F152" s="7">
        <v>14768.12</v>
      </c>
    </row>
    <row r="153" spans="1:6">
      <c r="A153" s="4" t="s">
        <v>35</v>
      </c>
      <c r="B153" s="4" t="s">
        <v>2798</v>
      </c>
      <c r="C153" s="4" t="s">
        <v>760</v>
      </c>
      <c r="D153" s="6">
        <v>44014</v>
      </c>
      <c r="E153" s="4" t="s">
        <v>761</v>
      </c>
      <c r="F153" s="7">
        <v>0</v>
      </c>
    </row>
    <row r="154" spans="1:6">
      <c r="A154" s="4" t="s">
        <v>35</v>
      </c>
      <c r="B154" s="4" t="s">
        <v>2798</v>
      </c>
      <c r="C154" s="4" t="s">
        <v>630</v>
      </c>
      <c r="D154" s="6">
        <v>44085</v>
      </c>
      <c r="E154" s="4" t="s">
        <v>631</v>
      </c>
      <c r="F154" s="7">
        <v>14791.939999999999</v>
      </c>
    </row>
    <row r="155" spans="1:6">
      <c r="A155" s="4" t="s">
        <v>35</v>
      </c>
      <c r="B155" s="4" t="s">
        <v>2798</v>
      </c>
      <c r="C155" s="4" t="s">
        <v>661</v>
      </c>
      <c r="D155" s="6">
        <v>44110</v>
      </c>
      <c r="E155" s="4" t="s">
        <v>662</v>
      </c>
      <c r="F155" s="7">
        <v>14823.079999999998</v>
      </c>
    </row>
    <row r="156" spans="1:6">
      <c r="A156" s="4" t="s">
        <v>129</v>
      </c>
      <c r="B156" s="4" t="s">
        <v>2799</v>
      </c>
      <c r="C156" s="4" t="s">
        <v>130</v>
      </c>
      <c r="D156" s="6">
        <v>43872</v>
      </c>
      <c r="E156" s="4" t="s">
        <v>131</v>
      </c>
      <c r="F156" s="7">
        <v>1060.72</v>
      </c>
    </row>
    <row r="157" spans="1:6">
      <c r="A157" s="4" t="s">
        <v>129</v>
      </c>
      <c r="B157" s="4" t="s">
        <v>2799</v>
      </c>
      <c r="C157" s="4" t="s">
        <v>499</v>
      </c>
      <c r="D157" s="6">
        <v>44021</v>
      </c>
      <c r="E157" s="4" t="s">
        <v>500</v>
      </c>
      <c r="F157" s="7">
        <v>491.43999999999994</v>
      </c>
    </row>
    <row r="158" spans="1:6">
      <c r="A158" s="4" t="s">
        <v>59</v>
      </c>
      <c r="B158" s="4" t="s">
        <v>2800</v>
      </c>
      <c r="C158" s="4" t="s">
        <v>60</v>
      </c>
      <c r="D158" s="6">
        <v>43851</v>
      </c>
      <c r="E158" s="4" t="s">
        <v>61</v>
      </c>
      <c r="F158" s="7">
        <v>73.7</v>
      </c>
    </row>
    <row r="159" spans="1:6">
      <c r="A159" s="4" t="s">
        <v>59</v>
      </c>
      <c r="B159" s="4" t="s">
        <v>2800</v>
      </c>
      <c r="C159" s="4" t="s">
        <v>149</v>
      </c>
      <c r="D159" s="6">
        <v>43875</v>
      </c>
      <c r="E159" s="4" t="s">
        <v>150</v>
      </c>
      <c r="F159" s="7">
        <v>1853.7</v>
      </c>
    </row>
    <row r="160" spans="1:6">
      <c r="A160" s="4" t="s">
        <v>59</v>
      </c>
      <c r="B160" s="4" t="s">
        <v>2800</v>
      </c>
      <c r="C160" s="4" t="s">
        <v>390</v>
      </c>
      <c r="D160" s="6">
        <v>43966</v>
      </c>
      <c r="E160" s="4" t="s">
        <v>391</v>
      </c>
      <c r="F160" s="7">
        <v>755.5</v>
      </c>
    </row>
    <row r="161" spans="1:6">
      <c r="A161" s="4" t="s">
        <v>59</v>
      </c>
      <c r="B161" s="4" t="s">
        <v>2800</v>
      </c>
      <c r="C161" s="4" t="s">
        <v>470</v>
      </c>
      <c r="D161" s="6">
        <v>44013</v>
      </c>
      <c r="E161" s="4" t="s">
        <v>471</v>
      </c>
      <c r="F161" s="7">
        <v>1153.7</v>
      </c>
    </row>
    <row r="162" spans="1:6">
      <c r="A162" s="4" t="s">
        <v>59</v>
      </c>
      <c r="B162" s="4" t="s">
        <v>2800</v>
      </c>
      <c r="C162" s="4" t="s">
        <v>551</v>
      </c>
      <c r="D162" s="6">
        <v>44041</v>
      </c>
      <c r="E162" s="4" t="s">
        <v>552</v>
      </c>
      <c r="F162" s="7">
        <v>1217</v>
      </c>
    </row>
    <row r="163" spans="1:6">
      <c r="A163" s="4" t="s">
        <v>59</v>
      </c>
      <c r="B163" s="4" t="s">
        <v>2800</v>
      </c>
      <c r="C163" s="4" t="s">
        <v>592</v>
      </c>
      <c r="D163" s="6">
        <v>44063</v>
      </c>
      <c r="E163" s="4" t="s">
        <v>593</v>
      </c>
      <c r="F163" s="7">
        <v>255</v>
      </c>
    </row>
    <row r="164" spans="1:6">
      <c r="A164" s="4" t="s">
        <v>59</v>
      </c>
      <c r="B164" s="4" t="s">
        <v>2800</v>
      </c>
      <c r="C164" s="4" t="s">
        <v>695</v>
      </c>
      <c r="D164" s="6">
        <v>44124</v>
      </c>
      <c r="E164" s="4" t="s">
        <v>696</v>
      </c>
      <c r="F164" s="7">
        <v>1017</v>
      </c>
    </row>
    <row r="165" spans="1:6">
      <c r="A165" s="4" t="s">
        <v>91</v>
      </c>
      <c r="B165" s="4" t="s">
        <v>2801</v>
      </c>
      <c r="C165" s="4" t="s">
        <v>92</v>
      </c>
      <c r="D165" s="6">
        <v>43858</v>
      </c>
      <c r="E165" s="4" t="s">
        <v>93</v>
      </c>
      <c r="F165" s="7">
        <v>84.25</v>
      </c>
    </row>
    <row r="166" spans="1:6">
      <c r="A166" s="4" t="s">
        <v>91</v>
      </c>
      <c r="B166" s="4" t="s">
        <v>2801</v>
      </c>
      <c r="C166" s="4" t="s">
        <v>161</v>
      </c>
      <c r="D166" s="6">
        <v>43878</v>
      </c>
      <c r="E166" s="4" t="s">
        <v>162</v>
      </c>
      <c r="F166" s="7">
        <v>1427</v>
      </c>
    </row>
    <row r="167" spans="1:6">
      <c r="A167" s="4" t="s">
        <v>91</v>
      </c>
      <c r="B167" s="4" t="s">
        <v>2801</v>
      </c>
      <c r="C167" s="4" t="s">
        <v>214</v>
      </c>
      <c r="D167" s="6">
        <v>43894</v>
      </c>
      <c r="E167" s="4" t="s">
        <v>215</v>
      </c>
      <c r="F167" s="7">
        <v>84.25</v>
      </c>
    </row>
    <row r="168" spans="1:6">
      <c r="A168" s="4" t="s">
        <v>91</v>
      </c>
      <c r="B168" s="4" t="s">
        <v>2801</v>
      </c>
      <c r="C168" s="4" t="s">
        <v>438</v>
      </c>
      <c r="D168" s="6">
        <v>43999</v>
      </c>
      <c r="E168" s="4" t="s">
        <v>439</v>
      </c>
      <c r="F168" s="7">
        <v>1431</v>
      </c>
    </row>
    <row r="169" spans="1:6">
      <c r="A169" s="4" t="s">
        <v>91</v>
      </c>
      <c r="B169" s="4" t="s">
        <v>2801</v>
      </c>
      <c r="C169" s="4" t="s">
        <v>707</v>
      </c>
      <c r="D169" s="6">
        <v>44131</v>
      </c>
      <c r="E169" s="4" t="s">
        <v>708</v>
      </c>
      <c r="F169" s="7">
        <v>1432</v>
      </c>
    </row>
    <row r="170" spans="1:6">
      <c r="A170" s="4" t="s">
        <v>172</v>
      </c>
      <c r="B170" s="4" t="s">
        <v>2802</v>
      </c>
      <c r="C170" s="4" t="s">
        <v>173</v>
      </c>
      <c r="D170" s="6">
        <v>43879</v>
      </c>
      <c r="E170" s="4" t="s">
        <v>174</v>
      </c>
      <c r="F170" s="7">
        <v>1854.8</v>
      </c>
    </row>
    <row r="171" spans="1:6">
      <c r="A171" s="4" t="s">
        <v>172</v>
      </c>
      <c r="B171" s="4" t="s">
        <v>2802</v>
      </c>
      <c r="C171" s="4" t="s">
        <v>399</v>
      </c>
      <c r="D171" s="6">
        <v>43966</v>
      </c>
      <c r="E171" s="4" t="s">
        <v>400</v>
      </c>
      <c r="F171" s="7">
        <v>3790.4</v>
      </c>
    </row>
    <row r="172" spans="1:6">
      <c r="A172" s="4" t="s">
        <v>188</v>
      </c>
      <c r="B172" s="4" t="s">
        <v>2803</v>
      </c>
      <c r="C172" s="4" t="s">
        <v>189</v>
      </c>
      <c r="D172" s="6">
        <v>43882</v>
      </c>
      <c r="E172" s="4" t="s">
        <v>190</v>
      </c>
      <c r="F172" s="7">
        <v>8700</v>
      </c>
    </row>
    <row r="173" spans="1:6">
      <c r="A173" s="4" t="s">
        <v>188</v>
      </c>
      <c r="B173" s="4" t="s">
        <v>2803</v>
      </c>
      <c r="C173" s="4" t="s">
        <v>330</v>
      </c>
      <c r="D173" s="6">
        <v>43942</v>
      </c>
      <c r="E173" s="4" t="s">
        <v>331</v>
      </c>
      <c r="F173" s="7">
        <v>10185</v>
      </c>
    </row>
    <row r="174" spans="1:6">
      <c r="A174" s="4" t="s">
        <v>405</v>
      </c>
      <c r="B174" s="4" t="s">
        <v>2804</v>
      </c>
      <c r="C174" s="4" t="s">
        <v>406</v>
      </c>
      <c r="D174" s="6">
        <v>43969</v>
      </c>
      <c r="E174" s="4" t="s">
        <v>407</v>
      </c>
      <c r="F174" s="7">
        <v>479</v>
      </c>
    </row>
    <row r="175" spans="1:6">
      <c r="A175" s="4" t="s">
        <v>405</v>
      </c>
      <c r="B175" s="4" t="s">
        <v>2804</v>
      </c>
      <c r="C175" s="4" t="s">
        <v>624</v>
      </c>
      <c r="D175" s="6">
        <v>44083</v>
      </c>
      <c r="E175" s="4" t="s">
        <v>625</v>
      </c>
      <c r="F175" s="7">
        <v>182.5</v>
      </c>
    </row>
    <row r="176" spans="1:6">
      <c r="A176" s="4" t="s">
        <v>405</v>
      </c>
      <c r="B176" s="4" t="s">
        <v>2804</v>
      </c>
      <c r="C176" s="4" t="s">
        <v>642</v>
      </c>
      <c r="D176" s="6">
        <v>44095</v>
      </c>
      <c r="E176" s="4" t="s">
        <v>643</v>
      </c>
      <c r="F176" s="7">
        <v>185.5</v>
      </c>
    </row>
    <row r="177" spans="1:6">
      <c r="A177" s="4" t="s">
        <v>405</v>
      </c>
      <c r="B177" s="4" t="s">
        <v>2804</v>
      </c>
      <c r="C177" s="4" t="s">
        <v>766</v>
      </c>
      <c r="D177" s="6">
        <v>44095</v>
      </c>
      <c r="E177" s="4" t="s">
        <v>767</v>
      </c>
      <c r="F177" s="7">
        <v>-182.5</v>
      </c>
    </row>
    <row r="178" spans="1:6">
      <c r="A178" s="4" t="s">
        <v>405</v>
      </c>
      <c r="B178" s="4" t="s">
        <v>2804</v>
      </c>
      <c r="C178" s="4" t="s">
        <v>677</v>
      </c>
      <c r="D178" s="6">
        <v>44117</v>
      </c>
      <c r="E178" s="4" t="s">
        <v>678</v>
      </c>
      <c r="F178" s="7">
        <v>145.5</v>
      </c>
    </row>
    <row r="179" spans="1:6">
      <c r="A179" s="4" t="s">
        <v>405</v>
      </c>
      <c r="B179" s="4" t="s">
        <v>2804</v>
      </c>
      <c r="C179" s="4" t="s">
        <v>770</v>
      </c>
      <c r="D179" s="6">
        <v>44117</v>
      </c>
      <c r="E179" s="4" t="s">
        <v>771</v>
      </c>
      <c r="F179" s="7">
        <v>-185.5</v>
      </c>
    </row>
    <row r="180" spans="1:6">
      <c r="A180" s="4" t="s">
        <v>249</v>
      </c>
      <c r="B180" s="4" t="s">
        <v>2805</v>
      </c>
      <c r="C180" s="4" t="s">
        <v>250</v>
      </c>
      <c r="D180" s="6">
        <v>43907</v>
      </c>
      <c r="E180" s="4" t="s">
        <v>251</v>
      </c>
      <c r="F180" s="7">
        <v>5311.02</v>
      </c>
    </row>
    <row r="181" spans="1:6">
      <c r="A181" s="4" t="s">
        <v>249</v>
      </c>
      <c r="B181" s="4" t="s">
        <v>2805</v>
      </c>
      <c r="C181" s="4" t="s">
        <v>497</v>
      </c>
      <c r="D181" s="6">
        <v>44021</v>
      </c>
      <c r="E181" s="4" t="s">
        <v>498</v>
      </c>
      <c r="F181" s="7">
        <v>3031.5</v>
      </c>
    </row>
    <row r="182" spans="1:6">
      <c r="A182" s="4" t="s">
        <v>252</v>
      </c>
      <c r="B182" s="4" t="s">
        <v>2806</v>
      </c>
      <c r="C182" s="4" t="s">
        <v>253</v>
      </c>
      <c r="D182" s="6">
        <v>43907</v>
      </c>
      <c r="E182" s="4" t="s">
        <v>254</v>
      </c>
      <c r="F182" s="7">
        <v>245</v>
      </c>
    </row>
    <row r="183" spans="1:6">
      <c r="A183" s="4" t="s">
        <v>252</v>
      </c>
      <c r="B183" s="4" t="s">
        <v>2806</v>
      </c>
      <c r="C183" s="4" t="s">
        <v>422</v>
      </c>
      <c r="D183" s="6">
        <v>43987</v>
      </c>
      <c r="E183" s="4" t="s">
        <v>423</v>
      </c>
      <c r="F183" s="7">
        <v>297</v>
      </c>
    </row>
    <row r="184" spans="1:6">
      <c r="A184" s="4" t="s">
        <v>252</v>
      </c>
      <c r="B184" s="4" t="s">
        <v>2806</v>
      </c>
      <c r="C184" s="4" t="s">
        <v>693</v>
      </c>
      <c r="D184" s="6">
        <v>44124</v>
      </c>
      <c r="E184" s="4" t="s">
        <v>694</v>
      </c>
      <c r="F184" s="7">
        <v>367</v>
      </c>
    </row>
    <row r="185" spans="1:6">
      <c r="A185" s="4" t="s">
        <v>252</v>
      </c>
      <c r="B185" s="4" t="s">
        <v>2806</v>
      </c>
      <c r="C185" s="4" t="s">
        <v>722</v>
      </c>
      <c r="D185" s="6">
        <v>44132</v>
      </c>
      <c r="E185" s="4" t="s">
        <v>723</v>
      </c>
      <c r="F185" s="7">
        <v>209</v>
      </c>
    </row>
    <row r="186" spans="1:6">
      <c r="A186" s="4" t="s">
        <v>123</v>
      </c>
      <c r="B186" s="4" t="s">
        <v>2807</v>
      </c>
      <c r="C186" s="4" t="s">
        <v>124</v>
      </c>
      <c r="D186" s="6">
        <v>43868</v>
      </c>
      <c r="E186" s="4" t="s">
        <v>125</v>
      </c>
      <c r="F186" s="7">
        <v>268.34000000000003</v>
      </c>
    </row>
    <row r="187" spans="1:6">
      <c r="A187" s="4" t="s">
        <v>198</v>
      </c>
      <c r="B187" s="4" t="s">
        <v>2808</v>
      </c>
      <c r="C187" s="4" t="s">
        <v>199</v>
      </c>
      <c r="D187" s="6">
        <v>43887</v>
      </c>
      <c r="E187" s="4" t="s">
        <v>200</v>
      </c>
      <c r="F187" s="7">
        <v>1445.5</v>
      </c>
    </row>
    <row r="188" spans="1:6">
      <c r="A188" s="4" t="s">
        <v>198</v>
      </c>
      <c r="B188" s="4" t="s">
        <v>2808</v>
      </c>
      <c r="C188" s="4" t="s">
        <v>360</v>
      </c>
      <c r="D188" s="6">
        <v>43952</v>
      </c>
      <c r="E188" s="4" t="s">
        <v>361</v>
      </c>
      <c r="F188" s="7">
        <v>419</v>
      </c>
    </row>
    <row r="189" spans="1:6">
      <c r="A189" s="4" t="s">
        <v>198</v>
      </c>
      <c r="B189" s="4" t="s">
        <v>2808</v>
      </c>
      <c r="C189" s="4" t="s">
        <v>611</v>
      </c>
      <c r="D189" s="6">
        <v>44077</v>
      </c>
      <c r="E189" s="4" t="s">
        <v>612</v>
      </c>
      <c r="F189" s="7">
        <v>564</v>
      </c>
    </row>
    <row r="190" spans="1:6">
      <c r="A190" s="4" t="s">
        <v>46</v>
      </c>
      <c r="B190" s="4" t="s">
        <v>2809</v>
      </c>
      <c r="C190" s="4" t="s">
        <v>47</v>
      </c>
      <c r="D190" s="6">
        <v>43846</v>
      </c>
      <c r="E190" s="4" t="s">
        <v>48</v>
      </c>
      <c r="F190" s="7">
        <v>1008</v>
      </c>
    </row>
    <row r="191" spans="1:6">
      <c r="A191" s="4" t="s">
        <v>46</v>
      </c>
      <c r="B191" s="4" t="s">
        <v>2809</v>
      </c>
      <c r="C191" s="4" t="s">
        <v>54</v>
      </c>
      <c r="D191" s="6">
        <v>43847</v>
      </c>
      <c r="E191" s="4" t="s">
        <v>55</v>
      </c>
      <c r="F191" s="7">
        <v>1160</v>
      </c>
    </row>
    <row r="192" spans="1:6">
      <c r="A192" s="4" t="s">
        <v>46</v>
      </c>
      <c r="B192" s="4" t="s">
        <v>2809</v>
      </c>
      <c r="C192" s="4" t="s">
        <v>76</v>
      </c>
      <c r="D192" s="6">
        <v>43854</v>
      </c>
      <c r="E192" s="4" t="s">
        <v>77</v>
      </c>
      <c r="F192" s="7">
        <v>1695.5</v>
      </c>
    </row>
    <row r="193" spans="1:6">
      <c r="A193" s="4" t="s">
        <v>46</v>
      </c>
      <c r="B193" s="4" t="s">
        <v>2809</v>
      </c>
      <c r="C193" s="4" t="s">
        <v>94</v>
      </c>
      <c r="D193" s="6">
        <v>43858</v>
      </c>
      <c r="E193" s="4" t="s">
        <v>95</v>
      </c>
      <c r="F193" s="7">
        <v>1115</v>
      </c>
    </row>
    <row r="194" spans="1:6">
      <c r="A194" s="4" t="s">
        <v>46</v>
      </c>
      <c r="B194" s="4" t="s">
        <v>2809</v>
      </c>
      <c r="C194" s="4" t="s">
        <v>110</v>
      </c>
      <c r="D194" s="6">
        <v>43865</v>
      </c>
      <c r="E194" s="4" t="s">
        <v>111</v>
      </c>
      <c r="F194" s="7">
        <v>1273</v>
      </c>
    </row>
    <row r="195" spans="1:6">
      <c r="A195" s="4" t="s">
        <v>46</v>
      </c>
      <c r="B195" s="4" t="s">
        <v>2809</v>
      </c>
      <c r="C195" s="4" t="s">
        <v>193</v>
      </c>
      <c r="D195" s="6">
        <v>43882</v>
      </c>
      <c r="E195" s="4" t="s">
        <v>194</v>
      </c>
      <c r="F195" s="7">
        <v>1746.5</v>
      </c>
    </row>
    <row r="196" spans="1:6">
      <c r="A196" s="4" t="s">
        <v>46</v>
      </c>
      <c r="B196" s="4" t="s">
        <v>2809</v>
      </c>
      <c r="C196" s="4" t="s">
        <v>206</v>
      </c>
      <c r="D196" s="6">
        <v>43892</v>
      </c>
      <c r="E196" s="4" t="s">
        <v>207</v>
      </c>
      <c r="F196" s="7">
        <v>1110</v>
      </c>
    </row>
    <row r="197" spans="1:6">
      <c r="A197" s="4" t="s">
        <v>46</v>
      </c>
      <c r="B197" s="4" t="s">
        <v>2809</v>
      </c>
      <c r="C197" s="4" t="s">
        <v>210</v>
      </c>
      <c r="D197" s="6">
        <v>43893</v>
      </c>
      <c r="E197" s="4" t="s">
        <v>211</v>
      </c>
      <c r="F197" s="7">
        <v>1392</v>
      </c>
    </row>
    <row r="198" spans="1:6">
      <c r="A198" s="4" t="s">
        <v>46</v>
      </c>
      <c r="B198" s="4" t="s">
        <v>2809</v>
      </c>
      <c r="C198" s="4" t="s">
        <v>239</v>
      </c>
      <c r="D198" s="6">
        <v>43901</v>
      </c>
      <c r="E198" s="4" t="s">
        <v>240</v>
      </c>
      <c r="F198" s="7">
        <v>1524</v>
      </c>
    </row>
    <row r="199" spans="1:6">
      <c r="A199" s="4" t="s">
        <v>46</v>
      </c>
      <c r="B199" s="4" t="s">
        <v>2809</v>
      </c>
      <c r="C199" s="4" t="s">
        <v>269</v>
      </c>
      <c r="D199" s="6">
        <v>43917</v>
      </c>
      <c r="E199" s="4" t="s">
        <v>270</v>
      </c>
      <c r="F199" s="7">
        <v>1569</v>
      </c>
    </row>
    <row r="200" spans="1:6">
      <c r="A200" s="4" t="s">
        <v>46</v>
      </c>
      <c r="B200" s="4" t="s">
        <v>2809</v>
      </c>
      <c r="C200" s="4" t="s">
        <v>292</v>
      </c>
      <c r="D200" s="6">
        <v>43921</v>
      </c>
      <c r="E200" s="4" t="s">
        <v>293</v>
      </c>
      <c r="F200" s="7">
        <v>1122</v>
      </c>
    </row>
    <row r="201" spans="1:6">
      <c r="A201" s="4" t="s">
        <v>46</v>
      </c>
      <c r="B201" s="4" t="s">
        <v>2809</v>
      </c>
      <c r="C201" s="4" t="s">
        <v>304</v>
      </c>
      <c r="D201" s="6">
        <v>43928</v>
      </c>
      <c r="E201" s="4" t="s">
        <v>305</v>
      </c>
      <c r="F201" s="7">
        <v>1193</v>
      </c>
    </row>
    <row r="202" spans="1:6">
      <c r="A202" s="4" t="s">
        <v>46</v>
      </c>
      <c r="B202" s="4" t="s">
        <v>2809</v>
      </c>
      <c r="C202" s="4" t="s">
        <v>342</v>
      </c>
      <c r="D202" s="6">
        <v>43949</v>
      </c>
      <c r="E202" s="4" t="s">
        <v>343</v>
      </c>
      <c r="F202" s="7">
        <v>1044.5</v>
      </c>
    </row>
    <row r="203" spans="1:6">
      <c r="A203" s="4" t="s">
        <v>46</v>
      </c>
      <c r="B203" s="4" t="s">
        <v>2809</v>
      </c>
      <c r="C203" s="4" t="s">
        <v>358</v>
      </c>
      <c r="D203" s="6">
        <v>43951</v>
      </c>
      <c r="E203" s="4" t="s">
        <v>359</v>
      </c>
      <c r="F203" s="7">
        <v>1166</v>
      </c>
    </row>
    <row r="204" spans="1:6">
      <c r="A204" s="4" t="s">
        <v>46</v>
      </c>
      <c r="B204" s="4" t="s">
        <v>2809</v>
      </c>
      <c r="C204" s="4" t="s">
        <v>364</v>
      </c>
      <c r="D204" s="6">
        <v>43957</v>
      </c>
      <c r="E204" s="4" t="s">
        <v>365</v>
      </c>
      <c r="F204" s="7">
        <v>1258</v>
      </c>
    </row>
    <row r="205" spans="1:6">
      <c r="A205" s="4" t="s">
        <v>46</v>
      </c>
      <c r="B205" s="4" t="s">
        <v>2809</v>
      </c>
      <c r="C205" s="4" t="s">
        <v>403</v>
      </c>
      <c r="D205" s="6">
        <v>43966</v>
      </c>
      <c r="E205" s="4" t="s">
        <v>404</v>
      </c>
      <c r="F205" s="7">
        <v>1054</v>
      </c>
    </row>
    <row r="206" spans="1:6">
      <c r="A206" s="4" t="s">
        <v>46</v>
      </c>
      <c r="B206" s="4" t="s">
        <v>2809</v>
      </c>
      <c r="C206" s="4" t="s">
        <v>411</v>
      </c>
      <c r="D206" s="6">
        <v>43970</v>
      </c>
      <c r="E206" s="4" t="s">
        <v>412</v>
      </c>
      <c r="F206" s="7">
        <v>1096.75</v>
      </c>
    </row>
    <row r="207" spans="1:6">
      <c r="A207" s="4" t="s">
        <v>46</v>
      </c>
      <c r="B207" s="4" t="s">
        <v>2809</v>
      </c>
      <c r="C207" s="4" t="s">
        <v>415</v>
      </c>
      <c r="D207" s="6">
        <v>43985</v>
      </c>
      <c r="E207" s="4" t="s">
        <v>416</v>
      </c>
      <c r="F207" s="7">
        <v>1448.5</v>
      </c>
    </row>
    <row r="208" spans="1:6">
      <c r="A208" s="4" t="s">
        <v>46</v>
      </c>
      <c r="B208" s="4" t="s">
        <v>2809</v>
      </c>
      <c r="C208" s="4" t="s">
        <v>453</v>
      </c>
      <c r="D208" s="6">
        <v>44005</v>
      </c>
      <c r="E208" s="4" t="s">
        <v>454</v>
      </c>
      <c r="F208" s="7">
        <v>1077.75</v>
      </c>
    </row>
    <row r="209" spans="1:6">
      <c r="A209" s="4" t="s">
        <v>46</v>
      </c>
      <c r="B209" s="4" t="s">
        <v>2809</v>
      </c>
      <c r="C209" s="4" t="s">
        <v>522</v>
      </c>
      <c r="D209" s="6">
        <v>44026</v>
      </c>
      <c r="E209" s="4" t="s">
        <v>523</v>
      </c>
      <c r="F209" s="7">
        <v>1175</v>
      </c>
    </row>
    <row r="210" spans="1:6">
      <c r="A210" s="4" t="s">
        <v>46</v>
      </c>
      <c r="B210" s="4" t="s">
        <v>2809</v>
      </c>
      <c r="C210" s="4" t="s">
        <v>540</v>
      </c>
      <c r="D210" s="6">
        <v>44035</v>
      </c>
      <c r="E210" s="4" t="s">
        <v>541</v>
      </c>
      <c r="F210" s="7">
        <v>1191.5</v>
      </c>
    </row>
    <row r="211" spans="1:6">
      <c r="A211" s="4" t="s">
        <v>46</v>
      </c>
      <c r="B211" s="4" t="s">
        <v>2809</v>
      </c>
      <c r="C211" s="4" t="s">
        <v>555</v>
      </c>
      <c r="D211" s="6">
        <v>44046</v>
      </c>
      <c r="E211" s="4" t="s">
        <v>556</v>
      </c>
      <c r="F211" s="7">
        <v>1066.5</v>
      </c>
    </row>
    <row r="212" spans="1:6">
      <c r="A212" s="4" t="s">
        <v>46</v>
      </c>
      <c r="B212" s="4" t="s">
        <v>2809</v>
      </c>
      <c r="C212" s="4" t="s">
        <v>574</v>
      </c>
      <c r="D212" s="6">
        <v>44056</v>
      </c>
      <c r="E212" s="4" t="s">
        <v>575</v>
      </c>
      <c r="F212" s="7">
        <v>1281.5</v>
      </c>
    </row>
    <row r="213" spans="1:6">
      <c r="A213" s="4" t="s">
        <v>46</v>
      </c>
      <c r="B213" s="4" t="s">
        <v>2809</v>
      </c>
      <c r="C213" s="4" t="s">
        <v>598</v>
      </c>
      <c r="D213" s="6">
        <v>44063</v>
      </c>
      <c r="E213" s="4" t="s">
        <v>599</v>
      </c>
      <c r="F213" s="7">
        <v>4602</v>
      </c>
    </row>
    <row r="214" spans="1:6">
      <c r="A214" s="4" t="s">
        <v>46</v>
      </c>
      <c r="B214" s="4" t="s">
        <v>2809</v>
      </c>
      <c r="C214" s="4" t="s">
        <v>638</v>
      </c>
      <c r="D214" s="6">
        <v>44089</v>
      </c>
      <c r="E214" s="4" t="s">
        <v>639</v>
      </c>
      <c r="F214" s="7">
        <v>1184</v>
      </c>
    </row>
    <row r="215" spans="1:6">
      <c r="A215" s="4" t="s">
        <v>46</v>
      </c>
      <c r="B215" s="4" t="s">
        <v>2809</v>
      </c>
      <c r="C215" s="4" t="s">
        <v>646</v>
      </c>
      <c r="D215" s="6">
        <v>44097</v>
      </c>
      <c r="E215" s="4" t="s">
        <v>647</v>
      </c>
      <c r="F215" s="7">
        <v>873.5</v>
      </c>
    </row>
    <row r="216" spans="1:6">
      <c r="A216" s="4" t="s">
        <v>46</v>
      </c>
      <c r="B216" s="4" t="s">
        <v>2809</v>
      </c>
      <c r="C216" s="4" t="s">
        <v>663</v>
      </c>
      <c r="D216" s="6">
        <v>44110</v>
      </c>
      <c r="E216" s="4" t="s">
        <v>664</v>
      </c>
      <c r="F216" s="7">
        <v>1308</v>
      </c>
    </row>
    <row r="217" spans="1:6">
      <c r="A217" s="4" t="s">
        <v>46</v>
      </c>
      <c r="B217" s="4" t="s">
        <v>2809</v>
      </c>
      <c r="C217" s="4" t="s">
        <v>689</v>
      </c>
      <c r="D217" s="6">
        <v>44120</v>
      </c>
      <c r="E217" s="4" t="s">
        <v>690</v>
      </c>
      <c r="F217" s="7">
        <v>1478</v>
      </c>
    </row>
    <row r="218" spans="1:6">
      <c r="A218" s="4" t="s">
        <v>46</v>
      </c>
      <c r="B218" s="4" t="s">
        <v>2809</v>
      </c>
      <c r="C218" s="4" t="s">
        <v>716</v>
      </c>
      <c r="D218" s="6">
        <v>44132</v>
      </c>
      <c r="E218" s="4" t="s">
        <v>717</v>
      </c>
      <c r="F218" s="7">
        <v>1103</v>
      </c>
    </row>
    <row r="219" spans="1:6">
      <c r="A219" s="4" t="s">
        <v>46</v>
      </c>
      <c r="B219" s="4" t="s">
        <v>2809</v>
      </c>
      <c r="C219" s="4" t="s">
        <v>739</v>
      </c>
      <c r="D219" s="6">
        <v>44139</v>
      </c>
      <c r="E219" s="4" t="s">
        <v>740</v>
      </c>
      <c r="F219" s="7">
        <v>1270</v>
      </c>
    </row>
    <row r="220" spans="1:6">
      <c r="A220" s="4" t="s">
        <v>46</v>
      </c>
      <c r="B220" s="4" t="s">
        <v>2809</v>
      </c>
      <c r="C220" s="4" t="s">
        <v>2763</v>
      </c>
      <c r="D220" s="6">
        <v>44145</v>
      </c>
      <c r="E220" s="4" t="s">
        <v>2764</v>
      </c>
      <c r="F220" s="7">
        <v>1480</v>
      </c>
    </row>
    <row r="221" spans="1:6">
      <c r="A221" s="4" t="s">
        <v>88</v>
      </c>
      <c r="B221" s="4" t="s">
        <v>2810</v>
      </c>
      <c r="C221" s="4" t="s">
        <v>89</v>
      </c>
      <c r="D221" s="6">
        <v>43858</v>
      </c>
      <c r="E221" s="4" t="s">
        <v>90</v>
      </c>
      <c r="F221" s="7">
        <v>312.10000000000002</v>
      </c>
    </row>
    <row r="222" spans="1:6">
      <c r="A222" s="4" t="s">
        <v>88</v>
      </c>
      <c r="B222" s="4" t="s">
        <v>2810</v>
      </c>
      <c r="C222" s="4" t="s">
        <v>586</v>
      </c>
      <c r="D222" s="6">
        <v>44060</v>
      </c>
      <c r="E222" s="4" t="s">
        <v>587</v>
      </c>
      <c r="F222" s="7">
        <v>415.91999999999996</v>
      </c>
    </row>
    <row r="223" spans="1:6">
      <c r="A223" s="4" t="s">
        <v>88</v>
      </c>
      <c r="B223" s="4" t="s">
        <v>2810</v>
      </c>
      <c r="C223" s="4" t="s">
        <v>685</v>
      </c>
      <c r="D223" s="6">
        <v>44120</v>
      </c>
      <c r="E223" s="4" t="s">
        <v>686</v>
      </c>
      <c r="F223" s="7">
        <v>303.39999999999998</v>
      </c>
    </row>
    <row r="224" spans="1:6">
      <c r="A224" s="4" t="s">
        <v>263</v>
      </c>
      <c r="B224" s="4" t="s">
        <v>2811</v>
      </c>
      <c r="C224" s="4" t="s">
        <v>264</v>
      </c>
      <c r="D224" s="6">
        <v>43910</v>
      </c>
      <c r="E224" s="4" t="s">
        <v>265</v>
      </c>
      <c r="F224" s="7">
        <v>684.6</v>
      </c>
    </row>
    <row r="225" spans="1:6">
      <c r="A225" s="4" t="s">
        <v>169</v>
      </c>
      <c r="B225" s="4" t="s">
        <v>2812</v>
      </c>
      <c r="C225" s="4" t="s">
        <v>170</v>
      </c>
      <c r="D225" s="6">
        <v>43879</v>
      </c>
      <c r="E225" s="4" t="s">
        <v>171</v>
      </c>
      <c r="F225" s="7">
        <v>2756</v>
      </c>
    </row>
    <row r="226" spans="1:6">
      <c r="A226" s="4" t="s">
        <v>65</v>
      </c>
      <c r="B226" s="4" t="s">
        <v>2813</v>
      </c>
      <c r="C226" s="4" t="s">
        <v>66</v>
      </c>
      <c r="D226" s="6">
        <v>43854</v>
      </c>
      <c r="E226" s="4" t="s">
        <v>67</v>
      </c>
      <c r="F226" s="7">
        <v>8624</v>
      </c>
    </row>
    <row r="227" spans="1:6">
      <c r="A227" s="4" t="s">
        <v>65</v>
      </c>
      <c r="B227" s="4" t="s">
        <v>2813</v>
      </c>
      <c r="C227" s="4" t="s">
        <v>157</v>
      </c>
      <c r="D227" s="6">
        <v>43875</v>
      </c>
      <c r="E227" s="4" t="s">
        <v>158</v>
      </c>
      <c r="F227" s="7">
        <v>1024</v>
      </c>
    </row>
    <row r="228" spans="1:6">
      <c r="A228" s="4" t="s">
        <v>65</v>
      </c>
      <c r="B228" s="4" t="s">
        <v>2813</v>
      </c>
      <c r="C228" s="4" t="s">
        <v>569</v>
      </c>
      <c r="D228" s="6">
        <v>44054</v>
      </c>
      <c r="E228" s="4" t="s">
        <v>570</v>
      </c>
      <c r="F228" s="7">
        <v>8680</v>
      </c>
    </row>
    <row r="229" spans="1:6">
      <c r="A229" s="4" t="s">
        <v>126</v>
      </c>
      <c r="B229" s="4" t="s">
        <v>2814</v>
      </c>
      <c r="C229" s="4" t="s">
        <v>127</v>
      </c>
      <c r="D229" s="6">
        <v>43868</v>
      </c>
      <c r="E229" s="4" t="s">
        <v>128</v>
      </c>
      <c r="F229" s="7">
        <v>263.39999999999998</v>
      </c>
    </row>
    <row r="230" spans="1:6">
      <c r="A230" s="4" t="s">
        <v>126</v>
      </c>
      <c r="B230" s="4" t="s">
        <v>2814</v>
      </c>
      <c r="C230" s="4" t="s">
        <v>155</v>
      </c>
      <c r="D230" s="6">
        <v>43875</v>
      </c>
      <c r="E230" s="4" t="s">
        <v>156</v>
      </c>
      <c r="F230" s="7">
        <v>101.5</v>
      </c>
    </row>
    <row r="231" spans="1:6">
      <c r="A231" s="4" t="s">
        <v>126</v>
      </c>
      <c r="B231" s="4" t="s">
        <v>2814</v>
      </c>
      <c r="C231" s="4" t="s">
        <v>278</v>
      </c>
      <c r="D231" s="6">
        <v>43921</v>
      </c>
      <c r="E231" s="4" t="s">
        <v>279</v>
      </c>
      <c r="F231" s="7">
        <v>322</v>
      </c>
    </row>
    <row r="232" spans="1:6">
      <c r="A232" s="4" t="s">
        <v>126</v>
      </c>
      <c r="B232" s="4" t="s">
        <v>2814</v>
      </c>
      <c r="C232" s="4" t="s">
        <v>316</v>
      </c>
      <c r="D232" s="6">
        <v>43936</v>
      </c>
      <c r="E232" s="4" t="s">
        <v>317</v>
      </c>
      <c r="F232" s="7">
        <v>284.75</v>
      </c>
    </row>
    <row r="233" spans="1:6">
      <c r="A233" s="4" t="s">
        <v>126</v>
      </c>
      <c r="B233" s="4" t="s">
        <v>2814</v>
      </c>
      <c r="C233" s="4" t="s">
        <v>354</v>
      </c>
      <c r="D233" s="6">
        <v>43951</v>
      </c>
      <c r="E233" s="4" t="s">
        <v>355</v>
      </c>
      <c r="F233" s="7">
        <v>264.5</v>
      </c>
    </row>
    <row r="234" spans="1:6">
      <c r="A234" s="4" t="s">
        <v>126</v>
      </c>
      <c r="B234" s="4" t="s">
        <v>2814</v>
      </c>
      <c r="C234" s="4" t="s">
        <v>420</v>
      </c>
      <c r="D234" s="6">
        <v>43987</v>
      </c>
      <c r="E234" s="4" t="s">
        <v>421</v>
      </c>
      <c r="F234" s="7">
        <v>451.5</v>
      </c>
    </row>
    <row r="235" spans="1:6">
      <c r="A235" s="4" t="s">
        <v>126</v>
      </c>
      <c r="B235" s="4" t="s">
        <v>2814</v>
      </c>
      <c r="C235" s="4" t="s">
        <v>486</v>
      </c>
      <c r="D235" s="6">
        <v>44019</v>
      </c>
      <c r="E235" s="4" t="s">
        <v>487</v>
      </c>
      <c r="F235" s="7">
        <v>95.25</v>
      </c>
    </row>
    <row r="236" spans="1:6">
      <c r="A236" s="4" t="s">
        <v>126</v>
      </c>
      <c r="B236" s="4" t="s">
        <v>2814</v>
      </c>
      <c r="C236" s="4" t="s">
        <v>529</v>
      </c>
      <c r="D236" s="6">
        <v>44028</v>
      </c>
      <c r="E236" s="4" t="s">
        <v>530</v>
      </c>
      <c r="F236" s="7">
        <v>1241.75</v>
      </c>
    </row>
    <row r="237" spans="1:6">
      <c r="A237" s="4" t="s">
        <v>126</v>
      </c>
      <c r="B237" s="4" t="s">
        <v>2814</v>
      </c>
      <c r="C237" s="4" t="s">
        <v>607</v>
      </c>
      <c r="D237" s="6">
        <v>44070</v>
      </c>
      <c r="E237" s="4" t="s">
        <v>608</v>
      </c>
      <c r="F237" s="7">
        <v>341</v>
      </c>
    </row>
    <row r="238" spans="1:6">
      <c r="A238" s="4" t="s">
        <v>126</v>
      </c>
      <c r="B238" s="4" t="s">
        <v>2814</v>
      </c>
      <c r="C238" s="4" t="s">
        <v>2920</v>
      </c>
      <c r="D238" s="6">
        <v>44148</v>
      </c>
      <c r="E238" s="4" t="s">
        <v>2921</v>
      </c>
      <c r="F238" s="7">
        <v>561.9</v>
      </c>
    </row>
    <row r="239" spans="1:6">
      <c r="A239" s="4" t="s">
        <v>18</v>
      </c>
      <c r="B239" s="4" t="s">
        <v>2815</v>
      </c>
      <c r="C239" s="4" t="s">
        <v>19</v>
      </c>
      <c r="D239" s="6">
        <v>43838</v>
      </c>
      <c r="E239" s="4" t="s">
        <v>20</v>
      </c>
      <c r="F239" s="7">
        <v>161.64000000000001</v>
      </c>
    </row>
    <row r="240" spans="1:6">
      <c r="A240" s="4" t="s">
        <v>535</v>
      </c>
      <c r="B240" s="4" t="s">
        <v>2816</v>
      </c>
      <c r="C240" s="4" t="s">
        <v>536</v>
      </c>
      <c r="D240" s="6">
        <v>44035</v>
      </c>
      <c r="E240" s="4" t="s">
        <v>537</v>
      </c>
      <c r="F240" s="7">
        <v>1689.7</v>
      </c>
    </row>
    <row r="241" spans="1:6">
      <c r="A241" s="4" t="s">
        <v>440</v>
      </c>
      <c r="B241" s="4" t="s">
        <v>2817</v>
      </c>
      <c r="C241" s="4" t="s">
        <v>441</v>
      </c>
      <c r="D241" s="6">
        <v>44000</v>
      </c>
      <c r="E241" s="4" t="s">
        <v>442</v>
      </c>
      <c r="F241" s="7">
        <v>2950</v>
      </c>
    </row>
    <row r="242" spans="1:6">
      <c r="A242" s="4" t="s">
        <v>440</v>
      </c>
      <c r="B242" s="4" t="s">
        <v>2817</v>
      </c>
      <c r="C242" s="4" t="s">
        <v>443</v>
      </c>
      <c r="D242" s="6">
        <v>44000</v>
      </c>
      <c r="E242" s="4" t="s">
        <v>444</v>
      </c>
      <c r="F242" s="7">
        <v>2950</v>
      </c>
    </row>
    <row r="243" spans="1:6">
      <c r="A243" s="4" t="s">
        <v>440</v>
      </c>
      <c r="B243" s="4" t="s">
        <v>2817</v>
      </c>
      <c r="C243" s="4" t="s">
        <v>445</v>
      </c>
      <c r="D243" s="6">
        <v>44000</v>
      </c>
      <c r="E243" s="4" t="s">
        <v>446</v>
      </c>
      <c r="F243" s="7">
        <v>2950</v>
      </c>
    </row>
    <row r="244" spans="1:6">
      <c r="A244" s="4" t="s">
        <v>440</v>
      </c>
      <c r="B244" s="4" t="s">
        <v>2817</v>
      </c>
      <c r="C244" s="4" t="s">
        <v>756</v>
      </c>
      <c r="D244" s="6">
        <v>44000</v>
      </c>
      <c r="E244" s="4" t="s">
        <v>757</v>
      </c>
      <c r="F244" s="7">
        <v>-2950</v>
      </c>
    </row>
    <row r="245" spans="1:6">
      <c r="A245" s="4" t="s">
        <v>440</v>
      </c>
      <c r="B245" s="4" t="s">
        <v>2817</v>
      </c>
      <c r="C245" s="4" t="s">
        <v>758</v>
      </c>
      <c r="D245" s="6">
        <v>44000</v>
      </c>
      <c r="E245" s="4" t="s">
        <v>759</v>
      </c>
      <c r="F245" s="7">
        <v>-2950</v>
      </c>
    </row>
    <row r="246" spans="1:6">
      <c r="A246" s="4" t="s">
        <v>561</v>
      </c>
      <c r="B246" s="4" t="s">
        <v>2818</v>
      </c>
      <c r="C246" s="4" t="s">
        <v>562</v>
      </c>
      <c r="D246" s="6">
        <v>44050</v>
      </c>
      <c r="E246" s="4" t="s">
        <v>563</v>
      </c>
      <c r="F246" s="7">
        <v>96.12</v>
      </c>
    </row>
    <row r="247" spans="1:6">
      <c r="A247" s="4" t="s">
        <v>29</v>
      </c>
      <c r="B247" s="4" t="s">
        <v>2819</v>
      </c>
      <c r="C247" s="4" t="s">
        <v>30</v>
      </c>
      <c r="D247" s="6">
        <v>43840</v>
      </c>
      <c r="E247" s="4" t="s">
        <v>31</v>
      </c>
      <c r="F247" s="7">
        <v>969</v>
      </c>
    </row>
    <row r="248" spans="1:6">
      <c r="A248" s="4" t="s">
        <v>29</v>
      </c>
      <c r="B248" s="4" t="s">
        <v>2819</v>
      </c>
      <c r="C248" s="4" t="s">
        <v>183</v>
      </c>
      <c r="D248" s="6">
        <v>43880</v>
      </c>
      <c r="E248" s="4" t="s">
        <v>184</v>
      </c>
      <c r="F248" s="7">
        <v>1278.5</v>
      </c>
    </row>
    <row r="249" spans="1:6">
      <c r="A249" s="4" t="s">
        <v>29</v>
      </c>
      <c r="B249" s="4" t="s">
        <v>2819</v>
      </c>
      <c r="C249" s="4" t="s">
        <v>306</v>
      </c>
      <c r="D249" s="6">
        <v>43928</v>
      </c>
      <c r="E249" s="4" t="s">
        <v>307</v>
      </c>
      <c r="F249" s="7">
        <v>3328</v>
      </c>
    </row>
    <row r="250" spans="1:6">
      <c r="A250" s="4" t="s">
        <v>29</v>
      </c>
      <c r="B250" s="4" t="s">
        <v>2819</v>
      </c>
      <c r="C250" s="4" t="s">
        <v>434</v>
      </c>
      <c r="D250" s="6">
        <v>43994</v>
      </c>
      <c r="E250" s="4" t="s">
        <v>435</v>
      </c>
      <c r="F250" s="7">
        <v>1229.25</v>
      </c>
    </row>
    <row r="251" spans="1:6">
      <c r="A251" s="4" t="s">
        <v>29</v>
      </c>
      <c r="B251" s="4" t="s">
        <v>2819</v>
      </c>
      <c r="C251" s="4" t="s">
        <v>600</v>
      </c>
      <c r="D251" s="6">
        <v>44068</v>
      </c>
      <c r="E251" s="4" t="s">
        <v>601</v>
      </c>
      <c r="F251" s="7">
        <v>3427.25</v>
      </c>
    </row>
    <row r="252" spans="1:6">
      <c r="A252" s="4" t="s">
        <v>29</v>
      </c>
      <c r="B252" s="4" t="s">
        <v>2819</v>
      </c>
      <c r="C252" s="4" t="s">
        <v>648</v>
      </c>
      <c r="D252" s="6">
        <v>44097</v>
      </c>
      <c r="E252" s="4" t="s">
        <v>649</v>
      </c>
      <c r="F252" s="7">
        <v>1859</v>
      </c>
    </row>
    <row r="253" spans="1:6">
      <c r="A253" s="4" t="s">
        <v>29</v>
      </c>
      <c r="B253" s="4" t="s">
        <v>2819</v>
      </c>
      <c r="C253" s="4" t="s">
        <v>701</v>
      </c>
      <c r="D253" s="6">
        <v>44125</v>
      </c>
      <c r="E253" s="4" t="s">
        <v>702</v>
      </c>
      <c r="F253" s="7">
        <v>1846.92</v>
      </c>
    </row>
    <row r="254" spans="1:6">
      <c r="A254" s="4" t="s">
        <v>29</v>
      </c>
      <c r="B254" s="4" t="s">
        <v>2819</v>
      </c>
      <c r="C254" s="4" t="s">
        <v>703</v>
      </c>
      <c r="D254" s="6">
        <v>44125</v>
      </c>
      <c r="E254" s="4" t="s">
        <v>704</v>
      </c>
      <c r="F254" s="7">
        <v>1773.27</v>
      </c>
    </row>
    <row r="255" spans="1:6">
      <c r="A255" s="4" t="s">
        <v>29</v>
      </c>
      <c r="B255" s="4" t="s">
        <v>2819</v>
      </c>
      <c r="C255" s="4" t="s">
        <v>728</v>
      </c>
      <c r="D255" s="6">
        <v>44134</v>
      </c>
      <c r="E255" s="4" t="s">
        <v>729</v>
      </c>
      <c r="F255" s="7">
        <v>2410</v>
      </c>
    </row>
    <row r="256" spans="1:6">
      <c r="A256" s="4" t="s">
        <v>29</v>
      </c>
      <c r="B256" s="4" t="s">
        <v>2819</v>
      </c>
      <c r="C256" s="4" t="s">
        <v>730</v>
      </c>
      <c r="D256" s="6">
        <v>44134</v>
      </c>
      <c r="E256" s="4" t="s">
        <v>731</v>
      </c>
      <c r="F256" s="7">
        <v>2495</v>
      </c>
    </row>
    <row r="257" spans="1:6">
      <c r="A257" s="4" t="s">
        <v>29</v>
      </c>
      <c r="B257" s="4" t="s">
        <v>2819</v>
      </c>
      <c r="C257" s="4" t="s">
        <v>772</v>
      </c>
      <c r="D257" s="6">
        <v>44134</v>
      </c>
      <c r="E257" s="4" t="s">
        <v>773</v>
      </c>
      <c r="F257" s="7">
        <v>-2410</v>
      </c>
    </row>
    <row r="258" spans="1:6">
      <c r="A258" s="4" t="s">
        <v>336</v>
      </c>
      <c r="B258" s="4" t="s">
        <v>2820</v>
      </c>
      <c r="C258" s="4" t="s">
        <v>337</v>
      </c>
      <c r="D258" s="6">
        <v>43949</v>
      </c>
      <c r="E258" s="4" t="s">
        <v>338</v>
      </c>
      <c r="F258" s="7">
        <v>1219.93</v>
      </c>
    </row>
    <row r="259" spans="1:6">
      <c r="A259" s="4" t="s">
        <v>519</v>
      </c>
      <c r="B259" s="4" t="s">
        <v>2821</v>
      </c>
      <c r="C259" s="4" t="s">
        <v>520</v>
      </c>
      <c r="D259" s="6">
        <v>44026</v>
      </c>
      <c r="E259" s="4" t="s">
        <v>521</v>
      </c>
      <c r="F259" s="7">
        <v>2241.96</v>
      </c>
    </row>
    <row r="260" spans="1:6">
      <c r="A260" s="4" t="s">
        <v>24</v>
      </c>
      <c r="B260" s="4" t="s">
        <v>2822</v>
      </c>
      <c r="C260" s="4" t="s">
        <v>25</v>
      </c>
      <c r="D260" s="6">
        <v>43839</v>
      </c>
      <c r="E260" s="4" t="s">
        <v>26</v>
      </c>
      <c r="F260" s="7">
        <v>4325.3999999999996</v>
      </c>
    </row>
    <row r="261" spans="1:6">
      <c r="A261" s="4" t="s">
        <v>24</v>
      </c>
      <c r="B261" s="4" t="s">
        <v>2822</v>
      </c>
      <c r="C261" s="4" t="s">
        <v>27</v>
      </c>
      <c r="D261" s="6">
        <v>43839</v>
      </c>
      <c r="E261" s="4" t="s">
        <v>28</v>
      </c>
      <c r="F261" s="7">
        <v>297.60000000000002</v>
      </c>
    </row>
    <row r="262" spans="1:6">
      <c r="A262" s="4" t="s">
        <v>24</v>
      </c>
      <c r="B262" s="4" t="s">
        <v>2822</v>
      </c>
      <c r="C262" s="4" t="s">
        <v>143</v>
      </c>
      <c r="D262" s="6">
        <v>43873</v>
      </c>
      <c r="E262" s="4" t="s">
        <v>144</v>
      </c>
      <c r="F262" s="7">
        <v>7730.6</v>
      </c>
    </row>
    <row r="263" spans="1:6">
      <c r="A263" s="4" t="s">
        <v>24</v>
      </c>
      <c r="B263" s="4" t="s">
        <v>2822</v>
      </c>
      <c r="C263" s="4" t="s">
        <v>145</v>
      </c>
      <c r="D263" s="6">
        <v>43873</v>
      </c>
      <c r="E263" s="4" t="s">
        <v>146</v>
      </c>
      <c r="F263" s="7">
        <v>1286</v>
      </c>
    </row>
    <row r="264" spans="1:6">
      <c r="A264" s="4" t="s">
        <v>24</v>
      </c>
      <c r="B264" s="4" t="s">
        <v>2822</v>
      </c>
      <c r="C264" s="4" t="s">
        <v>204</v>
      </c>
      <c r="D264" s="6">
        <v>43889</v>
      </c>
      <c r="E264" s="4" t="s">
        <v>205</v>
      </c>
      <c r="F264" s="7">
        <v>1749.3</v>
      </c>
    </row>
    <row r="265" spans="1:6">
      <c r="A265" s="4" t="s">
        <v>24</v>
      </c>
      <c r="B265" s="4" t="s">
        <v>2822</v>
      </c>
      <c r="C265" s="4" t="s">
        <v>290</v>
      </c>
      <c r="D265" s="6">
        <v>43921</v>
      </c>
      <c r="E265" s="4" t="s">
        <v>291</v>
      </c>
      <c r="F265" s="7">
        <v>838</v>
      </c>
    </row>
    <row r="266" spans="1:6">
      <c r="A266" s="4" t="s">
        <v>24</v>
      </c>
      <c r="B266" s="4" t="s">
        <v>2822</v>
      </c>
      <c r="C266" s="4" t="s">
        <v>310</v>
      </c>
      <c r="D266" s="6">
        <v>43929</v>
      </c>
      <c r="E266" s="4" t="s">
        <v>311</v>
      </c>
      <c r="F266" s="7">
        <v>1850.5</v>
      </c>
    </row>
    <row r="267" spans="1:6">
      <c r="A267" s="4" t="s">
        <v>24</v>
      </c>
      <c r="B267" s="4" t="s">
        <v>2822</v>
      </c>
      <c r="C267" s="4" t="s">
        <v>349</v>
      </c>
      <c r="D267" s="6">
        <v>43951</v>
      </c>
      <c r="E267" s="4" t="s">
        <v>350</v>
      </c>
      <c r="F267" s="7">
        <v>1446</v>
      </c>
    </row>
    <row r="268" spans="1:6">
      <c r="A268" s="4" t="s">
        <v>24</v>
      </c>
      <c r="B268" s="4" t="s">
        <v>2822</v>
      </c>
      <c r="C268" s="4" t="s">
        <v>369</v>
      </c>
      <c r="D268" s="6">
        <v>43959</v>
      </c>
      <c r="E268" s="4" t="s">
        <v>370</v>
      </c>
      <c r="F268" s="7">
        <v>572.5</v>
      </c>
    </row>
    <row r="269" spans="1:6">
      <c r="A269" s="4" t="s">
        <v>24</v>
      </c>
      <c r="B269" s="4" t="s">
        <v>2822</v>
      </c>
      <c r="C269" s="4" t="s">
        <v>449</v>
      </c>
      <c r="D269" s="6">
        <v>44005</v>
      </c>
      <c r="E269" s="4" t="s">
        <v>450</v>
      </c>
      <c r="F269" s="7">
        <v>1044.4000000000001</v>
      </c>
    </row>
    <row r="270" spans="1:6">
      <c r="A270" s="4" t="s">
        <v>24</v>
      </c>
      <c r="B270" s="4" t="s">
        <v>2822</v>
      </c>
      <c r="C270" s="4" t="s">
        <v>546</v>
      </c>
      <c r="D270" s="6">
        <v>44041</v>
      </c>
      <c r="E270" s="4" t="s">
        <v>547</v>
      </c>
      <c r="F270" s="7">
        <v>1808.1</v>
      </c>
    </row>
    <row r="271" spans="1:6">
      <c r="A271" s="4" t="s">
        <v>24</v>
      </c>
      <c r="B271" s="4" t="s">
        <v>2822</v>
      </c>
      <c r="C271" s="4" t="s">
        <v>636</v>
      </c>
      <c r="D271" s="6">
        <v>44089</v>
      </c>
      <c r="E271" s="4" t="s">
        <v>637</v>
      </c>
      <c r="F271" s="7">
        <v>873.75</v>
      </c>
    </row>
    <row r="272" spans="1:6">
      <c r="A272" s="4" t="s">
        <v>24</v>
      </c>
      <c r="B272" s="4" t="s">
        <v>2822</v>
      </c>
      <c r="C272" s="4" t="s">
        <v>670</v>
      </c>
      <c r="D272" s="6">
        <v>44111</v>
      </c>
      <c r="E272" s="4" t="s">
        <v>671</v>
      </c>
      <c r="F272" s="7">
        <v>1023.7</v>
      </c>
    </row>
    <row r="273" spans="1:6">
      <c r="A273" s="4" t="s">
        <v>24</v>
      </c>
      <c r="B273" s="4" t="s">
        <v>2822</v>
      </c>
      <c r="C273" s="4" t="s">
        <v>2932</v>
      </c>
      <c r="D273" s="6">
        <v>44148</v>
      </c>
      <c r="E273" s="4" t="s">
        <v>2933</v>
      </c>
      <c r="F273" s="7">
        <v>1430.2</v>
      </c>
    </row>
    <row r="274" spans="1:6">
      <c r="A274" s="4" t="s">
        <v>49</v>
      </c>
      <c r="B274" s="4" t="s">
        <v>2823</v>
      </c>
      <c r="C274" s="4" t="s">
        <v>50</v>
      </c>
      <c r="D274" s="6">
        <v>43846</v>
      </c>
      <c r="E274" s="4" t="s">
        <v>51</v>
      </c>
      <c r="F274" s="7">
        <v>192.19</v>
      </c>
    </row>
    <row r="275" spans="1:6">
      <c r="A275" s="4" t="s">
        <v>49</v>
      </c>
      <c r="B275" s="4" t="s">
        <v>2823</v>
      </c>
      <c r="C275" s="4" t="s">
        <v>52</v>
      </c>
      <c r="D275" s="6">
        <v>43846</v>
      </c>
      <c r="E275" s="4" t="s">
        <v>53</v>
      </c>
      <c r="F275" s="7">
        <v>1097.79</v>
      </c>
    </row>
    <row r="276" spans="1:6">
      <c r="A276" s="4" t="s">
        <v>49</v>
      </c>
      <c r="B276" s="4" t="s">
        <v>2823</v>
      </c>
      <c r="C276" s="4" t="s">
        <v>68</v>
      </c>
      <c r="D276" s="6">
        <v>43854</v>
      </c>
      <c r="E276" s="4" t="s">
        <v>69</v>
      </c>
      <c r="F276" s="7">
        <v>329</v>
      </c>
    </row>
    <row r="277" spans="1:6">
      <c r="A277" s="4" t="s">
        <v>49</v>
      </c>
      <c r="B277" s="4" t="s">
        <v>2823</v>
      </c>
      <c r="C277" s="4" t="s">
        <v>181</v>
      </c>
      <c r="D277" s="6">
        <v>43880</v>
      </c>
      <c r="E277" s="4" t="s">
        <v>182</v>
      </c>
      <c r="F277" s="7">
        <v>2083.8000000000002</v>
      </c>
    </row>
    <row r="278" spans="1:6">
      <c r="A278" s="4" t="s">
        <v>49</v>
      </c>
      <c r="B278" s="4" t="s">
        <v>2823</v>
      </c>
      <c r="C278" s="4" t="s">
        <v>191</v>
      </c>
      <c r="D278" s="6">
        <v>43882</v>
      </c>
      <c r="E278" s="4" t="s">
        <v>192</v>
      </c>
      <c r="F278" s="7">
        <v>2559</v>
      </c>
    </row>
    <row r="279" spans="1:6">
      <c r="A279" s="4" t="s">
        <v>49</v>
      </c>
      <c r="B279" s="4" t="s">
        <v>2823</v>
      </c>
      <c r="C279" s="4" t="s">
        <v>229</v>
      </c>
      <c r="D279" s="6">
        <v>43900</v>
      </c>
      <c r="E279" s="4" t="s">
        <v>230</v>
      </c>
      <c r="F279" s="7">
        <v>1362.31</v>
      </c>
    </row>
    <row r="280" spans="1:6">
      <c r="A280" s="4" t="s">
        <v>49</v>
      </c>
      <c r="B280" s="4" t="s">
        <v>2823</v>
      </c>
      <c r="C280" s="4" t="s">
        <v>308</v>
      </c>
      <c r="D280" s="6">
        <v>43928</v>
      </c>
      <c r="E280" s="4" t="s">
        <v>309</v>
      </c>
      <c r="F280" s="7">
        <v>1482.5</v>
      </c>
    </row>
    <row r="281" spans="1:6">
      <c r="A281" s="4" t="s">
        <v>49</v>
      </c>
      <c r="B281" s="4" t="s">
        <v>2823</v>
      </c>
      <c r="C281" s="4" t="s">
        <v>401</v>
      </c>
      <c r="D281" s="6">
        <v>43966</v>
      </c>
      <c r="E281" s="4" t="s">
        <v>402</v>
      </c>
      <c r="F281" s="7">
        <v>1558.15</v>
      </c>
    </row>
    <row r="282" spans="1:6">
      <c r="A282" s="4" t="s">
        <v>49</v>
      </c>
      <c r="B282" s="4" t="s">
        <v>2823</v>
      </c>
      <c r="C282" s="4" t="s">
        <v>451</v>
      </c>
      <c r="D282" s="6">
        <v>44005</v>
      </c>
      <c r="E282" s="4" t="s">
        <v>452</v>
      </c>
      <c r="F282" s="7">
        <v>1205.54</v>
      </c>
    </row>
    <row r="283" spans="1:6">
      <c r="A283" s="4" t="s">
        <v>49</v>
      </c>
      <c r="B283" s="4" t="s">
        <v>2823</v>
      </c>
      <c r="C283" s="4" t="s">
        <v>478</v>
      </c>
      <c r="D283" s="6">
        <v>44014</v>
      </c>
      <c r="E283" s="4" t="s">
        <v>479</v>
      </c>
      <c r="F283" s="7">
        <v>257</v>
      </c>
    </row>
    <row r="284" spans="1:6">
      <c r="A284" s="4" t="s">
        <v>49</v>
      </c>
      <c r="B284" s="4" t="s">
        <v>2823</v>
      </c>
      <c r="C284" s="4" t="s">
        <v>495</v>
      </c>
      <c r="D284" s="6">
        <v>44021</v>
      </c>
      <c r="E284" s="4" t="s">
        <v>496</v>
      </c>
      <c r="F284" s="7">
        <v>417</v>
      </c>
    </row>
    <row r="285" spans="1:6">
      <c r="A285" s="4" t="s">
        <v>49</v>
      </c>
      <c r="B285" s="4" t="s">
        <v>2823</v>
      </c>
      <c r="C285" s="4" t="s">
        <v>507</v>
      </c>
      <c r="D285" s="6">
        <v>44022</v>
      </c>
      <c r="E285" s="4" t="s">
        <v>508</v>
      </c>
      <c r="F285" s="7">
        <v>1021.88</v>
      </c>
    </row>
    <row r="286" spans="1:6">
      <c r="A286" s="4" t="s">
        <v>49</v>
      </c>
      <c r="B286" s="4" t="s">
        <v>2823</v>
      </c>
      <c r="C286" s="4" t="s">
        <v>527</v>
      </c>
      <c r="D286" s="6">
        <v>44027</v>
      </c>
      <c r="E286" s="4" t="s">
        <v>528</v>
      </c>
      <c r="F286" s="7">
        <v>1269.9000000000001</v>
      </c>
    </row>
    <row r="287" spans="1:6">
      <c r="A287" s="4" t="s">
        <v>49</v>
      </c>
      <c r="B287" s="4" t="s">
        <v>2823</v>
      </c>
      <c r="C287" s="4" t="s">
        <v>691</v>
      </c>
      <c r="D287" s="6">
        <v>44120</v>
      </c>
      <c r="E287" s="4" t="s">
        <v>692</v>
      </c>
      <c r="F287" s="7">
        <v>4079</v>
      </c>
    </row>
    <row r="288" spans="1:6">
      <c r="A288" s="4" t="s">
        <v>501</v>
      </c>
      <c r="B288" s="4" t="s">
        <v>2824</v>
      </c>
      <c r="C288" s="4" t="s">
        <v>502</v>
      </c>
      <c r="D288" s="6">
        <v>44021</v>
      </c>
      <c r="E288" s="4" t="s">
        <v>503</v>
      </c>
      <c r="F288" s="7">
        <v>1327.06</v>
      </c>
    </row>
    <row r="289" spans="1:6">
      <c r="A289" s="4" t="s">
        <v>231</v>
      </c>
      <c r="B289" s="4" t="s">
        <v>2825</v>
      </c>
      <c r="C289" s="4" t="s">
        <v>232</v>
      </c>
      <c r="D289" s="6">
        <v>43900</v>
      </c>
      <c r="E289" s="4" t="s">
        <v>233</v>
      </c>
      <c r="F289" s="7">
        <v>297.75</v>
      </c>
    </row>
    <row r="290" spans="1:6">
      <c r="A290" s="4" t="s">
        <v>231</v>
      </c>
      <c r="B290" s="4" t="s">
        <v>2825</v>
      </c>
      <c r="C290" s="4" t="s">
        <v>234</v>
      </c>
      <c r="D290" s="6">
        <v>43900</v>
      </c>
      <c r="E290" s="4" t="s">
        <v>235</v>
      </c>
      <c r="F290" s="7">
        <v>316.55</v>
      </c>
    </row>
    <row r="291" spans="1:6">
      <c r="A291" s="4" t="s">
        <v>455</v>
      </c>
      <c r="B291" s="4" t="s">
        <v>2826</v>
      </c>
      <c r="C291" s="4" t="s">
        <v>456</v>
      </c>
      <c r="D291" s="6">
        <v>44005</v>
      </c>
      <c r="E291" s="4" t="s">
        <v>457</v>
      </c>
      <c r="F291" s="7">
        <v>1634</v>
      </c>
    </row>
    <row r="292" spans="1:6">
      <c r="A292" s="4" t="s">
        <v>455</v>
      </c>
      <c r="B292" s="4" t="s">
        <v>2826</v>
      </c>
      <c r="C292" s="4" t="s">
        <v>626</v>
      </c>
      <c r="D292" s="6">
        <v>44085</v>
      </c>
      <c r="E292" s="4" t="s">
        <v>627</v>
      </c>
      <c r="F292" s="7">
        <v>2064</v>
      </c>
    </row>
    <row r="293" spans="1:6">
      <c r="A293" s="4" t="s">
        <v>455</v>
      </c>
      <c r="B293" s="4" t="s">
        <v>2826</v>
      </c>
      <c r="C293" s="4" t="s">
        <v>687</v>
      </c>
      <c r="D293" s="6">
        <v>44120</v>
      </c>
      <c r="E293" s="4" t="s">
        <v>688</v>
      </c>
      <c r="F293" s="7">
        <v>1545.5</v>
      </c>
    </row>
    <row r="294" spans="1:6">
      <c r="A294" s="4" t="s">
        <v>21</v>
      </c>
      <c r="B294" s="4" t="s">
        <v>2827</v>
      </c>
      <c r="C294" s="4" t="s">
        <v>22</v>
      </c>
      <c r="D294" s="6">
        <v>43838</v>
      </c>
      <c r="E294" s="4" t="s">
        <v>23</v>
      </c>
      <c r="F294" s="7">
        <v>1847</v>
      </c>
    </row>
    <row r="295" spans="1:6">
      <c r="A295" s="4" t="s">
        <v>140</v>
      </c>
      <c r="B295" s="4" t="s">
        <v>2828</v>
      </c>
      <c r="C295" s="4" t="s">
        <v>141</v>
      </c>
      <c r="D295" s="6">
        <v>43873</v>
      </c>
      <c r="E295" s="4" t="s">
        <v>142</v>
      </c>
      <c r="F295" s="7">
        <v>281.07</v>
      </c>
    </row>
    <row r="296" spans="1:6">
      <c r="A296" s="4" t="s">
        <v>373</v>
      </c>
      <c r="B296" s="4" t="s">
        <v>2829</v>
      </c>
      <c r="C296" s="4" t="s">
        <v>374</v>
      </c>
      <c r="D296" s="6">
        <v>43959</v>
      </c>
      <c r="E296" s="4" t="s">
        <v>375</v>
      </c>
      <c r="F296" s="7">
        <v>17.04</v>
      </c>
    </row>
    <row r="297" spans="1:6">
      <c r="A297" s="4" t="s">
        <v>236</v>
      </c>
      <c r="B297" s="4" t="s">
        <v>2830</v>
      </c>
      <c r="C297" s="4" t="s">
        <v>237</v>
      </c>
      <c r="D297" s="6">
        <v>43901</v>
      </c>
      <c r="E297" s="4" t="s">
        <v>238</v>
      </c>
      <c r="F297" s="7">
        <v>9.73</v>
      </c>
    </row>
    <row r="298" spans="1:6">
      <c r="A298" s="4" t="s">
        <v>236</v>
      </c>
      <c r="B298" s="4" t="s">
        <v>2830</v>
      </c>
      <c r="C298" s="4" t="s">
        <v>544</v>
      </c>
      <c r="D298" s="6">
        <v>44040</v>
      </c>
      <c r="E298" s="4" t="s">
        <v>545</v>
      </c>
      <c r="F298" s="7">
        <v>4.2799999999999994</v>
      </c>
    </row>
    <row r="299" spans="1:6">
      <c r="A299" s="4" t="s">
        <v>583</v>
      </c>
      <c r="B299" s="4" t="s">
        <v>2831</v>
      </c>
      <c r="C299" s="4" t="s">
        <v>584</v>
      </c>
      <c r="D299" s="6">
        <v>44060</v>
      </c>
      <c r="E299" s="4" t="s">
        <v>585</v>
      </c>
      <c r="F299" s="7">
        <v>357</v>
      </c>
    </row>
    <row r="300" spans="1:6">
      <c r="A300" s="4" t="s">
        <v>80</v>
      </c>
      <c r="B300" s="4" t="s">
        <v>2832</v>
      </c>
      <c r="C300" s="4" t="s">
        <v>81</v>
      </c>
      <c r="D300" s="6">
        <v>43857</v>
      </c>
      <c r="E300" s="4" t="s">
        <v>82</v>
      </c>
      <c r="F300" s="7">
        <v>27.44</v>
      </c>
    </row>
    <row r="301" spans="1:6">
      <c r="A301" s="4" t="s">
        <v>80</v>
      </c>
      <c r="B301" s="4" t="s">
        <v>2832</v>
      </c>
      <c r="C301" s="4" t="s">
        <v>219</v>
      </c>
      <c r="D301" s="6">
        <v>43896</v>
      </c>
      <c r="E301" s="4" t="s">
        <v>220</v>
      </c>
      <c r="F301" s="7">
        <v>768.04</v>
      </c>
    </row>
    <row r="302" spans="1:6">
      <c r="A302" s="4" t="s">
        <v>80</v>
      </c>
      <c r="B302" s="4" t="s">
        <v>2832</v>
      </c>
      <c r="C302" s="4" t="s">
        <v>274</v>
      </c>
      <c r="D302" s="6">
        <v>43920</v>
      </c>
      <c r="E302" s="4" t="s">
        <v>275</v>
      </c>
      <c r="F302" s="7">
        <v>12.9</v>
      </c>
    </row>
    <row r="303" spans="1:6">
      <c r="A303" s="4" t="s">
        <v>80</v>
      </c>
      <c r="B303" s="4" t="s">
        <v>2832</v>
      </c>
      <c r="C303" s="4" t="s">
        <v>314</v>
      </c>
      <c r="D303" s="6">
        <v>43936</v>
      </c>
      <c r="E303" s="4" t="s">
        <v>315</v>
      </c>
      <c r="F303" s="7">
        <v>53.28</v>
      </c>
    </row>
    <row r="304" spans="1:6">
      <c r="A304" s="4" t="s">
        <v>80</v>
      </c>
      <c r="B304" s="4" t="s">
        <v>2832</v>
      </c>
      <c r="C304" s="4" t="s">
        <v>553</v>
      </c>
      <c r="D304" s="6">
        <v>44042</v>
      </c>
      <c r="E304" s="4" t="s">
        <v>554</v>
      </c>
      <c r="F304" s="7">
        <v>1393.12</v>
      </c>
    </row>
    <row r="305" spans="1:6">
      <c r="A305" s="4" t="s">
        <v>80</v>
      </c>
      <c r="B305" s="4" t="s">
        <v>2832</v>
      </c>
      <c r="C305" s="4" t="s">
        <v>644</v>
      </c>
      <c r="D305" s="6">
        <v>44097</v>
      </c>
      <c r="E305" s="4" t="s">
        <v>645</v>
      </c>
      <c r="F305" s="7">
        <v>84.78</v>
      </c>
    </row>
    <row r="306" spans="1:6">
      <c r="A306" s="4" t="s">
        <v>80</v>
      </c>
      <c r="B306" s="4" t="s">
        <v>2832</v>
      </c>
      <c r="C306" s="4" t="s">
        <v>3284</v>
      </c>
      <c r="D306" s="6">
        <v>44153</v>
      </c>
      <c r="E306" s="4" t="s">
        <v>3305</v>
      </c>
      <c r="F306" s="7">
        <v>1048.82</v>
      </c>
    </row>
    <row r="307" spans="1:6">
      <c r="A307" s="4" t="s">
        <v>287</v>
      </c>
      <c r="B307" s="4" t="s">
        <v>2833</v>
      </c>
      <c r="C307" s="4" t="s">
        <v>288</v>
      </c>
      <c r="D307" s="6">
        <v>43921</v>
      </c>
      <c r="E307" s="4" t="s">
        <v>289</v>
      </c>
      <c r="F307" s="7">
        <v>649</v>
      </c>
    </row>
    <row r="308" spans="1:6">
      <c r="A308" s="4" t="s">
        <v>101</v>
      </c>
      <c r="B308" s="4" t="s">
        <v>2834</v>
      </c>
      <c r="C308" s="4" t="s">
        <v>102</v>
      </c>
      <c r="D308" s="6">
        <v>43861</v>
      </c>
      <c r="E308" s="4" t="s">
        <v>103</v>
      </c>
      <c r="F308" s="7">
        <v>181.6</v>
      </c>
    </row>
    <row r="309" spans="1:6">
      <c r="A309" s="4" t="s">
        <v>101</v>
      </c>
      <c r="B309" s="4" t="s">
        <v>2834</v>
      </c>
      <c r="C309" s="4" t="s">
        <v>221</v>
      </c>
      <c r="D309" s="6">
        <v>43896</v>
      </c>
      <c r="E309" s="4" t="s">
        <v>222</v>
      </c>
      <c r="F309" s="7">
        <v>33.25</v>
      </c>
    </row>
    <row r="310" spans="1:6">
      <c r="A310" s="4" t="s">
        <v>101</v>
      </c>
      <c r="B310" s="4" t="s">
        <v>2834</v>
      </c>
      <c r="C310" s="4" t="s">
        <v>280</v>
      </c>
      <c r="D310" s="6">
        <v>43921</v>
      </c>
      <c r="E310" s="4" t="s">
        <v>281</v>
      </c>
      <c r="F310" s="7">
        <v>122.2</v>
      </c>
    </row>
    <row r="311" spans="1:6">
      <c r="A311" s="4" t="s">
        <v>101</v>
      </c>
      <c r="B311" s="4" t="s">
        <v>2834</v>
      </c>
      <c r="C311" s="4" t="s">
        <v>581</v>
      </c>
      <c r="D311" s="6">
        <v>44060</v>
      </c>
      <c r="E311" s="4" t="s">
        <v>582</v>
      </c>
      <c r="F311" s="7">
        <v>191.3</v>
      </c>
    </row>
    <row r="312" spans="1:6">
      <c r="A312" s="4" t="s">
        <v>101</v>
      </c>
      <c r="B312" s="4" t="s">
        <v>2834</v>
      </c>
      <c r="C312" s="4" t="s">
        <v>714</v>
      </c>
      <c r="D312" s="6">
        <v>44132</v>
      </c>
      <c r="E312" s="4" t="s">
        <v>715</v>
      </c>
      <c r="F312" s="7">
        <v>79.2</v>
      </c>
    </row>
    <row r="313" spans="1:6">
      <c r="A313" s="4" t="s">
        <v>602</v>
      </c>
      <c r="B313" s="4" t="s">
        <v>2835</v>
      </c>
      <c r="C313" s="4" t="s">
        <v>603</v>
      </c>
      <c r="D313" s="6">
        <v>44068</v>
      </c>
      <c r="E313" s="4" t="s">
        <v>604</v>
      </c>
      <c r="F313" s="7">
        <v>213.57</v>
      </c>
    </row>
    <row r="314" spans="1:6">
      <c r="A314" s="4" t="s">
        <v>284</v>
      </c>
      <c r="B314" s="4" t="s">
        <v>2836</v>
      </c>
      <c r="C314" s="4" t="s">
        <v>285</v>
      </c>
      <c r="D314" s="6">
        <v>43921</v>
      </c>
      <c r="E314" s="4" t="s">
        <v>286</v>
      </c>
      <c r="F314" s="7">
        <v>167.42000000000002</v>
      </c>
    </row>
    <row r="315" spans="1:6">
      <c r="A315" s="4" t="s">
        <v>571</v>
      </c>
      <c r="B315" s="4" t="s">
        <v>2837</v>
      </c>
      <c r="C315" s="4" t="s">
        <v>572</v>
      </c>
      <c r="D315" s="6">
        <v>44055</v>
      </c>
      <c r="E315" s="4" t="s">
        <v>573</v>
      </c>
      <c r="F315" s="7">
        <v>289.96999999999997</v>
      </c>
    </row>
    <row r="316" spans="1:6">
      <c r="A316" s="4" t="s">
        <v>392</v>
      </c>
      <c r="B316" s="4" t="s">
        <v>2838</v>
      </c>
      <c r="C316" s="4" t="s">
        <v>393</v>
      </c>
      <c r="D316" s="6">
        <v>43966</v>
      </c>
      <c r="E316" s="4" t="s">
        <v>394</v>
      </c>
      <c r="F316" s="7">
        <v>1965</v>
      </c>
    </row>
    <row r="317" spans="1:6">
      <c r="A317" s="4" t="s">
        <v>41</v>
      </c>
      <c r="B317" s="4" t="s">
        <v>2839</v>
      </c>
      <c r="C317" s="4" t="s">
        <v>42</v>
      </c>
      <c r="D317" s="6">
        <v>43844</v>
      </c>
      <c r="E317" s="4" t="s">
        <v>43</v>
      </c>
      <c r="F317" s="7">
        <v>2391</v>
      </c>
    </row>
    <row r="318" spans="1:6">
      <c r="A318" s="4" t="s">
        <v>114</v>
      </c>
      <c r="B318" s="4" t="s">
        <v>2840</v>
      </c>
      <c r="C318" s="4" t="s">
        <v>115</v>
      </c>
      <c r="D318" s="6">
        <v>43868</v>
      </c>
      <c r="E318" s="4" t="s">
        <v>116</v>
      </c>
      <c r="F318" s="7">
        <v>54.1</v>
      </c>
    </row>
    <row r="319" spans="1:6">
      <c r="A319" s="4" t="s">
        <v>114</v>
      </c>
      <c r="B319" s="4" t="s">
        <v>2840</v>
      </c>
      <c r="C319" s="4" t="s">
        <v>699</v>
      </c>
      <c r="D319" s="6">
        <v>44124</v>
      </c>
      <c r="E319" s="4" t="s">
        <v>700</v>
      </c>
      <c r="F319" s="7">
        <v>45.4</v>
      </c>
    </row>
    <row r="320" spans="1:6">
      <c r="A320" s="4" t="s">
        <v>85</v>
      </c>
      <c r="B320" s="4" t="s">
        <v>2841</v>
      </c>
      <c r="C320" s="4" t="s">
        <v>86</v>
      </c>
      <c r="D320" s="6">
        <v>43858</v>
      </c>
      <c r="E320" s="4" t="s">
        <v>87</v>
      </c>
      <c r="F320" s="7">
        <v>21</v>
      </c>
    </row>
    <row r="321" spans="1:6">
      <c r="A321" s="4" t="s">
        <v>117</v>
      </c>
      <c r="B321" s="4" t="s">
        <v>2842</v>
      </c>
      <c r="C321" s="4" t="s">
        <v>118</v>
      </c>
      <c r="D321" s="6">
        <v>43868</v>
      </c>
      <c r="E321" s="4" t="s">
        <v>119</v>
      </c>
      <c r="F321" s="7">
        <v>86.76</v>
      </c>
    </row>
    <row r="322" spans="1:6">
      <c r="A322" s="4" t="s">
        <v>185</v>
      </c>
      <c r="B322" s="4" t="s">
        <v>2843</v>
      </c>
      <c r="C322" s="4" t="s">
        <v>186</v>
      </c>
      <c r="D322" s="6">
        <v>43881</v>
      </c>
      <c r="E322" s="4" t="s">
        <v>187</v>
      </c>
      <c r="F322" s="7">
        <v>1400</v>
      </c>
    </row>
    <row r="323" spans="1:6">
      <c r="A323" s="4" t="s">
        <v>175</v>
      </c>
      <c r="B323" s="4" t="s">
        <v>2844</v>
      </c>
      <c r="C323" s="4" t="s">
        <v>176</v>
      </c>
      <c r="D323" s="6">
        <v>43880</v>
      </c>
      <c r="E323" s="4" t="s">
        <v>177</v>
      </c>
      <c r="F323" s="7">
        <v>739</v>
      </c>
    </row>
    <row r="324" spans="1:6">
      <c r="A324" s="4" t="s">
        <v>163</v>
      </c>
      <c r="B324" s="4" t="s">
        <v>2845</v>
      </c>
      <c r="C324" s="4" t="s">
        <v>164</v>
      </c>
      <c r="D324" s="6">
        <v>43878</v>
      </c>
      <c r="E324" s="4" t="s">
        <v>165</v>
      </c>
      <c r="F324" s="7">
        <v>82.15</v>
      </c>
    </row>
    <row r="325" spans="1:6">
      <c r="A325" s="4" t="s">
        <v>511</v>
      </c>
      <c r="B325" s="4" t="s">
        <v>2846</v>
      </c>
      <c r="C325" s="4" t="s">
        <v>512</v>
      </c>
      <c r="D325" s="6">
        <v>44013</v>
      </c>
      <c r="E325" s="4" t="s">
        <v>513</v>
      </c>
      <c r="F325" s="7">
        <v>1930.9</v>
      </c>
    </row>
    <row r="326" spans="1:6">
      <c r="A326" s="4" t="s">
        <v>346</v>
      </c>
      <c r="B326" s="4" t="s">
        <v>2847</v>
      </c>
      <c r="C326" s="4" t="s">
        <v>347</v>
      </c>
      <c r="D326" s="6">
        <v>43950</v>
      </c>
      <c r="E326" s="4" t="s">
        <v>348</v>
      </c>
      <c r="F326" s="7">
        <v>6495</v>
      </c>
    </row>
    <row r="327" spans="1:6">
      <c r="A327" s="4" t="s">
        <v>216</v>
      </c>
      <c r="B327" s="4" t="s">
        <v>2848</v>
      </c>
      <c r="C327" s="4" t="s">
        <v>217</v>
      </c>
      <c r="D327" s="6">
        <v>43894</v>
      </c>
      <c r="E327" s="4" t="s">
        <v>218</v>
      </c>
      <c r="F327" s="7">
        <v>48.56</v>
      </c>
    </row>
    <row r="328" spans="1:6">
      <c r="A328" s="4" t="s">
        <v>318</v>
      </c>
      <c r="B328" s="4" t="s">
        <v>2849</v>
      </c>
      <c r="C328" s="4" t="s">
        <v>319</v>
      </c>
      <c r="D328" s="6">
        <v>43936</v>
      </c>
      <c r="E328" s="4" t="s">
        <v>320</v>
      </c>
      <c r="F328" s="7">
        <v>499</v>
      </c>
    </row>
    <row r="329" spans="1:6">
      <c r="A329" s="4" t="s">
        <v>318</v>
      </c>
      <c r="B329" s="4" t="s">
        <v>2849</v>
      </c>
      <c r="C329" s="4" t="s">
        <v>484</v>
      </c>
      <c r="D329" s="6">
        <v>44019</v>
      </c>
      <c r="E329" s="4" t="s">
        <v>485</v>
      </c>
      <c r="F329" s="7">
        <v>499</v>
      </c>
    </row>
    <row r="330" spans="1:6">
      <c r="A330" s="4" t="s">
        <v>318</v>
      </c>
      <c r="B330" s="4" t="s">
        <v>2849</v>
      </c>
      <c r="C330" s="4" t="s">
        <v>605</v>
      </c>
      <c r="D330" s="6">
        <v>44070</v>
      </c>
      <c r="E330" s="4" t="s">
        <v>606</v>
      </c>
      <c r="F330" s="7">
        <v>853</v>
      </c>
    </row>
    <row r="331" spans="1:6">
      <c r="A331" s="4" t="s">
        <v>366</v>
      </c>
      <c r="B331" s="4" t="s">
        <v>2850</v>
      </c>
      <c r="C331" s="4" t="s">
        <v>367</v>
      </c>
      <c r="D331" s="6">
        <v>43957</v>
      </c>
      <c r="E331" s="4" t="s">
        <v>368</v>
      </c>
      <c r="F331" s="7">
        <v>218</v>
      </c>
    </row>
    <row r="332" spans="1:6">
      <c r="A332" s="4" t="s">
        <v>366</v>
      </c>
      <c r="B332" s="4" t="s">
        <v>2850</v>
      </c>
      <c r="C332" s="4" t="s">
        <v>531</v>
      </c>
      <c r="D332" s="6">
        <v>44032</v>
      </c>
      <c r="E332" s="4" t="s">
        <v>532</v>
      </c>
      <c r="F332" s="7">
        <v>218</v>
      </c>
    </row>
    <row r="333" spans="1:6">
      <c r="A333" s="4" t="s">
        <v>408</v>
      </c>
      <c r="B333" s="4" t="s">
        <v>2851</v>
      </c>
      <c r="C333" s="4" t="s">
        <v>409</v>
      </c>
      <c r="D333" s="6">
        <v>43970</v>
      </c>
      <c r="E333" s="4" t="s">
        <v>410</v>
      </c>
      <c r="F333" s="7">
        <v>158.1</v>
      </c>
    </row>
    <row r="334" spans="1:6">
      <c r="A334" s="4" t="s">
        <v>467</v>
      </c>
      <c r="B334" s="4" t="s">
        <v>2852</v>
      </c>
      <c r="C334" s="4" t="s">
        <v>468</v>
      </c>
      <c r="D334" s="6">
        <v>44013</v>
      </c>
      <c r="E334" s="4" t="s">
        <v>469</v>
      </c>
      <c r="F334" s="7">
        <v>1105.08</v>
      </c>
    </row>
    <row r="335" spans="1:6">
      <c r="A335" s="4" t="s">
        <v>514</v>
      </c>
      <c r="B335" s="4" t="s">
        <v>2853</v>
      </c>
      <c r="C335" s="4" t="s">
        <v>515</v>
      </c>
      <c r="D335" s="6">
        <v>44026</v>
      </c>
      <c r="E335" s="4" t="s">
        <v>516</v>
      </c>
      <c r="F335" s="7">
        <v>536</v>
      </c>
    </row>
    <row r="336" spans="1:6">
      <c r="A336" s="4" t="s">
        <v>462</v>
      </c>
      <c r="B336" s="4" t="s">
        <v>2854</v>
      </c>
      <c r="C336" s="4" t="s">
        <v>463</v>
      </c>
      <c r="D336" s="6">
        <v>44008</v>
      </c>
      <c r="E336" s="4" t="s">
        <v>464</v>
      </c>
      <c r="F336" s="7">
        <v>74</v>
      </c>
    </row>
    <row r="337" spans="1:6">
      <c r="A337" s="4" t="s">
        <v>492</v>
      </c>
      <c r="B337" s="4" t="s">
        <v>2855</v>
      </c>
      <c r="C337" s="4" t="s">
        <v>493</v>
      </c>
      <c r="D337" s="6">
        <v>44021</v>
      </c>
      <c r="E337" s="4" t="s">
        <v>494</v>
      </c>
      <c r="F337" s="7">
        <v>675.72</v>
      </c>
    </row>
    <row r="338" spans="1:6">
      <c r="A338" s="4" t="s">
        <v>492</v>
      </c>
      <c r="B338" s="4" t="s">
        <v>2855</v>
      </c>
      <c r="C338" s="4" t="s">
        <v>533</v>
      </c>
      <c r="D338" s="6">
        <v>44021</v>
      </c>
      <c r="E338" s="4" t="s">
        <v>534</v>
      </c>
      <c r="F338" s="7">
        <v>675.72</v>
      </c>
    </row>
    <row r="339" spans="1:6">
      <c r="A339" s="4" t="s">
        <v>492</v>
      </c>
      <c r="B339" s="4" t="s">
        <v>2855</v>
      </c>
      <c r="C339" s="4" t="s">
        <v>762</v>
      </c>
      <c r="D339" s="6">
        <v>44021</v>
      </c>
      <c r="E339" s="4" t="s">
        <v>763</v>
      </c>
      <c r="F339" s="7">
        <v>-675.72</v>
      </c>
    </row>
    <row r="340" spans="1:6">
      <c r="A340" s="4" t="s">
        <v>524</v>
      </c>
      <c r="B340" s="4" t="s">
        <v>2856</v>
      </c>
      <c r="C340" s="4" t="s">
        <v>525</v>
      </c>
      <c r="D340" s="6">
        <v>44027</v>
      </c>
      <c r="E340" s="4" t="s">
        <v>526</v>
      </c>
      <c r="F340" s="7">
        <v>438.7</v>
      </c>
    </row>
    <row r="341" spans="1:6">
      <c r="A341" s="4" t="s">
        <v>548</v>
      </c>
      <c r="B341" s="4" t="s">
        <v>2857</v>
      </c>
      <c r="C341" s="4" t="s">
        <v>549</v>
      </c>
      <c r="D341" s="6">
        <v>44041</v>
      </c>
      <c r="E341" s="4" t="s">
        <v>550</v>
      </c>
      <c r="F341" s="7">
        <v>1375.3</v>
      </c>
    </row>
    <row r="342" spans="1:6">
      <c r="A342" s="4" t="s">
        <v>578</v>
      </c>
      <c r="B342" s="4" t="s">
        <v>2858</v>
      </c>
      <c r="C342" s="4" t="s">
        <v>579</v>
      </c>
      <c r="D342" s="6">
        <v>44056</v>
      </c>
      <c r="E342" s="4" t="s">
        <v>580</v>
      </c>
      <c r="F342" s="7">
        <v>232.63000000000002</v>
      </c>
    </row>
    <row r="343" spans="1:6">
      <c r="A343" s="4" t="s">
        <v>672</v>
      </c>
      <c r="B343" s="4" t="s">
        <v>2859</v>
      </c>
      <c r="C343" s="4" t="s">
        <v>673</v>
      </c>
      <c r="D343" s="6">
        <v>44111</v>
      </c>
      <c r="E343" s="4" t="s">
        <v>674</v>
      </c>
      <c r="F343" s="7">
        <v>2240</v>
      </c>
    </row>
    <row r="344" spans="1:6">
      <c r="A344" s="4" t="s">
        <v>665</v>
      </c>
      <c r="B344" s="4" t="s">
        <v>2860</v>
      </c>
      <c r="C344" s="4" t="s">
        <v>666</v>
      </c>
      <c r="D344" s="6">
        <v>44111</v>
      </c>
      <c r="E344" s="4" t="s">
        <v>667</v>
      </c>
      <c r="F344" s="7">
        <v>150</v>
      </c>
    </row>
    <row r="345" spans="1:6">
      <c r="A345" s="4" t="s">
        <v>711</v>
      </c>
      <c r="B345" s="4" t="s">
        <v>2861</v>
      </c>
      <c r="C345" s="4" t="s">
        <v>712</v>
      </c>
      <c r="D345" s="6">
        <v>44132</v>
      </c>
      <c r="E345" s="4" t="s">
        <v>713</v>
      </c>
      <c r="F345" s="7">
        <v>1218</v>
      </c>
    </row>
    <row r="346" spans="1:6">
      <c r="A346" s="2" t="s">
        <v>774</v>
      </c>
      <c r="B346" s="3"/>
      <c r="C346" s="3"/>
      <c r="D346" s="5"/>
      <c r="E346" s="3"/>
      <c r="F346" s="2">
        <f>SUBTOTAL(109,AtlasReport_1_Table_1[Sales balance in default currency])</f>
        <v>736486.8000000004</v>
      </c>
    </row>
    <row r="347" spans="1:6">
      <c r="A347" s="2"/>
      <c r="B347" s="2"/>
      <c r="C347" s="2"/>
      <c r="D347" s="5"/>
      <c r="E347" s="2"/>
      <c r="F347" s="2"/>
    </row>
    <row r="348" spans="1:6">
      <c r="A348" s="2"/>
      <c r="B348" s="2"/>
      <c r="C348" s="2"/>
      <c r="D348" s="5"/>
      <c r="E348" s="2"/>
      <c r="F348" s="2"/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CustPackingSlipTrans">
    <tabColor theme="2" tint="-9.9978637043366805E-2"/>
  </sheetPr>
  <dimension ref="A1:G1689"/>
  <sheetViews>
    <sheetView topLeftCell="A1623" workbookViewId="0">
      <selection activeCell="D37" sqref="D37"/>
    </sheetView>
  </sheetViews>
  <sheetFormatPr defaultRowHeight="13.5"/>
  <cols>
    <col min="1" max="1" width="17.875" customWidth="1"/>
    <col min="2" max="2" width="13.125" customWidth="1"/>
    <col min="3" max="3" width="18.125" customWidth="1"/>
    <col min="4" max="4" width="17.375" customWidth="1"/>
    <col min="5" max="5" width="11.625" customWidth="1"/>
    <col min="6" max="7" width="12" customWidth="1"/>
  </cols>
  <sheetData>
    <row r="1" spans="1:7" ht="22.5">
      <c r="A1" s="16" t="s">
        <v>2904</v>
      </c>
      <c r="B1" s="16"/>
      <c r="C1" s="16"/>
      <c r="D1" s="16"/>
      <c r="E1" s="16"/>
      <c r="F1" s="16"/>
      <c r="G1" s="16"/>
    </row>
    <row r="2" spans="1:7">
      <c r="A2" s="2" t="s">
        <v>7</v>
      </c>
      <c r="B2" s="2" t="s">
        <v>8</v>
      </c>
      <c r="C2" s="2" t="s">
        <v>2905</v>
      </c>
      <c r="D2" s="2" t="s">
        <v>2906</v>
      </c>
      <c r="E2" s="5" t="s">
        <v>2910</v>
      </c>
      <c r="F2" s="2" t="s">
        <v>2907</v>
      </c>
      <c r="G2" s="2" t="s">
        <v>2909</v>
      </c>
    </row>
    <row r="3" spans="1:7">
      <c r="A3" s="4" t="s">
        <v>49</v>
      </c>
      <c r="B3" s="4" t="s">
        <v>50</v>
      </c>
      <c r="C3" s="4" t="s">
        <v>2943</v>
      </c>
      <c r="D3" s="4" t="s">
        <v>782</v>
      </c>
      <c r="E3" s="6">
        <v>43846</v>
      </c>
      <c r="F3" s="7">
        <v>10</v>
      </c>
      <c r="G3" s="7">
        <v>19.219200000000001</v>
      </c>
    </row>
    <row r="4" spans="1:7">
      <c r="A4" s="4" t="s">
        <v>49</v>
      </c>
      <c r="B4" s="4" t="s">
        <v>50</v>
      </c>
      <c r="C4" s="4" t="s">
        <v>2943</v>
      </c>
      <c r="D4" s="4" t="s">
        <v>784</v>
      </c>
      <c r="E4" s="6">
        <v>43846</v>
      </c>
      <c r="F4" s="7">
        <v>1</v>
      </c>
      <c r="G4" s="7">
        <v>0</v>
      </c>
    </row>
    <row r="5" spans="1:7">
      <c r="A5" s="4" t="s">
        <v>12</v>
      </c>
      <c r="B5" s="4" t="s">
        <v>13</v>
      </c>
      <c r="C5" s="4" t="s">
        <v>2944</v>
      </c>
      <c r="D5" s="4" t="s">
        <v>786</v>
      </c>
      <c r="E5" s="6">
        <v>43837</v>
      </c>
      <c r="F5" s="7">
        <v>2000</v>
      </c>
      <c r="G5" s="7">
        <v>0.74</v>
      </c>
    </row>
    <row r="6" spans="1:7">
      <c r="A6" s="4" t="s">
        <v>12</v>
      </c>
      <c r="B6" s="4" t="s">
        <v>13</v>
      </c>
      <c r="C6" s="4" t="s">
        <v>2944</v>
      </c>
      <c r="D6" s="4" t="s">
        <v>784</v>
      </c>
      <c r="E6" s="6">
        <v>43837</v>
      </c>
      <c r="F6" s="7">
        <v>1</v>
      </c>
      <c r="G6" s="7">
        <v>0</v>
      </c>
    </row>
    <row r="7" spans="1:7">
      <c r="A7" s="4" t="s">
        <v>35</v>
      </c>
      <c r="B7" s="4" t="s">
        <v>36</v>
      </c>
      <c r="C7" s="4" t="s">
        <v>2945</v>
      </c>
      <c r="D7" s="4" t="s">
        <v>789</v>
      </c>
      <c r="E7" s="6">
        <v>43844</v>
      </c>
      <c r="F7" s="7">
        <v>1136</v>
      </c>
      <c r="G7" s="7">
        <v>7.6400000000000006</v>
      </c>
    </row>
    <row r="8" spans="1:7">
      <c r="A8" s="4" t="s">
        <v>35</v>
      </c>
      <c r="B8" s="4" t="s">
        <v>36</v>
      </c>
      <c r="C8" s="4" t="s">
        <v>2945</v>
      </c>
      <c r="D8" s="4" t="s">
        <v>791</v>
      </c>
      <c r="E8" s="6">
        <v>43844</v>
      </c>
      <c r="F8" s="7">
        <v>5</v>
      </c>
      <c r="G8" s="7">
        <v>12.97</v>
      </c>
    </row>
    <row r="9" spans="1:7">
      <c r="A9" s="4" t="s">
        <v>35</v>
      </c>
      <c r="B9" s="4" t="s">
        <v>36</v>
      </c>
      <c r="C9" s="4" t="s">
        <v>2945</v>
      </c>
      <c r="D9" s="4" t="s">
        <v>793</v>
      </c>
      <c r="E9" s="6">
        <v>43844</v>
      </c>
      <c r="F9" s="7">
        <v>50</v>
      </c>
      <c r="G9" s="7">
        <v>14.61</v>
      </c>
    </row>
    <row r="10" spans="1:7">
      <c r="A10" s="4" t="s">
        <v>35</v>
      </c>
      <c r="B10" s="4" t="s">
        <v>36</v>
      </c>
      <c r="C10" s="4" t="s">
        <v>2945</v>
      </c>
      <c r="D10" s="4" t="s">
        <v>795</v>
      </c>
      <c r="E10" s="6">
        <v>43844</v>
      </c>
      <c r="F10" s="7">
        <v>1200</v>
      </c>
      <c r="G10" s="7">
        <v>8.870000000000001</v>
      </c>
    </row>
    <row r="11" spans="1:7">
      <c r="A11" s="4" t="s">
        <v>35</v>
      </c>
      <c r="B11" s="4" t="s">
        <v>36</v>
      </c>
      <c r="C11" s="4" t="s">
        <v>2945</v>
      </c>
      <c r="D11" s="4" t="s">
        <v>797</v>
      </c>
      <c r="E11" s="6">
        <v>43844</v>
      </c>
      <c r="F11" s="7">
        <v>700</v>
      </c>
      <c r="G11" s="7">
        <v>13.72</v>
      </c>
    </row>
    <row r="12" spans="1:7">
      <c r="A12" s="4" t="s">
        <v>12</v>
      </c>
      <c r="B12" s="4" t="s">
        <v>44</v>
      </c>
      <c r="C12" s="4" t="s">
        <v>2946</v>
      </c>
      <c r="D12" s="4" t="s">
        <v>799</v>
      </c>
      <c r="E12" s="6">
        <v>43845</v>
      </c>
      <c r="F12" s="7">
        <v>1000</v>
      </c>
      <c r="G12" s="7">
        <v>0.85</v>
      </c>
    </row>
    <row r="13" spans="1:7">
      <c r="A13" s="4" t="s">
        <v>12</v>
      </c>
      <c r="B13" s="4" t="s">
        <v>44</v>
      </c>
      <c r="C13" s="4" t="s">
        <v>2946</v>
      </c>
      <c r="D13" s="4" t="s">
        <v>801</v>
      </c>
      <c r="E13" s="6">
        <v>43845</v>
      </c>
      <c r="F13" s="7">
        <v>1000</v>
      </c>
      <c r="G13" s="7">
        <v>0.95</v>
      </c>
    </row>
    <row r="14" spans="1:7">
      <c r="A14" s="4" t="s">
        <v>12</v>
      </c>
      <c r="B14" s="4" t="s">
        <v>44</v>
      </c>
      <c r="C14" s="4" t="s">
        <v>2946</v>
      </c>
      <c r="D14" s="4" t="s">
        <v>803</v>
      </c>
      <c r="E14" s="6">
        <v>43845</v>
      </c>
      <c r="F14" s="7">
        <v>1000</v>
      </c>
      <c r="G14" s="7">
        <v>1.06</v>
      </c>
    </row>
    <row r="15" spans="1:7">
      <c r="A15" s="4" t="s">
        <v>12</v>
      </c>
      <c r="B15" s="4" t="s">
        <v>44</v>
      </c>
      <c r="C15" s="4" t="s">
        <v>2946</v>
      </c>
      <c r="D15" s="4" t="s">
        <v>784</v>
      </c>
      <c r="E15" s="6">
        <v>43845</v>
      </c>
      <c r="F15" s="7">
        <v>1</v>
      </c>
      <c r="G15" s="7">
        <v>0</v>
      </c>
    </row>
    <row r="16" spans="1:7">
      <c r="A16" s="4" t="s">
        <v>21</v>
      </c>
      <c r="B16" s="4" t="s">
        <v>22</v>
      </c>
      <c r="C16" s="4" t="s">
        <v>2947</v>
      </c>
      <c r="D16" s="4" t="s">
        <v>806</v>
      </c>
      <c r="E16" s="6">
        <v>43838</v>
      </c>
      <c r="F16" s="7">
        <v>1000</v>
      </c>
      <c r="G16" s="7">
        <v>1.08</v>
      </c>
    </row>
    <row r="17" spans="1:7">
      <c r="A17" s="4" t="s">
        <v>21</v>
      </c>
      <c r="B17" s="4" t="s">
        <v>22</v>
      </c>
      <c r="C17" s="4" t="s">
        <v>2947</v>
      </c>
      <c r="D17" s="4" t="s">
        <v>806</v>
      </c>
      <c r="E17" s="6">
        <v>43838</v>
      </c>
      <c r="F17" s="7">
        <v>1030</v>
      </c>
      <c r="G17" s="7">
        <v>0.7</v>
      </c>
    </row>
    <row r="18" spans="1:7">
      <c r="A18" s="4" t="s">
        <v>21</v>
      </c>
      <c r="B18" s="4" t="s">
        <v>22</v>
      </c>
      <c r="C18" s="4" t="s">
        <v>2947</v>
      </c>
      <c r="D18" s="4" t="s">
        <v>784</v>
      </c>
      <c r="E18" s="6">
        <v>43838</v>
      </c>
      <c r="F18" s="7">
        <v>1</v>
      </c>
      <c r="G18" s="7">
        <v>0</v>
      </c>
    </row>
    <row r="19" spans="1:7">
      <c r="A19" s="4" t="s">
        <v>382</v>
      </c>
      <c r="B19" s="4" t="s">
        <v>383</v>
      </c>
      <c r="C19" s="4" t="s">
        <v>2948</v>
      </c>
      <c r="D19" s="4" t="s">
        <v>810</v>
      </c>
      <c r="E19" s="6">
        <v>43963</v>
      </c>
      <c r="F19" s="7">
        <v>1057</v>
      </c>
      <c r="G19" s="7">
        <v>6.15</v>
      </c>
    </row>
    <row r="20" spans="1:7">
      <c r="A20" s="4" t="s">
        <v>382</v>
      </c>
      <c r="B20" s="4" t="s">
        <v>383</v>
      </c>
      <c r="C20" s="4" t="s">
        <v>2948</v>
      </c>
      <c r="D20" s="4" t="s">
        <v>784</v>
      </c>
      <c r="E20" s="6">
        <v>43963</v>
      </c>
      <c r="F20" s="7">
        <v>1</v>
      </c>
      <c r="G20" s="7">
        <v>0</v>
      </c>
    </row>
    <row r="21" spans="1:7">
      <c r="A21" s="4" t="s">
        <v>24</v>
      </c>
      <c r="B21" s="4" t="s">
        <v>25</v>
      </c>
      <c r="C21" s="4" t="s">
        <v>2949</v>
      </c>
      <c r="D21" s="4" t="s">
        <v>813</v>
      </c>
      <c r="E21" s="6">
        <v>43839</v>
      </c>
      <c r="F21" s="7">
        <v>60</v>
      </c>
      <c r="G21" s="7">
        <v>2.29</v>
      </c>
    </row>
    <row r="22" spans="1:7">
      <c r="A22" s="4" t="s">
        <v>24</v>
      </c>
      <c r="B22" s="4" t="s">
        <v>25</v>
      </c>
      <c r="C22" s="4" t="s">
        <v>2949</v>
      </c>
      <c r="D22" s="4" t="s">
        <v>815</v>
      </c>
      <c r="E22" s="6">
        <v>43839</v>
      </c>
      <c r="F22" s="7">
        <v>150</v>
      </c>
      <c r="G22" s="7">
        <v>3.6100000000000003</v>
      </c>
    </row>
    <row r="23" spans="1:7">
      <c r="A23" s="4" t="s">
        <v>24</v>
      </c>
      <c r="B23" s="4" t="s">
        <v>25</v>
      </c>
      <c r="C23" s="4" t="s">
        <v>2949</v>
      </c>
      <c r="D23" s="4" t="s">
        <v>817</v>
      </c>
      <c r="E23" s="6">
        <v>43839</v>
      </c>
      <c r="F23" s="7">
        <v>450</v>
      </c>
      <c r="G23" s="7">
        <v>1.64</v>
      </c>
    </row>
    <row r="24" spans="1:7">
      <c r="A24" s="4" t="s">
        <v>24</v>
      </c>
      <c r="B24" s="4" t="s">
        <v>25</v>
      </c>
      <c r="C24" s="4" t="s">
        <v>2949</v>
      </c>
      <c r="D24" s="4" t="s">
        <v>819</v>
      </c>
      <c r="E24" s="6">
        <v>43839</v>
      </c>
      <c r="F24" s="7">
        <v>100</v>
      </c>
      <c r="G24" s="7">
        <v>15.18</v>
      </c>
    </row>
    <row r="25" spans="1:7">
      <c r="A25" s="4" t="s">
        <v>24</v>
      </c>
      <c r="B25" s="4" t="s">
        <v>25</v>
      </c>
      <c r="C25" s="4" t="s">
        <v>2949</v>
      </c>
      <c r="D25" s="4" t="s">
        <v>821</v>
      </c>
      <c r="E25" s="6">
        <v>43839</v>
      </c>
      <c r="F25" s="7">
        <v>50</v>
      </c>
      <c r="G25" s="7">
        <v>4.13</v>
      </c>
    </row>
    <row r="26" spans="1:7">
      <c r="A26" s="4" t="s">
        <v>24</v>
      </c>
      <c r="B26" s="4" t="s">
        <v>25</v>
      </c>
      <c r="C26" s="4" t="s">
        <v>2949</v>
      </c>
      <c r="D26" s="4" t="s">
        <v>823</v>
      </c>
      <c r="E26" s="6">
        <v>43839</v>
      </c>
      <c r="F26" s="7">
        <v>200</v>
      </c>
      <c r="G26" s="7">
        <v>5.92</v>
      </c>
    </row>
    <row r="27" spans="1:7">
      <c r="A27" s="4" t="s">
        <v>24</v>
      </c>
      <c r="B27" s="4" t="s">
        <v>25</v>
      </c>
      <c r="C27" s="4" t="s">
        <v>2949</v>
      </c>
      <c r="D27" s="4" t="s">
        <v>784</v>
      </c>
      <c r="E27" s="6">
        <v>43839</v>
      </c>
      <c r="F27" s="7">
        <v>1</v>
      </c>
      <c r="G27" s="7">
        <v>0</v>
      </c>
    </row>
    <row r="28" spans="1:7">
      <c r="A28" s="4" t="s">
        <v>41</v>
      </c>
      <c r="B28" s="4" t="s">
        <v>42</v>
      </c>
      <c r="C28" s="4" t="s">
        <v>2950</v>
      </c>
      <c r="D28" s="4" t="s">
        <v>826</v>
      </c>
      <c r="E28" s="6">
        <v>43844</v>
      </c>
      <c r="F28" s="7">
        <v>25</v>
      </c>
      <c r="G28" s="7">
        <v>10.94</v>
      </c>
    </row>
    <row r="29" spans="1:7">
      <c r="A29" s="4" t="s">
        <v>41</v>
      </c>
      <c r="B29" s="4" t="s">
        <v>42</v>
      </c>
      <c r="C29" s="4" t="s">
        <v>2950</v>
      </c>
      <c r="D29" s="4" t="s">
        <v>826</v>
      </c>
      <c r="E29" s="6">
        <v>43844</v>
      </c>
      <c r="F29" s="7">
        <v>25</v>
      </c>
      <c r="G29" s="7">
        <v>10.34</v>
      </c>
    </row>
    <row r="30" spans="1:7">
      <c r="A30" s="4" t="s">
        <v>41</v>
      </c>
      <c r="B30" s="4" t="s">
        <v>42</v>
      </c>
      <c r="C30" s="4" t="s">
        <v>2950</v>
      </c>
      <c r="D30" s="4" t="s">
        <v>826</v>
      </c>
      <c r="E30" s="6">
        <v>43844</v>
      </c>
      <c r="F30" s="7">
        <v>25</v>
      </c>
      <c r="G30" s="7">
        <v>11.86</v>
      </c>
    </row>
    <row r="31" spans="1:7">
      <c r="A31" s="4" t="s">
        <v>41</v>
      </c>
      <c r="B31" s="4" t="s">
        <v>42</v>
      </c>
      <c r="C31" s="4" t="s">
        <v>2950</v>
      </c>
      <c r="D31" s="4" t="s">
        <v>826</v>
      </c>
      <c r="E31" s="6">
        <v>43844</v>
      </c>
      <c r="F31" s="7">
        <v>25</v>
      </c>
      <c r="G31" s="7">
        <v>13.68</v>
      </c>
    </row>
    <row r="32" spans="1:7">
      <c r="A32" s="4" t="s">
        <v>41</v>
      </c>
      <c r="B32" s="4" t="s">
        <v>42</v>
      </c>
      <c r="C32" s="4" t="s">
        <v>2950</v>
      </c>
      <c r="D32" s="4" t="s">
        <v>826</v>
      </c>
      <c r="E32" s="6">
        <v>43844</v>
      </c>
      <c r="F32" s="7">
        <v>25</v>
      </c>
      <c r="G32" s="7">
        <v>15.81</v>
      </c>
    </row>
    <row r="33" spans="1:7">
      <c r="A33" s="4" t="s">
        <v>41</v>
      </c>
      <c r="B33" s="4" t="s">
        <v>42</v>
      </c>
      <c r="C33" s="4" t="s">
        <v>2950</v>
      </c>
      <c r="D33" s="4" t="s">
        <v>826</v>
      </c>
      <c r="E33" s="6">
        <v>43844</v>
      </c>
      <c r="F33" s="7">
        <v>35</v>
      </c>
      <c r="G33" s="7">
        <v>17.149999999999999</v>
      </c>
    </row>
    <row r="34" spans="1:7">
      <c r="A34" s="4" t="s">
        <v>41</v>
      </c>
      <c r="B34" s="4" t="s">
        <v>42</v>
      </c>
      <c r="C34" s="4" t="s">
        <v>2950</v>
      </c>
      <c r="D34" s="4" t="s">
        <v>784</v>
      </c>
      <c r="E34" s="6">
        <v>43844</v>
      </c>
      <c r="F34" s="7">
        <v>1</v>
      </c>
      <c r="G34" s="7">
        <v>0</v>
      </c>
    </row>
    <row r="35" spans="1:7">
      <c r="A35" s="4" t="s">
        <v>35</v>
      </c>
      <c r="B35" s="4" t="s">
        <v>78</v>
      </c>
      <c r="C35" s="4" t="s">
        <v>2951</v>
      </c>
      <c r="D35" s="4" t="s">
        <v>834</v>
      </c>
      <c r="E35" s="6">
        <v>43857</v>
      </c>
      <c r="F35" s="7">
        <v>1100</v>
      </c>
      <c r="G35" s="7">
        <v>9.2799999999999994</v>
      </c>
    </row>
    <row r="36" spans="1:7">
      <c r="A36" s="4" t="s">
        <v>35</v>
      </c>
      <c r="B36" s="4" t="s">
        <v>78</v>
      </c>
      <c r="C36" s="4" t="s">
        <v>2952</v>
      </c>
      <c r="D36" s="4" t="s">
        <v>797</v>
      </c>
      <c r="E36" s="6">
        <v>43861</v>
      </c>
      <c r="F36" s="7">
        <v>1000</v>
      </c>
      <c r="G36" s="7">
        <v>13.78</v>
      </c>
    </row>
    <row r="37" spans="1:7">
      <c r="A37" s="4" t="s">
        <v>35</v>
      </c>
      <c r="B37" s="4" t="s">
        <v>78</v>
      </c>
      <c r="C37" s="4" t="s">
        <v>2952</v>
      </c>
      <c r="D37" s="4" t="s">
        <v>793</v>
      </c>
      <c r="E37" s="6">
        <v>43861</v>
      </c>
      <c r="F37" s="7">
        <v>200</v>
      </c>
      <c r="G37" s="7">
        <v>14.61</v>
      </c>
    </row>
    <row r="38" spans="1:7">
      <c r="A38" s="4" t="s">
        <v>35</v>
      </c>
      <c r="B38" s="4" t="s">
        <v>78</v>
      </c>
      <c r="C38" s="4" t="s">
        <v>2952</v>
      </c>
      <c r="D38" s="4" t="s">
        <v>795</v>
      </c>
      <c r="E38" s="6">
        <v>43861</v>
      </c>
      <c r="F38" s="7">
        <v>289</v>
      </c>
      <c r="G38" s="7">
        <v>8.870000000000001</v>
      </c>
    </row>
    <row r="39" spans="1:7">
      <c r="A39" s="4" t="s">
        <v>38</v>
      </c>
      <c r="B39" s="4" t="s">
        <v>39</v>
      </c>
      <c r="C39" s="4" t="s">
        <v>2953</v>
      </c>
      <c r="D39" s="4" t="s">
        <v>826</v>
      </c>
      <c r="E39" s="6">
        <v>43844</v>
      </c>
      <c r="F39" s="7">
        <v>1</v>
      </c>
      <c r="G39" s="7">
        <v>2390</v>
      </c>
    </row>
    <row r="40" spans="1:7">
      <c r="A40" s="4" t="s">
        <v>38</v>
      </c>
      <c r="B40" s="4" t="s">
        <v>39</v>
      </c>
      <c r="C40" s="4" t="s">
        <v>2953</v>
      </c>
      <c r="D40" s="4" t="s">
        <v>840</v>
      </c>
      <c r="E40" s="6">
        <v>43844</v>
      </c>
      <c r="F40" s="7">
        <v>1</v>
      </c>
      <c r="G40" s="7">
        <v>250</v>
      </c>
    </row>
    <row r="41" spans="1:7">
      <c r="A41" s="4" t="s">
        <v>38</v>
      </c>
      <c r="B41" s="4" t="s">
        <v>39</v>
      </c>
      <c r="C41" s="4" t="s">
        <v>2953</v>
      </c>
      <c r="D41" s="4" t="s">
        <v>784</v>
      </c>
      <c r="E41" s="6">
        <v>43844</v>
      </c>
      <c r="F41" s="7">
        <v>1</v>
      </c>
      <c r="G41" s="7">
        <v>0</v>
      </c>
    </row>
    <row r="42" spans="1:7">
      <c r="A42" s="4" t="s">
        <v>24</v>
      </c>
      <c r="B42" s="4" t="s">
        <v>27</v>
      </c>
      <c r="C42" s="4" t="s">
        <v>2954</v>
      </c>
      <c r="D42" s="4" t="s">
        <v>843</v>
      </c>
      <c r="E42" s="6">
        <v>43839</v>
      </c>
      <c r="F42" s="7">
        <v>20</v>
      </c>
      <c r="G42" s="7">
        <v>14.88</v>
      </c>
    </row>
    <row r="43" spans="1:7">
      <c r="A43" s="4" t="s">
        <v>24</v>
      </c>
      <c r="B43" s="4" t="s">
        <v>27</v>
      </c>
      <c r="C43" s="4" t="s">
        <v>2954</v>
      </c>
      <c r="D43" s="4" t="s">
        <v>784</v>
      </c>
      <c r="E43" s="6">
        <v>43839</v>
      </c>
      <c r="F43" s="7">
        <v>1</v>
      </c>
      <c r="G43" s="7">
        <v>0</v>
      </c>
    </row>
    <row r="44" spans="1:7">
      <c r="A44" s="4" t="s">
        <v>15</v>
      </c>
      <c r="B44" s="4" t="s">
        <v>16</v>
      </c>
      <c r="C44" s="4" t="s">
        <v>2955</v>
      </c>
      <c r="D44" s="4" t="s">
        <v>813</v>
      </c>
      <c r="E44" s="6">
        <v>43838</v>
      </c>
      <c r="F44" s="7">
        <v>30</v>
      </c>
      <c r="G44" s="7">
        <v>2.29</v>
      </c>
    </row>
    <row r="45" spans="1:7">
      <c r="A45" s="4" t="s">
        <v>15</v>
      </c>
      <c r="B45" s="4" t="s">
        <v>16</v>
      </c>
      <c r="C45" s="4" t="s">
        <v>2955</v>
      </c>
      <c r="D45" s="4" t="s">
        <v>847</v>
      </c>
      <c r="E45" s="6">
        <v>43838</v>
      </c>
      <c r="F45" s="7">
        <v>30</v>
      </c>
      <c r="G45" s="7">
        <v>4.87</v>
      </c>
    </row>
    <row r="46" spans="1:7">
      <c r="A46" s="4" t="s">
        <v>15</v>
      </c>
      <c r="B46" s="4" t="s">
        <v>16</v>
      </c>
      <c r="C46" s="4" t="s">
        <v>2955</v>
      </c>
      <c r="D46" s="4" t="s">
        <v>849</v>
      </c>
      <c r="E46" s="6">
        <v>43838</v>
      </c>
      <c r="F46" s="7">
        <v>30</v>
      </c>
      <c r="G46" s="7">
        <v>9.73</v>
      </c>
    </row>
    <row r="47" spans="1:7">
      <c r="A47" s="4" t="s">
        <v>15</v>
      </c>
      <c r="B47" s="4" t="s">
        <v>16</v>
      </c>
      <c r="C47" s="4" t="s">
        <v>2955</v>
      </c>
      <c r="D47" s="4" t="s">
        <v>851</v>
      </c>
      <c r="E47" s="6">
        <v>43838</v>
      </c>
      <c r="F47" s="7">
        <v>5</v>
      </c>
      <c r="G47" s="7">
        <v>2.2199999999999998</v>
      </c>
    </row>
    <row r="48" spans="1:7">
      <c r="A48" s="4" t="s">
        <v>15</v>
      </c>
      <c r="B48" s="4" t="s">
        <v>16</v>
      </c>
      <c r="C48" s="4" t="s">
        <v>2955</v>
      </c>
      <c r="D48" s="4" t="s">
        <v>853</v>
      </c>
      <c r="E48" s="6">
        <v>43838</v>
      </c>
      <c r="F48" s="7">
        <v>5</v>
      </c>
      <c r="G48" s="7">
        <v>2.96</v>
      </c>
    </row>
    <row r="49" spans="1:7">
      <c r="A49" s="4" t="s">
        <v>15</v>
      </c>
      <c r="B49" s="4" t="s">
        <v>16</v>
      </c>
      <c r="C49" s="4" t="s">
        <v>2955</v>
      </c>
      <c r="D49" s="4" t="s">
        <v>855</v>
      </c>
      <c r="E49" s="6">
        <v>43838</v>
      </c>
      <c r="F49" s="7">
        <v>100</v>
      </c>
      <c r="G49" s="7">
        <v>2.0699999999999998</v>
      </c>
    </row>
    <row r="50" spans="1:7">
      <c r="A50" s="4" t="s">
        <v>15</v>
      </c>
      <c r="B50" s="4" t="s">
        <v>16</v>
      </c>
      <c r="C50" s="4" t="s">
        <v>2955</v>
      </c>
      <c r="D50" s="4" t="s">
        <v>821</v>
      </c>
      <c r="E50" s="6">
        <v>43838</v>
      </c>
      <c r="F50" s="7">
        <v>100</v>
      </c>
      <c r="G50" s="7">
        <v>4.13</v>
      </c>
    </row>
    <row r="51" spans="1:7">
      <c r="A51" s="4" t="s">
        <v>15</v>
      </c>
      <c r="B51" s="4" t="s">
        <v>16</v>
      </c>
      <c r="C51" s="4" t="s">
        <v>2955</v>
      </c>
      <c r="D51" s="4" t="s">
        <v>858</v>
      </c>
      <c r="E51" s="6">
        <v>43838</v>
      </c>
      <c r="F51" s="7">
        <v>30</v>
      </c>
      <c r="G51" s="7">
        <v>4.0999999999999996</v>
      </c>
    </row>
    <row r="52" spans="1:7">
      <c r="A52" s="4" t="s">
        <v>15</v>
      </c>
      <c r="B52" s="4" t="s">
        <v>16</v>
      </c>
      <c r="C52" s="4" t="s">
        <v>2955</v>
      </c>
      <c r="D52" s="4" t="s">
        <v>860</v>
      </c>
      <c r="E52" s="6">
        <v>43838</v>
      </c>
      <c r="F52" s="7">
        <v>30</v>
      </c>
      <c r="G52" s="7">
        <v>4.8600000000000003</v>
      </c>
    </row>
    <row r="53" spans="1:7">
      <c r="A53" s="4" t="s">
        <v>15</v>
      </c>
      <c r="B53" s="4" t="s">
        <v>16</v>
      </c>
      <c r="C53" s="4" t="s">
        <v>2955</v>
      </c>
      <c r="D53" s="4" t="s">
        <v>862</v>
      </c>
      <c r="E53" s="6">
        <v>43838</v>
      </c>
      <c r="F53" s="7">
        <v>30</v>
      </c>
      <c r="G53" s="7">
        <v>6.1</v>
      </c>
    </row>
    <row r="54" spans="1:7">
      <c r="A54" s="4" t="s">
        <v>15</v>
      </c>
      <c r="B54" s="4" t="s">
        <v>16</v>
      </c>
      <c r="C54" s="4" t="s">
        <v>2955</v>
      </c>
      <c r="D54" s="4" t="s">
        <v>784</v>
      </c>
      <c r="E54" s="6">
        <v>43838</v>
      </c>
      <c r="F54" s="7">
        <v>1</v>
      </c>
      <c r="G54" s="7">
        <v>0</v>
      </c>
    </row>
    <row r="55" spans="1:7">
      <c r="A55" s="4" t="s">
        <v>18</v>
      </c>
      <c r="B55" s="4" t="s">
        <v>19</v>
      </c>
      <c r="C55" s="4" t="s">
        <v>2956</v>
      </c>
      <c r="D55" s="4" t="s">
        <v>865</v>
      </c>
      <c r="E55" s="6">
        <v>43838</v>
      </c>
      <c r="F55" s="7">
        <v>5</v>
      </c>
      <c r="G55" s="7">
        <v>0</v>
      </c>
    </row>
    <row r="56" spans="1:7">
      <c r="A56" s="4" t="s">
        <v>18</v>
      </c>
      <c r="B56" s="4" t="s">
        <v>19</v>
      </c>
      <c r="C56" s="4" t="s">
        <v>2956</v>
      </c>
      <c r="D56" s="4" t="s">
        <v>867</v>
      </c>
      <c r="E56" s="6">
        <v>43838</v>
      </c>
      <c r="F56" s="7">
        <v>10</v>
      </c>
      <c r="G56" s="7">
        <v>0</v>
      </c>
    </row>
    <row r="57" spans="1:7">
      <c r="A57" s="4" t="s">
        <v>18</v>
      </c>
      <c r="B57" s="4" t="s">
        <v>19</v>
      </c>
      <c r="C57" s="4" t="s">
        <v>2956</v>
      </c>
      <c r="D57" s="4" t="s">
        <v>869</v>
      </c>
      <c r="E57" s="6">
        <v>43838</v>
      </c>
      <c r="F57" s="7">
        <v>6</v>
      </c>
      <c r="G57" s="7">
        <v>0</v>
      </c>
    </row>
    <row r="58" spans="1:7">
      <c r="A58" s="4" t="s">
        <v>18</v>
      </c>
      <c r="B58" s="4" t="s">
        <v>19</v>
      </c>
      <c r="C58" s="4" t="s">
        <v>2956</v>
      </c>
      <c r="D58" s="4" t="s">
        <v>865</v>
      </c>
      <c r="E58" s="6">
        <v>43838</v>
      </c>
      <c r="F58" s="7">
        <v>8</v>
      </c>
      <c r="G58" s="7">
        <v>24.4</v>
      </c>
    </row>
    <row r="59" spans="1:7">
      <c r="A59" s="4" t="s">
        <v>18</v>
      </c>
      <c r="B59" s="4" t="s">
        <v>19</v>
      </c>
      <c r="C59" s="4" t="s">
        <v>2956</v>
      </c>
      <c r="D59" s="4" t="s">
        <v>784</v>
      </c>
      <c r="E59" s="6">
        <v>43838</v>
      </c>
      <c r="F59" s="7">
        <v>1</v>
      </c>
      <c r="G59" s="7">
        <v>0</v>
      </c>
    </row>
    <row r="60" spans="1:7">
      <c r="A60" s="4" t="s">
        <v>46</v>
      </c>
      <c r="B60" s="4" t="s">
        <v>54</v>
      </c>
      <c r="C60" s="4" t="s">
        <v>2957</v>
      </c>
      <c r="D60" s="4" t="s">
        <v>873</v>
      </c>
      <c r="E60" s="6">
        <v>43847</v>
      </c>
      <c r="F60" s="7">
        <v>100</v>
      </c>
      <c r="G60" s="7">
        <v>0.52</v>
      </c>
    </row>
    <row r="61" spans="1:7">
      <c r="A61" s="4" t="s">
        <v>46</v>
      </c>
      <c r="B61" s="4" t="s">
        <v>54</v>
      </c>
      <c r="C61" s="4" t="s">
        <v>2957</v>
      </c>
      <c r="D61" s="4" t="s">
        <v>875</v>
      </c>
      <c r="E61" s="6">
        <v>43847</v>
      </c>
      <c r="F61" s="7">
        <v>50</v>
      </c>
      <c r="G61" s="7">
        <v>0.72</v>
      </c>
    </row>
    <row r="62" spans="1:7">
      <c r="A62" s="4" t="s">
        <v>46</v>
      </c>
      <c r="B62" s="4" t="s">
        <v>54</v>
      </c>
      <c r="C62" s="4" t="s">
        <v>2957</v>
      </c>
      <c r="D62" s="4" t="s">
        <v>877</v>
      </c>
      <c r="E62" s="6">
        <v>43847</v>
      </c>
      <c r="F62" s="7">
        <v>50</v>
      </c>
      <c r="G62" s="7">
        <v>0.81</v>
      </c>
    </row>
    <row r="63" spans="1:7">
      <c r="A63" s="4" t="s">
        <v>46</v>
      </c>
      <c r="B63" s="4" t="s">
        <v>54</v>
      </c>
      <c r="C63" s="4" t="s">
        <v>2957</v>
      </c>
      <c r="D63" s="4" t="s">
        <v>879</v>
      </c>
      <c r="E63" s="6">
        <v>43847</v>
      </c>
      <c r="F63" s="7">
        <v>50</v>
      </c>
      <c r="G63" s="7">
        <v>1.1199999999999999</v>
      </c>
    </row>
    <row r="64" spans="1:7">
      <c r="A64" s="4" t="s">
        <v>46</v>
      </c>
      <c r="B64" s="4" t="s">
        <v>54</v>
      </c>
      <c r="C64" s="4" t="s">
        <v>2957</v>
      </c>
      <c r="D64" s="4" t="s">
        <v>881</v>
      </c>
      <c r="E64" s="6">
        <v>43847</v>
      </c>
      <c r="F64" s="7">
        <v>50</v>
      </c>
      <c r="G64" s="7">
        <v>2.83</v>
      </c>
    </row>
    <row r="65" spans="1:7">
      <c r="A65" s="4" t="s">
        <v>46</v>
      </c>
      <c r="B65" s="4" t="s">
        <v>54</v>
      </c>
      <c r="C65" s="4" t="s">
        <v>2957</v>
      </c>
      <c r="D65" s="4" t="s">
        <v>883</v>
      </c>
      <c r="E65" s="6">
        <v>43847</v>
      </c>
      <c r="F65" s="7">
        <v>100</v>
      </c>
      <c r="G65" s="7">
        <v>1.35</v>
      </c>
    </row>
    <row r="66" spans="1:7">
      <c r="A66" s="4" t="s">
        <v>46</v>
      </c>
      <c r="B66" s="4" t="s">
        <v>54</v>
      </c>
      <c r="C66" s="4" t="s">
        <v>2957</v>
      </c>
      <c r="D66" s="4" t="s">
        <v>885</v>
      </c>
      <c r="E66" s="6">
        <v>43847</v>
      </c>
      <c r="F66" s="7">
        <v>50</v>
      </c>
      <c r="G66" s="7">
        <v>5.9399999999999995</v>
      </c>
    </row>
    <row r="67" spans="1:7">
      <c r="A67" s="4" t="s">
        <v>46</v>
      </c>
      <c r="B67" s="4" t="s">
        <v>54</v>
      </c>
      <c r="C67" s="4" t="s">
        <v>2957</v>
      </c>
      <c r="D67" s="4" t="s">
        <v>887</v>
      </c>
      <c r="E67" s="6">
        <v>43847</v>
      </c>
      <c r="F67" s="7">
        <v>50</v>
      </c>
      <c r="G67" s="7">
        <v>0.57999999999999996</v>
      </c>
    </row>
    <row r="68" spans="1:7">
      <c r="A68" s="4" t="s">
        <v>46</v>
      </c>
      <c r="B68" s="4" t="s">
        <v>54</v>
      </c>
      <c r="C68" s="4" t="s">
        <v>2957</v>
      </c>
      <c r="D68" s="4" t="s">
        <v>889</v>
      </c>
      <c r="E68" s="6">
        <v>43847</v>
      </c>
      <c r="F68" s="7">
        <v>100</v>
      </c>
      <c r="G68" s="7">
        <v>0.72</v>
      </c>
    </row>
    <row r="69" spans="1:7">
      <c r="A69" s="4" t="s">
        <v>46</v>
      </c>
      <c r="B69" s="4" t="s">
        <v>54</v>
      </c>
      <c r="C69" s="4" t="s">
        <v>2957</v>
      </c>
      <c r="D69" s="4" t="s">
        <v>891</v>
      </c>
      <c r="E69" s="6">
        <v>43847</v>
      </c>
      <c r="F69" s="7">
        <v>50</v>
      </c>
      <c r="G69" s="7">
        <v>1.27</v>
      </c>
    </row>
    <row r="70" spans="1:7">
      <c r="A70" s="4" t="s">
        <v>46</v>
      </c>
      <c r="B70" s="4" t="s">
        <v>54</v>
      </c>
      <c r="C70" s="4" t="s">
        <v>2957</v>
      </c>
      <c r="D70" s="4" t="s">
        <v>893</v>
      </c>
      <c r="E70" s="6">
        <v>43847</v>
      </c>
      <c r="F70" s="7">
        <v>50</v>
      </c>
      <c r="G70" s="7">
        <v>4.1100000000000003</v>
      </c>
    </row>
    <row r="71" spans="1:7">
      <c r="A71" s="4" t="s">
        <v>46</v>
      </c>
      <c r="B71" s="4" t="s">
        <v>54</v>
      </c>
      <c r="C71" s="4" t="s">
        <v>2957</v>
      </c>
      <c r="D71" s="4" t="s">
        <v>784</v>
      </c>
      <c r="E71" s="6">
        <v>43847</v>
      </c>
      <c r="F71" s="7">
        <v>1</v>
      </c>
      <c r="G71" s="7">
        <v>0</v>
      </c>
    </row>
    <row r="72" spans="1:7">
      <c r="A72" s="4" t="s">
        <v>12</v>
      </c>
      <c r="B72" s="4" t="s">
        <v>147</v>
      </c>
      <c r="C72" s="4" t="s">
        <v>2958</v>
      </c>
      <c r="D72" s="4" t="s">
        <v>786</v>
      </c>
      <c r="E72" s="6">
        <v>43873</v>
      </c>
      <c r="F72" s="7">
        <v>1500</v>
      </c>
      <c r="G72" s="7">
        <v>0.74</v>
      </c>
    </row>
    <row r="73" spans="1:7">
      <c r="A73" s="4" t="s">
        <v>12</v>
      </c>
      <c r="B73" s="4" t="s">
        <v>147</v>
      </c>
      <c r="C73" s="4" t="s">
        <v>2958</v>
      </c>
      <c r="D73" s="4" t="s">
        <v>801</v>
      </c>
      <c r="E73" s="6">
        <v>43873</v>
      </c>
      <c r="F73" s="7">
        <v>1000</v>
      </c>
      <c r="G73" s="7">
        <v>0.95</v>
      </c>
    </row>
    <row r="74" spans="1:7">
      <c r="A74" s="4" t="s">
        <v>12</v>
      </c>
      <c r="B74" s="4" t="s">
        <v>147</v>
      </c>
      <c r="C74" s="4" t="s">
        <v>2958</v>
      </c>
      <c r="D74" s="4" t="s">
        <v>799</v>
      </c>
      <c r="E74" s="6">
        <v>43873</v>
      </c>
      <c r="F74" s="7">
        <v>1500</v>
      </c>
      <c r="G74" s="7">
        <v>0.85</v>
      </c>
    </row>
    <row r="75" spans="1:7">
      <c r="A75" s="4" t="s">
        <v>12</v>
      </c>
      <c r="B75" s="4" t="s">
        <v>147</v>
      </c>
      <c r="C75" s="4" t="s">
        <v>2958</v>
      </c>
      <c r="D75" s="4" t="s">
        <v>784</v>
      </c>
      <c r="E75" s="6">
        <v>43873</v>
      </c>
      <c r="F75" s="7">
        <v>1</v>
      </c>
      <c r="G75" s="7">
        <v>0</v>
      </c>
    </row>
    <row r="76" spans="1:7">
      <c r="A76" s="4" t="s">
        <v>12</v>
      </c>
      <c r="B76" s="4" t="s">
        <v>138</v>
      </c>
      <c r="C76" s="4" t="s">
        <v>2959</v>
      </c>
      <c r="D76" s="4" t="s">
        <v>786</v>
      </c>
      <c r="E76" s="6">
        <v>43873</v>
      </c>
      <c r="F76" s="7">
        <v>1000</v>
      </c>
      <c r="G76" s="7">
        <v>0.74</v>
      </c>
    </row>
    <row r="77" spans="1:7">
      <c r="A77" s="4" t="s">
        <v>12</v>
      </c>
      <c r="B77" s="4" t="s">
        <v>138</v>
      </c>
      <c r="C77" s="4" t="s">
        <v>2959</v>
      </c>
      <c r="D77" s="4" t="s">
        <v>801</v>
      </c>
      <c r="E77" s="6">
        <v>43873</v>
      </c>
      <c r="F77" s="7">
        <v>1000</v>
      </c>
      <c r="G77" s="7">
        <v>0.95</v>
      </c>
    </row>
    <row r="78" spans="1:7">
      <c r="A78" s="4" t="s">
        <v>12</v>
      </c>
      <c r="B78" s="4" t="s">
        <v>138</v>
      </c>
      <c r="C78" s="4" t="s">
        <v>2959</v>
      </c>
      <c r="D78" s="4" t="s">
        <v>799</v>
      </c>
      <c r="E78" s="6">
        <v>43873</v>
      </c>
      <c r="F78" s="7">
        <v>1500</v>
      </c>
      <c r="G78" s="7">
        <v>0.85</v>
      </c>
    </row>
    <row r="79" spans="1:7">
      <c r="A79" s="4" t="s">
        <v>12</v>
      </c>
      <c r="B79" s="4" t="s">
        <v>138</v>
      </c>
      <c r="C79" s="4" t="s">
        <v>2959</v>
      </c>
      <c r="D79" s="4" t="s">
        <v>784</v>
      </c>
      <c r="E79" s="6">
        <v>43873</v>
      </c>
      <c r="F79" s="7">
        <v>1</v>
      </c>
      <c r="G79" s="7">
        <v>0</v>
      </c>
    </row>
    <row r="80" spans="1:7">
      <c r="A80" s="4" t="s">
        <v>49</v>
      </c>
      <c r="B80" s="4" t="s">
        <v>52</v>
      </c>
      <c r="C80" s="4" t="s">
        <v>2960</v>
      </c>
      <c r="D80" s="4" t="s">
        <v>904</v>
      </c>
      <c r="E80" s="6">
        <v>43846</v>
      </c>
      <c r="F80" s="7">
        <v>10</v>
      </c>
      <c r="G80" s="7">
        <v>13.69</v>
      </c>
    </row>
    <row r="81" spans="1:7">
      <c r="A81" s="4" t="s">
        <v>49</v>
      </c>
      <c r="B81" s="4" t="s">
        <v>52</v>
      </c>
      <c r="C81" s="4" t="s">
        <v>2960</v>
      </c>
      <c r="D81" s="4" t="s">
        <v>906</v>
      </c>
      <c r="E81" s="6">
        <v>43846</v>
      </c>
      <c r="F81" s="7">
        <v>1</v>
      </c>
      <c r="G81" s="7">
        <v>192.89000000000001</v>
      </c>
    </row>
    <row r="82" spans="1:7">
      <c r="A82" s="4" t="s">
        <v>49</v>
      </c>
      <c r="B82" s="4" t="s">
        <v>52</v>
      </c>
      <c r="C82" s="4" t="s">
        <v>2960</v>
      </c>
      <c r="D82" s="4" t="s">
        <v>908</v>
      </c>
      <c r="E82" s="6">
        <v>43846</v>
      </c>
      <c r="F82" s="7">
        <v>100</v>
      </c>
      <c r="G82" s="7">
        <v>0.85</v>
      </c>
    </row>
    <row r="83" spans="1:7">
      <c r="A83" s="4" t="s">
        <v>49</v>
      </c>
      <c r="B83" s="4" t="s">
        <v>52</v>
      </c>
      <c r="C83" s="4" t="s">
        <v>2960</v>
      </c>
      <c r="D83" s="4" t="s">
        <v>910</v>
      </c>
      <c r="E83" s="6">
        <v>43846</v>
      </c>
      <c r="F83" s="7">
        <v>100</v>
      </c>
      <c r="G83" s="7">
        <v>1.7399999999999998</v>
      </c>
    </row>
    <row r="84" spans="1:7">
      <c r="A84" s="4" t="s">
        <v>49</v>
      </c>
      <c r="B84" s="4" t="s">
        <v>52</v>
      </c>
      <c r="C84" s="4" t="s">
        <v>2960</v>
      </c>
      <c r="D84" s="4" t="s">
        <v>912</v>
      </c>
      <c r="E84" s="6">
        <v>43846</v>
      </c>
      <c r="F84" s="7">
        <v>100</v>
      </c>
      <c r="G84" s="7">
        <v>1.05</v>
      </c>
    </row>
    <row r="85" spans="1:7">
      <c r="A85" s="4" t="s">
        <v>49</v>
      </c>
      <c r="B85" s="4" t="s">
        <v>52</v>
      </c>
      <c r="C85" s="4" t="s">
        <v>2960</v>
      </c>
      <c r="D85" s="4" t="s">
        <v>914</v>
      </c>
      <c r="E85" s="6">
        <v>43846</v>
      </c>
      <c r="F85" s="7">
        <v>100</v>
      </c>
      <c r="G85" s="7">
        <v>0.95</v>
      </c>
    </row>
    <row r="86" spans="1:7">
      <c r="A86" s="4" t="s">
        <v>49</v>
      </c>
      <c r="B86" s="4" t="s">
        <v>52</v>
      </c>
      <c r="C86" s="4" t="s">
        <v>2960</v>
      </c>
      <c r="D86" s="4" t="s">
        <v>916</v>
      </c>
      <c r="E86" s="6">
        <v>43846</v>
      </c>
      <c r="F86" s="7">
        <v>100</v>
      </c>
      <c r="G86" s="7">
        <v>0.9</v>
      </c>
    </row>
    <row r="87" spans="1:7">
      <c r="A87" s="4" t="s">
        <v>49</v>
      </c>
      <c r="B87" s="4" t="s">
        <v>52</v>
      </c>
      <c r="C87" s="4" t="s">
        <v>2960</v>
      </c>
      <c r="D87" s="4" t="s">
        <v>817</v>
      </c>
      <c r="E87" s="6">
        <v>43846</v>
      </c>
      <c r="F87" s="7">
        <v>100</v>
      </c>
      <c r="G87" s="7">
        <v>1.64</v>
      </c>
    </row>
    <row r="88" spans="1:7">
      <c r="A88" s="4" t="s">
        <v>49</v>
      </c>
      <c r="B88" s="4" t="s">
        <v>52</v>
      </c>
      <c r="C88" s="4" t="s">
        <v>2960</v>
      </c>
      <c r="D88" s="4" t="s">
        <v>784</v>
      </c>
      <c r="E88" s="6">
        <v>43846</v>
      </c>
      <c r="F88" s="7">
        <v>1</v>
      </c>
      <c r="G88" s="7">
        <v>0</v>
      </c>
    </row>
    <row r="89" spans="1:7">
      <c r="A89" s="4" t="s">
        <v>65</v>
      </c>
      <c r="B89" s="4" t="s">
        <v>66</v>
      </c>
      <c r="C89" s="4" t="s">
        <v>2961</v>
      </c>
      <c r="D89" s="4" t="s">
        <v>920</v>
      </c>
      <c r="E89" s="6">
        <v>43854</v>
      </c>
      <c r="F89" s="7">
        <v>6160</v>
      </c>
      <c r="G89" s="7">
        <v>1.4</v>
      </c>
    </row>
    <row r="90" spans="1:7">
      <c r="A90" s="4" t="s">
        <v>29</v>
      </c>
      <c r="B90" s="4" t="s">
        <v>30</v>
      </c>
      <c r="C90" s="4" t="s">
        <v>2962</v>
      </c>
      <c r="D90" s="4" t="s">
        <v>922</v>
      </c>
      <c r="E90" s="6">
        <v>43840</v>
      </c>
      <c r="F90" s="7">
        <v>200</v>
      </c>
      <c r="G90" s="7">
        <v>2.7</v>
      </c>
    </row>
    <row r="91" spans="1:7">
      <c r="A91" s="4" t="s">
        <v>29</v>
      </c>
      <c r="B91" s="4" t="s">
        <v>30</v>
      </c>
      <c r="C91" s="4" t="s">
        <v>2962</v>
      </c>
      <c r="D91" s="4" t="s">
        <v>928</v>
      </c>
      <c r="E91" s="6">
        <v>43840</v>
      </c>
      <c r="F91" s="7">
        <v>50</v>
      </c>
      <c r="G91" s="7">
        <v>7.12</v>
      </c>
    </row>
    <row r="92" spans="1:7">
      <c r="A92" s="4" t="s">
        <v>29</v>
      </c>
      <c r="B92" s="4" t="s">
        <v>30</v>
      </c>
      <c r="C92" s="4" t="s">
        <v>2962</v>
      </c>
      <c r="D92" s="4" t="s">
        <v>784</v>
      </c>
      <c r="E92" s="6">
        <v>43840</v>
      </c>
      <c r="F92" s="7">
        <v>1</v>
      </c>
      <c r="G92" s="7">
        <v>0</v>
      </c>
    </row>
    <row r="93" spans="1:7">
      <c r="A93" s="4" t="s">
        <v>91</v>
      </c>
      <c r="B93" s="4" t="s">
        <v>92</v>
      </c>
      <c r="C93" s="4" t="s">
        <v>2963</v>
      </c>
      <c r="D93" s="4" t="s">
        <v>925</v>
      </c>
      <c r="E93" s="6">
        <v>43858</v>
      </c>
      <c r="F93" s="7">
        <v>500</v>
      </c>
      <c r="G93" s="7">
        <v>0.13650000000000001</v>
      </c>
    </row>
    <row r="94" spans="1:7">
      <c r="A94" s="4" t="s">
        <v>91</v>
      </c>
      <c r="B94" s="4" t="s">
        <v>92</v>
      </c>
      <c r="C94" s="4" t="s">
        <v>2963</v>
      </c>
      <c r="D94" s="4" t="s">
        <v>784</v>
      </c>
      <c r="E94" s="6">
        <v>43858</v>
      </c>
      <c r="F94" s="7">
        <v>1</v>
      </c>
      <c r="G94" s="7">
        <v>0</v>
      </c>
    </row>
    <row r="95" spans="1:7">
      <c r="A95" s="4" t="s">
        <v>32</v>
      </c>
      <c r="B95" s="4" t="s">
        <v>33</v>
      </c>
      <c r="C95" s="4" t="s">
        <v>2964</v>
      </c>
      <c r="D95" s="4" t="s">
        <v>930</v>
      </c>
      <c r="E95" s="6">
        <v>43840</v>
      </c>
      <c r="F95" s="7">
        <v>100</v>
      </c>
      <c r="G95" s="7">
        <v>0.38</v>
      </c>
    </row>
    <row r="96" spans="1:7">
      <c r="A96" s="4" t="s">
        <v>32</v>
      </c>
      <c r="B96" s="4" t="s">
        <v>33</v>
      </c>
      <c r="C96" s="4" t="s">
        <v>2964</v>
      </c>
      <c r="D96" s="4" t="s">
        <v>932</v>
      </c>
      <c r="E96" s="6">
        <v>43840</v>
      </c>
      <c r="F96" s="7">
        <v>120</v>
      </c>
      <c r="G96" s="7">
        <v>0.43</v>
      </c>
    </row>
    <row r="97" spans="1:7">
      <c r="A97" s="4" t="s">
        <v>32</v>
      </c>
      <c r="B97" s="4" t="s">
        <v>33</v>
      </c>
      <c r="C97" s="4" t="s">
        <v>2964</v>
      </c>
      <c r="D97" s="4" t="s">
        <v>934</v>
      </c>
      <c r="E97" s="6">
        <v>43840</v>
      </c>
      <c r="F97" s="7">
        <v>100</v>
      </c>
      <c r="G97" s="7">
        <v>0.6</v>
      </c>
    </row>
    <row r="98" spans="1:7">
      <c r="A98" s="4" t="s">
        <v>32</v>
      </c>
      <c r="B98" s="4" t="s">
        <v>33</v>
      </c>
      <c r="C98" s="4" t="s">
        <v>2964</v>
      </c>
      <c r="D98" s="4" t="s">
        <v>936</v>
      </c>
      <c r="E98" s="6">
        <v>43840</v>
      </c>
      <c r="F98" s="7">
        <v>100</v>
      </c>
      <c r="G98" s="7">
        <v>0.66</v>
      </c>
    </row>
    <row r="99" spans="1:7">
      <c r="A99" s="4" t="s">
        <v>32</v>
      </c>
      <c r="B99" s="4" t="s">
        <v>33</v>
      </c>
      <c r="C99" s="4" t="s">
        <v>2964</v>
      </c>
      <c r="D99" s="4" t="s">
        <v>873</v>
      </c>
      <c r="E99" s="6">
        <v>43840</v>
      </c>
      <c r="F99" s="7">
        <v>50</v>
      </c>
      <c r="G99" s="7">
        <v>0.45</v>
      </c>
    </row>
    <row r="100" spans="1:7">
      <c r="A100" s="4" t="s">
        <v>32</v>
      </c>
      <c r="B100" s="4" t="s">
        <v>33</v>
      </c>
      <c r="C100" s="4" t="s">
        <v>2964</v>
      </c>
      <c r="D100" s="4" t="s">
        <v>784</v>
      </c>
      <c r="E100" s="6">
        <v>43840</v>
      </c>
      <c r="F100" s="7">
        <v>1</v>
      </c>
      <c r="G100" s="7">
        <v>0</v>
      </c>
    </row>
    <row r="101" spans="1:7">
      <c r="A101" s="4" t="s">
        <v>46</v>
      </c>
      <c r="B101" s="4" t="s">
        <v>47</v>
      </c>
      <c r="C101" s="4" t="s">
        <v>2965</v>
      </c>
      <c r="D101" s="4" t="s">
        <v>940</v>
      </c>
      <c r="E101" s="6">
        <v>43846</v>
      </c>
      <c r="F101" s="7">
        <v>100</v>
      </c>
      <c r="G101" s="7">
        <v>1.06</v>
      </c>
    </row>
    <row r="102" spans="1:7">
      <c r="A102" s="4" t="s">
        <v>46</v>
      </c>
      <c r="B102" s="4" t="s">
        <v>47</v>
      </c>
      <c r="C102" s="4" t="s">
        <v>2965</v>
      </c>
      <c r="D102" s="4" t="s">
        <v>942</v>
      </c>
      <c r="E102" s="6">
        <v>43846</v>
      </c>
      <c r="F102" s="7">
        <v>100</v>
      </c>
      <c r="G102" s="7">
        <v>1.6600000000000001</v>
      </c>
    </row>
    <row r="103" spans="1:7">
      <c r="A103" s="4" t="s">
        <v>46</v>
      </c>
      <c r="B103" s="4" t="s">
        <v>47</v>
      </c>
      <c r="C103" s="4" t="s">
        <v>2965</v>
      </c>
      <c r="D103" s="4" t="s">
        <v>944</v>
      </c>
      <c r="E103" s="6">
        <v>43846</v>
      </c>
      <c r="F103" s="7">
        <v>100</v>
      </c>
      <c r="G103" s="7">
        <v>1.97</v>
      </c>
    </row>
    <row r="104" spans="1:7">
      <c r="A104" s="4" t="s">
        <v>46</v>
      </c>
      <c r="B104" s="4" t="s">
        <v>47</v>
      </c>
      <c r="C104" s="4" t="s">
        <v>2965</v>
      </c>
      <c r="D104" s="4" t="s">
        <v>851</v>
      </c>
      <c r="E104" s="6">
        <v>43846</v>
      </c>
      <c r="F104" s="7">
        <v>100</v>
      </c>
      <c r="G104" s="7">
        <v>2.06</v>
      </c>
    </row>
    <row r="105" spans="1:7">
      <c r="A105" s="4" t="s">
        <v>46</v>
      </c>
      <c r="B105" s="4" t="s">
        <v>47</v>
      </c>
      <c r="C105" s="4" t="s">
        <v>2965</v>
      </c>
      <c r="D105" s="4" t="s">
        <v>887</v>
      </c>
      <c r="E105" s="6">
        <v>43846</v>
      </c>
      <c r="F105" s="7">
        <v>150</v>
      </c>
      <c r="G105" s="7">
        <v>0.57999999999999996</v>
      </c>
    </row>
    <row r="106" spans="1:7">
      <c r="A106" s="4" t="s">
        <v>46</v>
      </c>
      <c r="B106" s="4" t="s">
        <v>47</v>
      </c>
      <c r="C106" s="4" t="s">
        <v>2965</v>
      </c>
      <c r="D106" s="4" t="s">
        <v>887</v>
      </c>
      <c r="E106" s="6">
        <v>43846</v>
      </c>
      <c r="F106" s="7">
        <v>100</v>
      </c>
      <c r="G106" s="7">
        <v>0.57999999999999996</v>
      </c>
    </row>
    <row r="107" spans="1:7">
      <c r="A107" s="4" t="s">
        <v>46</v>
      </c>
      <c r="B107" s="4" t="s">
        <v>47</v>
      </c>
      <c r="C107" s="4" t="s">
        <v>2965</v>
      </c>
      <c r="D107" s="4" t="s">
        <v>949</v>
      </c>
      <c r="E107" s="6">
        <v>43846</v>
      </c>
      <c r="F107" s="7">
        <v>50</v>
      </c>
      <c r="G107" s="7">
        <v>0.61</v>
      </c>
    </row>
    <row r="108" spans="1:7">
      <c r="A108" s="4" t="s">
        <v>46</v>
      </c>
      <c r="B108" s="4" t="s">
        <v>47</v>
      </c>
      <c r="C108" s="4" t="s">
        <v>2965</v>
      </c>
      <c r="D108" s="4" t="s">
        <v>867</v>
      </c>
      <c r="E108" s="6">
        <v>43846</v>
      </c>
      <c r="F108" s="7">
        <v>50</v>
      </c>
      <c r="G108" s="7">
        <v>1.8</v>
      </c>
    </row>
    <row r="109" spans="1:7">
      <c r="A109" s="4" t="s">
        <v>46</v>
      </c>
      <c r="B109" s="4" t="s">
        <v>47</v>
      </c>
      <c r="C109" s="4" t="s">
        <v>2965</v>
      </c>
      <c r="D109" s="4" t="s">
        <v>952</v>
      </c>
      <c r="E109" s="6">
        <v>43846</v>
      </c>
      <c r="F109" s="7">
        <v>50</v>
      </c>
      <c r="G109" s="7">
        <v>0.75</v>
      </c>
    </row>
    <row r="110" spans="1:7">
      <c r="A110" s="4" t="s">
        <v>46</v>
      </c>
      <c r="B110" s="4" t="s">
        <v>47</v>
      </c>
      <c r="C110" s="4" t="s">
        <v>2965</v>
      </c>
      <c r="D110" s="4" t="s">
        <v>784</v>
      </c>
      <c r="E110" s="6">
        <v>43846</v>
      </c>
      <c r="F110" s="7">
        <v>1</v>
      </c>
      <c r="G110" s="7">
        <v>0</v>
      </c>
    </row>
    <row r="111" spans="1:7">
      <c r="A111" s="4" t="s">
        <v>80</v>
      </c>
      <c r="B111" s="4" t="s">
        <v>81</v>
      </c>
      <c r="C111" s="4" t="s">
        <v>2966</v>
      </c>
      <c r="D111" s="4" t="s">
        <v>955</v>
      </c>
      <c r="E111" s="6">
        <v>43857</v>
      </c>
      <c r="F111" s="7">
        <v>10</v>
      </c>
      <c r="G111" s="7">
        <v>1.3800000000000001</v>
      </c>
    </row>
    <row r="112" spans="1:7">
      <c r="A112" s="4" t="s">
        <v>80</v>
      </c>
      <c r="B112" s="4" t="s">
        <v>81</v>
      </c>
      <c r="C112" s="4" t="s">
        <v>2966</v>
      </c>
      <c r="D112" s="4" t="s">
        <v>957</v>
      </c>
      <c r="E112" s="6">
        <v>43857</v>
      </c>
      <c r="F112" s="7">
        <v>2</v>
      </c>
      <c r="G112" s="7">
        <v>3.31</v>
      </c>
    </row>
    <row r="113" spans="1:7">
      <c r="A113" s="4" t="s">
        <v>80</v>
      </c>
      <c r="B113" s="4" t="s">
        <v>81</v>
      </c>
      <c r="C113" s="4" t="s">
        <v>2966</v>
      </c>
      <c r="D113" s="4" t="s">
        <v>959</v>
      </c>
      <c r="E113" s="6">
        <v>43857</v>
      </c>
      <c r="F113" s="7">
        <v>3</v>
      </c>
      <c r="G113" s="7">
        <v>6.26</v>
      </c>
    </row>
    <row r="114" spans="1:7">
      <c r="A114" s="4" t="s">
        <v>98</v>
      </c>
      <c r="B114" s="4" t="s">
        <v>99</v>
      </c>
      <c r="C114" s="4" t="s">
        <v>2967</v>
      </c>
      <c r="D114" s="4" t="s">
        <v>961</v>
      </c>
      <c r="E114" s="6">
        <v>43859</v>
      </c>
      <c r="F114" s="7">
        <v>100</v>
      </c>
      <c r="G114" s="7">
        <v>24.96</v>
      </c>
    </row>
    <row r="115" spans="1:7">
      <c r="A115" s="4" t="s">
        <v>98</v>
      </c>
      <c r="B115" s="4" t="s">
        <v>99</v>
      </c>
      <c r="C115" s="4" t="s">
        <v>2967</v>
      </c>
      <c r="D115" s="4" t="s">
        <v>784</v>
      </c>
      <c r="E115" s="6">
        <v>43859</v>
      </c>
      <c r="F115" s="7">
        <v>1</v>
      </c>
      <c r="G115" s="7">
        <v>0</v>
      </c>
    </row>
    <row r="116" spans="1:7">
      <c r="A116" s="4" t="s">
        <v>56</v>
      </c>
      <c r="B116" s="4" t="s">
        <v>744</v>
      </c>
      <c r="C116" s="4" t="s">
        <v>2968</v>
      </c>
      <c r="D116" s="4" t="s">
        <v>964</v>
      </c>
      <c r="E116" s="6">
        <v>43847</v>
      </c>
      <c r="F116" s="7">
        <v>-50</v>
      </c>
      <c r="G116" s="7">
        <v>1.33</v>
      </c>
    </row>
    <row r="117" spans="1:7">
      <c r="A117" s="4" t="s">
        <v>56</v>
      </c>
      <c r="B117" s="4" t="s">
        <v>744</v>
      </c>
      <c r="C117" s="4" t="s">
        <v>2968</v>
      </c>
      <c r="D117" s="4" t="s">
        <v>966</v>
      </c>
      <c r="E117" s="6">
        <v>43847</v>
      </c>
      <c r="F117" s="7">
        <v>50</v>
      </c>
      <c r="G117" s="7">
        <v>0.97</v>
      </c>
    </row>
    <row r="118" spans="1:7">
      <c r="A118" s="4" t="s">
        <v>132</v>
      </c>
      <c r="B118" s="4" t="s">
        <v>133</v>
      </c>
      <c r="C118" s="4" t="s">
        <v>2969</v>
      </c>
      <c r="D118" s="4" t="s">
        <v>968</v>
      </c>
      <c r="E118" s="6">
        <v>43873</v>
      </c>
      <c r="F118" s="7">
        <v>700</v>
      </c>
      <c r="G118" s="7">
        <v>11.52</v>
      </c>
    </row>
    <row r="119" spans="1:7">
      <c r="A119" s="4" t="s">
        <v>132</v>
      </c>
      <c r="B119" s="4" t="s">
        <v>133</v>
      </c>
      <c r="C119" s="4" t="s">
        <v>2969</v>
      </c>
      <c r="D119" s="4" t="s">
        <v>970</v>
      </c>
      <c r="E119" s="6">
        <v>43873</v>
      </c>
      <c r="F119" s="7">
        <v>1711</v>
      </c>
      <c r="G119" s="7">
        <v>4.18</v>
      </c>
    </row>
    <row r="120" spans="1:7">
      <c r="A120" s="4" t="s">
        <v>132</v>
      </c>
      <c r="B120" s="4" t="s">
        <v>133</v>
      </c>
      <c r="C120" s="4" t="s">
        <v>2969</v>
      </c>
      <c r="D120" s="4" t="s">
        <v>784</v>
      </c>
      <c r="E120" s="6">
        <v>43873</v>
      </c>
      <c r="F120" s="7">
        <v>1</v>
      </c>
      <c r="G120" s="7">
        <v>0</v>
      </c>
    </row>
    <row r="121" spans="1:7">
      <c r="A121" s="4" t="s">
        <v>49</v>
      </c>
      <c r="B121" s="4" t="s">
        <v>68</v>
      </c>
      <c r="C121" s="4" t="s">
        <v>2970</v>
      </c>
      <c r="D121" s="4" t="s">
        <v>806</v>
      </c>
      <c r="E121" s="6">
        <v>43854</v>
      </c>
      <c r="F121" s="7">
        <v>260</v>
      </c>
      <c r="G121" s="7">
        <v>0.8</v>
      </c>
    </row>
    <row r="122" spans="1:7">
      <c r="A122" s="4" t="s">
        <v>49</v>
      </c>
      <c r="B122" s="4" t="s">
        <v>68</v>
      </c>
      <c r="C122" s="4" t="s">
        <v>2970</v>
      </c>
      <c r="D122" s="4" t="s">
        <v>840</v>
      </c>
      <c r="E122" s="6">
        <v>43854</v>
      </c>
      <c r="F122" s="7">
        <v>1</v>
      </c>
      <c r="G122" s="7">
        <v>0</v>
      </c>
    </row>
    <row r="123" spans="1:7">
      <c r="A123" s="4" t="s">
        <v>49</v>
      </c>
      <c r="B123" s="4" t="s">
        <v>68</v>
      </c>
      <c r="C123" s="4" t="s">
        <v>2970</v>
      </c>
      <c r="D123" s="4" t="s">
        <v>784</v>
      </c>
      <c r="E123" s="6">
        <v>43854</v>
      </c>
      <c r="F123" s="7">
        <v>1</v>
      </c>
      <c r="G123" s="7">
        <v>0</v>
      </c>
    </row>
    <row r="124" spans="1:7">
      <c r="A124" s="4" t="s">
        <v>46</v>
      </c>
      <c r="B124" s="4" t="s">
        <v>76</v>
      </c>
      <c r="C124" s="4" t="s">
        <v>2971</v>
      </c>
      <c r="D124" s="4" t="s">
        <v>976</v>
      </c>
      <c r="E124" s="6">
        <v>43854</v>
      </c>
      <c r="F124" s="7">
        <v>100</v>
      </c>
      <c r="G124" s="7">
        <v>1.1499999999999999</v>
      </c>
    </row>
    <row r="125" spans="1:7">
      <c r="A125" s="4" t="s">
        <v>46</v>
      </c>
      <c r="B125" s="4" t="s">
        <v>76</v>
      </c>
      <c r="C125" s="4" t="s">
        <v>2971</v>
      </c>
      <c r="D125" s="4" t="s">
        <v>867</v>
      </c>
      <c r="E125" s="6">
        <v>43854</v>
      </c>
      <c r="F125" s="7">
        <v>250</v>
      </c>
      <c r="G125" s="7">
        <v>1.8</v>
      </c>
    </row>
    <row r="126" spans="1:7">
      <c r="A126" s="4" t="s">
        <v>46</v>
      </c>
      <c r="B126" s="4" t="s">
        <v>76</v>
      </c>
      <c r="C126" s="4" t="s">
        <v>2971</v>
      </c>
      <c r="D126" s="4" t="s">
        <v>979</v>
      </c>
      <c r="E126" s="6">
        <v>43854</v>
      </c>
      <c r="F126" s="7">
        <v>100</v>
      </c>
      <c r="G126" s="7">
        <v>2</v>
      </c>
    </row>
    <row r="127" spans="1:7">
      <c r="A127" s="4" t="s">
        <v>46</v>
      </c>
      <c r="B127" s="4" t="s">
        <v>76</v>
      </c>
      <c r="C127" s="4" t="s">
        <v>2971</v>
      </c>
      <c r="D127" s="4" t="s">
        <v>847</v>
      </c>
      <c r="E127" s="6">
        <v>43854</v>
      </c>
      <c r="F127" s="7">
        <v>50</v>
      </c>
      <c r="G127" s="7">
        <v>4.5200000000000005</v>
      </c>
    </row>
    <row r="128" spans="1:7">
      <c r="A128" s="4" t="s">
        <v>46</v>
      </c>
      <c r="B128" s="4" t="s">
        <v>76</v>
      </c>
      <c r="C128" s="4" t="s">
        <v>2971</v>
      </c>
      <c r="D128" s="4" t="s">
        <v>982</v>
      </c>
      <c r="E128" s="6">
        <v>43854</v>
      </c>
      <c r="F128" s="7">
        <v>50</v>
      </c>
      <c r="G128" s="7">
        <v>6.35</v>
      </c>
    </row>
    <row r="129" spans="1:7">
      <c r="A129" s="4" t="s">
        <v>46</v>
      </c>
      <c r="B129" s="4" t="s">
        <v>76</v>
      </c>
      <c r="C129" s="4" t="s">
        <v>2971</v>
      </c>
      <c r="D129" s="4" t="s">
        <v>875</v>
      </c>
      <c r="E129" s="6">
        <v>43854</v>
      </c>
      <c r="F129" s="7">
        <v>50</v>
      </c>
      <c r="G129" s="7">
        <v>0.72</v>
      </c>
    </row>
    <row r="130" spans="1:7">
      <c r="A130" s="4" t="s">
        <v>46</v>
      </c>
      <c r="B130" s="4" t="s">
        <v>76</v>
      </c>
      <c r="C130" s="4" t="s">
        <v>2971</v>
      </c>
      <c r="D130" s="4" t="s">
        <v>985</v>
      </c>
      <c r="E130" s="6">
        <v>43854</v>
      </c>
      <c r="F130" s="7">
        <v>50</v>
      </c>
      <c r="G130" s="7">
        <v>2.5100000000000002</v>
      </c>
    </row>
    <row r="131" spans="1:7">
      <c r="A131" s="4" t="s">
        <v>46</v>
      </c>
      <c r="B131" s="4" t="s">
        <v>76</v>
      </c>
      <c r="C131" s="4" t="s">
        <v>2971</v>
      </c>
      <c r="D131" s="4" t="s">
        <v>987</v>
      </c>
      <c r="E131" s="6">
        <v>43854</v>
      </c>
      <c r="F131" s="7">
        <v>50</v>
      </c>
      <c r="G131" s="7">
        <v>0.98</v>
      </c>
    </row>
    <row r="132" spans="1:7">
      <c r="A132" s="4" t="s">
        <v>46</v>
      </c>
      <c r="B132" s="4" t="s">
        <v>76</v>
      </c>
      <c r="C132" s="4" t="s">
        <v>2971</v>
      </c>
      <c r="D132" s="4" t="s">
        <v>989</v>
      </c>
      <c r="E132" s="6">
        <v>43854</v>
      </c>
      <c r="F132" s="7">
        <v>50</v>
      </c>
      <c r="G132" s="7">
        <v>1.9899999999999998</v>
      </c>
    </row>
    <row r="133" spans="1:7">
      <c r="A133" s="4" t="s">
        <v>46</v>
      </c>
      <c r="B133" s="4" t="s">
        <v>76</v>
      </c>
      <c r="C133" s="4" t="s">
        <v>2971</v>
      </c>
      <c r="D133" s="4" t="s">
        <v>784</v>
      </c>
      <c r="E133" s="6">
        <v>43854</v>
      </c>
      <c r="F133" s="7">
        <v>1</v>
      </c>
      <c r="G133" s="7">
        <v>0</v>
      </c>
    </row>
    <row r="134" spans="1:7">
      <c r="A134" s="4" t="s">
        <v>62</v>
      </c>
      <c r="B134" s="4" t="s">
        <v>63</v>
      </c>
      <c r="C134" s="4" t="s">
        <v>2972</v>
      </c>
      <c r="D134" s="4" t="s">
        <v>817</v>
      </c>
      <c r="E134" s="6">
        <v>43851</v>
      </c>
      <c r="F134" s="7">
        <v>100</v>
      </c>
      <c r="G134" s="7">
        <v>1.64</v>
      </c>
    </row>
    <row r="135" spans="1:7">
      <c r="A135" s="4" t="s">
        <v>62</v>
      </c>
      <c r="B135" s="4" t="s">
        <v>63</v>
      </c>
      <c r="C135" s="4" t="s">
        <v>2972</v>
      </c>
      <c r="D135" s="4" t="s">
        <v>993</v>
      </c>
      <c r="E135" s="6">
        <v>43851</v>
      </c>
      <c r="F135" s="7">
        <v>100</v>
      </c>
      <c r="G135" s="7">
        <v>0.47</v>
      </c>
    </row>
    <row r="136" spans="1:7">
      <c r="A136" s="4" t="s">
        <v>62</v>
      </c>
      <c r="B136" s="4" t="s">
        <v>63</v>
      </c>
      <c r="C136" s="4" t="s">
        <v>2972</v>
      </c>
      <c r="D136" s="4" t="s">
        <v>995</v>
      </c>
      <c r="E136" s="6">
        <v>43851</v>
      </c>
      <c r="F136" s="7">
        <v>50</v>
      </c>
      <c r="G136" s="7">
        <v>1.69</v>
      </c>
    </row>
    <row r="137" spans="1:7">
      <c r="A137" s="4" t="s">
        <v>62</v>
      </c>
      <c r="B137" s="4" t="s">
        <v>63</v>
      </c>
      <c r="C137" s="4" t="s">
        <v>2972</v>
      </c>
      <c r="D137" s="4" t="s">
        <v>997</v>
      </c>
      <c r="E137" s="6">
        <v>43851</v>
      </c>
      <c r="F137" s="7">
        <v>50</v>
      </c>
      <c r="G137" s="7">
        <v>2.41</v>
      </c>
    </row>
    <row r="138" spans="1:7">
      <c r="A138" s="4" t="s">
        <v>62</v>
      </c>
      <c r="B138" s="4" t="s">
        <v>63</v>
      </c>
      <c r="C138" s="4" t="s">
        <v>2972</v>
      </c>
      <c r="D138" s="4" t="s">
        <v>999</v>
      </c>
      <c r="E138" s="6">
        <v>43851</v>
      </c>
      <c r="F138" s="7">
        <v>25</v>
      </c>
      <c r="G138" s="7">
        <v>4.13</v>
      </c>
    </row>
    <row r="139" spans="1:7">
      <c r="A139" s="4" t="s">
        <v>62</v>
      </c>
      <c r="B139" s="4" t="s">
        <v>63</v>
      </c>
      <c r="C139" s="4" t="s">
        <v>2972</v>
      </c>
      <c r="D139" s="4" t="s">
        <v>851</v>
      </c>
      <c r="E139" s="6">
        <v>43851</v>
      </c>
      <c r="F139" s="7">
        <v>50</v>
      </c>
      <c r="G139" s="7">
        <v>2.2199999999999998</v>
      </c>
    </row>
    <row r="140" spans="1:7">
      <c r="A140" s="4" t="s">
        <v>62</v>
      </c>
      <c r="B140" s="4" t="s">
        <v>63</v>
      </c>
      <c r="C140" s="4" t="s">
        <v>2972</v>
      </c>
      <c r="D140" s="4" t="s">
        <v>784</v>
      </c>
      <c r="E140" s="6">
        <v>43851</v>
      </c>
      <c r="F140" s="7">
        <v>1</v>
      </c>
      <c r="G140" s="7">
        <v>0</v>
      </c>
    </row>
    <row r="141" spans="1:7">
      <c r="A141" s="4" t="s">
        <v>59</v>
      </c>
      <c r="B141" s="4" t="s">
        <v>60</v>
      </c>
      <c r="C141" s="4" t="s">
        <v>2973</v>
      </c>
      <c r="D141" s="4" t="s">
        <v>873</v>
      </c>
      <c r="E141" s="6">
        <v>43851</v>
      </c>
      <c r="F141" s="7">
        <v>30</v>
      </c>
      <c r="G141" s="7">
        <v>0.7</v>
      </c>
    </row>
    <row r="142" spans="1:7">
      <c r="A142" s="4" t="s">
        <v>59</v>
      </c>
      <c r="B142" s="4" t="s">
        <v>60</v>
      </c>
      <c r="C142" s="4" t="s">
        <v>2973</v>
      </c>
      <c r="D142" s="4" t="s">
        <v>883</v>
      </c>
      <c r="E142" s="6">
        <v>43851</v>
      </c>
      <c r="F142" s="7">
        <v>10</v>
      </c>
      <c r="G142" s="7">
        <v>1.8199999999999998</v>
      </c>
    </row>
    <row r="143" spans="1:7">
      <c r="A143" s="4" t="s">
        <v>59</v>
      </c>
      <c r="B143" s="4" t="s">
        <v>60</v>
      </c>
      <c r="C143" s="4" t="s">
        <v>2973</v>
      </c>
      <c r="D143" s="4" t="s">
        <v>1005</v>
      </c>
      <c r="E143" s="6">
        <v>43851</v>
      </c>
      <c r="F143" s="7">
        <v>10</v>
      </c>
      <c r="G143" s="7">
        <v>1.65</v>
      </c>
    </row>
    <row r="144" spans="1:7">
      <c r="A144" s="4" t="s">
        <v>59</v>
      </c>
      <c r="B144" s="4" t="s">
        <v>60</v>
      </c>
      <c r="C144" s="4" t="s">
        <v>2973</v>
      </c>
      <c r="D144" s="4" t="s">
        <v>784</v>
      </c>
      <c r="E144" s="6">
        <v>43851</v>
      </c>
      <c r="F144" s="7">
        <v>1</v>
      </c>
      <c r="G144" s="7">
        <v>0</v>
      </c>
    </row>
    <row r="145" spans="1:7">
      <c r="A145" s="4" t="s">
        <v>107</v>
      </c>
      <c r="B145" s="4" t="s">
        <v>108</v>
      </c>
      <c r="C145" s="4" t="s">
        <v>2974</v>
      </c>
      <c r="D145" s="4" t="s">
        <v>1008</v>
      </c>
      <c r="E145" s="6">
        <v>43865</v>
      </c>
      <c r="F145" s="7">
        <v>2065</v>
      </c>
      <c r="G145" s="7">
        <v>1.7899999999999998</v>
      </c>
    </row>
    <row r="146" spans="1:7">
      <c r="A146" s="4" t="s">
        <v>107</v>
      </c>
      <c r="B146" s="4" t="s">
        <v>108</v>
      </c>
      <c r="C146" s="4" t="s">
        <v>2974</v>
      </c>
      <c r="D146" s="4" t="s">
        <v>784</v>
      </c>
      <c r="E146" s="6">
        <v>43865</v>
      </c>
      <c r="F146" s="7">
        <v>1</v>
      </c>
      <c r="G146" s="7">
        <v>0</v>
      </c>
    </row>
    <row r="147" spans="1:7">
      <c r="A147" s="4" t="s">
        <v>88</v>
      </c>
      <c r="B147" s="4" t="s">
        <v>89</v>
      </c>
      <c r="C147" s="4" t="s">
        <v>2975</v>
      </c>
      <c r="D147" s="4" t="s">
        <v>1011</v>
      </c>
      <c r="E147" s="6">
        <v>43858</v>
      </c>
      <c r="F147" s="7">
        <v>30</v>
      </c>
      <c r="G147" s="7">
        <v>0.85</v>
      </c>
    </row>
    <row r="148" spans="1:7">
      <c r="A148" s="4" t="s">
        <v>88</v>
      </c>
      <c r="B148" s="4" t="s">
        <v>89</v>
      </c>
      <c r="C148" s="4" t="s">
        <v>2975</v>
      </c>
      <c r="D148" s="4" t="s">
        <v>877</v>
      </c>
      <c r="E148" s="6">
        <v>43858</v>
      </c>
      <c r="F148" s="7">
        <v>15</v>
      </c>
      <c r="G148" s="7">
        <v>0.87</v>
      </c>
    </row>
    <row r="149" spans="1:7">
      <c r="A149" s="4" t="s">
        <v>88</v>
      </c>
      <c r="B149" s="4" t="s">
        <v>89</v>
      </c>
      <c r="C149" s="4" t="s">
        <v>2975</v>
      </c>
      <c r="D149" s="4" t="s">
        <v>879</v>
      </c>
      <c r="E149" s="6">
        <v>43858</v>
      </c>
      <c r="F149" s="7">
        <v>10</v>
      </c>
      <c r="G149" s="7">
        <v>1.21</v>
      </c>
    </row>
    <row r="150" spans="1:7">
      <c r="A150" s="4" t="s">
        <v>88</v>
      </c>
      <c r="B150" s="4" t="s">
        <v>89</v>
      </c>
      <c r="C150" s="4" t="s">
        <v>2975</v>
      </c>
      <c r="D150" s="4" t="s">
        <v>1015</v>
      </c>
      <c r="E150" s="6">
        <v>43858</v>
      </c>
      <c r="F150" s="7">
        <v>5</v>
      </c>
      <c r="G150" s="7">
        <v>1.35</v>
      </c>
    </row>
    <row r="151" spans="1:7">
      <c r="A151" s="4" t="s">
        <v>88</v>
      </c>
      <c r="B151" s="4" t="s">
        <v>89</v>
      </c>
      <c r="C151" s="4" t="s">
        <v>2975</v>
      </c>
      <c r="D151" s="4" t="s">
        <v>993</v>
      </c>
      <c r="E151" s="6">
        <v>43858</v>
      </c>
      <c r="F151" s="7">
        <v>30</v>
      </c>
      <c r="G151" s="7">
        <v>0.47</v>
      </c>
    </row>
    <row r="152" spans="1:7">
      <c r="A152" s="4" t="s">
        <v>88</v>
      </c>
      <c r="B152" s="4" t="s">
        <v>89</v>
      </c>
      <c r="C152" s="4" t="s">
        <v>2975</v>
      </c>
      <c r="D152" s="4" t="s">
        <v>1018</v>
      </c>
      <c r="E152" s="6">
        <v>43858</v>
      </c>
      <c r="F152" s="7">
        <v>20</v>
      </c>
      <c r="G152" s="7">
        <v>0.52</v>
      </c>
    </row>
    <row r="153" spans="1:7">
      <c r="A153" s="4" t="s">
        <v>88</v>
      </c>
      <c r="B153" s="4" t="s">
        <v>89</v>
      </c>
      <c r="C153" s="4" t="s">
        <v>2975</v>
      </c>
      <c r="D153" s="4" t="s">
        <v>873</v>
      </c>
      <c r="E153" s="6">
        <v>43858</v>
      </c>
      <c r="F153" s="7">
        <v>20</v>
      </c>
      <c r="G153" s="7">
        <v>0.56000000000000005</v>
      </c>
    </row>
    <row r="154" spans="1:7">
      <c r="A154" s="4" t="s">
        <v>88</v>
      </c>
      <c r="B154" s="4" t="s">
        <v>89</v>
      </c>
      <c r="C154" s="4" t="s">
        <v>2975</v>
      </c>
      <c r="D154" s="4" t="s">
        <v>936</v>
      </c>
      <c r="E154" s="6">
        <v>43858</v>
      </c>
      <c r="F154" s="7">
        <v>30</v>
      </c>
      <c r="G154" s="7">
        <v>0.82</v>
      </c>
    </row>
    <row r="155" spans="1:7">
      <c r="A155" s="4" t="s">
        <v>88</v>
      </c>
      <c r="B155" s="4" t="s">
        <v>89</v>
      </c>
      <c r="C155" s="4" t="s">
        <v>2975</v>
      </c>
      <c r="D155" s="4" t="s">
        <v>940</v>
      </c>
      <c r="E155" s="6">
        <v>43858</v>
      </c>
      <c r="F155" s="7">
        <v>20</v>
      </c>
      <c r="G155" s="7">
        <v>1.1400000000000001</v>
      </c>
    </row>
    <row r="156" spans="1:7">
      <c r="A156" s="4" t="s">
        <v>88</v>
      </c>
      <c r="B156" s="4" t="s">
        <v>89</v>
      </c>
      <c r="C156" s="4" t="s">
        <v>2975</v>
      </c>
      <c r="D156" s="4" t="s">
        <v>942</v>
      </c>
      <c r="E156" s="6">
        <v>43858</v>
      </c>
      <c r="F156" s="7">
        <v>15</v>
      </c>
      <c r="G156" s="7">
        <v>1.7899999999999998</v>
      </c>
    </row>
    <row r="157" spans="1:7">
      <c r="A157" s="4" t="s">
        <v>88</v>
      </c>
      <c r="B157" s="4" t="s">
        <v>89</v>
      </c>
      <c r="C157" s="4" t="s">
        <v>2975</v>
      </c>
      <c r="D157" s="4" t="s">
        <v>979</v>
      </c>
      <c r="E157" s="6">
        <v>43858</v>
      </c>
      <c r="F157" s="7">
        <v>15</v>
      </c>
      <c r="G157" s="7">
        <v>2.15</v>
      </c>
    </row>
    <row r="158" spans="1:7">
      <c r="A158" s="4" t="s">
        <v>88</v>
      </c>
      <c r="B158" s="4" t="s">
        <v>89</v>
      </c>
      <c r="C158" s="4" t="s">
        <v>2975</v>
      </c>
      <c r="D158" s="4" t="s">
        <v>1005</v>
      </c>
      <c r="E158" s="6">
        <v>43858</v>
      </c>
      <c r="F158" s="7">
        <v>10</v>
      </c>
      <c r="G158" s="7">
        <v>1.3199999999999998</v>
      </c>
    </row>
    <row r="159" spans="1:7">
      <c r="A159" s="4" t="s">
        <v>88</v>
      </c>
      <c r="B159" s="4" t="s">
        <v>89</v>
      </c>
      <c r="C159" s="4" t="s">
        <v>2975</v>
      </c>
      <c r="D159" s="4" t="s">
        <v>1026</v>
      </c>
      <c r="E159" s="6">
        <v>43858</v>
      </c>
      <c r="F159" s="7">
        <v>10</v>
      </c>
      <c r="G159" s="7">
        <v>0.9</v>
      </c>
    </row>
    <row r="160" spans="1:7">
      <c r="A160" s="4" t="s">
        <v>88</v>
      </c>
      <c r="B160" s="4" t="s">
        <v>89</v>
      </c>
      <c r="C160" s="4" t="s">
        <v>2975</v>
      </c>
      <c r="D160" s="4" t="s">
        <v>1028</v>
      </c>
      <c r="E160" s="6">
        <v>43858</v>
      </c>
      <c r="F160" s="7">
        <v>15</v>
      </c>
      <c r="G160" s="7">
        <v>1.8</v>
      </c>
    </row>
    <row r="161" spans="1:7">
      <c r="A161" s="4" t="s">
        <v>88</v>
      </c>
      <c r="B161" s="4" t="s">
        <v>89</v>
      </c>
      <c r="C161" s="4" t="s">
        <v>2975</v>
      </c>
      <c r="D161" s="4" t="s">
        <v>1030</v>
      </c>
      <c r="E161" s="6">
        <v>43858</v>
      </c>
      <c r="F161" s="7">
        <v>5</v>
      </c>
      <c r="G161" s="7">
        <v>3.2</v>
      </c>
    </row>
    <row r="162" spans="1:7">
      <c r="A162" s="4" t="s">
        <v>88</v>
      </c>
      <c r="B162" s="4" t="s">
        <v>89</v>
      </c>
      <c r="C162" s="4" t="s">
        <v>2975</v>
      </c>
      <c r="D162" s="4" t="s">
        <v>1032</v>
      </c>
      <c r="E162" s="6">
        <v>43858</v>
      </c>
      <c r="F162" s="7">
        <v>5</v>
      </c>
      <c r="G162" s="7">
        <v>4.0600000000000005</v>
      </c>
    </row>
    <row r="163" spans="1:7">
      <c r="A163" s="4" t="s">
        <v>88</v>
      </c>
      <c r="B163" s="4" t="s">
        <v>89</v>
      </c>
      <c r="C163" s="4" t="s">
        <v>2975</v>
      </c>
      <c r="D163" s="4" t="s">
        <v>784</v>
      </c>
      <c r="E163" s="6">
        <v>43858</v>
      </c>
      <c r="F163" s="7">
        <v>1</v>
      </c>
      <c r="G163" s="7">
        <v>0</v>
      </c>
    </row>
    <row r="164" spans="1:7">
      <c r="A164" s="4" t="s">
        <v>73</v>
      </c>
      <c r="B164" s="4" t="s">
        <v>74</v>
      </c>
      <c r="C164" s="4" t="s">
        <v>2976</v>
      </c>
      <c r="D164" s="4" t="s">
        <v>1035</v>
      </c>
      <c r="E164" s="6">
        <v>43854</v>
      </c>
      <c r="F164" s="7">
        <v>300</v>
      </c>
      <c r="G164" s="7">
        <v>1.1000000000000001</v>
      </c>
    </row>
    <row r="165" spans="1:7">
      <c r="A165" s="4" t="s">
        <v>73</v>
      </c>
      <c r="B165" s="4" t="s">
        <v>74</v>
      </c>
      <c r="C165" s="4" t="s">
        <v>2976</v>
      </c>
      <c r="D165" s="4" t="s">
        <v>840</v>
      </c>
      <c r="E165" s="6">
        <v>43854</v>
      </c>
      <c r="F165" s="7">
        <v>1</v>
      </c>
      <c r="G165" s="7">
        <v>65</v>
      </c>
    </row>
    <row r="166" spans="1:7">
      <c r="A166" s="4" t="s">
        <v>73</v>
      </c>
      <c r="B166" s="4" t="s">
        <v>74</v>
      </c>
      <c r="C166" s="4" t="s">
        <v>2976</v>
      </c>
      <c r="D166" s="4" t="s">
        <v>784</v>
      </c>
      <c r="E166" s="6">
        <v>43854</v>
      </c>
      <c r="F166" s="7">
        <v>1</v>
      </c>
      <c r="G166" s="7">
        <v>0</v>
      </c>
    </row>
    <row r="167" spans="1:7">
      <c r="A167" s="4" t="s">
        <v>56</v>
      </c>
      <c r="B167" s="4" t="s">
        <v>57</v>
      </c>
      <c r="C167" s="4" t="s">
        <v>2977</v>
      </c>
      <c r="D167" s="4" t="s">
        <v>964</v>
      </c>
      <c r="E167" s="6">
        <v>43851</v>
      </c>
      <c r="F167" s="7">
        <v>50</v>
      </c>
      <c r="G167" s="7">
        <v>1.33</v>
      </c>
    </row>
    <row r="168" spans="1:7">
      <c r="A168" s="4" t="s">
        <v>56</v>
      </c>
      <c r="B168" s="4" t="s">
        <v>57</v>
      </c>
      <c r="C168" s="4" t="s">
        <v>2977</v>
      </c>
      <c r="D168" s="4" t="s">
        <v>1040</v>
      </c>
      <c r="E168" s="6">
        <v>43851</v>
      </c>
      <c r="F168" s="7">
        <v>50</v>
      </c>
      <c r="G168" s="7">
        <v>2.4300000000000002</v>
      </c>
    </row>
    <row r="169" spans="1:7">
      <c r="A169" s="4" t="s">
        <v>56</v>
      </c>
      <c r="B169" s="4" t="s">
        <v>57</v>
      </c>
      <c r="C169" s="4" t="s">
        <v>2977</v>
      </c>
      <c r="D169" s="4" t="s">
        <v>1042</v>
      </c>
      <c r="E169" s="6">
        <v>43851</v>
      </c>
      <c r="F169" s="7">
        <v>50</v>
      </c>
      <c r="G169" s="7">
        <v>7.5900000000000007</v>
      </c>
    </row>
    <row r="170" spans="1:7">
      <c r="A170" s="4" t="s">
        <v>56</v>
      </c>
      <c r="B170" s="4" t="s">
        <v>57</v>
      </c>
      <c r="C170" s="4" t="s">
        <v>2977</v>
      </c>
      <c r="D170" s="4" t="s">
        <v>1044</v>
      </c>
      <c r="E170" s="6">
        <v>43851</v>
      </c>
      <c r="F170" s="7">
        <v>250</v>
      </c>
      <c r="G170" s="7">
        <v>7.5900000000000007</v>
      </c>
    </row>
    <row r="171" spans="1:7">
      <c r="A171" s="4" t="s">
        <v>56</v>
      </c>
      <c r="B171" s="4" t="s">
        <v>57</v>
      </c>
      <c r="C171" s="4" t="s">
        <v>2977</v>
      </c>
      <c r="D171" s="4" t="s">
        <v>784</v>
      </c>
      <c r="E171" s="6">
        <v>43851</v>
      </c>
      <c r="F171" s="7">
        <v>1</v>
      </c>
      <c r="G171" s="7">
        <v>0</v>
      </c>
    </row>
    <row r="172" spans="1:7">
      <c r="A172" s="4" t="s">
        <v>188</v>
      </c>
      <c r="B172" s="4" t="s">
        <v>189</v>
      </c>
      <c r="C172" s="4" t="s">
        <v>2978</v>
      </c>
      <c r="D172" s="4" t="s">
        <v>1047</v>
      </c>
      <c r="E172" s="6">
        <v>43882</v>
      </c>
      <c r="F172" s="7">
        <v>28000</v>
      </c>
      <c r="G172" s="7">
        <v>0.3</v>
      </c>
    </row>
    <row r="173" spans="1:7">
      <c r="A173" s="4" t="s">
        <v>188</v>
      </c>
      <c r="B173" s="4" t="s">
        <v>189</v>
      </c>
      <c r="C173" s="4" t="s">
        <v>2978</v>
      </c>
      <c r="D173" s="4" t="s">
        <v>1049</v>
      </c>
      <c r="E173" s="6">
        <v>43882</v>
      </c>
      <c r="F173" s="7">
        <v>1</v>
      </c>
      <c r="G173" s="7">
        <v>150</v>
      </c>
    </row>
    <row r="174" spans="1:7">
      <c r="A174" s="4" t="s">
        <v>188</v>
      </c>
      <c r="B174" s="4" t="s">
        <v>189</v>
      </c>
      <c r="C174" s="4" t="s">
        <v>2978</v>
      </c>
      <c r="D174" s="4" t="s">
        <v>784</v>
      </c>
      <c r="E174" s="6">
        <v>43882</v>
      </c>
      <c r="F174" s="7">
        <v>1</v>
      </c>
      <c r="G174" s="7">
        <v>0</v>
      </c>
    </row>
    <row r="175" spans="1:7">
      <c r="A175" s="4" t="s">
        <v>38</v>
      </c>
      <c r="B175" s="4" t="s">
        <v>159</v>
      </c>
      <c r="C175" s="4" t="s">
        <v>2979</v>
      </c>
      <c r="D175" s="4" t="s">
        <v>826</v>
      </c>
      <c r="E175" s="6">
        <v>43878</v>
      </c>
      <c r="F175" s="7">
        <v>1</v>
      </c>
      <c r="G175" s="7">
        <v>4107</v>
      </c>
    </row>
    <row r="176" spans="1:7">
      <c r="A176" s="4" t="s">
        <v>38</v>
      </c>
      <c r="B176" s="4" t="s">
        <v>159</v>
      </c>
      <c r="C176" s="4" t="s">
        <v>2979</v>
      </c>
      <c r="D176" s="4" t="s">
        <v>840</v>
      </c>
      <c r="E176" s="6">
        <v>43878</v>
      </c>
      <c r="F176" s="7">
        <v>1</v>
      </c>
      <c r="G176" s="7">
        <v>250</v>
      </c>
    </row>
    <row r="177" spans="1:7">
      <c r="A177" s="4" t="s">
        <v>38</v>
      </c>
      <c r="B177" s="4" t="s">
        <v>159</v>
      </c>
      <c r="C177" s="4" t="s">
        <v>2979</v>
      </c>
      <c r="D177" s="4" t="s">
        <v>784</v>
      </c>
      <c r="E177" s="6">
        <v>43878</v>
      </c>
      <c r="F177" s="7">
        <v>1</v>
      </c>
      <c r="G177" s="7">
        <v>0</v>
      </c>
    </row>
    <row r="178" spans="1:7">
      <c r="A178" s="4" t="s">
        <v>70</v>
      </c>
      <c r="B178" s="4" t="s">
        <v>71</v>
      </c>
      <c r="C178" s="4" t="s">
        <v>2980</v>
      </c>
      <c r="D178" s="4" t="s">
        <v>1055</v>
      </c>
      <c r="E178" s="6">
        <v>43854</v>
      </c>
      <c r="F178" s="7">
        <v>100</v>
      </c>
      <c r="G178" s="7">
        <v>0.85</v>
      </c>
    </row>
    <row r="179" spans="1:7">
      <c r="A179" s="4" t="s">
        <v>70</v>
      </c>
      <c r="B179" s="4" t="s">
        <v>71</v>
      </c>
      <c r="C179" s="4" t="s">
        <v>2980</v>
      </c>
      <c r="D179" s="4" t="s">
        <v>784</v>
      </c>
      <c r="E179" s="6">
        <v>43854</v>
      </c>
      <c r="F179" s="7">
        <v>1</v>
      </c>
      <c r="G179" s="7">
        <v>0</v>
      </c>
    </row>
    <row r="180" spans="1:7">
      <c r="A180" s="4" t="s">
        <v>46</v>
      </c>
      <c r="B180" s="4" t="s">
        <v>94</v>
      </c>
      <c r="C180" s="4" t="s">
        <v>2981</v>
      </c>
      <c r="D180" s="4" t="s">
        <v>817</v>
      </c>
      <c r="E180" s="6">
        <v>43858</v>
      </c>
      <c r="F180" s="7">
        <v>50</v>
      </c>
      <c r="G180" s="7">
        <v>1.52</v>
      </c>
    </row>
    <row r="181" spans="1:7">
      <c r="A181" s="4" t="s">
        <v>46</v>
      </c>
      <c r="B181" s="4" t="s">
        <v>94</v>
      </c>
      <c r="C181" s="4" t="s">
        <v>2981</v>
      </c>
      <c r="D181" s="4" t="s">
        <v>849</v>
      </c>
      <c r="E181" s="6">
        <v>43858</v>
      </c>
      <c r="F181" s="7">
        <v>50</v>
      </c>
      <c r="G181" s="7">
        <v>9.0299999999999994</v>
      </c>
    </row>
    <row r="182" spans="1:7">
      <c r="A182" s="4" t="s">
        <v>46</v>
      </c>
      <c r="B182" s="4" t="s">
        <v>94</v>
      </c>
      <c r="C182" s="4" t="s">
        <v>2981</v>
      </c>
      <c r="D182" s="4" t="s">
        <v>1060</v>
      </c>
      <c r="E182" s="6">
        <v>43858</v>
      </c>
      <c r="F182" s="7">
        <v>150</v>
      </c>
      <c r="G182" s="7">
        <v>0.88</v>
      </c>
    </row>
    <row r="183" spans="1:7">
      <c r="A183" s="4" t="s">
        <v>46</v>
      </c>
      <c r="B183" s="4" t="s">
        <v>94</v>
      </c>
      <c r="C183" s="4" t="s">
        <v>2981</v>
      </c>
      <c r="D183" s="4" t="s">
        <v>1015</v>
      </c>
      <c r="E183" s="6">
        <v>43858</v>
      </c>
      <c r="F183" s="7">
        <v>100</v>
      </c>
      <c r="G183" s="7">
        <v>1.25</v>
      </c>
    </row>
    <row r="184" spans="1:7">
      <c r="A184" s="4" t="s">
        <v>46</v>
      </c>
      <c r="B184" s="4" t="s">
        <v>94</v>
      </c>
      <c r="C184" s="4" t="s">
        <v>2981</v>
      </c>
      <c r="D184" s="4" t="s">
        <v>1063</v>
      </c>
      <c r="E184" s="6">
        <v>43858</v>
      </c>
      <c r="F184" s="7">
        <v>100</v>
      </c>
      <c r="G184" s="7">
        <v>0.98</v>
      </c>
    </row>
    <row r="185" spans="1:7">
      <c r="A185" s="4" t="s">
        <v>46</v>
      </c>
      <c r="B185" s="4" t="s">
        <v>94</v>
      </c>
      <c r="C185" s="4" t="s">
        <v>2981</v>
      </c>
      <c r="D185" s="4" t="s">
        <v>966</v>
      </c>
      <c r="E185" s="6">
        <v>43858</v>
      </c>
      <c r="F185" s="7">
        <v>50</v>
      </c>
      <c r="G185" s="7">
        <v>0.9</v>
      </c>
    </row>
    <row r="186" spans="1:7">
      <c r="A186" s="4" t="s">
        <v>46</v>
      </c>
      <c r="B186" s="4" t="s">
        <v>94</v>
      </c>
      <c r="C186" s="4" t="s">
        <v>2981</v>
      </c>
      <c r="D186" s="4" t="s">
        <v>889</v>
      </c>
      <c r="E186" s="6">
        <v>43858</v>
      </c>
      <c r="F186" s="7">
        <v>100</v>
      </c>
      <c r="G186" s="7">
        <v>0.72</v>
      </c>
    </row>
    <row r="187" spans="1:7">
      <c r="A187" s="4" t="s">
        <v>46</v>
      </c>
      <c r="B187" s="4" t="s">
        <v>94</v>
      </c>
      <c r="C187" s="4" t="s">
        <v>2981</v>
      </c>
      <c r="D187" s="4" t="s">
        <v>1005</v>
      </c>
      <c r="E187" s="6">
        <v>43858</v>
      </c>
      <c r="F187" s="7">
        <v>50</v>
      </c>
      <c r="G187" s="7">
        <v>1.23</v>
      </c>
    </row>
    <row r="188" spans="1:7">
      <c r="A188" s="4" t="s">
        <v>46</v>
      </c>
      <c r="B188" s="4" t="s">
        <v>94</v>
      </c>
      <c r="C188" s="4" t="s">
        <v>2981</v>
      </c>
      <c r="D188" s="4" t="s">
        <v>784</v>
      </c>
      <c r="E188" s="6">
        <v>43858</v>
      </c>
      <c r="F188" s="7">
        <v>1</v>
      </c>
      <c r="G188" s="7">
        <v>0</v>
      </c>
    </row>
    <row r="189" spans="1:7">
      <c r="A189" s="4" t="s">
        <v>56</v>
      </c>
      <c r="B189" s="4" t="s">
        <v>746</v>
      </c>
      <c r="C189" s="4" t="s">
        <v>2982</v>
      </c>
      <c r="D189" s="4" t="s">
        <v>964</v>
      </c>
      <c r="E189" s="6">
        <v>43857</v>
      </c>
      <c r="F189" s="7">
        <v>-50</v>
      </c>
      <c r="G189" s="7">
        <v>1.33</v>
      </c>
    </row>
    <row r="190" spans="1:7">
      <c r="A190" s="4" t="s">
        <v>56</v>
      </c>
      <c r="B190" s="4" t="s">
        <v>746</v>
      </c>
      <c r="C190" s="4" t="s">
        <v>2982</v>
      </c>
      <c r="D190" s="4" t="s">
        <v>1040</v>
      </c>
      <c r="E190" s="6">
        <v>43857</v>
      </c>
      <c r="F190" s="7">
        <v>-50</v>
      </c>
      <c r="G190" s="7">
        <v>2.4300000000000002</v>
      </c>
    </row>
    <row r="191" spans="1:7">
      <c r="A191" s="4" t="s">
        <v>56</v>
      </c>
      <c r="B191" s="4" t="s">
        <v>746</v>
      </c>
      <c r="C191" s="4" t="s">
        <v>2982</v>
      </c>
      <c r="D191" s="4" t="s">
        <v>1042</v>
      </c>
      <c r="E191" s="6">
        <v>43857</v>
      </c>
      <c r="F191" s="7">
        <v>-50</v>
      </c>
      <c r="G191" s="7">
        <v>7.5900000000000007</v>
      </c>
    </row>
    <row r="192" spans="1:7">
      <c r="A192" s="4" t="s">
        <v>56</v>
      </c>
      <c r="B192" s="4" t="s">
        <v>746</v>
      </c>
      <c r="C192" s="4" t="s">
        <v>2982</v>
      </c>
      <c r="D192" s="4" t="s">
        <v>1044</v>
      </c>
      <c r="E192" s="6">
        <v>43857</v>
      </c>
      <c r="F192" s="7">
        <v>-250</v>
      </c>
      <c r="G192" s="7">
        <v>7.5900000000000007</v>
      </c>
    </row>
    <row r="193" spans="1:7">
      <c r="A193" s="4" t="s">
        <v>56</v>
      </c>
      <c r="B193" s="4" t="s">
        <v>746</v>
      </c>
      <c r="C193" s="4" t="s">
        <v>2982</v>
      </c>
      <c r="D193" s="4" t="s">
        <v>784</v>
      </c>
      <c r="E193" s="6">
        <v>43857</v>
      </c>
      <c r="F193" s="7">
        <v>-1</v>
      </c>
      <c r="G193" s="7">
        <v>0</v>
      </c>
    </row>
    <row r="194" spans="1:7">
      <c r="A194" s="4" t="s">
        <v>56</v>
      </c>
      <c r="B194" s="4" t="s">
        <v>83</v>
      </c>
      <c r="C194" s="4" t="s">
        <v>2983</v>
      </c>
      <c r="D194" s="4" t="s">
        <v>964</v>
      </c>
      <c r="E194" s="6">
        <v>43851</v>
      </c>
      <c r="F194" s="7">
        <v>50</v>
      </c>
      <c r="G194" s="7">
        <v>1.33</v>
      </c>
    </row>
    <row r="195" spans="1:7">
      <c r="A195" s="4" t="s">
        <v>56</v>
      </c>
      <c r="B195" s="4" t="s">
        <v>83</v>
      </c>
      <c r="C195" s="4" t="s">
        <v>2983</v>
      </c>
      <c r="D195" s="4" t="s">
        <v>1040</v>
      </c>
      <c r="E195" s="6">
        <v>43851</v>
      </c>
      <c r="F195" s="7">
        <v>50</v>
      </c>
      <c r="G195" s="7">
        <v>2.4300000000000002</v>
      </c>
    </row>
    <row r="196" spans="1:7">
      <c r="A196" s="4" t="s">
        <v>56</v>
      </c>
      <c r="B196" s="4" t="s">
        <v>83</v>
      </c>
      <c r="C196" s="4" t="s">
        <v>2983</v>
      </c>
      <c r="D196" s="4" t="s">
        <v>1042</v>
      </c>
      <c r="E196" s="6">
        <v>43851</v>
      </c>
      <c r="F196" s="7">
        <v>50</v>
      </c>
      <c r="G196" s="7">
        <v>0.78</v>
      </c>
    </row>
    <row r="197" spans="1:7">
      <c r="A197" s="4" t="s">
        <v>56</v>
      </c>
      <c r="B197" s="4" t="s">
        <v>83</v>
      </c>
      <c r="C197" s="4" t="s">
        <v>2983</v>
      </c>
      <c r="D197" s="4" t="s">
        <v>1044</v>
      </c>
      <c r="E197" s="6">
        <v>43851</v>
      </c>
      <c r="F197" s="7">
        <v>250</v>
      </c>
      <c r="G197" s="7">
        <v>7.5900000000000007</v>
      </c>
    </row>
    <row r="198" spans="1:7">
      <c r="A198" s="4" t="s">
        <v>56</v>
      </c>
      <c r="B198" s="4" t="s">
        <v>83</v>
      </c>
      <c r="C198" s="4" t="s">
        <v>2983</v>
      </c>
      <c r="D198" s="4" t="s">
        <v>784</v>
      </c>
      <c r="E198" s="6">
        <v>43851</v>
      </c>
      <c r="F198" s="7">
        <v>1</v>
      </c>
      <c r="G198" s="7">
        <v>0</v>
      </c>
    </row>
    <row r="199" spans="1:7">
      <c r="A199" s="4" t="s">
        <v>70</v>
      </c>
      <c r="B199" s="4" t="s">
        <v>96</v>
      </c>
      <c r="C199" s="4" t="s">
        <v>2984</v>
      </c>
      <c r="D199" s="4" t="s">
        <v>1079</v>
      </c>
      <c r="E199" s="6">
        <v>43859</v>
      </c>
      <c r="F199" s="7">
        <v>20</v>
      </c>
      <c r="G199" s="7">
        <v>1.33</v>
      </c>
    </row>
    <row r="200" spans="1:7">
      <c r="A200" s="4" t="s">
        <v>70</v>
      </c>
      <c r="B200" s="4" t="s">
        <v>96</v>
      </c>
      <c r="C200" s="4" t="s">
        <v>2984</v>
      </c>
      <c r="D200" s="4" t="s">
        <v>840</v>
      </c>
      <c r="E200" s="6">
        <v>43859</v>
      </c>
      <c r="F200" s="7">
        <v>1</v>
      </c>
      <c r="G200" s="7">
        <v>45</v>
      </c>
    </row>
    <row r="201" spans="1:7">
      <c r="A201" s="4" t="s">
        <v>70</v>
      </c>
      <c r="B201" s="4" t="s">
        <v>96</v>
      </c>
      <c r="C201" s="4" t="s">
        <v>2984</v>
      </c>
      <c r="D201" s="4" t="s">
        <v>1082</v>
      </c>
      <c r="E201" s="6">
        <v>43859</v>
      </c>
      <c r="F201" s="7">
        <v>100</v>
      </c>
      <c r="G201" s="7">
        <v>1.33</v>
      </c>
    </row>
    <row r="202" spans="1:7">
      <c r="A202" s="4" t="s">
        <v>70</v>
      </c>
      <c r="B202" s="4" t="s">
        <v>96</v>
      </c>
      <c r="C202" s="4" t="s">
        <v>2984</v>
      </c>
      <c r="D202" s="4" t="s">
        <v>840</v>
      </c>
      <c r="E202" s="6">
        <v>43859</v>
      </c>
      <c r="F202" s="7">
        <v>1</v>
      </c>
      <c r="G202" s="7">
        <v>45</v>
      </c>
    </row>
    <row r="203" spans="1:7">
      <c r="A203" s="4" t="s">
        <v>70</v>
      </c>
      <c r="B203" s="4" t="s">
        <v>96</v>
      </c>
      <c r="C203" s="4" t="s">
        <v>2984</v>
      </c>
      <c r="D203" s="4" t="s">
        <v>784</v>
      </c>
      <c r="E203" s="6">
        <v>43859</v>
      </c>
      <c r="F203" s="7">
        <v>1</v>
      </c>
      <c r="G203" s="7">
        <v>0</v>
      </c>
    </row>
    <row r="204" spans="1:7">
      <c r="A204" s="4" t="s">
        <v>65</v>
      </c>
      <c r="B204" s="4" t="s">
        <v>157</v>
      </c>
      <c r="C204" s="4" t="s">
        <v>2985</v>
      </c>
      <c r="D204" s="4" t="s">
        <v>1086</v>
      </c>
      <c r="E204" s="6">
        <v>43875</v>
      </c>
      <c r="F204" s="7">
        <v>800</v>
      </c>
      <c r="G204" s="7">
        <v>1.28</v>
      </c>
    </row>
    <row r="205" spans="1:7">
      <c r="A205" s="4" t="s">
        <v>120</v>
      </c>
      <c r="B205" s="4" t="s">
        <v>121</v>
      </c>
      <c r="C205" s="4" t="s">
        <v>2986</v>
      </c>
      <c r="D205" s="4" t="s">
        <v>1088</v>
      </c>
      <c r="E205" s="6">
        <v>43868</v>
      </c>
      <c r="F205" s="7">
        <v>1000</v>
      </c>
      <c r="G205" s="7">
        <v>0.54</v>
      </c>
    </row>
    <row r="206" spans="1:7">
      <c r="A206" s="4" t="s">
        <v>120</v>
      </c>
      <c r="B206" s="4" t="s">
        <v>121</v>
      </c>
      <c r="C206" s="4" t="s">
        <v>2986</v>
      </c>
      <c r="D206" s="4" t="s">
        <v>1090</v>
      </c>
      <c r="E206" s="6">
        <v>43868</v>
      </c>
      <c r="F206" s="7">
        <v>1000</v>
      </c>
      <c r="G206" s="7">
        <v>0.78</v>
      </c>
    </row>
    <row r="207" spans="1:7">
      <c r="A207" s="4" t="s">
        <v>120</v>
      </c>
      <c r="B207" s="4" t="s">
        <v>121</v>
      </c>
      <c r="C207" s="4" t="s">
        <v>2986</v>
      </c>
      <c r="D207" s="4" t="s">
        <v>840</v>
      </c>
      <c r="E207" s="6">
        <v>43868</v>
      </c>
      <c r="F207" s="7">
        <v>1</v>
      </c>
      <c r="G207" s="7">
        <v>100</v>
      </c>
    </row>
    <row r="208" spans="1:7">
      <c r="A208" s="4" t="s">
        <v>120</v>
      </c>
      <c r="B208" s="4" t="s">
        <v>121</v>
      </c>
      <c r="C208" s="4" t="s">
        <v>2986</v>
      </c>
      <c r="D208" s="4" t="s">
        <v>784</v>
      </c>
      <c r="E208" s="6">
        <v>43868</v>
      </c>
      <c r="F208" s="7">
        <v>1</v>
      </c>
      <c r="G208" s="7">
        <v>0</v>
      </c>
    </row>
    <row r="209" spans="1:7">
      <c r="A209" s="4" t="s">
        <v>85</v>
      </c>
      <c r="B209" s="4" t="s">
        <v>86</v>
      </c>
      <c r="C209" s="4" t="s">
        <v>2987</v>
      </c>
      <c r="D209" s="4" t="s">
        <v>1094</v>
      </c>
      <c r="E209" s="6">
        <v>43858</v>
      </c>
      <c r="F209" s="7">
        <v>6</v>
      </c>
      <c r="G209" s="7">
        <v>5</v>
      </c>
    </row>
    <row r="210" spans="1:7">
      <c r="A210" s="4" t="s">
        <v>24</v>
      </c>
      <c r="B210" s="4" t="s">
        <v>143</v>
      </c>
      <c r="C210" s="4" t="s">
        <v>2988</v>
      </c>
      <c r="D210" s="4" t="s">
        <v>1096</v>
      </c>
      <c r="E210" s="6">
        <v>43873</v>
      </c>
      <c r="F210" s="7">
        <v>100</v>
      </c>
      <c r="G210" s="7">
        <v>2.84</v>
      </c>
    </row>
    <row r="211" spans="1:7">
      <c r="A211" s="4" t="s">
        <v>24</v>
      </c>
      <c r="B211" s="4" t="s">
        <v>143</v>
      </c>
      <c r="C211" s="4" t="s">
        <v>2988</v>
      </c>
      <c r="D211" s="4" t="s">
        <v>959</v>
      </c>
      <c r="E211" s="6">
        <v>43873</v>
      </c>
      <c r="F211" s="7">
        <v>60</v>
      </c>
      <c r="G211" s="7">
        <v>2.04</v>
      </c>
    </row>
    <row r="212" spans="1:7">
      <c r="A212" s="4" t="s">
        <v>24</v>
      </c>
      <c r="B212" s="4" t="s">
        <v>143</v>
      </c>
      <c r="C212" s="4" t="s">
        <v>2988</v>
      </c>
      <c r="D212" s="4" t="s">
        <v>817</v>
      </c>
      <c r="E212" s="6">
        <v>43873</v>
      </c>
      <c r="F212" s="7">
        <v>240</v>
      </c>
      <c r="G212" s="7">
        <v>1.64</v>
      </c>
    </row>
    <row r="213" spans="1:7">
      <c r="A213" s="4" t="s">
        <v>24</v>
      </c>
      <c r="B213" s="4" t="s">
        <v>143</v>
      </c>
      <c r="C213" s="4" t="s">
        <v>2988</v>
      </c>
      <c r="D213" s="4" t="s">
        <v>813</v>
      </c>
      <c r="E213" s="6">
        <v>43873</v>
      </c>
      <c r="F213" s="7">
        <v>90</v>
      </c>
      <c r="G213" s="7">
        <v>2.29</v>
      </c>
    </row>
    <row r="214" spans="1:7">
      <c r="A214" s="4" t="s">
        <v>24</v>
      </c>
      <c r="B214" s="4" t="s">
        <v>143</v>
      </c>
      <c r="C214" s="4" t="s">
        <v>2988</v>
      </c>
      <c r="D214" s="4" t="s">
        <v>821</v>
      </c>
      <c r="E214" s="6">
        <v>43873</v>
      </c>
      <c r="F214" s="7">
        <v>10</v>
      </c>
      <c r="G214" s="7">
        <v>4.13</v>
      </c>
    </row>
    <row r="215" spans="1:7">
      <c r="A215" s="4" t="s">
        <v>24</v>
      </c>
      <c r="B215" s="4" t="s">
        <v>143</v>
      </c>
      <c r="C215" s="4" t="s">
        <v>2988</v>
      </c>
      <c r="D215" s="4" t="s">
        <v>1102</v>
      </c>
      <c r="E215" s="6">
        <v>43873</v>
      </c>
      <c r="F215" s="7">
        <v>25</v>
      </c>
      <c r="G215" s="7">
        <v>10.82</v>
      </c>
    </row>
    <row r="216" spans="1:7">
      <c r="A216" s="4" t="s">
        <v>24</v>
      </c>
      <c r="B216" s="4" t="s">
        <v>143</v>
      </c>
      <c r="C216" s="4" t="s">
        <v>2988</v>
      </c>
      <c r="D216" s="4" t="s">
        <v>1104</v>
      </c>
      <c r="E216" s="6">
        <v>43873</v>
      </c>
      <c r="F216" s="7">
        <v>150</v>
      </c>
      <c r="G216" s="7">
        <v>2.12</v>
      </c>
    </row>
    <row r="217" spans="1:7">
      <c r="A217" s="4" t="s">
        <v>24</v>
      </c>
      <c r="B217" s="4" t="s">
        <v>143</v>
      </c>
      <c r="C217" s="4" t="s">
        <v>2988</v>
      </c>
      <c r="D217" s="4" t="s">
        <v>1106</v>
      </c>
      <c r="E217" s="6">
        <v>43873</v>
      </c>
      <c r="F217" s="7">
        <v>370</v>
      </c>
      <c r="G217" s="7">
        <v>1.7899999999999998</v>
      </c>
    </row>
    <row r="218" spans="1:7">
      <c r="A218" s="4" t="s">
        <v>24</v>
      </c>
      <c r="B218" s="4" t="s">
        <v>143</v>
      </c>
      <c r="C218" s="4" t="s">
        <v>2988</v>
      </c>
      <c r="D218" s="4" t="s">
        <v>815</v>
      </c>
      <c r="E218" s="6">
        <v>43873</v>
      </c>
      <c r="F218" s="7">
        <v>360</v>
      </c>
      <c r="G218" s="7">
        <v>3.6100000000000003</v>
      </c>
    </row>
    <row r="219" spans="1:7">
      <c r="A219" s="4" t="s">
        <v>24</v>
      </c>
      <c r="B219" s="4" t="s">
        <v>143</v>
      </c>
      <c r="C219" s="4" t="s">
        <v>2988</v>
      </c>
      <c r="D219" s="4" t="s">
        <v>1109</v>
      </c>
      <c r="E219" s="6">
        <v>43873</v>
      </c>
      <c r="F219" s="7">
        <v>60</v>
      </c>
      <c r="G219" s="7">
        <v>4.2799999999999994</v>
      </c>
    </row>
    <row r="220" spans="1:7">
      <c r="A220" s="4" t="s">
        <v>24</v>
      </c>
      <c r="B220" s="4" t="s">
        <v>143</v>
      </c>
      <c r="C220" s="4" t="s">
        <v>2988</v>
      </c>
      <c r="D220" s="4" t="s">
        <v>823</v>
      </c>
      <c r="E220" s="6">
        <v>43873</v>
      </c>
      <c r="F220" s="7">
        <v>75</v>
      </c>
      <c r="G220" s="7">
        <v>5.92</v>
      </c>
    </row>
    <row r="221" spans="1:7">
      <c r="A221" s="4" t="s">
        <v>24</v>
      </c>
      <c r="B221" s="4" t="s">
        <v>143</v>
      </c>
      <c r="C221" s="4" t="s">
        <v>2988</v>
      </c>
      <c r="D221" s="4" t="s">
        <v>885</v>
      </c>
      <c r="E221" s="6">
        <v>43873</v>
      </c>
      <c r="F221" s="7">
        <v>90</v>
      </c>
      <c r="G221" s="7">
        <v>6.4</v>
      </c>
    </row>
    <row r="222" spans="1:7">
      <c r="A222" s="4" t="s">
        <v>24</v>
      </c>
      <c r="B222" s="4" t="s">
        <v>143</v>
      </c>
      <c r="C222" s="4" t="s">
        <v>2988</v>
      </c>
      <c r="D222" s="4" t="s">
        <v>1113</v>
      </c>
      <c r="E222" s="6">
        <v>43873</v>
      </c>
      <c r="F222" s="7">
        <v>350</v>
      </c>
      <c r="G222" s="7">
        <v>8.16</v>
      </c>
    </row>
    <row r="223" spans="1:7">
      <c r="A223" s="4" t="s">
        <v>24</v>
      </c>
      <c r="B223" s="4" t="s">
        <v>143</v>
      </c>
      <c r="C223" s="4" t="s">
        <v>2988</v>
      </c>
      <c r="D223" s="4" t="s">
        <v>784</v>
      </c>
      <c r="E223" s="6">
        <v>43873</v>
      </c>
      <c r="F223" s="7">
        <v>1</v>
      </c>
      <c r="G223" s="7">
        <v>0</v>
      </c>
    </row>
    <row r="224" spans="1:7">
      <c r="A224" s="4" t="s">
        <v>126</v>
      </c>
      <c r="B224" s="4" t="s">
        <v>127</v>
      </c>
      <c r="C224" s="4" t="s">
        <v>2989</v>
      </c>
      <c r="D224" s="4" t="s">
        <v>851</v>
      </c>
      <c r="E224" s="6">
        <v>43868</v>
      </c>
      <c r="F224" s="7">
        <v>25</v>
      </c>
      <c r="G224" s="7">
        <v>2.06</v>
      </c>
    </row>
    <row r="225" spans="1:7">
      <c r="A225" s="4" t="s">
        <v>126</v>
      </c>
      <c r="B225" s="4" t="s">
        <v>127</v>
      </c>
      <c r="C225" s="4" t="s">
        <v>2989</v>
      </c>
      <c r="D225" s="4" t="s">
        <v>821</v>
      </c>
      <c r="E225" s="6">
        <v>43868</v>
      </c>
      <c r="F225" s="7">
        <v>10</v>
      </c>
      <c r="G225" s="7">
        <v>3.84</v>
      </c>
    </row>
    <row r="226" spans="1:7">
      <c r="A226" s="4" t="s">
        <v>126</v>
      </c>
      <c r="B226" s="4" t="s">
        <v>127</v>
      </c>
      <c r="C226" s="4" t="s">
        <v>2989</v>
      </c>
      <c r="D226" s="4" t="s">
        <v>887</v>
      </c>
      <c r="E226" s="6">
        <v>43868</v>
      </c>
      <c r="F226" s="7">
        <v>100</v>
      </c>
      <c r="G226" s="7">
        <v>0.57999999999999996</v>
      </c>
    </row>
    <row r="227" spans="1:7">
      <c r="A227" s="4" t="s">
        <v>126</v>
      </c>
      <c r="B227" s="4" t="s">
        <v>127</v>
      </c>
      <c r="C227" s="4" t="s">
        <v>2989</v>
      </c>
      <c r="D227" s="4" t="s">
        <v>883</v>
      </c>
      <c r="E227" s="6">
        <v>43868</v>
      </c>
      <c r="F227" s="7">
        <v>50</v>
      </c>
      <c r="G227" s="7">
        <v>1.35</v>
      </c>
    </row>
    <row r="228" spans="1:7">
      <c r="A228" s="4" t="s">
        <v>126</v>
      </c>
      <c r="B228" s="4" t="s">
        <v>127</v>
      </c>
      <c r="C228" s="4" t="s">
        <v>2989</v>
      </c>
      <c r="D228" s="4" t="s">
        <v>784</v>
      </c>
      <c r="E228" s="6">
        <v>43868</v>
      </c>
      <c r="F228" s="7">
        <v>1</v>
      </c>
      <c r="G228" s="7">
        <v>0</v>
      </c>
    </row>
    <row r="229" spans="1:7">
      <c r="A229" s="4" t="s">
        <v>35</v>
      </c>
      <c r="B229" s="4" t="s">
        <v>258</v>
      </c>
      <c r="C229" s="4" t="s">
        <v>2990</v>
      </c>
      <c r="D229" s="4" t="s">
        <v>1116</v>
      </c>
      <c r="E229" s="6">
        <v>43907</v>
      </c>
      <c r="F229" s="7">
        <v>500</v>
      </c>
      <c r="G229" s="7">
        <v>11.33</v>
      </c>
    </row>
    <row r="230" spans="1:7">
      <c r="A230" s="4" t="s">
        <v>35</v>
      </c>
      <c r="B230" s="4" t="s">
        <v>258</v>
      </c>
      <c r="C230" s="4" t="s">
        <v>2990</v>
      </c>
      <c r="D230" s="4" t="s">
        <v>791</v>
      </c>
      <c r="E230" s="6">
        <v>43907</v>
      </c>
      <c r="F230" s="7">
        <v>100</v>
      </c>
      <c r="G230" s="7">
        <v>12.97</v>
      </c>
    </row>
    <row r="231" spans="1:7">
      <c r="A231" s="4" t="s">
        <v>35</v>
      </c>
      <c r="B231" s="4" t="s">
        <v>258</v>
      </c>
      <c r="C231" s="4" t="s">
        <v>2990</v>
      </c>
      <c r="D231" s="4" t="s">
        <v>797</v>
      </c>
      <c r="E231" s="6">
        <v>43907</v>
      </c>
      <c r="F231" s="7">
        <v>650</v>
      </c>
      <c r="G231" s="7">
        <v>13.78</v>
      </c>
    </row>
    <row r="232" spans="1:7">
      <c r="A232" s="4" t="s">
        <v>35</v>
      </c>
      <c r="B232" s="4" t="s">
        <v>258</v>
      </c>
      <c r="C232" s="4" t="s">
        <v>2990</v>
      </c>
      <c r="D232" s="4" t="s">
        <v>793</v>
      </c>
      <c r="E232" s="6">
        <v>43907</v>
      </c>
      <c r="F232" s="7">
        <v>200</v>
      </c>
      <c r="G232" s="7">
        <v>14.61</v>
      </c>
    </row>
    <row r="233" spans="1:7">
      <c r="A233" s="4" t="s">
        <v>35</v>
      </c>
      <c r="B233" s="4" t="s">
        <v>258</v>
      </c>
      <c r="C233" s="4" t="s">
        <v>2990</v>
      </c>
      <c r="D233" s="4" t="s">
        <v>789</v>
      </c>
      <c r="E233" s="6">
        <v>43907</v>
      </c>
      <c r="F233" s="7">
        <v>697</v>
      </c>
      <c r="G233" s="7">
        <v>7.6400000000000006</v>
      </c>
    </row>
    <row r="234" spans="1:7">
      <c r="A234" s="4" t="s">
        <v>35</v>
      </c>
      <c r="B234" s="4" t="s">
        <v>258</v>
      </c>
      <c r="C234" s="4" t="s">
        <v>2990</v>
      </c>
      <c r="D234" s="4" t="s">
        <v>795</v>
      </c>
      <c r="E234" s="6">
        <v>43907</v>
      </c>
      <c r="F234" s="7">
        <v>600</v>
      </c>
      <c r="G234" s="7">
        <v>8.870000000000001</v>
      </c>
    </row>
    <row r="235" spans="1:7">
      <c r="A235" s="4" t="s">
        <v>101</v>
      </c>
      <c r="B235" s="4" t="s">
        <v>102</v>
      </c>
      <c r="C235" s="4" t="s">
        <v>2991</v>
      </c>
      <c r="D235" s="4" t="s">
        <v>942</v>
      </c>
      <c r="E235" s="6">
        <v>43861</v>
      </c>
      <c r="F235" s="7">
        <v>20</v>
      </c>
      <c r="G235" s="7">
        <v>3.2</v>
      </c>
    </row>
    <row r="236" spans="1:7">
      <c r="A236" s="4" t="s">
        <v>101</v>
      </c>
      <c r="B236" s="4" t="s">
        <v>102</v>
      </c>
      <c r="C236" s="4" t="s">
        <v>2991</v>
      </c>
      <c r="D236" s="4" t="s">
        <v>979</v>
      </c>
      <c r="E236" s="6">
        <v>43861</v>
      </c>
      <c r="F236" s="7">
        <v>10</v>
      </c>
      <c r="G236" s="7">
        <v>3.84</v>
      </c>
    </row>
    <row r="237" spans="1:7">
      <c r="A237" s="4" t="s">
        <v>101</v>
      </c>
      <c r="B237" s="4" t="s">
        <v>102</v>
      </c>
      <c r="C237" s="4" t="s">
        <v>2991</v>
      </c>
      <c r="D237" s="4" t="s">
        <v>1126</v>
      </c>
      <c r="E237" s="6">
        <v>43861</v>
      </c>
      <c r="F237" s="7">
        <v>10</v>
      </c>
      <c r="G237" s="7">
        <v>6.2200000000000006</v>
      </c>
    </row>
    <row r="238" spans="1:7">
      <c r="A238" s="4" t="s">
        <v>101</v>
      </c>
      <c r="B238" s="4" t="s">
        <v>102</v>
      </c>
      <c r="C238" s="4" t="s">
        <v>2991</v>
      </c>
      <c r="D238" s="4" t="s">
        <v>784</v>
      </c>
      <c r="E238" s="6">
        <v>43861</v>
      </c>
      <c r="F238" s="7">
        <v>1</v>
      </c>
      <c r="G238" s="7">
        <v>0</v>
      </c>
    </row>
    <row r="239" spans="1:7">
      <c r="A239" s="4" t="s">
        <v>32</v>
      </c>
      <c r="B239" s="4" t="s">
        <v>104</v>
      </c>
      <c r="C239" s="4" t="s">
        <v>2992</v>
      </c>
      <c r="D239" s="4" t="s">
        <v>1129</v>
      </c>
      <c r="E239" s="6">
        <v>43861</v>
      </c>
      <c r="F239" s="7">
        <v>100</v>
      </c>
      <c r="G239" s="7">
        <v>0.31</v>
      </c>
    </row>
    <row r="240" spans="1:7">
      <c r="A240" s="4" t="s">
        <v>32</v>
      </c>
      <c r="B240" s="4" t="s">
        <v>104</v>
      </c>
      <c r="C240" s="4" t="s">
        <v>2992</v>
      </c>
      <c r="D240" s="4" t="s">
        <v>1131</v>
      </c>
      <c r="E240" s="6">
        <v>43861</v>
      </c>
      <c r="F240" s="7">
        <v>200</v>
      </c>
      <c r="G240" s="7">
        <v>0.19</v>
      </c>
    </row>
    <row r="241" spans="1:7">
      <c r="A241" s="4" t="s">
        <v>32</v>
      </c>
      <c r="B241" s="4" t="s">
        <v>104</v>
      </c>
      <c r="C241" s="4" t="s">
        <v>2992</v>
      </c>
      <c r="D241" s="4" t="s">
        <v>1133</v>
      </c>
      <c r="E241" s="6">
        <v>43861</v>
      </c>
      <c r="F241" s="7">
        <v>100</v>
      </c>
      <c r="G241" s="7">
        <v>0.23</v>
      </c>
    </row>
    <row r="242" spans="1:7">
      <c r="A242" s="4" t="s">
        <v>32</v>
      </c>
      <c r="B242" s="4" t="s">
        <v>104</v>
      </c>
      <c r="C242" s="4" t="s">
        <v>2992</v>
      </c>
      <c r="D242" s="4" t="s">
        <v>1135</v>
      </c>
      <c r="E242" s="6">
        <v>43861</v>
      </c>
      <c r="F242" s="7">
        <v>200</v>
      </c>
      <c r="G242" s="7">
        <v>0.87</v>
      </c>
    </row>
    <row r="243" spans="1:7">
      <c r="A243" s="4" t="s">
        <v>32</v>
      </c>
      <c r="B243" s="4" t="s">
        <v>104</v>
      </c>
      <c r="C243" s="4" t="s">
        <v>2992</v>
      </c>
      <c r="D243" s="4" t="s">
        <v>1137</v>
      </c>
      <c r="E243" s="6">
        <v>43861</v>
      </c>
      <c r="F243" s="7">
        <v>100</v>
      </c>
      <c r="G243" s="7">
        <v>0.46</v>
      </c>
    </row>
    <row r="244" spans="1:7">
      <c r="A244" s="4" t="s">
        <v>32</v>
      </c>
      <c r="B244" s="4" t="s">
        <v>104</v>
      </c>
      <c r="C244" s="4" t="s">
        <v>2992</v>
      </c>
      <c r="D244" s="4" t="s">
        <v>1139</v>
      </c>
      <c r="E244" s="6">
        <v>43861</v>
      </c>
      <c r="F244" s="7">
        <v>100</v>
      </c>
      <c r="G244" s="7">
        <v>0.87</v>
      </c>
    </row>
    <row r="245" spans="1:7">
      <c r="A245" s="4" t="s">
        <v>32</v>
      </c>
      <c r="B245" s="4" t="s">
        <v>104</v>
      </c>
      <c r="C245" s="4" t="s">
        <v>2992</v>
      </c>
      <c r="D245" s="4" t="s">
        <v>1063</v>
      </c>
      <c r="E245" s="6">
        <v>43861</v>
      </c>
      <c r="F245" s="7">
        <v>15</v>
      </c>
      <c r="G245" s="7">
        <v>0.85</v>
      </c>
    </row>
    <row r="246" spans="1:7">
      <c r="A246" s="4" t="s">
        <v>32</v>
      </c>
      <c r="B246" s="4" t="s">
        <v>104</v>
      </c>
      <c r="C246" s="4" t="s">
        <v>2992</v>
      </c>
      <c r="D246" s="4" t="s">
        <v>987</v>
      </c>
      <c r="E246" s="6">
        <v>43861</v>
      </c>
      <c r="F246" s="7">
        <v>20</v>
      </c>
      <c r="G246" s="7">
        <v>0.85</v>
      </c>
    </row>
    <row r="247" spans="1:7">
      <c r="A247" s="4" t="s">
        <v>32</v>
      </c>
      <c r="B247" s="4" t="s">
        <v>104</v>
      </c>
      <c r="C247" s="4" t="s">
        <v>2992</v>
      </c>
      <c r="D247" s="4" t="s">
        <v>1143</v>
      </c>
      <c r="E247" s="6">
        <v>43861</v>
      </c>
      <c r="F247" s="7">
        <v>100</v>
      </c>
      <c r="G247" s="7">
        <v>0.54</v>
      </c>
    </row>
    <row r="248" spans="1:7">
      <c r="A248" s="4" t="s">
        <v>32</v>
      </c>
      <c r="B248" s="4" t="s">
        <v>104</v>
      </c>
      <c r="C248" s="4" t="s">
        <v>2992</v>
      </c>
      <c r="D248" s="4" t="s">
        <v>964</v>
      </c>
      <c r="E248" s="6">
        <v>43861</v>
      </c>
      <c r="F248" s="7">
        <v>50</v>
      </c>
      <c r="G248" s="7">
        <v>1.0699999999999998</v>
      </c>
    </row>
    <row r="249" spans="1:7">
      <c r="A249" s="4" t="s">
        <v>32</v>
      </c>
      <c r="B249" s="4" t="s">
        <v>104</v>
      </c>
      <c r="C249" s="4" t="s">
        <v>2992</v>
      </c>
      <c r="D249" s="4" t="s">
        <v>1146</v>
      </c>
      <c r="E249" s="6">
        <v>43861</v>
      </c>
      <c r="F249" s="7">
        <v>25</v>
      </c>
      <c r="G249" s="7">
        <v>1.2</v>
      </c>
    </row>
    <row r="250" spans="1:7">
      <c r="A250" s="4" t="s">
        <v>32</v>
      </c>
      <c r="B250" s="4" t="s">
        <v>104</v>
      </c>
      <c r="C250" s="4" t="s">
        <v>2992</v>
      </c>
      <c r="D250" s="4" t="s">
        <v>851</v>
      </c>
      <c r="E250" s="6">
        <v>43861</v>
      </c>
      <c r="F250" s="7">
        <v>150</v>
      </c>
      <c r="G250" s="7">
        <v>1.78</v>
      </c>
    </row>
    <row r="251" spans="1:7">
      <c r="A251" s="4" t="s">
        <v>32</v>
      </c>
      <c r="B251" s="4" t="s">
        <v>104</v>
      </c>
      <c r="C251" s="4" t="s">
        <v>2992</v>
      </c>
      <c r="D251" s="4" t="s">
        <v>1149</v>
      </c>
      <c r="E251" s="6">
        <v>43861</v>
      </c>
      <c r="F251" s="7">
        <v>100</v>
      </c>
      <c r="G251" s="7">
        <v>0.95</v>
      </c>
    </row>
    <row r="252" spans="1:7">
      <c r="A252" s="4" t="s">
        <v>32</v>
      </c>
      <c r="B252" s="4" t="s">
        <v>104</v>
      </c>
      <c r="C252" s="4" t="s">
        <v>2992</v>
      </c>
      <c r="D252" s="4" t="s">
        <v>1151</v>
      </c>
      <c r="E252" s="6">
        <v>43861</v>
      </c>
      <c r="F252" s="7">
        <v>100</v>
      </c>
      <c r="G252" s="7">
        <v>1.19</v>
      </c>
    </row>
    <row r="253" spans="1:7">
      <c r="A253" s="4" t="s">
        <v>32</v>
      </c>
      <c r="B253" s="4" t="s">
        <v>104</v>
      </c>
      <c r="C253" s="4" t="s">
        <v>2992</v>
      </c>
      <c r="D253" s="4" t="s">
        <v>853</v>
      </c>
      <c r="E253" s="6">
        <v>43861</v>
      </c>
      <c r="F253" s="7">
        <v>25</v>
      </c>
      <c r="G253" s="7">
        <v>2.38</v>
      </c>
    </row>
    <row r="254" spans="1:7">
      <c r="A254" s="4" t="s">
        <v>32</v>
      </c>
      <c r="B254" s="4" t="s">
        <v>104</v>
      </c>
      <c r="C254" s="4" t="s">
        <v>2992</v>
      </c>
      <c r="D254" s="4" t="s">
        <v>1154</v>
      </c>
      <c r="E254" s="6">
        <v>43861</v>
      </c>
      <c r="F254" s="7">
        <v>50</v>
      </c>
      <c r="G254" s="7">
        <v>1.29</v>
      </c>
    </row>
    <row r="255" spans="1:7">
      <c r="A255" s="4" t="s">
        <v>32</v>
      </c>
      <c r="B255" s="4" t="s">
        <v>104</v>
      </c>
      <c r="C255" s="4" t="s">
        <v>2992</v>
      </c>
      <c r="D255" s="4" t="s">
        <v>784</v>
      </c>
      <c r="E255" s="6">
        <v>43861</v>
      </c>
      <c r="F255" s="7">
        <v>1</v>
      </c>
      <c r="G255" s="7">
        <v>0</v>
      </c>
    </row>
    <row r="256" spans="1:7">
      <c r="A256" s="4" t="s">
        <v>91</v>
      </c>
      <c r="B256" s="4" t="s">
        <v>161</v>
      </c>
      <c r="C256" s="4" t="s">
        <v>2993</v>
      </c>
      <c r="D256" s="4" t="s">
        <v>1157</v>
      </c>
      <c r="E256" s="6">
        <v>43878</v>
      </c>
      <c r="F256" s="7">
        <v>10000</v>
      </c>
      <c r="G256" s="7">
        <v>0.13900000000000001</v>
      </c>
    </row>
    <row r="257" spans="1:7">
      <c r="A257" s="4" t="s">
        <v>91</v>
      </c>
      <c r="B257" s="4" t="s">
        <v>161</v>
      </c>
      <c r="C257" s="4" t="s">
        <v>2993</v>
      </c>
      <c r="D257" s="4" t="s">
        <v>784</v>
      </c>
      <c r="E257" s="6">
        <v>43878</v>
      </c>
      <c r="F257" s="7">
        <v>1</v>
      </c>
      <c r="G257" s="7">
        <v>0</v>
      </c>
    </row>
    <row r="258" spans="1:7">
      <c r="A258" s="4" t="s">
        <v>46</v>
      </c>
      <c r="B258" s="4" t="s">
        <v>110</v>
      </c>
      <c r="C258" s="4" t="s">
        <v>2994</v>
      </c>
      <c r="D258" s="4" t="s">
        <v>985</v>
      </c>
      <c r="E258" s="6">
        <v>43865</v>
      </c>
      <c r="F258" s="7">
        <v>100</v>
      </c>
      <c r="G258" s="7">
        <v>2.5100000000000002</v>
      </c>
    </row>
    <row r="259" spans="1:7">
      <c r="A259" s="4" t="s">
        <v>46</v>
      </c>
      <c r="B259" s="4" t="s">
        <v>110</v>
      </c>
      <c r="C259" s="4" t="s">
        <v>2994</v>
      </c>
      <c r="D259" s="4" t="s">
        <v>1161</v>
      </c>
      <c r="E259" s="6">
        <v>43865</v>
      </c>
      <c r="F259" s="7">
        <v>50</v>
      </c>
      <c r="G259" s="7">
        <v>5.0299999999999994</v>
      </c>
    </row>
    <row r="260" spans="1:7">
      <c r="A260" s="4" t="s">
        <v>46</v>
      </c>
      <c r="B260" s="4" t="s">
        <v>110</v>
      </c>
      <c r="C260" s="4" t="s">
        <v>2994</v>
      </c>
      <c r="D260" s="4" t="s">
        <v>987</v>
      </c>
      <c r="E260" s="6">
        <v>43865</v>
      </c>
      <c r="F260" s="7">
        <v>100</v>
      </c>
      <c r="G260" s="7">
        <v>0.98</v>
      </c>
    </row>
    <row r="261" spans="1:7">
      <c r="A261" s="4" t="s">
        <v>46</v>
      </c>
      <c r="B261" s="4" t="s">
        <v>110</v>
      </c>
      <c r="C261" s="4" t="s">
        <v>2994</v>
      </c>
      <c r="D261" s="4" t="s">
        <v>1146</v>
      </c>
      <c r="E261" s="6">
        <v>43865</v>
      </c>
      <c r="F261" s="7">
        <v>50</v>
      </c>
      <c r="G261" s="7">
        <v>1.3900000000000001</v>
      </c>
    </row>
    <row r="262" spans="1:7">
      <c r="A262" s="4" t="s">
        <v>46</v>
      </c>
      <c r="B262" s="4" t="s">
        <v>110</v>
      </c>
      <c r="C262" s="4" t="s">
        <v>2994</v>
      </c>
      <c r="D262" s="4" t="s">
        <v>1165</v>
      </c>
      <c r="E262" s="6">
        <v>43865</v>
      </c>
      <c r="F262" s="7">
        <v>50</v>
      </c>
      <c r="G262" s="7">
        <v>1.52</v>
      </c>
    </row>
    <row r="263" spans="1:7">
      <c r="A263" s="4" t="s">
        <v>46</v>
      </c>
      <c r="B263" s="4" t="s">
        <v>110</v>
      </c>
      <c r="C263" s="4" t="s">
        <v>2994</v>
      </c>
      <c r="D263" s="4" t="s">
        <v>949</v>
      </c>
      <c r="E263" s="6">
        <v>43865</v>
      </c>
      <c r="F263" s="7">
        <v>50</v>
      </c>
      <c r="G263" s="7">
        <v>0.61</v>
      </c>
    </row>
    <row r="264" spans="1:7">
      <c r="A264" s="4" t="s">
        <v>46</v>
      </c>
      <c r="B264" s="4" t="s">
        <v>110</v>
      </c>
      <c r="C264" s="4" t="s">
        <v>2994</v>
      </c>
      <c r="D264" s="4" t="s">
        <v>1168</v>
      </c>
      <c r="E264" s="6">
        <v>43865</v>
      </c>
      <c r="F264" s="7">
        <v>50</v>
      </c>
      <c r="G264" s="7">
        <v>1.04</v>
      </c>
    </row>
    <row r="265" spans="1:7">
      <c r="A265" s="4" t="s">
        <v>46</v>
      </c>
      <c r="B265" s="4" t="s">
        <v>110</v>
      </c>
      <c r="C265" s="4" t="s">
        <v>2994</v>
      </c>
      <c r="D265" s="4" t="s">
        <v>1063</v>
      </c>
      <c r="E265" s="6">
        <v>43865</v>
      </c>
      <c r="F265" s="7">
        <v>50</v>
      </c>
      <c r="G265" s="7">
        <v>0.98</v>
      </c>
    </row>
    <row r="266" spans="1:7">
      <c r="A266" s="4" t="s">
        <v>46</v>
      </c>
      <c r="B266" s="4" t="s">
        <v>110</v>
      </c>
      <c r="C266" s="4" t="s">
        <v>2994</v>
      </c>
      <c r="D266" s="4" t="s">
        <v>889</v>
      </c>
      <c r="E266" s="6">
        <v>43865</v>
      </c>
      <c r="F266" s="7">
        <v>100</v>
      </c>
      <c r="G266" s="7">
        <v>0.72</v>
      </c>
    </row>
    <row r="267" spans="1:7">
      <c r="A267" s="4" t="s">
        <v>46</v>
      </c>
      <c r="B267" s="4" t="s">
        <v>110</v>
      </c>
      <c r="C267" s="4" t="s">
        <v>2994</v>
      </c>
      <c r="D267" s="4" t="s">
        <v>891</v>
      </c>
      <c r="E267" s="6">
        <v>43865</v>
      </c>
      <c r="F267" s="7">
        <v>50</v>
      </c>
      <c r="G267" s="7">
        <v>1.27</v>
      </c>
    </row>
    <row r="268" spans="1:7">
      <c r="A268" s="4" t="s">
        <v>46</v>
      </c>
      <c r="B268" s="4" t="s">
        <v>110</v>
      </c>
      <c r="C268" s="4" t="s">
        <v>2994</v>
      </c>
      <c r="D268" s="4" t="s">
        <v>1026</v>
      </c>
      <c r="E268" s="6">
        <v>43865</v>
      </c>
      <c r="F268" s="7">
        <v>100</v>
      </c>
      <c r="G268" s="7">
        <v>0.83</v>
      </c>
    </row>
    <row r="269" spans="1:7">
      <c r="A269" s="4" t="s">
        <v>46</v>
      </c>
      <c r="B269" s="4" t="s">
        <v>110</v>
      </c>
      <c r="C269" s="4" t="s">
        <v>2994</v>
      </c>
      <c r="D269" s="4" t="s">
        <v>964</v>
      </c>
      <c r="E269" s="6">
        <v>43865</v>
      </c>
      <c r="F269" s="7">
        <v>100</v>
      </c>
      <c r="G269" s="7">
        <v>1.24</v>
      </c>
    </row>
    <row r="270" spans="1:7">
      <c r="A270" s="4" t="s">
        <v>46</v>
      </c>
      <c r="B270" s="4" t="s">
        <v>110</v>
      </c>
      <c r="C270" s="4" t="s">
        <v>2994</v>
      </c>
      <c r="D270" s="4" t="s">
        <v>784</v>
      </c>
      <c r="E270" s="6">
        <v>43865</v>
      </c>
      <c r="F270" s="7">
        <v>1</v>
      </c>
      <c r="G270" s="7">
        <v>0</v>
      </c>
    </row>
    <row r="271" spans="1:7">
      <c r="A271" s="4" t="s">
        <v>132</v>
      </c>
      <c r="B271" s="4" t="s">
        <v>208</v>
      </c>
      <c r="C271" s="4" t="s">
        <v>2995</v>
      </c>
      <c r="D271" s="4" t="s">
        <v>968</v>
      </c>
      <c r="E271" s="6">
        <v>43892</v>
      </c>
      <c r="F271" s="7">
        <v>1100</v>
      </c>
      <c r="G271" s="7">
        <v>11.52</v>
      </c>
    </row>
    <row r="272" spans="1:7">
      <c r="A272" s="4" t="s">
        <v>132</v>
      </c>
      <c r="B272" s="4" t="s">
        <v>208</v>
      </c>
      <c r="C272" s="4" t="s">
        <v>2995</v>
      </c>
      <c r="D272" s="4" t="s">
        <v>970</v>
      </c>
      <c r="E272" s="6">
        <v>43892</v>
      </c>
      <c r="F272" s="7">
        <v>900</v>
      </c>
      <c r="G272" s="7">
        <v>4.18</v>
      </c>
    </row>
    <row r="273" spans="1:7">
      <c r="A273" s="4" t="s">
        <v>132</v>
      </c>
      <c r="B273" s="4" t="s">
        <v>208</v>
      </c>
      <c r="C273" s="4" t="s">
        <v>2995</v>
      </c>
      <c r="D273" s="4" t="s">
        <v>784</v>
      </c>
      <c r="E273" s="6">
        <v>43892</v>
      </c>
      <c r="F273" s="7">
        <v>1</v>
      </c>
      <c r="G273" s="7">
        <v>0</v>
      </c>
    </row>
    <row r="274" spans="1:7">
      <c r="A274" s="4" t="s">
        <v>178</v>
      </c>
      <c r="B274" s="4" t="s">
        <v>179</v>
      </c>
      <c r="C274" s="4" t="s">
        <v>2996</v>
      </c>
      <c r="D274" s="4" t="s">
        <v>1179</v>
      </c>
      <c r="E274" s="6">
        <v>43880</v>
      </c>
      <c r="F274" s="7">
        <v>10000</v>
      </c>
      <c r="G274" s="7">
        <v>0.1</v>
      </c>
    </row>
    <row r="275" spans="1:7">
      <c r="A275" s="4" t="s">
        <v>178</v>
      </c>
      <c r="B275" s="4" t="s">
        <v>179</v>
      </c>
      <c r="C275" s="4" t="s">
        <v>2996</v>
      </c>
      <c r="D275" s="4" t="s">
        <v>1181</v>
      </c>
      <c r="E275" s="6">
        <v>43880</v>
      </c>
      <c r="F275" s="7">
        <v>10000</v>
      </c>
      <c r="G275" s="7">
        <v>0.1</v>
      </c>
    </row>
    <row r="276" spans="1:7">
      <c r="A276" s="4" t="s">
        <v>178</v>
      </c>
      <c r="B276" s="4" t="s">
        <v>179</v>
      </c>
      <c r="C276" s="4" t="s">
        <v>2996</v>
      </c>
      <c r="D276" s="4" t="s">
        <v>784</v>
      </c>
      <c r="E276" s="6">
        <v>43880</v>
      </c>
      <c r="F276" s="7">
        <v>1</v>
      </c>
      <c r="G276" s="7">
        <v>0</v>
      </c>
    </row>
    <row r="277" spans="1:7">
      <c r="A277" s="4" t="s">
        <v>12</v>
      </c>
      <c r="B277" s="4" t="s">
        <v>245</v>
      </c>
      <c r="C277" s="4" t="s">
        <v>2997</v>
      </c>
      <c r="D277" s="4" t="s">
        <v>786</v>
      </c>
      <c r="E277" s="6">
        <v>43901</v>
      </c>
      <c r="F277" s="7">
        <v>1000</v>
      </c>
      <c r="G277" s="7">
        <v>0.74</v>
      </c>
    </row>
    <row r="278" spans="1:7">
      <c r="A278" s="4" t="s">
        <v>12</v>
      </c>
      <c r="B278" s="4" t="s">
        <v>245</v>
      </c>
      <c r="C278" s="4" t="s">
        <v>2997</v>
      </c>
      <c r="D278" s="4" t="s">
        <v>799</v>
      </c>
      <c r="E278" s="6">
        <v>43901</v>
      </c>
      <c r="F278" s="7">
        <v>750</v>
      </c>
      <c r="G278" s="7">
        <v>0.85</v>
      </c>
    </row>
    <row r="279" spans="1:7">
      <c r="A279" s="4" t="s">
        <v>12</v>
      </c>
      <c r="B279" s="4" t="s">
        <v>245</v>
      </c>
      <c r="C279" s="4" t="s">
        <v>2997</v>
      </c>
      <c r="D279" s="4" t="s">
        <v>784</v>
      </c>
      <c r="E279" s="6">
        <v>43901</v>
      </c>
      <c r="F279" s="7">
        <v>1</v>
      </c>
      <c r="G279" s="7">
        <v>0</v>
      </c>
    </row>
    <row r="280" spans="1:7">
      <c r="A280" s="4" t="s">
        <v>12</v>
      </c>
      <c r="B280" s="4" t="s">
        <v>243</v>
      </c>
      <c r="C280" s="4" t="s">
        <v>2998</v>
      </c>
      <c r="D280" s="4" t="s">
        <v>786</v>
      </c>
      <c r="E280" s="6">
        <v>43901</v>
      </c>
      <c r="F280" s="7">
        <v>1000</v>
      </c>
      <c r="G280" s="7">
        <v>0.74</v>
      </c>
    </row>
    <row r="281" spans="1:7">
      <c r="A281" s="4" t="s">
        <v>12</v>
      </c>
      <c r="B281" s="4" t="s">
        <v>243</v>
      </c>
      <c r="C281" s="4" t="s">
        <v>2998</v>
      </c>
      <c r="D281" s="4" t="s">
        <v>799</v>
      </c>
      <c r="E281" s="6">
        <v>43901</v>
      </c>
      <c r="F281" s="7">
        <v>750</v>
      </c>
      <c r="G281" s="7">
        <v>0.85</v>
      </c>
    </row>
    <row r="282" spans="1:7">
      <c r="A282" s="4" t="s">
        <v>12</v>
      </c>
      <c r="B282" s="4" t="s">
        <v>243</v>
      </c>
      <c r="C282" s="4" t="s">
        <v>2998</v>
      </c>
      <c r="D282" s="4" t="s">
        <v>784</v>
      </c>
      <c r="E282" s="6">
        <v>43901</v>
      </c>
      <c r="F282" s="7">
        <v>1</v>
      </c>
      <c r="G282" s="7">
        <v>0</v>
      </c>
    </row>
    <row r="283" spans="1:7">
      <c r="A283" s="4" t="s">
        <v>172</v>
      </c>
      <c r="B283" s="4" t="s">
        <v>173</v>
      </c>
      <c r="C283" s="4" t="s">
        <v>2999</v>
      </c>
      <c r="D283" s="4" t="s">
        <v>840</v>
      </c>
      <c r="E283" s="6">
        <v>43879</v>
      </c>
      <c r="F283" s="7">
        <v>440</v>
      </c>
      <c r="G283" s="7">
        <v>2.06</v>
      </c>
    </row>
    <row r="284" spans="1:7">
      <c r="A284" s="4" t="s">
        <v>172</v>
      </c>
      <c r="B284" s="4" t="s">
        <v>173</v>
      </c>
      <c r="C284" s="4" t="s">
        <v>2999</v>
      </c>
      <c r="D284" s="4" t="s">
        <v>1200</v>
      </c>
      <c r="E284" s="6">
        <v>43879</v>
      </c>
      <c r="F284" s="7">
        <v>440</v>
      </c>
      <c r="G284" s="7">
        <v>2.06</v>
      </c>
    </row>
    <row r="285" spans="1:7">
      <c r="A285" s="4" t="s">
        <v>172</v>
      </c>
      <c r="B285" s="4" t="s">
        <v>173</v>
      </c>
      <c r="C285" s="4" t="s">
        <v>2999</v>
      </c>
      <c r="D285" s="4" t="s">
        <v>784</v>
      </c>
      <c r="E285" s="6">
        <v>43879</v>
      </c>
      <c r="F285" s="7">
        <v>1</v>
      </c>
      <c r="G285" s="7">
        <v>0</v>
      </c>
    </row>
    <row r="286" spans="1:7">
      <c r="A286" s="4" t="s">
        <v>117</v>
      </c>
      <c r="B286" s="4" t="s">
        <v>118</v>
      </c>
      <c r="C286" s="4" t="s">
        <v>3000</v>
      </c>
      <c r="D286" s="4" t="s">
        <v>883</v>
      </c>
      <c r="E286" s="6">
        <v>43868</v>
      </c>
      <c r="F286" s="7">
        <v>12</v>
      </c>
      <c r="G286" s="7">
        <v>2.6</v>
      </c>
    </row>
    <row r="287" spans="1:7">
      <c r="A287" s="4" t="s">
        <v>117</v>
      </c>
      <c r="B287" s="4" t="s">
        <v>118</v>
      </c>
      <c r="C287" s="4" t="s">
        <v>3000</v>
      </c>
      <c r="D287" s="4" t="s">
        <v>949</v>
      </c>
      <c r="E287" s="6">
        <v>43868</v>
      </c>
      <c r="F287" s="7">
        <v>12</v>
      </c>
      <c r="G287" s="7">
        <v>1.1800000000000002</v>
      </c>
    </row>
    <row r="288" spans="1:7">
      <c r="A288" s="4" t="s">
        <v>117</v>
      </c>
      <c r="B288" s="4" t="s">
        <v>118</v>
      </c>
      <c r="C288" s="4" t="s">
        <v>3000</v>
      </c>
      <c r="D288" s="4" t="s">
        <v>887</v>
      </c>
      <c r="E288" s="6">
        <v>43868</v>
      </c>
      <c r="F288" s="7">
        <v>12</v>
      </c>
      <c r="G288" s="7">
        <v>1.1000000000000001</v>
      </c>
    </row>
    <row r="289" spans="1:7">
      <c r="A289" s="4" t="s">
        <v>117</v>
      </c>
      <c r="B289" s="4" t="s">
        <v>118</v>
      </c>
      <c r="C289" s="4" t="s">
        <v>3000</v>
      </c>
      <c r="D289" s="4" t="s">
        <v>916</v>
      </c>
      <c r="E289" s="6">
        <v>43868</v>
      </c>
      <c r="F289" s="7">
        <v>2</v>
      </c>
      <c r="G289" s="7">
        <v>1.6</v>
      </c>
    </row>
    <row r="290" spans="1:7">
      <c r="A290" s="4" t="s">
        <v>117</v>
      </c>
      <c r="B290" s="4" t="s">
        <v>118</v>
      </c>
      <c r="C290" s="4" t="s">
        <v>3000</v>
      </c>
      <c r="D290" s="4" t="s">
        <v>784</v>
      </c>
      <c r="E290" s="6">
        <v>43868</v>
      </c>
      <c r="F290" s="7">
        <v>1</v>
      </c>
      <c r="G290" s="7">
        <v>0</v>
      </c>
    </row>
    <row r="291" spans="1:7">
      <c r="A291" s="4" t="s">
        <v>140</v>
      </c>
      <c r="B291" s="4" t="s">
        <v>141</v>
      </c>
      <c r="C291" s="4" t="s">
        <v>3001</v>
      </c>
      <c r="D291" s="4" t="s">
        <v>1202</v>
      </c>
      <c r="E291" s="6">
        <v>43873</v>
      </c>
      <c r="F291" s="7">
        <v>10</v>
      </c>
      <c r="G291" s="7">
        <v>3.04</v>
      </c>
    </row>
    <row r="292" spans="1:7">
      <c r="A292" s="4" t="s">
        <v>140</v>
      </c>
      <c r="B292" s="4" t="s">
        <v>141</v>
      </c>
      <c r="C292" s="4" t="s">
        <v>3001</v>
      </c>
      <c r="D292" s="4" t="s">
        <v>865</v>
      </c>
      <c r="E292" s="6">
        <v>43873</v>
      </c>
      <c r="F292" s="7">
        <v>10</v>
      </c>
      <c r="G292" s="7">
        <v>24.4</v>
      </c>
    </row>
    <row r="293" spans="1:7">
      <c r="A293" s="4" t="s">
        <v>140</v>
      </c>
      <c r="B293" s="4" t="s">
        <v>141</v>
      </c>
      <c r="C293" s="4" t="s">
        <v>3001</v>
      </c>
      <c r="D293" s="4" t="s">
        <v>1204</v>
      </c>
      <c r="E293" s="6">
        <v>43873</v>
      </c>
      <c r="F293" s="7">
        <v>20</v>
      </c>
      <c r="G293" s="7">
        <v>1.29</v>
      </c>
    </row>
    <row r="294" spans="1:7">
      <c r="A294" s="4" t="s">
        <v>140</v>
      </c>
      <c r="B294" s="4" t="s">
        <v>141</v>
      </c>
      <c r="C294" s="4" t="s">
        <v>3001</v>
      </c>
      <c r="D294" s="4" t="s">
        <v>889</v>
      </c>
      <c r="E294" s="6">
        <v>43873</v>
      </c>
      <c r="F294" s="7">
        <v>5</v>
      </c>
      <c r="G294" s="7">
        <v>1.3800000000000001</v>
      </c>
    </row>
    <row r="295" spans="1:7">
      <c r="A295" s="4" t="s">
        <v>140</v>
      </c>
      <c r="B295" s="4" t="s">
        <v>141</v>
      </c>
      <c r="C295" s="4" t="s">
        <v>3001</v>
      </c>
      <c r="D295" s="4" t="s">
        <v>891</v>
      </c>
      <c r="E295" s="6">
        <v>43873</v>
      </c>
      <c r="F295" s="7">
        <v>20</v>
      </c>
      <c r="G295" s="7">
        <v>2.44</v>
      </c>
    </row>
    <row r="296" spans="1:7">
      <c r="A296" s="4" t="s">
        <v>140</v>
      </c>
      <c r="B296" s="4" t="s">
        <v>141</v>
      </c>
      <c r="C296" s="4" t="s">
        <v>3001</v>
      </c>
      <c r="D296" s="4" t="s">
        <v>1208</v>
      </c>
      <c r="E296" s="6">
        <v>43873</v>
      </c>
      <c r="F296" s="7">
        <v>4</v>
      </c>
      <c r="G296" s="7">
        <v>4.9799999999999995</v>
      </c>
    </row>
    <row r="297" spans="1:7">
      <c r="A297" s="4" t="s">
        <v>140</v>
      </c>
      <c r="B297" s="4" t="s">
        <v>141</v>
      </c>
      <c r="C297" s="4" t="s">
        <v>3001</v>
      </c>
      <c r="D297" s="4" t="s">
        <v>784</v>
      </c>
      <c r="E297" s="6">
        <v>43873</v>
      </c>
      <c r="F297" s="7">
        <v>1</v>
      </c>
      <c r="G297" s="7">
        <v>0</v>
      </c>
    </row>
    <row r="298" spans="1:7">
      <c r="A298" s="4" t="s">
        <v>49</v>
      </c>
      <c r="B298" s="4" t="s">
        <v>181</v>
      </c>
      <c r="C298" s="4" t="s">
        <v>3002</v>
      </c>
      <c r="D298" s="4" t="s">
        <v>985</v>
      </c>
      <c r="E298" s="6">
        <v>43880</v>
      </c>
      <c r="F298" s="7">
        <v>100</v>
      </c>
      <c r="G298" s="7">
        <v>2.7</v>
      </c>
    </row>
    <row r="299" spans="1:7">
      <c r="A299" s="4" t="s">
        <v>49</v>
      </c>
      <c r="B299" s="4" t="s">
        <v>181</v>
      </c>
      <c r="C299" s="4" t="s">
        <v>3002</v>
      </c>
      <c r="D299" s="4" t="s">
        <v>1213</v>
      </c>
      <c r="E299" s="6">
        <v>43880</v>
      </c>
      <c r="F299" s="7">
        <v>100</v>
      </c>
      <c r="G299" s="7">
        <v>0.82</v>
      </c>
    </row>
    <row r="300" spans="1:7">
      <c r="A300" s="4" t="s">
        <v>49</v>
      </c>
      <c r="B300" s="4" t="s">
        <v>181</v>
      </c>
      <c r="C300" s="4" t="s">
        <v>3002</v>
      </c>
      <c r="D300" s="4" t="s">
        <v>883</v>
      </c>
      <c r="E300" s="6">
        <v>43880</v>
      </c>
      <c r="F300" s="7">
        <v>200</v>
      </c>
      <c r="G300" s="7">
        <v>1.46</v>
      </c>
    </row>
    <row r="301" spans="1:7">
      <c r="A301" s="4" t="s">
        <v>49</v>
      </c>
      <c r="B301" s="4" t="s">
        <v>181</v>
      </c>
      <c r="C301" s="4" t="s">
        <v>3002</v>
      </c>
      <c r="D301" s="4" t="s">
        <v>1106</v>
      </c>
      <c r="E301" s="6">
        <v>43880</v>
      </c>
      <c r="F301" s="7">
        <v>100</v>
      </c>
      <c r="G301" s="7">
        <v>1.7899999999999998</v>
      </c>
    </row>
    <row r="302" spans="1:7">
      <c r="A302" s="4" t="s">
        <v>49</v>
      </c>
      <c r="B302" s="4" t="s">
        <v>181</v>
      </c>
      <c r="C302" s="4" t="s">
        <v>3002</v>
      </c>
      <c r="D302" s="4" t="s">
        <v>893</v>
      </c>
      <c r="E302" s="6">
        <v>43880</v>
      </c>
      <c r="F302" s="7">
        <v>100</v>
      </c>
      <c r="G302" s="7">
        <v>4.43</v>
      </c>
    </row>
    <row r="303" spans="1:7">
      <c r="A303" s="4" t="s">
        <v>49</v>
      </c>
      <c r="B303" s="4" t="s">
        <v>181</v>
      </c>
      <c r="C303" s="4" t="s">
        <v>3002</v>
      </c>
      <c r="D303" s="4" t="s">
        <v>916</v>
      </c>
      <c r="E303" s="6">
        <v>43880</v>
      </c>
      <c r="F303" s="7">
        <v>100</v>
      </c>
      <c r="G303" s="7">
        <v>0.9</v>
      </c>
    </row>
    <row r="304" spans="1:7">
      <c r="A304" s="4" t="s">
        <v>49</v>
      </c>
      <c r="B304" s="4" t="s">
        <v>181</v>
      </c>
      <c r="C304" s="4" t="s">
        <v>3002</v>
      </c>
      <c r="D304" s="4" t="s">
        <v>976</v>
      </c>
      <c r="E304" s="6">
        <v>43880</v>
      </c>
      <c r="F304" s="7">
        <v>200</v>
      </c>
      <c r="G304" s="7">
        <v>1.24</v>
      </c>
    </row>
    <row r="305" spans="1:7">
      <c r="A305" s="4" t="s">
        <v>49</v>
      </c>
      <c r="B305" s="4" t="s">
        <v>181</v>
      </c>
      <c r="C305" s="4" t="s">
        <v>3002</v>
      </c>
      <c r="D305" s="4" t="s">
        <v>1220</v>
      </c>
      <c r="E305" s="6">
        <v>43880</v>
      </c>
      <c r="F305" s="7">
        <v>100</v>
      </c>
      <c r="G305" s="7">
        <v>1.3199999999999998</v>
      </c>
    </row>
    <row r="306" spans="1:7">
      <c r="A306" s="4" t="s">
        <v>49</v>
      </c>
      <c r="B306" s="4" t="s">
        <v>181</v>
      </c>
      <c r="C306" s="4" t="s">
        <v>3002</v>
      </c>
      <c r="D306" s="4" t="s">
        <v>1222</v>
      </c>
      <c r="E306" s="6">
        <v>43880</v>
      </c>
      <c r="F306" s="7">
        <v>50</v>
      </c>
      <c r="G306" s="7">
        <v>2.04</v>
      </c>
    </row>
    <row r="307" spans="1:7">
      <c r="A307" s="4" t="s">
        <v>49</v>
      </c>
      <c r="B307" s="4" t="s">
        <v>181</v>
      </c>
      <c r="C307" s="4" t="s">
        <v>3002</v>
      </c>
      <c r="D307" s="4" t="s">
        <v>860</v>
      </c>
      <c r="E307" s="6">
        <v>43880</v>
      </c>
      <c r="F307" s="7">
        <v>30</v>
      </c>
      <c r="G307" s="7">
        <v>4.8600000000000003</v>
      </c>
    </row>
    <row r="308" spans="1:7">
      <c r="A308" s="4" t="s">
        <v>49</v>
      </c>
      <c r="B308" s="4" t="s">
        <v>181</v>
      </c>
      <c r="C308" s="4" t="s">
        <v>3002</v>
      </c>
      <c r="D308" s="4" t="s">
        <v>784</v>
      </c>
      <c r="E308" s="6">
        <v>43880</v>
      </c>
      <c r="F308" s="7">
        <v>1</v>
      </c>
      <c r="G308" s="7">
        <v>0</v>
      </c>
    </row>
    <row r="309" spans="1:7">
      <c r="A309" s="4" t="s">
        <v>123</v>
      </c>
      <c r="B309" s="4" t="s">
        <v>124</v>
      </c>
      <c r="C309" s="4" t="s">
        <v>3003</v>
      </c>
      <c r="D309" s="4" t="s">
        <v>887</v>
      </c>
      <c r="E309" s="6">
        <v>43868</v>
      </c>
      <c r="F309" s="7">
        <v>25</v>
      </c>
      <c r="G309" s="7">
        <v>1.1099999999999999</v>
      </c>
    </row>
    <row r="310" spans="1:7">
      <c r="A310" s="4" t="s">
        <v>123</v>
      </c>
      <c r="B310" s="4" t="s">
        <v>124</v>
      </c>
      <c r="C310" s="4" t="s">
        <v>3003</v>
      </c>
      <c r="D310" s="4" t="s">
        <v>936</v>
      </c>
      <c r="E310" s="6">
        <v>43868</v>
      </c>
      <c r="F310" s="7">
        <v>25</v>
      </c>
      <c r="G310" s="7">
        <v>1.47</v>
      </c>
    </row>
    <row r="311" spans="1:7">
      <c r="A311" s="4" t="s">
        <v>123</v>
      </c>
      <c r="B311" s="4" t="s">
        <v>124</v>
      </c>
      <c r="C311" s="4" t="s">
        <v>3003</v>
      </c>
      <c r="D311" s="4" t="s">
        <v>875</v>
      </c>
      <c r="E311" s="6">
        <v>43868</v>
      </c>
      <c r="F311" s="7">
        <v>150</v>
      </c>
      <c r="G311" s="7">
        <v>1.3800000000000001</v>
      </c>
    </row>
    <row r="312" spans="1:7">
      <c r="A312" s="4" t="s">
        <v>123</v>
      </c>
      <c r="B312" s="4" t="s">
        <v>124</v>
      </c>
      <c r="C312" s="4" t="s">
        <v>3003</v>
      </c>
      <c r="D312" s="4" t="s">
        <v>883</v>
      </c>
      <c r="E312" s="6">
        <v>43868</v>
      </c>
      <c r="F312" s="7">
        <v>10</v>
      </c>
      <c r="G312" s="7">
        <v>2.6</v>
      </c>
    </row>
    <row r="313" spans="1:7">
      <c r="A313" s="4" t="s">
        <v>123</v>
      </c>
      <c r="B313" s="4" t="s">
        <v>124</v>
      </c>
      <c r="C313" s="4" t="s">
        <v>3003</v>
      </c>
      <c r="D313" s="4" t="s">
        <v>1063</v>
      </c>
      <c r="E313" s="6">
        <v>43868</v>
      </c>
      <c r="F313" s="7">
        <v>25</v>
      </c>
      <c r="G313" s="7">
        <v>1.89</v>
      </c>
    </row>
    <row r="314" spans="1:7">
      <c r="A314" s="4" t="s">
        <v>123</v>
      </c>
      <c r="B314" s="4" t="s">
        <v>124</v>
      </c>
      <c r="C314" s="4" t="s">
        <v>3003</v>
      </c>
      <c r="D314" s="4" t="s">
        <v>784</v>
      </c>
      <c r="E314" s="6">
        <v>43868</v>
      </c>
      <c r="F314" s="7">
        <v>1</v>
      </c>
      <c r="G314" s="7">
        <v>0</v>
      </c>
    </row>
    <row r="315" spans="1:7">
      <c r="A315" s="4" t="s">
        <v>129</v>
      </c>
      <c r="B315" s="4" t="s">
        <v>130</v>
      </c>
      <c r="C315" s="4" t="s">
        <v>3004</v>
      </c>
      <c r="D315" s="4" t="s">
        <v>1232</v>
      </c>
      <c r="E315" s="6">
        <v>43872</v>
      </c>
      <c r="F315" s="7">
        <v>120</v>
      </c>
      <c r="G315" s="7">
        <v>8.84</v>
      </c>
    </row>
    <row r="316" spans="1:7">
      <c r="A316" s="4" t="s">
        <v>129</v>
      </c>
      <c r="B316" s="4" t="s">
        <v>130</v>
      </c>
      <c r="C316" s="4" t="s">
        <v>3004</v>
      </c>
      <c r="D316" s="4" t="s">
        <v>840</v>
      </c>
      <c r="E316" s="6">
        <v>43872</v>
      </c>
      <c r="F316" s="7">
        <v>1</v>
      </c>
      <c r="G316" s="7">
        <v>65</v>
      </c>
    </row>
    <row r="317" spans="1:7">
      <c r="A317" s="4" t="s">
        <v>129</v>
      </c>
      <c r="B317" s="4" t="s">
        <v>130</v>
      </c>
      <c r="C317" s="4" t="s">
        <v>3004</v>
      </c>
      <c r="D317" s="4" t="s">
        <v>784</v>
      </c>
      <c r="E317" s="6">
        <v>43872</v>
      </c>
      <c r="F317" s="7">
        <v>1</v>
      </c>
      <c r="G317" s="7">
        <v>0</v>
      </c>
    </row>
    <row r="318" spans="1:7">
      <c r="A318" s="4" t="s">
        <v>392</v>
      </c>
      <c r="B318" s="4" t="s">
        <v>393</v>
      </c>
      <c r="C318" s="4" t="s">
        <v>3005</v>
      </c>
      <c r="D318" s="4" t="s">
        <v>1236</v>
      </c>
      <c r="E318" s="6">
        <v>43966</v>
      </c>
      <c r="F318" s="7">
        <v>1</v>
      </c>
      <c r="G318" s="7">
        <v>1925</v>
      </c>
    </row>
    <row r="319" spans="1:7">
      <c r="A319" s="4" t="s">
        <v>392</v>
      </c>
      <c r="B319" s="4" t="s">
        <v>393</v>
      </c>
      <c r="C319" s="4" t="s">
        <v>3005</v>
      </c>
      <c r="D319" s="4" t="s">
        <v>784</v>
      </c>
      <c r="E319" s="6">
        <v>43966</v>
      </c>
      <c r="F319" s="7">
        <v>1</v>
      </c>
      <c r="G319" s="7">
        <v>0</v>
      </c>
    </row>
    <row r="320" spans="1:7">
      <c r="A320" s="4" t="s">
        <v>178</v>
      </c>
      <c r="B320" s="4" t="s">
        <v>294</v>
      </c>
      <c r="C320" s="4" t="s">
        <v>3006</v>
      </c>
      <c r="D320" s="4" t="s">
        <v>1179</v>
      </c>
      <c r="E320" s="6">
        <v>43921</v>
      </c>
      <c r="F320" s="7">
        <v>10000</v>
      </c>
      <c r="G320" s="7">
        <v>0.1</v>
      </c>
    </row>
    <row r="321" spans="1:7">
      <c r="A321" s="4" t="s">
        <v>178</v>
      </c>
      <c r="B321" s="4" t="s">
        <v>294</v>
      </c>
      <c r="C321" s="4" t="s">
        <v>3006</v>
      </c>
      <c r="D321" s="4" t="s">
        <v>1181</v>
      </c>
      <c r="E321" s="6">
        <v>43921</v>
      </c>
      <c r="F321" s="7">
        <v>10000</v>
      </c>
      <c r="G321" s="7">
        <v>0.1</v>
      </c>
    </row>
    <row r="322" spans="1:7">
      <c r="A322" s="4" t="s">
        <v>178</v>
      </c>
      <c r="B322" s="4" t="s">
        <v>294</v>
      </c>
      <c r="C322" s="4" t="s">
        <v>3006</v>
      </c>
      <c r="D322" s="4" t="s">
        <v>784</v>
      </c>
      <c r="E322" s="6">
        <v>43921</v>
      </c>
      <c r="F322" s="7">
        <v>1</v>
      </c>
      <c r="G322" s="7">
        <v>0</v>
      </c>
    </row>
    <row r="323" spans="1:7">
      <c r="A323" s="4" t="s">
        <v>169</v>
      </c>
      <c r="B323" s="4" t="s">
        <v>170</v>
      </c>
      <c r="C323" s="4" t="s">
        <v>3007</v>
      </c>
      <c r="D323" s="4" t="s">
        <v>1242</v>
      </c>
      <c r="E323" s="6">
        <v>43879</v>
      </c>
      <c r="F323" s="7">
        <v>2400</v>
      </c>
      <c r="G323" s="7">
        <v>1.1000000000000001</v>
      </c>
    </row>
    <row r="324" spans="1:7">
      <c r="A324" s="4" t="s">
        <v>169</v>
      </c>
      <c r="B324" s="4" t="s">
        <v>170</v>
      </c>
      <c r="C324" s="4" t="s">
        <v>3007</v>
      </c>
      <c r="D324" s="4" t="s">
        <v>784</v>
      </c>
      <c r="E324" s="6">
        <v>43879</v>
      </c>
      <c r="F324" s="7">
        <v>1</v>
      </c>
      <c r="G324" s="7">
        <v>0</v>
      </c>
    </row>
    <row r="325" spans="1:7">
      <c r="A325" s="4" t="s">
        <v>185</v>
      </c>
      <c r="B325" s="4" t="s">
        <v>186</v>
      </c>
      <c r="C325" s="4" t="s">
        <v>3008</v>
      </c>
      <c r="D325" s="4" t="s">
        <v>1236</v>
      </c>
      <c r="E325" s="6">
        <v>43881</v>
      </c>
      <c r="F325" s="7">
        <v>1</v>
      </c>
      <c r="G325" s="7">
        <v>1350</v>
      </c>
    </row>
    <row r="326" spans="1:7">
      <c r="A326" s="4" t="s">
        <v>185</v>
      </c>
      <c r="B326" s="4" t="s">
        <v>186</v>
      </c>
      <c r="C326" s="4" t="s">
        <v>3008</v>
      </c>
      <c r="D326" s="4" t="s">
        <v>784</v>
      </c>
      <c r="E326" s="6">
        <v>43881</v>
      </c>
      <c r="F326" s="7">
        <v>1</v>
      </c>
      <c r="G326" s="7">
        <v>50</v>
      </c>
    </row>
    <row r="327" spans="1:7">
      <c r="A327" s="4" t="s">
        <v>114</v>
      </c>
      <c r="B327" s="4" t="s">
        <v>115</v>
      </c>
      <c r="C327" s="4" t="s">
        <v>3009</v>
      </c>
      <c r="D327" s="4" t="s">
        <v>936</v>
      </c>
      <c r="E327" s="6">
        <v>43868</v>
      </c>
      <c r="F327" s="7">
        <v>10</v>
      </c>
      <c r="G327" s="7">
        <v>1.47</v>
      </c>
    </row>
    <row r="328" spans="1:7">
      <c r="A328" s="4" t="s">
        <v>114</v>
      </c>
      <c r="B328" s="4" t="s">
        <v>115</v>
      </c>
      <c r="C328" s="4" t="s">
        <v>3009</v>
      </c>
      <c r="D328" s="4" t="s">
        <v>940</v>
      </c>
      <c r="E328" s="6">
        <v>43868</v>
      </c>
      <c r="F328" s="7">
        <v>10</v>
      </c>
      <c r="G328" s="7">
        <v>2.04</v>
      </c>
    </row>
    <row r="329" spans="1:7">
      <c r="A329" s="4" t="s">
        <v>114</v>
      </c>
      <c r="B329" s="4" t="s">
        <v>115</v>
      </c>
      <c r="C329" s="4" t="s">
        <v>3009</v>
      </c>
      <c r="D329" s="4" t="s">
        <v>784</v>
      </c>
      <c r="E329" s="6">
        <v>43868</v>
      </c>
      <c r="F329" s="7">
        <v>1</v>
      </c>
      <c r="G329" s="7">
        <v>0</v>
      </c>
    </row>
    <row r="330" spans="1:7">
      <c r="A330" s="4" t="s">
        <v>198</v>
      </c>
      <c r="B330" s="4" t="s">
        <v>199</v>
      </c>
      <c r="C330" s="4" t="s">
        <v>3010</v>
      </c>
      <c r="D330" s="4" t="s">
        <v>1283</v>
      </c>
      <c r="E330" s="6">
        <v>43887</v>
      </c>
      <c r="F330" s="7">
        <v>300</v>
      </c>
      <c r="G330" s="7">
        <v>1.06</v>
      </c>
    </row>
    <row r="331" spans="1:7">
      <c r="A331" s="4" t="s">
        <v>198</v>
      </c>
      <c r="B331" s="4" t="s">
        <v>199</v>
      </c>
      <c r="C331" s="4" t="s">
        <v>3010</v>
      </c>
      <c r="D331" s="4" t="s">
        <v>1283</v>
      </c>
      <c r="E331" s="6">
        <v>43887</v>
      </c>
      <c r="F331" s="7">
        <v>750</v>
      </c>
      <c r="G331" s="7">
        <v>0.51</v>
      </c>
    </row>
    <row r="332" spans="1:7">
      <c r="A332" s="4" t="s">
        <v>198</v>
      </c>
      <c r="B332" s="4" t="s">
        <v>199</v>
      </c>
      <c r="C332" s="4" t="s">
        <v>3010</v>
      </c>
      <c r="D332" s="4" t="s">
        <v>1283</v>
      </c>
      <c r="E332" s="6">
        <v>43887</v>
      </c>
      <c r="F332" s="7">
        <v>1500</v>
      </c>
      <c r="G332" s="7">
        <v>0.43</v>
      </c>
    </row>
    <row r="333" spans="1:7">
      <c r="A333" s="4" t="s">
        <v>198</v>
      </c>
      <c r="B333" s="4" t="s">
        <v>199</v>
      </c>
      <c r="C333" s="4" t="s">
        <v>3010</v>
      </c>
      <c r="D333" s="4" t="s">
        <v>784</v>
      </c>
      <c r="E333" s="6">
        <v>43887</v>
      </c>
      <c r="F333" s="7">
        <v>1</v>
      </c>
      <c r="G333" s="7">
        <v>0</v>
      </c>
    </row>
    <row r="334" spans="1:7">
      <c r="A334" s="4" t="s">
        <v>135</v>
      </c>
      <c r="B334" s="4" t="s">
        <v>136</v>
      </c>
      <c r="C334" s="4" t="s">
        <v>3011</v>
      </c>
      <c r="D334" s="4" t="s">
        <v>916</v>
      </c>
      <c r="E334" s="6">
        <v>43873</v>
      </c>
      <c r="F334" s="7">
        <v>450</v>
      </c>
      <c r="G334" s="7">
        <v>0.83</v>
      </c>
    </row>
    <row r="335" spans="1:7">
      <c r="A335" s="4" t="s">
        <v>135</v>
      </c>
      <c r="B335" s="4" t="s">
        <v>136</v>
      </c>
      <c r="C335" s="4" t="s">
        <v>3011</v>
      </c>
      <c r="D335" s="4" t="s">
        <v>887</v>
      </c>
      <c r="E335" s="6">
        <v>43873</v>
      </c>
      <c r="F335" s="7">
        <v>400</v>
      </c>
      <c r="G335" s="7">
        <v>0.57999999999999996</v>
      </c>
    </row>
    <row r="336" spans="1:7">
      <c r="A336" s="4" t="s">
        <v>135</v>
      </c>
      <c r="B336" s="4" t="s">
        <v>136</v>
      </c>
      <c r="C336" s="4" t="s">
        <v>3011</v>
      </c>
      <c r="D336" s="4" t="s">
        <v>949</v>
      </c>
      <c r="E336" s="6">
        <v>43873</v>
      </c>
      <c r="F336" s="7">
        <v>50</v>
      </c>
      <c r="G336" s="7">
        <v>0.61</v>
      </c>
    </row>
    <row r="337" spans="1:7">
      <c r="A337" s="4" t="s">
        <v>135</v>
      </c>
      <c r="B337" s="4" t="s">
        <v>136</v>
      </c>
      <c r="C337" s="4" t="s">
        <v>3011</v>
      </c>
      <c r="D337" s="4" t="s">
        <v>1290</v>
      </c>
      <c r="E337" s="6">
        <v>43873</v>
      </c>
      <c r="F337" s="7">
        <v>80</v>
      </c>
      <c r="G337" s="7">
        <v>0.63</v>
      </c>
    </row>
    <row r="338" spans="1:7">
      <c r="A338" s="4" t="s">
        <v>135</v>
      </c>
      <c r="B338" s="4" t="s">
        <v>136</v>
      </c>
      <c r="C338" s="4" t="s">
        <v>3011</v>
      </c>
      <c r="D338" s="4" t="s">
        <v>993</v>
      </c>
      <c r="E338" s="6">
        <v>43873</v>
      </c>
      <c r="F338" s="7">
        <v>70</v>
      </c>
      <c r="G338" s="7">
        <v>0.44</v>
      </c>
    </row>
    <row r="339" spans="1:7">
      <c r="A339" s="4" t="s">
        <v>135</v>
      </c>
      <c r="B339" s="4" t="s">
        <v>136</v>
      </c>
      <c r="C339" s="4" t="s">
        <v>3011</v>
      </c>
      <c r="D339" s="4" t="s">
        <v>1005</v>
      </c>
      <c r="E339" s="6">
        <v>43873</v>
      </c>
      <c r="F339" s="7">
        <v>50</v>
      </c>
      <c r="G339" s="7">
        <v>1.23</v>
      </c>
    </row>
    <row r="340" spans="1:7">
      <c r="A340" s="4" t="s">
        <v>135</v>
      </c>
      <c r="B340" s="4" t="s">
        <v>136</v>
      </c>
      <c r="C340" s="4" t="s">
        <v>3011</v>
      </c>
      <c r="D340" s="4" t="s">
        <v>1063</v>
      </c>
      <c r="E340" s="6">
        <v>43873</v>
      </c>
      <c r="F340" s="7">
        <v>10</v>
      </c>
      <c r="G340" s="7">
        <v>0.98</v>
      </c>
    </row>
    <row r="341" spans="1:7">
      <c r="A341" s="4" t="s">
        <v>135</v>
      </c>
      <c r="B341" s="4" t="s">
        <v>136</v>
      </c>
      <c r="C341" s="4" t="s">
        <v>3011</v>
      </c>
      <c r="D341" s="4" t="s">
        <v>1026</v>
      </c>
      <c r="E341" s="6">
        <v>43873</v>
      </c>
      <c r="F341" s="7">
        <v>10</v>
      </c>
      <c r="G341" s="7">
        <v>0.83</v>
      </c>
    </row>
    <row r="342" spans="1:7">
      <c r="A342" s="4" t="s">
        <v>135</v>
      </c>
      <c r="B342" s="4" t="s">
        <v>136</v>
      </c>
      <c r="C342" s="4" t="s">
        <v>3011</v>
      </c>
      <c r="D342" s="4" t="s">
        <v>952</v>
      </c>
      <c r="E342" s="6">
        <v>43873</v>
      </c>
      <c r="F342" s="7">
        <v>50</v>
      </c>
      <c r="G342" s="7">
        <v>0.75</v>
      </c>
    </row>
    <row r="343" spans="1:7">
      <c r="A343" s="4" t="s">
        <v>135</v>
      </c>
      <c r="B343" s="4" t="s">
        <v>136</v>
      </c>
      <c r="C343" s="4" t="s">
        <v>3011</v>
      </c>
      <c r="D343" s="4" t="s">
        <v>784</v>
      </c>
      <c r="E343" s="6">
        <v>43873</v>
      </c>
      <c r="F343" s="7">
        <v>1</v>
      </c>
      <c r="G343" s="7">
        <v>0</v>
      </c>
    </row>
    <row r="344" spans="1:7">
      <c r="A344" s="4" t="s">
        <v>32</v>
      </c>
      <c r="B344" s="4" t="s">
        <v>151</v>
      </c>
      <c r="C344" s="4" t="s">
        <v>3012</v>
      </c>
      <c r="D344" s="4" t="s">
        <v>782</v>
      </c>
      <c r="E344" s="6">
        <v>43875</v>
      </c>
      <c r="F344" s="7">
        <v>2</v>
      </c>
      <c r="G344" s="7">
        <v>17.84</v>
      </c>
    </row>
    <row r="345" spans="1:7">
      <c r="A345" s="4" t="s">
        <v>32</v>
      </c>
      <c r="B345" s="4" t="s">
        <v>151</v>
      </c>
      <c r="C345" s="4" t="s">
        <v>3012</v>
      </c>
      <c r="D345" s="4" t="s">
        <v>1129</v>
      </c>
      <c r="E345" s="6">
        <v>43875</v>
      </c>
      <c r="F345" s="7">
        <v>55</v>
      </c>
      <c r="G345" s="7">
        <v>0.31</v>
      </c>
    </row>
    <row r="346" spans="1:7">
      <c r="A346" s="4" t="s">
        <v>32</v>
      </c>
      <c r="B346" s="4" t="s">
        <v>151</v>
      </c>
      <c r="C346" s="4" t="s">
        <v>3012</v>
      </c>
      <c r="D346" s="4" t="s">
        <v>1323</v>
      </c>
      <c r="E346" s="6">
        <v>43875</v>
      </c>
      <c r="F346" s="7">
        <v>50</v>
      </c>
      <c r="G346" s="7">
        <v>0.39</v>
      </c>
    </row>
    <row r="347" spans="1:7">
      <c r="A347" s="4" t="s">
        <v>32</v>
      </c>
      <c r="B347" s="4" t="s">
        <v>151</v>
      </c>
      <c r="C347" s="4" t="s">
        <v>3012</v>
      </c>
      <c r="D347" s="4" t="s">
        <v>1325</v>
      </c>
      <c r="E347" s="6">
        <v>43875</v>
      </c>
      <c r="F347" s="7">
        <v>50</v>
      </c>
      <c r="G347" s="7">
        <v>0.72</v>
      </c>
    </row>
    <row r="348" spans="1:7">
      <c r="A348" s="4" t="s">
        <v>32</v>
      </c>
      <c r="B348" s="4" t="s">
        <v>151</v>
      </c>
      <c r="C348" s="4" t="s">
        <v>3012</v>
      </c>
      <c r="D348" s="4" t="s">
        <v>1088</v>
      </c>
      <c r="E348" s="6">
        <v>43875</v>
      </c>
      <c r="F348" s="7">
        <v>100</v>
      </c>
      <c r="G348" s="7">
        <v>0.43</v>
      </c>
    </row>
    <row r="349" spans="1:7">
      <c r="A349" s="4" t="s">
        <v>32</v>
      </c>
      <c r="B349" s="4" t="s">
        <v>151</v>
      </c>
      <c r="C349" s="4" t="s">
        <v>3012</v>
      </c>
      <c r="D349" s="4" t="s">
        <v>889</v>
      </c>
      <c r="E349" s="6">
        <v>43875</v>
      </c>
      <c r="F349" s="7">
        <v>30</v>
      </c>
      <c r="G349" s="7">
        <v>0.72</v>
      </c>
    </row>
    <row r="350" spans="1:7">
      <c r="A350" s="4" t="s">
        <v>32</v>
      </c>
      <c r="B350" s="4" t="s">
        <v>151</v>
      </c>
      <c r="C350" s="4" t="s">
        <v>3012</v>
      </c>
      <c r="D350" s="4" t="s">
        <v>987</v>
      </c>
      <c r="E350" s="6">
        <v>43875</v>
      </c>
      <c r="F350" s="7">
        <v>10</v>
      </c>
      <c r="G350" s="7">
        <v>0.85</v>
      </c>
    </row>
    <row r="351" spans="1:7">
      <c r="A351" s="4" t="s">
        <v>32</v>
      </c>
      <c r="B351" s="4" t="s">
        <v>151</v>
      </c>
      <c r="C351" s="4" t="s">
        <v>3012</v>
      </c>
      <c r="D351" s="4" t="s">
        <v>1030</v>
      </c>
      <c r="E351" s="6">
        <v>43875</v>
      </c>
      <c r="F351" s="7">
        <v>25</v>
      </c>
      <c r="G351" s="7">
        <v>2.57</v>
      </c>
    </row>
    <row r="352" spans="1:7">
      <c r="A352" s="4" t="s">
        <v>32</v>
      </c>
      <c r="B352" s="4" t="s">
        <v>151</v>
      </c>
      <c r="C352" s="4" t="s">
        <v>3012</v>
      </c>
      <c r="D352" s="4" t="s">
        <v>784</v>
      </c>
      <c r="E352" s="6">
        <v>43875</v>
      </c>
      <c r="F352" s="7">
        <v>1</v>
      </c>
      <c r="G352" s="7">
        <v>0</v>
      </c>
    </row>
    <row r="353" spans="1:7">
      <c r="A353" s="4" t="s">
        <v>24</v>
      </c>
      <c r="B353" s="4" t="s">
        <v>145</v>
      </c>
      <c r="C353" s="4" t="s">
        <v>3013</v>
      </c>
      <c r="D353" s="4" t="s">
        <v>1298</v>
      </c>
      <c r="E353" s="6">
        <v>43873</v>
      </c>
      <c r="F353" s="7">
        <v>100</v>
      </c>
      <c r="G353" s="7">
        <v>2.7399999999999998</v>
      </c>
    </row>
    <row r="354" spans="1:7">
      <c r="A354" s="4" t="s">
        <v>24</v>
      </c>
      <c r="B354" s="4" t="s">
        <v>145</v>
      </c>
      <c r="C354" s="4" t="s">
        <v>3013</v>
      </c>
      <c r="D354" s="4" t="s">
        <v>843</v>
      </c>
      <c r="E354" s="6">
        <v>43873</v>
      </c>
      <c r="F354" s="7">
        <v>50</v>
      </c>
      <c r="G354" s="7">
        <v>20.239999999999998</v>
      </c>
    </row>
    <row r="355" spans="1:7">
      <c r="A355" s="4" t="s">
        <v>24</v>
      </c>
      <c r="B355" s="4" t="s">
        <v>145</v>
      </c>
      <c r="C355" s="4" t="s">
        <v>3013</v>
      </c>
      <c r="D355" s="4" t="s">
        <v>784</v>
      </c>
      <c r="E355" s="6">
        <v>43873</v>
      </c>
      <c r="F355" s="7">
        <v>1</v>
      </c>
      <c r="G355" s="7">
        <v>0</v>
      </c>
    </row>
    <row r="356" spans="1:7">
      <c r="A356" s="4" t="s">
        <v>29</v>
      </c>
      <c r="B356" s="4" t="s">
        <v>183</v>
      </c>
      <c r="C356" s="4" t="s">
        <v>3014</v>
      </c>
      <c r="D356" s="4" t="s">
        <v>928</v>
      </c>
      <c r="E356" s="6">
        <v>43880</v>
      </c>
      <c r="F356" s="7">
        <v>100</v>
      </c>
      <c r="G356" s="7">
        <v>7.12</v>
      </c>
    </row>
    <row r="357" spans="1:7">
      <c r="A357" s="4" t="s">
        <v>29</v>
      </c>
      <c r="B357" s="4" t="s">
        <v>183</v>
      </c>
      <c r="C357" s="4" t="s">
        <v>3014</v>
      </c>
      <c r="D357" s="4" t="s">
        <v>889</v>
      </c>
      <c r="E357" s="6">
        <v>43880</v>
      </c>
      <c r="F357" s="7">
        <v>50</v>
      </c>
      <c r="G357" s="7">
        <v>0.72</v>
      </c>
    </row>
    <row r="358" spans="1:7">
      <c r="A358" s="4" t="s">
        <v>29</v>
      </c>
      <c r="B358" s="4" t="s">
        <v>183</v>
      </c>
      <c r="C358" s="4" t="s">
        <v>3014</v>
      </c>
      <c r="D358" s="4" t="s">
        <v>1306</v>
      </c>
      <c r="E358" s="6">
        <v>43880</v>
      </c>
      <c r="F358" s="7">
        <v>50</v>
      </c>
      <c r="G358" s="7">
        <v>4.4799999999999995</v>
      </c>
    </row>
    <row r="359" spans="1:7">
      <c r="A359" s="4" t="s">
        <v>29</v>
      </c>
      <c r="B359" s="4" t="s">
        <v>183</v>
      </c>
      <c r="C359" s="4" t="s">
        <v>3014</v>
      </c>
      <c r="D359" s="4" t="s">
        <v>860</v>
      </c>
      <c r="E359" s="6">
        <v>43880</v>
      </c>
      <c r="F359" s="7">
        <v>25</v>
      </c>
      <c r="G359" s="7">
        <v>4.51</v>
      </c>
    </row>
    <row r="360" spans="1:7">
      <c r="A360" s="4" t="s">
        <v>29</v>
      </c>
      <c r="B360" s="4" t="s">
        <v>183</v>
      </c>
      <c r="C360" s="4" t="s">
        <v>3014</v>
      </c>
      <c r="D360" s="4" t="s">
        <v>1304</v>
      </c>
      <c r="E360" s="6">
        <v>43880</v>
      </c>
      <c r="F360" s="7">
        <v>25</v>
      </c>
      <c r="G360" s="7">
        <v>2.15</v>
      </c>
    </row>
    <row r="361" spans="1:7">
      <c r="A361" s="4" t="s">
        <v>29</v>
      </c>
      <c r="B361" s="4" t="s">
        <v>183</v>
      </c>
      <c r="C361" s="4" t="s">
        <v>3014</v>
      </c>
      <c r="D361" s="4" t="s">
        <v>784</v>
      </c>
      <c r="E361" s="6">
        <v>43880</v>
      </c>
      <c r="F361" s="7">
        <v>1</v>
      </c>
      <c r="G361" s="7">
        <v>0</v>
      </c>
    </row>
    <row r="362" spans="1:7">
      <c r="A362" s="4" t="s">
        <v>163</v>
      </c>
      <c r="B362" s="4" t="s">
        <v>164</v>
      </c>
      <c r="C362" s="4" t="s">
        <v>3015</v>
      </c>
      <c r="D362" s="4" t="s">
        <v>1310</v>
      </c>
      <c r="E362" s="6">
        <v>43878</v>
      </c>
      <c r="F362" s="7">
        <v>6</v>
      </c>
      <c r="G362" s="7">
        <v>3.91</v>
      </c>
    </row>
    <row r="363" spans="1:7">
      <c r="A363" s="4" t="s">
        <v>163</v>
      </c>
      <c r="B363" s="4" t="s">
        <v>164</v>
      </c>
      <c r="C363" s="4" t="s">
        <v>3015</v>
      </c>
      <c r="D363" s="4" t="s">
        <v>1310</v>
      </c>
      <c r="E363" s="6">
        <v>43878</v>
      </c>
      <c r="F363" s="7">
        <v>8</v>
      </c>
      <c r="G363" s="7">
        <v>3.91</v>
      </c>
    </row>
    <row r="364" spans="1:7">
      <c r="A364" s="4" t="s">
        <v>163</v>
      </c>
      <c r="B364" s="4" t="s">
        <v>164</v>
      </c>
      <c r="C364" s="4" t="s">
        <v>3015</v>
      </c>
      <c r="D364" s="4" t="s">
        <v>1313</v>
      </c>
      <c r="E364" s="6">
        <v>43878</v>
      </c>
      <c r="F364" s="7">
        <v>14</v>
      </c>
      <c r="G364" s="7">
        <v>1.85</v>
      </c>
    </row>
    <row r="365" spans="1:7">
      <c r="A365" s="4" t="s">
        <v>163</v>
      </c>
      <c r="B365" s="4" t="s">
        <v>164</v>
      </c>
      <c r="C365" s="4" t="s">
        <v>3015</v>
      </c>
      <c r="D365" s="4" t="s">
        <v>1133</v>
      </c>
      <c r="E365" s="6">
        <v>43878</v>
      </c>
      <c r="F365" s="7">
        <v>2</v>
      </c>
      <c r="G365" s="7">
        <v>0.5</v>
      </c>
    </row>
    <row r="366" spans="1:7">
      <c r="A366" s="4" t="s">
        <v>163</v>
      </c>
      <c r="B366" s="4" t="s">
        <v>164</v>
      </c>
      <c r="C366" s="4" t="s">
        <v>3015</v>
      </c>
      <c r="D366" s="4" t="s">
        <v>784</v>
      </c>
      <c r="E366" s="6">
        <v>43878</v>
      </c>
      <c r="F366" s="7">
        <v>1</v>
      </c>
      <c r="G366" s="7">
        <v>0</v>
      </c>
    </row>
    <row r="367" spans="1:7">
      <c r="A367" s="4" t="s">
        <v>175</v>
      </c>
      <c r="B367" s="4" t="s">
        <v>176</v>
      </c>
      <c r="C367" s="4" t="s">
        <v>3016</v>
      </c>
      <c r="D367" s="4" t="s">
        <v>1086</v>
      </c>
      <c r="E367" s="6">
        <v>43880</v>
      </c>
      <c r="F367" s="7">
        <v>300</v>
      </c>
      <c r="G367" s="7">
        <v>1.4300000000000002</v>
      </c>
    </row>
    <row r="368" spans="1:7">
      <c r="A368" s="4" t="s">
        <v>175</v>
      </c>
      <c r="B368" s="4" t="s">
        <v>176</v>
      </c>
      <c r="C368" s="4" t="s">
        <v>3016</v>
      </c>
      <c r="D368" s="4" t="s">
        <v>1049</v>
      </c>
      <c r="E368" s="6">
        <v>43880</v>
      </c>
      <c r="F368" s="7">
        <v>1</v>
      </c>
      <c r="G368" s="7">
        <v>60</v>
      </c>
    </row>
    <row r="369" spans="1:7">
      <c r="A369" s="4" t="s">
        <v>175</v>
      </c>
      <c r="B369" s="4" t="s">
        <v>176</v>
      </c>
      <c r="C369" s="4" t="s">
        <v>3016</v>
      </c>
      <c r="D369" s="4" t="s">
        <v>784</v>
      </c>
      <c r="E369" s="6">
        <v>43880</v>
      </c>
      <c r="F369" s="7">
        <v>1</v>
      </c>
      <c r="G369" s="7">
        <v>0</v>
      </c>
    </row>
    <row r="370" spans="1:7">
      <c r="A370" s="4" t="s">
        <v>12</v>
      </c>
      <c r="B370" s="4" t="s">
        <v>241</v>
      </c>
      <c r="C370" s="4" t="s">
        <v>3017</v>
      </c>
      <c r="D370" s="4" t="s">
        <v>801</v>
      </c>
      <c r="E370" s="6">
        <v>43901</v>
      </c>
      <c r="F370" s="7">
        <v>1500</v>
      </c>
      <c r="G370" s="7">
        <v>0.95</v>
      </c>
    </row>
    <row r="371" spans="1:7">
      <c r="A371" s="4" t="s">
        <v>12</v>
      </c>
      <c r="B371" s="4" t="s">
        <v>241</v>
      </c>
      <c r="C371" s="4" t="s">
        <v>3017</v>
      </c>
      <c r="D371" s="4" t="s">
        <v>784</v>
      </c>
      <c r="E371" s="6">
        <v>43901</v>
      </c>
      <c r="F371" s="7">
        <v>1</v>
      </c>
      <c r="G371" s="7">
        <v>0</v>
      </c>
    </row>
    <row r="372" spans="1:7">
      <c r="A372" s="4" t="s">
        <v>12</v>
      </c>
      <c r="B372" s="4" t="s">
        <v>312</v>
      </c>
      <c r="C372" s="4" t="s">
        <v>3018</v>
      </c>
      <c r="D372" s="4" t="s">
        <v>786</v>
      </c>
      <c r="E372" s="6">
        <v>43929</v>
      </c>
      <c r="F372" s="7">
        <v>2500</v>
      </c>
      <c r="G372" s="7">
        <v>0.74</v>
      </c>
    </row>
    <row r="373" spans="1:7">
      <c r="A373" s="4" t="s">
        <v>12</v>
      </c>
      <c r="B373" s="4" t="s">
        <v>312</v>
      </c>
      <c r="C373" s="4" t="s">
        <v>3018</v>
      </c>
      <c r="D373" s="4" t="s">
        <v>799</v>
      </c>
      <c r="E373" s="6">
        <v>43929</v>
      </c>
      <c r="F373" s="7">
        <v>1000</v>
      </c>
      <c r="G373" s="7">
        <v>0.85</v>
      </c>
    </row>
    <row r="374" spans="1:7">
      <c r="A374" s="4" t="s">
        <v>12</v>
      </c>
      <c r="B374" s="4" t="s">
        <v>312</v>
      </c>
      <c r="C374" s="4" t="s">
        <v>3018</v>
      </c>
      <c r="D374" s="4" t="s">
        <v>784</v>
      </c>
      <c r="E374" s="6">
        <v>43929</v>
      </c>
      <c r="F374" s="7">
        <v>1</v>
      </c>
      <c r="G374" s="7">
        <v>0</v>
      </c>
    </row>
    <row r="375" spans="1:7">
      <c r="A375" s="4" t="s">
        <v>32</v>
      </c>
      <c r="B375" s="4" t="s">
        <v>153</v>
      </c>
      <c r="C375" s="4" t="s">
        <v>3019</v>
      </c>
      <c r="D375" s="4" t="s">
        <v>936</v>
      </c>
      <c r="E375" s="6">
        <v>43875</v>
      </c>
      <c r="F375" s="7">
        <v>100</v>
      </c>
      <c r="G375" s="7">
        <v>0.66</v>
      </c>
    </row>
    <row r="376" spans="1:7">
      <c r="A376" s="4" t="s">
        <v>32</v>
      </c>
      <c r="B376" s="4" t="s">
        <v>153</v>
      </c>
      <c r="C376" s="4" t="s">
        <v>3019</v>
      </c>
      <c r="D376" s="4" t="s">
        <v>784</v>
      </c>
      <c r="E376" s="6">
        <v>43875</v>
      </c>
      <c r="F376" s="7">
        <v>1</v>
      </c>
      <c r="G376" s="7">
        <v>0</v>
      </c>
    </row>
    <row r="377" spans="1:7">
      <c r="A377" s="4" t="s">
        <v>59</v>
      </c>
      <c r="B377" s="4" t="s">
        <v>149</v>
      </c>
      <c r="C377" s="4" t="s">
        <v>3020</v>
      </c>
      <c r="D377" s="4" t="s">
        <v>1339</v>
      </c>
      <c r="E377" s="6">
        <v>43875</v>
      </c>
      <c r="F377" s="7">
        <v>2000</v>
      </c>
      <c r="G377" s="7">
        <v>0.1</v>
      </c>
    </row>
    <row r="378" spans="1:7">
      <c r="A378" s="4" t="s">
        <v>59</v>
      </c>
      <c r="B378" s="4" t="s">
        <v>149</v>
      </c>
      <c r="C378" s="4" t="s">
        <v>3020</v>
      </c>
      <c r="D378" s="4" t="s">
        <v>1341</v>
      </c>
      <c r="E378" s="6">
        <v>43875</v>
      </c>
      <c r="F378" s="7">
        <v>5000</v>
      </c>
      <c r="G378" s="7">
        <v>0.1</v>
      </c>
    </row>
    <row r="379" spans="1:7">
      <c r="A379" s="4" t="s">
        <v>59</v>
      </c>
      <c r="B379" s="4" t="s">
        <v>149</v>
      </c>
      <c r="C379" s="4" t="s">
        <v>3020</v>
      </c>
      <c r="D379" s="4" t="s">
        <v>1343</v>
      </c>
      <c r="E379" s="6">
        <v>43875</v>
      </c>
      <c r="F379" s="7">
        <v>1000</v>
      </c>
      <c r="G379" s="7">
        <v>0.1</v>
      </c>
    </row>
    <row r="380" spans="1:7">
      <c r="A380" s="4" t="s">
        <v>59</v>
      </c>
      <c r="B380" s="4" t="s">
        <v>149</v>
      </c>
      <c r="C380" s="4" t="s">
        <v>3020</v>
      </c>
      <c r="D380" s="4" t="s">
        <v>1345</v>
      </c>
      <c r="E380" s="6">
        <v>43875</v>
      </c>
      <c r="F380" s="7">
        <v>2000</v>
      </c>
      <c r="G380" s="7">
        <v>0.1</v>
      </c>
    </row>
    <row r="381" spans="1:7">
      <c r="A381" s="4" t="s">
        <v>59</v>
      </c>
      <c r="B381" s="4" t="s">
        <v>149</v>
      </c>
      <c r="C381" s="4" t="s">
        <v>3020</v>
      </c>
      <c r="D381" s="4" t="s">
        <v>1347</v>
      </c>
      <c r="E381" s="6">
        <v>43875</v>
      </c>
      <c r="F381" s="7">
        <v>2000</v>
      </c>
      <c r="G381" s="7">
        <v>0.1</v>
      </c>
    </row>
    <row r="382" spans="1:7">
      <c r="A382" s="4" t="s">
        <v>59</v>
      </c>
      <c r="B382" s="4" t="s">
        <v>149</v>
      </c>
      <c r="C382" s="4" t="s">
        <v>3020</v>
      </c>
      <c r="D382" s="4" t="s">
        <v>1349</v>
      </c>
      <c r="E382" s="6">
        <v>43875</v>
      </c>
      <c r="F382" s="7">
        <v>5000</v>
      </c>
      <c r="G382" s="7">
        <v>0.1</v>
      </c>
    </row>
    <row r="383" spans="1:7">
      <c r="A383" s="4" t="s">
        <v>59</v>
      </c>
      <c r="B383" s="4" t="s">
        <v>149</v>
      </c>
      <c r="C383" s="4" t="s">
        <v>3020</v>
      </c>
      <c r="D383" s="4" t="s">
        <v>1351</v>
      </c>
      <c r="E383" s="6">
        <v>43875</v>
      </c>
      <c r="F383" s="7">
        <v>1000</v>
      </c>
      <c r="G383" s="7">
        <v>0.1</v>
      </c>
    </row>
    <row r="384" spans="1:7">
      <c r="A384" s="4" t="s">
        <v>59</v>
      </c>
      <c r="B384" s="4" t="s">
        <v>149</v>
      </c>
      <c r="C384" s="4" t="s">
        <v>3020</v>
      </c>
      <c r="D384" s="4" t="s">
        <v>1005</v>
      </c>
      <c r="E384" s="6">
        <v>43875</v>
      </c>
      <c r="F384" s="7">
        <v>10</v>
      </c>
      <c r="G384" s="7">
        <v>1.65</v>
      </c>
    </row>
    <row r="385" spans="1:7">
      <c r="A385" s="4" t="s">
        <v>59</v>
      </c>
      <c r="B385" s="4" t="s">
        <v>149</v>
      </c>
      <c r="C385" s="4" t="s">
        <v>3020</v>
      </c>
      <c r="D385" s="4" t="s">
        <v>883</v>
      </c>
      <c r="E385" s="6">
        <v>43875</v>
      </c>
      <c r="F385" s="7">
        <v>10</v>
      </c>
      <c r="G385" s="7">
        <v>1.8199999999999998</v>
      </c>
    </row>
    <row r="386" spans="1:7">
      <c r="A386" s="4" t="s">
        <v>59</v>
      </c>
      <c r="B386" s="4" t="s">
        <v>149</v>
      </c>
      <c r="C386" s="4" t="s">
        <v>3020</v>
      </c>
      <c r="D386" s="4" t="s">
        <v>784</v>
      </c>
      <c r="E386" s="6">
        <v>43875</v>
      </c>
      <c r="F386" s="7">
        <v>1</v>
      </c>
      <c r="G386" s="7">
        <v>0</v>
      </c>
    </row>
    <row r="387" spans="1:7">
      <c r="A387" s="4" t="s">
        <v>126</v>
      </c>
      <c r="B387" s="4" t="s">
        <v>155</v>
      </c>
      <c r="C387" s="4" t="s">
        <v>3021</v>
      </c>
      <c r="D387" s="4" t="s">
        <v>889</v>
      </c>
      <c r="E387" s="6">
        <v>43875</v>
      </c>
      <c r="F387" s="7">
        <v>50</v>
      </c>
      <c r="G387" s="7">
        <v>0.72</v>
      </c>
    </row>
    <row r="388" spans="1:7">
      <c r="A388" s="4" t="s">
        <v>126</v>
      </c>
      <c r="B388" s="4" t="s">
        <v>155</v>
      </c>
      <c r="C388" s="4" t="s">
        <v>3021</v>
      </c>
      <c r="D388" s="4" t="s">
        <v>910</v>
      </c>
      <c r="E388" s="6">
        <v>43875</v>
      </c>
      <c r="F388" s="7">
        <v>25</v>
      </c>
      <c r="G388" s="7">
        <v>1.6199999999999999</v>
      </c>
    </row>
    <row r="389" spans="1:7">
      <c r="A389" s="4" t="s">
        <v>126</v>
      </c>
      <c r="B389" s="4" t="s">
        <v>155</v>
      </c>
      <c r="C389" s="4" t="s">
        <v>3021</v>
      </c>
      <c r="D389" s="4" t="s">
        <v>784</v>
      </c>
      <c r="E389" s="6">
        <v>43875</v>
      </c>
      <c r="F389" s="7">
        <v>1</v>
      </c>
      <c r="G389" s="7">
        <v>0</v>
      </c>
    </row>
    <row r="390" spans="1:7">
      <c r="A390" s="4" t="s">
        <v>195</v>
      </c>
      <c r="B390" s="4" t="s">
        <v>196</v>
      </c>
      <c r="C390" s="4" t="s">
        <v>3022</v>
      </c>
      <c r="D390" s="4" t="s">
        <v>1082</v>
      </c>
      <c r="E390" s="6">
        <v>43882</v>
      </c>
      <c r="F390" s="7">
        <v>300</v>
      </c>
      <c r="G390" s="7">
        <v>1.55</v>
      </c>
    </row>
    <row r="391" spans="1:7">
      <c r="A391" s="4" t="s">
        <v>195</v>
      </c>
      <c r="B391" s="4" t="s">
        <v>196</v>
      </c>
      <c r="C391" s="4" t="s">
        <v>3022</v>
      </c>
      <c r="D391" s="4" t="s">
        <v>893</v>
      </c>
      <c r="E391" s="6">
        <v>43882</v>
      </c>
      <c r="F391" s="7">
        <v>50</v>
      </c>
      <c r="G391" s="7">
        <v>4.43</v>
      </c>
    </row>
    <row r="392" spans="1:7">
      <c r="A392" s="4" t="s">
        <v>195</v>
      </c>
      <c r="B392" s="4" t="s">
        <v>196</v>
      </c>
      <c r="C392" s="4" t="s">
        <v>3022</v>
      </c>
      <c r="D392" s="4" t="s">
        <v>784</v>
      </c>
      <c r="E392" s="6">
        <v>43882</v>
      </c>
      <c r="F392" s="7">
        <v>1</v>
      </c>
      <c r="G392" s="7">
        <v>0</v>
      </c>
    </row>
    <row r="393" spans="1:7">
      <c r="A393" s="4" t="s">
        <v>46</v>
      </c>
      <c r="B393" s="4" t="s">
        <v>193</v>
      </c>
      <c r="C393" s="4" t="s">
        <v>3023</v>
      </c>
      <c r="D393" s="4" t="s">
        <v>1290</v>
      </c>
      <c r="E393" s="6">
        <v>43882</v>
      </c>
      <c r="F393" s="7">
        <v>50</v>
      </c>
      <c r="G393" s="7">
        <v>0.63</v>
      </c>
    </row>
    <row r="394" spans="1:7">
      <c r="A394" s="4" t="s">
        <v>46</v>
      </c>
      <c r="B394" s="4" t="s">
        <v>193</v>
      </c>
      <c r="C394" s="4" t="s">
        <v>3023</v>
      </c>
      <c r="D394" s="4" t="s">
        <v>966</v>
      </c>
      <c r="E394" s="6">
        <v>43882</v>
      </c>
      <c r="F394" s="7">
        <v>50</v>
      </c>
      <c r="G394" s="7">
        <v>0.9</v>
      </c>
    </row>
    <row r="395" spans="1:7">
      <c r="A395" s="4" t="s">
        <v>46</v>
      </c>
      <c r="B395" s="4" t="s">
        <v>193</v>
      </c>
      <c r="C395" s="4" t="s">
        <v>3023</v>
      </c>
      <c r="D395" s="4" t="s">
        <v>1364</v>
      </c>
      <c r="E395" s="6">
        <v>43882</v>
      </c>
      <c r="F395" s="7">
        <v>50</v>
      </c>
      <c r="G395" s="7">
        <v>6.4700000000000006</v>
      </c>
    </row>
    <row r="396" spans="1:7">
      <c r="A396" s="4" t="s">
        <v>46</v>
      </c>
      <c r="B396" s="4" t="s">
        <v>193</v>
      </c>
      <c r="C396" s="4" t="s">
        <v>3023</v>
      </c>
      <c r="D396" s="4" t="s">
        <v>1366</v>
      </c>
      <c r="E396" s="6">
        <v>43882</v>
      </c>
      <c r="F396" s="7">
        <v>50</v>
      </c>
      <c r="G396" s="7">
        <v>1.1199999999999999</v>
      </c>
    </row>
    <row r="397" spans="1:7">
      <c r="A397" s="4" t="s">
        <v>46</v>
      </c>
      <c r="B397" s="4" t="s">
        <v>193</v>
      </c>
      <c r="C397" s="4" t="s">
        <v>3023</v>
      </c>
      <c r="D397" s="4" t="s">
        <v>877</v>
      </c>
      <c r="E397" s="6">
        <v>43882</v>
      </c>
      <c r="F397" s="7">
        <v>100</v>
      </c>
      <c r="G397" s="7">
        <v>0.81</v>
      </c>
    </row>
    <row r="398" spans="1:7">
      <c r="A398" s="4" t="s">
        <v>46</v>
      </c>
      <c r="B398" s="4" t="s">
        <v>193</v>
      </c>
      <c r="C398" s="4" t="s">
        <v>3023</v>
      </c>
      <c r="D398" s="4" t="s">
        <v>1369</v>
      </c>
      <c r="E398" s="6">
        <v>43882</v>
      </c>
      <c r="F398" s="7">
        <v>50</v>
      </c>
      <c r="G398" s="7">
        <v>1.69</v>
      </c>
    </row>
    <row r="399" spans="1:7">
      <c r="A399" s="4" t="s">
        <v>46</v>
      </c>
      <c r="B399" s="4" t="s">
        <v>193</v>
      </c>
      <c r="C399" s="4" t="s">
        <v>3023</v>
      </c>
      <c r="D399" s="4" t="s">
        <v>1371</v>
      </c>
      <c r="E399" s="6">
        <v>43882</v>
      </c>
      <c r="F399" s="7">
        <v>200</v>
      </c>
      <c r="G399" s="7">
        <v>2.48</v>
      </c>
    </row>
    <row r="400" spans="1:7">
      <c r="A400" s="4" t="s">
        <v>46</v>
      </c>
      <c r="B400" s="4" t="s">
        <v>193</v>
      </c>
      <c r="C400" s="4" t="s">
        <v>3023</v>
      </c>
      <c r="D400" s="4" t="s">
        <v>1373</v>
      </c>
      <c r="E400" s="6">
        <v>43882</v>
      </c>
      <c r="F400" s="7">
        <v>50</v>
      </c>
      <c r="G400" s="7">
        <v>2.77</v>
      </c>
    </row>
    <row r="401" spans="1:7">
      <c r="A401" s="4" t="s">
        <v>46</v>
      </c>
      <c r="B401" s="4" t="s">
        <v>193</v>
      </c>
      <c r="C401" s="4" t="s">
        <v>3023</v>
      </c>
      <c r="D401" s="4" t="s">
        <v>823</v>
      </c>
      <c r="E401" s="6">
        <v>43882</v>
      </c>
      <c r="F401" s="7">
        <v>50</v>
      </c>
      <c r="G401" s="7">
        <v>5.5</v>
      </c>
    </row>
    <row r="402" spans="1:7">
      <c r="A402" s="4" t="s">
        <v>46</v>
      </c>
      <c r="B402" s="4" t="s">
        <v>193</v>
      </c>
      <c r="C402" s="4" t="s">
        <v>3023</v>
      </c>
      <c r="D402" s="4" t="s">
        <v>1030</v>
      </c>
      <c r="E402" s="6">
        <v>43882</v>
      </c>
      <c r="F402" s="7">
        <v>50</v>
      </c>
      <c r="G402" s="7">
        <v>2.9699999999999998</v>
      </c>
    </row>
    <row r="403" spans="1:7">
      <c r="A403" s="4" t="s">
        <v>46</v>
      </c>
      <c r="B403" s="4" t="s">
        <v>193</v>
      </c>
      <c r="C403" s="4" t="s">
        <v>3023</v>
      </c>
      <c r="D403" s="4" t="s">
        <v>784</v>
      </c>
      <c r="E403" s="6">
        <v>43882</v>
      </c>
      <c r="F403" s="7">
        <v>1</v>
      </c>
      <c r="G403" s="7">
        <v>0</v>
      </c>
    </row>
    <row r="404" spans="1:7">
      <c r="A404" s="4" t="s">
        <v>166</v>
      </c>
      <c r="B404" s="4" t="s">
        <v>167</v>
      </c>
      <c r="C404" s="4" t="s">
        <v>3024</v>
      </c>
      <c r="D404" s="4" t="s">
        <v>964</v>
      </c>
      <c r="E404" s="6">
        <v>43879</v>
      </c>
      <c r="F404" s="7">
        <v>50</v>
      </c>
      <c r="G404" s="7">
        <v>1.24</v>
      </c>
    </row>
    <row r="405" spans="1:7">
      <c r="A405" s="4" t="s">
        <v>166</v>
      </c>
      <c r="B405" s="4" t="s">
        <v>167</v>
      </c>
      <c r="C405" s="4" t="s">
        <v>3024</v>
      </c>
      <c r="D405" s="4" t="s">
        <v>784</v>
      </c>
      <c r="E405" s="6">
        <v>43879</v>
      </c>
      <c r="F405" s="7">
        <v>1</v>
      </c>
      <c r="G405" s="7">
        <v>0</v>
      </c>
    </row>
    <row r="406" spans="1:7">
      <c r="A406" s="4" t="s">
        <v>249</v>
      </c>
      <c r="B406" s="4" t="s">
        <v>250</v>
      </c>
      <c r="C406" s="4" t="s">
        <v>3025</v>
      </c>
      <c r="D406" s="4" t="s">
        <v>1380</v>
      </c>
      <c r="E406" s="6">
        <v>43907</v>
      </c>
      <c r="F406" s="7">
        <v>759</v>
      </c>
      <c r="G406" s="7">
        <v>6.7799999999999994</v>
      </c>
    </row>
    <row r="407" spans="1:7">
      <c r="A407" s="4" t="s">
        <v>249</v>
      </c>
      <c r="B407" s="4" t="s">
        <v>250</v>
      </c>
      <c r="C407" s="4" t="s">
        <v>3025</v>
      </c>
      <c r="D407" s="4" t="s">
        <v>784</v>
      </c>
      <c r="E407" s="6">
        <v>43907</v>
      </c>
      <c r="F407" s="7">
        <v>1</v>
      </c>
      <c r="G407" s="7">
        <v>0</v>
      </c>
    </row>
    <row r="408" spans="1:7">
      <c r="A408" s="4" t="s">
        <v>49</v>
      </c>
      <c r="B408" s="4" t="s">
        <v>191</v>
      </c>
      <c r="C408" s="4" t="s">
        <v>3026</v>
      </c>
      <c r="D408" s="4" t="s">
        <v>1384</v>
      </c>
      <c r="E408" s="6">
        <v>43882</v>
      </c>
      <c r="F408" s="7">
        <v>50</v>
      </c>
      <c r="G408" s="7">
        <v>0.91</v>
      </c>
    </row>
    <row r="409" spans="1:7">
      <c r="A409" s="4" t="s">
        <v>49</v>
      </c>
      <c r="B409" s="4" t="s">
        <v>191</v>
      </c>
      <c r="C409" s="4" t="s">
        <v>3026</v>
      </c>
      <c r="D409" s="4" t="s">
        <v>891</v>
      </c>
      <c r="E409" s="6">
        <v>43882</v>
      </c>
      <c r="F409" s="7">
        <v>50</v>
      </c>
      <c r="G409" s="7">
        <v>1.3699999999999999</v>
      </c>
    </row>
    <row r="410" spans="1:7">
      <c r="A410" s="4" t="s">
        <v>49</v>
      </c>
      <c r="B410" s="4" t="s">
        <v>191</v>
      </c>
      <c r="C410" s="4" t="s">
        <v>3026</v>
      </c>
      <c r="D410" s="4" t="s">
        <v>1063</v>
      </c>
      <c r="E410" s="6">
        <v>43882</v>
      </c>
      <c r="F410" s="7">
        <v>200</v>
      </c>
      <c r="G410" s="7">
        <v>1.06</v>
      </c>
    </row>
    <row r="411" spans="1:7">
      <c r="A411" s="4" t="s">
        <v>49</v>
      </c>
      <c r="B411" s="4" t="s">
        <v>191</v>
      </c>
      <c r="C411" s="4" t="s">
        <v>3026</v>
      </c>
      <c r="D411" s="4" t="s">
        <v>815</v>
      </c>
      <c r="E411" s="6">
        <v>43882</v>
      </c>
      <c r="F411" s="7">
        <v>100</v>
      </c>
      <c r="G411" s="7">
        <v>3.6100000000000003</v>
      </c>
    </row>
    <row r="412" spans="1:7">
      <c r="A412" s="4" t="s">
        <v>49</v>
      </c>
      <c r="B412" s="4" t="s">
        <v>191</v>
      </c>
      <c r="C412" s="4" t="s">
        <v>3026</v>
      </c>
      <c r="D412" s="4" t="s">
        <v>1113</v>
      </c>
      <c r="E412" s="6">
        <v>43882</v>
      </c>
      <c r="F412" s="7">
        <v>100</v>
      </c>
      <c r="G412" s="7">
        <v>8.16</v>
      </c>
    </row>
    <row r="413" spans="1:7">
      <c r="A413" s="4" t="s">
        <v>49</v>
      </c>
      <c r="B413" s="4" t="s">
        <v>191</v>
      </c>
      <c r="C413" s="4" t="s">
        <v>3026</v>
      </c>
      <c r="D413" s="4" t="s">
        <v>885</v>
      </c>
      <c r="E413" s="6">
        <v>43882</v>
      </c>
      <c r="F413" s="7">
        <v>50</v>
      </c>
      <c r="G413" s="7">
        <v>6.4</v>
      </c>
    </row>
    <row r="414" spans="1:7">
      <c r="A414" s="4" t="s">
        <v>49</v>
      </c>
      <c r="B414" s="4" t="s">
        <v>191</v>
      </c>
      <c r="C414" s="4" t="s">
        <v>3026</v>
      </c>
      <c r="D414" s="4" t="s">
        <v>1290</v>
      </c>
      <c r="E414" s="6">
        <v>43882</v>
      </c>
      <c r="F414" s="7">
        <v>50</v>
      </c>
      <c r="G414" s="7">
        <v>0.68</v>
      </c>
    </row>
    <row r="415" spans="1:7">
      <c r="A415" s="4" t="s">
        <v>49</v>
      </c>
      <c r="B415" s="4" t="s">
        <v>191</v>
      </c>
      <c r="C415" s="4" t="s">
        <v>3026</v>
      </c>
      <c r="D415" s="4" t="s">
        <v>817</v>
      </c>
      <c r="E415" s="6">
        <v>43882</v>
      </c>
      <c r="F415" s="7">
        <v>100</v>
      </c>
      <c r="G415" s="7">
        <v>1.64</v>
      </c>
    </row>
    <row r="416" spans="1:7">
      <c r="A416" s="4" t="s">
        <v>49</v>
      </c>
      <c r="B416" s="4" t="s">
        <v>191</v>
      </c>
      <c r="C416" s="4" t="s">
        <v>3026</v>
      </c>
      <c r="D416" s="4" t="s">
        <v>813</v>
      </c>
      <c r="E416" s="6">
        <v>43882</v>
      </c>
      <c r="F416" s="7">
        <v>100</v>
      </c>
      <c r="G416" s="7">
        <v>2.29</v>
      </c>
    </row>
    <row r="417" spans="1:7">
      <c r="A417" s="4" t="s">
        <v>49</v>
      </c>
      <c r="B417" s="4" t="s">
        <v>191</v>
      </c>
      <c r="C417" s="4" t="s">
        <v>3026</v>
      </c>
      <c r="D417" s="4" t="s">
        <v>1394</v>
      </c>
      <c r="E417" s="6">
        <v>43882</v>
      </c>
      <c r="F417" s="7">
        <v>200</v>
      </c>
      <c r="G417" s="7">
        <v>1.02</v>
      </c>
    </row>
    <row r="418" spans="1:7">
      <c r="A418" s="4" t="s">
        <v>49</v>
      </c>
      <c r="B418" s="4" t="s">
        <v>191</v>
      </c>
      <c r="C418" s="4" t="s">
        <v>3026</v>
      </c>
      <c r="D418" s="4" t="s">
        <v>784</v>
      </c>
      <c r="E418" s="6">
        <v>43882</v>
      </c>
      <c r="F418" s="7">
        <v>1</v>
      </c>
      <c r="G418" s="7">
        <v>0</v>
      </c>
    </row>
    <row r="419" spans="1:7">
      <c r="A419" s="4" t="s">
        <v>91</v>
      </c>
      <c r="B419" s="4" t="s">
        <v>214</v>
      </c>
      <c r="C419" s="4" t="s">
        <v>3027</v>
      </c>
      <c r="D419" s="4" t="s">
        <v>925</v>
      </c>
      <c r="E419" s="6">
        <v>43894</v>
      </c>
      <c r="F419" s="7">
        <v>500</v>
      </c>
      <c r="G419" s="7">
        <v>0.13650000000000001</v>
      </c>
    </row>
    <row r="420" spans="1:7">
      <c r="A420" s="4" t="s">
        <v>91</v>
      </c>
      <c r="B420" s="4" t="s">
        <v>214</v>
      </c>
      <c r="C420" s="4" t="s">
        <v>3027</v>
      </c>
      <c r="D420" s="4" t="s">
        <v>784</v>
      </c>
      <c r="E420" s="6">
        <v>43894</v>
      </c>
      <c r="F420" s="7">
        <v>1</v>
      </c>
      <c r="G420" s="7">
        <v>0</v>
      </c>
    </row>
    <row r="421" spans="1:7">
      <c r="A421" s="4" t="s">
        <v>46</v>
      </c>
      <c r="B421" s="4" t="s">
        <v>206</v>
      </c>
      <c r="C421" s="4" t="s">
        <v>3028</v>
      </c>
      <c r="D421" s="4" t="s">
        <v>949</v>
      </c>
      <c r="E421" s="6">
        <v>43892</v>
      </c>
      <c r="F421" s="7">
        <v>150</v>
      </c>
      <c r="G421" s="7">
        <v>0.61</v>
      </c>
    </row>
    <row r="422" spans="1:7">
      <c r="A422" s="4" t="s">
        <v>46</v>
      </c>
      <c r="B422" s="4" t="s">
        <v>206</v>
      </c>
      <c r="C422" s="4" t="s">
        <v>3028</v>
      </c>
      <c r="D422" s="4" t="s">
        <v>1401</v>
      </c>
      <c r="E422" s="6">
        <v>43892</v>
      </c>
      <c r="F422" s="7">
        <v>100</v>
      </c>
      <c r="G422" s="7">
        <v>1.1499999999999999</v>
      </c>
    </row>
    <row r="423" spans="1:7">
      <c r="A423" s="4" t="s">
        <v>46</v>
      </c>
      <c r="B423" s="4" t="s">
        <v>206</v>
      </c>
      <c r="C423" s="4" t="s">
        <v>3028</v>
      </c>
      <c r="D423" s="4" t="s">
        <v>1015</v>
      </c>
      <c r="E423" s="6">
        <v>43892</v>
      </c>
      <c r="F423" s="7">
        <v>100</v>
      </c>
      <c r="G423" s="7">
        <v>1.25</v>
      </c>
    </row>
    <row r="424" spans="1:7">
      <c r="A424" s="4" t="s">
        <v>46</v>
      </c>
      <c r="B424" s="4" t="s">
        <v>206</v>
      </c>
      <c r="C424" s="4" t="s">
        <v>3028</v>
      </c>
      <c r="D424" s="4" t="s">
        <v>1404</v>
      </c>
      <c r="E424" s="6">
        <v>43892</v>
      </c>
      <c r="F424" s="7">
        <v>50</v>
      </c>
      <c r="G424" s="7">
        <v>3.38</v>
      </c>
    </row>
    <row r="425" spans="1:7">
      <c r="A425" s="4" t="s">
        <v>46</v>
      </c>
      <c r="B425" s="4" t="s">
        <v>206</v>
      </c>
      <c r="C425" s="4" t="s">
        <v>3028</v>
      </c>
      <c r="D425" s="4" t="s">
        <v>964</v>
      </c>
      <c r="E425" s="6">
        <v>43892</v>
      </c>
      <c r="F425" s="7">
        <v>350</v>
      </c>
      <c r="G425" s="7">
        <v>1.24</v>
      </c>
    </row>
    <row r="426" spans="1:7">
      <c r="A426" s="4" t="s">
        <v>46</v>
      </c>
      <c r="B426" s="4" t="s">
        <v>206</v>
      </c>
      <c r="C426" s="4" t="s">
        <v>3028</v>
      </c>
      <c r="D426" s="4" t="s">
        <v>873</v>
      </c>
      <c r="E426" s="6">
        <v>43892</v>
      </c>
      <c r="F426" s="7">
        <v>50</v>
      </c>
      <c r="G426" s="7">
        <v>0.52</v>
      </c>
    </row>
    <row r="427" spans="1:7">
      <c r="A427" s="4" t="s">
        <v>46</v>
      </c>
      <c r="B427" s="4" t="s">
        <v>206</v>
      </c>
      <c r="C427" s="4" t="s">
        <v>3028</v>
      </c>
      <c r="D427" s="4" t="s">
        <v>993</v>
      </c>
      <c r="E427" s="6">
        <v>43892</v>
      </c>
      <c r="F427" s="7">
        <v>50</v>
      </c>
      <c r="G427" s="7">
        <v>0.44</v>
      </c>
    </row>
    <row r="428" spans="1:7">
      <c r="A428" s="4" t="s">
        <v>46</v>
      </c>
      <c r="B428" s="4" t="s">
        <v>206</v>
      </c>
      <c r="C428" s="4" t="s">
        <v>3028</v>
      </c>
      <c r="D428" s="4" t="s">
        <v>883</v>
      </c>
      <c r="E428" s="6">
        <v>43892</v>
      </c>
      <c r="F428" s="7">
        <v>50</v>
      </c>
      <c r="G428" s="7">
        <v>1.35</v>
      </c>
    </row>
    <row r="429" spans="1:7">
      <c r="A429" s="4" t="s">
        <v>46</v>
      </c>
      <c r="B429" s="4" t="s">
        <v>206</v>
      </c>
      <c r="C429" s="4" t="s">
        <v>3028</v>
      </c>
      <c r="D429" s="4" t="s">
        <v>784</v>
      </c>
      <c r="E429" s="6">
        <v>43892</v>
      </c>
      <c r="F429" s="7">
        <v>1</v>
      </c>
      <c r="G429" s="7">
        <v>0</v>
      </c>
    </row>
    <row r="430" spans="1:7">
      <c r="A430" s="4" t="s">
        <v>24</v>
      </c>
      <c r="B430" s="4" t="s">
        <v>204</v>
      </c>
      <c r="C430" s="4" t="s">
        <v>3029</v>
      </c>
      <c r="D430" s="4" t="s">
        <v>817</v>
      </c>
      <c r="E430" s="6">
        <v>43889</v>
      </c>
      <c r="F430" s="7">
        <v>350</v>
      </c>
      <c r="G430" s="7">
        <v>1.64</v>
      </c>
    </row>
    <row r="431" spans="1:7">
      <c r="A431" s="4" t="s">
        <v>24</v>
      </c>
      <c r="B431" s="4" t="s">
        <v>204</v>
      </c>
      <c r="C431" s="4" t="s">
        <v>3029</v>
      </c>
      <c r="D431" s="4" t="s">
        <v>1109</v>
      </c>
      <c r="E431" s="6">
        <v>43889</v>
      </c>
      <c r="F431" s="7">
        <v>60</v>
      </c>
      <c r="G431" s="7">
        <v>4.2799999999999994</v>
      </c>
    </row>
    <row r="432" spans="1:7">
      <c r="A432" s="4" t="s">
        <v>24</v>
      </c>
      <c r="B432" s="4" t="s">
        <v>204</v>
      </c>
      <c r="C432" s="4" t="s">
        <v>3029</v>
      </c>
      <c r="D432" s="4" t="s">
        <v>821</v>
      </c>
      <c r="E432" s="6">
        <v>43889</v>
      </c>
      <c r="F432" s="7">
        <v>50</v>
      </c>
      <c r="G432" s="7">
        <v>4.13</v>
      </c>
    </row>
    <row r="433" spans="1:7">
      <c r="A433" s="4" t="s">
        <v>24</v>
      </c>
      <c r="B433" s="4" t="s">
        <v>204</v>
      </c>
      <c r="C433" s="4" t="s">
        <v>3029</v>
      </c>
      <c r="D433" s="4" t="s">
        <v>1096</v>
      </c>
      <c r="E433" s="6">
        <v>43889</v>
      </c>
      <c r="F433" s="7">
        <v>50</v>
      </c>
      <c r="G433" s="7">
        <v>2.84</v>
      </c>
    </row>
    <row r="434" spans="1:7">
      <c r="A434" s="4" t="s">
        <v>24</v>
      </c>
      <c r="B434" s="4" t="s">
        <v>204</v>
      </c>
      <c r="C434" s="4" t="s">
        <v>3029</v>
      </c>
      <c r="D434" s="4" t="s">
        <v>823</v>
      </c>
      <c r="E434" s="6">
        <v>43889</v>
      </c>
      <c r="F434" s="7">
        <v>50</v>
      </c>
      <c r="G434" s="7">
        <v>5.92</v>
      </c>
    </row>
    <row r="435" spans="1:7">
      <c r="A435" s="4" t="s">
        <v>24</v>
      </c>
      <c r="B435" s="4" t="s">
        <v>204</v>
      </c>
      <c r="C435" s="4" t="s">
        <v>3029</v>
      </c>
      <c r="D435" s="4" t="s">
        <v>1298</v>
      </c>
      <c r="E435" s="6">
        <v>43889</v>
      </c>
      <c r="F435" s="7">
        <v>100</v>
      </c>
      <c r="G435" s="7">
        <v>2.7399999999999998</v>
      </c>
    </row>
    <row r="436" spans="1:7">
      <c r="A436" s="4" t="s">
        <v>24</v>
      </c>
      <c r="B436" s="4" t="s">
        <v>204</v>
      </c>
      <c r="C436" s="4" t="s">
        <v>3029</v>
      </c>
      <c r="D436" s="4" t="s">
        <v>784</v>
      </c>
      <c r="E436" s="6">
        <v>43889</v>
      </c>
      <c r="F436" s="7">
        <v>1</v>
      </c>
      <c r="G436" s="7">
        <v>0</v>
      </c>
    </row>
    <row r="437" spans="1:7">
      <c r="A437" s="4" t="s">
        <v>201</v>
      </c>
      <c r="B437" s="4" t="s">
        <v>202</v>
      </c>
      <c r="C437" s="4" t="s">
        <v>3030</v>
      </c>
      <c r="D437" s="4" t="s">
        <v>993</v>
      </c>
      <c r="E437" s="6">
        <v>43887</v>
      </c>
      <c r="F437" s="7">
        <v>50</v>
      </c>
      <c r="G437" s="7">
        <v>0.47</v>
      </c>
    </row>
    <row r="438" spans="1:7">
      <c r="A438" s="4" t="s">
        <v>201</v>
      </c>
      <c r="B438" s="4" t="s">
        <v>202</v>
      </c>
      <c r="C438" s="4" t="s">
        <v>3030</v>
      </c>
      <c r="D438" s="4" t="s">
        <v>873</v>
      </c>
      <c r="E438" s="6">
        <v>43887</v>
      </c>
      <c r="F438" s="7">
        <v>50</v>
      </c>
      <c r="G438" s="7">
        <v>0.56000000000000005</v>
      </c>
    </row>
    <row r="439" spans="1:7">
      <c r="A439" s="4" t="s">
        <v>201</v>
      </c>
      <c r="B439" s="4" t="s">
        <v>202</v>
      </c>
      <c r="C439" s="4" t="s">
        <v>3030</v>
      </c>
      <c r="D439" s="4" t="s">
        <v>881</v>
      </c>
      <c r="E439" s="6">
        <v>43887</v>
      </c>
      <c r="F439" s="7">
        <v>20</v>
      </c>
      <c r="G439" s="7">
        <v>3.05</v>
      </c>
    </row>
    <row r="440" spans="1:7">
      <c r="A440" s="4" t="s">
        <v>201</v>
      </c>
      <c r="B440" s="4" t="s">
        <v>202</v>
      </c>
      <c r="C440" s="4" t="s">
        <v>3030</v>
      </c>
      <c r="D440" s="4" t="s">
        <v>1040</v>
      </c>
      <c r="E440" s="6">
        <v>43887</v>
      </c>
      <c r="F440" s="7">
        <v>5</v>
      </c>
      <c r="G440" s="7">
        <v>2.42</v>
      </c>
    </row>
    <row r="441" spans="1:7">
      <c r="A441" s="4" t="s">
        <v>201</v>
      </c>
      <c r="B441" s="4" t="s">
        <v>202</v>
      </c>
      <c r="C441" s="4" t="s">
        <v>3030</v>
      </c>
      <c r="D441" s="4" t="s">
        <v>1146</v>
      </c>
      <c r="E441" s="6">
        <v>43887</v>
      </c>
      <c r="F441" s="7">
        <v>50</v>
      </c>
      <c r="G441" s="7">
        <v>1.5</v>
      </c>
    </row>
    <row r="442" spans="1:7">
      <c r="A442" s="4" t="s">
        <v>201</v>
      </c>
      <c r="B442" s="4" t="s">
        <v>202</v>
      </c>
      <c r="C442" s="4" t="s">
        <v>3030</v>
      </c>
      <c r="D442" s="4" t="s">
        <v>1290</v>
      </c>
      <c r="E442" s="6">
        <v>43887</v>
      </c>
      <c r="F442" s="7">
        <v>50</v>
      </c>
      <c r="G442" s="7">
        <v>0.68</v>
      </c>
    </row>
    <row r="443" spans="1:7">
      <c r="A443" s="4" t="s">
        <v>201</v>
      </c>
      <c r="B443" s="4" t="s">
        <v>202</v>
      </c>
      <c r="C443" s="4" t="s">
        <v>3030</v>
      </c>
      <c r="D443" s="4" t="s">
        <v>979</v>
      </c>
      <c r="E443" s="6">
        <v>43887</v>
      </c>
      <c r="F443" s="7">
        <v>25</v>
      </c>
      <c r="G443" s="7">
        <v>2.15</v>
      </c>
    </row>
    <row r="444" spans="1:7">
      <c r="A444" s="4" t="s">
        <v>201</v>
      </c>
      <c r="B444" s="4" t="s">
        <v>202</v>
      </c>
      <c r="C444" s="4" t="s">
        <v>3030</v>
      </c>
      <c r="D444" s="4" t="s">
        <v>1290</v>
      </c>
      <c r="E444" s="6">
        <v>43887</v>
      </c>
      <c r="F444" s="7">
        <v>50</v>
      </c>
      <c r="G444" s="7">
        <v>0.68</v>
      </c>
    </row>
    <row r="445" spans="1:7">
      <c r="A445" s="4" t="s">
        <v>201</v>
      </c>
      <c r="B445" s="4" t="s">
        <v>202</v>
      </c>
      <c r="C445" s="4" t="s">
        <v>3030</v>
      </c>
      <c r="D445" s="4" t="s">
        <v>1018</v>
      </c>
      <c r="E445" s="6">
        <v>43887</v>
      </c>
      <c r="F445" s="7">
        <v>50</v>
      </c>
      <c r="G445" s="7">
        <v>0.52</v>
      </c>
    </row>
    <row r="446" spans="1:7">
      <c r="A446" s="4" t="s">
        <v>201</v>
      </c>
      <c r="B446" s="4" t="s">
        <v>202</v>
      </c>
      <c r="C446" s="4" t="s">
        <v>3030</v>
      </c>
      <c r="D446" s="4" t="s">
        <v>853</v>
      </c>
      <c r="E446" s="6">
        <v>43887</v>
      </c>
      <c r="F446" s="7">
        <v>25</v>
      </c>
      <c r="G446" s="7">
        <v>2.96</v>
      </c>
    </row>
    <row r="447" spans="1:7">
      <c r="A447" s="4" t="s">
        <v>201</v>
      </c>
      <c r="B447" s="4" t="s">
        <v>202</v>
      </c>
      <c r="C447" s="4" t="s">
        <v>3030</v>
      </c>
      <c r="D447" s="4" t="s">
        <v>883</v>
      </c>
      <c r="E447" s="6">
        <v>43887</v>
      </c>
      <c r="F447" s="7">
        <v>50</v>
      </c>
      <c r="G447" s="7">
        <v>1.46</v>
      </c>
    </row>
    <row r="448" spans="1:7">
      <c r="A448" s="4" t="s">
        <v>201</v>
      </c>
      <c r="B448" s="4" t="s">
        <v>202</v>
      </c>
      <c r="C448" s="4" t="s">
        <v>3030</v>
      </c>
      <c r="D448" s="4" t="s">
        <v>1030</v>
      </c>
      <c r="E448" s="6">
        <v>43887</v>
      </c>
      <c r="F448" s="7">
        <v>10</v>
      </c>
      <c r="G448" s="7">
        <v>3.2</v>
      </c>
    </row>
    <row r="449" spans="1:7">
      <c r="A449" s="4" t="s">
        <v>201</v>
      </c>
      <c r="B449" s="4" t="s">
        <v>202</v>
      </c>
      <c r="C449" s="4" t="s">
        <v>3030</v>
      </c>
      <c r="D449" s="4" t="s">
        <v>784</v>
      </c>
      <c r="E449" s="6">
        <v>43887</v>
      </c>
      <c r="F449" s="7">
        <v>1</v>
      </c>
      <c r="G449" s="7">
        <v>0</v>
      </c>
    </row>
    <row r="450" spans="1:7">
      <c r="A450" s="4" t="s">
        <v>35</v>
      </c>
      <c r="B450" s="4" t="s">
        <v>276</v>
      </c>
      <c r="C450" s="4" t="s">
        <v>3031</v>
      </c>
      <c r="D450" s="4" t="s">
        <v>1431</v>
      </c>
      <c r="E450" s="6">
        <v>43921</v>
      </c>
      <c r="F450" s="7">
        <v>150</v>
      </c>
      <c r="G450" s="7">
        <v>12.15</v>
      </c>
    </row>
    <row r="451" spans="1:7">
      <c r="A451" s="4" t="s">
        <v>35</v>
      </c>
      <c r="B451" s="4" t="s">
        <v>276</v>
      </c>
      <c r="C451" s="4" t="s">
        <v>3031</v>
      </c>
      <c r="D451" s="4" t="s">
        <v>797</v>
      </c>
      <c r="E451" s="6">
        <v>43921</v>
      </c>
      <c r="F451" s="7">
        <v>1105</v>
      </c>
      <c r="G451" s="7">
        <v>13.78</v>
      </c>
    </row>
    <row r="452" spans="1:7">
      <c r="A452" s="4" t="s">
        <v>35</v>
      </c>
      <c r="B452" s="4" t="s">
        <v>276</v>
      </c>
      <c r="C452" s="4" t="s">
        <v>3031</v>
      </c>
      <c r="D452" s="4" t="s">
        <v>793</v>
      </c>
      <c r="E452" s="6">
        <v>43921</v>
      </c>
      <c r="F452" s="7">
        <v>850</v>
      </c>
      <c r="G452" s="7">
        <v>14.61</v>
      </c>
    </row>
    <row r="453" spans="1:7">
      <c r="A453" s="4" t="s">
        <v>35</v>
      </c>
      <c r="B453" s="4" t="s">
        <v>371</v>
      </c>
      <c r="C453" s="4" t="s">
        <v>3032</v>
      </c>
      <c r="D453" s="4" t="s">
        <v>793</v>
      </c>
      <c r="E453" s="6">
        <v>43959</v>
      </c>
      <c r="F453" s="7">
        <v>900</v>
      </c>
      <c r="G453" s="7">
        <v>14.61</v>
      </c>
    </row>
    <row r="454" spans="1:7">
      <c r="A454" s="4" t="s">
        <v>35</v>
      </c>
      <c r="B454" s="4" t="s">
        <v>371</v>
      </c>
      <c r="C454" s="4" t="s">
        <v>3032</v>
      </c>
      <c r="D454" s="4" t="s">
        <v>797</v>
      </c>
      <c r="E454" s="6">
        <v>43959</v>
      </c>
      <c r="F454" s="7">
        <v>800</v>
      </c>
      <c r="G454" s="7">
        <v>13.78</v>
      </c>
    </row>
    <row r="455" spans="1:7">
      <c r="A455" s="4" t="s">
        <v>35</v>
      </c>
      <c r="B455" s="4" t="s">
        <v>371</v>
      </c>
      <c r="C455" s="4" t="s">
        <v>3032</v>
      </c>
      <c r="D455" s="4" t="s">
        <v>834</v>
      </c>
      <c r="E455" s="6">
        <v>43959</v>
      </c>
      <c r="F455" s="7">
        <v>576</v>
      </c>
      <c r="G455" s="7">
        <v>9.2799999999999994</v>
      </c>
    </row>
    <row r="456" spans="1:7">
      <c r="A456" s="4" t="s">
        <v>46</v>
      </c>
      <c r="B456" s="4" t="s">
        <v>210</v>
      </c>
      <c r="C456" s="4" t="s">
        <v>3033</v>
      </c>
      <c r="D456" s="4" t="s">
        <v>813</v>
      </c>
      <c r="E456" s="6">
        <v>43893</v>
      </c>
      <c r="F456" s="7">
        <v>100</v>
      </c>
      <c r="G456" s="7">
        <v>2.13</v>
      </c>
    </row>
    <row r="457" spans="1:7">
      <c r="A457" s="4" t="s">
        <v>46</v>
      </c>
      <c r="B457" s="4" t="s">
        <v>210</v>
      </c>
      <c r="C457" s="4" t="s">
        <v>3033</v>
      </c>
      <c r="D457" s="4" t="s">
        <v>1439</v>
      </c>
      <c r="E457" s="6">
        <v>43893</v>
      </c>
      <c r="F457" s="7">
        <v>100</v>
      </c>
      <c r="G457" s="7">
        <v>3.3299999999999996</v>
      </c>
    </row>
    <row r="458" spans="1:7">
      <c r="A458" s="4" t="s">
        <v>46</v>
      </c>
      <c r="B458" s="4" t="s">
        <v>210</v>
      </c>
      <c r="C458" s="4" t="s">
        <v>3033</v>
      </c>
      <c r="D458" s="4" t="s">
        <v>1126</v>
      </c>
      <c r="E458" s="6">
        <v>43893</v>
      </c>
      <c r="F458" s="7">
        <v>50</v>
      </c>
      <c r="G458" s="7">
        <v>3.2299999999999995</v>
      </c>
    </row>
    <row r="459" spans="1:7">
      <c r="A459" s="4" t="s">
        <v>46</v>
      </c>
      <c r="B459" s="4" t="s">
        <v>210</v>
      </c>
      <c r="C459" s="4" t="s">
        <v>3033</v>
      </c>
      <c r="D459" s="4" t="s">
        <v>1104</v>
      </c>
      <c r="E459" s="6">
        <v>43893</v>
      </c>
      <c r="F459" s="7">
        <v>50</v>
      </c>
      <c r="G459" s="7">
        <v>1.97</v>
      </c>
    </row>
    <row r="460" spans="1:7">
      <c r="A460" s="4" t="s">
        <v>46</v>
      </c>
      <c r="B460" s="4" t="s">
        <v>210</v>
      </c>
      <c r="C460" s="4" t="s">
        <v>3033</v>
      </c>
      <c r="D460" s="4" t="s">
        <v>1106</v>
      </c>
      <c r="E460" s="6">
        <v>43893</v>
      </c>
      <c r="F460" s="7">
        <v>150</v>
      </c>
      <c r="G460" s="7">
        <v>1.6600000000000001</v>
      </c>
    </row>
    <row r="461" spans="1:7">
      <c r="A461" s="4" t="s">
        <v>46</v>
      </c>
      <c r="B461" s="4" t="s">
        <v>210</v>
      </c>
      <c r="C461" s="4" t="s">
        <v>3033</v>
      </c>
      <c r="D461" s="4" t="s">
        <v>853</v>
      </c>
      <c r="E461" s="6">
        <v>43893</v>
      </c>
      <c r="F461" s="7">
        <v>100</v>
      </c>
      <c r="G461" s="7">
        <v>2.75</v>
      </c>
    </row>
    <row r="462" spans="1:7">
      <c r="A462" s="4" t="s">
        <v>46</v>
      </c>
      <c r="B462" s="4" t="s">
        <v>210</v>
      </c>
      <c r="C462" s="4" t="s">
        <v>3033</v>
      </c>
      <c r="D462" s="4" t="s">
        <v>784</v>
      </c>
      <c r="E462" s="6">
        <v>43893</v>
      </c>
      <c r="F462" s="7">
        <v>1</v>
      </c>
      <c r="G462" s="7">
        <v>0</v>
      </c>
    </row>
    <row r="463" spans="1:7">
      <c r="A463" s="4" t="s">
        <v>255</v>
      </c>
      <c r="B463" s="4" t="s">
        <v>256</v>
      </c>
      <c r="C463" s="4" t="s">
        <v>3034</v>
      </c>
      <c r="D463" s="4" t="s">
        <v>1283</v>
      </c>
      <c r="E463" s="6">
        <v>43907</v>
      </c>
      <c r="F463" s="7">
        <v>10000</v>
      </c>
      <c r="G463" s="7">
        <v>0.125</v>
      </c>
    </row>
    <row r="464" spans="1:7">
      <c r="A464" s="4" t="s">
        <v>255</v>
      </c>
      <c r="B464" s="4" t="s">
        <v>256</v>
      </c>
      <c r="C464" s="4" t="s">
        <v>3034</v>
      </c>
      <c r="D464" s="4" t="s">
        <v>784</v>
      </c>
      <c r="E464" s="6">
        <v>43907</v>
      </c>
      <c r="F464" s="7">
        <v>1</v>
      </c>
      <c r="G464" s="7">
        <v>0</v>
      </c>
    </row>
    <row r="465" spans="1:7">
      <c r="A465" s="4" t="s">
        <v>188</v>
      </c>
      <c r="B465" s="4" t="s">
        <v>330</v>
      </c>
      <c r="C465" s="4" t="s">
        <v>3035</v>
      </c>
      <c r="D465" s="4" t="s">
        <v>1047</v>
      </c>
      <c r="E465" s="6">
        <v>43942</v>
      </c>
      <c r="F465" s="7">
        <v>32850</v>
      </c>
      <c r="G465" s="7">
        <v>0.3</v>
      </c>
    </row>
    <row r="466" spans="1:7">
      <c r="A466" s="4" t="s">
        <v>188</v>
      </c>
      <c r="B466" s="4" t="s">
        <v>330</v>
      </c>
      <c r="C466" s="4" t="s">
        <v>3035</v>
      </c>
      <c r="D466" s="4" t="s">
        <v>1770</v>
      </c>
      <c r="E466" s="6">
        <v>43942</v>
      </c>
      <c r="F466" s="7">
        <v>2</v>
      </c>
      <c r="G466" s="7">
        <v>30</v>
      </c>
    </row>
    <row r="467" spans="1:7">
      <c r="A467" s="4" t="s">
        <v>188</v>
      </c>
      <c r="B467" s="4" t="s">
        <v>330</v>
      </c>
      <c r="C467" s="4" t="s">
        <v>3035</v>
      </c>
      <c r="D467" s="4" t="s">
        <v>1049</v>
      </c>
      <c r="E467" s="6">
        <v>43942</v>
      </c>
      <c r="F467" s="7">
        <v>1</v>
      </c>
      <c r="G467" s="7">
        <v>150</v>
      </c>
    </row>
    <row r="468" spans="1:7">
      <c r="A468" s="4" t="s">
        <v>188</v>
      </c>
      <c r="B468" s="4" t="s">
        <v>330</v>
      </c>
      <c r="C468" s="4" t="s">
        <v>3035</v>
      </c>
      <c r="D468" s="4" t="s">
        <v>784</v>
      </c>
      <c r="E468" s="6">
        <v>43942</v>
      </c>
      <c r="F468" s="7">
        <v>1</v>
      </c>
      <c r="G468" s="7">
        <v>0</v>
      </c>
    </row>
    <row r="469" spans="1:7">
      <c r="A469" s="4" t="s">
        <v>346</v>
      </c>
      <c r="B469" s="4" t="s">
        <v>347</v>
      </c>
      <c r="C469" s="4" t="s">
        <v>3036</v>
      </c>
      <c r="D469" s="4" t="s">
        <v>1451</v>
      </c>
      <c r="E469" s="6">
        <v>43950</v>
      </c>
      <c r="F469" s="7">
        <v>1</v>
      </c>
      <c r="G469" s="7">
        <v>1950</v>
      </c>
    </row>
    <row r="470" spans="1:7">
      <c r="A470" s="4" t="s">
        <v>346</v>
      </c>
      <c r="B470" s="4" t="s">
        <v>347</v>
      </c>
      <c r="C470" s="4" t="s">
        <v>3036</v>
      </c>
      <c r="D470" s="4" t="s">
        <v>840</v>
      </c>
      <c r="E470" s="6">
        <v>43950</v>
      </c>
      <c r="F470" s="7">
        <v>1</v>
      </c>
      <c r="G470" s="7">
        <v>4450</v>
      </c>
    </row>
    <row r="471" spans="1:7">
      <c r="A471" s="4" t="s">
        <v>346</v>
      </c>
      <c r="B471" s="4" t="s">
        <v>347</v>
      </c>
      <c r="C471" s="4" t="s">
        <v>3036</v>
      </c>
      <c r="D471" s="4" t="s">
        <v>784</v>
      </c>
      <c r="E471" s="6">
        <v>43950</v>
      </c>
      <c r="F471" s="7">
        <v>1</v>
      </c>
      <c r="G471" s="7">
        <v>0</v>
      </c>
    </row>
    <row r="472" spans="1:7">
      <c r="A472" s="4" t="s">
        <v>511</v>
      </c>
      <c r="B472" s="4" t="s">
        <v>512</v>
      </c>
      <c r="C472" s="4" t="s">
        <v>3037</v>
      </c>
      <c r="D472" s="4" t="s">
        <v>883</v>
      </c>
      <c r="E472" s="6">
        <v>44013</v>
      </c>
      <c r="F472" s="7">
        <v>300</v>
      </c>
      <c r="G472" s="7">
        <v>1.17</v>
      </c>
    </row>
    <row r="473" spans="1:7">
      <c r="A473" s="4" t="s">
        <v>511</v>
      </c>
      <c r="B473" s="4" t="s">
        <v>512</v>
      </c>
      <c r="C473" s="4" t="s">
        <v>3037</v>
      </c>
      <c r="D473" s="4" t="s">
        <v>891</v>
      </c>
      <c r="E473" s="6">
        <v>44013</v>
      </c>
      <c r="F473" s="7">
        <v>250</v>
      </c>
      <c r="G473" s="7">
        <v>1.1000000000000001</v>
      </c>
    </row>
    <row r="474" spans="1:7">
      <c r="A474" s="4" t="s">
        <v>511</v>
      </c>
      <c r="B474" s="4" t="s">
        <v>512</v>
      </c>
      <c r="C474" s="4" t="s">
        <v>3037</v>
      </c>
      <c r="D474" s="4" t="s">
        <v>1063</v>
      </c>
      <c r="E474" s="6">
        <v>44013</v>
      </c>
      <c r="F474" s="7">
        <v>50</v>
      </c>
      <c r="G474" s="7">
        <v>0.85</v>
      </c>
    </row>
    <row r="475" spans="1:7">
      <c r="A475" s="4" t="s">
        <v>511</v>
      </c>
      <c r="B475" s="4" t="s">
        <v>512</v>
      </c>
      <c r="C475" s="4" t="s">
        <v>3037</v>
      </c>
      <c r="D475" s="4" t="s">
        <v>1026</v>
      </c>
      <c r="E475" s="6">
        <v>44013</v>
      </c>
      <c r="F475" s="7">
        <v>50</v>
      </c>
      <c r="G475" s="7">
        <v>0.72</v>
      </c>
    </row>
    <row r="476" spans="1:7">
      <c r="A476" s="4" t="s">
        <v>511</v>
      </c>
      <c r="B476" s="4" t="s">
        <v>512</v>
      </c>
      <c r="C476" s="4" t="s">
        <v>3037</v>
      </c>
      <c r="D476" s="4" t="s">
        <v>964</v>
      </c>
      <c r="E476" s="6">
        <v>44013</v>
      </c>
      <c r="F476" s="7">
        <v>30</v>
      </c>
      <c r="G476" s="7">
        <v>1.2</v>
      </c>
    </row>
    <row r="477" spans="1:7">
      <c r="A477" s="4" t="s">
        <v>511</v>
      </c>
      <c r="B477" s="4" t="s">
        <v>512</v>
      </c>
      <c r="C477" s="4" t="s">
        <v>3037</v>
      </c>
      <c r="D477" s="4" t="s">
        <v>1028</v>
      </c>
      <c r="E477" s="6">
        <v>44013</v>
      </c>
      <c r="F477" s="7">
        <v>20</v>
      </c>
      <c r="G477" s="7">
        <v>1.45</v>
      </c>
    </row>
    <row r="478" spans="1:7">
      <c r="A478" s="4" t="s">
        <v>511</v>
      </c>
      <c r="B478" s="4" t="s">
        <v>512</v>
      </c>
      <c r="C478" s="4" t="s">
        <v>3037</v>
      </c>
      <c r="D478" s="4" t="s">
        <v>1165</v>
      </c>
      <c r="E478" s="6">
        <v>44013</v>
      </c>
      <c r="F478" s="7">
        <v>50</v>
      </c>
      <c r="G478" s="7">
        <v>1.3199999999999998</v>
      </c>
    </row>
    <row r="479" spans="1:7">
      <c r="A479" s="4" t="s">
        <v>511</v>
      </c>
      <c r="B479" s="4" t="s">
        <v>512</v>
      </c>
      <c r="C479" s="4" t="s">
        <v>3037</v>
      </c>
      <c r="D479" s="4" t="s">
        <v>989</v>
      </c>
      <c r="E479" s="6">
        <v>44013</v>
      </c>
      <c r="F479" s="7">
        <v>50</v>
      </c>
      <c r="G479" s="7">
        <v>1.72</v>
      </c>
    </row>
    <row r="480" spans="1:7">
      <c r="A480" s="4" t="s">
        <v>511</v>
      </c>
      <c r="B480" s="4" t="s">
        <v>512</v>
      </c>
      <c r="C480" s="4" t="s">
        <v>3037</v>
      </c>
      <c r="D480" s="4" t="s">
        <v>916</v>
      </c>
      <c r="E480" s="6">
        <v>44013</v>
      </c>
      <c r="F480" s="7">
        <v>200</v>
      </c>
      <c r="G480" s="7">
        <v>0.72</v>
      </c>
    </row>
    <row r="481" spans="1:7">
      <c r="A481" s="4" t="s">
        <v>511</v>
      </c>
      <c r="B481" s="4" t="s">
        <v>512</v>
      </c>
      <c r="C481" s="4" t="s">
        <v>3037</v>
      </c>
      <c r="D481" s="4" t="s">
        <v>887</v>
      </c>
      <c r="E481" s="6">
        <v>44013</v>
      </c>
      <c r="F481" s="7">
        <v>100</v>
      </c>
      <c r="G481" s="7">
        <v>0.5</v>
      </c>
    </row>
    <row r="482" spans="1:7">
      <c r="A482" s="4" t="s">
        <v>511</v>
      </c>
      <c r="B482" s="4" t="s">
        <v>512</v>
      </c>
      <c r="C482" s="4" t="s">
        <v>3037</v>
      </c>
      <c r="D482" s="4" t="s">
        <v>993</v>
      </c>
      <c r="E482" s="6">
        <v>44013</v>
      </c>
      <c r="F482" s="7">
        <v>100</v>
      </c>
      <c r="G482" s="7">
        <v>0.38</v>
      </c>
    </row>
    <row r="483" spans="1:7">
      <c r="A483" s="4" t="s">
        <v>511</v>
      </c>
      <c r="B483" s="4" t="s">
        <v>512</v>
      </c>
      <c r="C483" s="4" t="s">
        <v>3037</v>
      </c>
      <c r="D483" s="4" t="s">
        <v>982</v>
      </c>
      <c r="E483" s="6">
        <v>44013</v>
      </c>
      <c r="F483" s="7">
        <v>15</v>
      </c>
      <c r="G483" s="7">
        <v>5.5</v>
      </c>
    </row>
    <row r="484" spans="1:7">
      <c r="A484" s="4" t="s">
        <v>511</v>
      </c>
      <c r="B484" s="4" t="s">
        <v>512</v>
      </c>
      <c r="C484" s="4" t="s">
        <v>3037</v>
      </c>
      <c r="D484" s="4" t="s">
        <v>1044</v>
      </c>
      <c r="E484" s="6">
        <v>44013</v>
      </c>
      <c r="F484" s="7">
        <v>15</v>
      </c>
      <c r="G484" s="7">
        <v>6.1</v>
      </c>
    </row>
    <row r="485" spans="1:7">
      <c r="A485" s="4" t="s">
        <v>511</v>
      </c>
      <c r="B485" s="4" t="s">
        <v>512</v>
      </c>
      <c r="C485" s="4" t="s">
        <v>3037</v>
      </c>
      <c r="D485" s="4" t="s">
        <v>955</v>
      </c>
      <c r="E485" s="6">
        <v>44013</v>
      </c>
      <c r="F485" s="7">
        <v>200</v>
      </c>
      <c r="G485" s="7">
        <v>0.52</v>
      </c>
    </row>
    <row r="486" spans="1:7">
      <c r="A486" s="4" t="s">
        <v>511</v>
      </c>
      <c r="B486" s="4" t="s">
        <v>512</v>
      </c>
      <c r="C486" s="4" t="s">
        <v>3037</v>
      </c>
      <c r="D486" s="4" t="s">
        <v>875</v>
      </c>
      <c r="E486" s="6">
        <v>44013</v>
      </c>
      <c r="F486" s="7">
        <v>300</v>
      </c>
      <c r="G486" s="7">
        <v>0.62</v>
      </c>
    </row>
    <row r="487" spans="1:7">
      <c r="A487" s="4" t="s">
        <v>511</v>
      </c>
      <c r="B487" s="4" t="s">
        <v>512</v>
      </c>
      <c r="C487" s="4" t="s">
        <v>3037</v>
      </c>
      <c r="D487" s="4" t="s">
        <v>889</v>
      </c>
      <c r="E487" s="6">
        <v>44013</v>
      </c>
      <c r="F487" s="7">
        <v>300</v>
      </c>
      <c r="G487" s="7">
        <v>0.62</v>
      </c>
    </row>
    <row r="488" spans="1:7">
      <c r="A488" s="4" t="s">
        <v>511</v>
      </c>
      <c r="B488" s="4" t="s">
        <v>512</v>
      </c>
      <c r="C488" s="4" t="s">
        <v>3037</v>
      </c>
      <c r="D488" s="4" t="s">
        <v>1015</v>
      </c>
      <c r="E488" s="6">
        <v>44013</v>
      </c>
      <c r="F488" s="7">
        <v>30</v>
      </c>
      <c r="G488" s="7">
        <v>1.08</v>
      </c>
    </row>
    <row r="489" spans="1:7">
      <c r="A489" s="4" t="s">
        <v>511</v>
      </c>
      <c r="B489" s="4" t="s">
        <v>512</v>
      </c>
      <c r="C489" s="4" t="s">
        <v>3037</v>
      </c>
      <c r="D489" s="4" t="s">
        <v>784</v>
      </c>
      <c r="E489" s="6">
        <v>44013</v>
      </c>
      <c r="F489" s="7">
        <v>1</v>
      </c>
      <c r="G489" s="7">
        <v>0</v>
      </c>
    </row>
    <row r="490" spans="1:7">
      <c r="A490" s="4" t="s">
        <v>231</v>
      </c>
      <c r="B490" s="4" t="s">
        <v>232</v>
      </c>
      <c r="C490" s="4" t="s">
        <v>3038</v>
      </c>
      <c r="D490" s="4" t="s">
        <v>1471</v>
      </c>
      <c r="E490" s="6">
        <v>43900</v>
      </c>
      <c r="F490" s="7">
        <v>15</v>
      </c>
      <c r="G490" s="7">
        <v>5.9399999999999995</v>
      </c>
    </row>
    <row r="491" spans="1:7">
      <c r="A491" s="4" t="s">
        <v>231</v>
      </c>
      <c r="B491" s="4" t="s">
        <v>232</v>
      </c>
      <c r="C491" s="4" t="s">
        <v>3038</v>
      </c>
      <c r="D491" s="4" t="s">
        <v>1471</v>
      </c>
      <c r="E491" s="6">
        <v>43900</v>
      </c>
      <c r="F491" s="7">
        <v>15</v>
      </c>
      <c r="G491" s="7">
        <v>7.9099999999999993</v>
      </c>
    </row>
    <row r="492" spans="1:7">
      <c r="A492" s="4" t="s">
        <v>231</v>
      </c>
      <c r="B492" s="4" t="s">
        <v>232</v>
      </c>
      <c r="C492" s="4" t="s">
        <v>3038</v>
      </c>
      <c r="D492" s="4" t="s">
        <v>784</v>
      </c>
      <c r="E492" s="6">
        <v>43900</v>
      </c>
      <c r="F492" s="7">
        <v>1</v>
      </c>
      <c r="G492" s="7">
        <v>0</v>
      </c>
    </row>
    <row r="493" spans="1:7">
      <c r="A493" s="4" t="s">
        <v>49</v>
      </c>
      <c r="B493" s="4" t="s">
        <v>229</v>
      </c>
      <c r="C493" s="4" t="s">
        <v>3039</v>
      </c>
      <c r="D493" s="4" t="s">
        <v>1373</v>
      </c>
      <c r="E493" s="6">
        <v>43900</v>
      </c>
      <c r="F493" s="7">
        <v>100</v>
      </c>
      <c r="G493" s="7">
        <v>2.98</v>
      </c>
    </row>
    <row r="494" spans="1:7">
      <c r="A494" s="4" t="s">
        <v>49</v>
      </c>
      <c r="B494" s="4" t="s">
        <v>229</v>
      </c>
      <c r="C494" s="4" t="s">
        <v>3039</v>
      </c>
      <c r="D494" s="4" t="s">
        <v>1476</v>
      </c>
      <c r="E494" s="6">
        <v>43900</v>
      </c>
      <c r="F494" s="7">
        <v>100</v>
      </c>
      <c r="G494" s="7">
        <v>4.3100000000000005</v>
      </c>
    </row>
    <row r="495" spans="1:7">
      <c r="A495" s="4" t="s">
        <v>49</v>
      </c>
      <c r="B495" s="4" t="s">
        <v>229</v>
      </c>
      <c r="C495" s="4" t="s">
        <v>3039</v>
      </c>
      <c r="D495" s="4" t="s">
        <v>1222</v>
      </c>
      <c r="E495" s="6">
        <v>43900</v>
      </c>
      <c r="F495" s="7">
        <v>134</v>
      </c>
      <c r="G495" s="7">
        <v>2.04</v>
      </c>
    </row>
    <row r="496" spans="1:7">
      <c r="A496" s="4" t="s">
        <v>49</v>
      </c>
      <c r="B496" s="4" t="s">
        <v>229</v>
      </c>
      <c r="C496" s="4" t="s">
        <v>3039</v>
      </c>
      <c r="D496" s="4" t="s">
        <v>1106</v>
      </c>
      <c r="E496" s="6">
        <v>43900</v>
      </c>
      <c r="F496" s="7">
        <v>50</v>
      </c>
      <c r="G496" s="7">
        <v>1.7899999999999998</v>
      </c>
    </row>
    <row r="497" spans="1:7">
      <c r="A497" s="4" t="s">
        <v>49</v>
      </c>
      <c r="B497" s="4" t="s">
        <v>229</v>
      </c>
      <c r="C497" s="4" t="s">
        <v>3039</v>
      </c>
      <c r="D497" s="4" t="s">
        <v>1492</v>
      </c>
      <c r="E497" s="6">
        <v>43900</v>
      </c>
      <c r="F497" s="7">
        <v>1</v>
      </c>
      <c r="G497" s="7">
        <v>180.45</v>
      </c>
    </row>
    <row r="498" spans="1:7">
      <c r="A498" s="4" t="s">
        <v>49</v>
      </c>
      <c r="B498" s="4" t="s">
        <v>229</v>
      </c>
      <c r="C498" s="4" t="s">
        <v>3039</v>
      </c>
      <c r="D498" s="4" t="s">
        <v>784</v>
      </c>
      <c r="E498" s="6">
        <v>43900</v>
      </c>
      <c r="F498" s="7">
        <v>1</v>
      </c>
      <c r="G498" s="7">
        <v>0</v>
      </c>
    </row>
    <row r="499" spans="1:7">
      <c r="A499" s="4" t="s">
        <v>80</v>
      </c>
      <c r="B499" s="4" t="s">
        <v>219</v>
      </c>
      <c r="C499" s="4" t="s">
        <v>3040</v>
      </c>
      <c r="D499" s="4" t="s">
        <v>993</v>
      </c>
      <c r="E499" s="6">
        <v>43896</v>
      </c>
      <c r="F499" s="7">
        <v>100</v>
      </c>
      <c r="G499" s="7">
        <v>0.84</v>
      </c>
    </row>
    <row r="500" spans="1:7">
      <c r="A500" s="4" t="s">
        <v>80</v>
      </c>
      <c r="B500" s="4" t="s">
        <v>219</v>
      </c>
      <c r="C500" s="4" t="s">
        <v>3040</v>
      </c>
      <c r="D500" s="4" t="s">
        <v>936</v>
      </c>
      <c r="E500" s="6">
        <v>43896</v>
      </c>
      <c r="F500" s="7">
        <v>100</v>
      </c>
      <c r="G500" s="7">
        <v>1.47</v>
      </c>
    </row>
    <row r="501" spans="1:7">
      <c r="A501" s="4" t="s">
        <v>80</v>
      </c>
      <c r="B501" s="4" t="s">
        <v>219</v>
      </c>
      <c r="C501" s="4" t="s">
        <v>3040</v>
      </c>
      <c r="D501" s="4" t="s">
        <v>940</v>
      </c>
      <c r="E501" s="6">
        <v>43896</v>
      </c>
      <c r="F501" s="7">
        <v>50</v>
      </c>
      <c r="G501" s="7">
        <v>2.04</v>
      </c>
    </row>
    <row r="502" spans="1:7">
      <c r="A502" s="4" t="s">
        <v>80</v>
      </c>
      <c r="B502" s="4" t="s">
        <v>219</v>
      </c>
      <c r="C502" s="4" t="s">
        <v>3040</v>
      </c>
      <c r="D502" s="4" t="s">
        <v>1126</v>
      </c>
      <c r="E502" s="6">
        <v>43896</v>
      </c>
      <c r="F502" s="7">
        <v>10</v>
      </c>
      <c r="G502" s="7">
        <v>6.2200000000000006</v>
      </c>
    </row>
    <row r="503" spans="1:7">
      <c r="A503" s="4" t="s">
        <v>80</v>
      </c>
      <c r="B503" s="4" t="s">
        <v>219</v>
      </c>
      <c r="C503" s="4" t="s">
        <v>3040</v>
      </c>
      <c r="D503" s="4" t="s">
        <v>1485</v>
      </c>
      <c r="E503" s="6">
        <v>43896</v>
      </c>
      <c r="F503" s="7">
        <v>100</v>
      </c>
      <c r="G503" s="7">
        <v>4.3100000000000005</v>
      </c>
    </row>
    <row r="504" spans="1:7">
      <c r="A504" s="4" t="s">
        <v>80</v>
      </c>
      <c r="B504" s="4" t="s">
        <v>219</v>
      </c>
      <c r="C504" s="4" t="s">
        <v>3040</v>
      </c>
      <c r="D504" s="4" t="s">
        <v>908</v>
      </c>
      <c r="E504" s="6">
        <v>43896</v>
      </c>
      <c r="F504" s="7">
        <v>50</v>
      </c>
      <c r="G504" s="7">
        <v>1.51</v>
      </c>
    </row>
    <row r="505" spans="1:7">
      <c r="A505" s="4" t="s">
        <v>80</v>
      </c>
      <c r="B505" s="4" t="s">
        <v>219</v>
      </c>
      <c r="C505" s="4" t="s">
        <v>3040</v>
      </c>
      <c r="D505" s="4" t="s">
        <v>1310</v>
      </c>
      <c r="E505" s="6">
        <v>43896</v>
      </c>
      <c r="F505" s="7">
        <v>50</v>
      </c>
      <c r="G505" s="7">
        <v>3.91</v>
      </c>
    </row>
    <row r="506" spans="1:7">
      <c r="A506" s="4" t="s">
        <v>80</v>
      </c>
      <c r="B506" s="4" t="s">
        <v>219</v>
      </c>
      <c r="C506" s="4" t="s">
        <v>3040</v>
      </c>
      <c r="D506" s="4" t="s">
        <v>784</v>
      </c>
      <c r="E506" s="6">
        <v>43896</v>
      </c>
      <c r="F506" s="7">
        <v>1</v>
      </c>
      <c r="G506" s="7">
        <v>0</v>
      </c>
    </row>
    <row r="507" spans="1:7">
      <c r="A507" s="4" t="s">
        <v>166</v>
      </c>
      <c r="B507" s="4" t="s">
        <v>212</v>
      </c>
      <c r="C507" s="4" t="s">
        <v>3041</v>
      </c>
      <c r="D507" s="4" t="s">
        <v>940</v>
      </c>
      <c r="E507" s="6">
        <v>43894</v>
      </c>
      <c r="F507" s="7">
        <v>50</v>
      </c>
      <c r="G507" s="7">
        <v>1.06</v>
      </c>
    </row>
    <row r="508" spans="1:7">
      <c r="A508" s="4" t="s">
        <v>166</v>
      </c>
      <c r="B508" s="4" t="s">
        <v>212</v>
      </c>
      <c r="C508" s="4" t="s">
        <v>3041</v>
      </c>
      <c r="D508" s="4" t="s">
        <v>784</v>
      </c>
      <c r="E508" s="6">
        <v>43894</v>
      </c>
      <c r="F508" s="7">
        <v>1</v>
      </c>
      <c r="G508" s="7">
        <v>0</v>
      </c>
    </row>
    <row r="509" spans="1:7">
      <c r="A509" s="4" t="s">
        <v>101</v>
      </c>
      <c r="B509" s="4" t="s">
        <v>221</v>
      </c>
      <c r="C509" s="4" t="s">
        <v>3042</v>
      </c>
      <c r="D509" s="4" t="s">
        <v>1369</v>
      </c>
      <c r="E509" s="6">
        <v>43896</v>
      </c>
      <c r="F509" s="7">
        <v>5</v>
      </c>
      <c r="G509" s="7">
        <v>3.25</v>
      </c>
    </row>
    <row r="510" spans="1:7">
      <c r="A510" s="4" t="s">
        <v>101</v>
      </c>
      <c r="B510" s="4" t="s">
        <v>221</v>
      </c>
      <c r="C510" s="4" t="s">
        <v>3042</v>
      </c>
      <c r="D510" s="4" t="s">
        <v>784</v>
      </c>
      <c r="E510" s="6">
        <v>43896</v>
      </c>
      <c r="F510" s="7">
        <v>1</v>
      </c>
      <c r="G510" s="7">
        <v>0</v>
      </c>
    </row>
    <row r="511" spans="1:7">
      <c r="A511" s="4" t="s">
        <v>178</v>
      </c>
      <c r="B511" s="4" t="s">
        <v>334</v>
      </c>
      <c r="C511" s="4" t="s">
        <v>3043</v>
      </c>
      <c r="D511" s="4" t="s">
        <v>1179</v>
      </c>
      <c r="E511" s="6">
        <v>43943</v>
      </c>
      <c r="F511" s="7">
        <v>8000</v>
      </c>
      <c r="G511" s="7">
        <v>0.1</v>
      </c>
    </row>
    <row r="512" spans="1:7">
      <c r="A512" s="4" t="s">
        <v>178</v>
      </c>
      <c r="B512" s="4" t="s">
        <v>334</v>
      </c>
      <c r="C512" s="4" t="s">
        <v>3043</v>
      </c>
      <c r="D512" s="4" t="s">
        <v>1181</v>
      </c>
      <c r="E512" s="6">
        <v>43943</v>
      </c>
      <c r="F512" s="7">
        <v>8000</v>
      </c>
      <c r="G512" s="7">
        <v>0.1</v>
      </c>
    </row>
    <row r="513" spans="1:7">
      <c r="A513" s="4" t="s">
        <v>178</v>
      </c>
      <c r="B513" s="4" t="s">
        <v>334</v>
      </c>
      <c r="C513" s="4" t="s">
        <v>3043</v>
      </c>
      <c r="D513" s="4" t="s">
        <v>784</v>
      </c>
      <c r="E513" s="6">
        <v>43943</v>
      </c>
      <c r="F513" s="7">
        <v>1</v>
      </c>
      <c r="G513" s="7">
        <v>0</v>
      </c>
    </row>
    <row r="514" spans="1:7">
      <c r="A514" s="4" t="s">
        <v>216</v>
      </c>
      <c r="B514" s="4" t="s">
        <v>217</v>
      </c>
      <c r="C514" s="4" t="s">
        <v>3044</v>
      </c>
      <c r="D514" s="4" t="s">
        <v>819</v>
      </c>
      <c r="E514" s="6">
        <v>43894</v>
      </c>
      <c r="F514" s="7">
        <v>4</v>
      </c>
      <c r="G514" s="7">
        <v>0</v>
      </c>
    </row>
    <row r="515" spans="1:7">
      <c r="A515" s="4" t="s">
        <v>216</v>
      </c>
      <c r="B515" s="4" t="s">
        <v>217</v>
      </c>
      <c r="C515" s="4" t="s">
        <v>3044</v>
      </c>
      <c r="D515" s="4" t="s">
        <v>784</v>
      </c>
      <c r="E515" s="6">
        <v>43894</v>
      </c>
      <c r="F515" s="7">
        <v>1</v>
      </c>
      <c r="G515" s="7">
        <v>0</v>
      </c>
    </row>
    <row r="516" spans="1:7">
      <c r="A516" s="4" t="s">
        <v>178</v>
      </c>
      <c r="B516" s="4" t="s">
        <v>413</v>
      </c>
      <c r="C516" s="4" t="s">
        <v>3045</v>
      </c>
      <c r="D516" s="4" t="s">
        <v>1179</v>
      </c>
      <c r="E516" s="6">
        <v>43970</v>
      </c>
      <c r="F516" s="7">
        <v>8000</v>
      </c>
      <c r="G516" s="7">
        <v>0.1</v>
      </c>
    </row>
    <row r="517" spans="1:7">
      <c r="A517" s="4" t="s">
        <v>178</v>
      </c>
      <c r="B517" s="4" t="s">
        <v>413</v>
      </c>
      <c r="C517" s="4" t="s">
        <v>3045</v>
      </c>
      <c r="D517" s="4" t="s">
        <v>1181</v>
      </c>
      <c r="E517" s="6">
        <v>43970</v>
      </c>
      <c r="F517" s="7">
        <v>8000</v>
      </c>
      <c r="G517" s="7">
        <v>0.1</v>
      </c>
    </row>
    <row r="518" spans="1:7">
      <c r="A518" s="4" t="s">
        <v>178</v>
      </c>
      <c r="B518" s="4" t="s">
        <v>413</v>
      </c>
      <c r="C518" s="4" t="s">
        <v>3045</v>
      </c>
      <c r="D518" s="4" t="s">
        <v>784</v>
      </c>
      <c r="E518" s="6">
        <v>43970</v>
      </c>
      <c r="F518" s="7">
        <v>1</v>
      </c>
      <c r="G518" s="7">
        <v>35</v>
      </c>
    </row>
    <row r="519" spans="1:7">
      <c r="A519" s="4" t="s">
        <v>178</v>
      </c>
      <c r="B519" s="4" t="s">
        <v>447</v>
      </c>
      <c r="C519" s="4" t="s">
        <v>3046</v>
      </c>
      <c r="D519" s="4" t="s">
        <v>1179</v>
      </c>
      <c r="E519" s="6">
        <v>44005</v>
      </c>
      <c r="F519" s="7">
        <v>8262</v>
      </c>
      <c r="G519" s="7">
        <v>0.1</v>
      </c>
    </row>
    <row r="520" spans="1:7">
      <c r="A520" s="4" t="s">
        <v>178</v>
      </c>
      <c r="B520" s="4" t="s">
        <v>447</v>
      </c>
      <c r="C520" s="4" t="s">
        <v>3046</v>
      </c>
      <c r="D520" s="4" t="s">
        <v>1181</v>
      </c>
      <c r="E520" s="6">
        <v>44005</v>
      </c>
      <c r="F520" s="7">
        <v>8000</v>
      </c>
      <c r="G520" s="7">
        <v>0.1</v>
      </c>
    </row>
    <row r="521" spans="1:7">
      <c r="A521" s="4" t="s">
        <v>178</v>
      </c>
      <c r="B521" s="4" t="s">
        <v>447</v>
      </c>
      <c r="C521" s="4" t="s">
        <v>3046</v>
      </c>
      <c r="D521" s="4" t="s">
        <v>784</v>
      </c>
      <c r="E521" s="6">
        <v>44005</v>
      </c>
      <c r="F521" s="7">
        <v>1</v>
      </c>
      <c r="G521" s="7">
        <v>0</v>
      </c>
    </row>
    <row r="522" spans="1:7">
      <c r="A522" s="4" t="s">
        <v>32</v>
      </c>
      <c r="B522" s="4" t="s">
        <v>225</v>
      </c>
      <c r="C522" s="4" t="s">
        <v>3047</v>
      </c>
      <c r="D522" s="4" t="s">
        <v>1131</v>
      </c>
      <c r="E522" s="6">
        <v>43900</v>
      </c>
      <c r="F522" s="7">
        <v>50</v>
      </c>
      <c r="G522" s="7">
        <v>0.19</v>
      </c>
    </row>
    <row r="523" spans="1:7">
      <c r="A523" s="4" t="s">
        <v>32</v>
      </c>
      <c r="B523" s="4" t="s">
        <v>225</v>
      </c>
      <c r="C523" s="4" t="s">
        <v>3047</v>
      </c>
      <c r="D523" s="4" t="s">
        <v>993</v>
      </c>
      <c r="E523" s="6">
        <v>43900</v>
      </c>
      <c r="F523" s="7">
        <v>150</v>
      </c>
      <c r="G523" s="7">
        <v>0.38</v>
      </c>
    </row>
    <row r="524" spans="1:7">
      <c r="A524" s="4" t="s">
        <v>32</v>
      </c>
      <c r="B524" s="4" t="s">
        <v>225</v>
      </c>
      <c r="C524" s="4" t="s">
        <v>3047</v>
      </c>
      <c r="D524" s="4" t="s">
        <v>1137</v>
      </c>
      <c r="E524" s="6">
        <v>43900</v>
      </c>
      <c r="F524" s="7">
        <v>150</v>
      </c>
      <c r="G524" s="7">
        <v>0.46</v>
      </c>
    </row>
    <row r="525" spans="1:7">
      <c r="A525" s="4" t="s">
        <v>32</v>
      </c>
      <c r="B525" s="4" t="s">
        <v>225</v>
      </c>
      <c r="C525" s="4" t="s">
        <v>3047</v>
      </c>
      <c r="D525" s="4" t="s">
        <v>1325</v>
      </c>
      <c r="E525" s="6">
        <v>43900</v>
      </c>
      <c r="F525" s="7">
        <v>50</v>
      </c>
      <c r="G525" s="7">
        <v>0.72</v>
      </c>
    </row>
    <row r="526" spans="1:7">
      <c r="A526" s="4" t="s">
        <v>32</v>
      </c>
      <c r="B526" s="4" t="s">
        <v>225</v>
      </c>
      <c r="C526" s="4" t="s">
        <v>3047</v>
      </c>
      <c r="D526" s="4" t="s">
        <v>942</v>
      </c>
      <c r="E526" s="6">
        <v>43900</v>
      </c>
      <c r="F526" s="7">
        <v>50</v>
      </c>
      <c r="G526" s="7">
        <v>1.44</v>
      </c>
    </row>
    <row r="527" spans="1:7">
      <c r="A527" s="4" t="s">
        <v>32</v>
      </c>
      <c r="B527" s="4" t="s">
        <v>225</v>
      </c>
      <c r="C527" s="4" t="s">
        <v>3047</v>
      </c>
      <c r="D527" s="4" t="s">
        <v>1063</v>
      </c>
      <c r="E527" s="6">
        <v>43900</v>
      </c>
      <c r="F527" s="7">
        <v>20</v>
      </c>
      <c r="G527" s="7">
        <v>0.85</v>
      </c>
    </row>
    <row r="528" spans="1:7">
      <c r="A528" s="4" t="s">
        <v>32</v>
      </c>
      <c r="B528" s="4" t="s">
        <v>225</v>
      </c>
      <c r="C528" s="4" t="s">
        <v>3047</v>
      </c>
      <c r="D528" s="4" t="s">
        <v>987</v>
      </c>
      <c r="E528" s="6">
        <v>43900</v>
      </c>
      <c r="F528" s="7">
        <v>20</v>
      </c>
      <c r="G528" s="7">
        <v>0.85</v>
      </c>
    </row>
    <row r="529" spans="1:7">
      <c r="A529" s="4" t="s">
        <v>32</v>
      </c>
      <c r="B529" s="4" t="s">
        <v>225</v>
      </c>
      <c r="C529" s="4" t="s">
        <v>3047</v>
      </c>
      <c r="D529" s="4" t="s">
        <v>1026</v>
      </c>
      <c r="E529" s="6">
        <v>43900</v>
      </c>
      <c r="F529" s="7">
        <v>30</v>
      </c>
      <c r="G529" s="7">
        <v>0.72</v>
      </c>
    </row>
    <row r="530" spans="1:7">
      <c r="A530" s="4" t="s">
        <v>32</v>
      </c>
      <c r="B530" s="4" t="s">
        <v>225</v>
      </c>
      <c r="C530" s="4" t="s">
        <v>3047</v>
      </c>
      <c r="D530" s="4" t="s">
        <v>1146</v>
      </c>
      <c r="E530" s="6">
        <v>43900</v>
      </c>
      <c r="F530" s="7">
        <v>25</v>
      </c>
      <c r="G530" s="7">
        <v>1.2</v>
      </c>
    </row>
    <row r="531" spans="1:7">
      <c r="A531" s="4" t="s">
        <v>32</v>
      </c>
      <c r="B531" s="4" t="s">
        <v>225</v>
      </c>
      <c r="C531" s="4" t="s">
        <v>3047</v>
      </c>
      <c r="D531" s="4" t="s">
        <v>1516</v>
      </c>
      <c r="E531" s="6">
        <v>43900</v>
      </c>
      <c r="F531" s="7">
        <v>50</v>
      </c>
      <c r="G531" s="7">
        <v>1.89</v>
      </c>
    </row>
    <row r="532" spans="1:7">
      <c r="A532" s="4" t="s">
        <v>32</v>
      </c>
      <c r="B532" s="4" t="s">
        <v>225</v>
      </c>
      <c r="C532" s="4" t="s">
        <v>3047</v>
      </c>
      <c r="D532" s="4" t="s">
        <v>784</v>
      </c>
      <c r="E532" s="6">
        <v>43900</v>
      </c>
      <c r="F532" s="7">
        <v>1</v>
      </c>
      <c r="G532" s="7">
        <v>0</v>
      </c>
    </row>
    <row r="533" spans="1:7">
      <c r="A533" s="4" t="s">
        <v>231</v>
      </c>
      <c r="B533" s="4" t="s">
        <v>234</v>
      </c>
      <c r="C533" s="4" t="s">
        <v>3048</v>
      </c>
      <c r="D533" s="4" t="s">
        <v>1471</v>
      </c>
      <c r="E533" s="6">
        <v>43900</v>
      </c>
      <c r="F533" s="7">
        <v>20</v>
      </c>
      <c r="G533" s="7">
        <v>5.9399999999999995</v>
      </c>
    </row>
    <row r="534" spans="1:7">
      <c r="A534" s="4" t="s">
        <v>231</v>
      </c>
      <c r="B534" s="4" t="s">
        <v>234</v>
      </c>
      <c r="C534" s="4" t="s">
        <v>3048</v>
      </c>
      <c r="D534" s="4" t="s">
        <v>1471</v>
      </c>
      <c r="E534" s="6">
        <v>43900</v>
      </c>
      <c r="F534" s="7">
        <v>25</v>
      </c>
      <c r="G534" s="7">
        <v>7.9099999999999993</v>
      </c>
    </row>
    <row r="535" spans="1:7">
      <c r="A535" s="4" t="s">
        <v>231</v>
      </c>
      <c r="B535" s="4" t="s">
        <v>234</v>
      </c>
      <c r="C535" s="4" t="s">
        <v>3048</v>
      </c>
      <c r="D535" s="4" t="s">
        <v>784</v>
      </c>
      <c r="E535" s="6">
        <v>43900</v>
      </c>
      <c r="F535" s="7">
        <v>1</v>
      </c>
      <c r="G535" s="7">
        <v>0</v>
      </c>
    </row>
    <row r="536" spans="1:7">
      <c r="A536" s="4" t="s">
        <v>46</v>
      </c>
      <c r="B536" s="4" t="s">
        <v>239</v>
      </c>
      <c r="C536" s="4" t="s">
        <v>3049</v>
      </c>
      <c r="D536" s="4" t="s">
        <v>993</v>
      </c>
      <c r="E536" s="6">
        <v>43901</v>
      </c>
      <c r="F536" s="7">
        <v>100</v>
      </c>
      <c r="G536" s="7">
        <v>0.44</v>
      </c>
    </row>
    <row r="537" spans="1:7">
      <c r="A537" s="4" t="s">
        <v>46</v>
      </c>
      <c r="B537" s="4" t="s">
        <v>239</v>
      </c>
      <c r="C537" s="4" t="s">
        <v>3049</v>
      </c>
      <c r="D537" s="4" t="s">
        <v>936</v>
      </c>
      <c r="E537" s="6">
        <v>43901</v>
      </c>
      <c r="F537" s="7">
        <v>100</v>
      </c>
      <c r="G537" s="7">
        <v>0.76</v>
      </c>
    </row>
    <row r="538" spans="1:7">
      <c r="A538" s="4" t="s">
        <v>46</v>
      </c>
      <c r="B538" s="4" t="s">
        <v>239</v>
      </c>
      <c r="C538" s="4" t="s">
        <v>3049</v>
      </c>
      <c r="D538" s="4" t="s">
        <v>940</v>
      </c>
      <c r="E538" s="6">
        <v>43901</v>
      </c>
      <c r="F538" s="7">
        <v>100</v>
      </c>
      <c r="G538" s="7">
        <v>1.06</v>
      </c>
    </row>
    <row r="539" spans="1:7">
      <c r="A539" s="4" t="s">
        <v>46</v>
      </c>
      <c r="B539" s="4" t="s">
        <v>239</v>
      </c>
      <c r="C539" s="4" t="s">
        <v>3049</v>
      </c>
      <c r="D539" s="4" t="s">
        <v>813</v>
      </c>
      <c r="E539" s="6">
        <v>43901</v>
      </c>
      <c r="F539" s="7">
        <v>50</v>
      </c>
      <c r="G539" s="7">
        <v>2.13</v>
      </c>
    </row>
    <row r="540" spans="1:7">
      <c r="A540" s="4" t="s">
        <v>46</v>
      </c>
      <c r="B540" s="4" t="s">
        <v>239</v>
      </c>
      <c r="C540" s="4" t="s">
        <v>3049</v>
      </c>
      <c r="D540" s="4" t="s">
        <v>942</v>
      </c>
      <c r="E540" s="6">
        <v>43901</v>
      </c>
      <c r="F540" s="7">
        <v>100</v>
      </c>
      <c r="G540" s="7">
        <v>1.6600000000000001</v>
      </c>
    </row>
    <row r="541" spans="1:7">
      <c r="A541" s="4" t="s">
        <v>46</v>
      </c>
      <c r="B541" s="4" t="s">
        <v>239</v>
      </c>
      <c r="C541" s="4" t="s">
        <v>3049</v>
      </c>
      <c r="D541" s="4" t="s">
        <v>1527</v>
      </c>
      <c r="E541" s="6">
        <v>43901</v>
      </c>
      <c r="F541" s="7">
        <v>50</v>
      </c>
      <c r="G541" s="7">
        <v>3.53</v>
      </c>
    </row>
    <row r="542" spans="1:7">
      <c r="A542" s="4" t="s">
        <v>46</v>
      </c>
      <c r="B542" s="4" t="s">
        <v>239</v>
      </c>
      <c r="C542" s="4" t="s">
        <v>3049</v>
      </c>
      <c r="D542" s="4" t="s">
        <v>1042</v>
      </c>
      <c r="E542" s="6">
        <v>43901</v>
      </c>
      <c r="F542" s="7">
        <v>50</v>
      </c>
      <c r="G542" s="7">
        <v>0.73</v>
      </c>
    </row>
    <row r="543" spans="1:7">
      <c r="A543" s="4" t="s">
        <v>46</v>
      </c>
      <c r="B543" s="4" t="s">
        <v>239</v>
      </c>
      <c r="C543" s="4" t="s">
        <v>3049</v>
      </c>
      <c r="D543" s="4" t="s">
        <v>1530</v>
      </c>
      <c r="E543" s="6">
        <v>43901</v>
      </c>
      <c r="F543" s="7">
        <v>50</v>
      </c>
      <c r="G543" s="7">
        <v>2.25</v>
      </c>
    </row>
    <row r="544" spans="1:7">
      <c r="A544" s="4" t="s">
        <v>46</v>
      </c>
      <c r="B544" s="4" t="s">
        <v>239</v>
      </c>
      <c r="C544" s="4" t="s">
        <v>3049</v>
      </c>
      <c r="D544" s="4" t="s">
        <v>1146</v>
      </c>
      <c r="E544" s="6">
        <v>43901</v>
      </c>
      <c r="F544" s="7">
        <v>50</v>
      </c>
      <c r="G544" s="7">
        <v>1.3900000000000001</v>
      </c>
    </row>
    <row r="545" spans="1:7">
      <c r="A545" s="4" t="s">
        <v>46</v>
      </c>
      <c r="B545" s="4" t="s">
        <v>239</v>
      </c>
      <c r="C545" s="4" t="s">
        <v>3049</v>
      </c>
      <c r="D545" s="4" t="s">
        <v>1165</v>
      </c>
      <c r="E545" s="6">
        <v>43901</v>
      </c>
      <c r="F545" s="7">
        <v>50</v>
      </c>
      <c r="G545" s="7">
        <v>1.52</v>
      </c>
    </row>
    <row r="546" spans="1:7">
      <c r="A546" s="4" t="s">
        <v>46</v>
      </c>
      <c r="B546" s="4" t="s">
        <v>239</v>
      </c>
      <c r="C546" s="4" t="s">
        <v>3049</v>
      </c>
      <c r="D546" s="4" t="s">
        <v>885</v>
      </c>
      <c r="E546" s="6">
        <v>43901</v>
      </c>
      <c r="F546" s="7">
        <v>50</v>
      </c>
      <c r="G546" s="7">
        <v>5.9399999999999995</v>
      </c>
    </row>
    <row r="547" spans="1:7">
      <c r="A547" s="4" t="s">
        <v>46</v>
      </c>
      <c r="B547" s="4" t="s">
        <v>239</v>
      </c>
      <c r="C547" s="4" t="s">
        <v>3049</v>
      </c>
      <c r="D547" s="4" t="s">
        <v>1032</v>
      </c>
      <c r="E547" s="6">
        <v>43901</v>
      </c>
      <c r="F547" s="7">
        <v>50</v>
      </c>
      <c r="G547" s="7">
        <v>3.79</v>
      </c>
    </row>
    <row r="548" spans="1:7">
      <c r="A548" s="4" t="s">
        <v>46</v>
      </c>
      <c r="B548" s="4" t="s">
        <v>239</v>
      </c>
      <c r="C548" s="4" t="s">
        <v>3049</v>
      </c>
      <c r="D548" s="4" t="s">
        <v>784</v>
      </c>
      <c r="E548" s="6">
        <v>43901</v>
      </c>
      <c r="F548" s="7">
        <v>1</v>
      </c>
      <c r="G548" s="7">
        <v>0</v>
      </c>
    </row>
    <row r="549" spans="1:7">
      <c r="A549" s="4" t="s">
        <v>38</v>
      </c>
      <c r="B549" s="4" t="s">
        <v>227</v>
      </c>
      <c r="C549" s="4" t="s">
        <v>3050</v>
      </c>
      <c r="D549" s="4" t="s">
        <v>1537</v>
      </c>
      <c r="E549" s="6">
        <v>43900</v>
      </c>
      <c r="F549" s="7">
        <v>1</v>
      </c>
      <c r="G549" s="7">
        <v>925</v>
      </c>
    </row>
    <row r="550" spans="1:7">
      <c r="A550" s="4" t="s">
        <v>38</v>
      </c>
      <c r="B550" s="4" t="s">
        <v>227</v>
      </c>
      <c r="C550" s="4" t="s">
        <v>3050</v>
      </c>
      <c r="D550" s="4" t="s">
        <v>784</v>
      </c>
      <c r="E550" s="6">
        <v>43900</v>
      </c>
      <c r="F550" s="7">
        <v>1</v>
      </c>
      <c r="G550" s="7">
        <v>0</v>
      </c>
    </row>
    <row r="551" spans="1:7">
      <c r="A551" s="4" t="s">
        <v>38</v>
      </c>
      <c r="B551" s="4" t="s">
        <v>272</v>
      </c>
      <c r="C551" s="4" t="s">
        <v>3051</v>
      </c>
      <c r="D551" s="4" t="s">
        <v>826</v>
      </c>
      <c r="E551" s="6">
        <v>43917</v>
      </c>
      <c r="F551" s="7">
        <v>1</v>
      </c>
      <c r="G551" s="7">
        <v>2550</v>
      </c>
    </row>
    <row r="552" spans="1:7">
      <c r="A552" s="4" t="s">
        <v>38</v>
      </c>
      <c r="B552" s="4" t="s">
        <v>272</v>
      </c>
      <c r="C552" s="4" t="s">
        <v>3051</v>
      </c>
      <c r="D552" s="4" t="s">
        <v>840</v>
      </c>
      <c r="E552" s="6">
        <v>43917</v>
      </c>
      <c r="F552" s="7">
        <v>1</v>
      </c>
      <c r="G552" s="7">
        <v>250</v>
      </c>
    </row>
    <row r="553" spans="1:7">
      <c r="A553" s="4" t="s">
        <v>38</v>
      </c>
      <c r="B553" s="4" t="s">
        <v>272</v>
      </c>
      <c r="C553" s="4" t="s">
        <v>3051</v>
      </c>
      <c r="D553" s="4" t="s">
        <v>784</v>
      </c>
      <c r="E553" s="6">
        <v>43917</v>
      </c>
      <c r="F553" s="7">
        <v>1</v>
      </c>
      <c r="G553" s="7">
        <v>0</v>
      </c>
    </row>
    <row r="554" spans="1:7">
      <c r="A554" s="4" t="s">
        <v>12</v>
      </c>
      <c r="B554" s="4" t="s">
        <v>395</v>
      </c>
      <c r="C554" s="4" t="s">
        <v>3052</v>
      </c>
      <c r="D554" s="4" t="s">
        <v>786</v>
      </c>
      <c r="E554" s="6">
        <v>43970</v>
      </c>
      <c r="F554" s="7">
        <v>2000</v>
      </c>
      <c r="G554" s="7">
        <v>0.74</v>
      </c>
    </row>
    <row r="555" spans="1:7">
      <c r="A555" s="4" t="s">
        <v>12</v>
      </c>
      <c r="B555" s="4" t="s">
        <v>395</v>
      </c>
      <c r="C555" s="4" t="s">
        <v>3052</v>
      </c>
      <c r="D555" s="4" t="s">
        <v>799</v>
      </c>
      <c r="E555" s="6">
        <v>43970</v>
      </c>
      <c r="F555" s="7">
        <v>1000</v>
      </c>
      <c r="G555" s="7">
        <v>0.85</v>
      </c>
    </row>
    <row r="556" spans="1:7">
      <c r="A556" s="4" t="s">
        <v>12</v>
      </c>
      <c r="B556" s="4" t="s">
        <v>395</v>
      </c>
      <c r="C556" s="4" t="s">
        <v>3052</v>
      </c>
      <c r="D556" s="4" t="s">
        <v>784</v>
      </c>
      <c r="E556" s="6">
        <v>43970</v>
      </c>
      <c r="F556" s="7">
        <v>1</v>
      </c>
      <c r="G556" s="7">
        <v>0</v>
      </c>
    </row>
    <row r="557" spans="1:7">
      <c r="A557" s="4" t="s">
        <v>12</v>
      </c>
      <c r="B557" s="4" t="s">
        <v>397</v>
      </c>
      <c r="C557" s="4" t="s">
        <v>3053</v>
      </c>
      <c r="D557" s="4" t="s">
        <v>786</v>
      </c>
      <c r="E557" s="6">
        <v>43970</v>
      </c>
      <c r="F557" s="7">
        <v>4500</v>
      </c>
      <c r="G557" s="7">
        <v>0.74</v>
      </c>
    </row>
    <row r="558" spans="1:7">
      <c r="A558" s="4" t="s">
        <v>12</v>
      </c>
      <c r="B558" s="4" t="s">
        <v>397</v>
      </c>
      <c r="C558" s="4" t="s">
        <v>3053</v>
      </c>
      <c r="D558" s="4" t="s">
        <v>799</v>
      </c>
      <c r="E558" s="6">
        <v>43970</v>
      </c>
      <c r="F558" s="7">
        <v>750</v>
      </c>
      <c r="G558" s="7">
        <v>0.85</v>
      </c>
    </row>
    <row r="559" spans="1:7">
      <c r="A559" s="4" t="s">
        <v>12</v>
      </c>
      <c r="B559" s="4" t="s">
        <v>397</v>
      </c>
      <c r="C559" s="4" t="s">
        <v>3053</v>
      </c>
      <c r="D559" s="4" t="s">
        <v>801</v>
      </c>
      <c r="E559" s="6">
        <v>43970</v>
      </c>
      <c r="F559" s="7">
        <v>750</v>
      </c>
      <c r="G559" s="7">
        <v>0.95</v>
      </c>
    </row>
    <row r="560" spans="1:7">
      <c r="A560" s="4" t="s">
        <v>12</v>
      </c>
      <c r="B560" s="4" t="s">
        <v>397</v>
      </c>
      <c r="C560" s="4" t="s">
        <v>3053</v>
      </c>
      <c r="D560" s="4" t="s">
        <v>784</v>
      </c>
      <c r="E560" s="6">
        <v>43970</v>
      </c>
      <c r="F560" s="7">
        <v>1</v>
      </c>
      <c r="G560" s="7">
        <v>0</v>
      </c>
    </row>
    <row r="561" spans="1:7">
      <c r="A561" s="4" t="s">
        <v>166</v>
      </c>
      <c r="B561" s="4" t="s">
        <v>223</v>
      </c>
      <c r="C561" s="4" t="s">
        <v>3054</v>
      </c>
      <c r="D561" s="4" t="s">
        <v>1364</v>
      </c>
      <c r="E561" s="6">
        <v>43900</v>
      </c>
      <c r="F561" s="7">
        <v>18</v>
      </c>
      <c r="G561" s="7">
        <v>6.4700000000000006</v>
      </c>
    </row>
    <row r="562" spans="1:7">
      <c r="A562" s="4" t="s">
        <v>166</v>
      </c>
      <c r="B562" s="4" t="s">
        <v>223</v>
      </c>
      <c r="C562" s="4" t="s">
        <v>3054</v>
      </c>
      <c r="D562" s="4" t="s">
        <v>784</v>
      </c>
      <c r="E562" s="6">
        <v>43900</v>
      </c>
      <c r="F562" s="7">
        <v>1</v>
      </c>
      <c r="G562" s="7">
        <v>0</v>
      </c>
    </row>
    <row r="563" spans="1:7">
      <c r="A563" s="4" t="s">
        <v>236</v>
      </c>
      <c r="B563" s="4" t="s">
        <v>237</v>
      </c>
      <c r="C563" s="4" t="s">
        <v>3055</v>
      </c>
      <c r="D563" s="4" t="s">
        <v>1126</v>
      </c>
      <c r="E563" s="6">
        <v>43901</v>
      </c>
      <c r="F563" s="7">
        <v>1</v>
      </c>
      <c r="G563" s="7">
        <v>6.2200000000000006</v>
      </c>
    </row>
    <row r="564" spans="1:7">
      <c r="A564" s="4" t="s">
        <v>236</v>
      </c>
      <c r="B564" s="4" t="s">
        <v>237</v>
      </c>
      <c r="C564" s="4" t="s">
        <v>3055</v>
      </c>
      <c r="D564" s="4" t="s">
        <v>979</v>
      </c>
      <c r="E564" s="6">
        <v>43901</v>
      </c>
      <c r="F564" s="7">
        <v>2</v>
      </c>
      <c r="G564" s="7">
        <v>3.84</v>
      </c>
    </row>
    <row r="565" spans="1:7">
      <c r="A565" s="4" t="s">
        <v>236</v>
      </c>
      <c r="B565" s="4" t="s">
        <v>237</v>
      </c>
      <c r="C565" s="4" t="s">
        <v>3055</v>
      </c>
      <c r="D565" s="4" t="s">
        <v>784</v>
      </c>
      <c r="E565" s="6">
        <v>43901</v>
      </c>
      <c r="F565" s="7">
        <v>1</v>
      </c>
      <c r="G565" s="7">
        <v>0</v>
      </c>
    </row>
    <row r="566" spans="1:7">
      <c r="A566" s="4" t="s">
        <v>301</v>
      </c>
      <c r="B566" s="4" t="s">
        <v>302</v>
      </c>
      <c r="C566" s="4" t="s">
        <v>3056</v>
      </c>
      <c r="D566" s="4" t="s">
        <v>1236</v>
      </c>
      <c r="E566" s="6">
        <v>43924</v>
      </c>
      <c r="F566" s="7">
        <v>1</v>
      </c>
      <c r="G566" s="7">
        <v>2350</v>
      </c>
    </row>
    <row r="567" spans="1:7">
      <c r="A567" s="4" t="s">
        <v>301</v>
      </c>
      <c r="B567" s="4" t="s">
        <v>302</v>
      </c>
      <c r="C567" s="4" t="s">
        <v>3056</v>
      </c>
      <c r="D567" s="4" t="s">
        <v>840</v>
      </c>
      <c r="E567" s="6">
        <v>43924</v>
      </c>
      <c r="F567" s="7">
        <v>125</v>
      </c>
      <c r="G567" s="7">
        <v>6.16</v>
      </c>
    </row>
    <row r="568" spans="1:7">
      <c r="A568" s="4" t="s">
        <v>301</v>
      </c>
      <c r="B568" s="4" t="s">
        <v>302</v>
      </c>
      <c r="C568" s="4" t="s">
        <v>3056</v>
      </c>
      <c r="D568" s="4" t="s">
        <v>840</v>
      </c>
      <c r="E568" s="6">
        <v>43924</v>
      </c>
      <c r="F568" s="7">
        <v>200</v>
      </c>
      <c r="G568" s="7">
        <v>6.16</v>
      </c>
    </row>
    <row r="569" spans="1:7">
      <c r="A569" s="4" t="s">
        <v>301</v>
      </c>
      <c r="B569" s="4" t="s">
        <v>302</v>
      </c>
      <c r="C569" s="4" t="s">
        <v>3056</v>
      </c>
      <c r="D569" s="4" t="s">
        <v>784</v>
      </c>
      <c r="E569" s="6">
        <v>43924</v>
      </c>
      <c r="F569" s="7">
        <v>1</v>
      </c>
      <c r="G569" s="7">
        <v>0</v>
      </c>
    </row>
    <row r="570" spans="1:7">
      <c r="A570" s="4" t="s">
        <v>135</v>
      </c>
      <c r="B570" s="4" t="s">
        <v>247</v>
      </c>
      <c r="C570" s="4" t="s">
        <v>3057</v>
      </c>
      <c r="D570" s="4" t="s">
        <v>916</v>
      </c>
      <c r="E570" s="6">
        <v>43903</v>
      </c>
      <c r="F570" s="7">
        <v>500</v>
      </c>
      <c r="G570" s="7">
        <v>0.83</v>
      </c>
    </row>
    <row r="571" spans="1:7">
      <c r="A571" s="4" t="s">
        <v>135</v>
      </c>
      <c r="B571" s="4" t="s">
        <v>247</v>
      </c>
      <c r="C571" s="4" t="s">
        <v>3057</v>
      </c>
      <c r="D571" s="4" t="s">
        <v>887</v>
      </c>
      <c r="E571" s="6">
        <v>43903</v>
      </c>
      <c r="F571" s="7">
        <v>400</v>
      </c>
      <c r="G571" s="7">
        <v>0.57999999999999996</v>
      </c>
    </row>
    <row r="572" spans="1:7">
      <c r="A572" s="4" t="s">
        <v>135</v>
      </c>
      <c r="B572" s="4" t="s">
        <v>247</v>
      </c>
      <c r="C572" s="4" t="s">
        <v>3057</v>
      </c>
      <c r="D572" s="4" t="s">
        <v>889</v>
      </c>
      <c r="E572" s="6">
        <v>43903</v>
      </c>
      <c r="F572" s="7">
        <v>200</v>
      </c>
      <c r="G572" s="7">
        <v>0.72</v>
      </c>
    </row>
    <row r="573" spans="1:7">
      <c r="A573" s="4" t="s">
        <v>135</v>
      </c>
      <c r="B573" s="4" t="s">
        <v>247</v>
      </c>
      <c r="C573" s="4" t="s">
        <v>3057</v>
      </c>
      <c r="D573" s="4" t="s">
        <v>784</v>
      </c>
      <c r="E573" s="6">
        <v>43903</v>
      </c>
      <c r="F573" s="7">
        <v>1</v>
      </c>
      <c r="G573" s="7">
        <v>0</v>
      </c>
    </row>
    <row r="574" spans="1:7">
      <c r="A574" s="4" t="s">
        <v>263</v>
      </c>
      <c r="B574" s="4" t="s">
        <v>264</v>
      </c>
      <c r="C574" s="4" t="s">
        <v>3058</v>
      </c>
      <c r="D574" s="4" t="s">
        <v>1565</v>
      </c>
      <c r="E574" s="6">
        <v>43910</v>
      </c>
      <c r="F574" s="7">
        <v>2</v>
      </c>
      <c r="G574" s="7">
        <v>182.5</v>
      </c>
    </row>
    <row r="575" spans="1:7">
      <c r="A575" s="4" t="s">
        <v>263</v>
      </c>
      <c r="B575" s="4" t="s">
        <v>264</v>
      </c>
      <c r="C575" s="4" t="s">
        <v>3058</v>
      </c>
      <c r="D575" s="4" t="s">
        <v>1567</v>
      </c>
      <c r="E575" s="6">
        <v>43910</v>
      </c>
      <c r="F575" s="7">
        <v>1</v>
      </c>
      <c r="G575" s="7">
        <v>349</v>
      </c>
    </row>
    <row r="576" spans="1:7">
      <c r="A576" s="4" t="s">
        <v>263</v>
      </c>
      <c r="B576" s="4" t="s">
        <v>264</v>
      </c>
      <c r="C576" s="4" t="s">
        <v>3058</v>
      </c>
      <c r="D576" s="4" t="s">
        <v>784</v>
      </c>
      <c r="E576" s="6">
        <v>43910</v>
      </c>
      <c r="F576" s="7">
        <v>1</v>
      </c>
      <c r="G576" s="7">
        <v>42</v>
      </c>
    </row>
    <row r="577" spans="1:7">
      <c r="A577" s="4" t="s">
        <v>336</v>
      </c>
      <c r="B577" s="4" t="s">
        <v>337</v>
      </c>
      <c r="C577" s="4" t="s">
        <v>3059</v>
      </c>
      <c r="D577" s="4" t="s">
        <v>1035</v>
      </c>
      <c r="E577" s="6">
        <v>43949</v>
      </c>
      <c r="F577" s="7">
        <v>3434</v>
      </c>
      <c r="G577" s="7">
        <v>0.17</v>
      </c>
    </row>
    <row r="578" spans="1:7">
      <c r="A578" s="4" t="s">
        <v>336</v>
      </c>
      <c r="B578" s="4" t="s">
        <v>337</v>
      </c>
      <c r="C578" s="4" t="s">
        <v>3059</v>
      </c>
      <c r="D578" s="4" t="s">
        <v>1035</v>
      </c>
      <c r="E578" s="6">
        <v>43949</v>
      </c>
      <c r="F578" s="7">
        <v>3185</v>
      </c>
      <c r="G578" s="7">
        <v>0.19</v>
      </c>
    </row>
    <row r="579" spans="1:7">
      <c r="A579" s="4" t="s">
        <v>336</v>
      </c>
      <c r="B579" s="4" t="s">
        <v>337</v>
      </c>
      <c r="C579" s="4" t="s">
        <v>3059</v>
      </c>
      <c r="D579" s="4" t="s">
        <v>840</v>
      </c>
      <c r="E579" s="6">
        <v>43949</v>
      </c>
      <c r="F579" s="7">
        <v>1</v>
      </c>
      <c r="G579" s="7">
        <v>0</v>
      </c>
    </row>
    <row r="580" spans="1:7">
      <c r="A580" s="4" t="s">
        <v>336</v>
      </c>
      <c r="B580" s="4" t="s">
        <v>337</v>
      </c>
      <c r="C580" s="4" t="s">
        <v>3059</v>
      </c>
      <c r="D580" s="4" t="s">
        <v>784</v>
      </c>
      <c r="E580" s="6">
        <v>43949</v>
      </c>
      <c r="F580" s="7">
        <v>1</v>
      </c>
      <c r="G580" s="7">
        <v>0</v>
      </c>
    </row>
    <row r="581" spans="1:7">
      <c r="A581" s="4" t="s">
        <v>35</v>
      </c>
      <c r="B581" s="4" t="s">
        <v>430</v>
      </c>
      <c r="C581" s="4" t="s">
        <v>3060</v>
      </c>
      <c r="D581" s="4" t="s">
        <v>834</v>
      </c>
      <c r="E581" s="6">
        <v>43994</v>
      </c>
      <c r="F581" s="7">
        <v>279</v>
      </c>
      <c r="G581" s="7">
        <v>9.2799999999999994</v>
      </c>
    </row>
    <row r="582" spans="1:7">
      <c r="A582" s="4" t="s">
        <v>35</v>
      </c>
      <c r="B582" s="4" t="s">
        <v>430</v>
      </c>
      <c r="C582" s="4" t="s">
        <v>3060</v>
      </c>
      <c r="D582" s="4" t="s">
        <v>797</v>
      </c>
      <c r="E582" s="6">
        <v>43994</v>
      </c>
      <c r="F582" s="7">
        <v>1153</v>
      </c>
      <c r="G582" s="7">
        <v>13.78</v>
      </c>
    </row>
    <row r="583" spans="1:7">
      <c r="A583" s="4" t="s">
        <v>35</v>
      </c>
      <c r="B583" s="4" t="s">
        <v>430</v>
      </c>
      <c r="C583" s="4" t="s">
        <v>3060</v>
      </c>
      <c r="D583" s="4" t="s">
        <v>793</v>
      </c>
      <c r="E583" s="6">
        <v>43994</v>
      </c>
      <c r="F583" s="7">
        <v>750</v>
      </c>
      <c r="G583" s="7">
        <v>14.61</v>
      </c>
    </row>
    <row r="584" spans="1:7">
      <c r="A584" s="4" t="s">
        <v>46</v>
      </c>
      <c r="B584" s="4" t="s">
        <v>269</v>
      </c>
      <c r="C584" s="4" t="s">
        <v>3061</v>
      </c>
      <c r="D584" s="4" t="s">
        <v>1577</v>
      </c>
      <c r="E584" s="6">
        <v>43917</v>
      </c>
      <c r="F584" s="7">
        <v>50</v>
      </c>
      <c r="G584" s="7">
        <v>1.03</v>
      </c>
    </row>
    <row r="585" spans="1:7">
      <c r="A585" s="4" t="s">
        <v>46</v>
      </c>
      <c r="B585" s="4" t="s">
        <v>269</v>
      </c>
      <c r="C585" s="4" t="s">
        <v>3061</v>
      </c>
      <c r="D585" s="4" t="s">
        <v>1579</v>
      </c>
      <c r="E585" s="6">
        <v>43917</v>
      </c>
      <c r="F585" s="7">
        <v>50</v>
      </c>
      <c r="G585" s="7">
        <v>1.27</v>
      </c>
    </row>
    <row r="586" spans="1:7">
      <c r="A586" s="4" t="s">
        <v>46</v>
      </c>
      <c r="B586" s="4" t="s">
        <v>269</v>
      </c>
      <c r="C586" s="4" t="s">
        <v>3061</v>
      </c>
      <c r="D586" s="4" t="s">
        <v>1581</v>
      </c>
      <c r="E586" s="6">
        <v>43917</v>
      </c>
      <c r="F586" s="7">
        <v>50</v>
      </c>
      <c r="G586" s="7">
        <v>1.72</v>
      </c>
    </row>
    <row r="587" spans="1:7">
      <c r="A587" s="4" t="s">
        <v>46</v>
      </c>
      <c r="B587" s="4" t="s">
        <v>269</v>
      </c>
      <c r="C587" s="4" t="s">
        <v>3061</v>
      </c>
      <c r="D587" s="4" t="s">
        <v>1439</v>
      </c>
      <c r="E587" s="6">
        <v>43917</v>
      </c>
      <c r="F587" s="7">
        <v>100</v>
      </c>
      <c r="G587" s="7">
        <v>3.3299999999999996</v>
      </c>
    </row>
    <row r="588" spans="1:7">
      <c r="A588" s="4" t="s">
        <v>46</v>
      </c>
      <c r="B588" s="4" t="s">
        <v>269</v>
      </c>
      <c r="C588" s="4" t="s">
        <v>3061</v>
      </c>
      <c r="D588" s="4" t="s">
        <v>881</v>
      </c>
      <c r="E588" s="6">
        <v>43917</v>
      </c>
      <c r="F588" s="7">
        <v>50</v>
      </c>
      <c r="G588" s="7">
        <v>2.83</v>
      </c>
    </row>
    <row r="589" spans="1:7">
      <c r="A589" s="4" t="s">
        <v>46</v>
      </c>
      <c r="B589" s="4" t="s">
        <v>269</v>
      </c>
      <c r="C589" s="4" t="s">
        <v>3061</v>
      </c>
      <c r="D589" s="4" t="s">
        <v>1232</v>
      </c>
      <c r="E589" s="6">
        <v>43917</v>
      </c>
      <c r="F589" s="7">
        <v>50</v>
      </c>
      <c r="G589" s="7">
        <v>6.56</v>
      </c>
    </row>
    <row r="590" spans="1:7">
      <c r="A590" s="4" t="s">
        <v>46</v>
      </c>
      <c r="B590" s="4" t="s">
        <v>269</v>
      </c>
      <c r="C590" s="4" t="s">
        <v>3061</v>
      </c>
      <c r="D590" s="4" t="s">
        <v>1005</v>
      </c>
      <c r="E590" s="6">
        <v>43917</v>
      </c>
      <c r="F590" s="7">
        <v>200</v>
      </c>
      <c r="G590" s="7">
        <v>1.23</v>
      </c>
    </row>
    <row r="591" spans="1:7">
      <c r="A591" s="4" t="s">
        <v>46</v>
      </c>
      <c r="B591" s="4" t="s">
        <v>269</v>
      </c>
      <c r="C591" s="4" t="s">
        <v>3061</v>
      </c>
      <c r="D591" s="4" t="s">
        <v>1026</v>
      </c>
      <c r="E591" s="6">
        <v>43917</v>
      </c>
      <c r="F591" s="7">
        <v>200</v>
      </c>
      <c r="G591" s="7">
        <v>0.83</v>
      </c>
    </row>
    <row r="592" spans="1:7">
      <c r="A592" s="4" t="s">
        <v>46</v>
      </c>
      <c r="B592" s="4" t="s">
        <v>269</v>
      </c>
      <c r="C592" s="4" t="s">
        <v>3061</v>
      </c>
      <c r="D592" s="4" t="s">
        <v>989</v>
      </c>
      <c r="E592" s="6">
        <v>43917</v>
      </c>
      <c r="F592" s="7">
        <v>50</v>
      </c>
      <c r="G592" s="7">
        <v>1.9899999999999998</v>
      </c>
    </row>
    <row r="593" spans="1:7">
      <c r="A593" s="4" t="s">
        <v>46</v>
      </c>
      <c r="B593" s="4" t="s">
        <v>269</v>
      </c>
      <c r="C593" s="4" t="s">
        <v>3061</v>
      </c>
      <c r="D593" s="4" t="s">
        <v>784</v>
      </c>
      <c r="E593" s="6">
        <v>43917</v>
      </c>
      <c r="F593" s="7">
        <v>1</v>
      </c>
      <c r="G593" s="7">
        <v>0</v>
      </c>
    </row>
    <row r="594" spans="1:7">
      <c r="A594" s="4" t="s">
        <v>296</v>
      </c>
      <c r="B594" s="4" t="s">
        <v>297</v>
      </c>
      <c r="C594" s="4" t="s">
        <v>3062</v>
      </c>
      <c r="D594" s="4" t="s">
        <v>1697</v>
      </c>
      <c r="E594" s="6">
        <v>43924</v>
      </c>
      <c r="F594" s="7">
        <v>5090</v>
      </c>
      <c r="G594" s="7">
        <v>0.26</v>
      </c>
    </row>
    <row r="595" spans="1:7">
      <c r="A595" s="4" t="s">
        <v>296</v>
      </c>
      <c r="B595" s="4" t="s">
        <v>297</v>
      </c>
      <c r="C595" s="4" t="s">
        <v>3062</v>
      </c>
      <c r="D595" s="4" t="s">
        <v>1086</v>
      </c>
      <c r="E595" s="6">
        <v>43924</v>
      </c>
      <c r="F595" s="7">
        <v>1000</v>
      </c>
      <c r="G595" s="7">
        <v>0.95</v>
      </c>
    </row>
    <row r="596" spans="1:7">
      <c r="A596" s="4" t="s">
        <v>296</v>
      </c>
      <c r="B596" s="4" t="s">
        <v>297</v>
      </c>
      <c r="C596" s="4" t="s">
        <v>3062</v>
      </c>
      <c r="D596" s="4" t="s">
        <v>784</v>
      </c>
      <c r="E596" s="6">
        <v>43924</v>
      </c>
      <c r="F596" s="7">
        <v>1</v>
      </c>
      <c r="G596" s="7">
        <v>0</v>
      </c>
    </row>
    <row r="597" spans="1:7">
      <c r="A597" s="4" t="s">
        <v>32</v>
      </c>
      <c r="B597" s="4" t="s">
        <v>260</v>
      </c>
      <c r="C597" s="4" t="s">
        <v>3063</v>
      </c>
      <c r="D597" s="4" t="s">
        <v>1129</v>
      </c>
      <c r="E597" s="6">
        <v>43910</v>
      </c>
      <c r="F597" s="7">
        <v>20</v>
      </c>
      <c r="G597" s="7">
        <v>0.31</v>
      </c>
    </row>
    <row r="598" spans="1:7">
      <c r="A598" s="4" t="s">
        <v>32</v>
      </c>
      <c r="B598" s="4" t="s">
        <v>260</v>
      </c>
      <c r="C598" s="4" t="s">
        <v>3063</v>
      </c>
      <c r="D598" s="4" t="s">
        <v>1135</v>
      </c>
      <c r="E598" s="6">
        <v>43910</v>
      </c>
      <c r="F598" s="7">
        <v>200</v>
      </c>
      <c r="G598" s="7">
        <v>0.38</v>
      </c>
    </row>
    <row r="599" spans="1:7">
      <c r="A599" s="4" t="s">
        <v>32</v>
      </c>
      <c r="B599" s="4" t="s">
        <v>260</v>
      </c>
      <c r="C599" s="4" t="s">
        <v>3063</v>
      </c>
      <c r="D599" s="4" t="s">
        <v>940</v>
      </c>
      <c r="E599" s="6">
        <v>43910</v>
      </c>
      <c r="F599" s="7">
        <v>100</v>
      </c>
      <c r="G599" s="7">
        <v>0.92</v>
      </c>
    </row>
    <row r="600" spans="1:7">
      <c r="A600" s="4" t="s">
        <v>32</v>
      </c>
      <c r="B600" s="4" t="s">
        <v>260</v>
      </c>
      <c r="C600" s="4" t="s">
        <v>3063</v>
      </c>
      <c r="D600" s="4" t="s">
        <v>1325</v>
      </c>
      <c r="E600" s="6">
        <v>43910</v>
      </c>
      <c r="F600" s="7">
        <v>100</v>
      </c>
      <c r="G600" s="7">
        <v>0.72</v>
      </c>
    </row>
    <row r="601" spans="1:7">
      <c r="A601" s="4" t="s">
        <v>32</v>
      </c>
      <c r="B601" s="4" t="s">
        <v>260</v>
      </c>
      <c r="C601" s="4" t="s">
        <v>3063</v>
      </c>
      <c r="D601" s="4" t="s">
        <v>1139</v>
      </c>
      <c r="E601" s="6">
        <v>43910</v>
      </c>
      <c r="F601" s="7">
        <v>100</v>
      </c>
      <c r="G601" s="7">
        <v>0.87</v>
      </c>
    </row>
    <row r="602" spans="1:7">
      <c r="A602" s="4" t="s">
        <v>32</v>
      </c>
      <c r="B602" s="4" t="s">
        <v>260</v>
      </c>
      <c r="C602" s="4" t="s">
        <v>3063</v>
      </c>
      <c r="D602" s="4" t="s">
        <v>1598</v>
      </c>
      <c r="E602" s="6">
        <v>43910</v>
      </c>
      <c r="F602" s="7">
        <v>50</v>
      </c>
      <c r="G602" s="7">
        <v>0.73</v>
      </c>
    </row>
    <row r="603" spans="1:7">
      <c r="A603" s="4" t="s">
        <v>32</v>
      </c>
      <c r="B603" s="4" t="s">
        <v>260</v>
      </c>
      <c r="C603" s="4" t="s">
        <v>3063</v>
      </c>
      <c r="D603" s="4" t="s">
        <v>1600</v>
      </c>
      <c r="E603" s="6">
        <v>43910</v>
      </c>
      <c r="F603" s="7">
        <v>100</v>
      </c>
      <c r="G603" s="7">
        <v>0.89</v>
      </c>
    </row>
    <row r="604" spans="1:7">
      <c r="A604" s="4" t="s">
        <v>32</v>
      </c>
      <c r="B604" s="4" t="s">
        <v>260</v>
      </c>
      <c r="C604" s="4" t="s">
        <v>3063</v>
      </c>
      <c r="D604" s="4" t="s">
        <v>851</v>
      </c>
      <c r="E604" s="6">
        <v>43910</v>
      </c>
      <c r="F604" s="7">
        <v>100</v>
      </c>
      <c r="G604" s="7">
        <v>1.78</v>
      </c>
    </row>
    <row r="605" spans="1:7">
      <c r="A605" s="4" t="s">
        <v>32</v>
      </c>
      <c r="B605" s="4" t="s">
        <v>260</v>
      </c>
      <c r="C605" s="4" t="s">
        <v>3063</v>
      </c>
      <c r="D605" s="4" t="s">
        <v>784</v>
      </c>
      <c r="E605" s="6">
        <v>43910</v>
      </c>
      <c r="F605" s="7">
        <v>1</v>
      </c>
      <c r="G605" s="7">
        <v>32</v>
      </c>
    </row>
    <row r="606" spans="1:7">
      <c r="A606" s="4" t="s">
        <v>32</v>
      </c>
      <c r="B606" s="4" t="s">
        <v>260</v>
      </c>
      <c r="C606" s="4" t="s">
        <v>3064</v>
      </c>
      <c r="D606" s="4" t="s">
        <v>964</v>
      </c>
      <c r="E606" s="6">
        <v>43910</v>
      </c>
      <c r="F606" s="7">
        <v>50</v>
      </c>
      <c r="G606" s="7">
        <v>1.0699999999999998</v>
      </c>
    </row>
    <row r="607" spans="1:7">
      <c r="A607" s="4" t="s">
        <v>32</v>
      </c>
      <c r="B607" s="4" t="s">
        <v>260</v>
      </c>
      <c r="C607" s="4" t="s">
        <v>3065</v>
      </c>
      <c r="D607" s="4" t="s">
        <v>1137</v>
      </c>
      <c r="E607" s="6">
        <v>43917</v>
      </c>
      <c r="F607" s="7">
        <v>400</v>
      </c>
      <c r="G607" s="7">
        <v>0.46</v>
      </c>
    </row>
    <row r="608" spans="1:7">
      <c r="A608" s="4" t="s">
        <v>32</v>
      </c>
      <c r="B608" s="4" t="s">
        <v>260</v>
      </c>
      <c r="C608" s="4" t="s">
        <v>3065</v>
      </c>
      <c r="D608" s="4" t="s">
        <v>784</v>
      </c>
      <c r="E608" s="6">
        <v>43917</v>
      </c>
      <c r="F608" s="7">
        <v>1</v>
      </c>
      <c r="G608" s="7">
        <v>0</v>
      </c>
    </row>
    <row r="609" spans="1:7">
      <c r="A609" s="4" t="s">
        <v>284</v>
      </c>
      <c r="B609" s="4" t="s">
        <v>285</v>
      </c>
      <c r="C609" s="4" t="s">
        <v>3066</v>
      </c>
      <c r="D609" s="4" t="s">
        <v>1605</v>
      </c>
      <c r="E609" s="6">
        <v>43921</v>
      </c>
      <c r="F609" s="7">
        <v>10</v>
      </c>
      <c r="G609" s="7">
        <v>4.84</v>
      </c>
    </row>
    <row r="610" spans="1:7">
      <c r="A610" s="4" t="s">
        <v>284</v>
      </c>
      <c r="B610" s="4" t="s">
        <v>285</v>
      </c>
      <c r="C610" s="4" t="s">
        <v>3066</v>
      </c>
      <c r="D610" s="4" t="s">
        <v>1161</v>
      </c>
      <c r="E610" s="6">
        <v>43921</v>
      </c>
      <c r="F610" s="7">
        <v>6</v>
      </c>
      <c r="G610" s="7">
        <v>9.67</v>
      </c>
    </row>
    <row r="611" spans="1:7">
      <c r="A611" s="4" t="s">
        <v>284</v>
      </c>
      <c r="B611" s="4" t="s">
        <v>285</v>
      </c>
      <c r="C611" s="4" t="s">
        <v>3066</v>
      </c>
      <c r="D611" s="4" t="s">
        <v>840</v>
      </c>
      <c r="E611" s="6">
        <v>43921</v>
      </c>
      <c r="F611" s="7">
        <v>1</v>
      </c>
      <c r="G611" s="7">
        <v>0</v>
      </c>
    </row>
    <row r="612" spans="1:7">
      <c r="A612" s="4" t="s">
        <v>284</v>
      </c>
      <c r="B612" s="4" t="s">
        <v>285</v>
      </c>
      <c r="C612" s="4" t="s">
        <v>3066</v>
      </c>
      <c r="D612" s="4" t="s">
        <v>784</v>
      </c>
      <c r="E612" s="6">
        <v>43921</v>
      </c>
      <c r="F612" s="7">
        <v>1</v>
      </c>
      <c r="G612" s="7">
        <v>0</v>
      </c>
    </row>
    <row r="613" spans="1:7">
      <c r="A613" s="4" t="s">
        <v>24</v>
      </c>
      <c r="B613" s="4" t="s">
        <v>290</v>
      </c>
      <c r="C613" s="4" t="s">
        <v>3067</v>
      </c>
      <c r="D613" s="4" t="s">
        <v>817</v>
      </c>
      <c r="E613" s="6">
        <v>43921</v>
      </c>
      <c r="F613" s="7">
        <v>250</v>
      </c>
      <c r="G613" s="7">
        <v>1.64</v>
      </c>
    </row>
    <row r="614" spans="1:7">
      <c r="A614" s="4" t="s">
        <v>24</v>
      </c>
      <c r="B614" s="4" t="s">
        <v>290</v>
      </c>
      <c r="C614" s="4" t="s">
        <v>3067</v>
      </c>
      <c r="D614" s="4" t="s">
        <v>1109</v>
      </c>
      <c r="E614" s="6">
        <v>43921</v>
      </c>
      <c r="F614" s="7">
        <v>100</v>
      </c>
      <c r="G614" s="7">
        <v>4.2799999999999994</v>
      </c>
    </row>
    <row r="615" spans="1:7">
      <c r="A615" s="4" t="s">
        <v>24</v>
      </c>
      <c r="B615" s="4" t="s">
        <v>290</v>
      </c>
      <c r="C615" s="4" t="s">
        <v>3067</v>
      </c>
      <c r="D615" s="4" t="s">
        <v>784</v>
      </c>
      <c r="E615" s="6">
        <v>43921</v>
      </c>
      <c r="F615" s="7">
        <v>1</v>
      </c>
      <c r="G615" s="7">
        <v>0</v>
      </c>
    </row>
    <row r="616" spans="1:7">
      <c r="A616" s="4" t="s">
        <v>101</v>
      </c>
      <c r="B616" s="4" t="s">
        <v>280</v>
      </c>
      <c r="C616" s="4" t="s">
        <v>3068</v>
      </c>
      <c r="D616" s="4" t="s">
        <v>1126</v>
      </c>
      <c r="E616" s="6">
        <v>43921</v>
      </c>
      <c r="F616" s="7">
        <v>10</v>
      </c>
      <c r="G616" s="7">
        <v>6.2200000000000006</v>
      </c>
    </row>
    <row r="617" spans="1:7">
      <c r="A617" s="4" t="s">
        <v>101</v>
      </c>
      <c r="B617" s="4" t="s">
        <v>280</v>
      </c>
      <c r="C617" s="4" t="s">
        <v>3068</v>
      </c>
      <c r="D617" s="4" t="s">
        <v>1530</v>
      </c>
      <c r="E617" s="6">
        <v>43921</v>
      </c>
      <c r="F617" s="7">
        <v>10</v>
      </c>
      <c r="G617" s="7">
        <v>4.3</v>
      </c>
    </row>
    <row r="618" spans="1:7">
      <c r="A618" s="4" t="s">
        <v>101</v>
      </c>
      <c r="B618" s="4" t="s">
        <v>280</v>
      </c>
      <c r="C618" s="4" t="s">
        <v>3068</v>
      </c>
      <c r="D618" s="4" t="s">
        <v>784</v>
      </c>
      <c r="E618" s="6">
        <v>43921</v>
      </c>
      <c r="F618" s="7">
        <v>1</v>
      </c>
      <c r="G618" s="7">
        <v>0</v>
      </c>
    </row>
    <row r="619" spans="1:7">
      <c r="A619" s="4" t="s">
        <v>126</v>
      </c>
      <c r="B619" s="4" t="s">
        <v>278</v>
      </c>
      <c r="C619" s="4" t="s">
        <v>3069</v>
      </c>
      <c r="D619" s="4" t="s">
        <v>964</v>
      </c>
      <c r="E619" s="6">
        <v>43921</v>
      </c>
      <c r="F619" s="7">
        <v>50</v>
      </c>
      <c r="G619" s="7">
        <v>1.24</v>
      </c>
    </row>
    <row r="620" spans="1:7">
      <c r="A620" s="4" t="s">
        <v>126</v>
      </c>
      <c r="B620" s="4" t="s">
        <v>278</v>
      </c>
      <c r="C620" s="4" t="s">
        <v>3069</v>
      </c>
      <c r="D620" s="4" t="s">
        <v>949</v>
      </c>
      <c r="E620" s="6">
        <v>43921</v>
      </c>
      <c r="F620" s="7">
        <v>50</v>
      </c>
      <c r="G620" s="7">
        <v>0.61</v>
      </c>
    </row>
    <row r="621" spans="1:7">
      <c r="A621" s="4" t="s">
        <v>126</v>
      </c>
      <c r="B621" s="4" t="s">
        <v>278</v>
      </c>
      <c r="C621" s="4" t="s">
        <v>3069</v>
      </c>
      <c r="D621" s="4" t="s">
        <v>993</v>
      </c>
      <c r="E621" s="6">
        <v>43921</v>
      </c>
      <c r="F621" s="7">
        <v>50</v>
      </c>
      <c r="G621" s="7">
        <v>0.44</v>
      </c>
    </row>
    <row r="622" spans="1:7">
      <c r="A622" s="4" t="s">
        <v>126</v>
      </c>
      <c r="B622" s="4" t="s">
        <v>278</v>
      </c>
      <c r="C622" s="4" t="s">
        <v>3069</v>
      </c>
      <c r="D622" s="4" t="s">
        <v>873</v>
      </c>
      <c r="E622" s="6">
        <v>43921</v>
      </c>
      <c r="F622" s="7">
        <v>50</v>
      </c>
      <c r="G622" s="7">
        <v>0.52</v>
      </c>
    </row>
    <row r="623" spans="1:7">
      <c r="A623" s="4" t="s">
        <v>126</v>
      </c>
      <c r="B623" s="4" t="s">
        <v>278</v>
      </c>
      <c r="C623" s="4" t="s">
        <v>3069</v>
      </c>
      <c r="D623" s="4" t="s">
        <v>940</v>
      </c>
      <c r="E623" s="6">
        <v>43921</v>
      </c>
      <c r="F623" s="7">
        <v>50</v>
      </c>
      <c r="G623" s="7">
        <v>1.06</v>
      </c>
    </row>
    <row r="624" spans="1:7">
      <c r="A624" s="4" t="s">
        <v>126</v>
      </c>
      <c r="B624" s="4" t="s">
        <v>278</v>
      </c>
      <c r="C624" s="4" t="s">
        <v>3069</v>
      </c>
      <c r="D624" s="4" t="s">
        <v>1135</v>
      </c>
      <c r="E624" s="6">
        <v>43921</v>
      </c>
      <c r="F624" s="7">
        <v>50</v>
      </c>
      <c r="G624" s="7">
        <v>0.38</v>
      </c>
    </row>
    <row r="625" spans="1:7">
      <c r="A625" s="4" t="s">
        <v>126</v>
      </c>
      <c r="B625" s="4" t="s">
        <v>278</v>
      </c>
      <c r="C625" s="4" t="s">
        <v>3069</v>
      </c>
      <c r="D625" s="4" t="s">
        <v>1323</v>
      </c>
      <c r="E625" s="6">
        <v>43921</v>
      </c>
      <c r="F625" s="7">
        <v>50</v>
      </c>
      <c r="G625" s="7">
        <v>0.45</v>
      </c>
    </row>
    <row r="626" spans="1:7">
      <c r="A626" s="4" t="s">
        <v>126</v>
      </c>
      <c r="B626" s="4" t="s">
        <v>278</v>
      </c>
      <c r="C626" s="4" t="s">
        <v>3069</v>
      </c>
      <c r="D626" s="4" t="s">
        <v>1137</v>
      </c>
      <c r="E626" s="6">
        <v>43921</v>
      </c>
      <c r="F626" s="7">
        <v>50</v>
      </c>
      <c r="G626" s="7">
        <v>0.53</v>
      </c>
    </row>
    <row r="627" spans="1:7">
      <c r="A627" s="4" t="s">
        <v>126</v>
      </c>
      <c r="B627" s="4" t="s">
        <v>278</v>
      </c>
      <c r="C627" s="4" t="s">
        <v>3069</v>
      </c>
      <c r="D627" s="4" t="s">
        <v>1325</v>
      </c>
      <c r="E627" s="6">
        <v>43921</v>
      </c>
      <c r="F627" s="7">
        <v>50</v>
      </c>
      <c r="G627" s="7">
        <v>0.83</v>
      </c>
    </row>
    <row r="628" spans="1:7">
      <c r="A628" s="4" t="s">
        <v>126</v>
      </c>
      <c r="B628" s="4" t="s">
        <v>278</v>
      </c>
      <c r="C628" s="4" t="s">
        <v>3069</v>
      </c>
      <c r="D628" s="4" t="s">
        <v>784</v>
      </c>
      <c r="E628" s="6">
        <v>43921</v>
      </c>
      <c r="F628" s="7">
        <v>1</v>
      </c>
      <c r="G628" s="7">
        <v>0</v>
      </c>
    </row>
    <row r="629" spans="1:7">
      <c r="A629" s="4" t="s">
        <v>29</v>
      </c>
      <c r="B629" s="4" t="s">
        <v>306</v>
      </c>
      <c r="C629" s="4" t="s">
        <v>3070</v>
      </c>
      <c r="D629" s="4" t="s">
        <v>1373</v>
      </c>
      <c r="E629" s="6">
        <v>43928</v>
      </c>
      <c r="F629" s="7">
        <v>200</v>
      </c>
      <c r="G629" s="7">
        <v>2.77</v>
      </c>
    </row>
    <row r="630" spans="1:7">
      <c r="A630" s="4" t="s">
        <v>29</v>
      </c>
      <c r="B630" s="4" t="s">
        <v>306</v>
      </c>
      <c r="C630" s="4" t="s">
        <v>3070</v>
      </c>
      <c r="D630" s="4" t="s">
        <v>1106</v>
      </c>
      <c r="E630" s="6">
        <v>43928</v>
      </c>
      <c r="F630" s="7">
        <v>400</v>
      </c>
      <c r="G630" s="7">
        <v>1.6600000000000001</v>
      </c>
    </row>
    <row r="631" spans="1:7">
      <c r="A631" s="4" t="s">
        <v>29</v>
      </c>
      <c r="B631" s="4" t="s">
        <v>306</v>
      </c>
      <c r="C631" s="4" t="s">
        <v>3070</v>
      </c>
      <c r="D631" s="4" t="s">
        <v>1628</v>
      </c>
      <c r="E631" s="6">
        <v>43928</v>
      </c>
      <c r="F631" s="7">
        <v>300</v>
      </c>
      <c r="G631" s="7">
        <v>1.6600000000000001</v>
      </c>
    </row>
    <row r="632" spans="1:7">
      <c r="A632" s="4" t="s">
        <v>29</v>
      </c>
      <c r="B632" s="4" t="s">
        <v>306</v>
      </c>
      <c r="C632" s="4" t="s">
        <v>3070</v>
      </c>
      <c r="D632" s="4" t="s">
        <v>976</v>
      </c>
      <c r="E632" s="6">
        <v>43928</v>
      </c>
      <c r="F632" s="7">
        <v>100</v>
      </c>
      <c r="G632" s="7">
        <v>1.1499999999999999</v>
      </c>
    </row>
    <row r="633" spans="1:7">
      <c r="A633" s="4" t="s">
        <v>29</v>
      </c>
      <c r="B633" s="4" t="s">
        <v>306</v>
      </c>
      <c r="C633" s="4" t="s">
        <v>3070</v>
      </c>
      <c r="D633" s="4" t="s">
        <v>912</v>
      </c>
      <c r="E633" s="6">
        <v>43928</v>
      </c>
      <c r="F633" s="7">
        <v>100</v>
      </c>
      <c r="G633" s="7">
        <v>0.97</v>
      </c>
    </row>
    <row r="634" spans="1:7">
      <c r="A634" s="4" t="s">
        <v>29</v>
      </c>
      <c r="B634" s="4" t="s">
        <v>306</v>
      </c>
      <c r="C634" s="4" t="s">
        <v>3070</v>
      </c>
      <c r="D634" s="4" t="s">
        <v>1632</v>
      </c>
      <c r="E634" s="6">
        <v>43928</v>
      </c>
      <c r="F634" s="7">
        <v>100</v>
      </c>
      <c r="G634" s="7">
        <v>1.02</v>
      </c>
    </row>
    <row r="635" spans="1:7">
      <c r="A635" s="4" t="s">
        <v>29</v>
      </c>
      <c r="B635" s="4" t="s">
        <v>306</v>
      </c>
      <c r="C635" s="4" t="s">
        <v>3070</v>
      </c>
      <c r="D635" s="4" t="s">
        <v>1634</v>
      </c>
      <c r="E635" s="6">
        <v>43928</v>
      </c>
      <c r="F635" s="7">
        <v>100</v>
      </c>
      <c r="G635" s="7">
        <v>1.41</v>
      </c>
    </row>
    <row r="636" spans="1:7">
      <c r="A636" s="4" t="s">
        <v>29</v>
      </c>
      <c r="B636" s="4" t="s">
        <v>306</v>
      </c>
      <c r="C636" s="4" t="s">
        <v>3070</v>
      </c>
      <c r="D636" s="4" t="s">
        <v>1636</v>
      </c>
      <c r="E636" s="6">
        <v>43928</v>
      </c>
      <c r="F636" s="7">
        <v>100</v>
      </c>
      <c r="G636" s="7">
        <v>1.46</v>
      </c>
    </row>
    <row r="637" spans="1:7">
      <c r="A637" s="4" t="s">
        <v>29</v>
      </c>
      <c r="B637" s="4" t="s">
        <v>306</v>
      </c>
      <c r="C637" s="4" t="s">
        <v>3070</v>
      </c>
      <c r="D637" s="4" t="s">
        <v>1638</v>
      </c>
      <c r="E637" s="6">
        <v>43928</v>
      </c>
      <c r="F637" s="7">
        <v>100</v>
      </c>
      <c r="G637" s="7">
        <v>1.5</v>
      </c>
    </row>
    <row r="638" spans="1:7">
      <c r="A638" s="4" t="s">
        <v>29</v>
      </c>
      <c r="B638" s="4" t="s">
        <v>306</v>
      </c>
      <c r="C638" s="4" t="s">
        <v>3070</v>
      </c>
      <c r="D638" s="4" t="s">
        <v>1640</v>
      </c>
      <c r="E638" s="6">
        <v>43928</v>
      </c>
      <c r="F638" s="7">
        <v>100</v>
      </c>
      <c r="G638" s="7">
        <v>3.17</v>
      </c>
    </row>
    <row r="639" spans="1:7">
      <c r="A639" s="4" t="s">
        <v>29</v>
      </c>
      <c r="B639" s="4" t="s">
        <v>306</v>
      </c>
      <c r="C639" s="4" t="s">
        <v>3070</v>
      </c>
      <c r="D639" s="4" t="s">
        <v>1113</v>
      </c>
      <c r="E639" s="6">
        <v>43928</v>
      </c>
      <c r="F639" s="7">
        <v>50</v>
      </c>
      <c r="G639" s="7">
        <v>7.58</v>
      </c>
    </row>
    <row r="640" spans="1:7">
      <c r="A640" s="4" t="s">
        <v>29</v>
      </c>
      <c r="B640" s="4" t="s">
        <v>306</v>
      </c>
      <c r="C640" s="4" t="s">
        <v>3070</v>
      </c>
      <c r="D640" s="4" t="s">
        <v>784</v>
      </c>
      <c r="E640" s="6">
        <v>43928</v>
      </c>
      <c r="F640" s="7">
        <v>1</v>
      </c>
      <c r="G640" s="7">
        <v>0</v>
      </c>
    </row>
    <row r="641" spans="1:7">
      <c r="A641" s="4" t="s">
        <v>266</v>
      </c>
      <c r="B641" s="4" t="s">
        <v>267</v>
      </c>
      <c r="C641" s="4" t="s">
        <v>3071</v>
      </c>
      <c r="D641" s="4" t="s">
        <v>1644</v>
      </c>
      <c r="E641" s="6">
        <v>43915</v>
      </c>
      <c r="F641" s="7">
        <v>1</v>
      </c>
      <c r="G641" s="7">
        <v>30</v>
      </c>
    </row>
    <row r="642" spans="1:7">
      <c r="A642" s="4" t="s">
        <v>172</v>
      </c>
      <c r="B642" s="4" t="s">
        <v>399</v>
      </c>
      <c r="C642" s="4" t="s">
        <v>3072</v>
      </c>
      <c r="D642" s="4" t="s">
        <v>1200</v>
      </c>
      <c r="E642" s="6">
        <v>43966</v>
      </c>
      <c r="F642" s="7">
        <v>880</v>
      </c>
      <c r="G642" s="7">
        <v>2.06</v>
      </c>
    </row>
    <row r="643" spans="1:7">
      <c r="A643" s="4" t="s">
        <v>172</v>
      </c>
      <c r="B643" s="4" t="s">
        <v>399</v>
      </c>
      <c r="C643" s="4" t="s">
        <v>3072</v>
      </c>
      <c r="D643" s="4" t="s">
        <v>1647</v>
      </c>
      <c r="E643" s="6">
        <v>43966</v>
      </c>
      <c r="F643" s="7">
        <v>1320</v>
      </c>
      <c r="G643" s="7">
        <v>1.4300000000000002</v>
      </c>
    </row>
    <row r="644" spans="1:7">
      <c r="A644" s="4" t="s">
        <v>172</v>
      </c>
      <c r="B644" s="4" t="s">
        <v>399</v>
      </c>
      <c r="C644" s="4" t="s">
        <v>3072</v>
      </c>
      <c r="D644" s="4" t="s">
        <v>784</v>
      </c>
      <c r="E644" s="6">
        <v>43966</v>
      </c>
      <c r="F644" s="7">
        <v>1</v>
      </c>
      <c r="G644" s="7">
        <v>0</v>
      </c>
    </row>
    <row r="645" spans="1:7">
      <c r="A645" s="4" t="s">
        <v>287</v>
      </c>
      <c r="B645" s="4" t="s">
        <v>288</v>
      </c>
      <c r="C645" s="4" t="s">
        <v>3073</v>
      </c>
      <c r="D645" s="4" t="s">
        <v>1086</v>
      </c>
      <c r="E645" s="6">
        <v>43921</v>
      </c>
      <c r="F645" s="7">
        <v>3050</v>
      </c>
      <c r="G645" s="7">
        <v>0.18</v>
      </c>
    </row>
    <row r="646" spans="1:7">
      <c r="A646" s="4" t="s">
        <v>287</v>
      </c>
      <c r="B646" s="4" t="s">
        <v>288</v>
      </c>
      <c r="C646" s="4" t="s">
        <v>3073</v>
      </c>
      <c r="D646" s="4" t="s">
        <v>1049</v>
      </c>
      <c r="E646" s="6">
        <v>43921</v>
      </c>
      <c r="F646" s="7">
        <v>1</v>
      </c>
      <c r="G646" s="7">
        <v>100</v>
      </c>
    </row>
    <row r="647" spans="1:7">
      <c r="A647" s="4" t="s">
        <v>46</v>
      </c>
      <c r="B647" s="4" t="s">
        <v>292</v>
      </c>
      <c r="C647" s="4" t="s">
        <v>3074</v>
      </c>
      <c r="D647" s="4" t="s">
        <v>1652</v>
      </c>
      <c r="E647" s="6">
        <v>43921</v>
      </c>
      <c r="F647" s="7">
        <v>50</v>
      </c>
      <c r="G647" s="7">
        <v>0.57999999999999996</v>
      </c>
    </row>
    <row r="648" spans="1:7">
      <c r="A648" s="4" t="s">
        <v>46</v>
      </c>
      <c r="B648" s="4" t="s">
        <v>292</v>
      </c>
      <c r="C648" s="4" t="s">
        <v>3074</v>
      </c>
      <c r="D648" s="4" t="s">
        <v>813</v>
      </c>
      <c r="E648" s="6">
        <v>43921</v>
      </c>
      <c r="F648" s="7">
        <v>100</v>
      </c>
      <c r="G648" s="7">
        <v>2.13</v>
      </c>
    </row>
    <row r="649" spans="1:7">
      <c r="A649" s="4" t="s">
        <v>46</v>
      </c>
      <c r="B649" s="4" t="s">
        <v>292</v>
      </c>
      <c r="C649" s="4" t="s">
        <v>3074</v>
      </c>
      <c r="D649" s="4" t="s">
        <v>1655</v>
      </c>
      <c r="E649" s="6">
        <v>43921</v>
      </c>
      <c r="F649" s="7">
        <v>50</v>
      </c>
      <c r="G649" s="7">
        <v>1.6800000000000002</v>
      </c>
    </row>
    <row r="650" spans="1:7">
      <c r="A650" s="4" t="s">
        <v>46</v>
      </c>
      <c r="B650" s="4" t="s">
        <v>292</v>
      </c>
      <c r="C650" s="4" t="s">
        <v>3074</v>
      </c>
      <c r="D650" s="4" t="s">
        <v>1063</v>
      </c>
      <c r="E650" s="6">
        <v>43921</v>
      </c>
      <c r="F650" s="7">
        <v>150</v>
      </c>
      <c r="G650" s="7">
        <v>0.98</v>
      </c>
    </row>
    <row r="651" spans="1:7">
      <c r="A651" s="4" t="s">
        <v>46</v>
      </c>
      <c r="B651" s="4" t="s">
        <v>292</v>
      </c>
      <c r="C651" s="4" t="s">
        <v>3074</v>
      </c>
      <c r="D651" s="4" t="s">
        <v>1104</v>
      </c>
      <c r="E651" s="6">
        <v>43921</v>
      </c>
      <c r="F651" s="7">
        <v>100</v>
      </c>
      <c r="G651" s="7">
        <v>1.97</v>
      </c>
    </row>
    <row r="652" spans="1:7">
      <c r="A652" s="4" t="s">
        <v>46</v>
      </c>
      <c r="B652" s="4" t="s">
        <v>292</v>
      </c>
      <c r="C652" s="4" t="s">
        <v>3074</v>
      </c>
      <c r="D652" s="4" t="s">
        <v>1373</v>
      </c>
      <c r="E652" s="6">
        <v>43921</v>
      </c>
      <c r="F652" s="7">
        <v>50</v>
      </c>
      <c r="G652" s="7">
        <v>2.77</v>
      </c>
    </row>
    <row r="653" spans="1:7">
      <c r="A653" s="4" t="s">
        <v>46</v>
      </c>
      <c r="B653" s="4" t="s">
        <v>292</v>
      </c>
      <c r="C653" s="4" t="s">
        <v>3074</v>
      </c>
      <c r="D653" s="4" t="s">
        <v>993</v>
      </c>
      <c r="E653" s="6">
        <v>43921</v>
      </c>
      <c r="F653" s="7">
        <v>50</v>
      </c>
      <c r="G653" s="7">
        <v>0.44</v>
      </c>
    </row>
    <row r="654" spans="1:7">
      <c r="A654" s="4" t="s">
        <v>46</v>
      </c>
      <c r="B654" s="4" t="s">
        <v>292</v>
      </c>
      <c r="C654" s="4" t="s">
        <v>3074</v>
      </c>
      <c r="D654" s="4" t="s">
        <v>1011</v>
      </c>
      <c r="E654" s="6">
        <v>43921</v>
      </c>
      <c r="F654" s="7">
        <v>50</v>
      </c>
      <c r="G654" s="7">
        <v>0.79</v>
      </c>
    </row>
    <row r="655" spans="1:7">
      <c r="A655" s="4" t="s">
        <v>46</v>
      </c>
      <c r="B655" s="4" t="s">
        <v>292</v>
      </c>
      <c r="C655" s="4" t="s">
        <v>3074</v>
      </c>
      <c r="D655" s="4" t="s">
        <v>1015</v>
      </c>
      <c r="E655" s="6">
        <v>43921</v>
      </c>
      <c r="F655" s="7">
        <v>50</v>
      </c>
      <c r="G655" s="7">
        <v>1.25</v>
      </c>
    </row>
    <row r="656" spans="1:7">
      <c r="A656" s="4" t="s">
        <v>46</v>
      </c>
      <c r="B656" s="4" t="s">
        <v>292</v>
      </c>
      <c r="C656" s="4" t="s">
        <v>3074</v>
      </c>
      <c r="D656" s="4" t="s">
        <v>1106</v>
      </c>
      <c r="E656" s="6">
        <v>43921</v>
      </c>
      <c r="F656" s="7">
        <v>50</v>
      </c>
      <c r="G656" s="7">
        <v>1.6600000000000001</v>
      </c>
    </row>
    <row r="657" spans="1:7">
      <c r="A657" s="4" t="s">
        <v>46</v>
      </c>
      <c r="B657" s="4" t="s">
        <v>292</v>
      </c>
      <c r="C657" s="4" t="s">
        <v>3074</v>
      </c>
      <c r="D657" s="4" t="s">
        <v>1146</v>
      </c>
      <c r="E657" s="6">
        <v>43921</v>
      </c>
      <c r="F657" s="7">
        <v>50</v>
      </c>
      <c r="G657" s="7">
        <v>1.3900000000000001</v>
      </c>
    </row>
    <row r="658" spans="1:7">
      <c r="A658" s="4" t="s">
        <v>46</v>
      </c>
      <c r="B658" s="4" t="s">
        <v>292</v>
      </c>
      <c r="C658" s="4" t="s">
        <v>3074</v>
      </c>
      <c r="D658" s="4" t="s">
        <v>784</v>
      </c>
      <c r="E658" s="6">
        <v>43921</v>
      </c>
      <c r="F658" s="7">
        <v>1</v>
      </c>
      <c r="G658" s="7">
        <v>0</v>
      </c>
    </row>
    <row r="659" spans="1:7">
      <c r="A659" s="4" t="s">
        <v>56</v>
      </c>
      <c r="B659" s="4" t="s">
        <v>282</v>
      </c>
      <c r="C659" s="4" t="s">
        <v>3075</v>
      </c>
      <c r="D659" s="4" t="s">
        <v>936</v>
      </c>
      <c r="E659" s="6">
        <v>43921</v>
      </c>
      <c r="F659" s="7">
        <v>50</v>
      </c>
      <c r="G659" s="7">
        <v>0.82</v>
      </c>
    </row>
    <row r="660" spans="1:7">
      <c r="A660" s="4" t="s">
        <v>56</v>
      </c>
      <c r="B660" s="4" t="s">
        <v>282</v>
      </c>
      <c r="C660" s="4" t="s">
        <v>3075</v>
      </c>
      <c r="D660" s="4" t="s">
        <v>942</v>
      </c>
      <c r="E660" s="6">
        <v>43921</v>
      </c>
      <c r="F660" s="7">
        <v>50</v>
      </c>
      <c r="G660" s="7">
        <v>1.7899999999999998</v>
      </c>
    </row>
    <row r="661" spans="1:7">
      <c r="A661" s="4" t="s">
        <v>56</v>
      </c>
      <c r="B661" s="4" t="s">
        <v>282</v>
      </c>
      <c r="C661" s="4" t="s">
        <v>3075</v>
      </c>
      <c r="D661" s="4" t="s">
        <v>855</v>
      </c>
      <c r="E661" s="6">
        <v>43921</v>
      </c>
      <c r="F661" s="7">
        <v>50</v>
      </c>
      <c r="G661" s="7">
        <v>2.0699999999999998</v>
      </c>
    </row>
    <row r="662" spans="1:7">
      <c r="A662" s="4" t="s">
        <v>56</v>
      </c>
      <c r="B662" s="4" t="s">
        <v>282</v>
      </c>
      <c r="C662" s="4" t="s">
        <v>3075</v>
      </c>
      <c r="D662" s="4" t="s">
        <v>1669</v>
      </c>
      <c r="E662" s="6">
        <v>43921</v>
      </c>
      <c r="F662" s="7">
        <v>100</v>
      </c>
      <c r="G662" s="7">
        <v>3.53</v>
      </c>
    </row>
    <row r="663" spans="1:7">
      <c r="A663" s="4" t="s">
        <v>56</v>
      </c>
      <c r="B663" s="4" t="s">
        <v>282</v>
      </c>
      <c r="C663" s="4" t="s">
        <v>3075</v>
      </c>
      <c r="D663" s="4" t="s">
        <v>964</v>
      </c>
      <c r="E663" s="6">
        <v>43921</v>
      </c>
      <c r="F663" s="7">
        <v>50</v>
      </c>
      <c r="G663" s="7">
        <v>1.33</v>
      </c>
    </row>
    <row r="664" spans="1:7">
      <c r="A664" s="4" t="s">
        <v>56</v>
      </c>
      <c r="B664" s="4" t="s">
        <v>282</v>
      </c>
      <c r="C664" s="4" t="s">
        <v>3075</v>
      </c>
      <c r="D664" s="4" t="s">
        <v>784</v>
      </c>
      <c r="E664" s="6">
        <v>43921</v>
      </c>
      <c r="F664" s="7">
        <v>1</v>
      </c>
      <c r="G664" s="7">
        <v>0</v>
      </c>
    </row>
    <row r="665" spans="1:7">
      <c r="A665" s="4" t="s">
        <v>80</v>
      </c>
      <c r="B665" s="4" t="s">
        <v>274</v>
      </c>
      <c r="C665" s="4" t="s">
        <v>3076</v>
      </c>
      <c r="D665" s="4" t="s">
        <v>1674</v>
      </c>
      <c r="E665" s="6">
        <v>43920</v>
      </c>
      <c r="F665" s="7">
        <v>6</v>
      </c>
      <c r="G665" s="7">
        <v>2.59</v>
      </c>
    </row>
    <row r="666" spans="1:7">
      <c r="A666" s="4" t="s">
        <v>80</v>
      </c>
      <c r="B666" s="4" t="s">
        <v>274</v>
      </c>
      <c r="C666" s="4" t="s">
        <v>3076</v>
      </c>
      <c r="D666" s="4" t="s">
        <v>873</v>
      </c>
      <c r="E666" s="6">
        <v>43920</v>
      </c>
      <c r="F666" s="7">
        <v>1</v>
      </c>
      <c r="G666" s="7">
        <v>1</v>
      </c>
    </row>
    <row r="667" spans="1:7">
      <c r="A667" s="4" t="s">
        <v>80</v>
      </c>
      <c r="B667" s="4" t="s">
        <v>274</v>
      </c>
      <c r="C667" s="4" t="s">
        <v>3076</v>
      </c>
      <c r="D667" s="4" t="s">
        <v>987</v>
      </c>
      <c r="E667" s="6">
        <v>43920</v>
      </c>
      <c r="F667" s="7">
        <v>1</v>
      </c>
      <c r="G667" s="7">
        <v>1.89</v>
      </c>
    </row>
    <row r="668" spans="1:7">
      <c r="A668" s="4" t="s">
        <v>318</v>
      </c>
      <c r="B668" s="4" t="s">
        <v>319</v>
      </c>
      <c r="C668" s="4" t="s">
        <v>3077</v>
      </c>
      <c r="D668" s="4" t="s">
        <v>1005</v>
      </c>
      <c r="E668" s="6">
        <v>43936</v>
      </c>
      <c r="F668" s="7">
        <v>150</v>
      </c>
      <c r="G668" s="7">
        <v>2.3600000000000003</v>
      </c>
    </row>
    <row r="669" spans="1:7">
      <c r="A669" s="4" t="s">
        <v>318</v>
      </c>
      <c r="B669" s="4" t="s">
        <v>319</v>
      </c>
      <c r="C669" s="4" t="s">
        <v>3077</v>
      </c>
      <c r="D669" s="4" t="s">
        <v>784</v>
      </c>
      <c r="E669" s="6">
        <v>43936</v>
      </c>
      <c r="F669" s="7">
        <v>1</v>
      </c>
      <c r="G669" s="7">
        <v>145</v>
      </c>
    </row>
    <row r="670" spans="1:7">
      <c r="A670" s="4" t="s">
        <v>38</v>
      </c>
      <c r="B670" s="4" t="s">
        <v>299</v>
      </c>
      <c r="C670" s="4" t="s">
        <v>3078</v>
      </c>
      <c r="D670" s="4" t="s">
        <v>826</v>
      </c>
      <c r="E670" s="6">
        <v>43924</v>
      </c>
      <c r="F670" s="7">
        <v>85</v>
      </c>
      <c r="G670" s="7">
        <v>6.08</v>
      </c>
    </row>
    <row r="671" spans="1:7">
      <c r="A671" s="4" t="s">
        <v>38</v>
      </c>
      <c r="B671" s="4" t="s">
        <v>299</v>
      </c>
      <c r="C671" s="4" t="s">
        <v>3078</v>
      </c>
      <c r="D671" s="4" t="s">
        <v>826</v>
      </c>
      <c r="E671" s="6">
        <v>43924</v>
      </c>
      <c r="F671" s="7">
        <v>85</v>
      </c>
      <c r="G671" s="7">
        <v>9.120000000000001</v>
      </c>
    </row>
    <row r="672" spans="1:7">
      <c r="A672" s="4" t="s">
        <v>38</v>
      </c>
      <c r="B672" s="4" t="s">
        <v>299</v>
      </c>
      <c r="C672" s="4" t="s">
        <v>3078</v>
      </c>
      <c r="D672" s="4" t="s">
        <v>840</v>
      </c>
      <c r="E672" s="6">
        <v>43924</v>
      </c>
      <c r="F672" s="7">
        <v>1</v>
      </c>
      <c r="G672" s="7">
        <v>60</v>
      </c>
    </row>
    <row r="673" spans="1:7">
      <c r="A673" s="4" t="s">
        <v>38</v>
      </c>
      <c r="B673" s="4" t="s">
        <v>299</v>
      </c>
      <c r="C673" s="4" t="s">
        <v>3078</v>
      </c>
      <c r="D673" s="4" t="s">
        <v>784</v>
      </c>
      <c r="E673" s="6">
        <v>43924</v>
      </c>
      <c r="F673" s="7">
        <v>1</v>
      </c>
      <c r="G673" s="7">
        <v>0</v>
      </c>
    </row>
    <row r="674" spans="1:7">
      <c r="A674" s="4" t="s">
        <v>46</v>
      </c>
      <c r="B674" s="4" t="s">
        <v>304</v>
      </c>
      <c r="C674" s="4" t="s">
        <v>3079</v>
      </c>
      <c r="D674" s="4" t="s">
        <v>867</v>
      </c>
      <c r="E674" s="6">
        <v>43928</v>
      </c>
      <c r="F674" s="7">
        <v>300</v>
      </c>
      <c r="G674" s="7">
        <v>1.8</v>
      </c>
    </row>
    <row r="675" spans="1:7">
      <c r="A675" s="4" t="s">
        <v>46</v>
      </c>
      <c r="B675" s="4" t="s">
        <v>304</v>
      </c>
      <c r="C675" s="4" t="s">
        <v>3079</v>
      </c>
      <c r="D675" s="4" t="s">
        <v>847</v>
      </c>
      <c r="E675" s="6">
        <v>43928</v>
      </c>
      <c r="F675" s="7">
        <v>50</v>
      </c>
      <c r="G675" s="7">
        <v>4.5200000000000005</v>
      </c>
    </row>
    <row r="676" spans="1:7">
      <c r="A676" s="4" t="s">
        <v>46</v>
      </c>
      <c r="B676" s="4" t="s">
        <v>304</v>
      </c>
      <c r="C676" s="4" t="s">
        <v>3079</v>
      </c>
      <c r="D676" s="4" t="s">
        <v>879</v>
      </c>
      <c r="E676" s="6">
        <v>43928</v>
      </c>
      <c r="F676" s="7">
        <v>50</v>
      </c>
      <c r="G676" s="7">
        <v>1.1199999999999999</v>
      </c>
    </row>
    <row r="677" spans="1:7">
      <c r="A677" s="4" t="s">
        <v>46</v>
      </c>
      <c r="B677" s="4" t="s">
        <v>304</v>
      </c>
      <c r="C677" s="4" t="s">
        <v>3079</v>
      </c>
      <c r="D677" s="4" t="s">
        <v>1040</v>
      </c>
      <c r="E677" s="6">
        <v>43928</v>
      </c>
      <c r="F677" s="7">
        <v>50</v>
      </c>
      <c r="G677" s="7">
        <v>2.25</v>
      </c>
    </row>
    <row r="678" spans="1:7">
      <c r="A678" s="4" t="s">
        <v>46</v>
      </c>
      <c r="B678" s="4" t="s">
        <v>304</v>
      </c>
      <c r="C678" s="4" t="s">
        <v>3079</v>
      </c>
      <c r="D678" s="4" t="s">
        <v>893</v>
      </c>
      <c r="E678" s="6">
        <v>43928</v>
      </c>
      <c r="F678" s="7">
        <v>50</v>
      </c>
      <c r="G678" s="7">
        <v>4.1100000000000003</v>
      </c>
    </row>
    <row r="679" spans="1:7">
      <c r="A679" s="4" t="s">
        <v>46</v>
      </c>
      <c r="B679" s="4" t="s">
        <v>304</v>
      </c>
      <c r="C679" s="4" t="s">
        <v>3079</v>
      </c>
      <c r="D679" s="4" t="s">
        <v>784</v>
      </c>
      <c r="E679" s="6">
        <v>43928</v>
      </c>
      <c r="F679" s="7">
        <v>1</v>
      </c>
      <c r="G679" s="7">
        <v>0</v>
      </c>
    </row>
    <row r="680" spans="1:7">
      <c r="A680" s="4" t="s">
        <v>49</v>
      </c>
      <c r="B680" s="4" t="s">
        <v>308</v>
      </c>
      <c r="C680" s="4" t="s">
        <v>3080</v>
      </c>
      <c r="D680" s="4" t="s">
        <v>849</v>
      </c>
      <c r="E680" s="6">
        <v>43928</v>
      </c>
      <c r="F680" s="7">
        <v>50</v>
      </c>
      <c r="G680" s="7">
        <v>9.73</v>
      </c>
    </row>
    <row r="681" spans="1:7">
      <c r="A681" s="4" t="s">
        <v>49</v>
      </c>
      <c r="B681" s="4" t="s">
        <v>308</v>
      </c>
      <c r="C681" s="4" t="s">
        <v>3080</v>
      </c>
      <c r="D681" s="4" t="s">
        <v>893</v>
      </c>
      <c r="E681" s="6">
        <v>43928</v>
      </c>
      <c r="F681" s="7">
        <v>100</v>
      </c>
      <c r="G681" s="7">
        <v>4.43</v>
      </c>
    </row>
    <row r="682" spans="1:7">
      <c r="A682" s="4" t="s">
        <v>49</v>
      </c>
      <c r="B682" s="4" t="s">
        <v>308</v>
      </c>
      <c r="C682" s="4" t="s">
        <v>3080</v>
      </c>
      <c r="D682" s="4" t="s">
        <v>1063</v>
      </c>
      <c r="E682" s="6">
        <v>43928</v>
      </c>
      <c r="F682" s="7">
        <v>150</v>
      </c>
      <c r="G682" s="7">
        <v>1.06</v>
      </c>
    </row>
    <row r="683" spans="1:7">
      <c r="A683" s="4" t="s">
        <v>49</v>
      </c>
      <c r="B683" s="4" t="s">
        <v>308</v>
      </c>
      <c r="C683" s="4" t="s">
        <v>3080</v>
      </c>
      <c r="D683" s="4" t="s">
        <v>823</v>
      </c>
      <c r="E683" s="6">
        <v>43928</v>
      </c>
      <c r="F683" s="7">
        <v>50</v>
      </c>
      <c r="G683" s="7">
        <v>5.92</v>
      </c>
    </row>
    <row r="684" spans="1:7">
      <c r="A684" s="4" t="s">
        <v>49</v>
      </c>
      <c r="B684" s="4" t="s">
        <v>308</v>
      </c>
      <c r="C684" s="4" t="s">
        <v>3080</v>
      </c>
      <c r="D684" s="4" t="s">
        <v>784</v>
      </c>
      <c r="E684" s="6">
        <v>43928</v>
      </c>
      <c r="F684" s="7">
        <v>1</v>
      </c>
      <c r="G684" s="7">
        <v>0</v>
      </c>
    </row>
    <row r="685" spans="1:7">
      <c r="A685" s="4" t="s">
        <v>24</v>
      </c>
      <c r="B685" s="4" t="s">
        <v>310</v>
      </c>
      <c r="C685" s="4" t="s">
        <v>3081</v>
      </c>
      <c r="D685" s="4" t="s">
        <v>817</v>
      </c>
      <c r="E685" s="6">
        <v>43929</v>
      </c>
      <c r="F685" s="7">
        <v>300</v>
      </c>
      <c r="G685" s="7">
        <v>1.64</v>
      </c>
    </row>
    <row r="686" spans="1:7">
      <c r="A686" s="4" t="s">
        <v>24</v>
      </c>
      <c r="B686" s="4" t="s">
        <v>310</v>
      </c>
      <c r="C686" s="4" t="s">
        <v>3081</v>
      </c>
      <c r="D686" s="4" t="s">
        <v>1109</v>
      </c>
      <c r="E686" s="6">
        <v>43929</v>
      </c>
      <c r="F686" s="7">
        <v>100</v>
      </c>
      <c r="G686" s="7">
        <v>4.2799999999999994</v>
      </c>
    </row>
    <row r="687" spans="1:7">
      <c r="A687" s="4" t="s">
        <v>24</v>
      </c>
      <c r="B687" s="4" t="s">
        <v>310</v>
      </c>
      <c r="C687" s="4" t="s">
        <v>3081</v>
      </c>
      <c r="D687" s="4" t="s">
        <v>1628</v>
      </c>
      <c r="E687" s="6">
        <v>43929</v>
      </c>
      <c r="F687" s="7">
        <v>50</v>
      </c>
      <c r="G687" s="7">
        <v>2.4300000000000002</v>
      </c>
    </row>
    <row r="688" spans="1:7">
      <c r="A688" s="4" t="s">
        <v>24</v>
      </c>
      <c r="B688" s="4" t="s">
        <v>310</v>
      </c>
      <c r="C688" s="4" t="s">
        <v>3081</v>
      </c>
      <c r="D688" s="4" t="s">
        <v>821</v>
      </c>
      <c r="E688" s="6">
        <v>43929</v>
      </c>
      <c r="F688" s="7">
        <v>40</v>
      </c>
      <c r="G688" s="7">
        <v>4.13</v>
      </c>
    </row>
    <row r="689" spans="1:7">
      <c r="A689" s="4" t="s">
        <v>24</v>
      </c>
      <c r="B689" s="4" t="s">
        <v>310</v>
      </c>
      <c r="C689" s="4" t="s">
        <v>3081</v>
      </c>
      <c r="D689" s="4" t="s">
        <v>1232</v>
      </c>
      <c r="E689" s="6">
        <v>43929</v>
      </c>
      <c r="F689" s="7">
        <v>40</v>
      </c>
      <c r="G689" s="7">
        <v>7.07</v>
      </c>
    </row>
    <row r="690" spans="1:7">
      <c r="A690" s="4" t="s">
        <v>24</v>
      </c>
      <c r="B690" s="4" t="s">
        <v>310</v>
      </c>
      <c r="C690" s="4" t="s">
        <v>3081</v>
      </c>
      <c r="D690" s="4" t="s">
        <v>815</v>
      </c>
      <c r="E690" s="6">
        <v>43929</v>
      </c>
      <c r="F690" s="7">
        <v>100</v>
      </c>
      <c r="G690" s="7">
        <v>3.6100000000000003</v>
      </c>
    </row>
    <row r="691" spans="1:7">
      <c r="A691" s="4" t="s">
        <v>24</v>
      </c>
      <c r="B691" s="4" t="s">
        <v>310</v>
      </c>
      <c r="C691" s="4" t="s">
        <v>3081</v>
      </c>
      <c r="D691" s="4" t="s">
        <v>784</v>
      </c>
      <c r="E691" s="6">
        <v>43929</v>
      </c>
      <c r="F691" s="7">
        <v>1</v>
      </c>
      <c r="G691" s="7">
        <v>0</v>
      </c>
    </row>
    <row r="692" spans="1:7">
      <c r="A692" s="4" t="s">
        <v>38</v>
      </c>
      <c r="B692" s="4" t="s">
        <v>332</v>
      </c>
      <c r="C692" s="4" t="s">
        <v>3082</v>
      </c>
      <c r="D692" s="4" t="s">
        <v>826</v>
      </c>
      <c r="E692" s="6">
        <v>43943</v>
      </c>
      <c r="F692" s="7">
        <v>1</v>
      </c>
      <c r="G692" s="7">
        <v>1520</v>
      </c>
    </row>
    <row r="693" spans="1:7">
      <c r="A693" s="4" t="s">
        <v>38</v>
      </c>
      <c r="B693" s="4" t="s">
        <v>332</v>
      </c>
      <c r="C693" s="4" t="s">
        <v>3082</v>
      </c>
      <c r="D693" s="4" t="s">
        <v>840</v>
      </c>
      <c r="E693" s="6">
        <v>43943</v>
      </c>
      <c r="F693" s="7">
        <v>1</v>
      </c>
      <c r="G693" s="7">
        <v>300</v>
      </c>
    </row>
    <row r="694" spans="1:7">
      <c r="A694" s="4" t="s">
        <v>38</v>
      </c>
      <c r="B694" s="4" t="s">
        <v>332</v>
      </c>
      <c r="C694" s="4" t="s">
        <v>3082</v>
      </c>
      <c r="D694" s="4" t="s">
        <v>826</v>
      </c>
      <c r="E694" s="6">
        <v>43943</v>
      </c>
      <c r="F694" s="7">
        <v>1</v>
      </c>
      <c r="G694" s="7">
        <v>1520</v>
      </c>
    </row>
    <row r="695" spans="1:7">
      <c r="A695" s="4" t="s">
        <v>38</v>
      </c>
      <c r="B695" s="4" t="s">
        <v>332</v>
      </c>
      <c r="C695" s="4" t="s">
        <v>3082</v>
      </c>
      <c r="D695" s="4" t="s">
        <v>840</v>
      </c>
      <c r="E695" s="6">
        <v>43943</v>
      </c>
      <c r="F695" s="7">
        <v>1</v>
      </c>
      <c r="G695" s="7">
        <v>250</v>
      </c>
    </row>
    <row r="696" spans="1:7">
      <c r="A696" s="4" t="s">
        <v>38</v>
      </c>
      <c r="B696" s="4" t="s">
        <v>332</v>
      </c>
      <c r="C696" s="4" t="s">
        <v>3082</v>
      </c>
      <c r="D696" s="4" t="s">
        <v>784</v>
      </c>
      <c r="E696" s="6">
        <v>43943</v>
      </c>
      <c r="F696" s="7">
        <v>1</v>
      </c>
      <c r="G696" s="7">
        <v>0</v>
      </c>
    </row>
    <row r="697" spans="1:7">
      <c r="A697" s="4" t="s">
        <v>46</v>
      </c>
      <c r="B697" s="4" t="s">
        <v>342</v>
      </c>
      <c r="C697" s="4" t="s">
        <v>3083</v>
      </c>
      <c r="D697" s="4" t="s">
        <v>993</v>
      </c>
      <c r="E697" s="6">
        <v>43949</v>
      </c>
      <c r="F697" s="7">
        <v>50</v>
      </c>
      <c r="G697" s="7">
        <v>0.44</v>
      </c>
    </row>
    <row r="698" spans="1:7">
      <c r="A698" s="4" t="s">
        <v>46</v>
      </c>
      <c r="B698" s="4" t="s">
        <v>342</v>
      </c>
      <c r="C698" s="4" t="s">
        <v>3083</v>
      </c>
      <c r="D698" s="4" t="s">
        <v>1168</v>
      </c>
      <c r="E698" s="6">
        <v>43949</v>
      </c>
      <c r="F698" s="7">
        <v>200</v>
      </c>
      <c r="G698" s="7">
        <v>1.04</v>
      </c>
    </row>
    <row r="699" spans="1:7">
      <c r="A699" s="4" t="s">
        <v>46</v>
      </c>
      <c r="B699" s="4" t="s">
        <v>342</v>
      </c>
      <c r="C699" s="4" t="s">
        <v>3083</v>
      </c>
      <c r="D699" s="4" t="s">
        <v>817</v>
      </c>
      <c r="E699" s="6">
        <v>43949</v>
      </c>
      <c r="F699" s="7">
        <v>100</v>
      </c>
      <c r="G699" s="7">
        <v>1.52</v>
      </c>
    </row>
    <row r="700" spans="1:7">
      <c r="A700" s="4" t="s">
        <v>46</v>
      </c>
      <c r="B700" s="4" t="s">
        <v>342</v>
      </c>
      <c r="C700" s="4" t="s">
        <v>3083</v>
      </c>
      <c r="D700" s="4" t="s">
        <v>942</v>
      </c>
      <c r="E700" s="6">
        <v>43949</v>
      </c>
      <c r="F700" s="7">
        <v>100</v>
      </c>
      <c r="G700" s="7">
        <v>1.6600000000000001</v>
      </c>
    </row>
    <row r="701" spans="1:7">
      <c r="A701" s="4" t="s">
        <v>46</v>
      </c>
      <c r="B701" s="4" t="s">
        <v>342</v>
      </c>
      <c r="C701" s="4" t="s">
        <v>3083</v>
      </c>
      <c r="D701" s="4" t="s">
        <v>1126</v>
      </c>
      <c r="E701" s="6">
        <v>43949</v>
      </c>
      <c r="F701" s="7">
        <v>100</v>
      </c>
      <c r="G701" s="7">
        <v>3.2299999999999995</v>
      </c>
    </row>
    <row r="702" spans="1:7">
      <c r="A702" s="4" t="s">
        <v>46</v>
      </c>
      <c r="B702" s="4" t="s">
        <v>342</v>
      </c>
      <c r="C702" s="4" t="s">
        <v>3083</v>
      </c>
      <c r="D702" s="4" t="s">
        <v>1716</v>
      </c>
      <c r="E702" s="6">
        <v>43949</v>
      </c>
      <c r="F702" s="7">
        <v>50</v>
      </c>
      <c r="G702" s="7">
        <v>0.71</v>
      </c>
    </row>
    <row r="703" spans="1:7">
      <c r="A703" s="4" t="s">
        <v>46</v>
      </c>
      <c r="B703" s="4" t="s">
        <v>342</v>
      </c>
      <c r="C703" s="4" t="s">
        <v>3083</v>
      </c>
      <c r="D703" s="4" t="s">
        <v>877</v>
      </c>
      <c r="E703" s="6">
        <v>43949</v>
      </c>
      <c r="F703" s="7">
        <v>100</v>
      </c>
      <c r="G703" s="7">
        <v>0.81</v>
      </c>
    </row>
    <row r="704" spans="1:7">
      <c r="A704" s="4" t="s">
        <v>46</v>
      </c>
      <c r="B704" s="4" t="s">
        <v>342</v>
      </c>
      <c r="C704" s="4" t="s">
        <v>3083</v>
      </c>
      <c r="D704" s="4" t="s">
        <v>784</v>
      </c>
      <c r="E704" s="6">
        <v>43949</v>
      </c>
      <c r="F704" s="7">
        <v>1</v>
      </c>
      <c r="G704" s="7">
        <v>0</v>
      </c>
    </row>
    <row r="705" spans="1:7">
      <c r="A705" s="4" t="s">
        <v>135</v>
      </c>
      <c r="B705" s="4" t="s">
        <v>328</v>
      </c>
      <c r="C705" s="4" t="s">
        <v>3084</v>
      </c>
      <c r="D705" s="4" t="s">
        <v>1018</v>
      </c>
      <c r="E705" s="6">
        <v>43938</v>
      </c>
      <c r="F705" s="7">
        <v>20</v>
      </c>
      <c r="G705" s="7">
        <v>0.48</v>
      </c>
    </row>
    <row r="706" spans="1:7">
      <c r="A706" s="4" t="s">
        <v>135</v>
      </c>
      <c r="B706" s="4" t="s">
        <v>328</v>
      </c>
      <c r="C706" s="4" t="s">
        <v>3084</v>
      </c>
      <c r="D706" s="4" t="s">
        <v>1721</v>
      </c>
      <c r="E706" s="6">
        <v>43938</v>
      </c>
      <c r="F706" s="7">
        <v>400</v>
      </c>
      <c r="G706" s="7">
        <v>0.51</v>
      </c>
    </row>
    <row r="707" spans="1:7">
      <c r="A707" s="4" t="s">
        <v>135</v>
      </c>
      <c r="B707" s="4" t="s">
        <v>328</v>
      </c>
      <c r="C707" s="4" t="s">
        <v>3084</v>
      </c>
      <c r="D707" s="4" t="s">
        <v>1723</v>
      </c>
      <c r="E707" s="6">
        <v>43938</v>
      </c>
      <c r="F707" s="7">
        <v>12</v>
      </c>
      <c r="G707" s="7">
        <v>6.58</v>
      </c>
    </row>
    <row r="708" spans="1:7">
      <c r="A708" s="4" t="s">
        <v>135</v>
      </c>
      <c r="B708" s="4" t="s">
        <v>328</v>
      </c>
      <c r="C708" s="4" t="s">
        <v>3084</v>
      </c>
      <c r="D708" s="4" t="s">
        <v>1640</v>
      </c>
      <c r="E708" s="6">
        <v>43938</v>
      </c>
      <c r="F708" s="7">
        <v>10</v>
      </c>
      <c r="G708" s="7">
        <v>3.17</v>
      </c>
    </row>
    <row r="709" spans="1:7">
      <c r="A709" s="4" t="s">
        <v>135</v>
      </c>
      <c r="B709" s="4" t="s">
        <v>328</v>
      </c>
      <c r="C709" s="4" t="s">
        <v>3084</v>
      </c>
      <c r="D709" s="4" t="s">
        <v>999</v>
      </c>
      <c r="E709" s="6">
        <v>43938</v>
      </c>
      <c r="F709" s="7">
        <v>5</v>
      </c>
      <c r="G709" s="7">
        <v>3.84</v>
      </c>
    </row>
    <row r="710" spans="1:7">
      <c r="A710" s="4" t="s">
        <v>135</v>
      </c>
      <c r="B710" s="4" t="s">
        <v>328</v>
      </c>
      <c r="C710" s="4" t="s">
        <v>3084</v>
      </c>
      <c r="D710" s="4" t="s">
        <v>1727</v>
      </c>
      <c r="E710" s="6">
        <v>43938</v>
      </c>
      <c r="F710" s="7">
        <v>6</v>
      </c>
      <c r="G710" s="7">
        <v>4.07</v>
      </c>
    </row>
    <row r="711" spans="1:7">
      <c r="A711" s="4" t="s">
        <v>135</v>
      </c>
      <c r="B711" s="4" t="s">
        <v>328</v>
      </c>
      <c r="C711" s="4" t="s">
        <v>3084</v>
      </c>
      <c r="D711" s="4" t="s">
        <v>1745</v>
      </c>
      <c r="E711" s="6">
        <v>43938</v>
      </c>
      <c r="F711" s="7">
        <v>10</v>
      </c>
      <c r="G711" s="7">
        <v>1.46</v>
      </c>
    </row>
    <row r="712" spans="1:7">
      <c r="A712" s="4" t="s">
        <v>135</v>
      </c>
      <c r="B712" s="4" t="s">
        <v>328</v>
      </c>
      <c r="C712" s="4" t="s">
        <v>3084</v>
      </c>
      <c r="D712" s="4" t="s">
        <v>784</v>
      </c>
      <c r="E712" s="6">
        <v>43938</v>
      </c>
      <c r="F712" s="7">
        <v>1</v>
      </c>
      <c r="G712" s="7">
        <v>0</v>
      </c>
    </row>
    <row r="713" spans="1:7">
      <c r="A713" s="4" t="s">
        <v>32</v>
      </c>
      <c r="B713" s="4" t="s">
        <v>324</v>
      </c>
      <c r="C713" s="4" t="s">
        <v>3085</v>
      </c>
      <c r="D713" s="4" t="s">
        <v>966</v>
      </c>
      <c r="E713" s="6">
        <v>43938</v>
      </c>
      <c r="F713" s="7">
        <v>25</v>
      </c>
      <c r="G713" s="7">
        <v>0.78</v>
      </c>
    </row>
    <row r="714" spans="1:7">
      <c r="A714" s="4" t="s">
        <v>32</v>
      </c>
      <c r="B714" s="4" t="s">
        <v>324</v>
      </c>
      <c r="C714" s="4" t="s">
        <v>3085</v>
      </c>
      <c r="D714" s="4" t="s">
        <v>1325</v>
      </c>
      <c r="E714" s="6">
        <v>43938</v>
      </c>
      <c r="F714" s="7">
        <v>50</v>
      </c>
      <c r="G714" s="7">
        <v>0.72</v>
      </c>
    </row>
    <row r="715" spans="1:7">
      <c r="A715" s="4" t="s">
        <v>32</v>
      </c>
      <c r="B715" s="4" t="s">
        <v>324</v>
      </c>
      <c r="C715" s="4" t="s">
        <v>3085</v>
      </c>
      <c r="D715" s="4" t="s">
        <v>1026</v>
      </c>
      <c r="E715" s="6">
        <v>43938</v>
      </c>
      <c r="F715" s="7">
        <v>42</v>
      </c>
      <c r="G715" s="7">
        <v>0.72</v>
      </c>
    </row>
    <row r="716" spans="1:7">
      <c r="A716" s="4" t="s">
        <v>32</v>
      </c>
      <c r="B716" s="4" t="s">
        <v>324</v>
      </c>
      <c r="C716" s="4" t="s">
        <v>3085</v>
      </c>
      <c r="D716" s="4" t="s">
        <v>964</v>
      </c>
      <c r="E716" s="6">
        <v>43938</v>
      </c>
      <c r="F716" s="7">
        <v>43</v>
      </c>
      <c r="G716" s="7">
        <v>1.0699999999999998</v>
      </c>
    </row>
    <row r="717" spans="1:7">
      <c r="A717" s="4" t="s">
        <v>32</v>
      </c>
      <c r="B717" s="4" t="s">
        <v>324</v>
      </c>
      <c r="C717" s="4" t="s">
        <v>3085</v>
      </c>
      <c r="D717" s="4" t="s">
        <v>1146</v>
      </c>
      <c r="E717" s="6">
        <v>43938</v>
      </c>
      <c r="F717" s="7">
        <v>25</v>
      </c>
      <c r="G717" s="7">
        <v>1.2</v>
      </c>
    </row>
    <row r="718" spans="1:7">
      <c r="A718" s="4" t="s">
        <v>32</v>
      </c>
      <c r="B718" s="4" t="s">
        <v>324</v>
      </c>
      <c r="C718" s="4" t="s">
        <v>3085</v>
      </c>
      <c r="D718" s="4" t="s">
        <v>1154</v>
      </c>
      <c r="E718" s="6">
        <v>43938</v>
      </c>
      <c r="F718" s="7">
        <v>75</v>
      </c>
      <c r="G718" s="7">
        <v>1.29</v>
      </c>
    </row>
    <row r="719" spans="1:7">
      <c r="A719" s="4" t="s">
        <v>32</v>
      </c>
      <c r="B719" s="4" t="s">
        <v>324</v>
      </c>
      <c r="C719" s="4" t="s">
        <v>3085</v>
      </c>
      <c r="D719" s="4" t="s">
        <v>1735</v>
      </c>
      <c r="E719" s="6">
        <v>43938</v>
      </c>
      <c r="F719" s="7">
        <v>22</v>
      </c>
      <c r="G719" s="7">
        <v>0.37</v>
      </c>
    </row>
    <row r="720" spans="1:7">
      <c r="A720" s="4" t="s">
        <v>32</v>
      </c>
      <c r="B720" s="4" t="s">
        <v>324</v>
      </c>
      <c r="C720" s="4" t="s">
        <v>3085</v>
      </c>
      <c r="D720" s="4" t="s">
        <v>1737</v>
      </c>
      <c r="E720" s="6">
        <v>43938</v>
      </c>
      <c r="F720" s="7">
        <v>50</v>
      </c>
      <c r="G720" s="7">
        <v>0.4</v>
      </c>
    </row>
    <row r="721" spans="1:7">
      <c r="A721" s="4" t="s">
        <v>32</v>
      </c>
      <c r="B721" s="4" t="s">
        <v>324</v>
      </c>
      <c r="C721" s="4" t="s">
        <v>3085</v>
      </c>
      <c r="D721" s="4" t="s">
        <v>1739</v>
      </c>
      <c r="E721" s="6">
        <v>43938</v>
      </c>
      <c r="F721" s="7">
        <v>80</v>
      </c>
      <c r="G721" s="7">
        <v>0.44</v>
      </c>
    </row>
    <row r="722" spans="1:7">
      <c r="A722" s="4" t="s">
        <v>32</v>
      </c>
      <c r="B722" s="4" t="s">
        <v>324</v>
      </c>
      <c r="C722" s="4" t="s">
        <v>3085</v>
      </c>
      <c r="D722" s="4" t="s">
        <v>1741</v>
      </c>
      <c r="E722" s="6">
        <v>43938</v>
      </c>
      <c r="F722" s="7">
        <v>5</v>
      </c>
      <c r="G722" s="7">
        <v>12.36</v>
      </c>
    </row>
    <row r="723" spans="1:7">
      <c r="A723" s="4" t="s">
        <v>32</v>
      </c>
      <c r="B723" s="4" t="s">
        <v>324</v>
      </c>
      <c r="C723" s="4" t="s">
        <v>3085</v>
      </c>
      <c r="D723" s="4" t="s">
        <v>784</v>
      </c>
      <c r="E723" s="6">
        <v>43938</v>
      </c>
      <c r="F723" s="7">
        <v>1</v>
      </c>
      <c r="G723" s="7">
        <v>0</v>
      </c>
    </row>
    <row r="724" spans="1:7">
      <c r="A724" s="4" t="s">
        <v>198</v>
      </c>
      <c r="B724" s="4" t="s">
        <v>360</v>
      </c>
      <c r="C724" s="4" t="s">
        <v>3086</v>
      </c>
      <c r="D724" s="4" t="s">
        <v>1283</v>
      </c>
      <c r="E724" s="6">
        <v>43952</v>
      </c>
      <c r="F724" s="7">
        <v>200</v>
      </c>
      <c r="G724" s="7">
        <v>0.63</v>
      </c>
    </row>
    <row r="725" spans="1:7">
      <c r="A725" s="4" t="s">
        <v>198</v>
      </c>
      <c r="B725" s="4" t="s">
        <v>360</v>
      </c>
      <c r="C725" s="4" t="s">
        <v>3086</v>
      </c>
      <c r="D725" s="4" t="s">
        <v>1283</v>
      </c>
      <c r="E725" s="6">
        <v>43952</v>
      </c>
      <c r="F725" s="7">
        <v>600</v>
      </c>
      <c r="G725" s="7">
        <v>0.44</v>
      </c>
    </row>
    <row r="726" spans="1:7">
      <c r="A726" s="4" t="s">
        <v>198</v>
      </c>
      <c r="B726" s="4" t="s">
        <v>360</v>
      </c>
      <c r="C726" s="4" t="s">
        <v>3086</v>
      </c>
      <c r="D726" s="4" t="s">
        <v>784</v>
      </c>
      <c r="E726" s="6">
        <v>43952</v>
      </c>
      <c r="F726" s="7">
        <v>1</v>
      </c>
      <c r="G726" s="7">
        <v>0</v>
      </c>
    </row>
    <row r="727" spans="1:7">
      <c r="A727" s="4" t="s">
        <v>80</v>
      </c>
      <c r="B727" s="4" t="s">
        <v>314</v>
      </c>
      <c r="C727" s="4" t="s">
        <v>3087</v>
      </c>
      <c r="D727" s="4" t="s">
        <v>1750</v>
      </c>
      <c r="E727" s="6">
        <v>43936</v>
      </c>
      <c r="F727" s="7">
        <v>2</v>
      </c>
      <c r="G727" s="7">
        <v>4.63</v>
      </c>
    </row>
    <row r="728" spans="1:7">
      <c r="A728" s="4" t="s">
        <v>80</v>
      </c>
      <c r="B728" s="4" t="s">
        <v>314</v>
      </c>
      <c r="C728" s="4" t="s">
        <v>3087</v>
      </c>
      <c r="D728" s="4" t="s">
        <v>999</v>
      </c>
      <c r="E728" s="6">
        <v>43936</v>
      </c>
      <c r="F728" s="7">
        <v>2</v>
      </c>
      <c r="G728" s="7">
        <v>5.17</v>
      </c>
    </row>
    <row r="729" spans="1:7">
      <c r="A729" s="4" t="s">
        <v>80</v>
      </c>
      <c r="B729" s="4" t="s">
        <v>314</v>
      </c>
      <c r="C729" s="4" t="s">
        <v>3087</v>
      </c>
      <c r="D729" s="4" t="s">
        <v>1298</v>
      </c>
      <c r="E729" s="6">
        <v>43936</v>
      </c>
      <c r="F729" s="7">
        <v>2</v>
      </c>
      <c r="G729" s="7">
        <v>3.4200000000000004</v>
      </c>
    </row>
    <row r="730" spans="1:7">
      <c r="A730" s="4" t="s">
        <v>80</v>
      </c>
      <c r="B730" s="4" t="s">
        <v>314</v>
      </c>
      <c r="C730" s="4" t="s">
        <v>3087</v>
      </c>
      <c r="D730" s="4" t="s">
        <v>1208</v>
      </c>
      <c r="E730" s="6">
        <v>43936</v>
      </c>
      <c r="F730" s="7">
        <v>4</v>
      </c>
      <c r="G730" s="7">
        <v>3.4899999999999998</v>
      </c>
    </row>
    <row r="731" spans="1:7">
      <c r="A731" s="4" t="s">
        <v>80</v>
      </c>
      <c r="B731" s="4" t="s">
        <v>314</v>
      </c>
      <c r="C731" s="4" t="s">
        <v>3087</v>
      </c>
      <c r="D731" s="4" t="s">
        <v>784</v>
      </c>
      <c r="E731" s="6">
        <v>43936</v>
      </c>
      <c r="F731" s="7">
        <v>1</v>
      </c>
      <c r="G731" s="7">
        <v>0</v>
      </c>
    </row>
    <row r="732" spans="1:7">
      <c r="A732" s="4" t="s">
        <v>126</v>
      </c>
      <c r="B732" s="4" t="s">
        <v>316</v>
      </c>
      <c r="C732" s="4" t="s">
        <v>3088</v>
      </c>
      <c r="D732" s="4" t="s">
        <v>987</v>
      </c>
      <c r="E732" s="6">
        <v>43936</v>
      </c>
      <c r="F732" s="7">
        <v>50</v>
      </c>
      <c r="G732" s="7">
        <v>0.98</v>
      </c>
    </row>
    <row r="733" spans="1:7">
      <c r="A733" s="4" t="s">
        <v>126</v>
      </c>
      <c r="B733" s="4" t="s">
        <v>316</v>
      </c>
      <c r="C733" s="4" t="s">
        <v>3088</v>
      </c>
      <c r="D733" s="4" t="s">
        <v>853</v>
      </c>
      <c r="E733" s="6">
        <v>43936</v>
      </c>
      <c r="F733" s="7">
        <v>50</v>
      </c>
      <c r="G733" s="7">
        <v>2.75</v>
      </c>
    </row>
    <row r="734" spans="1:7">
      <c r="A734" s="4" t="s">
        <v>126</v>
      </c>
      <c r="B734" s="4" t="s">
        <v>316</v>
      </c>
      <c r="C734" s="4" t="s">
        <v>3088</v>
      </c>
      <c r="D734" s="4" t="s">
        <v>813</v>
      </c>
      <c r="E734" s="6">
        <v>43936</v>
      </c>
      <c r="F734" s="7">
        <v>25</v>
      </c>
      <c r="G734" s="7">
        <v>2.13</v>
      </c>
    </row>
    <row r="735" spans="1:7">
      <c r="A735" s="4" t="s">
        <v>126</v>
      </c>
      <c r="B735" s="4" t="s">
        <v>316</v>
      </c>
      <c r="C735" s="4" t="s">
        <v>3088</v>
      </c>
      <c r="D735" s="4" t="s">
        <v>784</v>
      </c>
      <c r="E735" s="6">
        <v>43936</v>
      </c>
      <c r="F735" s="7">
        <v>1</v>
      </c>
      <c r="G735" s="7">
        <v>0</v>
      </c>
    </row>
    <row r="736" spans="1:7">
      <c r="A736" s="4" t="s">
        <v>440</v>
      </c>
      <c r="B736" s="4" t="s">
        <v>441</v>
      </c>
      <c r="C736" s="4" t="s">
        <v>3089</v>
      </c>
      <c r="D736" s="4" t="s">
        <v>840</v>
      </c>
      <c r="E736" s="6">
        <v>44000</v>
      </c>
      <c r="F736" s="7">
        <v>1</v>
      </c>
      <c r="G736" s="7">
        <v>2950</v>
      </c>
    </row>
    <row r="737" spans="1:7">
      <c r="A737" s="4" t="s">
        <v>321</v>
      </c>
      <c r="B737" s="4" t="s">
        <v>322</v>
      </c>
      <c r="C737" s="4" t="s">
        <v>3090</v>
      </c>
      <c r="D737" s="4" t="s">
        <v>1628</v>
      </c>
      <c r="E737" s="6">
        <v>43936</v>
      </c>
      <c r="F737" s="7">
        <v>10</v>
      </c>
      <c r="G737" s="7">
        <v>3.2</v>
      </c>
    </row>
    <row r="738" spans="1:7">
      <c r="A738" s="4" t="s">
        <v>321</v>
      </c>
      <c r="B738" s="4" t="s">
        <v>322</v>
      </c>
      <c r="C738" s="4" t="s">
        <v>3090</v>
      </c>
      <c r="D738" s="4" t="s">
        <v>784</v>
      </c>
      <c r="E738" s="6">
        <v>43936</v>
      </c>
      <c r="F738" s="7">
        <v>1</v>
      </c>
      <c r="G738" s="7">
        <v>0</v>
      </c>
    </row>
    <row r="739" spans="1:7">
      <c r="A739" s="4" t="s">
        <v>321</v>
      </c>
      <c r="B739" s="4" t="s">
        <v>326</v>
      </c>
      <c r="C739" s="4" t="s">
        <v>3091</v>
      </c>
      <c r="D739" s="4" t="s">
        <v>1763</v>
      </c>
      <c r="E739" s="6">
        <v>43938</v>
      </c>
      <c r="F739" s="7">
        <v>3</v>
      </c>
      <c r="G739" s="7">
        <v>2.44</v>
      </c>
    </row>
    <row r="740" spans="1:7">
      <c r="A740" s="4" t="s">
        <v>321</v>
      </c>
      <c r="B740" s="4" t="s">
        <v>326</v>
      </c>
      <c r="C740" s="4" t="s">
        <v>3091</v>
      </c>
      <c r="D740" s="4" t="s">
        <v>1298</v>
      </c>
      <c r="E740" s="6">
        <v>43938</v>
      </c>
      <c r="F740" s="7">
        <v>3</v>
      </c>
      <c r="G740" s="7">
        <v>4.8899999999999997</v>
      </c>
    </row>
    <row r="741" spans="1:7">
      <c r="A741" s="4" t="s">
        <v>321</v>
      </c>
      <c r="B741" s="4" t="s">
        <v>326</v>
      </c>
      <c r="C741" s="4" t="s">
        <v>3091</v>
      </c>
      <c r="D741" s="4" t="s">
        <v>784</v>
      </c>
      <c r="E741" s="6">
        <v>43938</v>
      </c>
      <c r="F741" s="7">
        <v>1</v>
      </c>
      <c r="G741" s="7">
        <v>0</v>
      </c>
    </row>
    <row r="742" spans="1:7">
      <c r="A742" s="4" t="s">
        <v>339</v>
      </c>
      <c r="B742" s="4" t="s">
        <v>340</v>
      </c>
      <c r="C742" s="4" t="s">
        <v>3092</v>
      </c>
      <c r="D742" s="4" t="s">
        <v>1767</v>
      </c>
      <c r="E742" s="6">
        <v>43949</v>
      </c>
      <c r="F742" s="7">
        <v>6</v>
      </c>
      <c r="G742" s="7">
        <v>260</v>
      </c>
    </row>
    <row r="743" spans="1:7">
      <c r="A743" s="4" t="s">
        <v>339</v>
      </c>
      <c r="B743" s="4" t="s">
        <v>340</v>
      </c>
      <c r="C743" s="4" t="s">
        <v>3092</v>
      </c>
      <c r="D743" s="4" t="s">
        <v>784</v>
      </c>
      <c r="E743" s="6">
        <v>43949</v>
      </c>
      <c r="F743" s="7">
        <v>1</v>
      </c>
      <c r="G743" s="7">
        <v>0</v>
      </c>
    </row>
    <row r="744" spans="1:7">
      <c r="A744" s="4" t="s">
        <v>166</v>
      </c>
      <c r="B744" s="4" t="s">
        <v>344</v>
      </c>
      <c r="C744" s="4" t="s">
        <v>3093</v>
      </c>
      <c r="D744" s="4" t="s">
        <v>1628</v>
      </c>
      <c r="E744" s="6">
        <v>43950</v>
      </c>
      <c r="F744" s="7">
        <v>50</v>
      </c>
      <c r="G744" s="7">
        <v>1.6600000000000001</v>
      </c>
    </row>
    <row r="745" spans="1:7">
      <c r="A745" s="4" t="s">
        <v>166</v>
      </c>
      <c r="B745" s="4" t="s">
        <v>344</v>
      </c>
      <c r="C745" s="4" t="s">
        <v>3093</v>
      </c>
      <c r="D745" s="4" t="s">
        <v>976</v>
      </c>
      <c r="E745" s="6">
        <v>43950</v>
      </c>
      <c r="F745" s="7">
        <v>50</v>
      </c>
      <c r="G745" s="7">
        <v>1.1499999999999999</v>
      </c>
    </row>
    <row r="746" spans="1:7">
      <c r="A746" s="4" t="s">
        <v>166</v>
      </c>
      <c r="B746" s="4" t="s">
        <v>344</v>
      </c>
      <c r="C746" s="4" t="s">
        <v>3093</v>
      </c>
      <c r="D746" s="4" t="s">
        <v>1220</v>
      </c>
      <c r="E746" s="6">
        <v>43950</v>
      </c>
      <c r="F746" s="7">
        <v>50</v>
      </c>
      <c r="G746" s="7">
        <v>1.23</v>
      </c>
    </row>
    <row r="747" spans="1:7">
      <c r="A747" s="4" t="s">
        <v>166</v>
      </c>
      <c r="B747" s="4" t="s">
        <v>344</v>
      </c>
      <c r="C747" s="4" t="s">
        <v>3093</v>
      </c>
      <c r="D747" s="4" t="s">
        <v>1763</v>
      </c>
      <c r="E747" s="6">
        <v>43950</v>
      </c>
      <c r="F747" s="7">
        <v>50</v>
      </c>
      <c r="G747" s="7">
        <v>1.27</v>
      </c>
    </row>
    <row r="748" spans="1:7">
      <c r="A748" s="4" t="s">
        <v>166</v>
      </c>
      <c r="B748" s="4" t="s">
        <v>344</v>
      </c>
      <c r="C748" s="4" t="s">
        <v>3093</v>
      </c>
      <c r="D748" s="4" t="s">
        <v>1632</v>
      </c>
      <c r="E748" s="6">
        <v>43950</v>
      </c>
      <c r="F748" s="7">
        <v>50</v>
      </c>
      <c r="G748" s="7">
        <v>1.02</v>
      </c>
    </row>
    <row r="749" spans="1:7">
      <c r="A749" s="4" t="s">
        <v>166</v>
      </c>
      <c r="B749" s="4" t="s">
        <v>344</v>
      </c>
      <c r="C749" s="4" t="s">
        <v>3093</v>
      </c>
      <c r="D749" s="4" t="s">
        <v>1777</v>
      </c>
      <c r="E749" s="6">
        <v>43950</v>
      </c>
      <c r="F749" s="7">
        <v>50</v>
      </c>
      <c r="G749" s="7">
        <v>1.06</v>
      </c>
    </row>
    <row r="750" spans="1:7">
      <c r="A750" s="4" t="s">
        <v>166</v>
      </c>
      <c r="B750" s="4" t="s">
        <v>344</v>
      </c>
      <c r="C750" s="4" t="s">
        <v>3093</v>
      </c>
      <c r="D750" s="4" t="s">
        <v>1401</v>
      </c>
      <c r="E750" s="6">
        <v>43950</v>
      </c>
      <c r="F750" s="7">
        <v>50</v>
      </c>
      <c r="G750" s="7">
        <v>1.1499999999999999</v>
      </c>
    </row>
    <row r="751" spans="1:7">
      <c r="A751" s="4" t="s">
        <v>166</v>
      </c>
      <c r="B751" s="4" t="s">
        <v>344</v>
      </c>
      <c r="C751" s="4" t="s">
        <v>3093</v>
      </c>
      <c r="D751" s="4" t="s">
        <v>817</v>
      </c>
      <c r="E751" s="6">
        <v>43950</v>
      </c>
      <c r="F751" s="7">
        <v>50</v>
      </c>
      <c r="G751" s="7">
        <v>1.52</v>
      </c>
    </row>
    <row r="752" spans="1:7">
      <c r="A752" s="4" t="s">
        <v>166</v>
      </c>
      <c r="B752" s="4" t="s">
        <v>344</v>
      </c>
      <c r="C752" s="4" t="s">
        <v>3093</v>
      </c>
      <c r="D752" s="4" t="s">
        <v>867</v>
      </c>
      <c r="E752" s="6">
        <v>43950</v>
      </c>
      <c r="F752" s="7">
        <v>50</v>
      </c>
      <c r="G752" s="7">
        <v>1.8</v>
      </c>
    </row>
    <row r="753" spans="1:7">
      <c r="A753" s="4" t="s">
        <v>166</v>
      </c>
      <c r="B753" s="4" t="s">
        <v>344</v>
      </c>
      <c r="C753" s="4" t="s">
        <v>3093</v>
      </c>
      <c r="D753" s="4" t="s">
        <v>1439</v>
      </c>
      <c r="E753" s="6">
        <v>43950</v>
      </c>
      <c r="F753" s="7">
        <v>50</v>
      </c>
      <c r="G753" s="7">
        <v>3.3299999999999996</v>
      </c>
    </row>
    <row r="754" spans="1:7">
      <c r="A754" s="4" t="s">
        <v>166</v>
      </c>
      <c r="B754" s="4" t="s">
        <v>344</v>
      </c>
      <c r="C754" s="4" t="s">
        <v>3093</v>
      </c>
      <c r="D754" s="4" t="s">
        <v>1104</v>
      </c>
      <c r="E754" s="6">
        <v>43950</v>
      </c>
      <c r="F754" s="7">
        <v>20</v>
      </c>
      <c r="G754" s="7">
        <v>1.97</v>
      </c>
    </row>
    <row r="755" spans="1:7">
      <c r="A755" s="4" t="s">
        <v>166</v>
      </c>
      <c r="B755" s="4" t="s">
        <v>344</v>
      </c>
      <c r="C755" s="4" t="s">
        <v>3093</v>
      </c>
      <c r="D755" s="4" t="s">
        <v>944</v>
      </c>
      <c r="E755" s="6">
        <v>43950</v>
      </c>
      <c r="F755" s="7">
        <v>20</v>
      </c>
      <c r="G755" s="7">
        <v>1.97</v>
      </c>
    </row>
    <row r="756" spans="1:7">
      <c r="A756" s="4" t="s">
        <v>166</v>
      </c>
      <c r="B756" s="4" t="s">
        <v>344</v>
      </c>
      <c r="C756" s="4" t="s">
        <v>3093</v>
      </c>
      <c r="D756" s="4" t="s">
        <v>1106</v>
      </c>
      <c r="E756" s="6">
        <v>43950</v>
      </c>
      <c r="F756" s="7">
        <v>20</v>
      </c>
      <c r="G756" s="7">
        <v>1.6600000000000001</v>
      </c>
    </row>
    <row r="757" spans="1:7">
      <c r="A757" s="4" t="s">
        <v>166</v>
      </c>
      <c r="B757" s="4" t="s">
        <v>344</v>
      </c>
      <c r="C757" s="4" t="s">
        <v>3093</v>
      </c>
      <c r="D757" s="4" t="s">
        <v>1786</v>
      </c>
      <c r="E757" s="6">
        <v>43950</v>
      </c>
      <c r="F757" s="7">
        <v>20</v>
      </c>
      <c r="G757" s="7">
        <v>3.05</v>
      </c>
    </row>
    <row r="758" spans="1:7">
      <c r="A758" s="4" t="s">
        <v>166</v>
      </c>
      <c r="B758" s="4" t="s">
        <v>344</v>
      </c>
      <c r="C758" s="4" t="s">
        <v>3093</v>
      </c>
      <c r="D758" s="4" t="s">
        <v>887</v>
      </c>
      <c r="E758" s="6">
        <v>43950</v>
      </c>
      <c r="F758" s="7">
        <v>20</v>
      </c>
      <c r="G758" s="7">
        <v>0.57999999999999996</v>
      </c>
    </row>
    <row r="759" spans="1:7">
      <c r="A759" s="4" t="s">
        <v>166</v>
      </c>
      <c r="B759" s="4" t="s">
        <v>344</v>
      </c>
      <c r="C759" s="4" t="s">
        <v>3093</v>
      </c>
      <c r="D759" s="4" t="s">
        <v>993</v>
      </c>
      <c r="E759" s="6">
        <v>43950</v>
      </c>
      <c r="F759" s="7">
        <v>20</v>
      </c>
      <c r="G759" s="7">
        <v>0.44</v>
      </c>
    </row>
    <row r="760" spans="1:7">
      <c r="A760" s="4" t="s">
        <v>166</v>
      </c>
      <c r="B760" s="4" t="s">
        <v>344</v>
      </c>
      <c r="C760" s="4" t="s">
        <v>3093</v>
      </c>
      <c r="D760" s="4" t="s">
        <v>1126</v>
      </c>
      <c r="E760" s="6">
        <v>43950</v>
      </c>
      <c r="F760" s="7">
        <v>25</v>
      </c>
      <c r="G760" s="7">
        <v>3.2299999999999995</v>
      </c>
    </row>
    <row r="761" spans="1:7">
      <c r="A761" s="4" t="s">
        <v>166</v>
      </c>
      <c r="B761" s="4" t="s">
        <v>344</v>
      </c>
      <c r="C761" s="4" t="s">
        <v>3093</v>
      </c>
      <c r="D761" s="4" t="s">
        <v>784</v>
      </c>
      <c r="E761" s="6">
        <v>43950</v>
      </c>
      <c r="F761" s="7">
        <v>1</v>
      </c>
      <c r="G761" s="7">
        <v>0</v>
      </c>
    </row>
    <row r="762" spans="1:7">
      <c r="A762" s="4" t="s">
        <v>126</v>
      </c>
      <c r="B762" s="4" t="s">
        <v>354</v>
      </c>
      <c r="C762" s="4" t="s">
        <v>3094</v>
      </c>
      <c r="D762" s="4" t="s">
        <v>1126</v>
      </c>
      <c r="E762" s="6">
        <v>43951</v>
      </c>
      <c r="F762" s="7">
        <v>50</v>
      </c>
      <c r="G762" s="7">
        <v>3.2299999999999995</v>
      </c>
    </row>
    <row r="763" spans="1:7">
      <c r="A763" s="4" t="s">
        <v>126</v>
      </c>
      <c r="B763" s="4" t="s">
        <v>354</v>
      </c>
      <c r="C763" s="4" t="s">
        <v>3094</v>
      </c>
      <c r="D763" s="4" t="s">
        <v>1795</v>
      </c>
      <c r="E763" s="6">
        <v>43951</v>
      </c>
      <c r="F763" s="7">
        <v>50</v>
      </c>
      <c r="G763" s="7">
        <v>1.6199999999999999</v>
      </c>
    </row>
    <row r="764" spans="1:7">
      <c r="A764" s="4" t="s">
        <v>126</v>
      </c>
      <c r="B764" s="4" t="s">
        <v>354</v>
      </c>
      <c r="C764" s="4" t="s">
        <v>3094</v>
      </c>
      <c r="D764" s="4" t="s">
        <v>784</v>
      </c>
      <c r="E764" s="6">
        <v>43951</v>
      </c>
      <c r="F764" s="7">
        <v>1</v>
      </c>
      <c r="G764" s="7">
        <v>0</v>
      </c>
    </row>
    <row r="765" spans="1:7">
      <c r="A765" s="4" t="s">
        <v>46</v>
      </c>
      <c r="B765" s="4" t="s">
        <v>358</v>
      </c>
      <c r="C765" s="4" t="s">
        <v>3095</v>
      </c>
      <c r="D765" s="4" t="s">
        <v>976</v>
      </c>
      <c r="E765" s="6">
        <v>43951</v>
      </c>
      <c r="F765" s="7">
        <v>100</v>
      </c>
      <c r="G765" s="7">
        <v>1.1499999999999999</v>
      </c>
    </row>
    <row r="766" spans="1:7">
      <c r="A766" s="4" t="s">
        <v>46</v>
      </c>
      <c r="B766" s="4" t="s">
        <v>358</v>
      </c>
      <c r="C766" s="4" t="s">
        <v>3095</v>
      </c>
      <c r="D766" s="4" t="s">
        <v>1401</v>
      </c>
      <c r="E766" s="6">
        <v>43951</v>
      </c>
      <c r="F766" s="7">
        <v>50</v>
      </c>
      <c r="G766" s="7">
        <v>1.1499999999999999</v>
      </c>
    </row>
    <row r="767" spans="1:7">
      <c r="A767" s="4" t="s">
        <v>46</v>
      </c>
      <c r="B767" s="4" t="s">
        <v>358</v>
      </c>
      <c r="C767" s="4" t="s">
        <v>3095</v>
      </c>
      <c r="D767" s="4" t="s">
        <v>966</v>
      </c>
      <c r="E767" s="6">
        <v>43951</v>
      </c>
      <c r="F767" s="7">
        <v>50</v>
      </c>
      <c r="G767" s="7">
        <v>0.9</v>
      </c>
    </row>
    <row r="768" spans="1:7">
      <c r="A768" s="4" t="s">
        <v>46</v>
      </c>
      <c r="B768" s="4" t="s">
        <v>358</v>
      </c>
      <c r="C768" s="4" t="s">
        <v>3095</v>
      </c>
      <c r="D768" s="4" t="s">
        <v>1366</v>
      </c>
      <c r="E768" s="6">
        <v>43951</v>
      </c>
      <c r="F768" s="7">
        <v>50</v>
      </c>
      <c r="G768" s="7">
        <v>1.1199999999999999</v>
      </c>
    </row>
    <row r="769" spans="1:7">
      <c r="A769" s="4" t="s">
        <v>46</v>
      </c>
      <c r="B769" s="4" t="s">
        <v>358</v>
      </c>
      <c r="C769" s="4" t="s">
        <v>3095</v>
      </c>
      <c r="D769" s="4" t="s">
        <v>952</v>
      </c>
      <c r="E769" s="6">
        <v>43951</v>
      </c>
      <c r="F769" s="7">
        <v>50</v>
      </c>
      <c r="G769" s="7">
        <v>0.75</v>
      </c>
    </row>
    <row r="770" spans="1:7">
      <c r="A770" s="4" t="s">
        <v>46</v>
      </c>
      <c r="B770" s="4" t="s">
        <v>358</v>
      </c>
      <c r="C770" s="4" t="s">
        <v>3095</v>
      </c>
      <c r="D770" s="4" t="s">
        <v>1202</v>
      </c>
      <c r="E770" s="6">
        <v>43951</v>
      </c>
      <c r="F770" s="7">
        <v>50</v>
      </c>
      <c r="G770" s="7">
        <v>1.58</v>
      </c>
    </row>
    <row r="771" spans="1:7">
      <c r="A771" s="4" t="s">
        <v>46</v>
      </c>
      <c r="B771" s="4" t="s">
        <v>358</v>
      </c>
      <c r="C771" s="4" t="s">
        <v>3095</v>
      </c>
      <c r="D771" s="4" t="s">
        <v>1005</v>
      </c>
      <c r="E771" s="6">
        <v>43951</v>
      </c>
      <c r="F771" s="7">
        <v>100</v>
      </c>
      <c r="G771" s="7">
        <v>1.23</v>
      </c>
    </row>
    <row r="772" spans="1:7">
      <c r="A772" s="4" t="s">
        <v>46</v>
      </c>
      <c r="B772" s="4" t="s">
        <v>358</v>
      </c>
      <c r="C772" s="4" t="s">
        <v>3095</v>
      </c>
      <c r="D772" s="4" t="s">
        <v>885</v>
      </c>
      <c r="E772" s="6">
        <v>43951</v>
      </c>
      <c r="F772" s="7">
        <v>100</v>
      </c>
      <c r="G772" s="7">
        <v>5.9399999999999995</v>
      </c>
    </row>
    <row r="773" spans="1:7">
      <c r="A773" s="4" t="s">
        <v>46</v>
      </c>
      <c r="B773" s="4" t="s">
        <v>358</v>
      </c>
      <c r="C773" s="4" t="s">
        <v>3095</v>
      </c>
      <c r="D773" s="4" t="s">
        <v>784</v>
      </c>
      <c r="E773" s="6">
        <v>43951</v>
      </c>
      <c r="F773" s="7">
        <v>1</v>
      </c>
      <c r="G773" s="7">
        <v>0</v>
      </c>
    </row>
    <row r="774" spans="1:7">
      <c r="A774" s="4" t="s">
        <v>351</v>
      </c>
      <c r="B774" s="4" t="s">
        <v>352</v>
      </c>
      <c r="C774" s="4" t="s">
        <v>3096</v>
      </c>
      <c r="D774" s="4" t="s">
        <v>916</v>
      </c>
      <c r="E774" s="6">
        <v>43951</v>
      </c>
      <c r="F774" s="7">
        <v>200</v>
      </c>
      <c r="G774" s="7">
        <v>0.9</v>
      </c>
    </row>
    <row r="775" spans="1:7">
      <c r="A775" s="4" t="s">
        <v>351</v>
      </c>
      <c r="B775" s="4" t="s">
        <v>352</v>
      </c>
      <c r="C775" s="4" t="s">
        <v>3096</v>
      </c>
      <c r="D775" s="4" t="s">
        <v>891</v>
      </c>
      <c r="E775" s="6">
        <v>43951</v>
      </c>
      <c r="F775" s="7">
        <v>100</v>
      </c>
      <c r="G775" s="7">
        <v>1.3699999999999999</v>
      </c>
    </row>
    <row r="776" spans="1:7">
      <c r="A776" s="4" t="s">
        <v>351</v>
      </c>
      <c r="B776" s="4" t="s">
        <v>352</v>
      </c>
      <c r="C776" s="4" t="s">
        <v>3096</v>
      </c>
      <c r="D776" s="4" t="s">
        <v>883</v>
      </c>
      <c r="E776" s="6">
        <v>43951</v>
      </c>
      <c r="F776" s="7">
        <v>100</v>
      </c>
      <c r="G776" s="7">
        <v>1.46</v>
      </c>
    </row>
    <row r="777" spans="1:7">
      <c r="A777" s="4" t="s">
        <v>351</v>
      </c>
      <c r="B777" s="4" t="s">
        <v>352</v>
      </c>
      <c r="C777" s="4" t="s">
        <v>3096</v>
      </c>
      <c r="D777" s="4" t="s">
        <v>1810</v>
      </c>
      <c r="E777" s="6">
        <v>43951</v>
      </c>
      <c r="F777" s="7">
        <v>100</v>
      </c>
      <c r="G777" s="7">
        <v>2.06</v>
      </c>
    </row>
    <row r="778" spans="1:7">
      <c r="A778" s="4" t="s">
        <v>351</v>
      </c>
      <c r="B778" s="4" t="s">
        <v>352</v>
      </c>
      <c r="C778" s="4" t="s">
        <v>3096</v>
      </c>
      <c r="D778" s="4" t="s">
        <v>1040</v>
      </c>
      <c r="E778" s="6">
        <v>43951</v>
      </c>
      <c r="F778" s="7">
        <v>200</v>
      </c>
      <c r="G778" s="7">
        <v>2.42</v>
      </c>
    </row>
    <row r="779" spans="1:7">
      <c r="A779" s="4" t="s">
        <v>351</v>
      </c>
      <c r="B779" s="4" t="s">
        <v>352</v>
      </c>
      <c r="C779" s="4" t="s">
        <v>3096</v>
      </c>
      <c r="D779" s="4" t="s">
        <v>784</v>
      </c>
      <c r="E779" s="6">
        <v>43951</v>
      </c>
      <c r="F779" s="7">
        <v>1</v>
      </c>
      <c r="G779" s="7">
        <v>0</v>
      </c>
    </row>
    <row r="780" spans="1:7">
      <c r="A780" s="4" t="s">
        <v>24</v>
      </c>
      <c r="B780" s="4" t="s">
        <v>349</v>
      </c>
      <c r="C780" s="4" t="s">
        <v>3097</v>
      </c>
      <c r="D780" s="4" t="s">
        <v>815</v>
      </c>
      <c r="E780" s="6">
        <v>43951</v>
      </c>
      <c r="F780" s="7">
        <v>200</v>
      </c>
      <c r="G780" s="7">
        <v>3.6100000000000003</v>
      </c>
    </row>
    <row r="781" spans="1:7">
      <c r="A781" s="4" t="s">
        <v>24</v>
      </c>
      <c r="B781" s="4" t="s">
        <v>349</v>
      </c>
      <c r="C781" s="4" t="s">
        <v>3097</v>
      </c>
      <c r="D781" s="4" t="s">
        <v>1109</v>
      </c>
      <c r="E781" s="6">
        <v>43951</v>
      </c>
      <c r="F781" s="7">
        <v>100</v>
      </c>
      <c r="G781" s="7">
        <v>4.2799999999999994</v>
      </c>
    </row>
    <row r="782" spans="1:7">
      <c r="A782" s="4" t="s">
        <v>24</v>
      </c>
      <c r="B782" s="4" t="s">
        <v>349</v>
      </c>
      <c r="C782" s="4" t="s">
        <v>3097</v>
      </c>
      <c r="D782" s="4" t="s">
        <v>823</v>
      </c>
      <c r="E782" s="6">
        <v>43951</v>
      </c>
      <c r="F782" s="7">
        <v>50</v>
      </c>
      <c r="G782" s="7">
        <v>5.92</v>
      </c>
    </row>
    <row r="783" spans="1:7">
      <c r="A783" s="4" t="s">
        <v>24</v>
      </c>
      <c r="B783" s="4" t="s">
        <v>349</v>
      </c>
      <c r="C783" s="4" t="s">
        <v>3097</v>
      </c>
      <c r="D783" s="4" t="s">
        <v>784</v>
      </c>
      <c r="E783" s="6">
        <v>43951</v>
      </c>
      <c r="F783" s="7">
        <v>1</v>
      </c>
      <c r="G783" s="7">
        <v>0</v>
      </c>
    </row>
    <row r="784" spans="1:7">
      <c r="A784" s="4" t="s">
        <v>366</v>
      </c>
      <c r="B784" s="4" t="s">
        <v>367</v>
      </c>
      <c r="C784" s="4" t="s">
        <v>3098</v>
      </c>
      <c r="D784" s="4" t="s">
        <v>1600</v>
      </c>
      <c r="E784" s="6">
        <v>43957</v>
      </c>
      <c r="F784" s="7">
        <v>100</v>
      </c>
      <c r="G784" s="7">
        <v>1.98</v>
      </c>
    </row>
    <row r="785" spans="1:7">
      <c r="A785" s="4" t="s">
        <v>366</v>
      </c>
      <c r="B785" s="4" t="s">
        <v>367</v>
      </c>
      <c r="C785" s="4" t="s">
        <v>3098</v>
      </c>
      <c r="D785" s="4" t="s">
        <v>784</v>
      </c>
      <c r="E785" s="6">
        <v>43957</v>
      </c>
      <c r="F785" s="7">
        <v>1</v>
      </c>
      <c r="G785" s="7">
        <v>0</v>
      </c>
    </row>
    <row r="786" spans="1:7">
      <c r="A786" s="4" t="s">
        <v>32</v>
      </c>
      <c r="B786" s="4" t="s">
        <v>362</v>
      </c>
      <c r="C786" s="4" t="s">
        <v>3099</v>
      </c>
      <c r="D786" s="4" t="s">
        <v>887</v>
      </c>
      <c r="E786" s="6">
        <v>43957</v>
      </c>
      <c r="F786" s="7">
        <v>40</v>
      </c>
      <c r="G786" s="7">
        <v>0.57999999999999996</v>
      </c>
    </row>
    <row r="787" spans="1:7">
      <c r="A787" s="4" t="s">
        <v>32</v>
      </c>
      <c r="B787" s="4" t="s">
        <v>362</v>
      </c>
      <c r="C787" s="4" t="s">
        <v>3099</v>
      </c>
      <c r="D787" s="4" t="s">
        <v>1131</v>
      </c>
      <c r="E787" s="6">
        <v>43957</v>
      </c>
      <c r="F787" s="7">
        <v>150</v>
      </c>
      <c r="G787" s="7">
        <v>0.19</v>
      </c>
    </row>
    <row r="788" spans="1:7">
      <c r="A788" s="4" t="s">
        <v>32</v>
      </c>
      <c r="B788" s="4" t="s">
        <v>362</v>
      </c>
      <c r="C788" s="4" t="s">
        <v>3099</v>
      </c>
      <c r="D788" s="4" t="s">
        <v>993</v>
      </c>
      <c r="E788" s="6">
        <v>43957</v>
      </c>
      <c r="F788" s="7">
        <v>100</v>
      </c>
      <c r="G788" s="7">
        <v>0.38</v>
      </c>
    </row>
    <row r="789" spans="1:7">
      <c r="A789" s="4" t="s">
        <v>32</v>
      </c>
      <c r="B789" s="4" t="s">
        <v>362</v>
      </c>
      <c r="C789" s="4" t="s">
        <v>3099</v>
      </c>
      <c r="D789" s="4" t="s">
        <v>1139</v>
      </c>
      <c r="E789" s="6">
        <v>43957</v>
      </c>
      <c r="F789" s="7">
        <v>50</v>
      </c>
      <c r="G789" s="7">
        <v>0.87</v>
      </c>
    </row>
    <row r="790" spans="1:7">
      <c r="A790" s="4" t="s">
        <v>32</v>
      </c>
      <c r="B790" s="4" t="s">
        <v>362</v>
      </c>
      <c r="C790" s="4" t="s">
        <v>3099</v>
      </c>
      <c r="D790" s="4" t="s">
        <v>889</v>
      </c>
      <c r="E790" s="6">
        <v>43957</v>
      </c>
      <c r="F790" s="7">
        <v>50</v>
      </c>
      <c r="G790" s="7">
        <v>0.72</v>
      </c>
    </row>
    <row r="791" spans="1:7">
      <c r="A791" s="4" t="s">
        <v>32</v>
      </c>
      <c r="B791" s="4" t="s">
        <v>362</v>
      </c>
      <c r="C791" s="4" t="s">
        <v>3099</v>
      </c>
      <c r="D791" s="4" t="s">
        <v>1063</v>
      </c>
      <c r="E791" s="6">
        <v>43957</v>
      </c>
      <c r="F791" s="7">
        <v>20</v>
      </c>
      <c r="G791" s="7">
        <v>0.85</v>
      </c>
    </row>
    <row r="792" spans="1:7">
      <c r="A792" s="4" t="s">
        <v>32</v>
      </c>
      <c r="B792" s="4" t="s">
        <v>362</v>
      </c>
      <c r="C792" s="4" t="s">
        <v>3099</v>
      </c>
      <c r="D792" s="4" t="s">
        <v>1146</v>
      </c>
      <c r="E792" s="6">
        <v>43957</v>
      </c>
      <c r="F792" s="7">
        <v>25</v>
      </c>
      <c r="G792" s="7">
        <v>1.2</v>
      </c>
    </row>
    <row r="793" spans="1:7">
      <c r="A793" s="4" t="s">
        <v>32</v>
      </c>
      <c r="B793" s="4" t="s">
        <v>362</v>
      </c>
      <c r="C793" s="4" t="s">
        <v>3099</v>
      </c>
      <c r="D793" s="4" t="s">
        <v>1600</v>
      </c>
      <c r="E793" s="6">
        <v>43957</v>
      </c>
      <c r="F793" s="7">
        <v>100</v>
      </c>
      <c r="G793" s="7">
        <v>0.89</v>
      </c>
    </row>
    <row r="794" spans="1:7">
      <c r="A794" s="4" t="s">
        <v>32</v>
      </c>
      <c r="B794" s="4" t="s">
        <v>362</v>
      </c>
      <c r="C794" s="4" t="s">
        <v>3099</v>
      </c>
      <c r="D794" s="4" t="s">
        <v>853</v>
      </c>
      <c r="E794" s="6">
        <v>43957</v>
      </c>
      <c r="F794" s="7">
        <v>25</v>
      </c>
      <c r="G794" s="7">
        <v>2.38</v>
      </c>
    </row>
    <row r="795" spans="1:7">
      <c r="A795" s="4" t="s">
        <v>32</v>
      </c>
      <c r="B795" s="4" t="s">
        <v>362</v>
      </c>
      <c r="C795" s="4" t="s">
        <v>3099</v>
      </c>
      <c r="D795" s="4" t="s">
        <v>1828</v>
      </c>
      <c r="E795" s="6">
        <v>43957</v>
      </c>
      <c r="F795" s="7">
        <v>22</v>
      </c>
      <c r="G795" s="7">
        <v>0.37</v>
      </c>
    </row>
    <row r="796" spans="1:7">
      <c r="A796" s="4" t="s">
        <v>32</v>
      </c>
      <c r="B796" s="4" t="s">
        <v>362</v>
      </c>
      <c r="C796" s="4" t="s">
        <v>3099</v>
      </c>
      <c r="D796" s="4" t="s">
        <v>784</v>
      </c>
      <c r="E796" s="6">
        <v>43957</v>
      </c>
      <c r="F796" s="7">
        <v>1</v>
      </c>
      <c r="G796" s="7">
        <v>0</v>
      </c>
    </row>
    <row r="797" spans="1:7">
      <c r="A797" s="4" t="s">
        <v>46</v>
      </c>
      <c r="B797" s="4" t="s">
        <v>364</v>
      </c>
      <c r="C797" s="4" t="s">
        <v>3100</v>
      </c>
      <c r="D797" s="4" t="s">
        <v>881</v>
      </c>
      <c r="E797" s="6">
        <v>43957</v>
      </c>
      <c r="F797" s="7">
        <v>50</v>
      </c>
      <c r="G797" s="7">
        <v>2.83</v>
      </c>
    </row>
    <row r="798" spans="1:7">
      <c r="A798" s="4" t="s">
        <v>46</v>
      </c>
      <c r="B798" s="4" t="s">
        <v>364</v>
      </c>
      <c r="C798" s="4" t="s">
        <v>3100</v>
      </c>
      <c r="D798" s="4" t="s">
        <v>1404</v>
      </c>
      <c r="E798" s="6">
        <v>43957</v>
      </c>
      <c r="F798" s="7">
        <v>50</v>
      </c>
      <c r="G798" s="7">
        <v>3.38</v>
      </c>
    </row>
    <row r="799" spans="1:7">
      <c r="A799" s="4" t="s">
        <v>46</v>
      </c>
      <c r="B799" s="4" t="s">
        <v>364</v>
      </c>
      <c r="C799" s="4" t="s">
        <v>3100</v>
      </c>
      <c r="D799" s="4" t="s">
        <v>1106</v>
      </c>
      <c r="E799" s="6">
        <v>43957</v>
      </c>
      <c r="F799" s="7">
        <v>150</v>
      </c>
      <c r="G799" s="7">
        <v>1.6600000000000001</v>
      </c>
    </row>
    <row r="800" spans="1:7">
      <c r="A800" s="4" t="s">
        <v>46</v>
      </c>
      <c r="B800" s="4" t="s">
        <v>364</v>
      </c>
      <c r="C800" s="4" t="s">
        <v>3100</v>
      </c>
      <c r="D800" s="4" t="s">
        <v>1028</v>
      </c>
      <c r="E800" s="6">
        <v>43957</v>
      </c>
      <c r="F800" s="7">
        <v>100</v>
      </c>
      <c r="G800" s="7">
        <v>1.67</v>
      </c>
    </row>
    <row r="801" spans="1:7">
      <c r="A801" s="4" t="s">
        <v>46</v>
      </c>
      <c r="B801" s="4" t="s">
        <v>364</v>
      </c>
      <c r="C801" s="4" t="s">
        <v>3100</v>
      </c>
      <c r="D801" s="4" t="s">
        <v>966</v>
      </c>
      <c r="E801" s="6">
        <v>43957</v>
      </c>
      <c r="F801" s="7">
        <v>50</v>
      </c>
      <c r="G801" s="7">
        <v>0.9</v>
      </c>
    </row>
    <row r="802" spans="1:7">
      <c r="A802" s="4" t="s">
        <v>46</v>
      </c>
      <c r="B802" s="4" t="s">
        <v>364</v>
      </c>
      <c r="C802" s="4" t="s">
        <v>3100</v>
      </c>
      <c r="D802" s="4" t="s">
        <v>993</v>
      </c>
      <c r="E802" s="6">
        <v>43957</v>
      </c>
      <c r="F802" s="7">
        <v>50</v>
      </c>
      <c r="G802" s="7">
        <v>0.44</v>
      </c>
    </row>
    <row r="803" spans="1:7">
      <c r="A803" s="4" t="s">
        <v>46</v>
      </c>
      <c r="B803" s="4" t="s">
        <v>364</v>
      </c>
      <c r="C803" s="4" t="s">
        <v>3100</v>
      </c>
      <c r="D803" s="4" t="s">
        <v>936</v>
      </c>
      <c r="E803" s="6">
        <v>43957</v>
      </c>
      <c r="F803" s="7">
        <v>50</v>
      </c>
      <c r="G803" s="7">
        <v>0.76</v>
      </c>
    </row>
    <row r="804" spans="1:7">
      <c r="A804" s="4" t="s">
        <v>46</v>
      </c>
      <c r="B804" s="4" t="s">
        <v>364</v>
      </c>
      <c r="C804" s="4" t="s">
        <v>3100</v>
      </c>
      <c r="D804" s="4" t="s">
        <v>1015</v>
      </c>
      <c r="E804" s="6">
        <v>43957</v>
      </c>
      <c r="F804" s="7">
        <v>50</v>
      </c>
      <c r="G804" s="7">
        <v>1.25</v>
      </c>
    </row>
    <row r="805" spans="1:7">
      <c r="A805" s="4" t="s">
        <v>46</v>
      </c>
      <c r="B805" s="4" t="s">
        <v>364</v>
      </c>
      <c r="C805" s="4" t="s">
        <v>3100</v>
      </c>
      <c r="D805" s="4" t="s">
        <v>885</v>
      </c>
      <c r="E805" s="6">
        <v>43957</v>
      </c>
      <c r="F805" s="7">
        <v>50</v>
      </c>
      <c r="G805" s="7">
        <v>5.9399999999999995</v>
      </c>
    </row>
    <row r="806" spans="1:7">
      <c r="A806" s="4" t="s">
        <v>46</v>
      </c>
      <c r="B806" s="4" t="s">
        <v>364</v>
      </c>
      <c r="C806" s="4" t="s">
        <v>3100</v>
      </c>
      <c r="D806" s="4" t="s">
        <v>784</v>
      </c>
      <c r="E806" s="6">
        <v>43957</v>
      </c>
      <c r="F806" s="7">
        <v>1</v>
      </c>
      <c r="G806" s="7">
        <v>0</v>
      </c>
    </row>
    <row r="807" spans="1:7">
      <c r="A807" s="4" t="s">
        <v>339</v>
      </c>
      <c r="B807" s="4" t="s">
        <v>356</v>
      </c>
      <c r="C807" s="4" t="s">
        <v>3101</v>
      </c>
      <c r="D807" s="4" t="s">
        <v>817</v>
      </c>
      <c r="E807" s="6">
        <v>43951</v>
      </c>
      <c r="F807" s="7">
        <v>250</v>
      </c>
      <c r="G807" s="7">
        <v>1.52</v>
      </c>
    </row>
    <row r="808" spans="1:7">
      <c r="A808" s="4" t="s">
        <v>339</v>
      </c>
      <c r="B808" s="4" t="s">
        <v>356</v>
      </c>
      <c r="C808" s="4" t="s">
        <v>3101</v>
      </c>
      <c r="D808" s="4" t="s">
        <v>784</v>
      </c>
      <c r="E808" s="6">
        <v>43951</v>
      </c>
      <c r="F808" s="7">
        <v>1</v>
      </c>
      <c r="G808" s="7">
        <v>0</v>
      </c>
    </row>
    <row r="809" spans="1:7">
      <c r="A809" s="4" t="s">
        <v>373</v>
      </c>
      <c r="B809" s="4" t="s">
        <v>374</v>
      </c>
      <c r="C809" s="4" t="s">
        <v>3102</v>
      </c>
      <c r="D809" s="4" t="s">
        <v>849</v>
      </c>
      <c r="E809" s="6">
        <v>43959</v>
      </c>
      <c r="F809" s="7">
        <v>2</v>
      </c>
      <c r="G809" s="7">
        <v>12.17</v>
      </c>
    </row>
    <row r="810" spans="1:7">
      <c r="A810" s="4" t="s">
        <v>24</v>
      </c>
      <c r="B810" s="4" t="s">
        <v>369</v>
      </c>
      <c r="C810" s="4" t="s">
        <v>3103</v>
      </c>
      <c r="D810" s="4" t="s">
        <v>813</v>
      </c>
      <c r="E810" s="6">
        <v>43959</v>
      </c>
      <c r="F810" s="7">
        <v>250</v>
      </c>
      <c r="G810" s="7">
        <v>2.29</v>
      </c>
    </row>
    <row r="811" spans="1:7">
      <c r="A811" s="4" t="s">
        <v>24</v>
      </c>
      <c r="B811" s="4" t="s">
        <v>369</v>
      </c>
      <c r="C811" s="4" t="s">
        <v>3103</v>
      </c>
      <c r="D811" s="4" t="s">
        <v>784</v>
      </c>
      <c r="E811" s="6">
        <v>43959</v>
      </c>
      <c r="F811" s="7">
        <v>1</v>
      </c>
      <c r="G811" s="7">
        <v>0</v>
      </c>
    </row>
    <row r="812" spans="1:7">
      <c r="A812" s="4" t="s">
        <v>166</v>
      </c>
      <c r="B812" s="4" t="s">
        <v>750</v>
      </c>
      <c r="C812" s="4" t="s">
        <v>3104</v>
      </c>
      <c r="D812" s="4" t="s">
        <v>784</v>
      </c>
      <c r="E812" s="6">
        <v>43951</v>
      </c>
      <c r="F812" s="7">
        <v>-1</v>
      </c>
      <c r="G812" s="7">
        <v>0</v>
      </c>
    </row>
    <row r="813" spans="1:7">
      <c r="A813" s="4" t="s">
        <v>35</v>
      </c>
      <c r="B813" s="4" t="s">
        <v>432</v>
      </c>
      <c r="C813" s="4" t="s">
        <v>3105</v>
      </c>
      <c r="D813" s="4" t="s">
        <v>834</v>
      </c>
      <c r="E813" s="6">
        <v>43994</v>
      </c>
      <c r="F813" s="7">
        <v>1099</v>
      </c>
      <c r="G813" s="7">
        <v>9.2799999999999994</v>
      </c>
    </row>
    <row r="814" spans="1:7">
      <c r="A814" s="4" t="s">
        <v>35</v>
      </c>
      <c r="B814" s="4" t="s">
        <v>432</v>
      </c>
      <c r="C814" s="4" t="s">
        <v>3105</v>
      </c>
      <c r="D814" s="4" t="s">
        <v>795</v>
      </c>
      <c r="E814" s="6">
        <v>43994</v>
      </c>
      <c r="F814" s="7">
        <v>525</v>
      </c>
      <c r="G814" s="7">
        <v>8.870000000000001</v>
      </c>
    </row>
    <row r="815" spans="1:7">
      <c r="A815" s="4" t="s">
        <v>46</v>
      </c>
      <c r="B815" s="4" t="s">
        <v>403</v>
      </c>
      <c r="C815" s="4" t="s">
        <v>3106</v>
      </c>
      <c r="D815" s="4" t="s">
        <v>1005</v>
      </c>
      <c r="E815" s="6">
        <v>43966</v>
      </c>
      <c r="F815" s="7">
        <v>100</v>
      </c>
      <c r="G815" s="7">
        <v>1.23</v>
      </c>
    </row>
    <row r="816" spans="1:7">
      <c r="A816" s="4" t="s">
        <v>46</v>
      </c>
      <c r="B816" s="4" t="s">
        <v>403</v>
      </c>
      <c r="C816" s="4" t="s">
        <v>3106</v>
      </c>
      <c r="D816" s="4" t="s">
        <v>1028</v>
      </c>
      <c r="E816" s="6">
        <v>43966</v>
      </c>
      <c r="F816" s="7">
        <v>150</v>
      </c>
      <c r="G816" s="7">
        <v>1.67</v>
      </c>
    </row>
    <row r="817" spans="1:7">
      <c r="A817" s="4" t="s">
        <v>46</v>
      </c>
      <c r="B817" s="4" t="s">
        <v>403</v>
      </c>
      <c r="C817" s="4" t="s">
        <v>3106</v>
      </c>
      <c r="D817" s="4" t="s">
        <v>853</v>
      </c>
      <c r="E817" s="6">
        <v>43966</v>
      </c>
      <c r="F817" s="7">
        <v>100</v>
      </c>
      <c r="G817" s="7">
        <v>2.75</v>
      </c>
    </row>
    <row r="818" spans="1:7">
      <c r="A818" s="4" t="s">
        <v>46</v>
      </c>
      <c r="B818" s="4" t="s">
        <v>403</v>
      </c>
      <c r="C818" s="4" t="s">
        <v>3106</v>
      </c>
      <c r="D818" s="4" t="s">
        <v>887</v>
      </c>
      <c r="E818" s="6">
        <v>43966</v>
      </c>
      <c r="F818" s="7">
        <v>50</v>
      </c>
      <c r="G818" s="7">
        <v>0.57999999999999996</v>
      </c>
    </row>
    <row r="819" spans="1:7">
      <c r="A819" s="4" t="s">
        <v>46</v>
      </c>
      <c r="B819" s="4" t="s">
        <v>403</v>
      </c>
      <c r="C819" s="4" t="s">
        <v>3106</v>
      </c>
      <c r="D819" s="4" t="s">
        <v>993</v>
      </c>
      <c r="E819" s="6">
        <v>43966</v>
      </c>
      <c r="F819" s="7">
        <v>50</v>
      </c>
      <c r="G819" s="7">
        <v>0.44</v>
      </c>
    </row>
    <row r="820" spans="1:7">
      <c r="A820" s="4" t="s">
        <v>46</v>
      </c>
      <c r="B820" s="4" t="s">
        <v>403</v>
      </c>
      <c r="C820" s="4" t="s">
        <v>3106</v>
      </c>
      <c r="D820" s="4" t="s">
        <v>1168</v>
      </c>
      <c r="E820" s="6">
        <v>43966</v>
      </c>
      <c r="F820" s="7">
        <v>50</v>
      </c>
      <c r="G820" s="7">
        <v>1.04</v>
      </c>
    </row>
    <row r="821" spans="1:7">
      <c r="A821" s="4" t="s">
        <v>46</v>
      </c>
      <c r="B821" s="4" t="s">
        <v>403</v>
      </c>
      <c r="C821" s="4" t="s">
        <v>3106</v>
      </c>
      <c r="D821" s="4" t="s">
        <v>936</v>
      </c>
      <c r="E821" s="6">
        <v>43966</v>
      </c>
      <c r="F821" s="7">
        <v>50</v>
      </c>
      <c r="G821" s="7">
        <v>0.76</v>
      </c>
    </row>
    <row r="822" spans="1:7">
      <c r="A822" s="4" t="s">
        <v>46</v>
      </c>
      <c r="B822" s="4" t="s">
        <v>403</v>
      </c>
      <c r="C822" s="4" t="s">
        <v>3106</v>
      </c>
      <c r="D822" s="4" t="s">
        <v>893</v>
      </c>
      <c r="E822" s="6">
        <v>43966</v>
      </c>
      <c r="F822" s="7">
        <v>50</v>
      </c>
      <c r="G822" s="7">
        <v>4.1100000000000003</v>
      </c>
    </row>
    <row r="823" spans="1:7">
      <c r="A823" s="4" t="s">
        <v>46</v>
      </c>
      <c r="B823" s="4" t="s">
        <v>403</v>
      </c>
      <c r="C823" s="4" t="s">
        <v>3106</v>
      </c>
      <c r="D823" s="4" t="s">
        <v>784</v>
      </c>
      <c r="E823" s="6">
        <v>43966</v>
      </c>
      <c r="F823" s="7">
        <v>1</v>
      </c>
      <c r="G823" s="7">
        <v>0</v>
      </c>
    </row>
    <row r="824" spans="1:7">
      <c r="A824" s="4" t="s">
        <v>49</v>
      </c>
      <c r="B824" s="4" t="s">
        <v>401</v>
      </c>
      <c r="C824" s="4" t="s">
        <v>3107</v>
      </c>
      <c r="D824" s="4" t="s">
        <v>944</v>
      </c>
      <c r="E824" s="6">
        <v>43966</v>
      </c>
      <c r="F824" s="7">
        <v>100</v>
      </c>
      <c r="G824" s="7">
        <v>2.12</v>
      </c>
    </row>
    <row r="825" spans="1:7">
      <c r="A825" s="4" t="s">
        <v>49</v>
      </c>
      <c r="B825" s="4" t="s">
        <v>401</v>
      </c>
      <c r="C825" s="4" t="s">
        <v>3107</v>
      </c>
      <c r="D825" s="4" t="s">
        <v>893</v>
      </c>
      <c r="E825" s="6">
        <v>43966</v>
      </c>
      <c r="F825" s="7">
        <v>50</v>
      </c>
      <c r="G825" s="7">
        <v>4.43</v>
      </c>
    </row>
    <row r="826" spans="1:7">
      <c r="A826" s="4" t="s">
        <v>49</v>
      </c>
      <c r="B826" s="4" t="s">
        <v>401</v>
      </c>
      <c r="C826" s="4" t="s">
        <v>3107</v>
      </c>
      <c r="D826" s="4" t="s">
        <v>1861</v>
      </c>
      <c r="E826" s="6">
        <v>43966</v>
      </c>
      <c r="F826" s="7">
        <v>20</v>
      </c>
      <c r="G826" s="7">
        <v>5.58</v>
      </c>
    </row>
    <row r="827" spans="1:7">
      <c r="A827" s="4" t="s">
        <v>49</v>
      </c>
      <c r="B827" s="4" t="s">
        <v>401</v>
      </c>
      <c r="C827" s="4" t="s">
        <v>3107</v>
      </c>
      <c r="D827" s="4" t="s">
        <v>1290</v>
      </c>
      <c r="E827" s="6">
        <v>43966</v>
      </c>
      <c r="F827" s="7">
        <v>100</v>
      </c>
      <c r="G827" s="7">
        <v>0.68</v>
      </c>
    </row>
    <row r="828" spans="1:7">
      <c r="A828" s="4" t="s">
        <v>49</v>
      </c>
      <c r="B828" s="4" t="s">
        <v>401</v>
      </c>
      <c r="C828" s="4" t="s">
        <v>3107</v>
      </c>
      <c r="D828" s="4" t="s">
        <v>904</v>
      </c>
      <c r="E828" s="6">
        <v>43966</v>
      </c>
      <c r="F828" s="7">
        <v>25</v>
      </c>
      <c r="G828" s="7">
        <v>13.69</v>
      </c>
    </row>
    <row r="829" spans="1:7">
      <c r="A829" s="4" t="s">
        <v>49</v>
      </c>
      <c r="B829" s="4" t="s">
        <v>401</v>
      </c>
      <c r="C829" s="4" t="s">
        <v>3107</v>
      </c>
      <c r="D829" s="4" t="s">
        <v>819</v>
      </c>
      <c r="E829" s="6">
        <v>43966</v>
      </c>
      <c r="F829" s="7">
        <v>20</v>
      </c>
      <c r="G829" s="7">
        <v>15.18</v>
      </c>
    </row>
    <row r="830" spans="1:7">
      <c r="A830" s="4" t="s">
        <v>49</v>
      </c>
      <c r="B830" s="4" t="s">
        <v>401</v>
      </c>
      <c r="C830" s="4" t="s">
        <v>3107</v>
      </c>
      <c r="D830" s="4" t="s">
        <v>782</v>
      </c>
      <c r="E830" s="6">
        <v>43966</v>
      </c>
      <c r="F830" s="7">
        <v>10</v>
      </c>
      <c r="G830" s="7">
        <v>19.22</v>
      </c>
    </row>
    <row r="831" spans="1:7">
      <c r="A831" s="4" t="s">
        <v>49</v>
      </c>
      <c r="B831" s="4" t="s">
        <v>401</v>
      </c>
      <c r="C831" s="4" t="s">
        <v>3107</v>
      </c>
      <c r="D831" s="4" t="s">
        <v>784</v>
      </c>
      <c r="E831" s="6">
        <v>43966</v>
      </c>
      <c r="F831" s="7">
        <v>1</v>
      </c>
      <c r="G831" s="7">
        <v>0</v>
      </c>
    </row>
    <row r="832" spans="1:7">
      <c r="A832" s="4" t="s">
        <v>266</v>
      </c>
      <c r="B832" s="4" t="s">
        <v>376</v>
      </c>
      <c r="C832" s="4" t="s">
        <v>3108</v>
      </c>
      <c r="D832" s="4" t="s">
        <v>1404</v>
      </c>
      <c r="E832" s="6">
        <v>43959</v>
      </c>
      <c r="F832" s="7">
        <v>10</v>
      </c>
      <c r="G832" s="7">
        <v>3.6399999999999997</v>
      </c>
    </row>
    <row r="833" spans="1:7">
      <c r="A833" s="4" t="s">
        <v>266</v>
      </c>
      <c r="B833" s="4" t="s">
        <v>376</v>
      </c>
      <c r="C833" s="4" t="s">
        <v>3108</v>
      </c>
      <c r="D833" s="4" t="s">
        <v>784</v>
      </c>
      <c r="E833" s="6">
        <v>43959</v>
      </c>
      <c r="F833" s="7">
        <v>1</v>
      </c>
      <c r="G833" s="7">
        <v>28</v>
      </c>
    </row>
    <row r="834" spans="1:7">
      <c r="A834" s="4" t="s">
        <v>62</v>
      </c>
      <c r="B834" s="4" t="s">
        <v>388</v>
      </c>
      <c r="C834" s="4" t="s">
        <v>3109</v>
      </c>
      <c r="D834" s="4" t="s">
        <v>940</v>
      </c>
      <c r="E834" s="6">
        <v>43964</v>
      </c>
      <c r="F834" s="7">
        <v>25</v>
      </c>
      <c r="G834" s="7">
        <v>1.1400000000000001</v>
      </c>
    </row>
    <row r="835" spans="1:7">
      <c r="A835" s="4" t="s">
        <v>62</v>
      </c>
      <c r="B835" s="4" t="s">
        <v>388</v>
      </c>
      <c r="C835" s="4" t="s">
        <v>3109</v>
      </c>
      <c r="D835" s="4" t="s">
        <v>982</v>
      </c>
      <c r="E835" s="6">
        <v>43964</v>
      </c>
      <c r="F835" s="7">
        <v>15</v>
      </c>
      <c r="G835" s="7">
        <v>6.8400000000000007</v>
      </c>
    </row>
    <row r="836" spans="1:7">
      <c r="A836" s="4" t="s">
        <v>62</v>
      </c>
      <c r="B836" s="4" t="s">
        <v>388</v>
      </c>
      <c r="C836" s="4" t="s">
        <v>3109</v>
      </c>
      <c r="D836" s="4" t="s">
        <v>952</v>
      </c>
      <c r="E836" s="6">
        <v>43964</v>
      </c>
      <c r="F836" s="7">
        <v>50</v>
      </c>
      <c r="G836" s="7">
        <v>0.81</v>
      </c>
    </row>
    <row r="837" spans="1:7">
      <c r="A837" s="4" t="s">
        <v>62</v>
      </c>
      <c r="B837" s="4" t="s">
        <v>388</v>
      </c>
      <c r="C837" s="4" t="s">
        <v>3109</v>
      </c>
      <c r="D837" s="4" t="s">
        <v>1042</v>
      </c>
      <c r="E837" s="6">
        <v>43964</v>
      </c>
      <c r="F837" s="7">
        <v>50</v>
      </c>
      <c r="G837" s="7">
        <v>0.78</v>
      </c>
    </row>
    <row r="838" spans="1:7">
      <c r="A838" s="4" t="s">
        <v>62</v>
      </c>
      <c r="B838" s="4" t="s">
        <v>388</v>
      </c>
      <c r="C838" s="4" t="s">
        <v>3109</v>
      </c>
      <c r="D838" s="4" t="s">
        <v>851</v>
      </c>
      <c r="E838" s="6">
        <v>43964</v>
      </c>
      <c r="F838" s="7">
        <v>50</v>
      </c>
      <c r="G838" s="7">
        <v>2.2199999999999998</v>
      </c>
    </row>
    <row r="839" spans="1:7">
      <c r="A839" s="4" t="s">
        <v>62</v>
      </c>
      <c r="B839" s="4" t="s">
        <v>388</v>
      </c>
      <c r="C839" s="4" t="s">
        <v>3109</v>
      </c>
      <c r="D839" s="4" t="s">
        <v>964</v>
      </c>
      <c r="E839" s="6">
        <v>43964</v>
      </c>
      <c r="F839" s="7">
        <v>100</v>
      </c>
      <c r="G839" s="7">
        <v>1.33</v>
      </c>
    </row>
    <row r="840" spans="1:7">
      <c r="A840" s="4" t="s">
        <v>62</v>
      </c>
      <c r="B840" s="4" t="s">
        <v>388</v>
      </c>
      <c r="C840" s="4" t="s">
        <v>3109</v>
      </c>
      <c r="D840" s="4" t="s">
        <v>1876</v>
      </c>
      <c r="E840" s="6">
        <v>43964</v>
      </c>
      <c r="F840" s="7">
        <v>1</v>
      </c>
      <c r="G840" s="7">
        <v>192.89000000000001</v>
      </c>
    </row>
    <row r="841" spans="1:7">
      <c r="A841" s="4" t="s">
        <v>62</v>
      </c>
      <c r="B841" s="4" t="s">
        <v>388</v>
      </c>
      <c r="C841" s="4" t="s">
        <v>3109</v>
      </c>
      <c r="D841" s="4" t="s">
        <v>784</v>
      </c>
      <c r="E841" s="6">
        <v>43964</v>
      </c>
      <c r="F841" s="7">
        <v>1</v>
      </c>
      <c r="G841" s="7">
        <v>0</v>
      </c>
    </row>
    <row r="842" spans="1:7">
      <c r="A842" s="4" t="s">
        <v>385</v>
      </c>
      <c r="B842" s="4" t="s">
        <v>386</v>
      </c>
      <c r="C842" s="4" t="s">
        <v>3110</v>
      </c>
      <c r="D842" s="4" t="s">
        <v>1102</v>
      </c>
      <c r="E842" s="6">
        <v>43963</v>
      </c>
      <c r="F842" s="7">
        <v>7</v>
      </c>
      <c r="G842" s="7">
        <v>19.329999999999998</v>
      </c>
    </row>
    <row r="843" spans="1:7">
      <c r="A843" s="4" t="s">
        <v>385</v>
      </c>
      <c r="B843" s="4" t="s">
        <v>386</v>
      </c>
      <c r="C843" s="4" t="s">
        <v>3110</v>
      </c>
      <c r="D843" s="4" t="s">
        <v>840</v>
      </c>
      <c r="E843" s="6">
        <v>43963</v>
      </c>
      <c r="F843" s="7">
        <v>1</v>
      </c>
      <c r="G843" s="7">
        <v>30</v>
      </c>
    </row>
    <row r="844" spans="1:7">
      <c r="A844" s="4" t="s">
        <v>385</v>
      </c>
      <c r="B844" s="4" t="s">
        <v>386</v>
      </c>
      <c r="C844" s="4" t="s">
        <v>3110</v>
      </c>
      <c r="D844" s="4" t="s">
        <v>784</v>
      </c>
      <c r="E844" s="6">
        <v>43963</v>
      </c>
      <c r="F844" s="7">
        <v>1</v>
      </c>
      <c r="G844" s="7">
        <v>0</v>
      </c>
    </row>
    <row r="845" spans="1:7">
      <c r="A845" s="4" t="s">
        <v>59</v>
      </c>
      <c r="B845" s="4" t="s">
        <v>390</v>
      </c>
      <c r="C845" s="4" t="s">
        <v>3111</v>
      </c>
      <c r="D845" s="4" t="s">
        <v>873</v>
      </c>
      <c r="E845" s="6">
        <v>43966</v>
      </c>
      <c r="F845" s="7">
        <v>30</v>
      </c>
      <c r="G845" s="7">
        <v>0.7</v>
      </c>
    </row>
    <row r="846" spans="1:7">
      <c r="A846" s="4" t="s">
        <v>59</v>
      </c>
      <c r="B846" s="4" t="s">
        <v>390</v>
      </c>
      <c r="C846" s="4" t="s">
        <v>3111</v>
      </c>
      <c r="D846" s="4" t="s">
        <v>1005</v>
      </c>
      <c r="E846" s="6">
        <v>43966</v>
      </c>
      <c r="F846" s="7">
        <v>10</v>
      </c>
      <c r="G846" s="7">
        <v>1.65</v>
      </c>
    </row>
    <row r="847" spans="1:7">
      <c r="A847" s="4" t="s">
        <v>59</v>
      </c>
      <c r="B847" s="4" t="s">
        <v>390</v>
      </c>
      <c r="C847" s="4" t="s">
        <v>3111</v>
      </c>
      <c r="D847" s="4" t="s">
        <v>1341</v>
      </c>
      <c r="E847" s="6">
        <v>43966</v>
      </c>
      <c r="F847" s="7">
        <v>5000</v>
      </c>
      <c r="G847" s="7">
        <v>0.1</v>
      </c>
    </row>
    <row r="848" spans="1:7">
      <c r="A848" s="4" t="s">
        <v>59</v>
      </c>
      <c r="B848" s="4" t="s">
        <v>390</v>
      </c>
      <c r="C848" s="4" t="s">
        <v>3111</v>
      </c>
      <c r="D848" s="4" t="s">
        <v>1339</v>
      </c>
      <c r="E848" s="6">
        <v>43966</v>
      </c>
      <c r="F848" s="7">
        <v>2000</v>
      </c>
      <c r="G848" s="7">
        <v>0.1</v>
      </c>
    </row>
    <row r="849" spans="1:7">
      <c r="A849" s="4" t="s">
        <v>59</v>
      </c>
      <c r="B849" s="4" t="s">
        <v>390</v>
      </c>
      <c r="C849" s="4" t="s">
        <v>3111</v>
      </c>
      <c r="D849" s="4" t="s">
        <v>784</v>
      </c>
      <c r="E849" s="6">
        <v>43966</v>
      </c>
      <c r="F849" s="7">
        <v>1</v>
      </c>
      <c r="G849" s="7">
        <v>0</v>
      </c>
    </row>
    <row r="850" spans="1:7">
      <c r="A850" s="4" t="s">
        <v>12</v>
      </c>
      <c r="B850" s="4" t="s">
        <v>426</v>
      </c>
      <c r="C850" s="4" t="s">
        <v>3112</v>
      </c>
      <c r="D850" s="4" t="s">
        <v>803</v>
      </c>
      <c r="E850" s="6">
        <v>43994</v>
      </c>
      <c r="F850" s="7">
        <v>1000</v>
      </c>
      <c r="G850" s="7">
        <v>1.06</v>
      </c>
    </row>
    <row r="851" spans="1:7">
      <c r="A851" s="4" t="s">
        <v>12</v>
      </c>
      <c r="B851" s="4" t="s">
        <v>426</v>
      </c>
      <c r="C851" s="4" t="s">
        <v>3112</v>
      </c>
      <c r="D851" s="4" t="s">
        <v>786</v>
      </c>
      <c r="E851" s="6">
        <v>43994</v>
      </c>
      <c r="F851" s="7">
        <v>1500</v>
      </c>
      <c r="G851" s="7">
        <v>0.74</v>
      </c>
    </row>
    <row r="852" spans="1:7">
      <c r="A852" s="4" t="s">
        <v>12</v>
      </c>
      <c r="B852" s="4" t="s">
        <v>426</v>
      </c>
      <c r="C852" s="4" t="s">
        <v>3112</v>
      </c>
      <c r="D852" s="4" t="s">
        <v>801</v>
      </c>
      <c r="E852" s="6">
        <v>43994</v>
      </c>
      <c r="F852" s="7">
        <v>750</v>
      </c>
      <c r="G852" s="7">
        <v>0.95</v>
      </c>
    </row>
    <row r="853" spans="1:7">
      <c r="A853" s="4" t="s">
        <v>12</v>
      </c>
      <c r="B853" s="4" t="s">
        <v>426</v>
      </c>
      <c r="C853" s="4" t="s">
        <v>3112</v>
      </c>
      <c r="D853" s="4" t="s">
        <v>799</v>
      </c>
      <c r="E853" s="6">
        <v>43994</v>
      </c>
      <c r="F853" s="7">
        <v>1000</v>
      </c>
      <c r="G853" s="7">
        <v>0.85</v>
      </c>
    </row>
    <row r="854" spans="1:7">
      <c r="A854" s="4" t="s">
        <v>12</v>
      </c>
      <c r="B854" s="4" t="s">
        <v>426</v>
      </c>
      <c r="C854" s="4" t="s">
        <v>3112</v>
      </c>
      <c r="D854" s="4" t="s">
        <v>784</v>
      </c>
      <c r="E854" s="6">
        <v>43994</v>
      </c>
      <c r="F854" s="7">
        <v>1</v>
      </c>
      <c r="G854" s="7">
        <v>0</v>
      </c>
    </row>
    <row r="855" spans="1:7">
      <c r="A855" s="4" t="s">
        <v>12</v>
      </c>
      <c r="B855" s="4" t="s">
        <v>428</v>
      </c>
      <c r="C855" s="4" t="s">
        <v>3113</v>
      </c>
      <c r="D855" s="4" t="s">
        <v>803</v>
      </c>
      <c r="E855" s="6">
        <v>43994</v>
      </c>
      <c r="F855" s="7">
        <v>1000</v>
      </c>
      <c r="G855" s="7">
        <v>1.06</v>
      </c>
    </row>
    <row r="856" spans="1:7">
      <c r="A856" s="4" t="s">
        <v>12</v>
      </c>
      <c r="B856" s="4" t="s">
        <v>428</v>
      </c>
      <c r="C856" s="4" t="s">
        <v>3113</v>
      </c>
      <c r="D856" s="4" t="s">
        <v>786</v>
      </c>
      <c r="E856" s="6">
        <v>43994</v>
      </c>
      <c r="F856" s="7">
        <v>1500</v>
      </c>
      <c r="G856" s="7">
        <v>0.74</v>
      </c>
    </row>
    <row r="857" spans="1:7">
      <c r="A857" s="4" t="s">
        <v>12</v>
      </c>
      <c r="B857" s="4" t="s">
        <v>428</v>
      </c>
      <c r="C857" s="4" t="s">
        <v>3113</v>
      </c>
      <c r="D857" s="4" t="s">
        <v>799</v>
      </c>
      <c r="E857" s="6">
        <v>43994</v>
      </c>
      <c r="F857" s="7">
        <v>1000</v>
      </c>
      <c r="G857" s="7">
        <v>0.85</v>
      </c>
    </row>
    <row r="858" spans="1:7">
      <c r="A858" s="4" t="s">
        <v>12</v>
      </c>
      <c r="B858" s="4" t="s">
        <v>428</v>
      </c>
      <c r="C858" s="4" t="s">
        <v>3113</v>
      </c>
      <c r="D858" s="4" t="s">
        <v>784</v>
      </c>
      <c r="E858" s="6">
        <v>43994</v>
      </c>
      <c r="F858" s="7">
        <v>1</v>
      </c>
      <c r="G858" s="7">
        <v>0</v>
      </c>
    </row>
    <row r="859" spans="1:7">
      <c r="A859" s="4" t="s">
        <v>408</v>
      </c>
      <c r="B859" s="4" t="s">
        <v>409</v>
      </c>
      <c r="C859" s="4" t="s">
        <v>3114</v>
      </c>
      <c r="D859" s="4" t="s">
        <v>1904</v>
      </c>
      <c r="E859" s="6">
        <v>43970</v>
      </c>
      <c r="F859" s="7">
        <v>15</v>
      </c>
      <c r="G859" s="7">
        <v>12.2</v>
      </c>
    </row>
    <row r="860" spans="1:7">
      <c r="A860" s="4" t="s">
        <v>408</v>
      </c>
      <c r="B860" s="4" t="s">
        <v>409</v>
      </c>
      <c r="C860" s="4" t="s">
        <v>3114</v>
      </c>
      <c r="D860" s="4" t="s">
        <v>784</v>
      </c>
      <c r="E860" s="6">
        <v>43970</v>
      </c>
      <c r="F860" s="7">
        <v>1</v>
      </c>
      <c r="G860" s="7">
        <v>0</v>
      </c>
    </row>
    <row r="861" spans="1:7">
      <c r="A861" s="4" t="s">
        <v>46</v>
      </c>
      <c r="B861" s="4" t="s">
        <v>411</v>
      </c>
      <c r="C861" s="4" t="s">
        <v>3115</v>
      </c>
      <c r="D861" s="4" t="s">
        <v>949</v>
      </c>
      <c r="E861" s="6">
        <v>43970</v>
      </c>
      <c r="F861" s="7">
        <v>125</v>
      </c>
      <c r="G861" s="7">
        <v>0.61</v>
      </c>
    </row>
    <row r="862" spans="1:7">
      <c r="A862" s="4" t="s">
        <v>46</v>
      </c>
      <c r="B862" s="4" t="s">
        <v>411</v>
      </c>
      <c r="C862" s="4" t="s">
        <v>3115</v>
      </c>
      <c r="D862" s="4" t="s">
        <v>847</v>
      </c>
      <c r="E862" s="6">
        <v>43970</v>
      </c>
      <c r="F862" s="7">
        <v>50</v>
      </c>
      <c r="G862" s="7">
        <v>4.5200000000000005</v>
      </c>
    </row>
    <row r="863" spans="1:7">
      <c r="A863" s="4" t="s">
        <v>46</v>
      </c>
      <c r="B863" s="4" t="s">
        <v>411</v>
      </c>
      <c r="C863" s="4" t="s">
        <v>3115</v>
      </c>
      <c r="D863" s="4" t="s">
        <v>982</v>
      </c>
      <c r="E863" s="6">
        <v>43970</v>
      </c>
      <c r="F863" s="7">
        <v>50</v>
      </c>
      <c r="G863" s="7">
        <v>6.35</v>
      </c>
    </row>
    <row r="864" spans="1:7">
      <c r="A864" s="4" t="s">
        <v>46</v>
      </c>
      <c r="B864" s="4" t="s">
        <v>411</v>
      </c>
      <c r="C864" s="4" t="s">
        <v>3115</v>
      </c>
      <c r="D864" s="4" t="s">
        <v>952</v>
      </c>
      <c r="E864" s="6">
        <v>43970</v>
      </c>
      <c r="F864" s="7">
        <v>50</v>
      </c>
      <c r="G864" s="7">
        <v>0.75</v>
      </c>
    </row>
    <row r="865" spans="1:7">
      <c r="A865" s="4" t="s">
        <v>46</v>
      </c>
      <c r="B865" s="4" t="s">
        <v>411</v>
      </c>
      <c r="C865" s="4" t="s">
        <v>3115</v>
      </c>
      <c r="D865" s="4" t="s">
        <v>883</v>
      </c>
      <c r="E865" s="6">
        <v>43970</v>
      </c>
      <c r="F865" s="7">
        <v>100</v>
      </c>
      <c r="G865" s="7">
        <v>1.35</v>
      </c>
    </row>
    <row r="866" spans="1:7">
      <c r="A866" s="4" t="s">
        <v>46</v>
      </c>
      <c r="B866" s="4" t="s">
        <v>411</v>
      </c>
      <c r="C866" s="4" t="s">
        <v>3115</v>
      </c>
      <c r="D866" s="4" t="s">
        <v>966</v>
      </c>
      <c r="E866" s="6">
        <v>43970</v>
      </c>
      <c r="F866" s="7">
        <v>50</v>
      </c>
      <c r="G866" s="7">
        <v>0.9</v>
      </c>
    </row>
    <row r="867" spans="1:7">
      <c r="A867" s="4" t="s">
        <v>46</v>
      </c>
      <c r="B867" s="4" t="s">
        <v>411</v>
      </c>
      <c r="C867" s="4" t="s">
        <v>3115</v>
      </c>
      <c r="D867" s="4" t="s">
        <v>1026</v>
      </c>
      <c r="E867" s="6">
        <v>43970</v>
      </c>
      <c r="F867" s="7">
        <v>50</v>
      </c>
      <c r="G867" s="7">
        <v>0.83</v>
      </c>
    </row>
    <row r="868" spans="1:7">
      <c r="A868" s="4" t="s">
        <v>46</v>
      </c>
      <c r="B868" s="4" t="s">
        <v>411</v>
      </c>
      <c r="C868" s="4" t="s">
        <v>3115</v>
      </c>
      <c r="D868" s="4" t="s">
        <v>1028</v>
      </c>
      <c r="E868" s="6">
        <v>43970</v>
      </c>
      <c r="F868" s="7">
        <v>50</v>
      </c>
      <c r="G868" s="7">
        <v>1.67</v>
      </c>
    </row>
    <row r="869" spans="1:7">
      <c r="A869" s="4" t="s">
        <v>46</v>
      </c>
      <c r="B869" s="4" t="s">
        <v>411</v>
      </c>
      <c r="C869" s="4" t="s">
        <v>3115</v>
      </c>
      <c r="D869" s="4" t="s">
        <v>989</v>
      </c>
      <c r="E869" s="6">
        <v>43970</v>
      </c>
      <c r="F869" s="7">
        <v>50</v>
      </c>
      <c r="G869" s="7">
        <v>1.9899999999999998</v>
      </c>
    </row>
    <row r="870" spans="1:7">
      <c r="A870" s="4" t="s">
        <v>46</v>
      </c>
      <c r="B870" s="4" t="s">
        <v>411</v>
      </c>
      <c r="C870" s="4" t="s">
        <v>3115</v>
      </c>
      <c r="D870" s="4" t="s">
        <v>784</v>
      </c>
      <c r="E870" s="6">
        <v>43970</v>
      </c>
      <c r="F870" s="7">
        <v>1</v>
      </c>
      <c r="G870" s="7">
        <v>35</v>
      </c>
    </row>
    <row r="871" spans="1:7">
      <c r="A871" s="4" t="s">
        <v>405</v>
      </c>
      <c r="B871" s="4" t="s">
        <v>406</v>
      </c>
      <c r="C871" s="4" t="s">
        <v>3116</v>
      </c>
      <c r="D871" s="4" t="s">
        <v>1204</v>
      </c>
      <c r="E871" s="6">
        <v>43969</v>
      </c>
      <c r="F871" s="7">
        <v>250</v>
      </c>
      <c r="G871" s="7">
        <v>0.77</v>
      </c>
    </row>
    <row r="872" spans="1:7">
      <c r="A872" s="4" t="s">
        <v>405</v>
      </c>
      <c r="B872" s="4" t="s">
        <v>406</v>
      </c>
      <c r="C872" s="4" t="s">
        <v>3116</v>
      </c>
      <c r="D872" s="4" t="s">
        <v>1011</v>
      </c>
      <c r="E872" s="6">
        <v>43969</v>
      </c>
      <c r="F872" s="7">
        <v>50</v>
      </c>
      <c r="G872" s="7">
        <v>0.85</v>
      </c>
    </row>
    <row r="873" spans="1:7">
      <c r="A873" s="4" t="s">
        <v>405</v>
      </c>
      <c r="B873" s="4" t="s">
        <v>406</v>
      </c>
      <c r="C873" s="4" t="s">
        <v>3116</v>
      </c>
      <c r="D873" s="4" t="s">
        <v>887</v>
      </c>
      <c r="E873" s="6">
        <v>43969</v>
      </c>
      <c r="F873" s="7">
        <v>100</v>
      </c>
      <c r="G873" s="7">
        <v>0.62</v>
      </c>
    </row>
    <row r="874" spans="1:7">
      <c r="A874" s="4" t="s">
        <v>405</v>
      </c>
      <c r="B874" s="4" t="s">
        <v>406</v>
      </c>
      <c r="C874" s="4" t="s">
        <v>3116</v>
      </c>
      <c r="D874" s="4" t="s">
        <v>949</v>
      </c>
      <c r="E874" s="6">
        <v>43969</v>
      </c>
      <c r="F874" s="7">
        <v>100</v>
      </c>
      <c r="G874" s="7">
        <v>0.66</v>
      </c>
    </row>
    <row r="875" spans="1:7">
      <c r="A875" s="4" t="s">
        <v>405</v>
      </c>
      <c r="B875" s="4" t="s">
        <v>406</v>
      </c>
      <c r="C875" s="4" t="s">
        <v>3116</v>
      </c>
      <c r="D875" s="4" t="s">
        <v>916</v>
      </c>
      <c r="E875" s="6">
        <v>43969</v>
      </c>
      <c r="F875" s="7">
        <v>100</v>
      </c>
      <c r="G875" s="7">
        <v>0.9</v>
      </c>
    </row>
    <row r="876" spans="1:7">
      <c r="A876" s="4" t="s">
        <v>405</v>
      </c>
      <c r="B876" s="4" t="s">
        <v>406</v>
      </c>
      <c r="C876" s="4" t="s">
        <v>3116</v>
      </c>
      <c r="D876" s="4" t="s">
        <v>784</v>
      </c>
      <c r="E876" s="6">
        <v>43969</v>
      </c>
      <c r="F876" s="7">
        <v>1</v>
      </c>
      <c r="G876" s="7">
        <v>26</v>
      </c>
    </row>
    <row r="877" spans="1:7">
      <c r="A877" s="4" t="s">
        <v>46</v>
      </c>
      <c r="B877" s="4" t="s">
        <v>415</v>
      </c>
      <c r="C877" s="4" t="s">
        <v>3117</v>
      </c>
      <c r="D877" s="4" t="s">
        <v>1439</v>
      </c>
      <c r="E877" s="6">
        <v>43985</v>
      </c>
      <c r="F877" s="7">
        <v>100</v>
      </c>
      <c r="G877" s="7">
        <v>3.3299999999999996</v>
      </c>
    </row>
    <row r="878" spans="1:7">
      <c r="A878" s="4" t="s">
        <v>46</v>
      </c>
      <c r="B878" s="4" t="s">
        <v>415</v>
      </c>
      <c r="C878" s="4" t="s">
        <v>3117</v>
      </c>
      <c r="D878" s="4" t="s">
        <v>1011</v>
      </c>
      <c r="E878" s="6">
        <v>43985</v>
      </c>
      <c r="F878" s="7">
        <v>50</v>
      </c>
      <c r="G878" s="7">
        <v>0.79</v>
      </c>
    </row>
    <row r="879" spans="1:7">
      <c r="A879" s="4" t="s">
        <v>46</v>
      </c>
      <c r="B879" s="4" t="s">
        <v>415</v>
      </c>
      <c r="C879" s="4" t="s">
        <v>3117</v>
      </c>
      <c r="D879" s="4" t="s">
        <v>879</v>
      </c>
      <c r="E879" s="6">
        <v>43985</v>
      </c>
      <c r="F879" s="7">
        <v>50</v>
      </c>
      <c r="G879" s="7">
        <v>1.1199999999999999</v>
      </c>
    </row>
    <row r="880" spans="1:7">
      <c r="A880" s="4" t="s">
        <v>46</v>
      </c>
      <c r="B880" s="4" t="s">
        <v>415</v>
      </c>
      <c r="C880" s="4" t="s">
        <v>3117</v>
      </c>
      <c r="D880" s="4" t="s">
        <v>1404</v>
      </c>
      <c r="E880" s="6">
        <v>43985</v>
      </c>
      <c r="F880" s="7">
        <v>50</v>
      </c>
      <c r="G880" s="7">
        <v>3.38</v>
      </c>
    </row>
    <row r="881" spans="1:7">
      <c r="A881" s="4" t="s">
        <v>46</v>
      </c>
      <c r="B881" s="4" t="s">
        <v>415</v>
      </c>
      <c r="C881" s="4" t="s">
        <v>3117</v>
      </c>
      <c r="D881" s="4" t="s">
        <v>1063</v>
      </c>
      <c r="E881" s="6">
        <v>43985</v>
      </c>
      <c r="F881" s="7">
        <v>150</v>
      </c>
      <c r="G881" s="7">
        <v>0.98</v>
      </c>
    </row>
    <row r="882" spans="1:7">
      <c r="A882" s="4" t="s">
        <v>46</v>
      </c>
      <c r="B882" s="4" t="s">
        <v>415</v>
      </c>
      <c r="C882" s="4" t="s">
        <v>3117</v>
      </c>
      <c r="D882" s="4" t="s">
        <v>851</v>
      </c>
      <c r="E882" s="6">
        <v>43985</v>
      </c>
      <c r="F882" s="7">
        <v>50</v>
      </c>
      <c r="G882" s="7">
        <v>2.06</v>
      </c>
    </row>
    <row r="883" spans="1:7">
      <c r="A883" s="4" t="s">
        <v>46</v>
      </c>
      <c r="B883" s="4" t="s">
        <v>415</v>
      </c>
      <c r="C883" s="4" t="s">
        <v>3117</v>
      </c>
      <c r="D883" s="4" t="s">
        <v>823</v>
      </c>
      <c r="E883" s="6">
        <v>43985</v>
      </c>
      <c r="F883" s="7">
        <v>50</v>
      </c>
      <c r="G883" s="7">
        <v>5.5</v>
      </c>
    </row>
    <row r="884" spans="1:7">
      <c r="A884" s="4" t="s">
        <v>46</v>
      </c>
      <c r="B884" s="4" t="s">
        <v>415</v>
      </c>
      <c r="C884" s="4" t="s">
        <v>3117</v>
      </c>
      <c r="D884" s="4" t="s">
        <v>1030</v>
      </c>
      <c r="E884" s="6">
        <v>43985</v>
      </c>
      <c r="F884" s="7">
        <v>50</v>
      </c>
      <c r="G884" s="7">
        <v>2.9699999999999998</v>
      </c>
    </row>
    <row r="885" spans="1:7">
      <c r="A885" s="4" t="s">
        <v>46</v>
      </c>
      <c r="B885" s="4" t="s">
        <v>415</v>
      </c>
      <c r="C885" s="4" t="s">
        <v>3117</v>
      </c>
      <c r="D885" s="4" t="s">
        <v>1040</v>
      </c>
      <c r="E885" s="6">
        <v>43985</v>
      </c>
      <c r="F885" s="7">
        <v>50</v>
      </c>
      <c r="G885" s="7">
        <v>2.25</v>
      </c>
    </row>
    <row r="886" spans="1:7">
      <c r="A886" s="4" t="s">
        <v>46</v>
      </c>
      <c r="B886" s="4" t="s">
        <v>415</v>
      </c>
      <c r="C886" s="4" t="s">
        <v>3117</v>
      </c>
      <c r="D886" s="4" t="s">
        <v>784</v>
      </c>
      <c r="E886" s="6">
        <v>43985</v>
      </c>
      <c r="F886" s="7">
        <v>1</v>
      </c>
      <c r="G886" s="7">
        <v>0</v>
      </c>
    </row>
    <row r="887" spans="1:7">
      <c r="A887" s="4" t="s">
        <v>91</v>
      </c>
      <c r="B887" s="4" t="s">
        <v>438</v>
      </c>
      <c r="C887" s="4" t="s">
        <v>3118</v>
      </c>
      <c r="D887" s="4" t="s">
        <v>1157</v>
      </c>
      <c r="E887" s="6">
        <v>43999</v>
      </c>
      <c r="F887" s="7">
        <v>10000</v>
      </c>
      <c r="G887" s="7">
        <v>0.13900000000000001</v>
      </c>
    </row>
    <row r="888" spans="1:7">
      <c r="A888" s="4" t="s">
        <v>91</v>
      </c>
      <c r="B888" s="4" t="s">
        <v>438</v>
      </c>
      <c r="C888" s="4" t="s">
        <v>3118</v>
      </c>
      <c r="D888" s="4" t="s">
        <v>784</v>
      </c>
      <c r="E888" s="6">
        <v>43999</v>
      </c>
      <c r="F888" s="7">
        <v>1</v>
      </c>
      <c r="G888" s="7">
        <v>0</v>
      </c>
    </row>
    <row r="889" spans="1:7">
      <c r="A889" s="4" t="s">
        <v>417</v>
      </c>
      <c r="B889" s="4" t="s">
        <v>418</v>
      </c>
      <c r="C889" s="4" t="s">
        <v>3119</v>
      </c>
      <c r="D889" s="4" t="s">
        <v>1283</v>
      </c>
      <c r="E889" s="6">
        <v>43987</v>
      </c>
      <c r="F889" s="7">
        <v>20770</v>
      </c>
      <c r="G889" s="7">
        <v>0.14000000000000001</v>
      </c>
    </row>
    <row r="890" spans="1:7">
      <c r="A890" s="4" t="s">
        <v>417</v>
      </c>
      <c r="B890" s="4" t="s">
        <v>418</v>
      </c>
      <c r="C890" s="4" t="s">
        <v>3119</v>
      </c>
      <c r="D890" s="4" t="s">
        <v>784</v>
      </c>
      <c r="E890" s="6">
        <v>43987</v>
      </c>
      <c r="F890" s="7">
        <v>1</v>
      </c>
      <c r="G890" s="7">
        <v>0</v>
      </c>
    </row>
    <row r="891" spans="1:7">
      <c r="A891" s="4" t="s">
        <v>252</v>
      </c>
      <c r="B891" s="4" t="s">
        <v>422</v>
      </c>
      <c r="C891" s="4" t="s">
        <v>3120</v>
      </c>
      <c r="D891" s="4" t="s">
        <v>1561</v>
      </c>
      <c r="E891" s="6">
        <v>43987</v>
      </c>
      <c r="F891" s="7">
        <v>400</v>
      </c>
      <c r="G891" s="7">
        <v>0.69</v>
      </c>
    </row>
    <row r="892" spans="1:7">
      <c r="A892" s="4" t="s">
        <v>252</v>
      </c>
      <c r="B892" s="4" t="s">
        <v>422</v>
      </c>
      <c r="C892" s="4" t="s">
        <v>3120</v>
      </c>
      <c r="D892" s="4" t="s">
        <v>784</v>
      </c>
      <c r="E892" s="6">
        <v>43987</v>
      </c>
      <c r="F892" s="7">
        <v>1</v>
      </c>
      <c r="G892" s="7">
        <v>0</v>
      </c>
    </row>
    <row r="893" spans="1:7">
      <c r="A893" s="4" t="s">
        <v>12</v>
      </c>
      <c r="B893" s="4" t="s">
        <v>480</v>
      </c>
      <c r="C893" s="4" t="s">
        <v>3121</v>
      </c>
      <c r="D893" s="4" t="s">
        <v>803</v>
      </c>
      <c r="E893" s="6">
        <v>44019</v>
      </c>
      <c r="F893" s="7">
        <v>1000</v>
      </c>
      <c r="G893" s="7">
        <v>1.06</v>
      </c>
    </row>
    <row r="894" spans="1:7">
      <c r="A894" s="4" t="s">
        <v>12</v>
      </c>
      <c r="B894" s="4" t="s">
        <v>480</v>
      </c>
      <c r="C894" s="4" t="s">
        <v>3121</v>
      </c>
      <c r="D894" s="4" t="s">
        <v>786</v>
      </c>
      <c r="E894" s="6">
        <v>44019</v>
      </c>
      <c r="F894" s="7">
        <v>2400</v>
      </c>
      <c r="G894" s="7">
        <v>0.74</v>
      </c>
    </row>
    <row r="895" spans="1:7">
      <c r="A895" s="4" t="s">
        <v>12</v>
      </c>
      <c r="B895" s="4" t="s">
        <v>480</v>
      </c>
      <c r="C895" s="4" t="s">
        <v>3121</v>
      </c>
      <c r="D895" s="4" t="s">
        <v>801</v>
      </c>
      <c r="E895" s="6">
        <v>44019</v>
      </c>
      <c r="F895" s="7">
        <v>1000</v>
      </c>
      <c r="G895" s="7">
        <v>0.95</v>
      </c>
    </row>
    <row r="896" spans="1:7">
      <c r="A896" s="4" t="s">
        <v>12</v>
      </c>
      <c r="B896" s="4" t="s">
        <v>480</v>
      </c>
      <c r="C896" s="4" t="s">
        <v>3121</v>
      </c>
      <c r="D896" s="4" t="s">
        <v>799</v>
      </c>
      <c r="E896" s="6">
        <v>44019</v>
      </c>
      <c r="F896" s="7">
        <v>1000</v>
      </c>
      <c r="G896" s="7">
        <v>0.85</v>
      </c>
    </row>
    <row r="897" spans="1:7">
      <c r="A897" s="4" t="s">
        <v>12</v>
      </c>
      <c r="B897" s="4" t="s">
        <v>480</v>
      </c>
      <c r="C897" s="4" t="s">
        <v>3121</v>
      </c>
      <c r="D897" s="4" t="s">
        <v>784</v>
      </c>
      <c r="E897" s="6">
        <v>44019</v>
      </c>
      <c r="F897" s="7">
        <v>1</v>
      </c>
      <c r="G897" s="7">
        <v>0</v>
      </c>
    </row>
    <row r="898" spans="1:7">
      <c r="A898" s="4" t="s">
        <v>12</v>
      </c>
      <c r="B898" s="4" t="s">
        <v>482</v>
      </c>
      <c r="C898" s="4" t="s">
        <v>3122</v>
      </c>
      <c r="D898" s="4" t="s">
        <v>786</v>
      </c>
      <c r="E898" s="6">
        <v>44019</v>
      </c>
      <c r="F898" s="7">
        <v>2000</v>
      </c>
      <c r="G898" s="7">
        <v>0.74</v>
      </c>
    </row>
    <row r="899" spans="1:7">
      <c r="A899" s="4" t="s">
        <v>12</v>
      </c>
      <c r="B899" s="4" t="s">
        <v>482</v>
      </c>
      <c r="C899" s="4" t="s">
        <v>3122</v>
      </c>
      <c r="D899" s="4" t="s">
        <v>801</v>
      </c>
      <c r="E899" s="6">
        <v>44019</v>
      </c>
      <c r="F899" s="7">
        <v>1000</v>
      </c>
      <c r="G899" s="7">
        <v>0.95</v>
      </c>
    </row>
    <row r="900" spans="1:7">
      <c r="A900" s="4" t="s">
        <v>12</v>
      </c>
      <c r="B900" s="4" t="s">
        <v>482</v>
      </c>
      <c r="C900" s="4" t="s">
        <v>3122</v>
      </c>
      <c r="D900" s="4" t="s">
        <v>799</v>
      </c>
      <c r="E900" s="6">
        <v>44019</v>
      </c>
      <c r="F900" s="7">
        <v>1000</v>
      </c>
      <c r="G900" s="7">
        <v>0.85</v>
      </c>
    </row>
    <row r="901" spans="1:7">
      <c r="A901" s="4" t="s">
        <v>12</v>
      </c>
      <c r="B901" s="4" t="s">
        <v>482</v>
      </c>
      <c r="C901" s="4" t="s">
        <v>3122</v>
      </c>
      <c r="D901" s="4" t="s">
        <v>784</v>
      </c>
      <c r="E901" s="6">
        <v>44019</v>
      </c>
      <c r="F901" s="7">
        <v>1</v>
      </c>
      <c r="G901" s="7">
        <v>0</v>
      </c>
    </row>
    <row r="902" spans="1:7">
      <c r="A902" s="4" t="s">
        <v>32</v>
      </c>
      <c r="B902" s="4" t="s">
        <v>424</v>
      </c>
      <c r="C902" s="4" t="s">
        <v>3123</v>
      </c>
      <c r="D902" s="4" t="s">
        <v>1948</v>
      </c>
      <c r="E902" s="6">
        <v>43990</v>
      </c>
      <c r="F902" s="7">
        <v>100</v>
      </c>
      <c r="G902" s="7">
        <v>0.42</v>
      </c>
    </row>
    <row r="903" spans="1:7">
      <c r="A903" s="4" t="s">
        <v>32</v>
      </c>
      <c r="B903" s="4" t="s">
        <v>424</v>
      </c>
      <c r="C903" s="4" t="s">
        <v>3123</v>
      </c>
      <c r="D903" s="4" t="s">
        <v>1950</v>
      </c>
      <c r="E903" s="6">
        <v>43990</v>
      </c>
      <c r="F903" s="7">
        <v>100</v>
      </c>
      <c r="G903" s="7">
        <v>0.28999999999999998</v>
      </c>
    </row>
    <row r="904" spans="1:7">
      <c r="A904" s="4" t="s">
        <v>32</v>
      </c>
      <c r="B904" s="4" t="s">
        <v>424</v>
      </c>
      <c r="C904" s="4" t="s">
        <v>3123</v>
      </c>
      <c r="D904" s="4" t="s">
        <v>887</v>
      </c>
      <c r="E904" s="6">
        <v>43990</v>
      </c>
      <c r="F904" s="7">
        <v>100</v>
      </c>
      <c r="G904" s="7">
        <v>0.57999999999999996</v>
      </c>
    </row>
    <row r="905" spans="1:7">
      <c r="A905" s="4" t="s">
        <v>32</v>
      </c>
      <c r="B905" s="4" t="s">
        <v>424</v>
      </c>
      <c r="C905" s="4" t="s">
        <v>3123</v>
      </c>
      <c r="D905" s="4" t="s">
        <v>1133</v>
      </c>
      <c r="E905" s="6">
        <v>43990</v>
      </c>
      <c r="F905" s="7">
        <v>40</v>
      </c>
      <c r="G905" s="7">
        <v>0.23</v>
      </c>
    </row>
    <row r="906" spans="1:7">
      <c r="A906" s="4" t="s">
        <v>32</v>
      </c>
      <c r="B906" s="4" t="s">
        <v>424</v>
      </c>
      <c r="C906" s="4" t="s">
        <v>3123</v>
      </c>
      <c r="D906" s="4" t="s">
        <v>966</v>
      </c>
      <c r="E906" s="6">
        <v>43990</v>
      </c>
      <c r="F906" s="7">
        <v>50</v>
      </c>
      <c r="G906" s="7">
        <v>0.78</v>
      </c>
    </row>
    <row r="907" spans="1:7">
      <c r="A907" s="4" t="s">
        <v>32</v>
      </c>
      <c r="B907" s="4" t="s">
        <v>424</v>
      </c>
      <c r="C907" s="4" t="s">
        <v>3123</v>
      </c>
      <c r="D907" s="4" t="s">
        <v>1063</v>
      </c>
      <c r="E907" s="6">
        <v>43990</v>
      </c>
      <c r="F907" s="7">
        <v>40</v>
      </c>
      <c r="G907" s="7">
        <v>0.85</v>
      </c>
    </row>
    <row r="908" spans="1:7">
      <c r="A908" s="4" t="s">
        <v>32</v>
      </c>
      <c r="B908" s="4" t="s">
        <v>424</v>
      </c>
      <c r="C908" s="4" t="s">
        <v>3123</v>
      </c>
      <c r="D908" s="4" t="s">
        <v>1956</v>
      </c>
      <c r="E908" s="6">
        <v>43990</v>
      </c>
      <c r="F908" s="7">
        <v>100</v>
      </c>
      <c r="G908" s="7">
        <v>0.36</v>
      </c>
    </row>
    <row r="909" spans="1:7">
      <c r="A909" s="4" t="s">
        <v>32</v>
      </c>
      <c r="B909" s="4" t="s">
        <v>424</v>
      </c>
      <c r="C909" s="4" t="s">
        <v>3123</v>
      </c>
      <c r="D909" s="4" t="s">
        <v>1143</v>
      </c>
      <c r="E909" s="6">
        <v>43990</v>
      </c>
      <c r="F909" s="7">
        <v>50</v>
      </c>
      <c r="G909" s="7">
        <v>0.54</v>
      </c>
    </row>
    <row r="910" spans="1:7">
      <c r="A910" s="4" t="s">
        <v>32</v>
      </c>
      <c r="B910" s="4" t="s">
        <v>424</v>
      </c>
      <c r="C910" s="4" t="s">
        <v>3123</v>
      </c>
      <c r="D910" s="4" t="s">
        <v>934</v>
      </c>
      <c r="E910" s="6">
        <v>43990</v>
      </c>
      <c r="F910" s="7">
        <v>100</v>
      </c>
      <c r="G910" s="7">
        <v>0.6</v>
      </c>
    </row>
    <row r="911" spans="1:7">
      <c r="A911" s="4" t="s">
        <v>32</v>
      </c>
      <c r="B911" s="4" t="s">
        <v>424</v>
      </c>
      <c r="C911" s="4" t="s">
        <v>3123</v>
      </c>
      <c r="D911" s="4" t="s">
        <v>1598</v>
      </c>
      <c r="E911" s="6">
        <v>43990</v>
      </c>
      <c r="F911" s="7">
        <v>100</v>
      </c>
      <c r="G911" s="7">
        <v>0.73</v>
      </c>
    </row>
    <row r="912" spans="1:7">
      <c r="A912" s="4" t="s">
        <v>32</v>
      </c>
      <c r="B912" s="4" t="s">
        <v>424</v>
      </c>
      <c r="C912" s="4" t="s">
        <v>3123</v>
      </c>
      <c r="D912" s="4" t="s">
        <v>1154</v>
      </c>
      <c r="E912" s="6">
        <v>43990</v>
      </c>
      <c r="F912" s="7">
        <v>50</v>
      </c>
      <c r="G912" s="7">
        <v>1.29</v>
      </c>
    </row>
    <row r="913" spans="1:7">
      <c r="A913" s="4" t="s">
        <v>32</v>
      </c>
      <c r="B913" s="4" t="s">
        <v>424</v>
      </c>
      <c r="C913" s="4" t="s">
        <v>3123</v>
      </c>
      <c r="D913" s="4" t="s">
        <v>1030</v>
      </c>
      <c r="E913" s="6">
        <v>43990</v>
      </c>
      <c r="F913" s="7">
        <v>50</v>
      </c>
      <c r="G913" s="7">
        <v>2.57</v>
      </c>
    </row>
    <row r="914" spans="1:7">
      <c r="A914" s="4" t="s">
        <v>32</v>
      </c>
      <c r="B914" s="4" t="s">
        <v>424</v>
      </c>
      <c r="C914" s="4" t="s">
        <v>3123</v>
      </c>
      <c r="D914" s="4" t="s">
        <v>784</v>
      </c>
      <c r="E914" s="6">
        <v>43990</v>
      </c>
      <c r="F914" s="7">
        <v>1</v>
      </c>
      <c r="G914" s="7">
        <v>0</v>
      </c>
    </row>
    <row r="915" spans="1:7">
      <c r="A915" s="4" t="s">
        <v>504</v>
      </c>
      <c r="B915" s="4" t="s">
        <v>505</v>
      </c>
      <c r="C915" s="4" t="s">
        <v>3124</v>
      </c>
      <c r="D915" s="4" t="s">
        <v>1028</v>
      </c>
      <c r="E915" s="6">
        <v>44022</v>
      </c>
      <c r="F915" s="7">
        <v>50</v>
      </c>
      <c r="G915" s="7">
        <v>1.8</v>
      </c>
    </row>
    <row r="916" spans="1:7">
      <c r="A916" s="4" t="s">
        <v>504</v>
      </c>
      <c r="B916" s="4" t="s">
        <v>505</v>
      </c>
      <c r="C916" s="4" t="s">
        <v>3124</v>
      </c>
      <c r="D916" s="4" t="s">
        <v>1965</v>
      </c>
      <c r="E916" s="6">
        <v>44022</v>
      </c>
      <c r="F916" s="7">
        <v>1</v>
      </c>
      <c r="G916" s="7">
        <v>75</v>
      </c>
    </row>
    <row r="917" spans="1:7">
      <c r="A917" s="4" t="s">
        <v>504</v>
      </c>
      <c r="B917" s="4" t="s">
        <v>505</v>
      </c>
      <c r="C917" s="4" t="s">
        <v>3124</v>
      </c>
      <c r="D917" s="4" t="s">
        <v>784</v>
      </c>
      <c r="E917" s="6">
        <v>44022</v>
      </c>
      <c r="F917" s="7">
        <v>1</v>
      </c>
      <c r="G917" s="7">
        <v>0</v>
      </c>
    </row>
    <row r="918" spans="1:7">
      <c r="A918" s="4" t="s">
        <v>126</v>
      </c>
      <c r="B918" s="4" t="s">
        <v>420</v>
      </c>
      <c r="C918" s="4" t="s">
        <v>3125</v>
      </c>
      <c r="D918" s="4" t="s">
        <v>847</v>
      </c>
      <c r="E918" s="6">
        <v>43987</v>
      </c>
      <c r="F918" s="7">
        <v>50</v>
      </c>
      <c r="G918" s="7">
        <v>4.5200000000000005</v>
      </c>
    </row>
    <row r="919" spans="1:7">
      <c r="A919" s="4" t="s">
        <v>126</v>
      </c>
      <c r="B919" s="4" t="s">
        <v>420</v>
      </c>
      <c r="C919" s="4" t="s">
        <v>3125</v>
      </c>
      <c r="D919" s="4" t="s">
        <v>1969</v>
      </c>
      <c r="E919" s="6">
        <v>43987</v>
      </c>
      <c r="F919" s="7">
        <v>50</v>
      </c>
      <c r="G919" s="7">
        <v>2.27</v>
      </c>
    </row>
    <row r="920" spans="1:7">
      <c r="A920" s="4" t="s">
        <v>126</v>
      </c>
      <c r="B920" s="4" t="s">
        <v>420</v>
      </c>
      <c r="C920" s="4" t="s">
        <v>3125</v>
      </c>
      <c r="D920" s="4" t="s">
        <v>942</v>
      </c>
      <c r="E920" s="6">
        <v>43987</v>
      </c>
      <c r="F920" s="7">
        <v>50</v>
      </c>
      <c r="G920" s="7">
        <v>1.6600000000000001</v>
      </c>
    </row>
    <row r="921" spans="1:7">
      <c r="A921" s="4" t="s">
        <v>126</v>
      </c>
      <c r="B921" s="4" t="s">
        <v>420</v>
      </c>
      <c r="C921" s="4" t="s">
        <v>3125</v>
      </c>
      <c r="D921" s="4" t="s">
        <v>784</v>
      </c>
      <c r="E921" s="6">
        <v>43987</v>
      </c>
      <c r="F921" s="7">
        <v>1</v>
      </c>
      <c r="G921" s="7">
        <v>0</v>
      </c>
    </row>
    <row r="922" spans="1:7">
      <c r="A922" s="4" t="s">
        <v>12</v>
      </c>
      <c r="B922" s="4" t="s">
        <v>557</v>
      </c>
      <c r="C922" s="4" t="s">
        <v>3126</v>
      </c>
      <c r="D922" s="4" t="s">
        <v>803</v>
      </c>
      <c r="E922" s="6">
        <v>44048</v>
      </c>
      <c r="F922" s="7">
        <v>500</v>
      </c>
      <c r="G922" s="7">
        <v>1.06</v>
      </c>
    </row>
    <row r="923" spans="1:7">
      <c r="A923" s="4" t="s">
        <v>12</v>
      </c>
      <c r="B923" s="4" t="s">
        <v>557</v>
      </c>
      <c r="C923" s="4" t="s">
        <v>3126</v>
      </c>
      <c r="D923" s="4" t="s">
        <v>786</v>
      </c>
      <c r="E923" s="6">
        <v>44048</v>
      </c>
      <c r="F923" s="7">
        <v>1000</v>
      </c>
      <c r="G923" s="7">
        <v>0.74</v>
      </c>
    </row>
    <row r="924" spans="1:7">
      <c r="A924" s="4" t="s">
        <v>12</v>
      </c>
      <c r="B924" s="4" t="s">
        <v>557</v>
      </c>
      <c r="C924" s="4" t="s">
        <v>3126</v>
      </c>
      <c r="D924" s="4" t="s">
        <v>801</v>
      </c>
      <c r="E924" s="6">
        <v>44048</v>
      </c>
      <c r="F924" s="7">
        <v>2000</v>
      </c>
      <c r="G924" s="7">
        <v>0.95</v>
      </c>
    </row>
    <row r="925" spans="1:7">
      <c r="A925" s="4" t="s">
        <v>12</v>
      </c>
      <c r="B925" s="4" t="s">
        <v>557</v>
      </c>
      <c r="C925" s="4" t="s">
        <v>3126</v>
      </c>
      <c r="D925" s="4" t="s">
        <v>799</v>
      </c>
      <c r="E925" s="6">
        <v>44048</v>
      </c>
      <c r="F925" s="7">
        <v>1500</v>
      </c>
      <c r="G925" s="7">
        <v>0.85</v>
      </c>
    </row>
    <row r="926" spans="1:7">
      <c r="A926" s="4" t="s">
        <v>12</v>
      </c>
      <c r="B926" s="4" t="s">
        <v>557</v>
      </c>
      <c r="C926" s="4" t="s">
        <v>3126</v>
      </c>
      <c r="D926" s="4" t="s">
        <v>784</v>
      </c>
      <c r="E926" s="6">
        <v>44048</v>
      </c>
      <c r="F926" s="7">
        <v>1</v>
      </c>
      <c r="G926" s="7">
        <v>0</v>
      </c>
    </row>
    <row r="927" spans="1:7">
      <c r="A927" s="4" t="s">
        <v>35</v>
      </c>
      <c r="B927" s="4" t="s">
        <v>474</v>
      </c>
      <c r="C927" s="4" t="s">
        <v>3127</v>
      </c>
      <c r="D927" s="4" t="s">
        <v>789</v>
      </c>
      <c r="E927" s="6">
        <v>44014</v>
      </c>
      <c r="F927" s="7">
        <v>1933</v>
      </c>
      <c r="G927" s="7">
        <v>0</v>
      </c>
    </row>
    <row r="928" spans="1:7">
      <c r="A928" s="4" t="s">
        <v>296</v>
      </c>
      <c r="B928" s="4" t="s">
        <v>465</v>
      </c>
      <c r="C928" s="4" t="s">
        <v>3128</v>
      </c>
      <c r="D928" s="4" t="s">
        <v>1086</v>
      </c>
      <c r="E928" s="6">
        <v>44013</v>
      </c>
      <c r="F928" s="7">
        <v>5050</v>
      </c>
      <c r="G928" s="7">
        <v>0.23</v>
      </c>
    </row>
    <row r="929" spans="1:7">
      <c r="A929" s="4" t="s">
        <v>296</v>
      </c>
      <c r="B929" s="4" t="s">
        <v>465</v>
      </c>
      <c r="C929" s="4" t="s">
        <v>3128</v>
      </c>
      <c r="D929" s="4" t="s">
        <v>1086</v>
      </c>
      <c r="E929" s="6">
        <v>44013</v>
      </c>
      <c r="F929" s="7">
        <v>5070</v>
      </c>
      <c r="G929" s="7">
        <v>0.16</v>
      </c>
    </row>
    <row r="930" spans="1:7">
      <c r="A930" s="4" t="s">
        <v>296</v>
      </c>
      <c r="B930" s="4" t="s">
        <v>465</v>
      </c>
      <c r="C930" s="4" t="s">
        <v>3128</v>
      </c>
      <c r="D930" s="4" t="s">
        <v>784</v>
      </c>
      <c r="E930" s="6">
        <v>44013</v>
      </c>
      <c r="F930" s="7">
        <v>1</v>
      </c>
      <c r="G930" s="7">
        <v>0</v>
      </c>
    </row>
    <row r="931" spans="1:7">
      <c r="A931" s="4" t="s">
        <v>29</v>
      </c>
      <c r="B931" s="4" t="s">
        <v>434</v>
      </c>
      <c r="C931" s="4" t="s">
        <v>3129</v>
      </c>
      <c r="D931" s="4" t="s">
        <v>858</v>
      </c>
      <c r="E931" s="6">
        <v>43994</v>
      </c>
      <c r="F931" s="7">
        <v>100</v>
      </c>
      <c r="G931" s="7">
        <v>3.81</v>
      </c>
    </row>
    <row r="932" spans="1:7">
      <c r="A932" s="4" t="s">
        <v>29</v>
      </c>
      <c r="B932" s="4" t="s">
        <v>434</v>
      </c>
      <c r="C932" s="4" t="s">
        <v>3129</v>
      </c>
      <c r="D932" s="4" t="s">
        <v>1628</v>
      </c>
      <c r="E932" s="6">
        <v>43994</v>
      </c>
      <c r="F932" s="7">
        <v>75</v>
      </c>
      <c r="G932" s="7">
        <v>1.6600000000000001</v>
      </c>
    </row>
    <row r="933" spans="1:7">
      <c r="A933" s="4" t="s">
        <v>29</v>
      </c>
      <c r="B933" s="4" t="s">
        <v>434</v>
      </c>
      <c r="C933" s="4" t="s">
        <v>3129</v>
      </c>
      <c r="D933" s="4" t="s">
        <v>976</v>
      </c>
      <c r="E933" s="6">
        <v>43994</v>
      </c>
      <c r="F933" s="7">
        <v>75</v>
      </c>
      <c r="G933" s="7">
        <v>1.1499999999999999</v>
      </c>
    </row>
    <row r="934" spans="1:7">
      <c r="A934" s="4" t="s">
        <v>29</v>
      </c>
      <c r="B934" s="4" t="s">
        <v>434</v>
      </c>
      <c r="C934" s="4" t="s">
        <v>3129</v>
      </c>
      <c r="D934" s="4" t="s">
        <v>1168</v>
      </c>
      <c r="E934" s="6">
        <v>43994</v>
      </c>
      <c r="F934" s="7">
        <v>75</v>
      </c>
      <c r="G934" s="7">
        <v>1.04</v>
      </c>
    </row>
    <row r="935" spans="1:7">
      <c r="A935" s="4" t="s">
        <v>29</v>
      </c>
      <c r="B935" s="4" t="s">
        <v>434</v>
      </c>
      <c r="C935" s="4" t="s">
        <v>3129</v>
      </c>
      <c r="D935" s="4" t="s">
        <v>867</v>
      </c>
      <c r="E935" s="6">
        <v>43994</v>
      </c>
      <c r="F935" s="7">
        <v>75</v>
      </c>
      <c r="G935" s="7">
        <v>1.8</v>
      </c>
    </row>
    <row r="936" spans="1:7">
      <c r="A936" s="4" t="s">
        <v>29</v>
      </c>
      <c r="B936" s="4" t="s">
        <v>434</v>
      </c>
      <c r="C936" s="4" t="s">
        <v>3129</v>
      </c>
      <c r="D936" s="4" t="s">
        <v>1104</v>
      </c>
      <c r="E936" s="6">
        <v>43994</v>
      </c>
      <c r="F936" s="7">
        <v>75</v>
      </c>
      <c r="G936" s="7">
        <v>1.97</v>
      </c>
    </row>
    <row r="937" spans="1:7">
      <c r="A937" s="4" t="s">
        <v>29</v>
      </c>
      <c r="B937" s="4" t="s">
        <v>434</v>
      </c>
      <c r="C937" s="4" t="s">
        <v>3129</v>
      </c>
      <c r="D937" s="4" t="s">
        <v>944</v>
      </c>
      <c r="E937" s="6">
        <v>43994</v>
      </c>
      <c r="F937" s="7">
        <v>75</v>
      </c>
      <c r="G937" s="7">
        <v>1.97</v>
      </c>
    </row>
    <row r="938" spans="1:7">
      <c r="A938" s="4" t="s">
        <v>29</v>
      </c>
      <c r="B938" s="4" t="s">
        <v>434</v>
      </c>
      <c r="C938" s="4" t="s">
        <v>3129</v>
      </c>
      <c r="D938" s="4" t="s">
        <v>784</v>
      </c>
      <c r="E938" s="6">
        <v>43994</v>
      </c>
      <c r="F938" s="7">
        <v>1</v>
      </c>
      <c r="G938" s="7">
        <v>0</v>
      </c>
    </row>
    <row r="939" spans="1:7">
      <c r="A939" s="4" t="s">
        <v>501</v>
      </c>
      <c r="B939" s="4" t="s">
        <v>502</v>
      </c>
      <c r="C939" s="4" t="s">
        <v>3130</v>
      </c>
      <c r="D939" s="4" t="s">
        <v>1471</v>
      </c>
      <c r="E939" s="6">
        <v>44021</v>
      </c>
      <c r="F939" s="7">
        <v>167</v>
      </c>
      <c r="G939" s="7">
        <v>6.18</v>
      </c>
    </row>
    <row r="940" spans="1:7">
      <c r="A940" s="4" t="s">
        <v>501</v>
      </c>
      <c r="B940" s="4" t="s">
        <v>502</v>
      </c>
      <c r="C940" s="4" t="s">
        <v>3130</v>
      </c>
      <c r="D940" s="4" t="s">
        <v>840</v>
      </c>
      <c r="E940" s="6">
        <v>44021</v>
      </c>
      <c r="F940" s="7">
        <v>1</v>
      </c>
      <c r="G940" s="7">
        <v>295</v>
      </c>
    </row>
    <row r="941" spans="1:7">
      <c r="A941" s="4" t="s">
        <v>501</v>
      </c>
      <c r="B941" s="4" t="s">
        <v>502</v>
      </c>
      <c r="C941" s="4" t="s">
        <v>3130</v>
      </c>
      <c r="D941" s="4" t="s">
        <v>784</v>
      </c>
      <c r="E941" s="6">
        <v>44021</v>
      </c>
      <c r="F941" s="7">
        <v>1</v>
      </c>
      <c r="G941" s="7">
        <v>0</v>
      </c>
    </row>
    <row r="942" spans="1:7">
      <c r="A942" s="4" t="s">
        <v>24</v>
      </c>
      <c r="B942" s="4" t="s">
        <v>449</v>
      </c>
      <c r="C942" s="4" t="s">
        <v>3131</v>
      </c>
      <c r="D942" s="4" t="s">
        <v>817</v>
      </c>
      <c r="E942" s="6">
        <v>44005</v>
      </c>
      <c r="F942" s="7">
        <v>300</v>
      </c>
      <c r="G942" s="7">
        <v>1.64</v>
      </c>
    </row>
    <row r="943" spans="1:7">
      <c r="A943" s="4" t="s">
        <v>24</v>
      </c>
      <c r="B943" s="4" t="s">
        <v>449</v>
      </c>
      <c r="C943" s="4" t="s">
        <v>3131</v>
      </c>
      <c r="D943" s="4" t="s">
        <v>821</v>
      </c>
      <c r="E943" s="6">
        <v>44005</v>
      </c>
      <c r="F943" s="7">
        <v>25</v>
      </c>
      <c r="G943" s="7">
        <v>4.13</v>
      </c>
    </row>
    <row r="944" spans="1:7">
      <c r="A944" s="4" t="s">
        <v>24</v>
      </c>
      <c r="B944" s="4" t="s">
        <v>449</v>
      </c>
      <c r="C944" s="4" t="s">
        <v>3131</v>
      </c>
      <c r="D944" s="4" t="s">
        <v>1232</v>
      </c>
      <c r="E944" s="6">
        <v>44005</v>
      </c>
      <c r="F944" s="7">
        <v>25</v>
      </c>
      <c r="G944" s="7">
        <v>7.07</v>
      </c>
    </row>
    <row r="945" spans="1:7">
      <c r="A945" s="4" t="s">
        <v>24</v>
      </c>
      <c r="B945" s="4" t="s">
        <v>449</v>
      </c>
      <c r="C945" s="4" t="s">
        <v>3131</v>
      </c>
      <c r="D945" s="4" t="s">
        <v>815</v>
      </c>
      <c r="E945" s="6">
        <v>44005</v>
      </c>
      <c r="F945" s="7">
        <v>40</v>
      </c>
      <c r="G945" s="7">
        <v>3.6100000000000003</v>
      </c>
    </row>
    <row r="946" spans="1:7">
      <c r="A946" s="4" t="s">
        <v>24</v>
      </c>
      <c r="B946" s="4" t="s">
        <v>449</v>
      </c>
      <c r="C946" s="4" t="s">
        <v>3131</v>
      </c>
      <c r="D946" s="4" t="s">
        <v>885</v>
      </c>
      <c r="E946" s="6">
        <v>44005</v>
      </c>
      <c r="F946" s="7">
        <v>20</v>
      </c>
      <c r="G946" s="7">
        <v>6.4</v>
      </c>
    </row>
    <row r="947" spans="1:7">
      <c r="A947" s="4" t="s">
        <v>24</v>
      </c>
      <c r="B947" s="4" t="s">
        <v>449</v>
      </c>
      <c r="C947" s="4" t="s">
        <v>3131</v>
      </c>
      <c r="D947" s="4" t="s">
        <v>784</v>
      </c>
      <c r="E947" s="6">
        <v>44005</v>
      </c>
      <c r="F947" s="7">
        <v>1</v>
      </c>
      <c r="G947" s="7">
        <v>0</v>
      </c>
    </row>
    <row r="948" spans="1:7">
      <c r="A948" s="4" t="s">
        <v>339</v>
      </c>
      <c r="B948" s="4" t="s">
        <v>436</v>
      </c>
      <c r="C948" s="4" t="s">
        <v>3132</v>
      </c>
      <c r="D948" s="4" t="s">
        <v>1106</v>
      </c>
      <c r="E948" s="6">
        <v>43998</v>
      </c>
      <c r="F948" s="7">
        <v>150</v>
      </c>
      <c r="G948" s="7">
        <v>1.44</v>
      </c>
    </row>
    <row r="949" spans="1:7">
      <c r="A949" s="4" t="s">
        <v>339</v>
      </c>
      <c r="B949" s="4" t="s">
        <v>436</v>
      </c>
      <c r="C949" s="4" t="s">
        <v>3132</v>
      </c>
      <c r="D949" s="4" t="s">
        <v>784</v>
      </c>
      <c r="E949" s="6">
        <v>43998</v>
      </c>
      <c r="F949" s="7">
        <v>1</v>
      </c>
      <c r="G949" s="7">
        <v>0</v>
      </c>
    </row>
    <row r="950" spans="1:7">
      <c r="A950" s="4" t="s">
        <v>49</v>
      </c>
      <c r="B950" s="4" t="s">
        <v>451</v>
      </c>
      <c r="C950" s="4" t="s">
        <v>3133</v>
      </c>
      <c r="D950" s="4" t="s">
        <v>1384</v>
      </c>
      <c r="E950" s="6">
        <v>44005</v>
      </c>
      <c r="F950" s="7">
        <v>50</v>
      </c>
      <c r="G950" s="7">
        <v>0.91</v>
      </c>
    </row>
    <row r="951" spans="1:7">
      <c r="A951" s="4" t="s">
        <v>49</v>
      </c>
      <c r="B951" s="4" t="s">
        <v>451</v>
      </c>
      <c r="C951" s="4" t="s">
        <v>3133</v>
      </c>
      <c r="D951" s="4" t="s">
        <v>1168</v>
      </c>
      <c r="E951" s="6">
        <v>44005</v>
      </c>
      <c r="F951" s="7">
        <v>100</v>
      </c>
      <c r="G951" s="7">
        <v>1.1199999999999999</v>
      </c>
    </row>
    <row r="952" spans="1:7">
      <c r="A952" s="4" t="s">
        <v>49</v>
      </c>
      <c r="B952" s="4" t="s">
        <v>451</v>
      </c>
      <c r="C952" s="4" t="s">
        <v>3133</v>
      </c>
      <c r="D952" s="4" t="s">
        <v>1222</v>
      </c>
      <c r="E952" s="6">
        <v>44005</v>
      </c>
      <c r="F952" s="7">
        <v>100</v>
      </c>
      <c r="G952" s="7">
        <v>2.04</v>
      </c>
    </row>
    <row r="953" spans="1:7">
      <c r="A953" s="4" t="s">
        <v>49</v>
      </c>
      <c r="B953" s="4" t="s">
        <v>451</v>
      </c>
      <c r="C953" s="4" t="s">
        <v>3133</v>
      </c>
      <c r="D953" s="4" t="s">
        <v>995</v>
      </c>
      <c r="E953" s="6">
        <v>44005</v>
      </c>
      <c r="F953" s="7">
        <v>100</v>
      </c>
      <c r="G953" s="7">
        <v>1.69</v>
      </c>
    </row>
    <row r="954" spans="1:7">
      <c r="A954" s="4" t="s">
        <v>49</v>
      </c>
      <c r="B954" s="4" t="s">
        <v>451</v>
      </c>
      <c r="C954" s="4" t="s">
        <v>3133</v>
      </c>
      <c r="D954" s="4" t="s">
        <v>1404</v>
      </c>
      <c r="E954" s="6">
        <v>44005</v>
      </c>
      <c r="F954" s="7">
        <v>86</v>
      </c>
      <c r="G954" s="7">
        <v>3.6399999999999997</v>
      </c>
    </row>
    <row r="955" spans="1:7">
      <c r="A955" s="4" t="s">
        <v>49</v>
      </c>
      <c r="B955" s="4" t="s">
        <v>451</v>
      </c>
      <c r="C955" s="4" t="s">
        <v>3133</v>
      </c>
      <c r="D955" s="4" t="s">
        <v>1371</v>
      </c>
      <c r="E955" s="6">
        <v>44005</v>
      </c>
      <c r="F955" s="7">
        <v>100</v>
      </c>
      <c r="G955" s="7">
        <v>2.67</v>
      </c>
    </row>
    <row r="956" spans="1:7">
      <c r="A956" s="4" t="s">
        <v>49</v>
      </c>
      <c r="B956" s="4" t="s">
        <v>451</v>
      </c>
      <c r="C956" s="4" t="s">
        <v>3133</v>
      </c>
      <c r="D956" s="4" t="s">
        <v>784</v>
      </c>
      <c r="E956" s="6">
        <v>44005</v>
      </c>
      <c r="F956" s="7">
        <v>1</v>
      </c>
      <c r="G956" s="7">
        <v>0</v>
      </c>
    </row>
    <row r="957" spans="1:7">
      <c r="A957" s="4" t="s">
        <v>120</v>
      </c>
      <c r="B957" s="4" t="s">
        <v>472</v>
      </c>
      <c r="C957" s="4" t="s">
        <v>3134</v>
      </c>
      <c r="D957" s="4" t="s">
        <v>1090</v>
      </c>
      <c r="E957" s="6">
        <v>44014</v>
      </c>
      <c r="F957" s="7">
        <v>1000</v>
      </c>
      <c r="G957" s="7">
        <v>0.78</v>
      </c>
    </row>
    <row r="958" spans="1:7">
      <c r="A958" s="4" t="s">
        <v>120</v>
      </c>
      <c r="B958" s="4" t="s">
        <v>472</v>
      </c>
      <c r="C958" s="4" t="s">
        <v>3134</v>
      </c>
      <c r="D958" s="4" t="s">
        <v>840</v>
      </c>
      <c r="E958" s="6">
        <v>44014</v>
      </c>
      <c r="F958" s="7">
        <v>1</v>
      </c>
      <c r="G958" s="7">
        <v>100</v>
      </c>
    </row>
    <row r="959" spans="1:7">
      <c r="A959" s="4" t="s">
        <v>120</v>
      </c>
      <c r="B959" s="4" t="s">
        <v>472</v>
      </c>
      <c r="C959" s="4" t="s">
        <v>3134</v>
      </c>
      <c r="D959" s="4" t="s">
        <v>784</v>
      </c>
      <c r="E959" s="6">
        <v>44014</v>
      </c>
      <c r="F959" s="7">
        <v>1</v>
      </c>
      <c r="G959" s="7">
        <v>0</v>
      </c>
    </row>
    <row r="960" spans="1:7">
      <c r="A960" s="4" t="s">
        <v>455</v>
      </c>
      <c r="B960" s="4" t="s">
        <v>456</v>
      </c>
      <c r="C960" s="4" t="s">
        <v>3135</v>
      </c>
      <c r="D960" s="4" t="s">
        <v>2010</v>
      </c>
      <c r="E960" s="6">
        <v>44005</v>
      </c>
      <c r="F960" s="7">
        <v>20</v>
      </c>
      <c r="G960" s="7">
        <v>21.5</v>
      </c>
    </row>
    <row r="961" spans="1:7">
      <c r="A961" s="4" t="s">
        <v>455</v>
      </c>
      <c r="B961" s="4" t="s">
        <v>456</v>
      </c>
      <c r="C961" s="4" t="s">
        <v>3135</v>
      </c>
      <c r="D961" s="4" t="s">
        <v>2010</v>
      </c>
      <c r="E961" s="6">
        <v>44005</v>
      </c>
      <c r="F961" s="7">
        <v>30</v>
      </c>
      <c r="G961" s="7">
        <v>16.5</v>
      </c>
    </row>
    <row r="962" spans="1:7">
      <c r="A962" s="4" t="s">
        <v>455</v>
      </c>
      <c r="B962" s="4" t="s">
        <v>456</v>
      </c>
      <c r="C962" s="4" t="s">
        <v>3135</v>
      </c>
      <c r="D962" s="4" t="s">
        <v>2010</v>
      </c>
      <c r="E962" s="6">
        <v>44005</v>
      </c>
      <c r="F962" s="7">
        <v>30</v>
      </c>
      <c r="G962" s="7">
        <v>22.3</v>
      </c>
    </row>
    <row r="963" spans="1:7">
      <c r="A963" s="4" t="s">
        <v>455</v>
      </c>
      <c r="B963" s="4" t="s">
        <v>456</v>
      </c>
      <c r="C963" s="4" t="s">
        <v>3135</v>
      </c>
      <c r="D963" s="4" t="s">
        <v>784</v>
      </c>
      <c r="E963" s="6">
        <v>44005</v>
      </c>
      <c r="F963" s="7">
        <v>1</v>
      </c>
      <c r="G963" s="7">
        <v>0</v>
      </c>
    </row>
    <row r="964" spans="1:7">
      <c r="A964" s="4" t="s">
        <v>46</v>
      </c>
      <c r="B964" s="4" t="s">
        <v>453</v>
      </c>
      <c r="C964" s="4" t="s">
        <v>3136</v>
      </c>
      <c r="D964" s="4" t="s">
        <v>1044</v>
      </c>
      <c r="E964" s="6">
        <v>44005</v>
      </c>
      <c r="F964" s="7">
        <v>50</v>
      </c>
      <c r="G964" s="7">
        <v>7.05</v>
      </c>
    </row>
    <row r="965" spans="1:7">
      <c r="A965" s="4" t="s">
        <v>46</v>
      </c>
      <c r="B965" s="4" t="s">
        <v>453</v>
      </c>
      <c r="C965" s="4" t="s">
        <v>3136</v>
      </c>
      <c r="D965" s="4" t="s">
        <v>1655</v>
      </c>
      <c r="E965" s="6">
        <v>44005</v>
      </c>
      <c r="F965" s="7">
        <v>50</v>
      </c>
      <c r="G965" s="7">
        <v>1.6800000000000002</v>
      </c>
    </row>
    <row r="966" spans="1:7">
      <c r="A966" s="4" t="s">
        <v>46</v>
      </c>
      <c r="B966" s="4" t="s">
        <v>453</v>
      </c>
      <c r="C966" s="4" t="s">
        <v>3136</v>
      </c>
      <c r="D966" s="4" t="s">
        <v>1146</v>
      </c>
      <c r="E966" s="6">
        <v>44005</v>
      </c>
      <c r="F966" s="7">
        <v>50</v>
      </c>
      <c r="G966" s="7">
        <v>1.3900000000000001</v>
      </c>
    </row>
    <row r="967" spans="1:7">
      <c r="A967" s="4" t="s">
        <v>46</v>
      </c>
      <c r="B967" s="4" t="s">
        <v>453</v>
      </c>
      <c r="C967" s="4" t="s">
        <v>3136</v>
      </c>
      <c r="D967" s="4" t="s">
        <v>860</v>
      </c>
      <c r="E967" s="6">
        <v>44005</v>
      </c>
      <c r="F967" s="7">
        <v>50</v>
      </c>
      <c r="G967" s="7">
        <v>4.51</v>
      </c>
    </row>
    <row r="968" spans="1:7">
      <c r="A968" s="4" t="s">
        <v>46</v>
      </c>
      <c r="B968" s="4" t="s">
        <v>453</v>
      </c>
      <c r="C968" s="4" t="s">
        <v>3136</v>
      </c>
      <c r="D968" s="4" t="s">
        <v>976</v>
      </c>
      <c r="E968" s="6">
        <v>44005</v>
      </c>
      <c r="F968" s="7">
        <v>50</v>
      </c>
      <c r="G968" s="7">
        <v>1.1499999999999999</v>
      </c>
    </row>
    <row r="969" spans="1:7">
      <c r="A969" s="4" t="s">
        <v>46</v>
      </c>
      <c r="B969" s="4" t="s">
        <v>453</v>
      </c>
      <c r="C969" s="4" t="s">
        <v>3136</v>
      </c>
      <c r="D969" s="4" t="s">
        <v>949</v>
      </c>
      <c r="E969" s="6">
        <v>44005</v>
      </c>
      <c r="F969" s="7">
        <v>25</v>
      </c>
      <c r="G969" s="7">
        <v>0.61</v>
      </c>
    </row>
    <row r="970" spans="1:7">
      <c r="A970" s="4" t="s">
        <v>46</v>
      </c>
      <c r="B970" s="4" t="s">
        <v>453</v>
      </c>
      <c r="C970" s="4" t="s">
        <v>3136</v>
      </c>
      <c r="D970" s="4" t="s">
        <v>873</v>
      </c>
      <c r="E970" s="6">
        <v>44005</v>
      </c>
      <c r="F970" s="7">
        <v>50</v>
      </c>
      <c r="G970" s="7">
        <v>0.52</v>
      </c>
    </row>
    <row r="971" spans="1:7">
      <c r="A971" s="4" t="s">
        <v>46</v>
      </c>
      <c r="B971" s="4" t="s">
        <v>453</v>
      </c>
      <c r="C971" s="4" t="s">
        <v>3136</v>
      </c>
      <c r="D971" s="4" t="s">
        <v>1168</v>
      </c>
      <c r="E971" s="6">
        <v>44005</v>
      </c>
      <c r="F971" s="7">
        <v>50</v>
      </c>
      <c r="G971" s="7">
        <v>1.04</v>
      </c>
    </row>
    <row r="972" spans="1:7">
      <c r="A972" s="4" t="s">
        <v>46</v>
      </c>
      <c r="B972" s="4" t="s">
        <v>453</v>
      </c>
      <c r="C972" s="4" t="s">
        <v>3136</v>
      </c>
      <c r="D972" s="4" t="s">
        <v>940</v>
      </c>
      <c r="E972" s="6">
        <v>44005</v>
      </c>
      <c r="F972" s="7">
        <v>50</v>
      </c>
      <c r="G972" s="7">
        <v>1.06</v>
      </c>
    </row>
    <row r="973" spans="1:7">
      <c r="A973" s="4" t="s">
        <v>46</v>
      </c>
      <c r="B973" s="4" t="s">
        <v>453</v>
      </c>
      <c r="C973" s="4" t="s">
        <v>3136</v>
      </c>
      <c r="D973" s="4" t="s">
        <v>952</v>
      </c>
      <c r="E973" s="6">
        <v>44005</v>
      </c>
      <c r="F973" s="7">
        <v>50</v>
      </c>
      <c r="G973" s="7">
        <v>0.75</v>
      </c>
    </row>
    <row r="974" spans="1:7">
      <c r="A974" s="4" t="s">
        <v>46</v>
      </c>
      <c r="B974" s="4" t="s">
        <v>453</v>
      </c>
      <c r="C974" s="4" t="s">
        <v>3136</v>
      </c>
      <c r="D974" s="4" t="s">
        <v>987</v>
      </c>
      <c r="E974" s="6">
        <v>44005</v>
      </c>
      <c r="F974" s="7">
        <v>50</v>
      </c>
      <c r="G974" s="7">
        <v>0.98</v>
      </c>
    </row>
    <row r="975" spans="1:7">
      <c r="A975" s="4" t="s">
        <v>46</v>
      </c>
      <c r="B975" s="4" t="s">
        <v>453</v>
      </c>
      <c r="C975" s="4" t="s">
        <v>3136</v>
      </c>
      <c r="D975" s="4" t="s">
        <v>784</v>
      </c>
      <c r="E975" s="6">
        <v>44005</v>
      </c>
      <c r="F975" s="7">
        <v>1</v>
      </c>
      <c r="G975" s="7">
        <v>0</v>
      </c>
    </row>
    <row r="976" spans="1:7">
      <c r="A976" s="4" t="s">
        <v>440</v>
      </c>
      <c r="B976" s="4" t="s">
        <v>445</v>
      </c>
      <c r="C976" s="4" t="s">
        <v>3137</v>
      </c>
      <c r="D976" s="4" t="s">
        <v>840</v>
      </c>
      <c r="E976" s="6">
        <v>44000</v>
      </c>
      <c r="F976" s="7">
        <v>1</v>
      </c>
      <c r="G976" s="7">
        <v>2950</v>
      </c>
    </row>
    <row r="977" spans="1:7">
      <c r="A977" s="4" t="s">
        <v>440</v>
      </c>
      <c r="B977" s="4" t="s">
        <v>443</v>
      </c>
      <c r="C977" s="4" t="s">
        <v>3138</v>
      </c>
      <c r="D977" s="4" t="s">
        <v>840</v>
      </c>
      <c r="E977" s="6">
        <v>44000</v>
      </c>
      <c r="F977" s="7">
        <v>1</v>
      </c>
      <c r="G977" s="7">
        <v>2950</v>
      </c>
    </row>
    <row r="978" spans="1:7">
      <c r="A978" s="4" t="s">
        <v>32</v>
      </c>
      <c r="B978" s="4" t="s">
        <v>458</v>
      </c>
      <c r="C978" s="4" t="s">
        <v>3139</v>
      </c>
      <c r="D978" s="4" t="s">
        <v>1129</v>
      </c>
      <c r="E978" s="6">
        <v>44006</v>
      </c>
      <c r="F978" s="7">
        <v>100</v>
      </c>
      <c r="G978" s="7">
        <v>0.31</v>
      </c>
    </row>
    <row r="979" spans="1:7">
      <c r="A979" s="4" t="s">
        <v>32</v>
      </c>
      <c r="B979" s="4" t="s">
        <v>458</v>
      </c>
      <c r="C979" s="4" t="s">
        <v>3139</v>
      </c>
      <c r="D979" s="4" t="s">
        <v>1133</v>
      </c>
      <c r="E979" s="6">
        <v>44006</v>
      </c>
      <c r="F979" s="7">
        <v>100</v>
      </c>
      <c r="G979" s="7">
        <v>0.23</v>
      </c>
    </row>
    <row r="980" spans="1:7">
      <c r="A980" s="4" t="s">
        <v>32</v>
      </c>
      <c r="B980" s="4" t="s">
        <v>458</v>
      </c>
      <c r="C980" s="4" t="s">
        <v>3139</v>
      </c>
      <c r="D980" s="4" t="s">
        <v>1139</v>
      </c>
      <c r="E980" s="6">
        <v>44006</v>
      </c>
      <c r="F980" s="7">
        <v>100</v>
      </c>
      <c r="G980" s="7">
        <v>0.87</v>
      </c>
    </row>
    <row r="981" spans="1:7">
      <c r="A981" s="4" t="s">
        <v>32</v>
      </c>
      <c r="B981" s="4" t="s">
        <v>458</v>
      </c>
      <c r="C981" s="4" t="s">
        <v>3139</v>
      </c>
      <c r="D981" s="4" t="s">
        <v>1795</v>
      </c>
      <c r="E981" s="6">
        <v>44006</v>
      </c>
      <c r="F981" s="7">
        <v>60</v>
      </c>
      <c r="G981" s="7">
        <v>1.4</v>
      </c>
    </row>
    <row r="982" spans="1:7">
      <c r="A982" s="4" t="s">
        <v>32</v>
      </c>
      <c r="B982" s="4" t="s">
        <v>458</v>
      </c>
      <c r="C982" s="4" t="s">
        <v>3139</v>
      </c>
      <c r="D982" s="4" t="s">
        <v>889</v>
      </c>
      <c r="E982" s="6">
        <v>44006</v>
      </c>
      <c r="F982" s="7">
        <v>40</v>
      </c>
      <c r="G982" s="7">
        <v>0.72</v>
      </c>
    </row>
    <row r="983" spans="1:7">
      <c r="A983" s="4" t="s">
        <v>32</v>
      </c>
      <c r="B983" s="4" t="s">
        <v>458</v>
      </c>
      <c r="C983" s="4" t="s">
        <v>3139</v>
      </c>
      <c r="D983" s="4" t="s">
        <v>1088</v>
      </c>
      <c r="E983" s="6">
        <v>44006</v>
      </c>
      <c r="F983" s="7">
        <v>100</v>
      </c>
      <c r="G983" s="7">
        <v>0.43</v>
      </c>
    </row>
    <row r="984" spans="1:7">
      <c r="A984" s="4" t="s">
        <v>32</v>
      </c>
      <c r="B984" s="4" t="s">
        <v>458</v>
      </c>
      <c r="C984" s="4" t="s">
        <v>3139</v>
      </c>
      <c r="D984" s="4" t="s">
        <v>1026</v>
      </c>
      <c r="E984" s="6">
        <v>44006</v>
      </c>
      <c r="F984" s="7">
        <v>50</v>
      </c>
      <c r="G984" s="7">
        <v>0.72</v>
      </c>
    </row>
    <row r="985" spans="1:7">
      <c r="A985" s="4" t="s">
        <v>32</v>
      </c>
      <c r="B985" s="4" t="s">
        <v>458</v>
      </c>
      <c r="C985" s="4" t="s">
        <v>3139</v>
      </c>
      <c r="D985" s="4" t="s">
        <v>1600</v>
      </c>
      <c r="E985" s="6">
        <v>44006</v>
      </c>
      <c r="F985" s="7">
        <v>100</v>
      </c>
      <c r="G985" s="7">
        <v>0.89</v>
      </c>
    </row>
    <row r="986" spans="1:7">
      <c r="A986" s="4" t="s">
        <v>32</v>
      </c>
      <c r="B986" s="4" t="s">
        <v>458</v>
      </c>
      <c r="C986" s="4" t="s">
        <v>3139</v>
      </c>
      <c r="D986" s="4" t="s">
        <v>851</v>
      </c>
      <c r="E986" s="6">
        <v>44006</v>
      </c>
      <c r="F986" s="7">
        <v>100</v>
      </c>
      <c r="G986" s="7">
        <v>1.78</v>
      </c>
    </row>
    <row r="987" spans="1:7">
      <c r="A987" s="4" t="s">
        <v>32</v>
      </c>
      <c r="B987" s="4" t="s">
        <v>458</v>
      </c>
      <c r="C987" s="4" t="s">
        <v>3139</v>
      </c>
      <c r="D987" s="4" t="s">
        <v>1149</v>
      </c>
      <c r="E987" s="6">
        <v>44006</v>
      </c>
      <c r="F987" s="7">
        <v>50</v>
      </c>
      <c r="G987" s="7">
        <v>0.95</v>
      </c>
    </row>
    <row r="988" spans="1:7">
      <c r="A988" s="4" t="s">
        <v>32</v>
      </c>
      <c r="B988" s="4" t="s">
        <v>458</v>
      </c>
      <c r="C988" s="4" t="s">
        <v>3139</v>
      </c>
      <c r="D988" s="4" t="s">
        <v>2040</v>
      </c>
      <c r="E988" s="6">
        <v>44006</v>
      </c>
      <c r="F988" s="7">
        <v>20</v>
      </c>
      <c r="G988" s="7">
        <v>1.9</v>
      </c>
    </row>
    <row r="989" spans="1:7">
      <c r="A989" s="4" t="s">
        <v>32</v>
      </c>
      <c r="B989" s="4" t="s">
        <v>458</v>
      </c>
      <c r="C989" s="4" t="s">
        <v>3139</v>
      </c>
      <c r="D989" s="4" t="s">
        <v>1151</v>
      </c>
      <c r="E989" s="6">
        <v>44006</v>
      </c>
      <c r="F989" s="7">
        <v>50</v>
      </c>
      <c r="G989" s="7">
        <v>1.19</v>
      </c>
    </row>
    <row r="990" spans="1:7">
      <c r="A990" s="4" t="s">
        <v>32</v>
      </c>
      <c r="B990" s="4" t="s">
        <v>458</v>
      </c>
      <c r="C990" s="4" t="s">
        <v>3139</v>
      </c>
      <c r="D990" s="4" t="s">
        <v>853</v>
      </c>
      <c r="E990" s="6">
        <v>44006</v>
      </c>
      <c r="F990" s="7">
        <v>25</v>
      </c>
      <c r="G990" s="7">
        <v>2.38</v>
      </c>
    </row>
    <row r="991" spans="1:7">
      <c r="A991" s="4" t="s">
        <v>32</v>
      </c>
      <c r="B991" s="4" t="s">
        <v>458</v>
      </c>
      <c r="C991" s="4" t="s">
        <v>3139</v>
      </c>
      <c r="D991" s="4" t="s">
        <v>784</v>
      </c>
      <c r="E991" s="6">
        <v>44006</v>
      </c>
      <c r="F991" s="7">
        <v>1</v>
      </c>
      <c r="G991" s="7">
        <v>0</v>
      </c>
    </row>
    <row r="992" spans="1:7">
      <c r="A992" s="4" t="s">
        <v>12</v>
      </c>
      <c r="B992" s="4" t="s">
        <v>460</v>
      </c>
      <c r="C992" s="4" t="s">
        <v>3140</v>
      </c>
      <c r="D992" s="4" t="s">
        <v>1086</v>
      </c>
      <c r="E992" s="6">
        <v>44006</v>
      </c>
      <c r="F992" s="7">
        <v>50</v>
      </c>
      <c r="G992" s="7">
        <v>1.3800000000000001</v>
      </c>
    </row>
    <row r="993" spans="1:7">
      <c r="A993" s="4" t="s">
        <v>12</v>
      </c>
      <c r="B993" s="4" t="s">
        <v>460</v>
      </c>
      <c r="C993" s="4" t="s">
        <v>3140</v>
      </c>
      <c r="D993" s="4" t="s">
        <v>784</v>
      </c>
      <c r="E993" s="6">
        <v>44006</v>
      </c>
      <c r="F993" s="7">
        <v>1</v>
      </c>
      <c r="G993" s="7">
        <v>0</v>
      </c>
    </row>
    <row r="994" spans="1:7">
      <c r="A994" s="4" t="s">
        <v>514</v>
      </c>
      <c r="B994" s="4" t="s">
        <v>515</v>
      </c>
      <c r="C994" s="4" t="s">
        <v>3141</v>
      </c>
      <c r="D994" s="4" t="s">
        <v>2048</v>
      </c>
      <c r="E994" s="6">
        <v>44026</v>
      </c>
      <c r="F994" s="7">
        <v>200</v>
      </c>
      <c r="G994" s="7">
        <v>2.2800000000000002</v>
      </c>
    </row>
    <row r="995" spans="1:7">
      <c r="A995" s="4" t="s">
        <v>514</v>
      </c>
      <c r="B995" s="4" t="s">
        <v>515</v>
      </c>
      <c r="C995" s="4" t="s">
        <v>3141</v>
      </c>
      <c r="D995" s="4" t="s">
        <v>784</v>
      </c>
      <c r="E995" s="6">
        <v>44026</v>
      </c>
      <c r="F995" s="7">
        <v>1</v>
      </c>
      <c r="G995" s="7">
        <v>0</v>
      </c>
    </row>
    <row r="996" spans="1:7">
      <c r="A996" s="4" t="s">
        <v>462</v>
      </c>
      <c r="B996" s="4" t="s">
        <v>463</v>
      </c>
      <c r="C996" s="4" t="s">
        <v>3142</v>
      </c>
      <c r="D996" s="4" t="s">
        <v>916</v>
      </c>
      <c r="E996" s="6">
        <v>44008</v>
      </c>
      <c r="F996" s="7">
        <v>50</v>
      </c>
      <c r="G996" s="7">
        <v>1.6</v>
      </c>
    </row>
    <row r="997" spans="1:7">
      <c r="A997" s="4" t="s">
        <v>462</v>
      </c>
      <c r="B997" s="4" t="s">
        <v>463</v>
      </c>
      <c r="C997" s="4" t="s">
        <v>3142</v>
      </c>
      <c r="D997" s="4" t="s">
        <v>784</v>
      </c>
      <c r="E997" s="6">
        <v>44008</v>
      </c>
      <c r="F997" s="7">
        <v>1</v>
      </c>
      <c r="G997" s="7">
        <v>18</v>
      </c>
    </row>
    <row r="998" spans="1:7">
      <c r="A998" s="4" t="s">
        <v>467</v>
      </c>
      <c r="B998" s="4" t="s">
        <v>468</v>
      </c>
      <c r="C998" s="4" t="s">
        <v>3143</v>
      </c>
      <c r="D998" s="4" t="s">
        <v>2053</v>
      </c>
      <c r="E998" s="6">
        <v>44013</v>
      </c>
      <c r="F998" s="7">
        <v>15</v>
      </c>
      <c r="G998" s="7">
        <v>34.200000000000003</v>
      </c>
    </row>
    <row r="999" spans="1:7">
      <c r="A999" s="4" t="s">
        <v>467</v>
      </c>
      <c r="B999" s="4" t="s">
        <v>468</v>
      </c>
      <c r="C999" s="4" t="s">
        <v>3143</v>
      </c>
      <c r="D999" s="4" t="s">
        <v>2053</v>
      </c>
      <c r="E999" s="6">
        <v>44013</v>
      </c>
      <c r="F999" s="7">
        <v>6</v>
      </c>
      <c r="G999" s="7">
        <v>21.38</v>
      </c>
    </row>
    <row r="1000" spans="1:7">
      <c r="A1000" s="4" t="s">
        <v>467</v>
      </c>
      <c r="B1000" s="4" t="s">
        <v>468</v>
      </c>
      <c r="C1000" s="4" t="s">
        <v>3143</v>
      </c>
      <c r="D1000" s="4" t="s">
        <v>1364</v>
      </c>
      <c r="E1000" s="6">
        <v>44013</v>
      </c>
      <c r="F1000" s="7">
        <v>20</v>
      </c>
      <c r="G1000" s="7">
        <v>8.6999999999999993</v>
      </c>
    </row>
    <row r="1001" spans="1:7">
      <c r="A1001" s="4" t="s">
        <v>467</v>
      </c>
      <c r="B1001" s="4" t="s">
        <v>468</v>
      </c>
      <c r="C1001" s="4" t="s">
        <v>3143</v>
      </c>
      <c r="D1001" s="4" t="s">
        <v>826</v>
      </c>
      <c r="E1001" s="6">
        <v>44013</v>
      </c>
      <c r="F1001" s="7">
        <v>4</v>
      </c>
      <c r="G1001" s="7">
        <v>23.41</v>
      </c>
    </row>
    <row r="1002" spans="1:7">
      <c r="A1002" s="4" t="s">
        <v>467</v>
      </c>
      <c r="B1002" s="4" t="s">
        <v>468</v>
      </c>
      <c r="C1002" s="4" t="s">
        <v>3143</v>
      </c>
      <c r="D1002" s="4" t="s">
        <v>826</v>
      </c>
      <c r="E1002" s="6">
        <v>44013</v>
      </c>
      <c r="F1002" s="7">
        <v>3</v>
      </c>
      <c r="G1002" s="7">
        <v>16.72</v>
      </c>
    </row>
    <row r="1003" spans="1:7">
      <c r="A1003" s="4" t="s">
        <v>467</v>
      </c>
      <c r="B1003" s="4" t="s">
        <v>468</v>
      </c>
      <c r="C1003" s="4" t="s">
        <v>3143</v>
      </c>
      <c r="D1003" s="4" t="s">
        <v>784</v>
      </c>
      <c r="E1003" s="6">
        <v>44013</v>
      </c>
      <c r="F1003" s="7">
        <v>1</v>
      </c>
      <c r="G1003" s="7">
        <v>0</v>
      </c>
    </row>
    <row r="1004" spans="1:7">
      <c r="A1004" s="4" t="s">
        <v>12</v>
      </c>
      <c r="B1004" s="4" t="s">
        <v>559</v>
      </c>
      <c r="C1004" s="4" t="s">
        <v>3144</v>
      </c>
      <c r="D1004" s="4" t="s">
        <v>803</v>
      </c>
      <c r="E1004" s="6">
        <v>44048</v>
      </c>
      <c r="F1004" s="7">
        <v>1000</v>
      </c>
      <c r="G1004" s="7">
        <v>1.06</v>
      </c>
    </row>
    <row r="1005" spans="1:7">
      <c r="A1005" s="4" t="s">
        <v>12</v>
      </c>
      <c r="B1005" s="4" t="s">
        <v>559</v>
      </c>
      <c r="C1005" s="4" t="s">
        <v>3144</v>
      </c>
      <c r="D1005" s="4" t="s">
        <v>786</v>
      </c>
      <c r="E1005" s="6">
        <v>44048</v>
      </c>
      <c r="F1005" s="7">
        <v>1700</v>
      </c>
      <c r="G1005" s="7">
        <v>0.74</v>
      </c>
    </row>
    <row r="1006" spans="1:7">
      <c r="A1006" s="4" t="s">
        <v>12</v>
      </c>
      <c r="B1006" s="4" t="s">
        <v>559</v>
      </c>
      <c r="C1006" s="4" t="s">
        <v>3144</v>
      </c>
      <c r="D1006" s="4" t="s">
        <v>801</v>
      </c>
      <c r="E1006" s="6">
        <v>44048</v>
      </c>
      <c r="F1006" s="7">
        <v>750</v>
      </c>
      <c r="G1006" s="7">
        <v>0.95</v>
      </c>
    </row>
    <row r="1007" spans="1:7">
      <c r="A1007" s="4" t="s">
        <v>12</v>
      </c>
      <c r="B1007" s="4" t="s">
        <v>559</v>
      </c>
      <c r="C1007" s="4" t="s">
        <v>3144</v>
      </c>
      <c r="D1007" s="4" t="s">
        <v>799</v>
      </c>
      <c r="E1007" s="6">
        <v>44048</v>
      </c>
      <c r="F1007" s="7">
        <v>750</v>
      </c>
      <c r="G1007" s="7">
        <v>0.85</v>
      </c>
    </row>
    <row r="1008" spans="1:7">
      <c r="A1008" s="4" t="s">
        <v>12</v>
      </c>
      <c r="B1008" s="4" t="s">
        <v>559</v>
      </c>
      <c r="C1008" s="4" t="s">
        <v>3144</v>
      </c>
      <c r="D1008" s="4" t="s">
        <v>784</v>
      </c>
      <c r="E1008" s="6">
        <v>44048</v>
      </c>
      <c r="F1008" s="7">
        <v>1</v>
      </c>
      <c r="G1008" s="7">
        <v>0</v>
      </c>
    </row>
    <row r="1009" spans="1:7">
      <c r="A1009" s="4" t="s">
        <v>12</v>
      </c>
      <c r="B1009" s="4" t="s">
        <v>596</v>
      </c>
      <c r="C1009" s="4" t="s">
        <v>3145</v>
      </c>
      <c r="D1009" s="4" t="s">
        <v>786</v>
      </c>
      <c r="E1009" s="6">
        <v>44063</v>
      </c>
      <c r="F1009" s="7">
        <v>1700</v>
      </c>
      <c r="G1009" s="7">
        <v>0.74</v>
      </c>
    </row>
    <row r="1010" spans="1:7">
      <c r="A1010" s="4" t="s">
        <v>12</v>
      </c>
      <c r="B1010" s="4" t="s">
        <v>596</v>
      </c>
      <c r="C1010" s="4" t="s">
        <v>3145</v>
      </c>
      <c r="D1010" s="4" t="s">
        <v>801</v>
      </c>
      <c r="E1010" s="6">
        <v>44063</v>
      </c>
      <c r="F1010" s="7">
        <v>750</v>
      </c>
      <c r="G1010" s="7">
        <v>0.95</v>
      </c>
    </row>
    <row r="1011" spans="1:7">
      <c r="A1011" s="4" t="s">
        <v>12</v>
      </c>
      <c r="B1011" s="4" t="s">
        <v>596</v>
      </c>
      <c r="C1011" s="4" t="s">
        <v>3145</v>
      </c>
      <c r="D1011" s="4" t="s">
        <v>799</v>
      </c>
      <c r="E1011" s="6">
        <v>44063</v>
      </c>
      <c r="F1011" s="7">
        <v>750</v>
      </c>
      <c r="G1011" s="7">
        <v>0.85</v>
      </c>
    </row>
    <row r="1012" spans="1:7">
      <c r="A1012" s="4" t="s">
        <v>12</v>
      </c>
      <c r="B1012" s="4" t="s">
        <v>596</v>
      </c>
      <c r="C1012" s="4" t="s">
        <v>3145</v>
      </c>
      <c r="D1012" s="4" t="s">
        <v>784</v>
      </c>
      <c r="E1012" s="6">
        <v>44063</v>
      </c>
      <c r="F1012" s="7">
        <v>1</v>
      </c>
      <c r="G1012" s="7">
        <v>0</v>
      </c>
    </row>
    <row r="1013" spans="1:7">
      <c r="A1013" s="4" t="s">
        <v>59</v>
      </c>
      <c r="B1013" s="4" t="s">
        <v>470</v>
      </c>
      <c r="C1013" s="4" t="s">
        <v>3146</v>
      </c>
      <c r="D1013" s="4" t="s">
        <v>1005</v>
      </c>
      <c r="E1013" s="6">
        <v>44013</v>
      </c>
      <c r="F1013" s="7">
        <v>10</v>
      </c>
      <c r="G1013" s="7">
        <v>1.65</v>
      </c>
    </row>
    <row r="1014" spans="1:7">
      <c r="A1014" s="4" t="s">
        <v>59</v>
      </c>
      <c r="B1014" s="4" t="s">
        <v>470</v>
      </c>
      <c r="C1014" s="4" t="s">
        <v>3146</v>
      </c>
      <c r="D1014" s="4" t="s">
        <v>883</v>
      </c>
      <c r="E1014" s="6">
        <v>44013</v>
      </c>
      <c r="F1014" s="7">
        <v>10</v>
      </c>
      <c r="G1014" s="7">
        <v>1.8199999999999998</v>
      </c>
    </row>
    <row r="1015" spans="1:7">
      <c r="A1015" s="4" t="s">
        <v>59</v>
      </c>
      <c r="B1015" s="4" t="s">
        <v>470</v>
      </c>
      <c r="C1015" s="4" t="s">
        <v>3146</v>
      </c>
      <c r="D1015" s="4" t="s">
        <v>1341</v>
      </c>
      <c r="E1015" s="6">
        <v>44013</v>
      </c>
      <c r="F1015" s="7">
        <v>3000</v>
      </c>
      <c r="G1015" s="7">
        <v>0.1</v>
      </c>
    </row>
    <row r="1016" spans="1:7">
      <c r="A1016" s="4" t="s">
        <v>59</v>
      </c>
      <c r="B1016" s="4" t="s">
        <v>470</v>
      </c>
      <c r="C1016" s="4" t="s">
        <v>3146</v>
      </c>
      <c r="D1016" s="4" t="s">
        <v>1339</v>
      </c>
      <c r="E1016" s="6">
        <v>44013</v>
      </c>
      <c r="F1016" s="7">
        <v>2000</v>
      </c>
      <c r="G1016" s="7">
        <v>0.1</v>
      </c>
    </row>
    <row r="1017" spans="1:7">
      <c r="A1017" s="4" t="s">
        <v>59</v>
      </c>
      <c r="B1017" s="4" t="s">
        <v>470</v>
      </c>
      <c r="C1017" s="4" t="s">
        <v>3146</v>
      </c>
      <c r="D1017" s="4" t="s">
        <v>1349</v>
      </c>
      <c r="E1017" s="6">
        <v>44013</v>
      </c>
      <c r="F1017" s="7">
        <v>5000</v>
      </c>
      <c r="G1017" s="7">
        <v>0.1</v>
      </c>
    </row>
    <row r="1018" spans="1:7">
      <c r="A1018" s="4" t="s">
        <v>59</v>
      </c>
      <c r="B1018" s="4" t="s">
        <v>470</v>
      </c>
      <c r="C1018" s="4" t="s">
        <v>3146</v>
      </c>
      <c r="D1018" s="4" t="s">
        <v>1351</v>
      </c>
      <c r="E1018" s="6">
        <v>44013</v>
      </c>
      <c r="F1018" s="7">
        <v>1000</v>
      </c>
      <c r="G1018" s="7">
        <v>0.1</v>
      </c>
    </row>
    <row r="1019" spans="1:7">
      <c r="A1019" s="4" t="s">
        <v>59</v>
      </c>
      <c r="B1019" s="4" t="s">
        <v>470</v>
      </c>
      <c r="C1019" s="4" t="s">
        <v>3146</v>
      </c>
      <c r="D1019" s="4" t="s">
        <v>784</v>
      </c>
      <c r="E1019" s="6">
        <v>44013</v>
      </c>
      <c r="F1019" s="7">
        <v>1</v>
      </c>
      <c r="G1019" s="7">
        <v>0</v>
      </c>
    </row>
    <row r="1020" spans="1:7">
      <c r="A1020" s="4" t="s">
        <v>49</v>
      </c>
      <c r="B1020" s="4" t="s">
        <v>495</v>
      </c>
      <c r="C1020" s="4" t="s">
        <v>3147</v>
      </c>
      <c r="D1020" s="4" t="s">
        <v>2076</v>
      </c>
      <c r="E1020" s="6">
        <v>44021</v>
      </c>
      <c r="F1020" s="7">
        <v>100</v>
      </c>
      <c r="G1020" s="7">
        <v>3.8</v>
      </c>
    </row>
    <row r="1021" spans="1:7">
      <c r="A1021" s="4" t="s">
        <v>49</v>
      </c>
      <c r="B1021" s="4" t="s">
        <v>495</v>
      </c>
      <c r="C1021" s="4" t="s">
        <v>3147</v>
      </c>
      <c r="D1021" s="4" t="s">
        <v>784</v>
      </c>
      <c r="E1021" s="6">
        <v>44021</v>
      </c>
      <c r="F1021" s="7">
        <v>1</v>
      </c>
      <c r="G1021" s="7">
        <v>0</v>
      </c>
    </row>
    <row r="1022" spans="1:7">
      <c r="A1022" s="4" t="s">
        <v>535</v>
      </c>
      <c r="B1022" s="4" t="s">
        <v>536</v>
      </c>
      <c r="C1022" s="4" t="s">
        <v>3148</v>
      </c>
      <c r="D1022" s="4" t="s">
        <v>2079</v>
      </c>
      <c r="E1022" s="6">
        <v>44035</v>
      </c>
      <c r="F1022" s="7">
        <v>2770</v>
      </c>
      <c r="G1022" s="7">
        <v>0.61</v>
      </c>
    </row>
    <row r="1023" spans="1:7">
      <c r="A1023" s="4" t="s">
        <v>535</v>
      </c>
      <c r="B1023" s="4" t="s">
        <v>536</v>
      </c>
      <c r="C1023" s="4" t="s">
        <v>3148</v>
      </c>
      <c r="D1023" s="4" t="s">
        <v>784</v>
      </c>
      <c r="E1023" s="6">
        <v>44035</v>
      </c>
      <c r="F1023" s="7">
        <v>1</v>
      </c>
      <c r="G1023" s="7">
        <v>0</v>
      </c>
    </row>
    <row r="1024" spans="1:7">
      <c r="A1024" s="4" t="s">
        <v>56</v>
      </c>
      <c r="B1024" s="4" t="s">
        <v>490</v>
      </c>
      <c r="C1024" s="4" t="s">
        <v>3149</v>
      </c>
      <c r="D1024" s="4" t="s">
        <v>1005</v>
      </c>
      <c r="E1024" s="6">
        <v>44019</v>
      </c>
      <c r="F1024" s="7">
        <v>50</v>
      </c>
      <c r="G1024" s="7">
        <v>1.3199999999999998</v>
      </c>
    </row>
    <row r="1025" spans="1:7">
      <c r="A1025" s="4" t="s">
        <v>56</v>
      </c>
      <c r="B1025" s="4" t="s">
        <v>490</v>
      </c>
      <c r="C1025" s="4" t="s">
        <v>3149</v>
      </c>
      <c r="D1025" s="4" t="s">
        <v>1026</v>
      </c>
      <c r="E1025" s="6">
        <v>44019</v>
      </c>
      <c r="F1025" s="7">
        <v>100</v>
      </c>
      <c r="G1025" s="7">
        <v>0.9</v>
      </c>
    </row>
    <row r="1026" spans="1:7">
      <c r="A1026" s="4" t="s">
        <v>56</v>
      </c>
      <c r="B1026" s="4" t="s">
        <v>490</v>
      </c>
      <c r="C1026" s="4" t="s">
        <v>3149</v>
      </c>
      <c r="D1026" s="4" t="s">
        <v>964</v>
      </c>
      <c r="E1026" s="6">
        <v>44019</v>
      </c>
      <c r="F1026" s="7">
        <v>50</v>
      </c>
      <c r="G1026" s="7">
        <v>1.33</v>
      </c>
    </row>
    <row r="1027" spans="1:7">
      <c r="A1027" s="4" t="s">
        <v>56</v>
      </c>
      <c r="B1027" s="4" t="s">
        <v>490</v>
      </c>
      <c r="C1027" s="4" t="s">
        <v>3149</v>
      </c>
      <c r="D1027" s="4" t="s">
        <v>1146</v>
      </c>
      <c r="E1027" s="6">
        <v>44019</v>
      </c>
      <c r="F1027" s="7">
        <v>50</v>
      </c>
      <c r="G1027" s="7">
        <v>1.49</v>
      </c>
    </row>
    <row r="1028" spans="1:7">
      <c r="A1028" s="4" t="s">
        <v>56</v>
      </c>
      <c r="B1028" s="4" t="s">
        <v>490</v>
      </c>
      <c r="C1028" s="4" t="s">
        <v>3149</v>
      </c>
      <c r="D1028" s="4" t="s">
        <v>1028</v>
      </c>
      <c r="E1028" s="6">
        <v>44019</v>
      </c>
      <c r="F1028" s="7">
        <v>50</v>
      </c>
      <c r="G1028" s="7">
        <v>1.8</v>
      </c>
    </row>
    <row r="1029" spans="1:7">
      <c r="A1029" s="4" t="s">
        <v>56</v>
      </c>
      <c r="B1029" s="4" t="s">
        <v>490</v>
      </c>
      <c r="C1029" s="4" t="s">
        <v>3149</v>
      </c>
      <c r="D1029" s="4" t="s">
        <v>1165</v>
      </c>
      <c r="E1029" s="6">
        <v>44019</v>
      </c>
      <c r="F1029" s="7">
        <v>50</v>
      </c>
      <c r="G1029" s="7">
        <v>1.64</v>
      </c>
    </row>
    <row r="1030" spans="1:7">
      <c r="A1030" s="4" t="s">
        <v>56</v>
      </c>
      <c r="B1030" s="4" t="s">
        <v>490</v>
      </c>
      <c r="C1030" s="4" t="s">
        <v>3149</v>
      </c>
      <c r="D1030" s="4" t="s">
        <v>989</v>
      </c>
      <c r="E1030" s="6">
        <v>44019</v>
      </c>
      <c r="F1030" s="7">
        <v>50</v>
      </c>
      <c r="G1030" s="7">
        <v>2.1399999999999997</v>
      </c>
    </row>
    <row r="1031" spans="1:7">
      <c r="A1031" s="4" t="s">
        <v>56</v>
      </c>
      <c r="B1031" s="4" t="s">
        <v>490</v>
      </c>
      <c r="C1031" s="4" t="s">
        <v>3149</v>
      </c>
      <c r="D1031" s="4" t="s">
        <v>853</v>
      </c>
      <c r="E1031" s="6">
        <v>44019</v>
      </c>
      <c r="F1031" s="7">
        <v>50</v>
      </c>
      <c r="G1031" s="7">
        <v>2.96</v>
      </c>
    </row>
    <row r="1032" spans="1:7">
      <c r="A1032" s="4" t="s">
        <v>56</v>
      </c>
      <c r="B1032" s="4" t="s">
        <v>490</v>
      </c>
      <c r="C1032" s="4" t="s">
        <v>3149</v>
      </c>
      <c r="D1032" s="4" t="s">
        <v>1208</v>
      </c>
      <c r="E1032" s="6">
        <v>44019</v>
      </c>
      <c r="F1032" s="7">
        <v>41</v>
      </c>
      <c r="G1032" s="7">
        <v>0</v>
      </c>
    </row>
    <row r="1033" spans="1:7">
      <c r="A1033" s="4" t="s">
        <v>56</v>
      </c>
      <c r="B1033" s="4" t="s">
        <v>490</v>
      </c>
      <c r="C1033" s="4" t="s">
        <v>3149</v>
      </c>
      <c r="D1033" s="4" t="s">
        <v>1030</v>
      </c>
      <c r="E1033" s="6">
        <v>44019</v>
      </c>
      <c r="F1033" s="7">
        <v>50</v>
      </c>
      <c r="G1033" s="7">
        <v>3.2</v>
      </c>
    </row>
    <row r="1034" spans="1:7">
      <c r="A1034" s="4" t="s">
        <v>56</v>
      </c>
      <c r="B1034" s="4" t="s">
        <v>490</v>
      </c>
      <c r="C1034" s="4" t="s">
        <v>3149</v>
      </c>
      <c r="D1034" s="4" t="s">
        <v>1032</v>
      </c>
      <c r="E1034" s="6">
        <v>44019</v>
      </c>
      <c r="F1034" s="7">
        <v>25</v>
      </c>
      <c r="G1034" s="7">
        <v>4.08</v>
      </c>
    </row>
    <row r="1035" spans="1:7">
      <c r="A1035" s="4" t="s">
        <v>56</v>
      </c>
      <c r="B1035" s="4" t="s">
        <v>490</v>
      </c>
      <c r="C1035" s="4" t="s">
        <v>3149</v>
      </c>
      <c r="D1035" s="4" t="s">
        <v>1040</v>
      </c>
      <c r="E1035" s="6">
        <v>44019</v>
      </c>
      <c r="F1035" s="7">
        <v>50</v>
      </c>
      <c r="G1035" s="7">
        <v>2.4300000000000002</v>
      </c>
    </row>
    <row r="1036" spans="1:7">
      <c r="A1036" s="4" t="s">
        <v>56</v>
      </c>
      <c r="B1036" s="4" t="s">
        <v>490</v>
      </c>
      <c r="C1036" s="4" t="s">
        <v>3149</v>
      </c>
      <c r="D1036" s="4" t="s">
        <v>881</v>
      </c>
      <c r="E1036" s="6">
        <v>44019</v>
      </c>
      <c r="F1036" s="7">
        <v>50</v>
      </c>
      <c r="G1036" s="7">
        <v>3.05</v>
      </c>
    </row>
    <row r="1037" spans="1:7">
      <c r="A1037" s="4" t="s">
        <v>56</v>
      </c>
      <c r="B1037" s="4" t="s">
        <v>490</v>
      </c>
      <c r="C1037" s="4" t="s">
        <v>3149</v>
      </c>
      <c r="D1037" s="4" t="s">
        <v>873</v>
      </c>
      <c r="E1037" s="6">
        <v>44019</v>
      </c>
      <c r="F1037" s="7">
        <v>50</v>
      </c>
      <c r="G1037" s="7">
        <v>0.56000000000000005</v>
      </c>
    </row>
    <row r="1038" spans="1:7">
      <c r="A1038" s="4" t="s">
        <v>56</v>
      </c>
      <c r="B1038" s="4" t="s">
        <v>490</v>
      </c>
      <c r="C1038" s="4" t="s">
        <v>3149</v>
      </c>
      <c r="D1038" s="4" t="s">
        <v>936</v>
      </c>
      <c r="E1038" s="6">
        <v>44019</v>
      </c>
      <c r="F1038" s="7">
        <v>50</v>
      </c>
      <c r="G1038" s="7">
        <v>0.82</v>
      </c>
    </row>
    <row r="1039" spans="1:7">
      <c r="A1039" s="4" t="s">
        <v>56</v>
      </c>
      <c r="B1039" s="4" t="s">
        <v>490</v>
      </c>
      <c r="C1039" s="4" t="s">
        <v>3149</v>
      </c>
      <c r="D1039" s="4" t="s">
        <v>940</v>
      </c>
      <c r="E1039" s="6">
        <v>44019</v>
      </c>
      <c r="F1039" s="7">
        <v>50</v>
      </c>
      <c r="G1039" s="7">
        <v>1.1400000000000001</v>
      </c>
    </row>
    <row r="1040" spans="1:7">
      <c r="A1040" s="4" t="s">
        <v>56</v>
      </c>
      <c r="B1040" s="4" t="s">
        <v>490</v>
      </c>
      <c r="C1040" s="4" t="s">
        <v>3149</v>
      </c>
      <c r="D1040" s="4" t="s">
        <v>1669</v>
      </c>
      <c r="E1040" s="6">
        <v>44019</v>
      </c>
      <c r="F1040" s="7">
        <v>50</v>
      </c>
      <c r="G1040" s="7">
        <v>3.53</v>
      </c>
    </row>
    <row r="1041" spans="1:7">
      <c r="A1041" s="4" t="s">
        <v>56</v>
      </c>
      <c r="B1041" s="4" t="s">
        <v>490</v>
      </c>
      <c r="C1041" s="4" t="s">
        <v>3149</v>
      </c>
      <c r="D1041" s="4" t="s">
        <v>784</v>
      </c>
      <c r="E1041" s="6">
        <v>44019</v>
      </c>
      <c r="F1041" s="7">
        <v>1</v>
      </c>
      <c r="G1041" s="7">
        <v>0</v>
      </c>
    </row>
    <row r="1042" spans="1:7">
      <c r="A1042" s="4" t="s">
        <v>318</v>
      </c>
      <c r="B1042" s="4" t="s">
        <v>484</v>
      </c>
      <c r="C1042" s="4" t="s">
        <v>3150</v>
      </c>
      <c r="D1042" s="4" t="s">
        <v>1005</v>
      </c>
      <c r="E1042" s="6">
        <v>44019</v>
      </c>
      <c r="F1042" s="7">
        <v>150</v>
      </c>
      <c r="G1042" s="7">
        <v>2.3600000000000003</v>
      </c>
    </row>
    <row r="1043" spans="1:7">
      <c r="A1043" s="4" t="s">
        <v>318</v>
      </c>
      <c r="B1043" s="4" t="s">
        <v>484</v>
      </c>
      <c r="C1043" s="4" t="s">
        <v>3150</v>
      </c>
      <c r="D1043" s="4" t="s">
        <v>784</v>
      </c>
      <c r="E1043" s="6">
        <v>44019</v>
      </c>
      <c r="F1043" s="7">
        <v>1</v>
      </c>
      <c r="G1043" s="7">
        <v>0</v>
      </c>
    </row>
    <row r="1044" spans="1:7">
      <c r="A1044" s="4" t="s">
        <v>49</v>
      </c>
      <c r="B1044" s="4" t="s">
        <v>478</v>
      </c>
      <c r="C1044" s="4" t="s">
        <v>3151</v>
      </c>
      <c r="D1044" s="4" t="s">
        <v>2102</v>
      </c>
      <c r="E1044" s="6">
        <v>44014</v>
      </c>
      <c r="F1044" s="7">
        <v>600</v>
      </c>
      <c r="G1044" s="7">
        <v>0.37</v>
      </c>
    </row>
    <row r="1045" spans="1:7">
      <c r="A1045" s="4" t="s">
        <v>49</v>
      </c>
      <c r="B1045" s="4" t="s">
        <v>478</v>
      </c>
      <c r="C1045" s="4" t="s">
        <v>3151</v>
      </c>
      <c r="D1045" s="4" t="s">
        <v>784</v>
      </c>
      <c r="E1045" s="6">
        <v>44014</v>
      </c>
      <c r="F1045" s="7">
        <v>1</v>
      </c>
      <c r="G1045" s="7">
        <v>0</v>
      </c>
    </row>
    <row r="1046" spans="1:7">
      <c r="A1046" s="4" t="s">
        <v>32</v>
      </c>
      <c r="B1046" s="4" t="s">
        <v>488</v>
      </c>
      <c r="C1046" s="4" t="s">
        <v>3152</v>
      </c>
      <c r="D1046" s="4" t="s">
        <v>964</v>
      </c>
      <c r="E1046" s="6">
        <v>44019</v>
      </c>
      <c r="F1046" s="7">
        <v>100</v>
      </c>
      <c r="G1046" s="7">
        <v>1.0699999999999998</v>
      </c>
    </row>
    <row r="1047" spans="1:7">
      <c r="A1047" s="4" t="s">
        <v>32</v>
      </c>
      <c r="B1047" s="4" t="s">
        <v>488</v>
      </c>
      <c r="C1047" s="4" t="s">
        <v>3152</v>
      </c>
      <c r="D1047" s="4" t="s">
        <v>1030</v>
      </c>
      <c r="E1047" s="6">
        <v>44019</v>
      </c>
      <c r="F1047" s="7">
        <v>75</v>
      </c>
      <c r="G1047" s="7">
        <v>2.57</v>
      </c>
    </row>
    <row r="1048" spans="1:7">
      <c r="A1048" s="4" t="s">
        <v>32</v>
      </c>
      <c r="B1048" s="4" t="s">
        <v>488</v>
      </c>
      <c r="C1048" s="4" t="s">
        <v>3152</v>
      </c>
      <c r="D1048" s="4" t="s">
        <v>1135</v>
      </c>
      <c r="E1048" s="6">
        <v>44019</v>
      </c>
      <c r="F1048" s="7">
        <v>200</v>
      </c>
      <c r="G1048" s="7">
        <v>0.33</v>
      </c>
    </row>
    <row r="1049" spans="1:7">
      <c r="A1049" s="4" t="s">
        <v>32</v>
      </c>
      <c r="B1049" s="4" t="s">
        <v>488</v>
      </c>
      <c r="C1049" s="4" t="s">
        <v>3152</v>
      </c>
      <c r="D1049" s="4" t="s">
        <v>784</v>
      </c>
      <c r="E1049" s="6">
        <v>44019</v>
      </c>
      <c r="F1049" s="7">
        <v>1</v>
      </c>
      <c r="G1049" s="7">
        <v>0</v>
      </c>
    </row>
    <row r="1050" spans="1:7">
      <c r="A1050" s="4" t="s">
        <v>35</v>
      </c>
      <c r="B1050" s="4" t="s">
        <v>760</v>
      </c>
      <c r="C1050" s="4" t="s">
        <v>3153</v>
      </c>
      <c r="D1050" s="4" t="s">
        <v>789</v>
      </c>
      <c r="E1050" s="6">
        <v>44014</v>
      </c>
      <c r="F1050" s="7">
        <v>-1933</v>
      </c>
      <c r="G1050" s="7">
        <v>0</v>
      </c>
    </row>
    <row r="1051" spans="1:7">
      <c r="A1051" s="4" t="s">
        <v>35</v>
      </c>
      <c r="B1051" s="4" t="s">
        <v>476</v>
      </c>
      <c r="C1051" s="4" t="s">
        <v>3154</v>
      </c>
      <c r="D1051" s="4" t="s">
        <v>789</v>
      </c>
      <c r="E1051" s="6">
        <v>44014</v>
      </c>
      <c r="F1051" s="7">
        <v>1933</v>
      </c>
      <c r="G1051" s="7">
        <v>7.6400000000000006</v>
      </c>
    </row>
    <row r="1052" spans="1:7">
      <c r="A1052" s="4" t="s">
        <v>249</v>
      </c>
      <c r="B1052" s="4" t="s">
        <v>497</v>
      </c>
      <c r="C1052" s="4" t="s">
        <v>3155</v>
      </c>
      <c r="D1052" s="4" t="s">
        <v>2110</v>
      </c>
      <c r="E1052" s="6">
        <v>44021</v>
      </c>
      <c r="F1052" s="7">
        <v>425</v>
      </c>
      <c r="G1052" s="7">
        <v>6.7799999999999994</v>
      </c>
    </row>
    <row r="1053" spans="1:7">
      <c r="A1053" s="4" t="s">
        <v>249</v>
      </c>
      <c r="B1053" s="4" t="s">
        <v>497</v>
      </c>
      <c r="C1053" s="4" t="s">
        <v>3155</v>
      </c>
      <c r="D1053" s="4" t="s">
        <v>784</v>
      </c>
      <c r="E1053" s="6">
        <v>44021</v>
      </c>
      <c r="F1053" s="7">
        <v>1</v>
      </c>
      <c r="G1053" s="7">
        <v>0</v>
      </c>
    </row>
    <row r="1054" spans="1:7">
      <c r="A1054" s="4" t="s">
        <v>492</v>
      </c>
      <c r="B1054" s="4" t="s">
        <v>493</v>
      </c>
      <c r="C1054" s="4" t="s">
        <v>3156</v>
      </c>
      <c r="D1054" s="4" t="s">
        <v>2113</v>
      </c>
      <c r="E1054" s="6">
        <v>44021</v>
      </c>
      <c r="F1054" s="7">
        <v>252</v>
      </c>
      <c r="G1054" s="7">
        <v>2.6100000000000003</v>
      </c>
    </row>
    <row r="1055" spans="1:7">
      <c r="A1055" s="4" t="s">
        <v>492</v>
      </c>
      <c r="B1055" s="4" t="s">
        <v>493</v>
      </c>
      <c r="C1055" s="4" t="s">
        <v>3156</v>
      </c>
      <c r="D1055" s="4" t="s">
        <v>784</v>
      </c>
      <c r="E1055" s="6">
        <v>44021</v>
      </c>
      <c r="F1055" s="7">
        <v>1</v>
      </c>
      <c r="G1055" s="7">
        <v>0</v>
      </c>
    </row>
    <row r="1056" spans="1:7">
      <c r="A1056" s="4" t="s">
        <v>201</v>
      </c>
      <c r="B1056" s="4" t="s">
        <v>517</v>
      </c>
      <c r="C1056" s="4" t="s">
        <v>3157</v>
      </c>
      <c r="D1056" s="4" t="s">
        <v>887</v>
      </c>
      <c r="E1056" s="6">
        <v>44026</v>
      </c>
      <c r="F1056" s="7">
        <v>50</v>
      </c>
      <c r="G1056" s="7">
        <v>0.62</v>
      </c>
    </row>
    <row r="1057" spans="1:7">
      <c r="A1057" s="4" t="s">
        <v>201</v>
      </c>
      <c r="B1057" s="4" t="s">
        <v>517</v>
      </c>
      <c r="C1057" s="4" t="s">
        <v>3157</v>
      </c>
      <c r="D1057" s="4" t="s">
        <v>993</v>
      </c>
      <c r="E1057" s="6">
        <v>44026</v>
      </c>
      <c r="F1057" s="7">
        <v>50</v>
      </c>
      <c r="G1057" s="7">
        <v>0.47</v>
      </c>
    </row>
    <row r="1058" spans="1:7">
      <c r="A1058" s="4" t="s">
        <v>201</v>
      </c>
      <c r="B1058" s="4" t="s">
        <v>517</v>
      </c>
      <c r="C1058" s="4" t="s">
        <v>3157</v>
      </c>
      <c r="D1058" s="4" t="s">
        <v>936</v>
      </c>
      <c r="E1058" s="6">
        <v>44026</v>
      </c>
      <c r="F1058" s="7">
        <v>50</v>
      </c>
      <c r="G1058" s="7">
        <v>0.82</v>
      </c>
    </row>
    <row r="1059" spans="1:7">
      <c r="A1059" s="4" t="s">
        <v>201</v>
      </c>
      <c r="B1059" s="4" t="s">
        <v>517</v>
      </c>
      <c r="C1059" s="4" t="s">
        <v>3157</v>
      </c>
      <c r="D1059" s="4" t="s">
        <v>889</v>
      </c>
      <c r="E1059" s="6">
        <v>44026</v>
      </c>
      <c r="F1059" s="7">
        <v>50</v>
      </c>
      <c r="G1059" s="7">
        <v>0.77</v>
      </c>
    </row>
    <row r="1060" spans="1:7">
      <c r="A1060" s="4" t="s">
        <v>201</v>
      </c>
      <c r="B1060" s="4" t="s">
        <v>517</v>
      </c>
      <c r="C1060" s="4" t="s">
        <v>3157</v>
      </c>
      <c r="D1060" s="4" t="s">
        <v>1810</v>
      </c>
      <c r="E1060" s="6">
        <v>44026</v>
      </c>
      <c r="F1060" s="7">
        <v>20</v>
      </c>
      <c r="G1060" s="7">
        <v>2.06</v>
      </c>
    </row>
    <row r="1061" spans="1:7">
      <c r="A1061" s="4" t="s">
        <v>201</v>
      </c>
      <c r="B1061" s="4" t="s">
        <v>517</v>
      </c>
      <c r="C1061" s="4" t="s">
        <v>3157</v>
      </c>
      <c r="D1061" s="4" t="s">
        <v>1165</v>
      </c>
      <c r="E1061" s="6">
        <v>44026</v>
      </c>
      <c r="F1061" s="7">
        <v>50</v>
      </c>
      <c r="G1061" s="7">
        <v>1.64</v>
      </c>
    </row>
    <row r="1062" spans="1:7">
      <c r="A1062" s="4" t="s">
        <v>201</v>
      </c>
      <c r="B1062" s="4" t="s">
        <v>517</v>
      </c>
      <c r="C1062" s="4" t="s">
        <v>3157</v>
      </c>
      <c r="D1062" s="4" t="s">
        <v>989</v>
      </c>
      <c r="E1062" s="6">
        <v>44026</v>
      </c>
      <c r="F1062" s="7">
        <v>50</v>
      </c>
      <c r="G1062" s="7">
        <v>1.64</v>
      </c>
    </row>
    <row r="1063" spans="1:7">
      <c r="A1063" s="4" t="s">
        <v>201</v>
      </c>
      <c r="B1063" s="4" t="s">
        <v>517</v>
      </c>
      <c r="C1063" s="4" t="s">
        <v>3157</v>
      </c>
      <c r="D1063" s="4" t="s">
        <v>1126</v>
      </c>
      <c r="E1063" s="6">
        <v>44026</v>
      </c>
      <c r="F1063" s="7">
        <v>20</v>
      </c>
      <c r="G1063" s="7">
        <v>3.4799999999999995</v>
      </c>
    </row>
    <row r="1064" spans="1:7">
      <c r="A1064" s="4" t="s">
        <v>201</v>
      </c>
      <c r="B1064" s="4" t="s">
        <v>517</v>
      </c>
      <c r="C1064" s="4" t="s">
        <v>3157</v>
      </c>
      <c r="D1064" s="4" t="s">
        <v>2125</v>
      </c>
      <c r="E1064" s="6">
        <v>44026</v>
      </c>
      <c r="F1064" s="7">
        <v>50</v>
      </c>
      <c r="G1064" s="7">
        <v>0.87</v>
      </c>
    </row>
    <row r="1065" spans="1:7">
      <c r="A1065" s="4" t="s">
        <v>201</v>
      </c>
      <c r="B1065" s="4" t="s">
        <v>517</v>
      </c>
      <c r="C1065" s="4" t="s">
        <v>3157</v>
      </c>
      <c r="D1065" s="4" t="s">
        <v>784</v>
      </c>
      <c r="E1065" s="6">
        <v>44026</v>
      </c>
      <c r="F1065" s="7">
        <v>1</v>
      </c>
      <c r="G1065" s="7">
        <v>0</v>
      </c>
    </row>
    <row r="1066" spans="1:7">
      <c r="A1066" s="4" t="s">
        <v>49</v>
      </c>
      <c r="B1066" s="4" t="s">
        <v>507</v>
      </c>
      <c r="C1066" s="4" t="s">
        <v>3158</v>
      </c>
      <c r="D1066" s="4" t="s">
        <v>1005</v>
      </c>
      <c r="E1066" s="6">
        <v>44022</v>
      </c>
      <c r="F1066" s="7">
        <v>200</v>
      </c>
      <c r="G1066" s="7">
        <v>1.3199999999999998</v>
      </c>
    </row>
    <row r="1067" spans="1:7">
      <c r="A1067" s="4" t="s">
        <v>49</v>
      </c>
      <c r="B1067" s="4" t="s">
        <v>507</v>
      </c>
      <c r="C1067" s="4" t="s">
        <v>3158</v>
      </c>
      <c r="D1067" s="4" t="s">
        <v>1492</v>
      </c>
      <c r="E1067" s="6">
        <v>44022</v>
      </c>
      <c r="F1067" s="7">
        <v>2</v>
      </c>
      <c r="G1067" s="7">
        <v>180.44</v>
      </c>
    </row>
    <row r="1068" spans="1:7">
      <c r="A1068" s="4" t="s">
        <v>49</v>
      </c>
      <c r="B1068" s="4" t="s">
        <v>507</v>
      </c>
      <c r="C1068" s="4" t="s">
        <v>3158</v>
      </c>
      <c r="D1068" s="4" t="s">
        <v>944</v>
      </c>
      <c r="E1068" s="6">
        <v>44022</v>
      </c>
      <c r="F1068" s="7">
        <v>100</v>
      </c>
      <c r="G1068" s="7">
        <v>2.12</v>
      </c>
    </row>
    <row r="1069" spans="1:7">
      <c r="A1069" s="4" t="s">
        <v>49</v>
      </c>
      <c r="B1069" s="4" t="s">
        <v>507</v>
      </c>
      <c r="C1069" s="4" t="s">
        <v>3158</v>
      </c>
      <c r="D1069" s="4" t="s">
        <v>784</v>
      </c>
      <c r="E1069" s="6">
        <v>44022</v>
      </c>
      <c r="F1069" s="7">
        <v>1</v>
      </c>
      <c r="G1069" s="7">
        <v>0</v>
      </c>
    </row>
    <row r="1070" spans="1:7">
      <c r="A1070" s="4" t="s">
        <v>129</v>
      </c>
      <c r="B1070" s="4" t="s">
        <v>499</v>
      </c>
      <c r="C1070" s="4" t="s">
        <v>3159</v>
      </c>
      <c r="D1070" s="4" t="s">
        <v>2132</v>
      </c>
      <c r="E1070" s="6">
        <v>44021</v>
      </c>
      <c r="F1070" s="7">
        <v>68.2</v>
      </c>
      <c r="G1070" s="7">
        <v>4.42</v>
      </c>
    </row>
    <row r="1071" spans="1:7">
      <c r="A1071" s="4" t="s">
        <v>129</v>
      </c>
      <c r="B1071" s="4" t="s">
        <v>499</v>
      </c>
      <c r="C1071" s="4" t="s">
        <v>3159</v>
      </c>
      <c r="D1071" s="4" t="s">
        <v>840</v>
      </c>
      <c r="E1071" s="6">
        <v>44021</v>
      </c>
      <c r="F1071" s="7">
        <v>1</v>
      </c>
      <c r="G1071" s="7">
        <v>65</v>
      </c>
    </row>
    <row r="1072" spans="1:7">
      <c r="A1072" s="4" t="s">
        <v>129</v>
      </c>
      <c r="B1072" s="4" t="s">
        <v>499</v>
      </c>
      <c r="C1072" s="4" t="s">
        <v>3159</v>
      </c>
      <c r="D1072" s="4" t="s">
        <v>784</v>
      </c>
      <c r="E1072" s="6">
        <v>44021</v>
      </c>
      <c r="F1072" s="7">
        <v>1</v>
      </c>
      <c r="G1072" s="7">
        <v>0</v>
      </c>
    </row>
    <row r="1073" spans="1:7">
      <c r="A1073" s="4" t="s">
        <v>126</v>
      </c>
      <c r="B1073" s="4" t="s">
        <v>486</v>
      </c>
      <c r="C1073" s="4" t="s">
        <v>3160</v>
      </c>
      <c r="D1073" s="4" t="s">
        <v>1222</v>
      </c>
      <c r="E1073" s="6">
        <v>44019</v>
      </c>
      <c r="F1073" s="7">
        <v>25</v>
      </c>
      <c r="G1073" s="7">
        <v>1.89</v>
      </c>
    </row>
    <row r="1074" spans="1:7">
      <c r="A1074" s="4" t="s">
        <v>126</v>
      </c>
      <c r="B1074" s="4" t="s">
        <v>486</v>
      </c>
      <c r="C1074" s="4" t="s">
        <v>3160</v>
      </c>
      <c r="D1074" s="4" t="s">
        <v>784</v>
      </c>
      <c r="E1074" s="6">
        <v>44019</v>
      </c>
      <c r="F1074" s="7">
        <v>1</v>
      </c>
      <c r="G1074" s="7">
        <v>0</v>
      </c>
    </row>
    <row r="1075" spans="1:7">
      <c r="A1075" s="4" t="s">
        <v>73</v>
      </c>
      <c r="B1075" s="4" t="s">
        <v>509</v>
      </c>
      <c r="C1075" s="4" t="s">
        <v>3161</v>
      </c>
      <c r="D1075" s="4" t="s">
        <v>813</v>
      </c>
      <c r="E1075" s="6">
        <v>44022</v>
      </c>
      <c r="F1075" s="7">
        <v>100</v>
      </c>
      <c r="G1075" s="7">
        <v>1.06</v>
      </c>
    </row>
    <row r="1076" spans="1:7">
      <c r="A1076" s="4" t="s">
        <v>73</v>
      </c>
      <c r="B1076" s="4" t="s">
        <v>509</v>
      </c>
      <c r="C1076" s="4" t="s">
        <v>3161</v>
      </c>
      <c r="D1076" s="4" t="s">
        <v>784</v>
      </c>
      <c r="E1076" s="6">
        <v>44022</v>
      </c>
      <c r="F1076" s="7">
        <v>1</v>
      </c>
      <c r="G1076" s="7">
        <v>0</v>
      </c>
    </row>
    <row r="1077" spans="1:7">
      <c r="A1077" s="4" t="s">
        <v>519</v>
      </c>
      <c r="B1077" s="4" t="s">
        <v>520</v>
      </c>
      <c r="C1077" s="4" t="s">
        <v>3162</v>
      </c>
      <c r="D1077" s="4" t="s">
        <v>2141</v>
      </c>
      <c r="E1077" s="6">
        <v>44026</v>
      </c>
      <c r="F1077" s="7">
        <v>7970</v>
      </c>
      <c r="G1077" s="7">
        <v>0.28999999999999998</v>
      </c>
    </row>
    <row r="1078" spans="1:7">
      <c r="A1078" s="4" t="s">
        <v>519</v>
      </c>
      <c r="B1078" s="4" t="s">
        <v>520</v>
      </c>
      <c r="C1078" s="4" t="s">
        <v>3162</v>
      </c>
      <c r="D1078" s="4" t="s">
        <v>784</v>
      </c>
      <c r="E1078" s="6">
        <v>44026</v>
      </c>
      <c r="F1078" s="7">
        <v>1</v>
      </c>
      <c r="G1078" s="7">
        <v>0</v>
      </c>
    </row>
    <row r="1079" spans="1:7">
      <c r="A1079" s="4" t="s">
        <v>46</v>
      </c>
      <c r="B1079" s="4" t="s">
        <v>522</v>
      </c>
      <c r="C1079" s="4" t="s">
        <v>3163</v>
      </c>
      <c r="D1079" s="4" t="s">
        <v>847</v>
      </c>
      <c r="E1079" s="6">
        <v>44026</v>
      </c>
      <c r="F1079" s="7">
        <v>100</v>
      </c>
      <c r="G1079" s="7">
        <v>4.5200000000000005</v>
      </c>
    </row>
    <row r="1080" spans="1:7">
      <c r="A1080" s="4" t="s">
        <v>46</v>
      </c>
      <c r="B1080" s="4" t="s">
        <v>522</v>
      </c>
      <c r="C1080" s="4" t="s">
        <v>3163</v>
      </c>
      <c r="D1080" s="4" t="s">
        <v>1015</v>
      </c>
      <c r="E1080" s="6">
        <v>44026</v>
      </c>
      <c r="F1080" s="7">
        <v>100</v>
      </c>
      <c r="G1080" s="7">
        <v>1.25</v>
      </c>
    </row>
    <row r="1081" spans="1:7">
      <c r="A1081" s="4" t="s">
        <v>46</v>
      </c>
      <c r="B1081" s="4" t="s">
        <v>522</v>
      </c>
      <c r="C1081" s="4" t="s">
        <v>3163</v>
      </c>
      <c r="D1081" s="4" t="s">
        <v>985</v>
      </c>
      <c r="E1081" s="6">
        <v>44026</v>
      </c>
      <c r="F1081" s="7">
        <v>50</v>
      </c>
      <c r="G1081" s="7">
        <v>2.5100000000000002</v>
      </c>
    </row>
    <row r="1082" spans="1:7">
      <c r="A1082" s="4" t="s">
        <v>46</v>
      </c>
      <c r="B1082" s="4" t="s">
        <v>522</v>
      </c>
      <c r="C1082" s="4" t="s">
        <v>3163</v>
      </c>
      <c r="D1082" s="4" t="s">
        <v>1369</v>
      </c>
      <c r="E1082" s="6">
        <v>44026</v>
      </c>
      <c r="F1082" s="7">
        <v>50</v>
      </c>
      <c r="G1082" s="7">
        <v>1.69</v>
      </c>
    </row>
    <row r="1083" spans="1:7">
      <c r="A1083" s="4" t="s">
        <v>46</v>
      </c>
      <c r="B1083" s="4" t="s">
        <v>522</v>
      </c>
      <c r="C1083" s="4" t="s">
        <v>3163</v>
      </c>
      <c r="D1083" s="4" t="s">
        <v>1026</v>
      </c>
      <c r="E1083" s="6">
        <v>44026</v>
      </c>
      <c r="F1083" s="7">
        <v>150</v>
      </c>
      <c r="G1083" s="7">
        <v>0.83</v>
      </c>
    </row>
    <row r="1084" spans="1:7">
      <c r="A1084" s="4" t="s">
        <v>46</v>
      </c>
      <c r="B1084" s="4" t="s">
        <v>522</v>
      </c>
      <c r="C1084" s="4" t="s">
        <v>3163</v>
      </c>
      <c r="D1084" s="4" t="s">
        <v>893</v>
      </c>
      <c r="E1084" s="6">
        <v>44026</v>
      </c>
      <c r="F1084" s="7">
        <v>50</v>
      </c>
      <c r="G1084" s="7">
        <v>4.1100000000000003</v>
      </c>
    </row>
    <row r="1085" spans="1:7">
      <c r="A1085" s="4" t="s">
        <v>46</v>
      </c>
      <c r="B1085" s="4" t="s">
        <v>522</v>
      </c>
      <c r="C1085" s="4" t="s">
        <v>3163</v>
      </c>
      <c r="D1085" s="4" t="s">
        <v>784</v>
      </c>
      <c r="E1085" s="6">
        <v>44026</v>
      </c>
      <c r="F1085" s="7">
        <v>1</v>
      </c>
      <c r="G1085" s="7">
        <v>0</v>
      </c>
    </row>
    <row r="1086" spans="1:7">
      <c r="A1086" s="4" t="s">
        <v>49</v>
      </c>
      <c r="B1086" s="4" t="s">
        <v>527</v>
      </c>
      <c r="C1086" s="4" t="s">
        <v>3164</v>
      </c>
      <c r="D1086" s="4" t="s">
        <v>826</v>
      </c>
      <c r="E1086" s="6">
        <v>44027</v>
      </c>
      <c r="F1086" s="7">
        <v>1</v>
      </c>
      <c r="G1086" s="7">
        <v>595</v>
      </c>
    </row>
    <row r="1087" spans="1:7">
      <c r="A1087" s="4" t="s">
        <v>49</v>
      </c>
      <c r="B1087" s="4" t="s">
        <v>527</v>
      </c>
      <c r="C1087" s="4" t="s">
        <v>3164</v>
      </c>
      <c r="D1087" s="4" t="s">
        <v>904</v>
      </c>
      <c r="E1087" s="6">
        <v>44027</v>
      </c>
      <c r="F1087" s="7">
        <v>10</v>
      </c>
      <c r="G1087" s="7">
        <v>13.69</v>
      </c>
    </row>
    <row r="1088" spans="1:7">
      <c r="A1088" s="4" t="s">
        <v>49</v>
      </c>
      <c r="B1088" s="4" t="s">
        <v>527</v>
      </c>
      <c r="C1088" s="4" t="s">
        <v>3164</v>
      </c>
      <c r="D1088" s="4" t="s">
        <v>893</v>
      </c>
      <c r="E1088" s="6">
        <v>44027</v>
      </c>
      <c r="F1088" s="7">
        <v>100</v>
      </c>
      <c r="G1088" s="7">
        <v>4.43</v>
      </c>
    </row>
    <row r="1089" spans="1:7">
      <c r="A1089" s="4" t="s">
        <v>49</v>
      </c>
      <c r="B1089" s="4" t="s">
        <v>527</v>
      </c>
      <c r="C1089" s="4" t="s">
        <v>3164</v>
      </c>
      <c r="D1089" s="4" t="s">
        <v>784</v>
      </c>
      <c r="E1089" s="6">
        <v>44027</v>
      </c>
      <c r="F1089" s="7">
        <v>1</v>
      </c>
      <c r="G1089" s="7">
        <v>0</v>
      </c>
    </row>
    <row r="1090" spans="1:7">
      <c r="A1090" s="4" t="s">
        <v>524</v>
      </c>
      <c r="B1090" s="4" t="s">
        <v>525</v>
      </c>
      <c r="C1090" s="4" t="s">
        <v>3165</v>
      </c>
      <c r="D1090" s="4" t="s">
        <v>2155</v>
      </c>
      <c r="E1090" s="6">
        <v>44027</v>
      </c>
      <c r="F1090" s="7">
        <v>60</v>
      </c>
      <c r="G1090" s="7">
        <v>6.33</v>
      </c>
    </row>
    <row r="1091" spans="1:7">
      <c r="A1091" s="4" t="s">
        <v>524</v>
      </c>
      <c r="B1091" s="4" t="s">
        <v>525</v>
      </c>
      <c r="C1091" s="4" t="s">
        <v>3165</v>
      </c>
      <c r="D1091" s="4" t="s">
        <v>908</v>
      </c>
      <c r="E1091" s="6">
        <v>44027</v>
      </c>
      <c r="F1091" s="7">
        <v>60</v>
      </c>
      <c r="G1091" s="7">
        <v>1.51</v>
      </c>
    </row>
    <row r="1092" spans="1:7">
      <c r="A1092" s="4" t="s">
        <v>524</v>
      </c>
      <c r="B1092" s="4" t="s">
        <v>525</v>
      </c>
      <c r="C1092" s="4" t="s">
        <v>3165</v>
      </c>
      <c r="D1092" s="4" t="s">
        <v>2158</v>
      </c>
      <c r="E1092" s="6">
        <v>44027</v>
      </c>
      <c r="F1092" s="7">
        <v>8</v>
      </c>
      <c r="G1092" s="7">
        <v>13.29</v>
      </c>
    </row>
    <row r="1093" spans="1:7">
      <c r="A1093" s="4" t="s">
        <v>524</v>
      </c>
      <c r="B1093" s="4" t="s">
        <v>525</v>
      </c>
      <c r="C1093" s="4" t="s">
        <v>3165</v>
      </c>
      <c r="D1093" s="4" t="s">
        <v>784</v>
      </c>
      <c r="E1093" s="6">
        <v>44027</v>
      </c>
      <c r="F1093" s="7">
        <v>1</v>
      </c>
      <c r="G1093" s="7">
        <v>0</v>
      </c>
    </row>
    <row r="1094" spans="1:7">
      <c r="A1094" s="4" t="s">
        <v>548</v>
      </c>
      <c r="B1094" s="4" t="s">
        <v>549</v>
      </c>
      <c r="C1094" s="4" t="s">
        <v>3166</v>
      </c>
      <c r="D1094" s="4" t="s">
        <v>1086</v>
      </c>
      <c r="E1094" s="6">
        <v>44041</v>
      </c>
      <c r="F1094" s="7">
        <v>3</v>
      </c>
      <c r="G1094" s="7">
        <v>355.1</v>
      </c>
    </row>
    <row r="1095" spans="1:7">
      <c r="A1095" s="4" t="s">
        <v>548</v>
      </c>
      <c r="B1095" s="4" t="s">
        <v>549</v>
      </c>
      <c r="C1095" s="4" t="s">
        <v>3166</v>
      </c>
      <c r="D1095" s="4" t="s">
        <v>840</v>
      </c>
      <c r="E1095" s="6">
        <v>44041</v>
      </c>
      <c r="F1095" s="7">
        <v>1</v>
      </c>
      <c r="G1095" s="7">
        <v>0</v>
      </c>
    </row>
    <row r="1096" spans="1:7">
      <c r="A1096" s="4" t="s">
        <v>548</v>
      </c>
      <c r="B1096" s="4" t="s">
        <v>549</v>
      </c>
      <c r="C1096" s="4" t="s">
        <v>3166</v>
      </c>
      <c r="D1096" s="4" t="s">
        <v>784</v>
      </c>
      <c r="E1096" s="6">
        <v>44041</v>
      </c>
      <c r="F1096" s="7">
        <v>1</v>
      </c>
      <c r="G1096" s="7">
        <v>0</v>
      </c>
    </row>
    <row r="1097" spans="1:7">
      <c r="A1097" s="4" t="s">
        <v>65</v>
      </c>
      <c r="B1097" s="4" t="s">
        <v>569</v>
      </c>
      <c r="C1097" s="4" t="s">
        <v>3167</v>
      </c>
      <c r="D1097" s="4" t="s">
        <v>920</v>
      </c>
      <c r="E1097" s="6">
        <v>44054</v>
      </c>
      <c r="F1097" s="7">
        <v>6200</v>
      </c>
      <c r="G1097" s="7">
        <v>1.4</v>
      </c>
    </row>
    <row r="1098" spans="1:7">
      <c r="A1098" s="4" t="s">
        <v>366</v>
      </c>
      <c r="B1098" s="4" t="s">
        <v>531</v>
      </c>
      <c r="C1098" s="4" t="s">
        <v>3168</v>
      </c>
      <c r="D1098" s="4" t="s">
        <v>1600</v>
      </c>
      <c r="E1098" s="6">
        <v>44032</v>
      </c>
      <c r="F1098" s="7">
        <v>100</v>
      </c>
      <c r="G1098" s="7">
        <v>1.98</v>
      </c>
    </row>
    <row r="1099" spans="1:7">
      <c r="A1099" s="4" t="s">
        <v>366</v>
      </c>
      <c r="B1099" s="4" t="s">
        <v>531</v>
      </c>
      <c r="C1099" s="4" t="s">
        <v>3168</v>
      </c>
      <c r="D1099" s="4" t="s">
        <v>784</v>
      </c>
      <c r="E1099" s="6">
        <v>44032</v>
      </c>
      <c r="F1099" s="7">
        <v>1</v>
      </c>
      <c r="G1099" s="7">
        <v>0</v>
      </c>
    </row>
    <row r="1100" spans="1:7">
      <c r="A1100" s="4" t="s">
        <v>35</v>
      </c>
      <c r="B1100" s="4" t="s">
        <v>630</v>
      </c>
      <c r="C1100" s="4" t="s">
        <v>3169</v>
      </c>
      <c r="D1100" s="4" t="s">
        <v>789</v>
      </c>
      <c r="E1100" s="6">
        <v>44085</v>
      </c>
      <c r="F1100" s="7">
        <v>1005</v>
      </c>
      <c r="G1100" s="7">
        <v>7.6400000000000006</v>
      </c>
    </row>
    <row r="1101" spans="1:7">
      <c r="A1101" s="4" t="s">
        <v>35</v>
      </c>
      <c r="B1101" s="4" t="s">
        <v>630</v>
      </c>
      <c r="C1101" s="4" t="s">
        <v>3169</v>
      </c>
      <c r="D1101" s="4" t="s">
        <v>795</v>
      </c>
      <c r="E1101" s="6">
        <v>44085</v>
      </c>
      <c r="F1101" s="7">
        <v>802</v>
      </c>
      <c r="G1101" s="7">
        <v>8.870000000000001</v>
      </c>
    </row>
    <row r="1102" spans="1:7">
      <c r="A1102" s="4" t="s">
        <v>126</v>
      </c>
      <c r="B1102" s="4" t="s">
        <v>529</v>
      </c>
      <c r="C1102" s="4" t="s">
        <v>3170</v>
      </c>
      <c r="D1102" s="4" t="s">
        <v>881</v>
      </c>
      <c r="E1102" s="6">
        <v>44028</v>
      </c>
      <c r="F1102" s="7">
        <v>425</v>
      </c>
      <c r="G1102" s="7">
        <v>2.83</v>
      </c>
    </row>
    <row r="1103" spans="1:7">
      <c r="A1103" s="4" t="s">
        <v>126</v>
      </c>
      <c r="B1103" s="4" t="s">
        <v>529</v>
      </c>
      <c r="C1103" s="4" t="s">
        <v>3170</v>
      </c>
      <c r="D1103" s="4" t="s">
        <v>784</v>
      </c>
      <c r="E1103" s="6">
        <v>44028</v>
      </c>
      <c r="F1103" s="7">
        <v>1</v>
      </c>
      <c r="G1103" s="7">
        <v>0</v>
      </c>
    </row>
    <row r="1104" spans="1:7">
      <c r="A1104" s="4" t="s">
        <v>12</v>
      </c>
      <c r="B1104" s="4" t="s">
        <v>594</v>
      </c>
      <c r="C1104" s="4" t="s">
        <v>3171</v>
      </c>
      <c r="D1104" s="4" t="s">
        <v>803</v>
      </c>
      <c r="E1104" s="6">
        <v>44063</v>
      </c>
      <c r="F1104" s="7">
        <v>1000</v>
      </c>
      <c r="G1104" s="7">
        <v>1.06</v>
      </c>
    </row>
    <row r="1105" spans="1:7">
      <c r="A1105" s="4" t="s">
        <v>12</v>
      </c>
      <c r="B1105" s="4" t="s">
        <v>594</v>
      </c>
      <c r="C1105" s="4" t="s">
        <v>3171</v>
      </c>
      <c r="D1105" s="4" t="s">
        <v>786</v>
      </c>
      <c r="E1105" s="6">
        <v>44063</v>
      </c>
      <c r="F1105" s="7">
        <v>2000</v>
      </c>
      <c r="G1105" s="7">
        <v>0.74</v>
      </c>
    </row>
    <row r="1106" spans="1:7">
      <c r="A1106" s="4" t="s">
        <v>12</v>
      </c>
      <c r="B1106" s="4" t="s">
        <v>594</v>
      </c>
      <c r="C1106" s="4" t="s">
        <v>3171</v>
      </c>
      <c r="D1106" s="4" t="s">
        <v>801</v>
      </c>
      <c r="E1106" s="6">
        <v>44063</v>
      </c>
      <c r="F1106" s="7">
        <v>1500</v>
      </c>
      <c r="G1106" s="7">
        <v>0.95</v>
      </c>
    </row>
    <row r="1107" spans="1:7">
      <c r="A1107" s="4" t="s">
        <v>12</v>
      </c>
      <c r="B1107" s="4" t="s">
        <v>594</v>
      </c>
      <c r="C1107" s="4" t="s">
        <v>3171</v>
      </c>
      <c r="D1107" s="4" t="s">
        <v>799</v>
      </c>
      <c r="E1107" s="6">
        <v>44063</v>
      </c>
      <c r="F1107" s="7">
        <v>1500</v>
      </c>
      <c r="G1107" s="7">
        <v>0.85</v>
      </c>
    </row>
    <row r="1108" spans="1:7">
      <c r="A1108" s="4" t="s">
        <v>12</v>
      </c>
      <c r="B1108" s="4" t="s">
        <v>594</v>
      </c>
      <c r="C1108" s="4" t="s">
        <v>3171</v>
      </c>
      <c r="D1108" s="4" t="s">
        <v>784</v>
      </c>
      <c r="E1108" s="6">
        <v>44063</v>
      </c>
      <c r="F1108" s="7">
        <v>1</v>
      </c>
      <c r="G1108" s="7">
        <v>0</v>
      </c>
    </row>
    <row r="1109" spans="1:7">
      <c r="A1109" s="4" t="s">
        <v>80</v>
      </c>
      <c r="B1109" s="4" t="s">
        <v>553</v>
      </c>
      <c r="C1109" s="4" t="s">
        <v>3172</v>
      </c>
      <c r="D1109" s="4" t="s">
        <v>2176</v>
      </c>
      <c r="E1109" s="6">
        <v>44042</v>
      </c>
      <c r="F1109" s="7">
        <v>110</v>
      </c>
      <c r="G1109" s="7">
        <v>8.5400000000000009</v>
      </c>
    </row>
    <row r="1110" spans="1:7">
      <c r="A1110" s="4" t="s">
        <v>80</v>
      </c>
      <c r="B1110" s="4" t="s">
        <v>553</v>
      </c>
      <c r="C1110" s="4" t="s">
        <v>3172</v>
      </c>
      <c r="D1110" s="4" t="s">
        <v>1904</v>
      </c>
      <c r="E1110" s="6">
        <v>44042</v>
      </c>
      <c r="F1110" s="7">
        <v>34</v>
      </c>
      <c r="G1110" s="7">
        <v>8.5400000000000009</v>
      </c>
    </row>
    <row r="1111" spans="1:7">
      <c r="A1111" s="4" t="s">
        <v>80</v>
      </c>
      <c r="B1111" s="4" t="s">
        <v>553</v>
      </c>
      <c r="C1111" s="4" t="s">
        <v>3172</v>
      </c>
      <c r="D1111" s="4" t="s">
        <v>2158</v>
      </c>
      <c r="E1111" s="6">
        <v>44042</v>
      </c>
      <c r="F1111" s="7">
        <v>12</v>
      </c>
      <c r="G1111" s="7">
        <v>9.0299999999999994</v>
      </c>
    </row>
    <row r="1112" spans="1:7">
      <c r="A1112" s="4" t="s">
        <v>80</v>
      </c>
      <c r="B1112" s="4" t="s">
        <v>553</v>
      </c>
      <c r="C1112" s="4" t="s">
        <v>3172</v>
      </c>
      <c r="D1112" s="4" t="s">
        <v>784</v>
      </c>
      <c r="E1112" s="6">
        <v>44042</v>
      </c>
      <c r="F1112" s="7">
        <v>1</v>
      </c>
      <c r="G1112" s="7">
        <v>0</v>
      </c>
    </row>
    <row r="1113" spans="1:7">
      <c r="A1113" s="4" t="s">
        <v>492</v>
      </c>
      <c r="B1113" s="4" t="s">
        <v>762</v>
      </c>
      <c r="C1113" s="4" t="s">
        <v>3173</v>
      </c>
      <c r="D1113" s="4" t="s">
        <v>2113</v>
      </c>
      <c r="E1113" s="6">
        <v>44021</v>
      </c>
      <c r="F1113" s="7">
        <v>-252</v>
      </c>
      <c r="G1113" s="7">
        <v>2.6100000000000003</v>
      </c>
    </row>
    <row r="1114" spans="1:7">
      <c r="A1114" s="4" t="s">
        <v>492</v>
      </c>
      <c r="B1114" s="4" t="s">
        <v>762</v>
      </c>
      <c r="C1114" s="4" t="s">
        <v>3173</v>
      </c>
      <c r="D1114" s="4" t="s">
        <v>784</v>
      </c>
      <c r="E1114" s="6">
        <v>44021</v>
      </c>
      <c r="F1114" s="7">
        <v>-1</v>
      </c>
      <c r="G1114" s="7">
        <v>0</v>
      </c>
    </row>
    <row r="1115" spans="1:7">
      <c r="A1115" s="4" t="s">
        <v>135</v>
      </c>
      <c r="B1115" s="4" t="s">
        <v>538</v>
      </c>
      <c r="C1115" s="4" t="s">
        <v>3174</v>
      </c>
      <c r="D1115" s="4" t="s">
        <v>916</v>
      </c>
      <c r="E1115" s="6">
        <v>44035</v>
      </c>
      <c r="F1115" s="7">
        <v>400</v>
      </c>
      <c r="G1115" s="7">
        <v>0.83</v>
      </c>
    </row>
    <row r="1116" spans="1:7">
      <c r="A1116" s="4" t="s">
        <v>135</v>
      </c>
      <c r="B1116" s="4" t="s">
        <v>538</v>
      </c>
      <c r="C1116" s="4" t="s">
        <v>3174</v>
      </c>
      <c r="D1116" s="4" t="s">
        <v>887</v>
      </c>
      <c r="E1116" s="6">
        <v>44035</v>
      </c>
      <c r="F1116" s="7">
        <v>500</v>
      </c>
      <c r="G1116" s="7">
        <v>0.57999999999999996</v>
      </c>
    </row>
    <row r="1117" spans="1:7">
      <c r="A1117" s="4" t="s">
        <v>135</v>
      </c>
      <c r="B1117" s="4" t="s">
        <v>538</v>
      </c>
      <c r="C1117" s="4" t="s">
        <v>3174</v>
      </c>
      <c r="D1117" s="4" t="s">
        <v>949</v>
      </c>
      <c r="E1117" s="6">
        <v>44035</v>
      </c>
      <c r="F1117" s="7">
        <v>100</v>
      </c>
      <c r="G1117" s="7">
        <v>0.61</v>
      </c>
    </row>
    <row r="1118" spans="1:7">
      <c r="A1118" s="4" t="s">
        <v>135</v>
      </c>
      <c r="B1118" s="4" t="s">
        <v>538</v>
      </c>
      <c r="C1118" s="4" t="s">
        <v>3174</v>
      </c>
      <c r="D1118" s="4" t="s">
        <v>955</v>
      </c>
      <c r="E1118" s="6">
        <v>44035</v>
      </c>
      <c r="F1118" s="7">
        <v>50</v>
      </c>
      <c r="G1118" s="7">
        <v>0.72</v>
      </c>
    </row>
    <row r="1119" spans="1:7">
      <c r="A1119" s="4" t="s">
        <v>135</v>
      </c>
      <c r="B1119" s="4" t="s">
        <v>538</v>
      </c>
      <c r="C1119" s="4" t="s">
        <v>3174</v>
      </c>
      <c r="D1119" s="4" t="s">
        <v>883</v>
      </c>
      <c r="E1119" s="6">
        <v>44035</v>
      </c>
      <c r="F1119" s="7">
        <v>20</v>
      </c>
      <c r="G1119" s="7">
        <v>1.35</v>
      </c>
    </row>
    <row r="1120" spans="1:7">
      <c r="A1120" s="4" t="s">
        <v>135</v>
      </c>
      <c r="B1120" s="4" t="s">
        <v>538</v>
      </c>
      <c r="C1120" s="4" t="s">
        <v>3174</v>
      </c>
      <c r="D1120" s="4" t="s">
        <v>891</v>
      </c>
      <c r="E1120" s="6">
        <v>44035</v>
      </c>
      <c r="F1120" s="7">
        <v>20</v>
      </c>
      <c r="G1120" s="7">
        <v>1.27</v>
      </c>
    </row>
    <row r="1121" spans="1:7">
      <c r="A1121" s="4" t="s">
        <v>135</v>
      </c>
      <c r="B1121" s="4" t="s">
        <v>538</v>
      </c>
      <c r="C1121" s="4" t="s">
        <v>3174</v>
      </c>
      <c r="D1121" s="4" t="s">
        <v>908</v>
      </c>
      <c r="E1121" s="6">
        <v>44035</v>
      </c>
      <c r="F1121" s="7">
        <v>30</v>
      </c>
      <c r="G1121" s="7">
        <v>0.79</v>
      </c>
    </row>
    <row r="1122" spans="1:7">
      <c r="A1122" s="4" t="s">
        <v>135</v>
      </c>
      <c r="B1122" s="4" t="s">
        <v>538</v>
      </c>
      <c r="C1122" s="4" t="s">
        <v>3174</v>
      </c>
      <c r="D1122" s="4" t="s">
        <v>877</v>
      </c>
      <c r="E1122" s="6">
        <v>44035</v>
      </c>
      <c r="F1122" s="7">
        <v>30</v>
      </c>
      <c r="G1122" s="7">
        <v>0.81</v>
      </c>
    </row>
    <row r="1123" spans="1:7">
      <c r="A1123" s="4" t="s">
        <v>135</v>
      </c>
      <c r="B1123" s="4" t="s">
        <v>538</v>
      </c>
      <c r="C1123" s="4" t="s">
        <v>3174</v>
      </c>
      <c r="D1123" s="4" t="s">
        <v>1904</v>
      </c>
      <c r="E1123" s="6">
        <v>44035</v>
      </c>
      <c r="F1123" s="7">
        <v>20</v>
      </c>
      <c r="G1123" s="7">
        <v>6.34</v>
      </c>
    </row>
    <row r="1124" spans="1:7">
      <c r="A1124" s="4" t="s">
        <v>135</v>
      </c>
      <c r="B1124" s="4" t="s">
        <v>538</v>
      </c>
      <c r="C1124" s="4" t="s">
        <v>3174</v>
      </c>
      <c r="D1124" s="4" t="s">
        <v>784</v>
      </c>
      <c r="E1124" s="6">
        <v>44035</v>
      </c>
      <c r="F1124" s="7">
        <v>1</v>
      </c>
      <c r="G1124" s="7">
        <v>0</v>
      </c>
    </row>
    <row r="1125" spans="1:7">
      <c r="A1125" s="4" t="s">
        <v>492</v>
      </c>
      <c r="B1125" s="4" t="s">
        <v>533</v>
      </c>
      <c r="C1125" s="4" t="s">
        <v>3175</v>
      </c>
      <c r="D1125" s="4" t="s">
        <v>2113</v>
      </c>
      <c r="E1125" s="6">
        <v>44021</v>
      </c>
      <c r="F1125" s="7">
        <v>252</v>
      </c>
      <c r="G1125" s="7">
        <v>2.6100000000000003</v>
      </c>
    </row>
    <row r="1126" spans="1:7">
      <c r="A1126" s="4" t="s">
        <v>492</v>
      </c>
      <c r="B1126" s="4" t="s">
        <v>533</v>
      </c>
      <c r="C1126" s="4" t="s">
        <v>3175</v>
      </c>
      <c r="D1126" s="4" t="s">
        <v>784</v>
      </c>
      <c r="E1126" s="6">
        <v>44021</v>
      </c>
      <c r="F1126" s="7">
        <v>1</v>
      </c>
      <c r="G1126" s="7">
        <v>0</v>
      </c>
    </row>
    <row r="1127" spans="1:7">
      <c r="A1127" s="4" t="s">
        <v>46</v>
      </c>
      <c r="B1127" s="4" t="s">
        <v>540</v>
      </c>
      <c r="C1127" s="4" t="s">
        <v>3176</v>
      </c>
      <c r="D1127" s="4" t="s">
        <v>942</v>
      </c>
      <c r="E1127" s="6">
        <v>44035</v>
      </c>
      <c r="F1127" s="7">
        <v>100</v>
      </c>
      <c r="G1127" s="7">
        <v>1.6600000000000001</v>
      </c>
    </row>
    <row r="1128" spans="1:7">
      <c r="A1128" s="4" t="s">
        <v>46</v>
      </c>
      <c r="B1128" s="4" t="s">
        <v>540</v>
      </c>
      <c r="C1128" s="4" t="s">
        <v>3176</v>
      </c>
      <c r="D1128" s="4" t="s">
        <v>979</v>
      </c>
      <c r="E1128" s="6">
        <v>44035</v>
      </c>
      <c r="F1128" s="7">
        <v>50</v>
      </c>
      <c r="G1128" s="7">
        <v>2</v>
      </c>
    </row>
    <row r="1129" spans="1:7">
      <c r="A1129" s="4" t="s">
        <v>46</v>
      </c>
      <c r="B1129" s="4" t="s">
        <v>540</v>
      </c>
      <c r="C1129" s="4" t="s">
        <v>3176</v>
      </c>
      <c r="D1129" s="4" t="s">
        <v>1126</v>
      </c>
      <c r="E1129" s="6">
        <v>44035</v>
      </c>
      <c r="F1129" s="7">
        <v>50</v>
      </c>
      <c r="G1129" s="7">
        <v>3.2299999999999995</v>
      </c>
    </row>
    <row r="1130" spans="1:7">
      <c r="A1130" s="4" t="s">
        <v>46</v>
      </c>
      <c r="B1130" s="4" t="s">
        <v>540</v>
      </c>
      <c r="C1130" s="4" t="s">
        <v>3176</v>
      </c>
      <c r="D1130" s="4" t="s">
        <v>849</v>
      </c>
      <c r="E1130" s="6">
        <v>44035</v>
      </c>
      <c r="F1130" s="7">
        <v>50</v>
      </c>
      <c r="G1130" s="7">
        <v>9.0400000000000009</v>
      </c>
    </row>
    <row r="1131" spans="1:7">
      <c r="A1131" s="4" t="s">
        <v>46</v>
      </c>
      <c r="B1131" s="4" t="s">
        <v>540</v>
      </c>
      <c r="C1131" s="4" t="s">
        <v>3176</v>
      </c>
      <c r="D1131" s="4" t="s">
        <v>1371</v>
      </c>
      <c r="E1131" s="6">
        <v>44035</v>
      </c>
      <c r="F1131" s="7">
        <v>100</v>
      </c>
      <c r="G1131" s="7">
        <v>2.48</v>
      </c>
    </row>
    <row r="1132" spans="1:7">
      <c r="A1132" s="4" t="s">
        <v>46</v>
      </c>
      <c r="B1132" s="4" t="s">
        <v>540</v>
      </c>
      <c r="C1132" s="4" t="s">
        <v>3176</v>
      </c>
      <c r="D1132" s="4" t="s">
        <v>784</v>
      </c>
      <c r="E1132" s="6">
        <v>44035</v>
      </c>
      <c r="F1132" s="7">
        <v>1</v>
      </c>
      <c r="G1132" s="7">
        <v>0</v>
      </c>
    </row>
    <row r="1133" spans="1:7">
      <c r="A1133" s="4" t="s">
        <v>15</v>
      </c>
      <c r="B1133" s="4" t="s">
        <v>542</v>
      </c>
      <c r="C1133" s="4" t="s">
        <v>3177</v>
      </c>
      <c r="D1133" s="4" t="s">
        <v>821</v>
      </c>
      <c r="E1133" s="6">
        <v>44039</v>
      </c>
      <c r="F1133" s="7">
        <v>300</v>
      </c>
      <c r="G1133" s="7">
        <v>4.12</v>
      </c>
    </row>
    <row r="1134" spans="1:7">
      <c r="A1134" s="4" t="s">
        <v>15</v>
      </c>
      <c r="B1134" s="4" t="s">
        <v>542</v>
      </c>
      <c r="C1134" s="4" t="s">
        <v>3177</v>
      </c>
      <c r="D1134" s="4" t="s">
        <v>1232</v>
      </c>
      <c r="E1134" s="6">
        <v>44039</v>
      </c>
      <c r="F1134" s="7">
        <v>30</v>
      </c>
      <c r="G1134" s="7">
        <v>7.07</v>
      </c>
    </row>
    <row r="1135" spans="1:7">
      <c r="A1135" s="4" t="s">
        <v>15</v>
      </c>
      <c r="B1135" s="4" t="s">
        <v>542</v>
      </c>
      <c r="C1135" s="4" t="s">
        <v>3177</v>
      </c>
      <c r="D1135" s="4" t="s">
        <v>1810</v>
      </c>
      <c r="E1135" s="6">
        <v>44039</v>
      </c>
      <c r="F1135" s="7">
        <v>10</v>
      </c>
      <c r="G1135" s="7">
        <v>2.06</v>
      </c>
    </row>
    <row r="1136" spans="1:7">
      <c r="A1136" s="4" t="s">
        <v>15</v>
      </c>
      <c r="B1136" s="4" t="s">
        <v>542</v>
      </c>
      <c r="C1136" s="4" t="s">
        <v>3177</v>
      </c>
      <c r="D1136" s="4" t="s">
        <v>881</v>
      </c>
      <c r="E1136" s="6">
        <v>44039</v>
      </c>
      <c r="F1136" s="7">
        <v>20</v>
      </c>
      <c r="G1136" s="7">
        <v>3.05</v>
      </c>
    </row>
    <row r="1137" spans="1:7">
      <c r="A1137" s="4" t="s">
        <v>15</v>
      </c>
      <c r="B1137" s="4" t="s">
        <v>542</v>
      </c>
      <c r="C1137" s="4" t="s">
        <v>3177</v>
      </c>
      <c r="D1137" s="4" t="s">
        <v>862</v>
      </c>
      <c r="E1137" s="6">
        <v>44039</v>
      </c>
      <c r="F1137" s="7">
        <v>40</v>
      </c>
      <c r="G1137" s="7">
        <v>6.1</v>
      </c>
    </row>
    <row r="1138" spans="1:7">
      <c r="A1138" s="4" t="s">
        <v>15</v>
      </c>
      <c r="B1138" s="4" t="s">
        <v>542</v>
      </c>
      <c r="C1138" s="4" t="s">
        <v>3177</v>
      </c>
      <c r="D1138" s="4" t="s">
        <v>1530</v>
      </c>
      <c r="E1138" s="6">
        <v>44039</v>
      </c>
      <c r="F1138" s="7">
        <v>30</v>
      </c>
      <c r="G1138" s="7">
        <v>2.42</v>
      </c>
    </row>
    <row r="1139" spans="1:7">
      <c r="A1139" s="4" t="s">
        <v>15</v>
      </c>
      <c r="B1139" s="4" t="s">
        <v>542</v>
      </c>
      <c r="C1139" s="4" t="s">
        <v>3177</v>
      </c>
      <c r="D1139" s="4" t="s">
        <v>784</v>
      </c>
      <c r="E1139" s="6">
        <v>44039</v>
      </c>
      <c r="F1139" s="7">
        <v>1</v>
      </c>
      <c r="G1139" s="7">
        <v>0</v>
      </c>
    </row>
    <row r="1140" spans="1:7">
      <c r="A1140" s="4" t="s">
        <v>59</v>
      </c>
      <c r="B1140" s="4" t="s">
        <v>551</v>
      </c>
      <c r="C1140" s="4" t="s">
        <v>3178</v>
      </c>
      <c r="D1140" s="4" t="s">
        <v>1345</v>
      </c>
      <c r="E1140" s="6">
        <v>44041</v>
      </c>
      <c r="F1140" s="7">
        <v>2000</v>
      </c>
      <c r="G1140" s="7">
        <v>0.1</v>
      </c>
    </row>
    <row r="1141" spans="1:7">
      <c r="A1141" s="4" t="s">
        <v>59</v>
      </c>
      <c r="B1141" s="4" t="s">
        <v>551</v>
      </c>
      <c r="C1141" s="4" t="s">
        <v>3178</v>
      </c>
      <c r="D1141" s="4" t="s">
        <v>1347</v>
      </c>
      <c r="E1141" s="6">
        <v>44041</v>
      </c>
      <c r="F1141" s="7">
        <v>5000</v>
      </c>
      <c r="G1141" s="7">
        <v>0.1</v>
      </c>
    </row>
    <row r="1142" spans="1:7">
      <c r="A1142" s="4" t="s">
        <v>59</v>
      </c>
      <c r="B1142" s="4" t="s">
        <v>551</v>
      </c>
      <c r="C1142" s="4" t="s">
        <v>3178</v>
      </c>
      <c r="D1142" s="4" t="s">
        <v>1349</v>
      </c>
      <c r="E1142" s="6">
        <v>44041</v>
      </c>
      <c r="F1142" s="7">
        <v>5000</v>
      </c>
      <c r="G1142" s="7">
        <v>0.1</v>
      </c>
    </row>
    <row r="1143" spans="1:7">
      <c r="A1143" s="4" t="s">
        <v>59</v>
      </c>
      <c r="B1143" s="4" t="s">
        <v>551</v>
      </c>
      <c r="C1143" s="4" t="s">
        <v>3178</v>
      </c>
      <c r="D1143" s="4" t="s">
        <v>784</v>
      </c>
      <c r="E1143" s="6">
        <v>44041</v>
      </c>
      <c r="F1143" s="7">
        <v>1</v>
      </c>
      <c r="G1143" s="7">
        <v>0</v>
      </c>
    </row>
    <row r="1144" spans="1:7">
      <c r="A1144" s="4" t="s">
        <v>24</v>
      </c>
      <c r="B1144" s="4" t="s">
        <v>546</v>
      </c>
      <c r="C1144" s="4" t="s">
        <v>3179</v>
      </c>
      <c r="D1144" s="4" t="s">
        <v>817</v>
      </c>
      <c r="E1144" s="6">
        <v>44041</v>
      </c>
      <c r="F1144" s="7">
        <v>600</v>
      </c>
      <c r="G1144" s="7">
        <v>1.64</v>
      </c>
    </row>
    <row r="1145" spans="1:7">
      <c r="A1145" s="4" t="s">
        <v>24</v>
      </c>
      <c r="B1145" s="4" t="s">
        <v>546</v>
      </c>
      <c r="C1145" s="4" t="s">
        <v>3179</v>
      </c>
      <c r="D1145" s="4" t="s">
        <v>1628</v>
      </c>
      <c r="E1145" s="6">
        <v>44041</v>
      </c>
      <c r="F1145" s="7">
        <v>40</v>
      </c>
      <c r="G1145" s="7">
        <v>1.7899999999999998</v>
      </c>
    </row>
    <row r="1146" spans="1:7">
      <c r="A1146" s="4" t="s">
        <v>24</v>
      </c>
      <c r="B1146" s="4" t="s">
        <v>546</v>
      </c>
      <c r="C1146" s="4" t="s">
        <v>3179</v>
      </c>
      <c r="D1146" s="4" t="s">
        <v>1104</v>
      </c>
      <c r="E1146" s="6">
        <v>44041</v>
      </c>
      <c r="F1146" s="7">
        <v>20</v>
      </c>
      <c r="G1146" s="7">
        <v>2.12</v>
      </c>
    </row>
    <row r="1147" spans="1:7">
      <c r="A1147" s="4" t="s">
        <v>24</v>
      </c>
      <c r="B1147" s="4" t="s">
        <v>546</v>
      </c>
      <c r="C1147" s="4" t="s">
        <v>3179</v>
      </c>
      <c r="D1147" s="4" t="s">
        <v>815</v>
      </c>
      <c r="E1147" s="6">
        <v>44041</v>
      </c>
      <c r="F1147" s="7">
        <v>50</v>
      </c>
      <c r="G1147" s="7">
        <v>3.6100000000000003</v>
      </c>
    </row>
    <row r="1148" spans="1:7">
      <c r="A1148" s="4" t="s">
        <v>24</v>
      </c>
      <c r="B1148" s="4" t="s">
        <v>546</v>
      </c>
      <c r="C1148" s="4" t="s">
        <v>3179</v>
      </c>
      <c r="D1148" s="4" t="s">
        <v>821</v>
      </c>
      <c r="E1148" s="6">
        <v>44041</v>
      </c>
      <c r="F1148" s="7">
        <v>20</v>
      </c>
      <c r="G1148" s="7">
        <v>4.13</v>
      </c>
    </row>
    <row r="1149" spans="1:7">
      <c r="A1149" s="4" t="s">
        <v>24</v>
      </c>
      <c r="B1149" s="4" t="s">
        <v>546</v>
      </c>
      <c r="C1149" s="4" t="s">
        <v>3179</v>
      </c>
      <c r="D1149" s="4" t="s">
        <v>1232</v>
      </c>
      <c r="E1149" s="6">
        <v>44041</v>
      </c>
      <c r="F1149" s="7">
        <v>20</v>
      </c>
      <c r="G1149" s="7">
        <v>7.07</v>
      </c>
    </row>
    <row r="1150" spans="1:7">
      <c r="A1150" s="4" t="s">
        <v>24</v>
      </c>
      <c r="B1150" s="4" t="s">
        <v>546</v>
      </c>
      <c r="C1150" s="4" t="s">
        <v>3179</v>
      </c>
      <c r="D1150" s="4" t="s">
        <v>823</v>
      </c>
      <c r="E1150" s="6">
        <v>44041</v>
      </c>
      <c r="F1150" s="7">
        <v>30</v>
      </c>
      <c r="G1150" s="7">
        <v>5.92</v>
      </c>
    </row>
    <row r="1151" spans="1:7">
      <c r="A1151" s="4" t="s">
        <v>24</v>
      </c>
      <c r="B1151" s="4" t="s">
        <v>546</v>
      </c>
      <c r="C1151" s="4" t="s">
        <v>3179</v>
      </c>
      <c r="D1151" s="4" t="s">
        <v>885</v>
      </c>
      <c r="E1151" s="6">
        <v>44041</v>
      </c>
      <c r="F1151" s="7">
        <v>20</v>
      </c>
      <c r="G1151" s="7">
        <v>6.4</v>
      </c>
    </row>
    <row r="1152" spans="1:7">
      <c r="A1152" s="4" t="s">
        <v>24</v>
      </c>
      <c r="B1152" s="4" t="s">
        <v>546</v>
      </c>
      <c r="C1152" s="4" t="s">
        <v>3179</v>
      </c>
      <c r="D1152" s="4" t="s">
        <v>784</v>
      </c>
      <c r="E1152" s="6">
        <v>44041</v>
      </c>
      <c r="F1152" s="7">
        <v>1</v>
      </c>
      <c r="G1152" s="7">
        <v>0</v>
      </c>
    </row>
    <row r="1153" spans="1:7">
      <c r="A1153" s="4" t="s">
        <v>564</v>
      </c>
      <c r="B1153" s="4" t="s">
        <v>565</v>
      </c>
      <c r="C1153" s="4" t="s">
        <v>3180</v>
      </c>
      <c r="D1153" s="4" t="s">
        <v>916</v>
      </c>
      <c r="E1153" s="6">
        <v>44050</v>
      </c>
      <c r="F1153" s="7">
        <v>200</v>
      </c>
      <c r="G1153" s="7">
        <v>0.9</v>
      </c>
    </row>
    <row r="1154" spans="1:7">
      <c r="A1154" s="4" t="s">
        <v>564</v>
      </c>
      <c r="B1154" s="4" t="s">
        <v>565</v>
      </c>
      <c r="C1154" s="4" t="s">
        <v>3180</v>
      </c>
      <c r="D1154" s="4" t="s">
        <v>1628</v>
      </c>
      <c r="E1154" s="6">
        <v>44050</v>
      </c>
      <c r="F1154" s="7">
        <v>50</v>
      </c>
      <c r="G1154" s="7">
        <v>2.2399999999999998</v>
      </c>
    </row>
    <row r="1155" spans="1:7">
      <c r="A1155" s="4" t="s">
        <v>564</v>
      </c>
      <c r="B1155" s="4" t="s">
        <v>565</v>
      </c>
      <c r="C1155" s="4" t="s">
        <v>3180</v>
      </c>
      <c r="D1155" s="4" t="s">
        <v>784</v>
      </c>
      <c r="E1155" s="6">
        <v>44050</v>
      </c>
      <c r="F1155" s="7">
        <v>1</v>
      </c>
      <c r="G1155" s="7">
        <v>0</v>
      </c>
    </row>
    <row r="1156" spans="1:7">
      <c r="A1156" s="4" t="s">
        <v>564</v>
      </c>
      <c r="B1156" s="4" t="s">
        <v>567</v>
      </c>
      <c r="C1156" s="4" t="s">
        <v>3181</v>
      </c>
      <c r="D1156" s="4" t="s">
        <v>887</v>
      </c>
      <c r="E1156" s="6">
        <v>44050</v>
      </c>
      <c r="F1156" s="7">
        <v>150</v>
      </c>
      <c r="G1156" s="7">
        <v>0.62</v>
      </c>
    </row>
    <row r="1157" spans="1:7">
      <c r="A1157" s="4" t="s">
        <v>564</v>
      </c>
      <c r="B1157" s="4" t="s">
        <v>567</v>
      </c>
      <c r="C1157" s="4" t="s">
        <v>3181</v>
      </c>
      <c r="D1157" s="4" t="s">
        <v>976</v>
      </c>
      <c r="E1157" s="6">
        <v>44050</v>
      </c>
      <c r="F1157" s="7">
        <v>50</v>
      </c>
      <c r="G1157" s="7">
        <v>1.24</v>
      </c>
    </row>
    <row r="1158" spans="1:7">
      <c r="A1158" s="4" t="s">
        <v>564</v>
      </c>
      <c r="B1158" s="4" t="s">
        <v>567</v>
      </c>
      <c r="C1158" s="4" t="s">
        <v>3181</v>
      </c>
      <c r="D1158" s="4" t="s">
        <v>784</v>
      </c>
      <c r="E1158" s="6">
        <v>44050</v>
      </c>
      <c r="F1158" s="7">
        <v>1</v>
      </c>
      <c r="G1158" s="7">
        <v>0</v>
      </c>
    </row>
    <row r="1159" spans="1:7">
      <c r="A1159" s="4" t="s">
        <v>236</v>
      </c>
      <c r="B1159" s="4" t="s">
        <v>544</v>
      </c>
      <c r="C1159" s="4" t="s">
        <v>3182</v>
      </c>
      <c r="D1159" s="4" t="s">
        <v>940</v>
      </c>
      <c r="E1159" s="6">
        <v>44040</v>
      </c>
      <c r="F1159" s="7">
        <v>3</v>
      </c>
      <c r="G1159" s="7">
        <v>2.04</v>
      </c>
    </row>
    <row r="1160" spans="1:7">
      <c r="A1160" s="4" t="s">
        <v>32</v>
      </c>
      <c r="B1160" s="4" t="s">
        <v>590</v>
      </c>
      <c r="C1160" s="4" t="s">
        <v>3183</v>
      </c>
      <c r="D1160" s="4" t="s">
        <v>936</v>
      </c>
      <c r="E1160" s="6">
        <v>44062</v>
      </c>
      <c r="F1160" s="7">
        <v>100</v>
      </c>
      <c r="G1160" s="7">
        <v>0.66</v>
      </c>
    </row>
    <row r="1161" spans="1:7">
      <c r="A1161" s="4" t="s">
        <v>32</v>
      </c>
      <c r="B1161" s="4" t="s">
        <v>590</v>
      </c>
      <c r="C1161" s="4" t="s">
        <v>3183</v>
      </c>
      <c r="D1161" s="4" t="s">
        <v>942</v>
      </c>
      <c r="E1161" s="6">
        <v>44062</v>
      </c>
      <c r="F1161" s="7">
        <v>100</v>
      </c>
      <c r="G1161" s="7">
        <v>1.44</v>
      </c>
    </row>
    <row r="1162" spans="1:7">
      <c r="A1162" s="4" t="s">
        <v>32</v>
      </c>
      <c r="B1162" s="4" t="s">
        <v>590</v>
      </c>
      <c r="C1162" s="4" t="s">
        <v>3183</v>
      </c>
      <c r="D1162" s="4" t="s">
        <v>1969</v>
      </c>
      <c r="E1162" s="6">
        <v>44062</v>
      </c>
      <c r="F1162" s="7">
        <v>50</v>
      </c>
      <c r="G1162" s="7">
        <v>2.27</v>
      </c>
    </row>
    <row r="1163" spans="1:7">
      <c r="A1163" s="4" t="s">
        <v>32</v>
      </c>
      <c r="B1163" s="4" t="s">
        <v>590</v>
      </c>
      <c r="C1163" s="4" t="s">
        <v>3183</v>
      </c>
      <c r="D1163" s="4" t="s">
        <v>1143</v>
      </c>
      <c r="E1163" s="6">
        <v>44062</v>
      </c>
      <c r="F1163" s="7">
        <v>100</v>
      </c>
      <c r="G1163" s="7">
        <v>0.54</v>
      </c>
    </row>
    <row r="1164" spans="1:7">
      <c r="A1164" s="4" t="s">
        <v>32</v>
      </c>
      <c r="B1164" s="4" t="s">
        <v>590</v>
      </c>
      <c r="C1164" s="4" t="s">
        <v>3183</v>
      </c>
      <c r="D1164" s="4" t="s">
        <v>1149</v>
      </c>
      <c r="E1164" s="6">
        <v>44062</v>
      </c>
      <c r="F1164" s="7">
        <v>50</v>
      </c>
      <c r="G1164" s="7">
        <v>0.95</v>
      </c>
    </row>
    <row r="1165" spans="1:7">
      <c r="A1165" s="4" t="s">
        <v>32</v>
      </c>
      <c r="B1165" s="4" t="s">
        <v>590</v>
      </c>
      <c r="C1165" s="4" t="s">
        <v>3183</v>
      </c>
      <c r="D1165" s="4" t="s">
        <v>1151</v>
      </c>
      <c r="E1165" s="6">
        <v>44062</v>
      </c>
      <c r="F1165" s="7">
        <v>50</v>
      </c>
      <c r="G1165" s="7">
        <v>1.19</v>
      </c>
    </row>
    <row r="1166" spans="1:7">
      <c r="A1166" s="4" t="s">
        <v>32</v>
      </c>
      <c r="B1166" s="4" t="s">
        <v>590</v>
      </c>
      <c r="C1166" s="4" t="s">
        <v>3183</v>
      </c>
      <c r="D1166" s="4" t="s">
        <v>1516</v>
      </c>
      <c r="E1166" s="6">
        <v>44062</v>
      </c>
      <c r="F1166" s="7">
        <v>100</v>
      </c>
      <c r="G1166" s="7">
        <v>1.89</v>
      </c>
    </row>
    <row r="1167" spans="1:7">
      <c r="A1167" s="4" t="s">
        <v>32</v>
      </c>
      <c r="B1167" s="4" t="s">
        <v>590</v>
      </c>
      <c r="C1167" s="4" t="s">
        <v>3183</v>
      </c>
      <c r="D1167" s="4" t="s">
        <v>2234</v>
      </c>
      <c r="E1167" s="6">
        <v>44062</v>
      </c>
      <c r="F1167" s="7">
        <v>41</v>
      </c>
      <c r="G1167" s="7">
        <v>1.05</v>
      </c>
    </row>
    <row r="1168" spans="1:7">
      <c r="A1168" s="4" t="s">
        <v>32</v>
      </c>
      <c r="B1168" s="4" t="s">
        <v>590</v>
      </c>
      <c r="C1168" s="4" t="s">
        <v>3183</v>
      </c>
      <c r="D1168" s="4" t="s">
        <v>1739</v>
      </c>
      <c r="E1168" s="6">
        <v>44062</v>
      </c>
      <c r="F1168" s="7">
        <v>68</v>
      </c>
      <c r="G1168" s="7">
        <v>0.44</v>
      </c>
    </row>
    <row r="1169" spans="1:7">
      <c r="A1169" s="4" t="s">
        <v>32</v>
      </c>
      <c r="B1169" s="4" t="s">
        <v>590</v>
      </c>
      <c r="C1169" s="4" t="s">
        <v>3183</v>
      </c>
      <c r="D1169" s="4" t="s">
        <v>1129</v>
      </c>
      <c r="E1169" s="6">
        <v>44062</v>
      </c>
      <c r="F1169" s="7">
        <v>400</v>
      </c>
      <c r="G1169" s="7">
        <v>0.31</v>
      </c>
    </row>
    <row r="1170" spans="1:7">
      <c r="A1170" s="4" t="s">
        <v>32</v>
      </c>
      <c r="B1170" s="4" t="s">
        <v>590</v>
      </c>
      <c r="C1170" s="4" t="s">
        <v>3183</v>
      </c>
      <c r="D1170" s="4" t="s">
        <v>1598</v>
      </c>
      <c r="E1170" s="6">
        <v>44062</v>
      </c>
      <c r="F1170" s="7">
        <v>50</v>
      </c>
      <c r="G1170" s="7">
        <v>0.73</v>
      </c>
    </row>
    <row r="1171" spans="1:7">
      <c r="A1171" s="4" t="s">
        <v>32</v>
      </c>
      <c r="B1171" s="4" t="s">
        <v>590</v>
      </c>
      <c r="C1171" s="4" t="s">
        <v>3183</v>
      </c>
      <c r="D1171" s="4" t="s">
        <v>1737</v>
      </c>
      <c r="E1171" s="6">
        <v>44062</v>
      </c>
      <c r="F1171" s="7">
        <v>50</v>
      </c>
      <c r="G1171" s="7">
        <v>0.4</v>
      </c>
    </row>
    <row r="1172" spans="1:7">
      <c r="A1172" s="4" t="s">
        <v>32</v>
      </c>
      <c r="B1172" s="4" t="s">
        <v>590</v>
      </c>
      <c r="C1172" s="4" t="s">
        <v>3183</v>
      </c>
      <c r="D1172" s="4" t="s">
        <v>1323</v>
      </c>
      <c r="E1172" s="6">
        <v>44062</v>
      </c>
      <c r="F1172" s="7">
        <v>50</v>
      </c>
      <c r="G1172" s="7">
        <v>0.39</v>
      </c>
    </row>
    <row r="1173" spans="1:7">
      <c r="A1173" s="4" t="s">
        <v>32</v>
      </c>
      <c r="B1173" s="4" t="s">
        <v>590</v>
      </c>
      <c r="C1173" s="4" t="s">
        <v>3183</v>
      </c>
      <c r="D1173" s="4" t="s">
        <v>1131</v>
      </c>
      <c r="E1173" s="6">
        <v>44062</v>
      </c>
      <c r="F1173" s="7">
        <v>250</v>
      </c>
      <c r="G1173" s="7">
        <v>0.19</v>
      </c>
    </row>
    <row r="1174" spans="1:7">
      <c r="A1174" s="4" t="s">
        <v>32</v>
      </c>
      <c r="B1174" s="4" t="s">
        <v>590</v>
      </c>
      <c r="C1174" s="4" t="s">
        <v>3183</v>
      </c>
      <c r="D1174" s="4" t="s">
        <v>1129</v>
      </c>
      <c r="E1174" s="6">
        <v>44062</v>
      </c>
      <c r="F1174" s="7">
        <v>150</v>
      </c>
      <c r="G1174" s="7">
        <v>0.31</v>
      </c>
    </row>
    <row r="1175" spans="1:7">
      <c r="A1175" s="4" t="s">
        <v>32</v>
      </c>
      <c r="B1175" s="4" t="s">
        <v>590</v>
      </c>
      <c r="C1175" s="4" t="s">
        <v>3183</v>
      </c>
      <c r="D1175" s="4" t="s">
        <v>784</v>
      </c>
      <c r="E1175" s="6">
        <v>44062</v>
      </c>
      <c r="F1175" s="7">
        <v>1</v>
      </c>
      <c r="G1175" s="7">
        <v>0</v>
      </c>
    </row>
    <row r="1176" spans="1:7">
      <c r="A1176" s="4" t="s">
        <v>46</v>
      </c>
      <c r="B1176" s="4" t="s">
        <v>555</v>
      </c>
      <c r="C1176" s="4" t="s">
        <v>3184</v>
      </c>
      <c r="D1176" s="4" t="s">
        <v>875</v>
      </c>
      <c r="E1176" s="6">
        <v>44046</v>
      </c>
      <c r="F1176" s="7">
        <v>50</v>
      </c>
      <c r="G1176" s="7">
        <v>0.72</v>
      </c>
    </row>
    <row r="1177" spans="1:7">
      <c r="A1177" s="4" t="s">
        <v>46</v>
      </c>
      <c r="B1177" s="4" t="s">
        <v>555</v>
      </c>
      <c r="C1177" s="4" t="s">
        <v>3184</v>
      </c>
      <c r="D1177" s="4" t="s">
        <v>1028</v>
      </c>
      <c r="E1177" s="6">
        <v>44046</v>
      </c>
      <c r="F1177" s="7">
        <v>550</v>
      </c>
      <c r="G1177" s="7">
        <v>1.67</v>
      </c>
    </row>
    <row r="1178" spans="1:7">
      <c r="A1178" s="4" t="s">
        <v>46</v>
      </c>
      <c r="B1178" s="4" t="s">
        <v>555</v>
      </c>
      <c r="C1178" s="4" t="s">
        <v>3184</v>
      </c>
      <c r="D1178" s="4" t="s">
        <v>1165</v>
      </c>
      <c r="E1178" s="6">
        <v>44046</v>
      </c>
      <c r="F1178" s="7">
        <v>50</v>
      </c>
      <c r="G1178" s="7">
        <v>1.52</v>
      </c>
    </row>
    <row r="1179" spans="1:7">
      <c r="A1179" s="4" t="s">
        <v>46</v>
      </c>
      <c r="B1179" s="4" t="s">
        <v>555</v>
      </c>
      <c r="C1179" s="4" t="s">
        <v>3184</v>
      </c>
      <c r="D1179" s="4" t="s">
        <v>784</v>
      </c>
      <c r="E1179" s="6">
        <v>44046</v>
      </c>
      <c r="F1179" s="7">
        <v>1</v>
      </c>
      <c r="G1179" s="7">
        <v>0</v>
      </c>
    </row>
    <row r="1180" spans="1:7">
      <c r="A1180" s="4" t="s">
        <v>132</v>
      </c>
      <c r="B1180" s="4" t="s">
        <v>588</v>
      </c>
      <c r="C1180" s="4" t="s">
        <v>3185</v>
      </c>
      <c r="D1180" s="4" t="s">
        <v>970</v>
      </c>
      <c r="E1180" s="6">
        <v>44060</v>
      </c>
      <c r="F1180" s="7">
        <v>750</v>
      </c>
      <c r="G1180" s="7">
        <v>4.18</v>
      </c>
    </row>
    <row r="1181" spans="1:7">
      <c r="A1181" s="4" t="s">
        <v>132</v>
      </c>
      <c r="B1181" s="4" t="s">
        <v>588</v>
      </c>
      <c r="C1181" s="4" t="s">
        <v>3185</v>
      </c>
      <c r="D1181" s="4" t="s">
        <v>968</v>
      </c>
      <c r="E1181" s="6">
        <v>44060</v>
      </c>
      <c r="F1181" s="7">
        <v>50</v>
      </c>
      <c r="G1181" s="7">
        <v>10.3</v>
      </c>
    </row>
    <row r="1182" spans="1:7">
      <c r="A1182" s="4" t="s">
        <v>132</v>
      </c>
      <c r="B1182" s="4" t="s">
        <v>588</v>
      </c>
      <c r="C1182" s="4" t="s">
        <v>3185</v>
      </c>
      <c r="D1182" s="4" t="s">
        <v>2272</v>
      </c>
      <c r="E1182" s="6">
        <v>44060</v>
      </c>
      <c r="F1182" s="7">
        <v>290</v>
      </c>
      <c r="G1182" s="7">
        <v>12.14</v>
      </c>
    </row>
    <row r="1183" spans="1:7">
      <c r="A1183" s="4" t="s">
        <v>132</v>
      </c>
      <c r="B1183" s="4" t="s">
        <v>588</v>
      </c>
      <c r="C1183" s="4" t="s">
        <v>3185</v>
      </c>
      <c r="D1183" s="4" t="s">
        <v>968</v>
      </c>
      <c r="E1183" s="6">
        <v>44060</v>
      </c>
      <c r="F1183" s="7">
        <v>150</v>
      </c>
      <c r="G1183" s="7">
        <v>12.38</v>
      </c>
    </row>
    <row r="1184" spans="1:7">
      <c r="A1184" s="4" t="s">
        <v>132</v>
      </c>
      <c r="B1184" s="4" t="s">
        <v>588</v>
      </c>
      <c r="C1184" s="4" t="s">
        <v>3185</v>
      </c>
      <c r="D1184" s="4" t="s">
        <v>968</v>
      </c>
      <c r="E1184" s="6">
        <v>44060</v>
      </c>
      <c r="F1184" s="7">
        <v>250</v>
      </c>
      <c r="G1184" s="7">
        <v>12.73</v>
      </c>
    </row>
    <row r="1185" spans="1:7">
      <c r="A1185" s="4" t="s">
        <v>132</v>
      </c>
      <c r="B1185" s="4" t="s">
        <v>588</v>
      </c>
      <c r="C1185" s="4" t="s">
        <v>3185</v>
      </c>
      <c r="D1185" s="4" t="s">
        <v>968</v>
      </c>
      <c r="E1185" s="6">
        <v>44060</v>
      </c>
      <c r="F1185" s="7">
        <v>200</v>
      </c>
      <c r="G1185" s="7">
        <v>14.04</v>
      </c>
    </row>
    <row r="1186" spans="1:7">
      <c r="A1186" s="4" t="s">
        <v>132</v>
      </c>
      <c r="B1186" s="4" t="s">
        <v>588</v>
      </c>
      <c r="C1186" s="4" t="s">
        <v>3185</v>
      </c>
      <c r="D1186" s="4" t="s">
        <v>968</v>
      </c>
      <c r="E1186" s="6">
        <v>44060</v>
      </c>
      <c r="F1186" s="7">
        <v>80</v>
      </c>
      <c r="G1186" s="7">
        <v>14.45</v>
      </c>
    </row>
    <row r="1187" spans="1:7">
      <c r="A1187" s="4" t="s">
        <v>132</v>
      </c>
      <c r="B1187" s="4" t="s">
        <v>588</v>
      </c>
      <c r="C1187" s="4" t="s">
        <v>3185</v>
      </c>
      <c r="D1187" s="4" t="s">
        <v>784</v>
      </c>
      <c r="E1187" s="6">
        <v>44060</v>
      </c>
      <c r="F1187" s="7">
        <v>1</v>
      </c>
      <c r="G1187" s="7">
        <v>0</v>
      </c>
    </row>
    <row r="1188" spans="1:7">
      <c r="A1188" s="4" t="s">
        <v>29</v>
      </c>
      <c r="B1188" s="4" t="s">
        <v>600</v>
      </c>
      <c r="C1188" s="4" t="s">
        <v>3186</v>
      </c>
      <c r="D1188" s="4" t="s">
        <v>1628</v>
      </c>
      <c r="E1188" s="6">
        <v>44068</v>
      </c>
      <c r="F1188" s="7">
        <v>200</v>
      </c>
      <c r="G1188" s="7">
        <v>1.6600000000000001</v>
      </c>
    </row>
    <row r="1189" spans="1:7">
      <c r="A1189" s="4" t="s">
        <v>29</v>
      </c>
      <c r="B1189" s="4" t="s">
        <v>600</v>
      </c>
      <c r="C1189" s="4" t="s">
        <v>3186</v>
      </c>
      <c r="D1189" s="4" t="s">
        <v>976</v>
      </c>
      <c r="E1189" s="6">
        <v>44068</v>
      </c>
      <c r="F1189" s="7">
        <v>400</v>
      </c>
      <c r="G1189" s="7">
        <v>1.1499999999999999</v>
      </c>
    </row>
    <row r="1190" spans="1:7">
      <c r="A1190" s="4" t="s">
        <v>29</v>
      </c>
      <c r="B1190" s="4" t="s">
        <v>600</v>
      </c>
      <c r="C1190" s="4" t="s">
        <v>3186</v>
      </c>
      <c r="D1190" s="4" t="s">
        <v>813</v>
      </c>
      <c r="E1190" s="6">
        <v>44068</v>
      </c>
      <c r="F1190" s="7">
        <v>50</v>
      </c>
      <c r="G1190" s="7">
        <v>2.13</v>
      </c>
    </row>
    <row r="1191" spans="1:7">
      <c r="A1191" s="4" t="s">
        <v>29</v>
      </c>
      <c r="B1191" s="4" t="s">
        <v>600</v>
      </c>
      <c r="C1191" s="4" t="s">
        <v>3186</v>
      </c>
      <c r="D1191" s="4" t="s">
        <v>1298</v>
      </c>
      <c r="E1191" s="6">
        <v>44068</v>
      </c>
      <c r="F1191" s="7">
        <v>200</v>
      </c>
      <c r="G1191" s="7">
        <v>2.54</v>
      </c>
    </row>
    <row r="1192" spans="1:7">
      <c r="A1192" s="4" t="s">
        <v>29</v>
      </c>
      <c r="B1192" s="4" t="s">
        <v>600</v>
      </c>
      <c r="C1192" s="4" t="s">
        <v>3186</v>
      </c>
      <c r="D1192" s="4" t="s">
        <v>2248</v>
      </c>
      <c r="E1192" s="6">
        <v>44068</v>
      </c>
      <c r="F1192" s="7">
        <v>150</v>
      </c>
      <c r="G1192" s="7">
        <v>2.4500000000000002</v>
      </c>
    </row>
    <row r="1193" spans="1:7">
      <c r="A1193" s="4" t="s">
        <v>29</v>
      </c>
      <c r="B1193" s="4" t="s">
        <v>600</v>
      </c>
      <c r="C1193" s="4" t="s">
        <v>3186</v>
      </c>
      <c r="D1193" s="4" t="s">
        <v>1104</v>
      </c>
      <c r="E1193" s="6">
        <v>44068</v>
      </c>
      <c r="F1193" s="7">
        <v>200</v>
      </c>
      <c r="G1193" s="7">
        <v>1.97</v>
      </c>
    </row>
    <row r="1194" spans="1:7">
      <c r="A1194" s="4" t="s">
        <v>29</v>
      </c>
      <c r="B1194" s="4" t="s">
        <v>600</v>
      </c>
      <c r="C1194" s="4" t="s">
        <v>3186</v>
      </c>
      <c r="D1194" s="4" t="s">
        <v>1106</v>
      </c>
      <c r="E1194" s="6">
        <v>44068</v>
      </c>
      <c r="F1194" s="7">
        <v>300</v>
      </c>
      <c r="G1194" s="7">
        <v>1.6600000000000001</v>
      </c>
    </row>
    <row r="1195" spans="1:7">
      <c r="A1195" s="4" t="s">
        <v>29</v>
      </c>
      <c r="B1195" s="4" t="s">
        <v>600</v>
      </c>
      <c r="C1195" s="4" t="s">
        <v>3186</v>
      </c>
      <c r="D1195" s="4" t="s">
        <v>2252</v>
      </c>
      <c r="E1195" s="6">
        <v>44068</v>
      </c>
      <c r="F1195" s="7">
        <v>50</v>
      </c>
      <c r="G1195" s="7">
        <v>4.58</v>
      </c>
    </row>
    <row r="1196" spans="1:7">
      <c r="A1196" s="4" t="s">
        <v>29</v>
      </c>
      <c r="B1196" s="4" t="s">
        <v>600</v>
      </c>
      <c r="C1196" s="4" t="s">
        <v>3186</v>
      </c>
      <c r="D1196" s="4" t="s">
        <v>2254</v>
      </c>
      <c r="E1196" s="6">
        <v>44068</v>
      </c>
      <c r="F1196" s="7">
        <v>75</v>
      </c>
      <c r="G1196" s="7">
        <v>2.06</v>
      </c>
    </row>
    <row r="1197" spans="1:7">
      <c r="A1197" s="4" t="s">
        <v>29</v>
      </c>
      <c r="B1197" s="4" t="s">
        <v>600</v>
      </c>
      <c r="C1197" s="4" t="s">
        <v>3186</v>
      </c>
      <c r="D1197" s="4" t="s">
        <v>1640</v>
      </c>
      <c r="E1197" s="6">
        <v>44068</v>
      </c>
      <c r="F1197" s="7">
        <v>75</v>
      </c>
      <c r="G1197" s="7">
        <v>3.17</v>
      </c>
    </row>
    <row r="1198" spans="1:7">
      <c r="A1198" s="4" t="s">
        <v>29</v>
      </c>
      <c r="B1198" s="4" t="s">
        <v>600</v>
      </c>
      <c r="C1198" s="4" t="s">
        <v>3186</v>
      </c>
      <c r="D1198" s="4" t="s">
        <v>784</v>
      </c>
      <c r="E1198" s="6">
        <v>44068</v>
      </c>
      <c r="F1198" s="7">
        <v>1</v>
      </c>
      <c r="G1198" s="7">
        <v>140</v>
      </c>
    </row>
    <row r="1199" spans="1:7">
      <c r="A1199" s="4" t="s">
        <v>38</v>
      </c>
      <c r="B1199" s="4" t="s">
        <v>576</v>
      </c>
      <c r="C1199" s="4" t="s">
        <v>3187</v>
      </c>
      <c r="D1199" s="4" t="s">
        <v>1537</v>
      </c>
      <c r="E1199" s="6">
        <v>44056</v>
      </c>
      <c r="F1199" s="7">
        <v>1</v>
      </c>
      <c r="G1199" s="7">
        <v>1125</v>
      </c>
    </row>
    <row r="1200" spans="1:7">
      <c r="A1200" s="4" t="s">
        <v>38</v>
      </c>
      <c r="B1200" s="4" t="s">
        <v>576</v>
      </c>
      <c r="C1200" s="4" t="s">
        <v>3187</v>
      </c>
      <c r="D1200" s="4" t="s">
        <v>840</v>
      </c>
      <c r="E1200" s="6">
        <v>44056</v>
      </c>
      <c r="F1200" s="7">
        <v>1</v>
      </c>
      <c r="G1200" s="7">
        <v>0</v>
      </c>
    </row>
    <row r="1201" spans="1:7">
      <c r="A1201" s="4" t="s">
        <v>38</v>
      </c>
      <c r="B1201" s="4" t="s">
        <v>576</v>
      </c>
      <c r="C1201" s="4" t="s">
        <v>3187</v>
      </c>
      <c r="D1201" s="4" t="s">
        <v>784</v>
      </c>
      <c r="E1201" s="6">
        <v>44056</v>
      </c>
      <c r="F1201" s="7">
        <v>1</v>
      </c>
      <c r="G1201" s="7">
        <v>0</v>
      </c>
    </row>
    <row r="1202" spans="1:7">
      <c r="A1202" s="4" t="s">
        <v>561</v>
      </c>
      <c r="B1202" s="4" t="s">
        <v>562</v>
      </c>
      <c r="C1202" s="4" t="s">
        <v>3188</v>
      </c>
      <c r="D1202" s="4" t="s">
        <v>979</v>
      </c>
      <c r="E1202" s="6">
        <v>44050</v>
      </c>
      <c r="F1202" s="7">
        <v>20</v>
      </c>
      <c r="G1202" s="7">
        <v>3.84</v>
      </c>
    </row>
    <row r="1203" spans="1:7">
      <c r="A1203" s="4" t="s">
        <v>561</v>
      </c>
      <c r="B1203" s="4" t="s">
        <v>562</v>
      </c>
      <c r="C1203" s="4" t="s">
        <v>3188</v>
      </c>
      <c r="D1203" s="4" t="s">
        <v>784</v>
      </c>
      <c r="E1203" s="6">
        <v>44050</v>
      </c>
      <c r="F1203" s="7">
        <v>1</v>
      </c>
      <c r="G1203" s="7">
        <v>0</v>
      </c>
    </row>
    <row r="1204" spans="1:7">
      <c r="A1204" s="4" t="s">
        <v>46</v>
      </c>
      <c r="B1204" s="4" t="s">
        <v>574</v>
      </c>
      <c r="C1204" s="4" t="s">
        <v>3189</v>
      </c>
      <c r="D1204" s="4" t="s">
        <v>949</v>
      </c>
      <c r="E1204" s="6">
        <v>44056</v>
      </c>
      <c r="F1204" s="7">
        <v>150</v>
      </c>
      <c r="G1204" s="7">
        <v>0.61</v>
      </c>
    </row>
    <row r="1205" spans="1:7">
      <c r="A1205" s="4" t="s">
        <v>46</v>
      </c>
      <c r="B1205" s="4" t="s">
        <v>574</v>
      </c>
      <c r="C1205" s="4" t="s">
        <v>3189</v>
      </c>
      <c r="D1205" s="4" t="s">
        <v>1168</v>
      </c>
      <c r="E1205" s="6">
        <v>44056</v>
      </c>
      <c r="F1205" s="7">
        <v>150</v>
      </c>
      <c r="G1205" s="7">
        <v>1.04</v>
      </c>
    </row>
    <row r="1206" spans="1:7">
      <c r="A1206" s="4" t="s">
        <v>46</v>
      </c>
      <c r="B1206" s="4" t="s">
        <v>574</v>
      </c>
      <c r="C1206" s="4" t="s">
        <v>3189</v>
      </c>
      <c r="D1206" s="4" t="s">
        <v>1581</v>
      </c>
      <c r="E1206" s="6">
        <v>44056</v>
      </c>
      <c r="F1206" s="7">
        <v>50</v>
      </c>
      <c r="G1206" s="7">
        <v>1.72</v>
      </c>
    </row>
    <row r="1207" spans="1:7">
      <c r="A1207" s="4" t="s">
        <v>46</v>
      </c>
      <c r="B1207" s="4" t="s">
        <v>574</v>
      </c>
      <c r="C1207" s="4" t="s">
        <v>3189</v>
      </c>
      <c r="D1207" s="4" t="s">
        <v>966</v>
      </c>
      <c r="E1207" s="6">
        <v>44056</v>
      </c>
      <c r="F1207" s="7">
        <v>100</v>
      </c>
      <c r="G1207" s="7">
        <v>0.9</v>
      </c>
    </row>
    <row r="1208" spans="1:7">
      <c r="A1208" s="4" t="s">
        <v>46</v>
      </c>
      <c r="B1208" s="4" t="s">
        <v>574</v>
      </c>
      <c r="C1208" s="4" t="s">
        <v>3189</v>
      </c>
      <c r="D1208" s="4" t="s">
        <v>1232</v>
      </c>
      <c r="E1208" s="6">
        <v>44056</v>
      </c>
      <c r="F1208" s="7">
        <v>100</v>
      </c>
      <c r="G1208" s="7">
        <v>6.56</v>
      </c>
    </row>
    <row r="1209" spans="1:7">
      <c r="A1209" s="4" t="s">
        <v>46</v>
      </c>
      <c r="B1209" s="4" t="s">
        <v>574</v>
      </c>
      <c r="C1209" s="4" t="s">
        <v>3189</v>
      </c>
      <c r="D1209" s="4" t="s">
        <v>1146</v>
      </c>
      <c r="E1209" s="6">
        <v>44056</v>
      </c>
      <c r="F1209" s="7">
        <v>100</v>
      </c>
      <c r="G1209" s="7">
        <v>1.3900000000000001</v>
      </c>
    </row>
    <row r="1210" spans="1:7">
      <c r="A1210" s="4" t="s">
        <v>46</v>
      </c>
      <c r="B1210" s="4" t="s">
        <v>574</v>
      </c>
      <c r="C1210" s="4" t="s">
        <v>3189</v>
      </c>
      <c r="D1210" s="4" t="s">
        <v>784</v>
      </c>
      <c r="E1210" s="6">
        <v>44056</v>
      </c>
      <c r="F1210" s="7">
        <v>1</v>
      </c>
      <c r="G1210" s="7">
        <v>0</v>
      </c>
    </row>
    <row r="1211" spans="1:7">
      <c r="A1211" s="4" t="s">
        <v>88</v>
      </c>
      <c r="B1211" s="4" t="s">
        <v>586</v>
      </c>
      <c r="C1211" s="4" t="s">
        <v>3190</v>
      </c>
      <c r="D1211" s="4" t="s">
        <v>889</v>
      </c>
      <c r="E1211" s="6">
        <v>44060</v>
      </c>
      <c r="F1211" s="7">
        <v>10</v>
      </c>
      <c r="G1211" s="7">
        <v>0.77</v>
      </c>
    </row>
    <row r="1212" spans="1:7">
      <c r="A1212" s="4" t="s">
        <v>88</v>
      </c>
      <c r="B1212" s="4" t="s">
        <v>586</v>
      </c>
      <c r="C1212" s="4" t="s">
        <v>3190</v>
      </c>
      <c r="D1212" s="4" t="s">
        <v>952</v>
      </c>
      <c r="E1212" s="6">
        <v>44060</v>
      </c>
      <c r="F1212" s="7">
        <v>20</v>
      </c>
      <c r="G1212" s="7">
        <v>0.81</v>
      </c>
    </row>
    <row r="1213" spans="1:7">
      <c r="A1213" s="4" t="s">
        <v>88</v>
      </c>
      <c r="B1213" s="4" t="s">
        <v>586</v>
      </c>
      <c r="C1213" s="4" t="s">
        <v>3190</v>
      </c>
      <c r="D1213" s="4" t="s">
        <v>1011</v>
      </c>
      <c r="E1213" s="6">
        <v>44060</v>
      </c>
      <c r="F1213" s="7">
        <v>10</v>
      </c>
      <c r="G1213" s="7">
        <v>0.85</v>
      </c>
    </row>
    <row r="1214" spans="1:7">
      <c r="A1214" s="4" t="s">
        <v>88</v>
      </c>
      <c r="B1214" s="4" t="s">
        <v>586</v>
      </c>
      <c r="C1214" s="4" t="s">
        <v>3190</v>
      </c>
      <c r="D1214" s="4" t="s">
        <v>877</v>
      </c>
      <c r="E1214" s="6">
        <v>44060</v>
      </c>
      <c r="F1214" s="7">
        <v>5</v>
      </c>
      <c r="G1214" s="7">
        <v>0.87</v>
      </c>
    </row>
    <row r="1215" spans="1:7">
      <c r="A1215" s="4" t="s">
        <v>88</v>
      </c>
      <c r="B1215" s="4" t="s">
        <v>586</v>
      </c>
      <c r="C1215" s="4" t="s">
        <v>3190</v>
      </c>
      <c r="D1215" s="4" t="s">
        <v>1015</v>
      </c>
      <c r="E1215" s="6">
        <v>44060</v>
      </c>
      <c r="F1215" s="7">
        <v>5</v>
      </c>
      <c r="G1215" s="7">
        <v>1.35</v>
      </c>
    </row>
    <row r="1216" spans="1:7">
      <c r="A1216" s="4" t="s">
        <v>88</v>
      </c>
      <c r="B1216" s="4" t="s">
        <v>586</v>
      </c>
      <c r="C1216" s="4" t="s">
        <v>3190</v>
      </c>
      <c r="D1216" s="4" t="s">
        <v>993</v>
      </c>
      <c r="E1216" s="6">
        <v>44060</v>
      </c>
      <c r="F1216" s="7">
        <v>20</v>
      </c>
      <c r="G1216" s="7">
        <v>0.47</v>
      </c>
    </row>
    <row r="1217" spans="1:7">
      <c r="A1217" s="4" t="s">
        <v>88</v>
      </c>
      <c r="B1217" s="4" t="s">
        <v>586</v>
      </c>
      <c r="C1217" s="4" t="s">
        <v>3190</v>
      </c>
      <c r="D1217" s="4" t="s">
        <v>873</v>
      </c>
      <c r="E1217" s="6">
        <v>44060</v>
      </c>
      <c r="F1217" s="7">
        <v>25</v>
      </c>
      <c r="G1217" s="7">
        <v>0.56000000000000005</v>
      </c>
    </row>
    <row r="1218" spans="1:7">
      <c r="A1218" s="4" t="s">
        <v>88</v>
      </c>
      <c r="B1218" s="4" t="s">
        <v>586</v>
      </c>
      <c r="C1218" s="4" t="s">
        <v>3190</v>
      </c>
      <c r="D1218" s="4" t="s">
        <v>936</v>
      </c>
      <c r="E1218" s="6">
        <v>44060</v>
      </c>
      <c r="F1218" s="7">
        <v>15</v>
      </c>
      <c r="G1218" s="7">
        <v>0.82</v>
      </c>
    </row>
    <row r="1219" spans="1:7">
      <c r="A1219" s="4" t="s">
        <v>88</v>
      </c>
      <c r="B1219" s="4" t="s">
        <v>586</v>
      </c>
      <c r="C1219" s="4" t="s">
        <v>3190</v>
      </c>
      <c r="D1219" s="4" t="s">
        <v>940</v>
      </c>
      <c r="E1219" s="6">
        <v>44060</v>
      </c>
      <c r="F1219" s="7">
        <v>10</v>
      </c>
      <c r="G1219" s="7">
        <v>1.1400000000000001</v>
      </c>
    </row>
    <row r="1220" spans="1:7">
      <c r="A1220" s="4" t="s">
        <v>88</v>
      </c>
      <c r="B1220" s="4" t="s">
        <v>586</v>
      </c>
      <c r="C1220" s="4" t="s">
        <v>3190</v>
      </c>
      <c r="D1220" s="4" t="s">
        <v>942</v>
      </c>
      <c r="E1220" s="6">
        <v>44060</v>
      </c>
      <c r="F1220" s="7">
        <v>10</v>
      </c>
      <c r="G1220" s="7">
        <v>1.7899999999999998</v>
      </c>
    </row>
    <row r="1221" spans="1:7">
      <c r="A1221" s="4" t="s">
        <v>88</v>
      </c>
      <c r="B1221" s="4" t="s">
        <v>586</v>
      </c>
      <c r="C1221" s="4" t="s">
        <v>3190</v>
      </c>
      <c r="D1221" s="4" t="s">
        <v>979</v>
      </c>
      <c r="E1221" s="6">
        <v>44060</v>
      </c>
      <c r="F1221" s="7">
        <v>10</v>
      </c>
      <c r="G1221" s="7">
        <v>2.15</v>
      </c>
    </row>
    <row r="1222" spans="1:7">
      <c r="A1222" s="4" t="s">
        <v>88</v>
      </c>
      <c r="B1222" s="4" t="s">
        <v>586</v>
      </c>
      <c r="C1222" s="4" t="s">
        <v>3190</v>
      </c>
      <c r="D1222" s="4" t="s">
        <v>1126</v>
      </c>
      <c r="E1222" s="6">
        <v>44060</v>
      </c>
      <c r="F1222" s="7">
        <v>5</v>
      </c>
      <c r="G1222" s="7">
        <v>3.4799999999999995</v>
      </c>
    </row>
    <row r="1223" spans="1:7">
      <c r="A1223" s="4" t="s">
        <v>88</v>
      </c>
      <c r="B1223" s="4" t="s">
        <v>586</v>
      </c>
      <c r="C1223" s="4" t="s">
        <v>3190</v>
      </c>
      <c r="D1223" s="4" t="s">
        <v>1063</v>
      </c>
      <c r="E1223" s="6">
        <v>44060</v>
      </c>
      <c r="F1223" s="7">
        <v>25</v>
      </c>
      <c r="G1223" s="7">
        <v>1.06</v>
      </c>
    </row>
    <row r="1224" spans="1:7">
      <c r="A1224" s="4" t="s">
        <v>88</v>
      </c>
      <c r="B1224" s="4" t="s">
        <v>586</v>
      </c>
      <c r="C1224" s="4" t="s">
        <v>3190</v>
      </c>
      <c r="D1224" s="4" t="s">
        <v>1026</v>
      </c>
      <c r="E1224" s="6">
        <v>44060</v>
      </c>
      <c r="F1224" s="7">
        <v>25</v>
      </c>
      <c r="G1224" s="7">
        <v>0.9</v>
      </c>
    </row>
    <row r="1225" spans="1:7">
      <c r="A1225" s="4" t="s">
        <v>88</v>
      </c>
      <c r="B1225" s="4" t="s">
        <v>586</v>
      </c>
      <c r="C1225" s="4" t="s">
        <v>3190</v>
      </c>
      <c r="D1225" s="4" t="s">
        <v>1146</v>
      </c>
      <c r="E1225" s="6">
        <v>44060</v>
      </c>
      <c r="F1225" s="7">
        <v>15</v>
      </c>
      <c r="G1225" s="7">
        <v>1.5</v>
      </c>
    </row>
    <row r="1226" spans="1:7">
      <c r="A1226" s="4" t="s">
        <v>88</v>
      </c>
      <c r="B1226" s="4" t="s">
        <v>586</v>
      </c>
      <c r="C1226" s="4" t="s">
        <v>3190</v>
      </c>
      <c r="D1226" s="4" t="s">
        <v>1028</v>
      </c>
      <c r="E1226" s="6">
        <v>44060</v>
      </c>
      <c r="F1226" s="7">
        <v>20</v>
      </c>
      <c r="G1226" s="7">
        <v>1.8</v>
      </c>
    </row>
    <row r="1227" spans="1:7">
      <c r="A1227" s="4" t="s">
        <v>88</v>
      </c>
      <c r="B1227" s="4" t="s">
        <v>586</v>
      </c>
      <c r="C1227" s="4" t="s">
        <v>3190</v>
      </c>
      <c r="D1227" s="4" t="s">
        <v>851</v>
      </c>
      <c r="E1227" s="6">
        <v>44060</v>
      </c>
      <c r="F1227" s="7">
        <v>20</v>
      </c>
      <c r="G1227" s="7">
        <v>2.2199999999999998</v>
      </c>
    </row>
    <row r="1228" spans="1:7">
      <c r="A1228" s="4" t="s">
        <v>88</v>
      </c>
      <c r="B1228" s="4" t="s">
        <v>586</v>
      </c>
      <c r="C1228" s="4" t="s">
        <v>3190</v>
      </c>
      <c r="D1228" s="4" t="s">
        <v>2040</v>
      </c>
      <c r="E1228" s="6">
        <v>44060</v>
      </c>
      <c r="F1228" s="7">
        <v>2</v>
      </c>
      <c r="G1228" s="7">
        <v>2.3600000000000003</v>
      </c>
    </row>
    <row r="1229" spans="1:7">
      <c r="A1229" s="4" t="s">
        <v>88</v>
      </c>
      <c r="B1229" s="4" t="s">
        <v>586</v>
      </c>
      <c r="C1229" s="4" t="s">
        <v>3190</v>
      </c>
      <c r="D1229" s="4" t="s">
        <v>853</v>
      </c>
      <c r="E1229" s="6">
        <v>44060</v>
      </c>
      <c r="F1229" s="7">
        <v>10</v>
      </c>
      <c r="G1229" s="7">
        <v>2.96</v>
      </c>
    </row>
    <row r="1230" spans="1:7">
      <c r="A1230" s="4" t="s">
        <v>88</v>
      </c>
      <c r="B1230" s="4" t="s">
        <v>586</v>
      </c>
      <c r="C1230" s="4" t="s">
        <v>3190</v>
      </c>
      <c r="D1230" s="4" t="s">
        <v>1030</v>
      </c>
      <c r="E1230" s="6">
        <v>44060</v>
      </c>
      <c r="F1230" s="7">
        <v>10</v>
      </c>
      <c r="G1230" s="7">
        <v>3.2</v>
      </c>
    </row>
    <row r="1231" spans="1:7">
      <c r="A1231" s="4" t="s">
        <v>88</v>
      </c>
      <c r="B1231" s="4" t="s">
        <v>586</v>
      </c>
      <c r="C1231" s="4" t="s">
        <v>3190</v>
      </c>
      <c r="D1231" s="4" t="s">
        <v>1032</v>
      </c>
      <c r="E1231" s="6">
        <v>44060</v>
      </c>
      <c r="F1231" s="7">
        <v>5</v>
      </c>
      <c r="G1231" s="7">
        <v>4.0600000000000005</v>
      </c>
    </row>
    <row r="1232" spans="1:7">
      <c r="A1232" s="4" t="s">
        <v>88</v>
      </c>
      <c r="B1232" s="4" t="s">
        <v>586</v>
      </c>
      <c r="C1232" s="4" t="s">
        <v>3190</v>
      </c>
      <c r="D1232" s="4" t="s">
        <v>784</v>
      </c>
      <c r="E1232" s="6">
        <v>44060</v>
      </c>
      <c r="F1232" s="7">
        <v>1</v>
      </c>
      <c r="G1232" s="7">
        <v>30</v>
      </c>
    </row>
    <row r="1233" spans="1:7">
      <c r="A1233" s="4" t="s">
        <v>583</v>
      </c>
      <c r="B1233" s="4" t="s">
        <v>584</v>
      </c>
      <c r="C1233" s="4" t="s">
        <v>3191</v>
      </c>
      <c r="D1233" s="4" t="s">
        <v>912</v>
      </c>
      <c r="E1233" s="6">
        <v>44060</v>
      </c>
      <c r="F1233" s="7">
        <v>200</v>
      </c>
      <c r="G1233" s="7">
        <v>1.31</v>
      </c>
    </row>
    <row r="1234" spans="1:7">
      <c r="A1234" s="4" t="s">
        <v>583</v>
      </c>
      <c r="B1234" s="4" t="s">
        <v>584</v>
      </c>
      <c r="C1234" s="4" t="s">
        <v>3191</v>
      </c>
      <c r="D1234" s="4" t="s">
        <v>784</v>
      </c>
      <c r="E1234" s="6">
        <v>44060</v>
      </c>
      <c r="F1234" s="7">
        <v>1</v>
      </c>
      <c r="G1234" s="7">
        <v>95</v>
      </c>
    </row>
    <row r="1235" spans="1:7">
      <c r="A1235" s="4" t="s">
        <v>59</v>
      </c>
      <c r="B1235" s="4" t="s">
        <v>592</v>
      </c>
      <c r="C1235" s="4" t="s">
        <v>3192</v>
      </c>
      <c r="D1235" s="4" t="s">
        <v>873</v>
      </c>
      <c r="E1235" s="6">
        <v>44063</v>
      </c>
      <c r="F1235" s="7">
        <v>50</v>
      </c>
      <c r="G1235" s="7">
        <v>0.7</v>
      </c>
    </row>
    <row r="1236" spans="1:7">
      <c r="A1236" s="4" t="s">
        <v>59</v>
      </c>
      <c r="B1236" s="4" t="s">
        <v>592</v>
      </c>
      <c r="C1236" s="4" t="s">
        <v>3192</v>
      </c>
      <c r="D1236" s="4" t="s">
        <v>1349</v>
      </c>
      <c r="E1236" s="6">
        <v>44063</v>
      </c>
      <c r="F1236" s="7">
        <v>1000</v>
      </c>
      <c r="G1236" s="7">
        <v>0.1</v>
      </c>
    </row>
    <row r="1237" spans="1:7">
      <c r="A1237" s="4" t="s">
        <v>59</v>
      </c>
      <c r="B1237" s="4" t="s">
        <v>592</v>
      </c>
      <c r="C1237" s="4" t="s">
        <v>3192</v>
      </c>
      <c r="D1237" s="4" t="s">
        <v>1341</v>
      </c>
      <c r="E1237" s="6">
        <v>44063</v>
      </c>
      <c r="F1237" s="7">
        <v>1000</v>
      </c>
      <c r="G1237" s="7">
        <v>0.1</v>
      </c>
    </row>
    <row r="1238" spans="1:7">
      <c r="A1238" s="4" t="s">
        <v>59</v>
      </c>
      <c r="B1238" s="4" t="s">
        <v>592</v>
      </c>
      <c r="C1238" s="4" t="s">
        <v>3192</v>
      </c>
      <c r="D1238" s="4" t="s">
        <v>784</v>
      </c>
      <c r="E1238" s="6">
        <v>44063</v>
      </c>
      <c r="F1238" s="7">
        <v>1</v>
      </c>
      <c r="G1238" s="7">
        <v>20</v>
      </c>
    </row>
    <row r="1239" spans="1:7">
      <c r="A1239" s="4" t="s">
        <v>101</v>
      </c>
      <c r="B1239" s="4" t="s">
        <v>581</v>
      </c>
      <c r="C1239" s="4" t="s">
        <v>3193</v>
      </c>
      <c r="D1239" s="4" t="s">
        <v>979</v>
      </c>
      <c r="E1239" s="6">
        <v>44060</v>
      </c>
      <c r="F1239" s="7">
        <v>20</v>
      </c>
      <c r="G1239" s="7">
        <v>3.84</v>
      </c>
    </row>
    <row r="1240" spans="1:7">
      <c r="A1240" s="4" t="s">
        <v>101</v>
      </c>
      <c r="B1240" s="4" t="s">
        <v>581</v>
      </c>
      <c r="C1240" s="4" t="s">
        <v>3193</v>
      </c>
      <c r="D1240" s="4" t="s">
        <v>942</v>
      </c>
      <c r="E1240" s="6">
        <v>44060</v>
      </c>
      <c r="F1240" s="7">
        <v>20</v>
      </c>
      <c r="G1240" s="7">
        <v>3.2</v>
      </c>
    </row>
    <row r="1241" spans="1:7">
      <c r="A1241" s="4" t="s">
        <v>101</v>
      </c>
      <c r="B1241" s="4" t="s">
        <v>581</v>
      </c>
      <c r="C1241" s="4" t="s">
        <v>3193</v>
      </c>
      <c r="D1241" s="4" t="s">
        <v>1369</v>
      </c>
      <c r="E1241" s="6">
        <v>44060</v>
      </c>
      <c r="F1241" s="7">
        <v>10</v>
      </c>
      <c r="G1241" s="7">
        <v>3.25</v>
      </c>
    </row>
    <row r="1242" spans="1:7">
      <c r="A1242" s="4" t="s">
        <v>101</v>
      </c>
      <c r="B1242" s="4" t="s">
        <v>581</v>
      </c>
      <c r="C1242" s="4" t="s">
        <v>3193</v>
      </c>
      <c r="D1242" s="4" t="s">
        <v>784</v>
      </c>
      <c r="E1242" s="6">
        <v>44060</v>
      </c>
      <c r="F1242" s="7">
        <v>1</v>
      </c>
      <c r="G1242" s="7">
        <v>18</v>
      </c>
    </row>
    <row r="1243" spans="1:7">
      <c r="A1243" s="4" t="s">
        <v>571</v>
      </c>
      <c r="B1243" s="4" t="s">
        <v>572</v>
      </c>
      <c r="C1243" s="4" t="s">
        <v>3194</v>
      </c>
      <c r="D1243" s="4" t="s">
        <v>815</v>
      </c>
      <c r="E1243" s="6">
        <v>44055</v>
      </c>
      <c r="F1243" s="7">
        <v>47</v>
      </c>
      <c r="G1243" s="7">
        <v>4.51</v>
      </c>
    </row>
    <row r="1244" spans="1:7">
      <c r="A1244" s="4" t="s">
        <v>571</v>
      </c>
      <c r="B1244" s="4" t="s">
        <v>572</v>
      </c>
      <c r="C1244" s="4" t="s">
        <v>3194</v>
      </c>
      <c r="D1244" s="4" t="s">
        <v>784</v>
      </c>
      <c r="E1244" s="6">
        <v>44055</v>
      </c>
      <c r="F1244" s="7">
        <v>1</v>
      </c>
      <c r="G1244" s="7">
        <v>0</v>
      </c>
    </row>
    <row r="1245" spans="1:7">
      <c r="A1245" s="4" t="s">
        <v>602</v>
      </c>
      <c r="B1245" s="4" t="s">
        <v>603</v>
      </c>
      <c r="C1245" s="4" t="s">
        <v>3195</v>
      </c>
      <c r="D1245" s="4" t="s">
        <v>2318</v>
      </c>
      <c r="E1245" s="6">
        <v>44068</v>
      </c>
      <c r="F1245" s="7">
        <v>27</v>
      </c>
      <c r="G1245" s="7">
        <v>7.9099999999999993</v>
      </c>
    </row>
    <row r="1246" spans="1:7">
      <c r="A1246" s="4" t="s">
        <v>602</v>
      </c>
      <c r="B1246" s="4" t="s">
        <v>603</v>
      </c>
      <c r="C1246" s="4" t="s">
        <v>3195</v>
      </c>
      <c r="D1246" s="4" t="s">
        <v>784</v>
      </c>
      <c r="E1246" s="6">
        <v>44068</v>
      </c>
      <c r="F1246" s="7">
        <v>1</v>
      </c>
      <c r="G1246" s="7">
        <v>0</v>
      </c>
    </row>
    <row r="1247" spans="1:7">
      <c r="A1247" s="4" t="s">
        <v>578</v>
      </c>
      <c r="B1247" s="4" t="s">
        <v>579</v>
      </c>
      <c r="C1247" s="4" t="s">
        <v>3196</v>
      </c>
      <c r="D1247" s="4" t="s">
        <v>2321</v>
      </c>
      <c r="E1247" s="6">
        <v>44056</v>
      </c>
      <c r="F1247" s="7">
        <v>24</v>
      </c>
      <c r="G1247" s="7">
        <v>6.8400000000000007</v>
      </c>
    </row>
    <row r="1248" spans="1:7">
      <c r="A1248" s="4" t="s">
        <v>578</v>
      </c>
      <c r="B1248" s="4" t="s">
        <v>579</v>
      </c>
      <c r="C1248" s="4" t="s">
        <v>3196</v>
      </c>
      <c r="D1248" s="4" t="s">
        <v>928</v>
      </c>
      <c r="E1248" s="6">
        <v>44056</v>
      </c>
      <c r="F1248" s="7">
        <v>8</v>
      </c>
      <c r="G1248" s="7">
        <v>13.69</v>
      </c>
    </row>
    <row r="1249" spans="1:7">
      <c r="A1249" s="4" t="s">
        <v>578</v>
      </c>
      <c r="B1249" s="4" t="s">
        <v>579</v>
      </c>
      <c r="C1249" s="4" t="s">
        <v>3196</v>
      </c>
      <c r="D1249" s="4" t="s">
        <v>784</v>
      </c>
      <c r="E1249" s="6">
        <v>44056</v>
      </c>
      <c r="F1249" s="7">
        <v>1</v>
      </c>
      <c r="G1249" s="7">
        <v>0</v>
      </c>
    </row>
    <row r="1250" spans="1:7">
      <c r="A1250" s="4" t="s">
        <v>46</v>
      </c>
      <c r="B1250" s="4" t="s">
        <v>598</v>
      </c>
      <c r="C1250" s="4" t="s">
        <v>3197</v>
      </c>
      <c r="D1250" s="4" t="s">
        <v>887</v>
      </c>
      <c r="E1250" s="6">
        <v>44063</v>
      </c>
      <c r="F1250" s="7">
        <v>150</v>
      </c>
      <c r="G1250" s="7">
        <v>0.57999999999999996</v>
      </c>
    </row>
    <row r="1251" spans="1:7">
      <c r="A1251" s="4" t="s">
        <v>46</v>
      </c>
      <c r="B1251" s="4" t="s">
        <v>598</v>
      </c>
      <c r="C1251" s="4" t="s">
        <v>3197</v>
      </c>
      <c r="D1251" s="4" t="s">
        <v>2326</v>
      </c>
      <c r="E1251" s="6">
        <v>44063</v>
      </c>
      <c r="F1251" s="7">
        <v>50</v>
      </c>
      <c r="G1251" s="7">
        <v>8.92</v>
      </c>
    </row>
    <row r="1252" spans="1:7">
      <c r="A1252" s="4" t="s">
        <v>46</v>
      </c>
      <c r="B1252" s="4" t="s">
        <v>598</v>
      </c>
      <c r="C1252" s="4" t="s">
        <v>3197</v>
      </c>
      <c r="D1252" s="4" t="s">
        <v>782</v>
      </c>
      <c r="E1252" s="6">
        <v>44063</v>
      </c>
      <c r="F1252" s="7">
        <v>50</v>
      </c>
      <c r="G1252" s="7">
        <v>17.84</v>
      </c>
    </row>
    <row r="1253" spans="1:7">
      <c r="A1253" s="4" t="s">
        <v>46</v>
      </c>
      <c r="B1253" s="4" t="s">
        <v>598</v>
      </c>
      <c r="C1253" s="4" t="s">
        <v>3197</v>
      </c>
      <c r="D1253" s="4" t="s">
        <v>1042</v>
      </c>
      <c r="E1253" s="6">
        <v>44063</v>
      </c>
      <c r="F1253" s="7">
        <v>50</v>
      </c>
      <c r="G1253" s="7">
        <v>0.73</v>
      </c>
    </row>
    <row r="1254" spans="1:7">
      <c r="A1254" s="4" t="s">
        <v>46</v>
      </c>
      <c r="B1254" s="4" t="s">
        <v>598</v>
      </c>
      <c r="C1254" s="4" t="s">
        <v>3197</v>
      </c>
      <c r="D1254" s="4" t="s">
        <v>862</v>
      </c>
      <c r="E1254" s="6">
        <v>44063</v>
      </c>
      <c r="F1254" s="7">
        <v>50</v>
      </c>
      <c r="G1254" s="7">
        <v>5.66</v>
      </c>
    </row>
    <row r="1255" spans="1:7">
      <c r="A1255" s="4" t="s">
        <v>46</v>
      </c>
      <c r="B1255" s="4" t="s">
        <v>598</v>
      </c>
      <c r="C1255" s="4" t="s">
        <v>3197</v>
      </c>
      <c r="D1255" s="4" t="s">
        <v>2331</v>
      </c>
      <c r="E1255" s="6">
        <v>44063</v>
      </c>
      <c r="F1255" s="7">
        <v>50</v>
      </c>
      <c r="G1255" s="7">
        <v>3.5799999999999996</v>
      </c>
    </row>
    <row r="1256" spans="1:7">
      <c r="A1256" s="4" t="s">
        <v>46</v>
      </c>
      <c r="B1256" s="4" t="s">
        <v>598</v>
      </c>
      <c r="C1256" s="4" t="s">
        <v>3197</v>
      </c>
      <c r="D1256" s="4" t="s">
        <v>2333</v>
      </c>
      <c r="E1256" s="6">
        <v>44063</v>
      </c>
      <c r="F1256" s="7">
        <v>50</v>
      </c>
      <c r="G1256" s="7">
        <v>5.37</v>
      </c>
    </row>
    <row r="1257" spans="1:7">
      <c r="A1257" s="4" t="s">
        <v>46</v>
      </c>
      <c r="B1257" s="4" t="s">
        <v>598</v>
      </c>
      <c r="C1257" s="4" t="s">
        <v>3197</v>
      </c>
      <c r="D1257" s="4" t="s">
        <v>2335</v>
      </c>
      <c r="E1257" s="6">
        <v>44063</v>
      </c>
      <c r="F1257" s="7">
        <v>50</v>
      </c>
      <c r="G1257" s="7">
        <v>7.17</v>
      </c>
    </row>
    <row r="1258" spans="1:7">
      <c r="A1258" s="4" t="s">
        <v>46</v>
      </c>
      <c r="B1258" s="4" t="s">
        <v>598</v>
      </c>
      <c r="C1258" s="4" t="s">
        <v>3197</v>
      </c>
      <c r="D1258" s="4" t="s">
        <v>2321</v>
      </c>
      <c r="E1258" s="6">
        <v>44063</v>
      </c>
      <c r="F1258" s="7">
        <v>50</v>
      </c>
      <c r="G1258" s="7">
        <v>3.56</v>
      </c>
    </row>
    <row r="1259" spans="1:7">
      <c r="A1259" s="4" t="s">
        <v>46</v>
      </c>
      <c r="B1259" s="4" t="s">
        <v>598</v>
      </c>
      <c r="C1259" s="4" t="s">
        <v>3197</v>
      </c>
      <c r="D1259" s="4" t="s">
        <v>2158</v>
      </c>
      <c r="E1259" s="6">
        <v>44063</v>
      </c>
      <c r="F1259" s="7">
        <v>50</v>
      </c>
      <c r="G1259" s="7">
        <v>6.9099999999999993</v>
      </c>
    </row>
    <row r="1260" spans="1:7">
      <c r="A1260" s="4" t="s">
        <v>46</v>
      </c>
      <c r="B1260" s="4" t="s">
        <v>598</v>
      </c>
      <c r="C1260" s="4" t="s">
        <v>3197</v>
      </c>
      <c r="D1260" s="4" t="s">
        <v>1669</v>
      </c>
      <c r="E1260" s="6">
        <v>44063</v>
      </c>
      <c r="F1260" s="7">
        <v>50</v>
      </c>
      <c r="G1260" s="7">
        <v>3.28</v>
      </c>
    </row>
    <row r="1261" spans="1:7">
      <c r="A1261" s="4" t="s">
        <v>46</v>
      </c>
      <c r="B1261" s="4" t="s">
        <v>598</v>
      </c>
      <c r="C1261" s="4" t="s">
        <v>3197</v>
      </c>
      <c r="D1261" s="4" t="s">
        <v>1102</v>
      </c>
      <c r="E1261" s="6">
        <v>44063</v>
      </c>
      <c r="F1261" s="7">
        <v>50</v>
      </c>
      <c r="G1261" s="7">
        <v>10.050000000000001</v>
      </c>
    </row>
    <row r="1262" spans="1:7">
      <c r="A1262" s="4" t="s">
        <v>46</v>
      </c>
      <c r="B1262" s="4" t="s">
        <v>598</v>
      </c>
      <c r="C1262" s="4" t="s">
        <v>3197</v>
      </c>
      <c r="D1262" s="4" t="s">
        <v>1028</v>
      </c>
      <c r="E1262" s="6">
        <v>44063</v>
      </c>
      <c r="F1262" s="7">
        <v>250</v>
      </c>
      <c r="G1262" s="7">
        <v>1.67</v>
      </c>
    </row>
    <row r="1263" spans="1:7">
      <c r="A1263" s="4" t="s">
        <v>46</v>
      </c>
      <c r="B1263" s="4" t="s">
        <v>598</v>
      </c>
      <c r="C1263" s="4" t="s">
        <v>3197</v>
      </c>
      <c r="D1263" s="4" t="s">
        <v>1113</v>
      </c>
      <c r="E1263" s="6">
        <v>44063</v>
      </c>
      <c r="F1263" s="7">
        <v>50</v>
      </c>
      <c r="G1263" s="7">
        <v>7.58</v>
      </c>
    </row>
    <row r="1264" spans="1:7">
      <c r="A1264" s="4" t="s">
        <v>46</v>
      </c>
      <c r="B1264" s="4" t="s">
        <v>598</v>
      </c>
      <c r="C1264" s="4" t="s">
        <v>3197</v>
      </c>
      <c r="D1264" s="4" t="s">
        <v>784</v>
      </c>
      <c r="E1264" s="6">
        <v>44063</v>
      </c>
      <c r="F1264" s="7">
        <v>1</v>
      </c>
      <c r="G1264" s="7">
        <v>65</v>
      </c>
    </row>
    <row r="1265" spans="1:7">
      <c r="A1265" s="4" t="s">
        <v>255</v>
      </c>
      <c r="B1265" s="4" t="s">
        <v>655</v>
      </c>
      <c r="C1265" s="4" t="s">
        <v>3198</v>
      </c>
      <c r="D1265" s="4" t="s">
        <v>1283</v>
      </c>
      <c r="E1265" s="6">
        <v>44103</v>
      </c>
      <c r="F1265" s="7">
        <v>10000</v>
      </c>
      <c r="G1265" s="7">
        <v>0.13</v>
      </c>
    </row>
    <row r="1266" spans="1:7">
      <c r="A1266" s="4" t="s">
        <v>255</v>
      </c>
      <c r="B1266" s="4" t="s">
        <v>655</v>
      </c>
      <c r="C1266" s="4" t="s">
        <v>3198</v>
      </c>
      <c r="D1266" s="4" t="s">
        <v>784</v>
      </c>
      <c r="E1266" s="6">
        <v>44103</v>
      </c>
      <c r="F1266" s="7">
        <v>1</v>
      </c>
      <c r="G1266" s="7">
        <v>0</v>
      </c>
    </row>
    <row r="1267" spans="1:7">
      <c r="A1267" s="4" t="s">
        <v>12</v>
      </c>
      <c r="B1267" s="4" t="s">
        <v>613</v>
      </c>
      <c r="C1267" s="4" t="s">
        <v>3199</v>
      </c>
      <c r="D1267" s="4" t="s">
        <v>786</v>
      </c>
      <c r="E1267" s="6">
        <v>44082</v>
      </c>
      <c r="F1267" s="7">
        <v>1000</v>
      </c>
      <c r="G1267" s="7">
        <v>0.74</v>
      </c>
    </row>
    <row r="1268" spans="1:7">
      <c r="A1268" s="4" t="s">
        <v>12</v>
      </c>
      <c r="B1268" s="4" t="s">
        <v>613</v>
      </c>
      <c r="C1268" s="4" t="s">
        <v>3199</v>
      </c>
      <c r="D1268" s="4" t="s">
        <v>801</v>
      </c>
      <c r="E1268" s="6">
        <v>44082</v>
      </c>
      <c r="F1268" s="7">
        <v>1000</v>
      </c>
      <c r="G1268" s="7">
        <v>0.95</v>
      </c>
    </row>
    <row r="1269" spans="1:7">
      <c r="A1269" s="4" t="s">
        <v>12</v>
      </c>
      <c r="B1269" s="4" t="s">
        <v>613</v>
      </c>
      <c r="C1269" s="4" t="s">
        <v>3199</v>
      </c>
      <c r="D1269" s="4" t="s">
        <v>799</v>
      </c>
      <c r="E1269" s="6">
        <v>44082</v>
      </c>
      <c r="F1269" s="7">
        <v>1500</v>
      </c>
      <c r="G1269" s="7">
        <v>0.85</v>
      </c>
    </row>
    <row r="1270" spans="1:7">
      <c r="A1270" s="4" t="s">
        <v>12</v>
      </c>
      <c r="B1270" s="4" t="s">
        <v>613</v>
      </c>
      <c r="C1270" s="4" t="s">
        <v>3199</v>
      </c>
      <c r="D1270" s="4" t="s">
        <v>784</v>
      </c>
      <c r="E1270" s="6">
        <v>44082</v>
      </c>
      <c r="F1270" s="7">
        <v>1</v>
      </c>
      <c r="G1270" s="7">
        <v>0</v>
      </c>
    </row>
    <row r="1271" spans="1:7">
      <c r="A1271" s="4" t="s">
        <v>12</v>
      </c>
      <c r="B1271" s="4" t="s">
        <v>615</v>
      </c>
      <c r="C1271" s="4" t="s">
        <v>3200</v>
      </c>
      <c r="D1271" s="4" t="s">
        <v>786</v>
      </c>
      <c r="E1271" s="6">
        <v>44082</v>
      </c>
      <c r="F1271" s="7">
        <v>1000</v>
      </c>
      <c r="G1271" s="7">
        <v>0.74</v>
      </c>
    </row>
    <row r="1272" spans="1:7">
      <c r="A1272" s="4" t="s">
        <v>12</v>
      </c>
      <c r="B1272" s="4" t="s">
        <v>615</v>
      </c>
      <c r="C1272" s="4" t="s">
        <v>3200</v>
      </c>
      <c r="D1272" s="4" t="s">
        <v>801</v>
      </c>
      <c r="E1272" s="6">
        <v>44082</v>
      </c>
      <c r="F1272" s="7">
        <v>1000</v>
      </c>
      <c r="G1272" s="7">
        <v>0.95</v>
      </c>
    </row>
    <row r="1273" spans="1:7">
      <c r="A1273" s="4" t="s">
        <v>12</v>
      </c>
      <c r="B1273" s="4" t="s">
        <v>615</v>
      </c>
      <c r="C1273" s="4" t="s">
        <v>3200</v>
      </c>
      <c r="D1273" s="4" t="s">
        <v>799</v>
      </c>
      <c r="E1273" s="6">
        <v>44082</v>
      </c>
      <c r="F1273" s="7">
        <v>1500</v>
      </c>
      <c r="G1273" s="7">
        <v>0.85</v>
      </c>
    </row>
    <row r="1274" spans="1:7">
      <c r="A1274" s="4" t="s">
        <v>12</v>
      </c>
      <c r="B1274" s="4" t="s">
        <v>615</v>
      </c>
      <c r="C1274" s="4" t="s">
        <v>3200</v>
      </c>
      <c r="D1274" s="4" t="s">
        <v>784</v>
      </c>
      <c r="E1274" s="6">
        <v>44082</v>
      </c>
      <c r="F1274" s="7">
        <v>1</v>
      </c>
      <c r="G1274" s="7">
        <v>0</v>
      </c>
    </row>
    <row r="1275" spans="1:7">
      <c r="A1275" s="4" t="s">
        <v>12</v>
      </c>
      <c r="B1275" s="4" t="s">
        <v>640</v>
      </c>
      <c r="C1275" s="4" t="s">
        <v>3201</v>
      </c>
      <c r="D1275" s="4" t="s">
        <v>786</v>
      </c>
      <c r="E1275" s="6">
        <v>44090</v>
      </c>
      <c r="F1275" s="7">
        <v>1000</v>
      </c>
      <c r="G1275" s="7">
        <v>0.74</v>
      </c>
    </row>
    <row r="1276" spans="1:7">
      <c r="A1276" s="4" t="s">
        <v>12</v>
      </c>
      <c r="B1276" s="4" t="s">
        <v>640</v>
      </c>
      <c r="C1276" s="4" t="s">
        <v>3201</v>
      </c>
      <c r="D1276" s="4" t="s">
        <v>801</v>
      </c>
      <c r="E1276" s="6">
        <v>44090</v>
      </c>
      <c r="F1276" s="7">
        <v>1000</v>
      </c>
      <c r="G1276" s="7">
        <v>0.95</v>
      </c>
    </row>
    <row r="1277" spans="1:7">
      <c r="A1277" s="4" t="s">
        <v>12</v>
      </c>
      <c r="B1277" s="4" t="s">
        <v>640</v>
      </c>
      <c r="C1277" s="4" t="s">
        <v>3201</v>
      </c>
      <c r="D1277" s="4" t="s">
        <v>799</v>
      </c>
      <c r="E1277" s="6">
        <v>44090</v>
      </c>
      <c r="F1277" s="7">
        <v>1500</v>
      </c>
      <c r="G1277" s="7">
        <v>0.85</v>
      </c>
    </row>
    <row r="1278" spans="1:7">
      <c r="A1278" s="4" t="s">
        <v>12</v>
      </c>
      <c r="B1278" s="4" t="s">
        <v>640</v>
      </c>
      <c r="C1278" s="4" t="s">
        <v>3201</v>
      </c>
      <c r="D1278" s="4" t="s">
        <v>784</v>
      </c>
      <c r="E1278" s="6">
        <v>44090</v>
      </c>
      <c r="F1278" s="7">
        <v>1</v>
      </c>
      <c r="G1278" s="7">
        <v>0</v>
      </c>
    </row>
    <row r="1279" spans="1:7">
      <c r="A1279" s="4" t="s">
        <v>35</v>
      </c>
      <c r="B1279" s="4" t="s">
        <v>661</v>
      </c>
      <c r="C1279" s="4" t="s">
        <v>3202</v>
      </c>
      <c r="D1279" s="4" t="s">
        <v>795</v>
      </c>
      <c r="E1279" s="6">
        <v>44110</v>
      </c>
      <c r="F1279" s="7">
        <v>909</v>
      </c>
      <c r="G1279" s="7">
        <v>8.870000000000001</v>
      </c>
    </row>
    <row r="1280" spans="1:7">
      <c r="A1280" s="4" t="s">
        <v>35</v>
      </c>
      <c r="B1280" s="4" t="s">
        <v>661</v>
      </c>
      <c r="C1280" s="4" t="s">
        <v>3202</v>
      </c>
      <c r="D1280" s="4" t="s">
        <v>834</v>
      </c>
      <c r="E1280" s="6">
        <v>44110</v>
      </c>
      <c r="F1280" s="7">
        <v>600</v>
      </c>
      <c r="G1280" s="7">
        <v>9.2799999999999994</v>
      </c>
    </row>
    <row r="1281" spans="1:7">
      <c r="A1281" s="4" t="s">
        <v>35</v>
      </c>
      <c r="B1281" s="4" t="s">
        <v>661</v>
      </c>
      <c r="C1281" s="4" t="s">
        <v>3202</v>
      </c>
      <c r="D1281" s="4" t="s">
        <v>2360</v>
      </c>
      <c r="E1281" s="6">
        <v>44110</v>
      </c>
      <c r="F1281" s="7">
        <v>100</v>
      </c>
      <c r="G1281" s="7">
        <v>10.1</v>
      </c>
    </row>
    <row r="1282" spans="1:7">
      <c r="A1282" s="4" t="s">
        <v>35</v>
      </c>
      <c r="B1282" s="4" t="s">
        <v>661</v>
      </c>
      <c r="C1282" s="4" t="s">
        <v>3202</v>
      </c>
      <c r="D1282" s="4" t="s">
        <v>1431</v>
      </c>
      <c r="E1282" s="6">
        <v>44110</v>
      </c>
      <c r="F1282" s="7">
        <v>15</v>
      </c>
      <c r="G1282" s="7">
        <v>12.15</v>
      </c>
    </row>
    <row r="1283" spans="1:7">
      <c r="A1283" s="4" t="s">
        <v>126</v>
      </c>
      <c r="B1283" s="4" t="s">
        <v>607</v>
      </c>
      <c r="C1283" s="4" t="s">
        <v>3203</v>
      </c>
      <c r="D1283" s="4" t="s">
        <v>819</v>
      </c>
      <c r="E1283" s="6">
        <v>44070</v>
      </c>
      <c r="F1283" s="7">
        <v>10</v>
      </c>
      <c r="G1283" s="7">
        <v>14.1</v>
      </c>
    </row>
    <row r="1284" spans="1:7">
      <c r="A1284" s="4" t="s">
        <v>126</v>
      </c>
      <c r="B1284" s="4" t="s">
        <v>607</v>
      </c>
      <c r="C1284" s="4" t="s">
        <v>3203</v>
      </c>
      <c r="D1284" s="4" t="s">
        <v>1721</v>
      </c>
      <c r="E1284" s="6">
        <v>44070</v>
      </c>
      <c r="F1284" s="7">
        <v>50</v>
      </c>
      <c r="G1284" s="7">
        <v>0.51</v>
      </c>
    </row>
    <row r="1285" spans="1:7">
      <c r="A1285" s="4" t="s">
        <v>126</v>
      </c>
      <c r="B1285" s="4" t="s">
        <v>607</v>
      </c>
      <c r="C1285" s="4" t="s">
        <v>3203</v>
      </c>
      <c r="D1285" s="4" t="s">
        <v>1325</v>
      </c>
      <c r="E1285" s="6">
        <v>44070</v>
      </c>
      <c r="F1285" s="7">
        <v>50</v>
      </c>
      <c r="G1285" s="7">
        <v>0.83</v>
      </c>
    </row>
    <row r="1286" spans="1:7">
      <c r="A1286" s="4" t="s">
        <v>126</v>
      </c>
      <c r="B1286" s="4" t="s">
        <v>607</v>
      </c>
      <c r="C1286" s="4" t="s">
        <v>3203</v>
      </c>
      <c r="D1286" s="4" t="s">
        <v>942</v>
      </c>
      <c r="E1286" s="6">
        <v>44070</v>
      </c>
      <c r="F1286" s="7">
        <v>50</v>
      </c>
      <c r="G1286" s="7">
        <v>1.6600000000000001</v>
      </c>
    </row>
    <row r="1287" spans="1:7">
      <c r="A1287" s="4" t="s">
        <v>126</v>
      </c>
      <c r="B1287" s="4" t="s">
        <v>607</v>
      </c>
      <c r="C1287" s="4" t="s">
        <v>3203</v>
      </c>
      <c r="D1287" s="4" t="s">
        <v>784</v>
      </c>
      <c r="E1287" s="6">
        <v>44070</v>
      </c>
      <c r="F1287" s="7">
        <v>1</v>
      </c>
      <c r="G1287" s="7">
        <v>0</v>
      </c>
    </row>
    <row r="1288" spans="1:7">
      <c r="A1288" s="4" t="s">
        <v>318</v>
      </c>
      <c r="B1288" s="4" t="s">
        <v>605</v>
      </c>
      <c r="C1288" s="4" t="s">
        <v>3204</v>
      </c>
      <c r="D1288" s="4" t="s">
        <v>1005</v>
      </c>
      <c r="E1288" s="6">
        <v>44070</v>
      </c>
      <c r="F1288" s="7">
        <v>300</v>
      </c>
      <c r="G1288" s="7">
        <v>2.3600000000000003</v>
      </c>
    </row>
    <row r="1289" spans="1:7">
      <c r="A1289" s="4" t="s">
        <v>318</v>
      </c>
      <c r="B1289" s="4" t="s">
        <v>605</v>
      </c>
      <c r="C1289" s="4" t="s">
        <v>3204</v>
      </c>
      <c r="D1289" s="4" t="s">
        <v>784</v>
      </c>
      <c r="E1289" s="6">
        <v>44070</v>
      </c>
      <c r="F1289" s="7">
        <v>1</v>
      </c>
      <c r="G1289" s="7">
        <v>145</v>
      </c>
    </row>
    <row r="1290" spans="1:7">
      <c r="A1290" s="4" t="s">
        <v>198</v>
      </c>
      <c r="B1290" s="4" t="s">
        <v>611</v>
      </c>
      <c r="C1290" s="4" t="s">
        <v>3205</v>
      </c>
      <c r="D1290" s="4" t="s">
        <v>1283</v>
      </c>
      <c r="E1290" s="6">
        <v>44077</v>
      </c>
      <c r="F1290" s="7">
        <v>300</v>
      </c>
      <c r="G1290" s="7">
        <v>1.0699999999999998</v>
      </c>
    </row>
    <row r="1291" spans="1:7">
      <c r="A1291" s="4" t="s">
        <v>198</v>
      </c>
      <c r="B1291" s="4" t="s">
        <v>611</v>
      </c>
      <c r="C1291" s="4" t="s">
        <v>3205</v>
      </c>
      <c r="D1291" s="4" t="s">
        <v>1283</v>
      </c>
      <c r="E1291" s="6">
        <v>44077</v>
      </c>
      <c r="F1291" s="7">
        <v>300</v>
      </c>
      <c r="G1291" s="7">
        <v>0.51</v>
      </c>
    </row>
    <row r="1292" spans="1:7">
      <c r="A1292" s="4" t="s">
        <v>198</v>
      </c>
      <c r="B1292" s="4" t="s">
        <v>611</v>
      </c>
      <c r="C1292" s="4" t="s">
        <v>3205</v>
      </c>
      <c r="D1292" s="4" t="s">
        <v>784</v>
      </c>
      <c r="E1292" s="6">
        <v>44077</v>
      </c>
      <c r="F1292" s="7">
        <v>1</v>
      </c>
      <c r="G1292" s="7">
        <v>0</v>
      </c>
    </row>
    <row r="1293" spans="1:7">
      <c r="A1293" s="4" t="s">
        <v>455</v>
      </c>
      <c r="B1293" s="4" t="s">
        <v>626</v>
      </c>
      <c r="C1293" s="4" t="s">
        <v>3206</v>
      </c>
      <c r="D1293" s="4" t="s">
        <v>2010</v>
      </c>
      <c r="E1293" s="6">
        <v>44085</v>
      </c>
      <c r="F1293" s="7">
        <v>40</v>
      </c>
      <c r="G1293" s="7">
        <v>21.5</v>
      </c>
    </row>
    <row r="1294" spans="1:7">
      <c r="A1294" s="4" t="s">
        <v>455</v>
      </c>
      <c r="B1294" s="4" t="s">
        <v>626</v>
      </c>
      <c r="C1294" s="4" t="s">
        <v>3206</v>
      </c>
      <c r="D1294" s="4" t="s">
        <v>2010</v>
      </c>
      <c r="E1294" s="6">
        <v>44085</v>
      </c>
      <c r="F1294" s="7">
        <v>30</v>
      </c>
      <c r="G1294" s="7">
        <v>16.5</v>
      </c>
    </row>
    <row r="1295" spans="1:7">
      <c r="A1295" s="4" t="s">
        <v>455</v>
      </c>
      <c r="B1295" s="4" t="s">
        <v>626</v>
      </c>
      <c r="C1295" s="4" t="s">
        <v>3206</v>
      </c>
      <c r="D1295" s="4" t="s">
        <v>2010</v>
      </c>
      <c r="E1295" s="6">
        <v>44085</v>
      </c>
      <c r="F1295" s="7">
        <v>30</v>
      </c>
      <c r="G1295" s="7">
        <v>22.3</v>
      </c>
    </row>
    <row r="1296" spans="1:7">
      <c r="A1296" s="4" t="s">
        <v>455</v>
      </c>
      <c r="B1296" s="4" t="s">
        <v>626</v>
      </c>
      <c r="C1296" s="4" t="s">
        <v>3206</v>
      </c>
      <c r="D1296" s="4" t="s">
        <v>784</v>
      </c>
      <c r="E1296" s="6">
        <v>44085</v>
      </c>
      <c r="F1296" s="7">
        <v>1</v>
      </c>
      <c r="G1296" s="7">
        <v>0</v>
      </c>
    </row>
    <row r="1297" spans="1:7">
      <c r="A1297" s="4" t="s">
        <v>32</v>
      </c>
      <c r="B1297" s="4" t="s">
        <v>617</v>
      </c>
      <c r="C1297" s="4" t="s">
        <v>3207</v>
      </c>
      <c r="D1297" s="4" t="s">
        <v>1325</v>
      </c>
      <c r="E1297" s="6">
        <v>44082</v>
      </c>
      <c r="F1297" s="7">
        <v>100</v>
      </c>
      <c r="G1297" s="7">
        <v>0.72</v>
      </c>
    </row>
    <row r="1298" spans="1:7">
      <c r="A1298" s="4" t="s">
        <v>32</v>
      </c>
      <c r="B1298" s="4" t="s">
        <v>617</v>
      </c>
      <c r="C1298" s="4" t="s">
        <v>3207</v>
      </c>
      <c r="D1298" s="4" t="s">
        <v>2380</v>
      </c>
      <c r="E1298" s="6">
        <v>44082</v>
      </c>
      <c r="F1298" s="7">
        <v>50</v>
      </c>
      <c r="G1298" s="7">
        <v>2.75</v>
      </c>
    </row>
    <row r="1299" spans="1:7">
      <c r="A1299" s="4" t="s">
        <v>32</v>
      </c>
      <c r="B1299" s="4" t="s">
        <v>617</v>
      </c>
      <c r="C1299" s="4" t="s">
        <v>3207</v>
      </c>
      <c r="D1299" s="4" t="s">
        <v>1146</v>
      </c>
      <c r="E1299" s="6">
        <v>44082</v>
      </c>
      <c r="F1299" s="7">
        <v>25</v>
      </c>
      <c r="G1299" s="7">
        <v>1.2</v>
      </c>
    </row>
    <row r="1300" spans="1:7">
      <c r="A1300" s="4" t="s">
        <v>32</v>
      </c>
      <c r="B1300" s="4" t="s">
        <v>617</v>
      </c>
      <c r="C1300" s="4" t="s">
        <v>3207</v>
      </c>
      <c r="D1300" s="4" t="s">
        <v>1028</v>
      </c>
      <c r="E1300" s="6">
        <v>44082</v>
      </c>
      <c r="F1300" s="7">
        <v>50</v>
      </c>
      <c r="G1300" s="7">
        <v>1.45</v>
      </c>
    </row>
    <row r="1301" spans="1:7">
      <c r="A1301" s="4" t="s">
        <v>32</v>
      </c>
      <c r="B1301" s="4" t="s">
        <v>617</v>
      </c>
      <c r="C1301" s="4" t="s">
        <v>3207</v>
      </c>
      <c r="D1301" s="4" t="s">
        <v>851</v>
      </c>
      <c r="E1301" s="6">
        <v>44082</v>
      </c>
      <c r="F1301" s="7">
        <v>100</v>
      </c>
      <c r="G1301" s="7">
        <v>1.78</v>
      </c>
    </row>
    <row r="1302" spans="1:7">
      <c r="A1302" s="4" t="s">
        <v>32</v>
      </c>
      <c r="B1302" s="4" t="s">
        <v>617</v>
      </c>
      <c r="C1302" s="4" t="s">
        <v>3207</v>
      </c>
      <c r="D1302" s="4" t="s">
        <v>853</v>
      </c>
      <c r="E1302" s="6">
        <v>44082</v>
      </c>
      <c r="F1302" s="7">
        <v>25</v>
      </c>
      <c r="G1302" s="7">
        <v>2.38</v>
      </c>
    </row>
    <row r="1303" spans="1:7">
      <c r="A1303" s="4" t="s">
        <v>32</v>
      </c>
      <c r="B1303" s="4" t="s">
        <v>617</v>
      </c>
      <c r="C1303" s="4" t="s">
        <v>3207</v>
      </c>
      <c r="D1303" s="4" t="s">
        <v>1026</v>
      </c>
      <c r="E1303" s="6">
        <v>44082</v>
      </c>
      <c r="F1303" s="7">
        <v>50</v>
      </c>
      <c r="G1303" s="7">
        <v>0.72</v>
      </c>
    </row>
    <row r="1304" spans="1:7">
      <c r="A1304" s="4" t="s">
        <v>32</v>
      </c>
      <c r="B1304" s="4" t="s">
        <v>617</v>
      </c>
      <c r="C1304" s="4" t="s">
        <v>3207</v>
      </c>
      <c r="D1304" s="4" t="s">
        <v>1137</v>
      </c>
      <c r="E1304" s="6">
        <v>44082</v>
      </c>
      <c r="F1304" s="7">
        <v>200</v>
      </c>
      <c r="G1304" s="7">
        <v>0.46</v>
      </c>
    </row>
    <row r="1305" spans="1:7">
      <c r="A1305" s="4" t="s">
        <v>32</v>
      </c>
      <c r="B1305" s="4" t="s">
        <v>617</v>
      </c>
      <c r="C1305" s="4" t="s">
        <v>3207</v>
      </c>
      <c r="D1305" s="4" t="s">
        <v>1151</v>
      </c>
      <c r="E1305" s="6">
        <v>44082</v>
      </c>
      <c r="F1305" s="7">
        <v>50</v>
      </c>
      <c r="G1305" s="7">
        <v>1.19</v>
      </c>
    </row>
    <row r="1306" spans="1:7">
      <c r="A1306" s="4" t="s">
        <v>32</v>
      </c>
      <c r="B1306" s="4" t="s">
        <v>617</v>
      </c>
      <c r="C1306" s="4" t="s">
        <v>3207</v>
      </c>
      <c r="D1306" s="4" t="s">
        <v>784</v>
      </c>
      <c r="E1306" s="6">
        <v>44082</v>
      </c>
      <c r="F1306" s="7">
        <v>1</v>
      </c>
      <c r="G1306" s="7">
        <v>0</v>
      </c>
    </row>
    <row r="1307" spans="1:7">
      <c r="A1307" s="4" t="s">
        <v>62</v>
      </c>
      <c r="B1307" s="4" t="s">
        <v>609</v>
      </c>
      <c r="C1307" s="4" t="s">
        <v>3208</v>
      </c>
      <c r="D1307" s="4" t="s">
        <v>2387</v>
      </c>
      <c r="E1307" s="6">
        <v>44074</v>
      </c>
      <c r="F1307" s="7">
        <v>100</v>
      </c>
      <c r="G1307" s="7">
        <v>1.53</v>
      </c>
    </row>
    <row r="1308" spans="1:7">
      <c r="A1308" s="4" t="s">
        <v>62</v>
      </c>
      <c r="B1308" s="4" t="s">
        <v>609</v>
      </c>
      <c r="C1308" s="4" t="s">
        <v>3208</v>
      </c>
      <c r="D1308" s="4" t="s">
        <v>1165</v>
      </c>
      <c r="E1308" s="6">
        <v>44074</v>
      </c>
      <c r="F1308" s="7">
        <v>20</v>
      </c>
      <c r="G1308" s="7">
        <v>1.64</v>
      </c>
    </row>
    <row r="1309" spans="1:7">
      <c r="A1309" s="4" t="s">
        <v>62</v>
      </c>
      <c r="B1309" s="4" t="s">
        <v>609</v>
      </c>
      <c r="C1309" s="4" t="s">
        <v>3208</v>
      </c>
      <c r="D1309" s="4" t="s">
        <v>1030</v>
      </c>
      <c r="E1309" s="6">
        <v>44074</v>
      </c>
      <c r="F1309" s="7">
        <v>20</v>
      </c>
      <c r="G1309" s="7">
        <v>3.2</v>
      </c>
    </row>
    <row r="1310" spans="1:7">
      <c r="A1310" s="4" t="s">
        <v>62</v>
      </c>
      <c r="B1310" s="4" t="s">
        <v>609</v>
      </c>
      <c r="C1310" s="4" t="s">
        <v>3208</v>
      </c>
      <c r="D1310" s="4" t="s">
        <v>2391</v>
      </c>
      <c r="E1310" s="6">
        <v>44074</v>
      </c>
      <c r="F1310" s="7">
        <v>100</v>
      </c>
      <c r="G1310" s="7">
        <v>1.35</v>
      </c>
    </row>
    <row r="1311" spans="1:7">
      <c r="A1311" s="4" t="s">
        <v>62</v>
      </c>
      <c r="B1311" s="4" t="s">
        <v>609</v>
      </c>
      <c r="C1311" s="4" t="s">
        <v>3208</v>
      </c>
      <c r="D1311" s="4" t="s">
        <v>784</v>
      </c>
      <c r="E1311" s="6">
        <v>44074</v>
      </c>
      <c r="F1311" s="7">
        <v>1</v>
      </c>
      <c r="G1311" s="7">
        <v>0</v>
      </c>
    </row>
    <row r="1312" spans="1:7">
      <c r="A1312" s="4" t="s">
        <v>38</v>
      </c>
      <c r="B1312" s="4" t="s">
        <v>634</v>
      </c>
      <c r="C1312" s="4" t="s">
        <v>3209</v>
      </c>
      <c r="D1312" s="4" t="s">
        <v>826</v>
      </c>
      <c r="E1312" s="6">
        <v>44089</v>
      </c>
      <c r="F1312" s="7">
        <v>1</v>
      </c>
      <c r="G1312" s="7">
        <v>1045</v>
      </c>
    </row>
    <row r="1313" spans="1:7">
      <c r="A1313" s="4" t="s">
        <v>38</v>
      </c>
      <c r="B1313" s="4" t="s">
        <v>634</v>
      </c>
      <c r="C1313" s="4" t="s">
        <v>3209</v>
      </c>
      <c r="D1313" s="4" t="s">
        <v>784</v>
      </c>
      <c r="E1313" s="6">
        <v>44089</v>
      </c>
      <c r="F1313" s="7">
        <v>1</v>
      </c>
      <c r="G1313" s="7">
        <v>0</v>
      </c>
    </row>
    <row r="1314" spans="1:7">
      <c r="A1314" s="4" t="s">
        <v>91</v>
      </c>
      <c r="B1314" s="4" t="s">
        <v>707</v>
      </c>
      <c r="C1314" s="4" t="s">
        <v>3210</v>
      </c>
      <c r="D1314" s="4" t="s">
        <v>1157</v>
      </c>
      <c r="E1314" s="6">
        <v>44131</v>
      </c>
      <c r="F1314" s="7">
        <v>10000</v>
      </c>
      <c r="G1314" s="7">
        <v>0.13900000000000001</v>
      </c>
    </row>
    <row r="1315" spans="1:7">
      <c r="A1315" s="4" t="s">
        <v>91</v>
      </c>
      <c r="B1315" s="4" t="s">
        <v>707</v>
      </c>
      <c r="C1315" s="4" t="s">
        <v>3210</v>
      </c>
      <c r="D1315" s="4" t="s">
        <v>784</v>
      </c>
      <c r="E1315" s="6">
        <v>44131</v>
      </c>
      <c r="F1315" s="7">
        <v>1</v>
      </c>
      <c r="G1315" s="7">
        <v>0</v>
      </c>
    </row>
    <row r="1316" spans="1:7">
      <c r="A1316" s="4" t="s">
        <v>201</v>
      </c>
      <c r="B1316" s="4" t="s">
        <v>619</v>
      </c>
      <c r="C1316" s="4" t="s">
        <v>3211</v>
      </c>
      <c r="D1316" s="4" t="s">
        <v>2125</v>
      </c>
      <c r="E1316" s="6">
        <v>44083</v>
      </c>
      <c r="F1316" s="7">
        <v>50</v>
      </c>
      <c r="G1316" s="7">
        <v>0.87</v>
      </c>
    </row>
    <row r="1317" spans="1:7">
      <c r="A1317" s="4" t="s">
        <v>201</v>
      </c>
      <c r="B1317" s="4" t="s">
        <v>619</v>
      </c>
      <c r="C1317" s="4" t="s">
        <v>3211</v>
      </c>
      <c r="D1317" s="4" t="s">
        <v>982</v>
      </c>
      <c r="E1317" s="6">
        <v>44083</v>
      </c>
      <c r="F1317" s="7">
        <v>25</v>
      </c>
      <c r="G1317" s="7">
        <v>6.8400000000000007</v>
      </c>
    </row>
    <row r="1318" spans="1:7">
      <c r="A1318" s="4" t="s">
        <v>201</v>
      </c>
      <c r="B1318" s="4" t="s">
        <v>619</v>
      </c>
      <c r="C1318" s="4" t="s">
        <v>3211</v>
      </c>
      <c r="D1318" s="4" t="s">
        <v>1044</v>
      </c>
      <c r="E1318" s="6">
        <v>44083</v>
      </c>
      <c r="F1318" s="7">
        <v>10</v>
      </c>
      <c r="G1318" s="7">
        <v>7.5900000000000007</v>
      </c>
    </row>
    <row r="1319" spans="1:7">
      <c r="A1319" s="4" t="s">
        <v>201</v>
      </c>
      <c r="B1319" s="4" t="s">
        <v>619</v>
      </c>
      <c r="C1319" s="4" t="s">
        <v>3211</v>
      </c>
      <c r="D1319" s="4" t="s">
        <v>873</v>
      </c>
      <c r="E1319" s="6">
        <v>44083</v>
      </c>
      <c r="F1319" s="7">
        <v>50</v>
      </c>
      <c r="G1319" s="7">
        <v>0.56000000000000005</v>
      </c>
    </row>
    <row r="1320" spans="1:7">
      <c r="A1320" s="4" t="s">
        <v>201</v>
      </c>
      <c r="B1320" s="4" t="s">
        <v>619</v>
      </c>
      <c r="C1320" s="4" t="s">
        <v>3211</v>
      </c>
      <c r="D1320" s="4" t="s">
        <v>936</v>
      </c>
      <c r="E1320" s="6">
        <v>44083</v>
      </c>
      <c r="F1320" s="7">
        <v>50</v>
      </c>
      <c r="G1320" s="7">
        <v>0.82</v>
      </c>
    </row>
    <row r="1321" spans="1:7">
      <c r="A1321" s="4" t="s">
        <v>201</v>
      </c>
      <c r="B1321" s="4" t="s">
        <v>619</v>
      </c>
      <c r="C1321" s="4" t="s">
        <v>3211</v>
      </c>
      <c r="D1321" s="4" t="s">
        <v>942</v>
      </c>
      <c r="E1321" s="6">
        <v>44083</v>
      </c>
      <c r="F1321" s="7">
        <v>30</v>
      </c>
      <c r="G1321" s="7">
        <v>1.7899999999999998</v>
      </c>
    </row>
    <row r="1322" spans="1:7">
      <c r="A1322" s="4" t="s">
        <v>201</v>
      </c>
      <c r="B1322" s="4" t="s">
        <v>619</v>
      </c>
      <c r="C1322" s="4" t="s">
        <v>3211</v>
      </c>
      <c r="D1322" s="4" t="s">
        <v>1126</v>
      </c>
      <c r="E1322" s="6">
        <v>44083</v>
      </c>
      <c r="F1322" s="7">
        <v>30</v>
      </c>
      <c r="G1322" s="7">
        <v>3.4799999999999995</v>
      </c>
    </row>
    <row r="1323" spans="1:7">
      <c r="A1323" s="4" t="s">
        <v>201</v>
      </c>
      <c r="B1323" s="4" t="s">
        <v>619</v>
      </c>
      <c r="C1323" s="4" t="s">
        <v>3211</v>
      </c>
      <c r="D1323" s="4" t="s">
        <v>1213</v>
      </c>
      <c r="E1323" s="6">
        <v>44083</v>
      </c>
      <c r="F1323" s="7">
        <v>50</v>
      </c>
      <c r="G1323" s="7">
        <v>0.82</v>
      </c>
    </row>
    <row r="1324" spans="1:7">
      <c r="A1324" s="4" t="s">
        <v>201</v>
      </c>
      <c r="B1324" s="4" t="s">
        <v>619</v>
      </c>
      <c r="C1324" s="4" t="s">
        <v>3211</v>
      </c>
      <c r="D1324" s="4" t="s">
        <v>979</v>
      </c>
      <c r="E1324" s="6">
        <v>44083</v>
      </c>
      <c r="F1324" s="7">
        <v>25</v>
      </c>
      <c r="G1324" s="7">
        <v>2.15</v>
      </c>
    </row>
    <row r="1325" spans="1:7">
      <c r="A1325" s="4" t="s">
        <v>201</v>
      </c>
      <c r="B1325" s="4" t="s">
        <v>619</v>
      </c>
      <c r="C1325" s="4" t="s">
        <v>3211</v>
      </c>
      <c r="D1325" s="4" t="s">
        <v>1018</v>
      </c>
      <c r="E1325" s="6">
        <v>44083</v>
      </c>
      <c r="F1325" s="7">
        <v>50</v>
      </c>
      <c r="G1325" s="7">
        <v>0.52</v>
      </c>
    </row>
    <row r="1326" spans="1:7">
      <c r="A1326" s="4" t="s">
        <v>201</v>
      </c>
      <c r="B1326" s="4" t="s">
        <v>619</v>
      </c>
      <c r="C1326" s="4" t="s">
        <v>3211</v>
      </c>
      <c r="D1326" s="4" t="s">
        <v>853</v>
      </c>
      <c r="E1326" s="6">
        <v>44083</v>
      </c>
      <c r="F1326" s="7">
        <v>20</v>
      </c>
      <c r="G1326" s="7">
        <v>2.96</v>
      </c>
    </row>
    <row r="1327" spans="1:7">
      <c r="A1327" s="4" t="s">
        <v>201</v>
      </c>
      <c r="B1327" s="4" t="s">
        <v>619</v>
      </c>
      <c r="C1327" s="4" t="s">
        <v>3211</v>
      </c>
      <c r="D1327" s="4" t="s">
        <v>1030</v>
      </c>
      <c r="E1327" s="6">
        <v>44083</v>
      </c>
      <c r="F1327" s="7">
        <v>20</v>
      </c>
      <c r="G1327" s="7">
        <v>3.2</v>
      </c>
    </row>
    <row r="1328" spans="1:7">
      <c r="A1328" s="4" t="s">
        <v>201</v>
      </c>
      <c r="B1328" s="4" t="s">
        <v>619</v>
      </c>
      <c r="C1328" s="4" t="s">
        <v>3211</v>
      </c>
      <c r="D1328" s="4" t="s">
        <v>1060</v>
      </c>
      <c r="E1328" s="6">
        <v>44083</v>
      </c>
      <c r="F1328" s="7">
        <v>20</v>
      </c>
      <c r="G1328" s="7">
        <v>0.95</v>
      </c>
    </row>
    <row r="1329" spans="1:7">
      <c r="A1329" s="4" t="s">
        <v>201</v>
      </c>
      <c r="B1329" s="4" t="s">
        <v>619</v>
      </c>
      <c r="C1329" s="4" t="s">
        <v>3211</v>
      </c>
      <c r="D1329" s="4" t="s">
        <v>1652</v>
      </c>
      <c r="E1329" s="6">
        <v>44083</v>
      </c>
      <c r="F1329" s="7">
        <v>50</v>
      </c>
      <c r="G1329" s="7">
        <v>0.62</v>
      </c>
    </row>
    <row r="1330" spans="1:7">
      <c r="A1330" s="4" t="s">
        <v>201</v>
      </c>
      <c r="B1330" s="4" t="s">
        <v>619</v>
      </c>
      <c r="C1330" s="4" t="s">
        <v>3211</v>
      </c>
      <c r="D1330" s="4" t="s">
        <v>784</v>
      </c>
      <c r="E1330" s="6">
        <v>44083</v>
      </c>
      <c r="F1330" s="7">
        <v>1</v>
      </c>
      <c r="G1330" s="7">
        <v>0</v>
      </c>
    </row>
    <row r="1331" spans="1:7">
      <c r="A1331" s="4" t="s">
        <v>621</v>
      </c>
      <c r="B1331" s="4" t="s">
        <v>622</v>
      </c>
      <c r="C1331" s="4" t="s">
        <v>3212</v>
      </c>
      <c r="D1331" s="4" t="s">
        <v>851</v>
      </c>
      <c r="E1331" s="6">
        <v>44083</v>
      </c>
      <c r="F1331" s="7">
        <v>50</v>
      </c>
      <c r="G1331" s="7">
        <v>2.2199999999999998</v>
      </c>
    </row>
    <row r="1332" spans="1:7">
      <c r="A1332" s="4" t="s">
        <v>621</v>
      </c>
      <c r="B1332" s="4" t="s">
        <v>622</v>
      </c>
      <c r="C1332" s="4" t="s">
        <v>3212</v>
      </c>
      <c r="D1332" s="4" t="s">
        <v>1146</v>
      </c>
      <c r="E1332" s="6">
        <v>44083</v>
      </c>
      <c r="F1332" s="7">
        <v>50</v>
      </c>
      <c r="G1332" s="7">
        <v>1.5</v>
      </c>
    </row>
    <row r="1333" spans="1:7">
      <c r="A1333" s="4" t="s">
        <v>621</v>
      </c>
      <c r="B1333" s="4" t="s">
        <v>622</v>
      </c>
      <c r="C1333" s="4" t="s">
        <v>3212</v>
      </c>
      <c r="D1333" s="4" t="s">
        <v>940</v>
      </c>
      <c r="E1333" s="6">
        <v>44083</v>
      </c>
      <c r="F1333" s="7">
        <v>200</v>
      </c>
      <c r="G1333" s="7">
        <v>1.1400000000000001</v>
      </c>
    </row>
    <row r="1334" spans="1:7">
      <c r="A1334" s="4" t="s">
        <v>621</v>
      </c>
      <c r="B1334" s="4" t="s">
        <v>622</v>
      </c>
      <c r="C1334" s="4" t="s">
        <v>3212</v>
      </c>
      <c r="D1334" s="4" t="s">
        <v>784</v>
      </c>
      <c r="E1334" s="6">
        <v>44083</v>
      </c>
      <c r="F1334" s="7">
        <v>1</v>
      </c>
      <c r="G1334" s="7">
        <v>0</v>
      </c>
    </row>
    <row r="1335" spans="1:7">
      <c r="A1335" s="4" t="s">
        <v>29</v>
      </c>
      <c r="B1335" s="4" t="s">
        <v>648</v>
      </c>
      <c r="C1335" s="4" t="s">
        <v>3213</v>
      </c>
      <c r="D1335" s="4" t="s">
        <v>1640</v>
      </c>
      <c r="E1335" s="6">
        <v>44097</v>
      </c>
      <c r="F1335" s="7">
        <v>500</v>
      </c>
      <c r="G1335" s="7">
        <v>3.17</v>
      </c>
    </row>
    <row r="1336" spans="1:7">
      <c r="A1336" s="4" t="s">
        <v>29</v>
      </c>
      <c r="B1336" s="4" t="s">
        <v>648</v>
      </c>
      <c r="C1336" s="4" t="s">
        <v>3213</v>
      </c>
      <c r="D1336" s="4" t="s">
        <v>889</v>
      </c>
      <c r="E1336" s="6">
        <v>44097</v>
      </c>
      <c r="F1336" s="7">
        <v>200</v>
      </c>
      <c r="G1336" s="7">
        <v>0.72</v>
      </c>
    </row>
    <row r="1337" spans="1:7">
      <c r="A1337" s="4" t="s">
        <v>29</v>
      </c>
      <c r="B1337" s="4" t="s">
        <v>648</v>
      </c>
      <c r="C1337" s="4" t="s">
        <v>3213</v>
      </c>
      <c r="D1337" s="4" t="s">
        <v>784</v>
      </c>
      <c r="E1337" s="6">
        <v>44097</v>
      </c>
      <c r="F1337" s="7">
        <v>1</v>
      </c>
      <c r="G1337" s="7">
        <v>0</v>
      </c>
    </row>
    <row r="1338" spans="1:7">
      <c r="A1338" s="4" t="s">
        <v>405</v>
      </c>
      <c r="B1338" s="4" t="s">
        <v>624</v>
      </c>
      <c r="C1338" s="4" t="s">
        <v>3214</v>
      </c>
      <c r="D1338" s="4" t="s">
        <v>1384</v>
      </c>
      <c r="E1338" s="6">
        <v>44083</v>
      </c>
      <c r="F1338" s="7">
        <v>50</v>
      </c>
      <c r="G1338" s="7">
        <v>0.91</v>
      </c>
    </row>
    <row r="1339" spans="1:7">
      <c r="A1339" s="4" t="s">
        <v>405</v>
      </c>
      <c r="B1339" s="4" t="s">
        <v>624</v>
      </c>
      <c r="C1339" s="4" t="s">
        <v>3214</v>
      </c>
      <c r="D1339" s="4" t="s">
        <v>1042</v>
      </c>
      <c r="E1339" s="6">
        <v>44083</v>
      </c>
      <c r="F1339" s="7">
        <v>50</v>
      </c>
      <c r="G1339" s="7">
        <v>0.78</v>
      </c>
    </row>
    <row r="1340" spans="1:7">
      <c r="A1340" s="4" t="s">
        <v>405</v>
      </c>
      <c r="B1340" s="4" t="s">
        <v>624</v>
      </c>
      <c r="C1340" s="4" t="s">
        <v>3214</v>
      </c>
      <c r="D1340" s="4" t="s">
        <v>2424</v>
      </c>
      <c r="E1340" s="6">
        <v>44083</v>
      </c>
      <c r="F1340" s="7">
        <v>50</v>
      </c>
      <c r="G1340" s="7">
        <v>1.4</v>
      </c>
    </row>
    <row r="1341" spans="1:7">
      <c r="A1341" s="4" t="s">
        <v>405</v>
      </c>
      <c r="B1341" s="4" t="s">
        <v>624</v>
      </c>
      <c r="C1341" s="4" t="s">
        <v>3214</v>
      </c>
      <c r="D1341" s="4" t="s">
        <v>784</v>
      </c>
      <c r="E1341" s="6">
        <v>44083</v>
      </c>
      <c r="F1341" s="7">
        <v>1</v>
      </c>
      <c r="G1341" s="7">
        <v>0</v>
      </c>
    </row>
    <row r="1342" spans="1:7">
      <c r="A1342" s="4" t="s">
        <v>650</v>
      </c>
      <c r="B1342" s="4" t="s">
        <v>651</v>
      </c>
      <c r="C1342" s="4" t="s">
        <v>3215</v>
      </c>
      <c r="D1342" s="4" t="s">
        <v>887</v>
      </c>
      <c r="E1342" s="6">
        <v>44097</v>
      </c>
      <c r="F1342" s="7">
        <v>50</v>
      </c>
      <c r="G1342" s="7">
        <v>1.1099999999999999</v>
      </c>
    </row>
    <row r="1343" spans="1:7">
      <c r="A1343" s="4" t="s">
        <v>650</v>
      </c>
      <c r="B1343" s="4" t="s">
        <v>651</v>
      </c>
      <c r="C1343" s="4" t="s">
        <v>3215</v>
      </c>
      <c r="D1343" s="4" t="s">
        <v>949</v>
      </c>
      <c r="E1343" s="6">
        <v>44097</v>
      </c>
      <c r="F1343" s="7">
        <v>50</v>
      </c>
      <c r="G1343" s="7">
        <v>1.1800000000000002</v>
      </c>
    </row>
    <row r="1344" spans="1:7">
      <c r="A1344" s="4" t="s">
        <v>650</v>
      </c>
      <c r="B1344" s="4" t="s">
        <v>651</v>
      </c>
      <c r="C1344" s="4" t="s">
        <v>3215</v>
      </c>
      <c r="D1344" s="4" t="s">
        <v>873</v>
      </c>
      <c r="E1344" s="6">
        <v>44097</v>
      </c>
      <c r="F1344" s="7">
        <v>50</v>
      </c>
      <c r="G1344" s="7">
        <v>1</v>
      </c>
    </row>
    <row r="1345" spans="1:7">
      <c r="A1345" s="4" t="s">
        <v>650</v>
      </c>
      <c r="B1345" s="4" t="s">
        <v>651</v>
      </c>
      <c r="C1345" s="4" t="s">
        <v>3215</v>
      </c>
      <c r="D1345" s="4" t="s">
        <v>936</v>
      </c>
      <c r="E1345" s="6">
        <v>44097</v>
      </c>
      <c r="F1345" s="7">
        <v>100</v>
      </c>
      <c r="G1345" s="7">
        <v>1.47</v>
      </c>
    </row>
    <row r="1346" spans="1:7">
      <c r="A1346" s="4" t="s">
        <v>650</v>
      </c>
      <c r="B1346" s="4" t="s">
        <v>651</v>
      </c>
      <c r="C1346" s="4" t="s">
        <v>3215</v>
      </c>
      <c r="D1346" s="4" t="s">
        <v>855</v>
      </c>
      <c r="E1346" s="6">
        <v>44097</v>
      </c>
      <c r="F1346" s="7">
        <v>20</v>
      </c>
      <c r="G1346" s="7">
        <v>3.69</v>
      </c>
    </row>
    <row r="1347" spans="1:7">
      <c r="A1347" s="4" t="s">
        <v>650</v>
      </c>
      <c r="B1347" s="4" t="s">
        <v>651</v>
      </c>
      <c r="C1347" s="4" t="s">
        <v>3215</v>
      </c>
      <c r="D1347" s="4" t="s">
        <v>1669</v>
      </c>
      <c r="E1347" s="6">
        <v>44097</v>
      </c>
      <c r="F1347" s="7">
        <v>20</v>
      </c>
      <c r="G1347" s="7">
        <v>6.3100000000000005</v>
      </c>
    </row>
    <row r="1348" spans="1:7">
      <c r="A1348" s="4" t="s">
        <v>650</v>
      </c>
      <c r="B1348" s="4" t="s">
        <v>651</v>
      </c>
      <c r="C1348" s="4" t="s">
        <v>3215</v>
      </c>
      <c r="D1348" s="4" t="s">
        <v>1063</v>
      </c>
      <c r="E1348" s="6">
        <v>44097</v>
      </c>
      <c r="F1348" s="7">
        <v>50</v>
      </c>
      <c r="G1348" s="7">
        <v>1.89</v>
      </c>
    </row>
    <row r="1349" spans="1:7">
      <c r="A1349" s="4" t="s">
        <v>650</v>
      </c>
      <c r="B1349" s="4" t="s">
        <v>651</v>
      </c>
      <c r="C1349" s="4" t="s">
        <v>3215</v>
      </c>
      <c r="D1349" s="4" t="s">
        <v>1165</v>
      </c>
      <c r="E1349" s="6">
        <v>44097</v>
      </c>
      <c r="F1349" s="7">
        <v>10</v>
      </c>
      <c r="G1349" s="7">
        <v>2.93</v>
      </c>
    </row>
    <row r="1350" spans="1:7">
      <c r="A1350" s="4" t="s">
        <v>650</v>
      </c>
      <c r="B1350" s="4" t="s">
        <v>651</v>
      </c>
      <c r="C1350" s="4" t="s">
        <v>3215</v>
      </c>
      <c r="D1350" s="4" t="s">
        <v>989</v>
      </c>
      <c r="E1350" s="6">
        <v>44097</v>
      </c>
      <c r="F1350" s="7">
        <v>10</v>
      </c>
      <c r="G1350" s="7">
        <v>3.8200000000000003</v>
      </c>
    </row>
    <row r="1351" spans="1:7">
      <c r="A1351" s="4" t="s">
        <v>650</v>
      </c>
      <c r="B1351" s="4" t="s">
        <v>651</v>
      </c>
      <c r="C1351" s="4" t="s">
        <v>3215</v>
      </c>
      <c r="D1351" s="4" t="s">
        <v>1371</v>
      </c>
      <c r="E1351" s="6">
        <v>44097</v>
      </c>
      <c r="F1351" s="7">
        <v>50</v>
      </c>
      <c r="G1351" s="7">
        <v>4.76</v>
      </c>
    </row>
    <row r="1352" spans="1:7">
      <c r="A1352" s="4" t="s">
        <v>650</v>
      </c>
      <c r="B1352" s="4" t="s">
        <v>651</v>
      </c>
      <c r="C1352" s="4" t="s">
        <v>3215</v>
      </c>
      <c r="D1352" s="4" t="s">
        <v>815</v>
      </c>
      <c r="E1352" s="6">
        <v>44097</v>
      </c>
      <c r="F1352" s="7">
        <v>50</v>
      </c>
      <c r="G1352" s="7">
        <v>6.44</v>
      </c>
    </row>
    <row r="1353" spans="1:7">
      <c r="A1353" s="4" t="s">
        <v>650</v>
      </c>
      <c r="B1353" s="4" t="s">
        <v>651</v>
      </c>
      <c r="C1353" s="4" t="s">
        <v>3215</v>
      </c>
      <c r="D1353" s="4" t="s">
        <v>893</v>
      </c>
      <c r="E1353" s="6">
        <v>44097</v>
      </c>
      <c r="F1353" s="7">
        <v>100</v>
      </c>
      <c r="G1353" s="7">
        <v>7.9099999999999993</v>
      </c>
    </row>
    <row r="1354" spans="1:7">
      <c r="A1354" s="4" t="s">
        <v>650</v>
      </c>
      <c r="B1354" s="4" t="s">
        <v>651</v>
      </c>
      <c r="C1354" s="4" t="s">
        <v>3215</v>
      </c>
      <c r="D1354" s="4" t="s">
        <v>952</v>
      </c>
      <c r="E1354" s="6">
        <v>44097</v>
      </c>
      <c r="F1354" s="7">
        <v>50</v>
      </c>
      <c r="G1354" s="7">
        <v>1.44</v>
      </c>
    </row>
    <row r="1355" spans="1:7">
      <c r="A1355" s="4" t="s">
        <v>650</v>
      </c>
      <c r="B1355" s="4" t="s">
        <v>651</v>
      </c>
      <c r="C1355" s="4" t="s">
        <v>3215</v>
      </c>
      <c r="D1355" s="4" t="s">
        <v>1213</v>
      </c>
      <c r="E1355" s="6">
        <v>44097</v>
      </c>
      <c r="F1355" s="7">
        <v>50</v>
      </c>
      <c r="G1355" s="7">
        <v>1.47</v>
      </c>
    </row>
    <row r="1356" spans="1:7">
      <c r="A1356" s="4" t="s">
        <v>650</v>
      </c>
      <c r="B1356" s="4" t="s">
        <v>651</v>
      </c>
      <c r="C1356" s="4" t="s">
        <v>3215</v>
      </c>
      <c r="D1356" s="4" t="s">
        <v>875</v>
      </c>
      <c r="E1356" s="6">
        <v>44097</v>
      </c>
      <c r="F1356" s="7">
        <v>50</v>
      </c>
      <c r="G1356" s="7">
        <v>1.3800000000000001</v>
      </c>
    </row>
    <row r="1357" spans="1:7">
      <c r="A1357" s="4" t="s">
        <v>650</v>
      </c>
      <c r="B1357" s="4" t="s">
        <v>651</v>
      </c>
      <c r="C1357" s="4" t="s">
        <v>3215</v>
      </c>
      <c r="D1357" s="4" t="s">
        <v>889</v>
      </c>
      <c r="E1357" s="6">
        <v>44097</v>
      </c>
      <c r="F1357" s="7">
        <v>50</v>
      </c>
      <c r="G1357" s="7">
        <v>1.3800000000000001</v>
      </c>
    </row>
    <row r="1358" spans="1:7">
      <c r="A1358" s="4" t="s">
        <v>650</v>
      </c>
      <c r="B1358" s="4" t="s">
        <v>651</v>
      </c>
      <c r="C1358" s="4" t="s">
        <v>3215</v>
      </c>
      <c r="D1358" s="4" t="s">
        <v>784</v>
      </c>
      <c r="E1358" s="6">
        <v>44097</v>
      </c>
      <c r="F1358" s="7">
        <v>1</v>
      </c>
      <c r="G1358" s="7">
        <v>0</v>
      </c>
    </row>
    <row r="1359" spans="1:7">
      <c r="A1359" s="4" t="s">
        <v>73</v>
      </c>
      <c r="B1359" s="4" t="s">
        <v>628</v>
      </c>
      <c r="C1359" s="4" t="s">
        <v>3216</v>
      </c>
      <c r="D1359" s="4" t="s">
        <v>813</v>
      </c>
      <c r="E1359" s="6">
        <v>44085</v>
      </c>
      <c r="F1359" s="7">
        <v>500</v>
      </c>
      <c r="G1359" s="7">
        <v>1.06</v>
      </c>
    </row>
    <row r="1360" spans="1:7">
      <c r="A1360" s="4" t="s">
        <v>73</v>
      </c>
      <c r="B1360" s="4" t="s">
        <v>628</v>
      </c>
      <c r="C1360" s="4" t="s">
        <v>3216</v>
      </c>
      <c r="D1360" s="4" t="s">
        <v>784</v>
      </c>
      <c r="E1360" s="6">
        <v>44085</v>
      </c>
      <c r="F1360" s="7">
        <v>1</v>
      </c>
      <c r="G1360" s="7">
        <v>0</v>
      </c>
    </row>
    <row r="1361" spans="1:7">
      <c r="A1361" s="4" t="s">
        <v>672</v>
      </c>
      <c r="B1361" s="4" t="s">
        <v>673</v>
      </c>
      <c r="C1361" s="4" t="s">
        <v>3217</v>
      </c>
      <c r="D1361" s="4" t="s">
        <v>1236</v>
      </c>
      <c r="E1361" s="6">
        <v>44111</v>
      </c>
      <c r="F1361" s="7">
        <v>1</v>
      </c>
      <c r="G1361" s="7">
        <v>2200</v>
      </c>
    </row>
    <row r="1362" spans="1:7">
      <c r="A1362" s="4" t="s">
        <v>672</v>
      </c>
      <c r="B1362" s="4" t="s">
        <v>673</v>
      </c>
      <c r="C1362" s="4" t="s">
        <v>3217</v>
      </c>
      <c r="D1362" s="4" t="s">
        <v>784</v>
      </c>
      <c r="E1362" s="6">
        <v>44111</v>
      </c>
      <c r="F1362" s="7">
        <v>1</v>
      </c>
      <c r="G1362" s="7">
        <v>0</v>
      </c>
    </row>
    <row r="1363" spans="1:7">
      <c r="A1363" s="4" t="s">
        <v>12</v>
      </c>
      <c r="B1363" s="4" t="s">
        <v>659</v>
      </c>
      <c r="C1363" s="4" t="s">
        <v>3218</v>
      </c>
      <c r="D1363" s="4" t="s">
        <v>786</v>
      </c>
      <c r="E1363" s="6">
        <v>44106</v>
      </c>
      <c r="F1363" s="7">
        <v>1000</v>
      </c>
      <c r="G1363" s="7">
        <v>0.74</v>
      </c>
    </row>
    <row r="1364" spans="1:7">
      <c r="A1364" s="4" t="s">
        <v>12</v>
      </c>
      <c r="B1364" s="4" t="s">
        <v>659</v>
      </c>
      <c r="C1364" s="4" t="s">
        <v>3218</v>
      </c>
      <c r="D1364" s="4" t="s">
        <v>801</v>
      </c>
      <c r="E1364" s="6">
        <v>44106</v>
      </c>
      <c r="F1364" s="7">
        <v>2000</v>
      </c>
      <c r="G1364" s="7">
        <v>0.95</v>
      </c>
    </row>
    <row r="1365" spans="1:7">
      <c r="A1365" s="4" t="s">
        <v>12</v>
      </c>
      <c r="B1365" s="4" t="s">
        <v>659</v>
      </c>
      <c r="C1365" s="4" t="s">
        <v>3218</v>
      </c>
      <c r="D1365" s="4" t="s">
        <v>799</v>
      </c>
      <c r="E1365" s="6">
        <v>44106</v>
      </c>
      <c r="F1365" s="7">
        <v>1500</v>
      </c>
      <c r="G1365" s="7">
        <v>0.85</v>
      </c>
    </row>
    <row r="1366" spans="1:7">
      <c r="A1366" s="4" t="s">
        <v>12</v>
      </c>
      <c r="B1366" s="4" t="s">
        <v>659</v>
      </c>
      <c r="C1366" s="4" t="s">
        <v>3218</v>
      </c>
      <c r="D1366" s="4" t="s">
        <v>1086</v>
      </c>
      <c r="E1366" s="6">
        <v>44106</v>
      </c>
      <c r="F1366" s="7">
        <v>100</v>
      </c>
      <c r="G1366" s="7">
        <v>1.3599999999999999</v>
      </c>
    </row>
    <row r="1367" spans="1:7">
      <c r="A1367" s="4" t="s">
        <v>12</v>
      </c>
      <c r="B1367" s="4" t="s">
        <v>659</v>
      </c>
      <c r="C1367" s="4" t="s">
        <v>3218</v>
      </c>
      <c r="D1367" s="4" t="s">
        <v>784</v>
      </c>
      <c r="E1367" s="6">
        <v>44106</v>
      </c>
      <c r="F1367" s="7">
        <v>1</v>
      </c>
      <c r="G1367" s="7">
        <v>0</v>
      </c>
    </row>
    <row r="1368" spans="1:7">
      <c r="A1368" s="4" t="s">
        <v>46</v>
      </c>
      <c r="B1368" s="4" t="s">
        <v>638</v>
      </c>
      <c r="C1368" s="4" t="s">
        <v>3219</v>
      </c>
      <c r="D1368" s="4" t="s">
        <v>993</v>
      </c>
      <c r="E1368" s="6">
        <v>44089</v>
      </c>
      <c r="F1368" s="7">
        <v>100</v>
      </c>
      <c r="G1368" s="7">
        <v>0.44</v>
      </c>
    </row>
    <row r="1369" spans="1:7">
      <c r="A1369" s="4" t="s">
        <v>46</v>
      </c>
      <c r="B1369" s="4" t="s">
        <v>638</v>
      </c>
      <c r="C1369" s="4" t="s">
        <v>3219</v>
      </c>
      <c r="D1369" s="4" t="s">
        <v>936</v>
      </c>
      <c r="E1369" s="6">
        <v>44089</v>
      </c>
      <c r="F1369" s="7">
        <v>100</v>
      </c>
      <c r="G1369" s="7">
        <v>0.76</v>
      </c>
    </row>
    <row r="1370" spans="1:7">
      <c r="A1370" s="4" t="s">
        <v>46</v>
      </c>
      <c r="B1370" s="4" t="s">
        <v>638</v>
      </c>
      <c r="C1370" s="4" t="s">
        <v>3219</v>
      </c>
      <c r="D1370" s="4" t="s">
        <v>1439</v>
      </c>
      <c r="E1370" s="6">
        <v>44089</v>
      </c>
      <c r="F1370" s="7">
        <v>100</v>
      </c>
      <c r="G1370" s="7">
        <v>3.3299999999999996</v>
      </c>
    </row>
    <row r="1371" spans="1:7">
      <c r="A1371" s="4" t="s">
        <v>46</v>
      </c>
      <c r="B1371" s="4" t="s">
        <v>638</v>
      </c>
      <c r="C1371" s="4" t="s">
        <v>3219</v>
      </c>
      <c r="D1371" s="4" t="s">
        <v>1364</v>
      </c>
      <c r="E1371" s="6">
        <v>44089</v>
      </c>
      <c r="F1371" s="7">
        <v>50</v>
      </c>
      <c r="G1371" s="7">
        <v>6.4700000000000006</v>
      </c>
    </row>
    <row r="1372" spans="1:7">
      <c r="A1372" s="4" t="s">
        <v>46</v>
      </c>
      <c r="B1372" s="4" t="s">
        <v>638</v>
      </c>
      <c r="C1372" s="4" t="s">
        <v>3219</v>
      </c>
      <c r="D1372" s="4" t="s">
        <v>889</v>
      </c>
      <c r="E1372" s="6">
        <v>44089</v>
      </c>
      <c r="F1372" s="7">
        <v>150</v>
      </c>
      <c r="G1372" s="7">
        <v>0.72</v>
      </c>
    </row>
    <row r="1373" spans="1:7">
      <c r="A1373" s="4" t="s">
        <v>46</v>
      </c>
      <c r="B1373" s="4" t="s">
        <v>638</v>
      </c>
      <c r="C1373" s="4" t="s">
        <v>3219</v>
      </c>
      <c r="D1373" s="4" t="s">
        <v>879</v>
      </c>
      <c r="E1373" s="6">
        <v>44089</v>
      </c>
      <c r="F1373" s="7">
        <v>50</v>
      </c>
      <c r="G1373" s="7">
        <v>1.1199999999999999</v>
      </c>
    </row>
    <row r="1374" spans="1:7">
      <c r="A1374" s="4" t="s">
        <v>46</v>
      </c>
      <c r="B1374" s="4" t="s">
        <v>638</v>
      </c>
      <c r="C1374" s="4" t="s">
        <v>3219</v>
      </c>
      <c r="D1374" s="4" t="s">
        <v>1015</v>
      </c>
      <c r="E1374" s="6">
        <v>44089</v>
      </c>
      <c r="F1374" s="7">
        <v>100</v>
      </c>
      <c r="G1374" s="7">
        <v>1.25</v>
      </c>
    </row>
    <row r="1375" spans="1:7">
      <c r="A1375" s="4" t="s">
        <v>46</v>
      </c>
      <c r="B1375" s="4" t="s">
        <v>638</v>
      </c>
      <c r="C1375" s="4" t="s">
        <v>3219</v>
      </c>
      <c r="D1375" s="4" t="s">
        <v>891</v>
      </c>
      <c r="E1375" s="6">
        <v>44089</v>
      </c>
      <c r="F1375" s="7">
        <v>50</v>
      </c>
      <c r="G1375" s="7">
        <v>1.27</v>
      </c>
    </row>
    <row r="1376" spans="1:7">
      <c r="A1376" s="4" t="s">
        <v>46</v>
      </c>
      <c r="B1376" s="4" t="s">
        <v>638</v>
      </c>
      <c r="C1376" s="4" t="s">
        <v>3219</v>
      </c>
      <c r="D1376" s="4" t="s">
        <v>784</v>
      </c>
      <c r="E1376" s="6">
        <v>44089</v>
      </c>
      <c r="F1376" s="7">
        <v>1</v>
      </c>
      <c r="G1376" s="7">
        <v>0</v>
      </c>
    </row>
    <row r="1377" spans="1:7">
      <c r="A1377" s="4" t="s">
        <v>24</v>
      </c>
      <c r="B1377" s="4" t="s">
        <v>636</v>
      </c>
      <c r="C1377" s="4" t="s">
        <v>3220</v>
      </c>
      <c r="D1377" s="4" t="s">
        <v>817</v>
      </c>
      <c r="E1377" s="6">
        <v>44089</v>
      </c>
      <c r="F1377" s="7">
        <v>200</v>
      </c>
      <c r="G1377" s="7">
        <v>1.64</v>
      </c>
    </row>
    <row r="1378" spans="1:7">
      <c r="A1378" s="4" t="s">
        <v>24</v>
      </c>
      <c r="B1378" s="4" t="s">
        <v>636</v>
      </c>
      <c r="C1378" s="4" t="s">
        <v>3220</v>
      </c>
      <c r="D1378" s="4" t="s">
        <v>1628</v>
      </c>
      <c r="E1378" s="6">
        <v>44089</v>
      </c>
      <c r="F1378" s="7">
        <v>40</v>
      </c>
      <c r="G1378" s="7">
        <v>1.7899999999999998</v>
      </c>
    </row>
    <row r="1379" spans="1:7">
      <c r="A1379" s="4" t="s">
        <v>24</v>
      </c>
      <c r="B1379" s="4" t="s">
        <v>636</v>
      </c>
      <c r="C1379" s="4" t="s">
        <v>3220</v>
      </c>
      <c r="D1379" s="4" t="s">
        <v>813</v>
      </c>
      <c r="E1379" s="6">
        <v>44089</v>
      </c>
      <c r="F1379" s="7">
        <v>10</v>
      </c>
      <c r="G1379" s="7">
        <v>2.29</v>
      </c>
    </row>
    <row r="1380" spans="1:7">
      <c r="A1380" s="4" t="s">
        <v>24</v>
      </c>
      <c r="B1380" s="4" t="s">
        <v>636</v>
      </c>
      <c r="C1380" s="4" t="s">
        <v>3220</v>
      </c>
      <c r="D1380" s="4" t="s">
        <v>815</v>
      </c>
      <c r="E1380" s="6">
        <v>44089</v>
      </c>
      <c r="F1380" s="7">
        <v>125</v>
      </c>
      <c r="G1380" s="7">
        <v>3.6100000000000003</v>
      </c>
    </row>
    <row r="1381" spans="1:7">
      <c r="A1381" s="4" t="s">
        <v>24</v>
      </c>
      <c r="B1381" s="4" t="s">
        <v>636</v>
      </c>
      <c r="C1381" s="4" t="s">
        <v>3220</v>
      </c>
      <c r="D1381" s="4" t="s">
        <v>784</v>
      </c>
      <c r="E1381" s="6">
        <v>44089</v>
      </c>
      <c r="F1381" s="7">
        <v>1</v>
      </c>
      <c r="G1381" s="7">
        <v>0</v>
      </c>
    </row>
    <row r="1382" spans="1:7">
      <c r="A1382" s="4" t="s">
        <v>32</v>
      </c>
      <c r="B1382" s="4" t="s">
        <v>632</v>
      </c>
      <c r="C1382" s="4" t="s">
        <v>3221</v>
      </c>
      <c r="D1382" s="4" t="s">
        <v>940</v>
      </c>
      <c r="E1382" s="6">
        <v>44089</v>
      </c>
      <c r="F1382" s="7">
        <v>100</v>
      </c>
      <c r="G1382" s="7">
        <v>0.92</v>
      </c>
    </row>
    <row r="1383" spans="1:7">
      <c r="A1383" s="4" t="s">
        <v>32</v>
      </c>
      <c r="B1383" s="4" t="s">
        <v>632</v>
      </c>
      <c r="C1383" s="4" t="s">
        <v>3221</v>
      </c>
      <c r="D1383" s="4" t="s">
        <v>987</v>
      </c>
      <c r="E1383" s="6">
        <v>44089</v>
      </c>
      <c r="F1383" s="7">
        <v>50</v>
      </c>
      <c r="G1383" s="7">
        <v>0.85</v>
      </c>
    </row>
    <row r="1384" spans="1:7">
      <c r="A1384" s="4" t="s">
        <v>32</v>
      </c>
      <c r="B1384" s="4" t="s">
        <v>632</v>
      </c>
      <c r="C1384" s="4" t="s">
        <v>3221</v>
      </c>
      <c r="D1384" s="4" t="s">
        <v>1600</v>
      </c>
      <c r="E1384" s="6">
        <v>44089</v>
      </c>
      <c r="F1384" s="7">
        <v>52</v>
      </c>
      <c r="G1384" s="7">
        <v>0.89</v>
      </c>
    </row>
    <row r="1385" spans="1:7">
      <c r="A1385" s="4" t="s">
        <v>32</v>
      </c>
      <c r="B1385" s="4" t="s">
        <v>632</v>
      </c>
      <c r="C1385" s="4" t="s">
        <v>3221</v>
      </c>
      <c r="D1385" s="4" t="s">
        <v>1149</v>
      </c>
      <c r="E1385" s="6">
        <v>44089</v>
      </c>
      <c r="F1385" s="7">
        <v>50</v>
      </c>
      <c r="G1385" s="7">
        <v>0.95</v>
      </c>
    </row>
    <row r="1386" spans="1:7">
      <c r="A1386" s="4" t="s">
        <v>32</v>
      </c>
      <c r="B1386" s="4" t="s">
        <v>632</v>
      </c>
      <c r="C1386" s="4" t="s">
        <v>3221</v>
      </c>
      <c r="D1386" s="4" t="s">
        <v>2471</v>
      </c>
      <c r="E1386" s="6">
        <v>44089</v>
      </c>
      <c r="F1386" s="7">
        <v>280</v>
      </c>
      <c r="G1386" s="7">
        <v>0.49</v>
      </c>
    </row>
    <row r="1387" spans="1:7">
      <c r="A1387" s="4" t="s">
        <v>32</v>
      </c>
      <c r="B1387" s="4" t="s">
        <v>632</v>
      </c>
      <c r="C1387" s="4" t="s">
        <v>3221</v>
      </c>
      <c r="D1387" s="4" t="s">
        <v>784</v>
      </c>
      <c r="E1387" s="6">
        <v>44089</v>
      </c>
      <c r="F1387" s="7">
        <v>1</v>
      </c>
      <c r="G1387" s="7">
        <v>0</v>
      </c>
    </row>
    <row r="1388" spans="1:7">
      <c r="A1388" s="4" t="s">
        <v>621</v>
      </c>
      <c r="B1388" s="4" t="s">
        <v>675</v>
      </c>
      <c r="C1388" s="4" t="s">
        <v>3222</v>
      </c>
      <c r="D1388" s="4" t="s">
        <v>2076</v>
      </c>
      <c r="E1388" s="6">
        <v>44113</v>
      </c>
      <c r="F1388" s="7">
        <v>50</v>
      </c>
      <c r="G1388" s="7">
        <v>7.8900000000000006</v>
      </c>
    </row>
    <row r="1389" spans="1:7">
      <c r="A1389" s="4" t="s">
        <v>621</v>
      </c>
      <c r="B1389" s="4" t="s">
        <v>675</v>
      </c>
      <c r="C1389" s="4" t="s">
        <v>3222</v>
      </c>
      <c r="D1389" s="4" t="s">
        <v>1965</v>
      </c>
      <c r="E1389" s="6">
        <v>44113</v>
      </c>
      <c r="F1389" s="7">
        <v>1</v>
      </c>
      <c r="G1389" s="7">
        <v>0</v>
      </c>
    </row>
    <row r="1390" spans="1:7">
      <c r="A1390" s="4" t="s">
        <v>621</v>
      </c>
      <c r="B1390" s="4" t="s">
        <v>675</v>
      </c>
      <c r="C1390" s="4" t="s">
        <v>3222</v>
      </c>
      <c r="D1390" s="4" t="s">
        <v>784</v>
      </c>
      <c r="E1390" s="6">
        <v>44113</v>
      </c>
      <c r="F1390" s="7">
        <v>1</v>
      </c>
      <c r="G1390" s="7">
        <v>0</v>
      </c>
    </row>
    <row r="1391" spans="1:7">
      <c r="A1391" s="4" t="s">
        <v>46</v>
      </c>
      <c r="B1391" s="4" t="s">
        <v>646</v>
      </c>
      <c r="C1391" s="4" t="s">
        <v>3223</v>
      </c>
      <c r="D1391" s="4" t="s">
        <v>966</v>
      </c>
      <c r="E1391" s="6">
        <v>44097</v>
      </c>
      <c r="F1391" s="7">
        <v>100</v>
      </c>
      <c r="G1391" s="7">
        <v>0.9</v>
      </c>
    </row>
    <row r="1392" spans="1:7">
      <c r="A1392" s="4" t="s">
        <v>46</v>
      </c>
      <c r="B1392" s="4" t="s">
        <v>646</v>
      </c>
      <c r="C1392" s="4" t="s">
        <v>3223</v>
      </c>
      <c r="D1392" s="4" t="s">
        <v>940</v>
      </c>
      <c r="E1392" s="6">
        <v>44097</v>
      </c>
      <c r="F1392" s="7">
        <v>100</v>
      </c>
      <c r="G1392" s="7">
        <v>1.06</v>
      </c>
    </row>
    <row r="1393" spans="1:7">
      <c r="A1393" s="4" t="s">
        <v>46</v>
      </c>
      <c r="B1393" s="4" t="s">
        <v>646</v>
      </c>
      <c r="C1393" s="4" t="s">
        <v>3223</v>
      </c>
      <c r="D1393" s="4" t="s">
        <v>877</v>
      </c>
      <c r="E1393" s="6">
        <v>44097</v>
      </c>
      <c r="F1393" s="7">
        <v>100</v>
      </c>
      <c r="G1393" s="7">
        <v>0.81</v>
      </c>
    </row>
    <row r="1394" spans="1:7">
      <c r="A1394" s="4" t="s">
        <v>46</v>
      </c>
      <c r="B1394" s="4" t="s">
        <v>646</v>
      </c>
      <c r="C1394" s="4" t="s">
        <v>3223</v>
      </c>
      <c r="D1394" s="4" t="s">
        <v>1030</v>
      </c>
      <c r="E1394" s="6">
        <v>44097</v>
      </c>
      <c r="F1394" s="7">
        <v>50</v>
      </c>
      <c r="G1394" s="7">
        <v>2.9699999999999998</v>
      </c>
    </row>
    <row r="1395" spans="1:7">
      <c r="A1395" s="4" t="s">
        <v>46</v>
      </c>
      <c r="B1395" s="4" t="s">
        <v>646</v>
      </c>
      <c r="C1395" s="4" t="s">
        <v>3223</v>
      </c>
      <c r="D1395" s="4" t="s">
        <v>1032</v>
      </c>
      <c r="E1395" s="6">
        <v>44097</v>
      </c>
      <c r="F1395" s="7">
        <v>50</v>
      </c>
      <c r="G1395" s="7">
        <v>3.79</v>
      </c>
    </row>
    <row r="1396" spans="1:7">
      <c r="A1396" s="4" t="s">
        <v>46</v>
      </c>
      <c r="B1396" s="4" t="s">
        <v>646</v>
      </c>
      <c r="C1396" s="4" t="s">
        <v>3223</v>
      </c>
      <c r="D1396" s="4" t="s">
        <v>1040</v>
      </c>
      <c r="E1396" s="6">
        <v>44097</v>
      </c>
      <c r="F1396" s="7">
        <v>50</v>
      </c>
      <c r="G1396" s="7">
        <v>2.25</v>
      </c>
    </row>
    <row r="1397" spans="1:7">
      <c r="A1397" s="4" t="s">
        <v>46</v>
      </c>
      <c r="B1397" s="4" t="s">
        <v>646</v>
      </c>
      <c r="C1397" s="4" t="s">
        <v>3223</v>
      </c>
      <c r="D1397" s="4" t="s">
        <v>887</v>
      </c>
      <c r="E1397" s="6">
        <v>44097</v>
      </c>
      <c r="F1397" s="7">
        <v>50</v>
      </c>
      <c r="G1397" s="7">
        <v>0.57999999999999996</v>
      </c>
    </row>
    <row r="1398" spans="1:7">
      <c r="A1398" s="4" t="s">
        <v>46</v>
      </c>
      <c r="B1398" s="4" t="s">
        <v>646</v>
      </c>
      <c r="C1398" s="4" t="s">
        <v>3223</v>
      </c>
      <c r="D1398" s="4" t="s">
        <v>942</v>
      </c>
      <c r="E1398" s="6">
        <v>44097</v>
      </c>
      <c r="F1398" s="7">
        <v>50</v>
      </c>
      <c r="G1398" s="7">
        <v>1.6600000000000001</v>
      </c>
    </row>
    <row r="1399" spans="1:7">
      <c r="A1399" s="4" t="s">
        <v>46</v>
      </c>
      <c r="B1399" s="4" t="s">
        <v>646</v>
      </c>
      <c r="C1399" s="4" t="s">
        <v>3223</v>
      </c>
      <c r="D1399" s="4" t="s">
        <v>784</v>
      </c>
      <c r="E1399" s="6">
        <v>44097</v>
      </c>
      <c r="F1399" s="7">
        <v>1</v>
      </c>
      <c r="G1399" s="7">
        <v>0</v>
      </c>
    </row>
    <row r="1400" spans="1:7">
      <c r="A1400" s="4" t="s">
        <v>80</v>
      </c>
      <c r="B1400" s="4" t="s">
        <v>644</v>
      </c>
      <c r="C1400" s="4" t="s">
        <v>3224</v>
      </c>
      <c r="D1400" s="4" t="s">
        <v>1904</v>
      </c>
      <c r="E1400" s="6">
        <v>44097</v>
      </c>
      <c r="F1400" s="7">
        <v>10</v>
      </c>
      <c r="G1400" s="7">
        <v>8.5400000000000009</v>
      </c>
    </row>
    <row r="1401" spans="1:7">
      <c r="A1401" s="4" t="s">
        <v>80</v>
      </c>
      <c r="B1401" s="4" t="s">
        <v>644</v>
      </c>
      <c r="C1401" s="4" t="s">
        <v>3224</v>
      </c>
      <c r="D1401" s="4" t="s">
        <v>784</v>
      </c>
      <c r="E1401" s="6">
        <v>44097</v>
      </c>
      <c r="F1401" s="7">
        <v>1</v>
      </c>
      <c r="G1401" s="7">
        <v>0</v>
      </c>
    </row>
    <row r="1402" spans="1:7">
      <c r="A1402" s="4" t="s">
        <v>351</v>
      </c>
      <c r="B1402" s="4" t="s">
        <v>657</v>
      </c>
      <c r="C1402" s="4" t="s">
        <v>3225</v>
      </c>
      <c r="D1402" s="4" t="s">
        <v>1810</v>
      </c>
      <c r="E1402" s="6">
        <v>44106</v>
      </c>
      <c r="F1402" s="7">
        <v>200</v>
      </c>
      <c r="G1402" s="7">
        <v>2.06</v>
      </c>
    </row>
    <row r="1403" spans="1:7">
      <c r="A1403" s="4" t="s">
        <v>351</v>
      </c>
      <c r="B1403" s="4" t="s">
        <v>657</v>
      </c>
      <c r="C1403" s="4" t="s">
        <v>3225</v>
      </c>
      <c r="D1403" s="4" t="s">
        <v>1040</v>
      </c>
      <c r="E1403" s="6">
        <v>44106</v>
      </c>
      <c r="F1403" s="7">
        <v>100</v>
      </c>
      <c r="G1403" s="7">
        <v>2.42</v>
      </c>
    </row>
    <row r="1404" spans="1:7">
      <c r="A1404" s="4" t="s">
        <v>351</v>
      </c>
      <c r="B1404" s="4" t="s">
        <v>657</v>
      </c>
      <c r="C1404" s="4" t="s">
        <v>3225</v>
      </c>
      <c r="D1404" s="4" t="s">
        <v>891</v>
      </c>
      <c r="E1404" s="6">
        <v>44106</v>
      </c>
      <c r="F1404" s="7">
        <v>100</v>
      </c>
      <c r="G1404" s="7">
        <v>1.3699999999999999</v>
      </c>
    </row>
    <row r="1405" spans="1:7">
      <c r="A1405" s="4" t="s">
        <v>351</v>
      </c>
      <c r="B1405" s="4" t="s">
        <v>657</v>
      </c>
      <c r="C1405" s="4" t="s">
        <v>3225</v>
      </c>
      <c r="D1405" s="4" t="s">
        <v>1005</v>
      </c>
      <c r="E1405" s="6">
        <v>44106</v>
      </c>
      <c r="F1405" s="7">
        <v>50</v>
      </c>
      <c r="G1405" s="7">
        <v>1.3199999999999998</v>
      </c>
    </row>
    <row r="1406" spans="1:7">
      <c r="A1406" s="4" t="s">
        <v>351</v>
      </c>
      <c r="B1406" s="4" t="s">
        <v>657</v>
      </c>
      <c r="C1406" s="4" t="s">
        <v>3225</v>
      </c>
      <c r="D1406" s="4" t="s">
        <v>916</v>
      </c>
      <c r="E1406" s="6">
        <v>44106</v>
      </c>
      <c r="F1406" s="7">
        <v>100</v>
      </c>
      <c r="G1406" s="7">
        <v>0.9</v>
      </c>
    </row>
    <row r="1407" spans="1:7">
      <c r="A1407" s="4" t="s">
        <v>351</v>
      </c>
      <c r="B1407" s="4" t="s">
        <v>657</v>
      </c>
      <c r="C1407" s="4" t="s">
        <v>3225</v>
      </c>
      <c r="D1407" s="4" t="s">
        <v>784</v>
      </c>
      <c r="E1407" s="6">
        <v>44106</v>
      </c>
      <c r="F1407" s="7">
        <v>1</v>
      </c>
      <c r="G1407" s="7">
        <v>0</v>
      </c>
    </row>
    <row r="1408" spans="1:7">
      <c r="A1408" s="4" t="s">
        <v>12</v>
      </c>
      <c r="B1408" s="4" t="s">
        <v>681</v>
      </c>
      <c r="C1408" s="4" t="s">
        <v>3226</v>
      </c>
      <c r="D1408" s="4" t="s">
        <v>803</v>
      </c>
      <c r="E1408" s="6">
        <v>44118</v>
      </c>
      <c r="F1408" s="7">
        <v>500</v>
      </c>
      <c r="G1408" s="7">
        <v>1.06</v>
      </c>
    </row>
    <row r="1409" spans="1:7">
      <c r="A1409" s="4" t="s">
        <v>12</v>
      </c>
      <c r="B1409" s="4" t="s">
        <v>681</v>
      </c>
      <c r="C1409" s="4" t="s">
        <v>3226</v>
      </c>
      <c r="D1409" s="4" t="s">
        <v>786</v>
      </c>
      <c r="E1409" s="6">
        <v>44118</v>
      </c>
      <c r="F1409" s="7">
        <v>1500</v>
      </c>
      <c r="G1409" s="7">
        <v>0.74</v>
      </c>
    </row>
    <row r="1410" spans="1:7">
      <c r="A1410" s="4" t="s">
        <v>12</v>
      </c>
      <c r="B1410" s="4" t="s">
        <v>681</v>
      </c>
      <c r="C1410" s="4" t="s">
        <v>3226</v>
      </c>
      <c r="D1410" s="4" t="s">
        <v>801</v>
      </c>
      <c r="E1410" s="6">
        <v>44118</v>
      </c>
      <c r="F1410" s="7">
        <v>500</v>
      </c>
      <c r="G1410" s="7">
        <v>0.95</v>
      </c>
    </row>
    <row r="1411" spans="1:7">
      <c r="A1411" s="4" t="s">
        <v>12</v>
      </c>
      <c r="B1411" s="4" t="s">
        <v>681</v>
      </c>
      <c r="C1411" s="4" t="s">
        <v>3226</v>
      </c>
      <c r="D1411" s="4" t="s">
        <v>799</v>
      </c>
      <c r="E1411" s="6">
        <v>44118</v>
      </c>
      <c r="F1411" s="7">
        <v>500</v>
      </c>
      <c r="G1411" s="7">
        <v>0.85</v>
      </c>
    </row>
    <row r="1412" spans="1:7">
      <c r="A1412" s="4" t="s">
        <v>12</v>
      </c>
      <c r="B1412" s="4" t="s">
        <v>681</v>
      </c>
      <c r="C1412" s="4" t="s">
        <v>3226</v>
      </c>
      <c r="D1412" s="4" t="s">
        <v>1086</v>
      </c>
      <c r="E1412" s="6">
        <v>44118</v>
      </c>
      <c r="F1412" s="7">
        <v>400</v>
      </c>
      <c r="G1412" s="7">
        <v>1.3599999999999999</v>
      </c>
    </row>
    <row r="1413" spans="1:7">
      <c r="A1413" s="4" t="s">
        <v>12</v>
      </c>
      <c r="B1413" s="4" t="s">
        <v>681</v>
      </c>
      <c r="C1413" s="4" t="s">
        <v>3226</v>
      </c>
      <c r="D1413" s="4" t="s">
        <v>784</v>
      </c>
      <c r="E1413" s="6">
        <v>44118</v>
      </c>
      <c r="F1413" s="7">
        <v>1</v>
      </c>
      <c r="G1413" s="7">
        <v>0</v>
      </c>
    </row>
    <row r="1414" spans="1:7">
      <c r="A1414" s="4" t="s">
        <v>12</v>
      </c>
      <c r="B1414" s="4" t="s">
        <v>683</v>
      </c>
      <c r="C1414" s="4" t="s">
        <v>3227</v>
      </c>
      <c r="D1414" s="4" t="s">
        <v>803</v>
      </c>
      <c r="E1414" s="6">
        <v>44118</v>
      </c>
      <c r="F1414" s="7">
        <v>500</v>
      </c>
      <c r="G1414" s="7">
        <v>1.06</v>
      </c>
    </row>
    <row r="1415" spans="1:7">
      <c r="A1415" s="4" t="s">
        <v>12</v>
      </c>
      <c r="B1415" s="4" t="s">
        <v>683</v>
      </c>
      <c r="C1415" s="4" t="s">
        <v>3227</v>
      </c>
      <c r="D1415" s="4" t="s">
        <v>786</v>
      </c>
      <c r="E1415" s="6">
        <v>44118</v>
      </c>
      <c r="F1415" s="7">
        <v>1500</v>
      </c>
      <c r="G1415" s="7">
        <v>0.74</v>
      </c>
    </row>
    <row r="1416" spans="1:7">
      <c r="A1416" s="4" t="s">
        <v>12</v>
      </c>
      <c r="B1416" s="4" t="s">
        <v>683</v>
      </c>
      <c r="C1416" s="4" t="s">
        <v>3227</v>
      </c>
      <c r="D1416" s="4" t="s">
        <v>801</v>
      </c>
      <c r="E1416" s="6">
        <v>44118</v>
      </c>
      <c r="F1416" s="7">
        <v>500</v>
      </c>
      <c r="G1416" s="7">
        <v>0.95</v>
      </c>
    </row>
    <row r="1417" spans="1:7">
      <c r="A1417" s="4" t="s">
        <v>12</v>
      </c>
      <c r="B1417" s="4" t="s">
        <v>683</v>
      </c>
      <c r="C1417" s="4" t="s">
        <v>3227</v>
      </c>
      <c r="D1417" s="4" t="s">
        <v>799</v>
      </c>
      <c r="E1417" s="6">
        <v>44118</v>
      </c>
      <c r="F1417" s="7">
        <v>500</v>
      </c>
      <c r="G1417" s="7">
        <v>0.85</v>
      </c>
    </row>
    <row r="1418" spans="1:7">
      <c r="A1418" s="4" t="s">
        <v>12</v>
      </c>
      <c r="B1418" s="4" t="s">
        <v>683</v>
      </c>
      <c r="C1418" s="4" t="s">
        <v>3227</v>
      </c>
      <c r="D1418" s="4" t="s">
        <v>784</v>
      </c>
      <c r="E1418" s="6">
        <v>44118</v>
      </c>
      <c r="F1418" s="7">
        <v>1</v>
      </c>
      <c r="G1418" s="7">
        <v>0</v>
      </c>
    </row>
    <row r="1419" spans="1:7">
      <c r="A1419" s="4" t="s">
        <v>12</v>
      </c>
      <c r="B1419" s="4" t="s">
        <v>720</v>
      </c>
      <c r="C1419" s="4" t="s">
        <v>3228</v>
      </c>
      <c r="D1419" s="4" t="s">
        <v>803</v>
      </c>
      <c r="E1419" s="6">
        <v>44132</v>
      </c>
      <c r="F1419" s="7">
        <v>500</v>
      </c>
      <c r="G1419" s="7">
        <v>1.06</v>
      </c>
    </row>
    <row r="1420" spans="1:7">
      <c r="A1420" s="4" t="s">
        <v>12</v>
      </c>
      <c r="B1420" s="4" t="s">
        <v>720</v>
      </c>
      <c r="C1420" s="4" t="s">
        <v>3228</v>
      </c>
      <c r="D1420" s="4" t="s">
        <v>786</v>
      </c>
      <c r="E1420" s="6">
        <v>44132</v>
      </c>
      <c r="F1420" s="7">
        <v>1500</v>
      </c>
      <c r="G1420" s="7">
        <v>0.74</v>
      </c>
    </row>
    <row r="1421" spans="1:7">
      <c r="A1421" s="4" t="s">
        <v>12</v>
      </c>
      <c r="B1421" s="4" t="s">
        <v>720</v>
      </c>
      <c r="C1421" s="4" t="s">
        <v>3228</v>
      </c>
      <c r="D1421" s="4" t="s">
        <v>801</v>
      </c>
      <c r="E1421" s="6">
        <v>44132</v>
      </c>
      <c r="F1421" s="7">
        <v>500</v>
      </c>
      <c r="G1421" s="7">
        <v>0.95</v>
      </c>
    </row>
    <row r="1422" spans="1:7">
      <c r="A1422" s="4" t="s">
        <v>12</v>
      </c>
      <c r="B1422" s="4" t="s">
        <v>720</v>
      </c>
      <c r="C1422" s="4" t="s">
        <v>3228</v>
      </c>
      <c r="D1422" s="4" t="s">
        <v>799</v>
      </c>
      <c r="E1422" s="6">
        <v>44132</v>
      </c>
      <c r="F1422" s="7">
        <v>500</v>
      </c>
      <c r="G1422" s="7">
        <v>0.85</v>
      </c>
    </row>
    <row r="1423" spans="1:7">
      <c r="A1423" s="4" t="s">
        <v>12</v>
      </c>
      <c r="B1423" s="4" t="s">
        <v>720</v>
      </c>
      <c r="C1423" s="4" t="s">
        <v>3228</v>
      </c>
      <c r="D1423" s="4" t="s">
        <v>784</v>
      </c>
      <c r="E1423" s="6">
        <v>44132</v>
      </c>
      <c r="F1423" s="7">
        <v>1</v>
      </c>
      <c r="G1423" s="7">
        <v>0</v>
      </c>
    </row>
    <row r="1424" spans="1:7">
      <c r="A1424" s="4" t="s">
        <v>650</v>
      </c>
      <c r="B1424" s="4" t="s">
        <v>768</v>
      </c>
      <c r="C1424" s="4" t="s">
        <v>3229</v>
      </c>
      <c r="D1424" s="4" t="s">
        <v>887</v>
      </c>
      <c r="E1424" s="6">
        <v>44099</v>
      </c>
      <c r="F1424" s="7">
        <v>-50</v>
      </c>
      <c r="G1424" s="7">
        <v>1.1099999999999999</v>
      </c>
    </row>
    <row r="1425" spans="1:7">
      <c r="A1425" s="4" t="s">
        <v>650</v>
      </c>
      <c r="B1425" s="4" t="s">
        <v>768</v>
      </c>
      <c r="C1425" s="4" t="s">
        <v>3229</v>
      </c>
      <c r="D1425" s="4" t="s">
        <v>949</v>
      </c>
      <c r="E1425" s="6">
        <v>44099</v>
      </c>
      <c r="F1425" s="7">
        <v>-50</v>
      </c>
      <c r="G1425" s="7">
        <v>1.1800000000000002</v>
      </c>
    </row>
    <row r="1426" spans="1:7">
      <c r="A1426" s="4" t="s">
        <v>650</v>
      </c>
      <c r="B1426" s="4" t="s">
        <v>768</v>
      </c>
      <c r="C1426" s="4" t="s">
        <v>3229</v>
      </c>
      <c r="D1426" s="4" t="s">
        <v>873</v>
      </c>
      <c r="E1426" s="6">
        <v>44099</v>
      </c>
      <c r="F1426" s="7">
        <v>-50</v>
      </c>
      <c r="G1426" s="7">
        <v>1</v>
      </c>
    </row>
    <row r="1427" spans="1:7">
      <c r="A1427" s="4" t="s">
        <v>650</v>
      </c>
      <c r="B1427" s="4" t="s">
        <v>768</v>
      </c>
      <c r="C1427" s="4" t="s">
        <v>3229</v>
      </c>
      <c r="D1427" s="4" t="s">
        <v>936</v>
      </c>
      <c r="E1427" s="6">
        <v>44099</v>
      </c>
      <c r="F1427" s="7">
        <v>-100</v>
      </c>
      <c r="G1427" s="7">
        <v>1.47</v>
      </c>
    </row>
    <row r="1428" spans="1:7">
      <c r="A1428" s="4" t="s">
        <v>650</v>
      </c>
      <c r="B1428" s="4" t="s">
        <v>768</v>
      </c>
      <c r="C1428" s="4" t="s">
        <v>3229</v>
      </c>
      <c r="D1428" s="4" t="s">
        <v>855</v>
      </c>
      <c r="E1428" s="6">
        <v>44099</v>
      </c>
      <c r="F1428" s="7">
        <v>-20</v>
      </c>
      <c r="G1428" s="7">
        <v>3.69</v>
      </c>
    </row>
    <row r="1429" spans="1:7">
      <c r="A1429" s="4" t="s">
        <v>650</v>
      </c>
      <c r="B1429" s="4" t="s">
        <v>768</v>
      </c>
      <c r="C1429" s="4" t="s">
        <v>3229</v>
      </c>
      <c r="D1429" s="4" t="s">
        <v>1669</v>
      </c>
      <c r="E1429" s="6">
        <v>44099</v>
      </c>
      <c r="F1429" s="7">
        <v>-20</v>
      </c>
      <c r="G1429" s="7">
        <v>6.3100000000000005</v>
      </c>
    </row>
    <row r="1430" spans="1:7">
      <c r="A1430" s="4" t="s">
        <v>650</v>
      </c>
      <c r="B1430" s="4" t="s">
        <v>768</v>
      </c>
      <c r="C1430" s="4" t="s">
        <v>3229</v>
      </c>
      <c r="D1430" s="4" t="s">
        <v>1063</v>
      </c>
      <c r="E1430" s="6">
        <v>44099</v>
      </c>
      <c r="F1430" s="7">
        <v>-50</v>
      </c>
      <c r="G1430" s="7">
        <v>1.89</v>
      </c>
    </row>
    <row r="1431" spans="1:7">
      <c r="A1431" s="4" t="s">
        <v>650</v>
      </c>
      <c r="B1431" s="4" t="s">
        <v>768</v>
      </c>
      <c r="C1431" s="4" t="s">
        <v>3229</v>
      </c>
      <c r="D1431" s="4" t="s">
        <v>1165</v>
      </c>
      <c r="E1431" s="6">
        <v>44099</v>
      </c>
      <c r="F1431" s="7">
        <v>-10</v>
      </c>
      <c r="G1431" s="7">
        <v>2.93</v>
      </c>
    </row>
    <row r="1432" spans="1:7">
      <c r="A1432" s="4" t="s">
        <v>650</v>
      </c>
      <c r="B1432" s="4" t="s">
        <v>768</v>
      </c>
      <c r="C1432" s="4" t="s">
        <v>3229</v>
      </c>
      <c r="D1432" s="4" t="s">
        <v>989</v>
      </c>
      <c r="E1432" s="6">
        <v>44099</v>
      </c>
      <c r="F1432" s="7">
        <v>-10</v>
      </c>
      <c r="G1432" s="7">
        <v>3.8200000000000003</v>
      </c>
    </row>
    <row r="1433" spans="1:7">
      <c r="A1433" s="4" t="s">
        <v>650</v>
      </c>
      <c r="B1433" s="4" t="s">
        <v>768</v>
      </c>
      <c r="C1433" s="4" t="s">
        <v>3229</v>
      </c>
      <c r="D1433" s="4" t="s">
        <v>1371</v>
      </c>
      <c r="E1433" s="6">
        <v>44099</v>
      </c>
      <c r="F1433" s="7">
        <v>-50</v>
      </c>
      <c r="G1433" s="7">
        <v>4.76</v>
      </c>
    </row>
    <row r="1434" spans="1:7">
      <c r="A1434" s="4" t="s">
        <v>650</v>
      </c>
      <c r="B1434" s="4" t="s">
        <v>768</v>
      </c>
      <c r="C1434" s="4" t="s">
        <v>3229</v>
      </c>
      <c r="D1434" s="4" t="s">
        <v>815</v>
      </c>
      <c r="E1434" s="6">
        <v>44099</v>
      </c>
      <c r="F1434" s="7">
        <v>-50</v>
      </c>
      <c r="G1434" s="7">
        <v>6.44</v>
      </c>
    </row>
    <row r="1435" spans="1:7">
      <c r="A1435" s="4" t="s">
        <v>650</v>
      </c>
      <c r="B1435" s="4" t="s">
        <v>768</v>
      </c>
      <c r="C1435" s="4" t="s">
        <v>3229</v>
      </c>
      <c r="D1435" s="4" t="s">
        <v>893</v>
      </c>
      <c r="E1435" s="6">
        <v>44099</v>
      </c>
      <c r="F1435" s="7">
        <v>-100</v>
      </c>
      <c r="G1435" s="7">
        <v>7.9099999999999993</v>
      </c>
    </row>
    <row r="1436" spans="1:7">
      <c r="A1436" s="4" t="s">
        <v>650</v>
      </c>
      <c r="B1436" s="4" t="s">
        <v>768</v>
      </c>
      <c r="C1436" s="4" t="s">
        <v>3229</v>
      </c>
      <c r="D1436" s="4" t="s">
        <v>952</v>
      </c>
      <c r="E1436" s="6">
        <v>44099</v>
      </c>
      <c r="F1436" s="7">
        <v>-50</v>
      </c>
      <c r="G1436" s="7">
        <v>1.44</v>
      </c>
    </row>
    <row r="1437" spans="1:7">
      <c r="A1437" s="4" t="s">
        <v>650</v>
      </c>
      <c r="B1437" s="4" t="s">
        <v>768</v>
      </c>
      <c r="C1437" s="4" t="s">
        <v>3229</v>
      </c>
      <c r="D1437" s="4" t="s">
        <v>1213</v>
      </c>
      <c r="E1437" s="6">
        <v>44099</v>
      </c>
      <c r="F1437" s="7">
        <v>-50</v>
      </c>
      <c r="G1437" s="7">
        <v>1.47</v>
      </c>
    </row>
    <row r="1438" spans="1:7">
      <c r="A1438" s="4" t="s">
        <v>650</v>
      </c>
      <c r="B1438" s="4" t="s">
        <v>768</v>
      </c>
      <c r="C1438" s="4" t="s">
        <v>3229</v>
      </c>
      <c r="D1438" s="4" t="s">
        <v>875</v>
      </c>
      <c r="E1438" s="6">
        <v>44099</v>
      </c>
      <c r="F1438" s="7">
        <v>-50</v>
      </c>
      <c r="G1438" s="7">
        <v>1.3800000000000001</v>
      </c>
    </row>
    <row r="1439" spans="1:7">
      <c r="A1439" s="4" t="s">
        <v>650</v>
      </c>
      <c r="B1439" s="4" t="s">
        <v>768</v>
      </c>
      <c r="C1439" s="4" t="s">
        <v>3229</v>
      </c>
      <c r="D1439" s="4" t="s">
        <v>889</v>
      </c>
      <c r="E1439" s="6">
        <v>44099</v>
      </c>
      <c r="F1439" s="7">
        <v>-50</v>
      </c>
      <c r="G1439" s="7">
        <v>1.3800000000000001</v>
      </c>
    </row>
    <row r="1440" spans="1:7">
      <c r="A1440" s="4" t="s">
        <v>650</v>
      </c>
      <c r="B1440" s="4" t="s">
        <v>768</v>
      </c>
      <c r="C1440" s="4" t="s">
        <v>3229</v>
      </c>
      <c r="D1440" s="4" t="s">
        <v>784</v>
      </c>
      <c r="E1440" s="6">
        <v>44099</v>
      </c>
      <c r="F1440" s="7">
        <v>-1</v>
      </c>
      <c r="G1440" s="7">
        <v>0</v>
      </c>
    </row>
    <row r="1441" spans="1:7">
      <c r="A1441" s="4" t="s">
        <v>650</v>
      </c>
      <c r="B1441" s="4" t="s">
        <v>653</v>
      </c>
      <c r="C1441" s="4" t="s">
        <v>3230</v>
      </c>
      <c r="D1441" s="4" t="s">
        <v>887</v>
      </c>
      <c r="E1441" s="6">
        <v>44099</v>
      </c>
      <c r="F1441" s="7">
        <v>50</v>
      </c>
      <c r="G1441" s="7">
        <v>0.62</v>
      </c>
    </row>
    <row r="1442" spans="1:7">
      <c r="A1442" s="4" t="s">
        <v>650</v>
      </c>
      <c r="B1442" s="4" t="s">
        <v>653</v>
      </c>
      <c r="C1442" s="4" t="s">
        <v>3230</v>
      </c>
      <c r="D1442" s="4" t="s">
        <v>949</v>
      </c>
      <c r="E1442" s="6">
        <v>44099</v>
      </c>
      <c r="F1442" s="7">
        <v>50</v>
      </c>
      <c r="G1442" s="7">
        <v>0.66</v>
      </c>
    </row>
    <row r="1443" spans="1:7">
      <c r="A1443" s="4" t="s">
        <v>650</v>
      </c>
      <c r="B1443" s="4" t="s">
        <v>653</v>
      </c>
      <c r="C1443" s="4" t="s">
        <v>3230</v>
      </c>
      <c r="D1443" s="4" t="s">
        <v>873</v>
      </c>
      <c r="E1443" s="6">
        <v>44099</v>
      </c>
      <c r="F1443" s="7">
        <v>50</v>
      </c>
      <c r="G1443" s="7">
        <v>0.52</v>
      </c>
    </row>
    <row r="1444" spans="1:7">
      <c r="A1444" s="4" t="s">
        <v>650</v>
      </c>
      <c r="B1444" s="4" t="s">
        <v>653</v>
      </c>
      <c r="C1444" s="4" t="s">
        <v>3230</v>
      </c>
      <c r="D1444" s="4" t="s">
        <v>936</v>
      </c>
      <c r="E1444" s="6">
        <v>44099</v>
      </c>
      <c r="F1444" s="7">
        <v>100</v>
      </c>
      <c r="G1444" s="7">
        <v>0.76</v>
      </c>
    </row>
    <row r="1445" spans="1:7">
      <c r="A1445" s="4" t="s">
        <v>650</v>
      </c>
      <c r="B1445" s="4" t="s">
        <v>653</v>
      </c>
      <c r="C1445" s="4" t="s">
        <v>3230</v>
      </c>
      <c r="D1445" s="4" t="s">
        <v>855</v>
      </c>
      <c r="E1445" s="6">
        <v>44099</v>
      </c>
      <c r="F1445" s="7">
        <v>20</v>
      </c>
      <c r="G1445" s="7">
        <v>2.0699999999999998</v>
      </c>
    </row>
    <row r="1446" spans="1:7">
      <c r="A1446" s="4" t="s">
        <v>650</v>
      </c>
      <c r="B1446" s="4" t="s">
        <v>653</v>
      </c>
      <c r="C1446" s="4" t="s">
        <v>3230</v>
      </c>
      <c r="D1446" s="4" t="s">
        <v>1669</v>
      </c>
      <c r="E1446" s="6">
        <v>44099</v>
      </c>
      <c r="F1446" s="7">
        <v>20</v>
      </c>
      <c r="G1446" s="7">
        <v>3.53</v>
      </c>
    </row>
    <row r="1447" spans="1:7">
      <c r="A1447" s="4" t="s">
        <v>650</v>
      </c>
      <c r="B1447" s="4" t="s">
        <v>653</v>
      </c>
      <c r="C1447" s="4" t="s">
        <v>3230</v>
      </c>
      <c r="D1447" s="4" t="s">
        <v>1063</v>
      </c>
      <c r="E1447" s="6">
        <v>44099</v>
      </c>
      <c r="F1447" s="7">
        <v>50</v>
      </c>
      <c r="G1447" s="7">
        <v>0.98</v>
      </c>
    </row>
    <row r="1448" spans="1:7">
      <c r="A1448" s="4" t="s">
        <v>650</v>
      </c>
      <c r="B1448" s="4" t="s">
        <v>653</v>
      </c>
      <c r="C1448" s="4" t="s">
        <v>3230</v>
      </c>
      <c r="D1448" s="4" t="s">
        <v>1165</v>
      </c>
      <c r="E1448" s="6">
        <v>44099</v>
      </c>
      <c r="F1448" s="7">
        <v>10</v>
      </c>
      <c r="G1448" s="7">
        <v>1.52</v>
      </c>
    </row>
    <row r="1449" spans="1:7">
      <c r="A1449" s="4" t="s">
        <v>650</v>
      </c>
      <c r="B1449" s="4" t="s">
        <v>653</v>
      </c>
      <c r="C1449" s="4" t="s">
        <v>3230</v>
      </c>
      <c r="D1449" s="4" t="s">
        <v>989</v>
      </c>
      <c r="E1449" s="6">
        <v>44099</v>
      </c>
      <c r="F1449" s="7">
        <v>10</v>
      </c>
      <c r="G1449" s="7">
        <v>1.9899999999999998</v>
      </c>
    </row>
    <row r="1450" spans="1:7">
      <c r="A1450" s="4" t="s">
        <v>650</v>
      </c>
      <c r="B1450" s="4" t="s">
        <v>653</v>
      </c>
      <c r="C1450" s="4" t="s">
        <v>3230</v>
      </c>
      <c r="D1450" s="4" t="s">
        <v>1371</v>
      </c>
      <c r="E1450" s="6">
        <v>44099</v>
      </c>
      <c r="F1450" s="7">
        <v>50</v>
      </c>
      <c r="G1450" s="7">
        <v>2.48</v>
      </c>
    </row>
    <row r="1451" spans="1:7">
      <c r="A1451" s="4" t="s">
        <v>650</v>
      </c>
      <c r="B1451" s="4" t="s">
        <v>653</v>
      </c>
      <c r="C1451" s="4" t="s">
        <v>3230</v>
      </c>
      <c r="D1451" s="4" t="s">
        <v>815</v>
      </c>
      <c r="E1451" s="6">
        <v>44099</v>
      </c>
      <c r="F1451" s="7">
        <v>50</v>
      </c>
      <c r="G1451" s="7">
        <v>3.35</v>
      </c>
    </row>
    <row r="1452" spans="1:7">
      <c r="A1452" s="4" t="s">
        <v>650</v>
      </c>
      <c r="B1452" s="4" t="s">
        <v>653</v>
      </c>
      <c r="C1452" s="4" t="s">
        <v>3230</v>
      </c>
      <c r="D1452" s="4" t="s">
        <v>893</v>
      </c>
      <c r="E1452" s="6">
        <v>44099</v>
      </c>
      <c r="F1452" s="7">
        <v>100</v>
      </c>
      <c r="G1452" s="7">
        <v>4.1100000000000003</v>
      </c>
    </row>
    <row r="1453" spans="1:7">
      <c r="A1453" s="4" t="s">
        <v>650</v>
      </c>
      <c r="B1453" s="4" t="s">
        <v>653</v>
      </c>
      <c r="C1453" s="4" t="s">
        <v>3230</v>
      </c>
      <c r="D1453" s="4" t="s">
        <v>952</v>
      </c>
      <c r="E1453" s="6">
        <v>44099</v>
      </c>
      <c r="F1453" s="7">
        <v>50</v>
      </c>
      <c r="G1453" s="7">
        <v>0.81</v>
      </c>
    </row>
    <row r="1454" spans="1:7">
      <c r="A1454" s="4" t="s">
        <v>650</v>
      </c>
      <c r="B1454" s="4" t="s">
        <v>653</v>
      </c>
      <c r="C1454" s="4" t="s">
        <v>3230</v>
      </c>
      <c r="D1454" s="4" t="s">
        <v>1213</v>
      </c>
      <c r="E1454" s="6">
        <v>44099</v>
      </c>
      <c r="F1454" s="7">
        <v>50</v>
      </c>
      <c r="G1454" s="7">
        <v>0.82</v>
      </c>
    </row>
    <row r="1455" spans="1:7">
      <c r="A1455" s="4" t="s">
        <v>650</v>
      </c>
      <c r="B1455" s="4" t="s">
        <v>653</v>
      </c>
      <c r="C1455" s="4" t="s">
        <v>3230</v>
      </c>
      <c r="D1455" s="4" t="s">
        <v>875</v>
      </c>
      <c r="E1455" s="6">
        <v>44099</v>
      </c>
      <c r="F1455" s="7">
        <v>50</v>
      </c>
      <c r="G1455" s="7">
        <v>0.77</v>
      </c>
    </row>
    <row r="1456" spans="1:7">
      <c r="A1456" s="4" t="s">
        <v>650</v>
      </c>
      <c r="B1456" s="4" t="s">
        <v>653</v>
      </c>
      <c r="C1456" s="4" t="s">
        <v>3230</v>
      </c>
      <c r="D1456" s="4" t="s">
        <v>889</v>
      </c>
      <c r="E1456" s="6">
        <v>44099</v>
      </c>
      <c r="F1456" s="7">
        <v>50</v>
      </c>
      <c r="G1456" s="7">
        <v>0.77</v>
      </c>
    </row>
    <row r="1457" spans="1:7">
      <c r="A1457" s="4" t="s">
        <v>650</v>
      </c>
      <c r="B1457" s="4" t="s">
        <v>653</v>
      </c>
      <c r="C1457" s="4" t="s">
        <v>3230</v>
      </c>
      <c r="D1457" s="4" t="s">
        <v>784</v>
      </c>
      <c r="E1457" s="6">
        <v>44099</v>
      </c>
      <c r="F1457" s="7">
        <v>1</v>
      </c>
      <c r="G1457" s="7">
        <v>0</v>
      </c>
    </row>
    <row r="1458" spans="1:7">
      <c r="A1458" s="4" t="s">
        <v>29</v>
      </c>
      <c r="B1458" s="4" t="s">
        <v>701</v>
      </c>
      <c r="C1458" s="4" t="s">
        <v>3231</v>
      </c>
      <c r="D1458" s="4" t="s">
        <v>2551</v>
      </c>
      <c r="E1458" s="6">
        <v>44125</v>
      </c>
      <c r="F1458" s="7">
        <v>609</v>
      </c>
      <c r="G1458" s="7">
        <v>0.69</v>
      </c>
    </row>
    <row r="1459" spans="1:7">
      <c r="A1459" s="4" t="s">
        <v>29</v>
      </c>
      <c r="B1459" s="4" t="s">
        <v>701</v>
      </c>
      <c r="C1459" s="4" t="s">
        <v>3231</v>
      </c>
      <c r="D1459" s="4" t="s">
        <v>2551</v>
      </c>
      <c r="E1459" s="6">
        <v>44125</v>
      </c>
      <c r="F1459" s="7">
        <v>636</v>
      </c>
      <c r="G1459" s="7">
        <v>0.71</v>
      </c>
    </row>
    <row r="1460" spans="1:7">
      <c r="A1460" s="4" t="s">
        <v>29</v>
      </c>
      <c r="B1460" s="4" t="s">
        <v>701</v>
      </c>
      <c r="C1460" s="4" t="s">
        <v>3231</v>
      </c>
      <c r="D1460" s="4" t="s">
        <v>2551</v>
      </c>
      <c r="E1460" s="6">
        <v>44125</v>
      </c>
      <c r="F1460" s="7">
        <v>615</v>
      </c>
      <c r="G1460" s="7">
        <v>0.75</v>
      </c>
    </row>
    <row r="1461" spans="1:7">
      <c r="A1461" s="4" t="s">
        <v>29</v>
      </c>
      <c r="B1461" s="4" t="s">
        <v>701</v>
      </c>
      <c r="C1461" s="4" t="s">
        <v>3231</v>
      </c>
      <c r="D1461" s="4" t="s">
        <v>2551</v>
      </c>
      <c r="E1461" s="6">
        <v>44125</v>
      </c>
      <c r="F1461" s="7">
        <v>617</v>
      </c>
      <c r="G1461" s="7">
        <v>0.7</v>
      </c>
    </row>
    <row r="1462" spans="1:7">
      <c r="A1462" s="4" t="s">
        <v>29</v>
      </c>
      <c r="B1462" s="4" t="s">
        <v>701</v>
      </c>
      <c r="C1462" s="4" t="s">
        <v>3231</v>
      </c>
      <c r="D1462" s="4" t="s">
        <v>784</v>
      </c>
      <c r="E1462" s="6">
        <v>44125</v>
      </c>
      <c r="F1462" s="7">
        <v>1</v>
      </c>
      <c r="G1462" s="7">
        <v>0</v>
      </c>
    </row>
    <row r="1463" spans="1:7">
      <c r="A1463" s="4" t="s">
        <v>29</v>
      </c>
      <c r="B1463" s="4" t="s">
        <v>703</v>
      </c>
      <c r="C1463" s="4" t="s">
        <v>3232</v>
      </c>
      <c r="D1463" s="4" t="s">
        <v>2551</v>
      </c>
      <c r="E1463" s="6">
        <v>44125</v>
      </c>
      <c r="F1463" s="7">
        <v>380</v>
      </c>
      <c r="G1463" s="7">
        <v>1.61</v>
      </c>
    </row>
    <row r="1464" spans="1:7">
      <c r="A1464" s="4" t="s">
        <v>29</v>
      </c>
      <c r="B1464" s="4" t="s">
        <v>703</v>
      </c>
      <c r="C1464" s="4" t="s">
        <v>3232</v>
      </c>
      <c r="D1464" s="4" t="s">
        <v>2551</v>
      </c>
      <c r="E1464" s="6">
        <v>44125</v>
      </c>
      <c r="F1464" s="7">
        <v>387</v>
      </c>
      <c r="G1464" s="7">
        <v>0.71</v>
      </c>
    </row>
    <row r="1465" spans="1:7">
      <c r="A1465" s="4" t="s">
        <v>29</v>
      </c>
      <c r="B1465" s="4" t="s">
        <v>703</v>
      </c>
      <c r="C1465" s="4" t="s">
        <v>3232</v>
      </c>
      <c r="D1465" s="4" t="s">
        <v>2551</v>
      </c>
      <c r="E1465" s="6">
        <v>44125</v>
      </c>
      <c r="F1465" s="7">
        <v>370</v>
      </c>
      <c r="G1465" s="7">
        <v>1.67</v>
      </c>
    </row>
    <row r="1466" spans="1:7">
      <c r="A1466" s="4" t="s">
        <v>29</v>
      </c>
      <c r="B1466" s="4" t="s">
        <v>703</v>
      </c>
      <c r="C1466" s="4" t="s">
        <v>3232</v>
      </c>
      <c r="D1466" s="4" t="s">
        <v>2551</v>
      </c>
      <c r="E1466" s="6">
        <v>44125</v>
      </c>
      <c r="F1466" s="7">
        <v>384</v>
      </c>
      <c r="G1466" s="7">
        <v>0.7</v>
      </c>
    </row>
    <row r="1467" spans="1:7">
      <c r="A1467" s="4" t="s">
        <v>29</v>
      </c>
      <c r="B1467" s="4" t="s">
        <v>703</v>
      </c>
      <c r="C1467" s="4" t="s">
        <v>3232</v>
      </c>
      <c r="D1467" s="4" t="s">
        <v>784</v>
      </c>
      <c r="E1467" s="6">
        <v>44125</v>
      </c>
      <c r="F1467" s="7">
        <v>1</v>
      </c>
      <c r="G1467" s="7">
        <v>0</v>
      </c>
    </row>
    <row r="1468" spans="1:7">
      <c r="A1468" s="4" t="s">
        <v>46</v>
      </c>
      <c r="B1468" s="4" t="s">
        <v>663</v>
      </c>
      <c r="C1468" s="4" t="s">
        <v>3233</v>
      </c>
      <c r="D1468" s="4" t="s">
        <v>1476</v>
      </c>
      <c r="E1468" s="6">
        <v>44110</v>
      </c>
      <c r="F1468" s="7">
        <v>50</v>
      </c>
      <c r="G1468" s="7">
        <v>4</v>
      </c>
    </row>
    <row r="1469" spans="1:7">
      <c r="A1469" s="4" t="s">
        <v>46</v>
      </c>
      <c r="B1469" s="4" t="s">
        <v>663</v>
      </c>
      <c r="C1469" s="4" t="s">
        <v>3233</v>
      </c>
      <c r="D1469" s="4" t="s">
        <v>1126</v>
      </c>
      <c r="E1469" s="6">
        <v>44110</v>
      </c>
      <c r="F1469" s="7">
        <v>100</v>
      </c>
      <c r="G1469" s="7">
        <v>3.2299999999999995</v>
      </c>
    </row>
    <row r="1470" spans="1:7">
      <c r="A1470" s="4" t="s">
        <v>46</v>
      </c>
      <c r="B1470" s="4" t="s">
        <v>663</v>
      </c>
      <c r="C1470" s="4" t="s">
        <v>3233</v>
      </c>
      <c r="D1470" s="4" t="s">
        <v>1366</v>
      </c>
      <c r="E1470" s="6">
        <v>44110</v>
      </c>
      <c r="F1470" s="7">
        <v>50</v>
      </c>
      <c r="G1470" s="7">
        <v>1.41</v>
      </c>
    </row>
    <row r="1471" spans="1:7">
      <c r="A1471" s="4" t="s">
        <v>46</v>
      </c>
      <c r="B1471" s="4" t="s">
        <v>663</v>
      </c>
      <c r="C1471" s="4" t="s">
        <v>3233</v>
      </c>
      <c r="D1471" s="4" t="s">
        <v>1404</v>
      </c>
      <c r="E1471" s="6">
        <v>44110</v>
      </c>
      <c r="F1471" s="7">
        <v>100</v>
      </c>
      <c r="G1471" s="7">
        <v>3.38</v>
      </c>
    </row>
    <row r="1472" spans="1:7">
      <c r="A1472" s="4" t="s">
        <v>46</v>
      </c>
      <c r="B1472" s="4" t="s">
        <v>663</v>
      </c>
      <c r="C1472" s="4" t="s">
        <v>3233</v>
      </c>
      <c r="D1472" s="4" t="s">
        <v>1146</v>
      </c>
      <c r="E1472" s="6">
        <v>44110</v>
      </c>
      <c r="F1472" s="7">
        <v>150</v>
      </c>
      <c r="G1472" s="7">
        <v>1.3900000000000001</v>
      </c>
    </row>
    <row r="1473" spans="1:7">
      <c r="A1473" s="4" t="s">
        <v>46</v>
      </c>
      <c r="B1473" s="4" t="s">
        <v>663</v>
      </c>
      <c r="C1473" s="4" t="s">
        <v>3233</v>
      </c>
      <c r="D1473" s="4" t="s">
        <v>851</v>
      </c>
      <c r="E1473" s="6">
        <v>44110</v>
      </c>
      <c r="F1473" s="7">
        <v>50</v>
      </c>
      <c r="G1473" s="7">
        <v>2.06</v>
      </c>
    </row>
    <row r="1474" spans="1:7">
      <c r="A1474" s="4" t="s">
        <v>46</v>
      </c>
      <c r="B1474" s="4" t="s">
        <v>663</v>
      </c>
      <c r="C1474" s="4" t="s">
        <v>3233</v>
      </c>
      <c r="D1474" s="4" t="s">
        <v>784</v>
      </c>
      <c r="E1474" s="6">
        <v>44110</v>
      </c>
      <c r="F1474" s="7">
        <v>1</v>
      </c>
      <c r="G1474" s="7">
        <v>0</v>
      </c>
    </row>
    <row r="1475" spans="1:7">
      <c r="A1475" s="4" t="s">
        <v>107</v>
      </c>
      <c r="B1475" s="4" t="s">
        <v>705</v>
      </c>
      <c r="C1475" s="4" t="s">
        <v>3234</v>
      </c>
      <c r="D1475" s="4" t="s">
        <v>2569</v>
      </c>
      <c r="E1475" s="6">
        <v>44127</v>
      </c>
      <c r="F1475" s="7">
        <v>3180</v>
      </c>
      <c r="G1475" s="7">
        <v>1.7600000000000002</v>
      </c>
    </row>
    <row r="1476" spans="1:7">
      <c r="A1476" s="4" t="s">
        <v>107</v>
      </c>
      <c r="B1476" s="4" t="s">
        <v>705</v>
      </c>
      <c r="C1476" s="4" t="s">
        <v>3234</v>
      </c>
      <c r="D1476" s="4" t="s">
        <v>2571</v>
      </c>
      <c r="E1476" s="6">
        <v>44127</v>
      </c>
      <c r="F1476" s="7">
        <v>1055</v>
      </c>
      <c r="G1476" s="7">
        <v>1.7899999999999998</v>
      </c>
    </row>
    <row r="1477" spans="1:7">
      <c r="A1477" s="4" t="s">
        <v>107</v>
      </c>
      <c r="B1477" s="4" t="s">
        <v>705</v>
      </c>
      <c r="C1477" s="4" t="s">
        <v>3234</v>
      </c>
      <c r="D1477" s="4" t="s">
        <v>840</v>
      </c>
      <c r="E1477" s="6">
        <v>44127</v>
      </c>
      <c r="F1477" s="7">
        <v>1</v>
      </c>
      <c r="G1477" s="7">
        <v>450</v>
      </c>
    </row>
    <row r="1478" spans="1:7">
      <c r="A1478" s="4" t="s">
        <v>107</v>
      </c>
      <c r="B1478" s="4" t="s">
        <v>705</v>
      </c>
      <c r="C1478" s="4" t="s">
        <v>3234</v>
      </c>
      <c r="D1478" s="4" t="s">
        <v>784</v>
      </c>
      <c r="E1478" s="6">
        <v>44127</v>
      </c>
      <c r="F1478" s="7">
        <v>1</v>
      </c>
      <c r="G1478" s="7">
        <v>0</v>
      </c>
    </row>
    <row r="1479" spans="1:7">
      <c r="A1479" s="4" t="s">
        <v>266</v>
      </c>
      <c r="B1479" s="4" t="s">
        <v>668</v>
      </c>
      <c r="C1479" s="4" t="s">
        <v>3235</v>
      </c>
      <c r="D1479" s="4" t="s">
        <v>914</v>
      </c>
      <c r="E1479" s="6">
        <v>44111</v>
      </c>
      <c r="F1479" s="7">
        <v>10</v>
      </c>
      <c r="G1479" s="7">
        <v>0.89</v>
      </c>
    </row>
    <row r="1480" spans="1:7">
      <c r="A1480" s="4" t="s">
        <v>266</v>
      </c>
      <c r="B1480" s="4" t="s">
        <v>668</v>
      </c>
      <c r="C1480" s="4" t="s">
        <v>3235</v>
      </c>
      <c r="D1480" s="4" t="s">
        <v>912</v>
      </c>
      <c r="E1480" s="6">
        <v>44111</v>
      </c>
      <c r="F1480" s="7">
        <v>15</v>
      </c>
      <c r="G1480" s="7">
        <v>0.97</v>
      </c>
    </row>
    <row r="1481" spans="1:7">
      <c r="A1481" s="4" t="s">
        <v>266</v>
      </c>
      <c r="B1481" s="4" t="s">
        <v>668</v>
      </c>
      <c r="C1481" s="4" t="s">
        <v>3235</v>
      </c>
      <c r="D1481" s="4" t="s">
        <v>1439</v>
      </c>
      <c r="E1481" s="6">
        <v>44111</v>
      </c>
      <c r="F1481" s="7">
        <v>10</v>
      </c>
      <c r="G1481" s="7">
        <v>3.3299999999999996</v>
      </c>
    </row>
    <row r="1482" spans="1:7">
      <c r="A1482" s="4" t="s">
        <v>266</v>
      </c>
      <c r="B1482" s="4" t="s">
        <v>668</v>
      </c>
      <c r="C1482" s="4" t="s">
        <v>3235</v>
      </c>
      <c r="D1482" s="4" t="s">
        <v>784</v>
      </c>
      <c r="E1482" s="6">
        <v>44111</v>
      </c>
      <c r="F1482" s="7">
        <v>1</v>
      </c>
      <c r="G1482" s="7">
        <v>0</v>
      </c>
    </row>
    <row r="1483" spans="1:7">
      <c r="A1483" s="4" t="s">
        <v>24</v>
      </c>
      <c r="B1483" s="4" t="s">
        <v>670</v>
      </c>
      <c r="C1483" s="4" t="s">
        <v>3236</v>
      </c>
      <c r="D1483" s="4" t="s">
        <v>817</v>
      </c>
      <c r="E1483" s="6">
        <v>44111</v>
      </c>
      <c r="F1483" s="7">
        <v>300</v>
      </c>
      <c r="G1483" s="7">
        <v>1.64</v>
      </c>
    </row>
    <row r="1484" spans="1:7">
      <c r="A1484" s="4" t="s">
        <v>24</v>
      </c>
      <c r="B1484" s="4" t="s">
        <v>670</v>
      </c>
      <c r="C1484" s="4" t="s">
        <v>3236</v>
      </c>
      <c r="D1484" s="4" t="s">
        <v>1628</v>
      </c>
      <c r="E1484" s="6">
        <v>44111</v>
      </c>
      <c r="F1484" s="7">
        <v>40</v>
      </c>
      <c r="G1484" s="7">
        <v>1.7899999999999998</v>
      </c>
    </row>
    <row r="1485" spans="1:7">
      <c r="A1485" s="4" t="s">
        <v>24</v>
      </c>
      <c r="B1485" s="4" t="s">
        <v>670</v>
      </c>
      <c r="C1485" s="4" t="s">
        <v>3236</v>
      </c>
      <c r="D1485" s="4" t="s">
        <v>813</v>
      </c>
      <c r="E1485" s="6">
        <v>44111</v>
      </c>
      <c r="F1485" s="7">
        <v>10</v>
      </c>
      <c r="G1485" s="7">
        <v>2.29</v>
      </c>
    </row>
    <row r="1486" spans="1:7">
      <c r="A1486" s="4" t="s">
        <v>24</v>
      </c>
      <c r="B1486" s="4" t="s">
        <v>670</v>
      </c>
      <c r="C1486" s="4" t="s">
        <v>3236</v>
      </c>
      <c r="D1486" s="4" t="s">
        <v>815</v>
      </c>
      <c r="E1486" s="6">
        <v>44111</v>
      </c>
      <c r="F1486" s="7">
        <v>80</v>
      </c>
      <c r="G1486" s="7">
        <v>3.6100000000000003</v>
      </c>
    </row>
    <row r="1487" spans="1:7">
      <c r="A1487" s="4" t="s">
        <v>24</v>
      </c>
      <c r="B1487" s="4" t="s">
        <v>670</v>
      </c>
      <c r="C1487" s="4" t="s">
        <v>3236</v>
      </c>
      <c r="D1487" s="4" t="s">
        <v>1104</v>
      </c>
      <c r="E1487" s="6">
        <v>44111</v>
      </c>
      <c r="F1487" s="7">
        <v>70</v>
      </c>
      <c r="G1487" s="7">
        <v>2.12</v>
      </c>
    </row>
    <row r="1488" spans="1:7">
      <c r="A1488" s="4" t="s">
        <v>24</v>
      </c>
      <c r="B1488" s="4" t="s">
        <v>670</v>
      </c>
      <c r="C1488" s="4" t="s">
        <v>3236</v>
      </c>
      <c r="D1488" s="4" t="s">
        <v>784</v>
      </c>
      <c r="E1488" s="6">
        <v>44111</v>
      </c>
      <c r="F1488" s="7">
        <v>1</v>
      </c>
      <c r="G1488" s="7">
        <v>0</v>
      </c>
    </row>
    <row r="1489" spans="1:7">
      <c r="A1489" s="4" t="s">
        <v>665</v>
      </c>
      <c r="B1489" s="4" t="s">
        <v>666</v>
      </c>
      <c r="C1489" s="4" t="s">
        <v>3237</v>
      </c>
      <c r="D1489" s="4" t="s">
        <v>1948</v>
      </c>
      <c r="E1489" s="6">
        <v>44111</v>
      </c>
      <c r="F1489" s="7">
        <v>50</v>
      </c>
      <c r="G1489" s="7">
        <v>0</v>
      </c>
    </row>
    <row r="1490" spans="1:7">
      <c r="A1490" s="4" t="s">
        <v>49</v>
      </c>
      <c r="B1490" s="4" t="s">
        <v>691</v>
      </c>
      <c r="C1490" s="4" t="s">
        <v>3238</v>
      </c>
      <c r="D1490" s="4" t="s">
        <v>1290</v>
      </c>
      <c r="E1490" s="6">
        <v>44120</v>
      </c>
      <c r="F1490" s="7">
        <v>100</v>
      </c>
      <c r="G1490" s="7">
        <v>0.68</v>
      </c>
    </row>
    <row r="1491" spans="1:7">
      <c r="A1491" s="4" t="s">
        <v>49</v>
      </c>
      <c r="B1491" s="4" t="s">
        <v>691</v>
      </c>
      <c r="C1491" s="4" t="s">
        <v>3238</v>
      </c>
      <c r="D1491" s="4" t="s">
        <v>891</v>
      </c>
      <c r="E1491" s="6">
        <v>44120</v>
      </c>
      <c r="F1491" s="7">
        <v>50</v>
      </c>
      <c r="G1491" s="7">
        <v>1.3699999999999999</v>
      </c>
    </row>
    <row r="1492" spans="1:7">
      <c r="A1492" s="4" t="s">
        <v>49</v>
      </c>
      <c r="B1492" s="4" t="s">
        <v>691</v>
      </c>
      <c r="C1492" s="4" t="s">
        <v>3238</v>
      </c>
      <c r="D1492" s="4" t="s">
        <v>1063</v>
      </c>
      <c r="E1492" s="6">
        <v>44120</v>
      </c>
      <c r="F1492" s="7">
        <v>100</v>
      </c>
      <c r="G1492" s="7">
        <v>1.06</v>
      </c>
    </row>
    <row r="1493" spans="1:7">
      <c r="A1493" s="4" t="s">
        <v>49</v>
      </c>
      <c r="B1493" s="4" t="s">
        <v>691</v>
      </c>
      <c r="C1493" s="4" t="s">
        <v>3238</v>
      </c>
      <c r="D1493" s="4" t="s">
        <v>1213</v>
      </c>
      <c r="E1493" s="6">
        <v>44120</v>
      </c>
      <c r="F1493" s="7">
        <v>100</v>
      </c>
      <c r="G1493" s="7">
        <v>0.82</v>
      </c>
    </row>
    <row r="1494" spans="1:7">
      <c r="A1494" s="4" t="s">
        <v>49</v>
      </c>
      <c r="B1494" s="4" t="s">
        <v>691</v>
      </c>
      <c r="C1494" s="4" t="s">
        <v>3238</v>
      </c>
      <c r="D1494" s="4" t="s">
        <v>916</v>
      </c>
      <c r="E1494" s="6">
        <v>44120</v>
      </c>
      <c r="F1494" s="7">
        <v>100</v>
      </c>
      <c r="G1494" s="7">
        <v>0.9</v>
      </c>
    </row>
    <row r="1495" spans="1:7">
      <c r="A1495" s="4" t="s">
        <v>49</v>
      </c>
      <c r="B1495" s="4" t="s">
        <v>691</v>
      </c>
      <c r="C1495" s="4" t="s">
        <v>3238</v>
      </c>
      <c r="D1495" s="4" t="s">
        <v>817</v>
      </c>
      <c r="E1495" s="6">
        <v>44120</v>
      </c>
      <c r="F1495" s="7">
        <v>100</v>
      </c>
      <c r="G1495" s="7">
        <v>1.64</v>
      </c>
    </row>
    <row r="1496" spans="1:7">
      <c r="A1496" s="4" t="s">
        <v>49</v>
      </c>
      <c r="B1496" s="4" t="s">
        <v>691</v>
      </c>
      <c r="C1496" s="4" t="s">
        <v>3238</v>
      </c>
      <c r="D1496" s="4" t="s">
        <v>1364</v>
      </c>
      <c r="E1496" s="6">
        <v>44120</v>
      </c>
      <c r="F1496" s="7">
        <v>50</v>
      </c>
      <c r="G1496" s="7">
        <v>6.9700000000000006</v>
      </c>
    </row>
    <row r="1497" spans="1:7">
      <c r="A1497" s="4" t="s">
        <v>49</v>
      </c>
      <c r="B1497" s="4" t="s">
        <v>691</v>
      </c>
      <c r="C1497" s="4" t="s">
        <v>3238</v>
      </c>
      <c r="D1497" s="4" t="s">
        <v>904</v>
      </c>
      <c r="E1497" s="6">
        <v>44120</v>
      </c>
      <c r="F1497" s="7">
        <v>25</v>
      </c>
      <c r="G1497" s="7">
        <v>13.69</v>
      </c>
    </row>
    <row r="1498" spans="1:7">
      <c r="A1498" s="4" t="s">
        <v>49</v>
      </c>
      <c r="B1498" s="4" t="s">
        <v>691</v>
      </c>
      <c r="C1498" s="4" t="s">
        <v>3238</v>
      </c>
      <c r="D1498" s="4" t="s">
        <v>1168</v>
      </c>
      <c r="E1498" s="6">
        <v>44120</v>
      </c>
      <c r="F1498" s="7">
        <v>100</v>
      </c>
      <c r="G1498" s="7">
        <v>1.1199999999999999</v>
      </c>
    </row>
    <row r="1499" spans="1:7">
      <c r="A1499" s="4" t="s">
        <v>49</v>
      </c>
      <c r="B1499" s="4" t="s">
        <v>691</v>
      </c>
      <c r="C1499" s="4" t="s">
        <v>3238</v>
      </c>
      <c r="D1499" s="4" t="s">
        <v>815</v>
      </c>
      <c r="E1499" s="6">
        <v>44120</v>
      </c>
      <c r="F1499" s="7">
        <v>100</v>
      </c>
      <c r="G1499" s="7">
        <v>3.6100000000000003</v>
      </c>
    </row>
    <row r="1500" spans="1:7">
      <c r="A1500" s="4" t="s">
        <v>49</v>
      </c>
      <c r="B1500" s="4" t="s">
        <v>691</v>
      </c>
      <c r="C1500" s="4" t="s">
        <v>3238</v>
      </c>
      <c r="D1500" s="4" t="s">
        <v>885</v>
      </c>
      <c r="E1500" s="6">
        <v>44120</v>
      </c>
      <c r="F1500" s="7">
        <v>100</v>
      </c>
      <c r="G1500" s="7">
        <v>6.4</v>
      </c>
    </row>
    <row r="1501" spans="1:7">
      <c r="A1501" s="4" t="s">
        <v>49</v>
      </c>
      <c r="B1501" s="4" t="s">
        <v>691</v>
      </c>
      <c r="C1501" s="4" t="s">
        <v>3238</v>
      </c>
      <c r="D1501" s="4" t="s">
        <v>1371</v>
      </c>
      <c r="E1501" s="6">
        <v>44120</v>
      </c>
      <c r="F1501" s="7">
        <v>50</v>
      </c>
      <c r="G1501" s="7">
        <v>2.67</v>
      </c>
    </row>
    <row r="1502" spans="1:7">
      <c r="A1502" s="4" t="s">
        <v>49</v>
      </c>
      <c r="B1502" s="4" t="s">
        <v>691</v>
      </c>
      <c r="C1502" s="4" t="s">
        <v>3238</v>
      </c>
      <c r="D1502" s="4" t="s">
        <v>1106</v>
      </c>
      <c r="E1502" s="6">
        <v>44120</v>
      </c>
      <c r="F1502" s="7">
        <v>100</v>
      </c>
      <c r="G1502" s="7">
        <v>1.7899999999999998</v>
      </c>
    </row>
    <row r="1503" spans="1:7">
      <c r="A1503" s="4" t="s">
        <v>49</v>
      </c>
      <c r="B1503" s="4" t="s">
        <v>691</v>
      </c>
      <c r="C1503" s="4" t="s">
        <v>3238</v>
      </c>
      <c r="D1503" s="4" t="s">
        <v>893</v>
      </c>
      <c r="E1503" s="6">
        <v>44120</v>
      </c>
      <c r="F1503" s="7">
        <v>100</v>
      </c>
      <c r="G1503" s="7">
        <v>4.43</v>
      </c>
    </row>
    <row r="1504" spans="1:7">
      <c r="A1504" s="4" t="s">
        <v>49</v>
      </c>
      <c r="B1504" s="4" t="s">
        <v>691</v>
      </c>
      <c r="C1504" s="4" t="s">
        <v>3238</v>
      </c>
      <c r="D1504" s="4" t="s">
        <v>823</v>
      </c>
      <c r="E1504" s="6">
        <v>44120</v>
      </c>
      <c r="F1504" s="7">
        <v>50</v>
      </c>
      <c r="G1504" s="7">
        <v>5.92</v>
      </c>
    </row>
    <row r="1505" spans="1:7">
      <c r="A1505" s="4" t="s">
        <v>49</v>
      </c>
      <c r="B1505" s="4" t="s">
        <v>691</v>
      </c>
      <c r="C1505" s="4" t="s">
        <v>3238</v>
      </c>
      <c r="D1505" s="4" t="s">
        <v>860</v>
      </c>
      <c r="E1505" s="6">
        <v>44120</v>
      </c>
      <c r="F1505" s="7">
        <v>50</v>
      </c>
      <c r="G1505" s="7">
        <v>4.8600000000000003</v>
      </c>
    </row>
    <row r="1506" spans="1:7">
      <c r="A1506" s="4" t="s">
        <v>49</v>
      </c>
      <c r="B1506" s="4" t="s">
        <v>691</v>
      </c>
      <c r="C1506" s="4" t="s">
        <v>3238</v>
      </c>
      <c r="D1506" s="4" t="s">
        <v>858</v>
      </c>
      <c r="E1506" s="6">
        <v>44120</v>
      </c>
      <c r="F1506" s="7">
        <v>45</v>
      </c>
      <c r="G1506" s="7">
        <v>4.0999999999999996</v>
      </c>
    </row>
    <row r="1507" spans="1:7">
      <c r="A1507" s="4" t="s">
        <v>49</v>
      </c>
      <c r="B1507" s="4" t="s">
        <v>691</v>
      </c>
      <c r="C1507" s="4" t="s">
        <v>3238</v>
      </c>
      <c r="D1507" s="4" t="s">
        <v>2663</v>
      </c>
      <c r="E1507" s="6">
        <v>44120</v>
      </c>
      <c r="F1507" s="7">
        <v>25</v>
      </c>
      <c r="G1507" s="7">
        <v>3.71</v>
      </c>
    </row>
    <row r="1508" spans="1:7">
      <c r="A1508" s="4" t="s">
        <v>49</v>
      </c>
      <c r="B1508" s="4" t="s">
        <v>691</v>
      </c>
      <c r="C1508" s="4" t="s">
        <v>3238</v>
      </c>
      <c r="D1508" s="4" t="s">
        <v>784</v>
      </c>
      <c r="E1508" s="6">
        <v>44120</v>
      </c>
      <c r="F1508" s="7">
        <v>1</v>
      </c>
      <c r="G1508" s="7">
        <v>0</v>
      </c>
    </row>
    <row r="1509" spans="1:7">
      <c r="A1509" s="4" t="s">
        <v>32</v>
      </c>
      <c r="B1509" s="4" t="s">
        <v>679</v>
      </c>
      <c r="C1509" s="4" t="s">
        <v>3239</v>
      </c>
      <c r="D1509" s="4" t="s">
        <v>887</v>
      </c>
      <c r="E1509" s="6">
        <v>44117</v>
      </c>
      <c r="F1509" s="7">
        <v>75</v>
      </c>
      <c r="G1509" s="7">
        <v>0.57999999999999996</v>
      </c>
    </row>
    <row r="1510" spans="1:7">
      <c r="A1510" s="4" t="s">
        <v>32</v>
      </c>
      <c r="B1510" s="4" t="s">
        <v>679</v>
      </c>
      <c r="C1510" s="4" t="s">
        <v>3239</v>
      </c>
      <c r="D1510" s="4" t="s">
        <v>993</v>
      </c>
      <c r="E1510" s="6">
        <v>44117</v>
      </c>
      <c r="F1510" s="7">
        <v>100</v>
      </c>
      <c r="G1510" s="7">
        <v>0.38</v>
      </c>
    </row>
    <row r="1511" spans="1:7">
      <c r="A1511" s="4" t="s">
        <v>32</v>
      </c>
      <c r="B1511" s="4" t="s">
        <v>679</v>
      </c>
      <c r="C1511" s="4" t="s">
        <v>3239</v>
      </c>
      <c r="D1511" s="4" t="s">
        <v>936</v>
      </c>
      <c r="E1511" s="6">
        <v>44117</v>
      </c>
      <c r="F1511" s="7">
        <v>100</v>
      </c>
      <c r="G1511" s="7">
        <v>0.66</v>
      </c>
    </row>
    <row r="1512" spans="1:7">
      <c r="A1512" s="4" t="s">
        <v>32</v>
      </c>
      <c r="B1512" s="4" t="s">
        <v>679</v>
      </c>
      <c r="C1512" s="4" t="s">
        <v>3239</v>
      </c>
      <c r="D1512" s="4" t="s">
        <v>940</v>
      </c>
      <c r="E1512" s="6">
        <v>44117</v>
      </c>
      <c r="F1512" s="7">
        <v>50</v>
      </c>
      <c r="G1512" s="7">
        <v>0.92</v>
      </c>
    </row>
    <row r="1513" spans="1:7">
      <c r="A1513" s="4" t="s">
        <v>32</v>
      </c>
      <c r="B1513" s="4" t="s">
        <v>679</v>
      </c>
      <c r="C1513" s="4" t="s">
        <v>3239</v>
      </c>
      <c r="D1513" s="4" t="s">
        <v>942</v>
      </c>
      <c r="E1513" s="6">
        <v>44117</v>
      </c>
      <c r="F1513" s="7">
        <v>28</v>
      </c>
      <c r="G1513" s="7">
        <v>1.44</v>
      </c>
    </row>
    <row r="1514" spans="1:7">
      <c r="A1514" s="4" t="s">
        <v>32</v>
      </c>
      <c r="B1514" s="4" t="s">
        <v>679</v>
      </c>
      <c r="C1514" s="4" t="s">
        <v>3239</v>
      </c>
      <c r="D1514" s="4" t="s">
        <v>1139</v>
      </c>
      <c r="E1514" s="6">
        <v>44117</v>
      </c>
      <c r="F1514" s="7">
        <v>75</v>
      </c>
      <c r="G1514" s="7">
        <v>0.87</v>
      </c>
    </row>
    <row r="1515" spans="1:7">
      <c r="A1515" s="4" t="s">
        <v>32</v>
      </c>
      <c r="B1515" s="4" t="s">
        <v>679</v>
      </c>
      <c r="C1515" s="4" t="s">
        <v>3239</v>
      </c>
      <c r="D1515" s="4" t="s">
        <v>889</v>
      </c>
      <c r="E1515" s="6">
        <v>44117</v>
      </c>
      <c r="F1515" s="7">
        <v>20</v>
      </c>
      <c r="G1515" s="7">
        <v>0.72</v>
      </c>
    </row>
    <row r="1516" spans="1:7">
      <c r="A1516" s="4" t="s">
        <v>32</v>
      </c>
      <c r="B1516" s="4" t="s">
        <v>679</v>
      </c>
      <c r="C1516" s="4" t="s">
        <v>3239</v>
      </c>
      <c r="D1516" s="4" t="s">
        <v>1063</v>
      </c>
      <c r="E1516" s="6">
        <v>44117</v>
      </c>
      <c r="F1516" s="7">
        <v>20</v>
      </c>
      <c r="G1516" s="7">
        <v>0.85</v>
      </c>
    </row>
    <row r="1517" spans="1:7">
      <c r="A1517" s="4" t="s">
        <v>32</v>
      </c>
      <c r="B1517" s="4" t="s">
        <v>679</v>
      </c>
      <c r="C1517" s="4" t="s">
        <v>3239</v>
      </c>
      <c r="D1517" s="4" t="s">
        <v>987</v>
      </c>
      <c r="E1517" s="6">
        <v>44117</v>
      </c>
      <c r="F1517" s="7">
        <v>40</v>
      </c>
      <c r="G1517" s="7">
        <v>0.85</v>
      </c>
    </row>
    <row r="1518" spans="1:7">
      <c r="A1518" s="4" t="s">
        <v>32</v>
      </c>
      <c r="B1518" s="4" t="s">
        <v>679</v>
      </c>
      <c r="C1518" s="4" t="s">
        <v>3239</v>
      </c>
      <c r="D1518" s="4" t="s">
        <v>1956</v>
      </c>
      <c r="E1518" s="6">
        <v>44117</v>
      </c>
      <c r="F1518" s="7">
        <v>100</v>
      </c>
      <c r="G1518" s="7">
        <v>0.36</v>
      </c>
    </row>
    <row r="1519" spans="1:7">
      <c r="A1519" s="4" t="s">
        <v>32</v>
      </c>
      <c r="B1519" s="4" t="s">
        <v>679</v>
      </c>
      <c r="C1519" s="4" t="s">
        <v>3239</v>
      </c>
      <c r="D1519" s="4" t="s">
        <v>2040</v>
      </c>
      <c r="E1519" s="6">
        <v>44117</v>
      </c>
      <c r="F1519" s="7">
        <v>20</v>
      </c>
      <c r="G1519" s="7">
        <v>1.9</v>
      </c>
    </row>
    <row r="1520" spans="1:7">
      <c r="A1520" s="4" t="s">
        <v>32</v>
      </c>
      <c r="B1520" s="4" t="s">
        <v>679</v>
      </c>
      <c r="C1520" s="4" t="s">
        <v>3239</v>
      </c>
      <c r="D1520" s="4" t="s">
        <v>784</v>
      </c>
      <c r="E1520" s="6">
        <v>44117</v>
      </c>
      <c r="F1520" s="7">
        <v>1</v>
      </c>
      <c r="G1520" s="7">
        <v>0</v>
      </c>
    </row>
    <row r="1521" spans="1:7">
      <c r="A1521" s="4" t="s">
        <v>46</v>
      </c>
      <c r="B1521" s="4" t="s">
        <v>689</v>
      </c>
      <c r="C1521" s="4" t="s">
        <v>3240</v>
      </c>
      <c r="D1521" s="4" t="s">
        <v>887</v>
      </c>
      <c r="E1521" s="6">
        <v>44120</v>
      </c>
      <c r="F1521" s="7">
        <v>150</v>
      </c>
      <c r="G1521" s="7">
        <v>0.57999999999999996</v>
      </c>
    </row>
    <row r="1522" spans="1:7">
      <c r="A1522" s="4" t="s">
        <v>46</v>
      </c>
      <c r="B1522" s="4" t="s">
        <v>689</v>
      </c>
      <c r="C1522" s="4" t="s">
        <v>3240</v>
      </c>
      <c r="D1522" s="4" t="s">
        <v>993</v>
      </c>
      <c r="E1522" s="6">
        <v>44120</v>
      </c>
      <c r="F1522" s="7">
        <v>150</v>
      </c>
      <c r="G1522" s="7">
        <v>0.44</v>
      </c>
    </row>
    <row r="1523" spans="1:7">
      <c r="A1523" s="4" t="s">
        <v>46</v>
      </c>
      <c r="B1523" s="4" t="s">
        <v>689</v>
      </c>
      <c r="C1523" s="4" t="s">
        <v>3240</v>
      </c>
      <c r="D1523" s="4" t="s">
        <v>982</v>
      </c>
      <c r="E1523" s="6">
        <v>44120</v>
      </c>
      <c r="F1523" s="7">
        <v>50</v>
      </c>
      <c r="G1523" s="7">
        <v>6.35</v>
      </c>
    </row>
    <row r="1524" spans="1:7">
      <c r="A1524" s="4" t="s">
        <v>46</v>
      </c>
      <c r="B1524" s="4" t="s">
        <v>689</v>
      </c>
      <c r="C1524" s="4" t="s">
        <v>3240</v>
      </c>
      <c r="D1524" s="4" t="s">
        <v>1044</v>
      </c>
      <c r="E1524" s="6">
        <v>44120</v>
      </c>
      <c r="F1524" s="7">
        <v>50</v>
      </c>
      <c r="G1524" s="7">
        <v>7.05</v>
      </c>
    </row>
    <row r="1525" spans="1:7">
      <c r="A1525" s="4" t="s">
        <v>46</v>
      </c>
      <c r="B1525" s="4" t="s">
        <v>689</v>
      </c>
      <c r="C1525" s="4" t="s">
        <v>3240</v>
      </c>
      <c r="D1525" s="4" t="s">
        <v>1106</v>
      </c>
      <c r="E1525" s="6">
        <v>44120</v>
      </c>
      <c r="F1525" s="7">
        <v>100</v>
      </c>
      <c r="G1525" s="7">
        <v>1.6600000000000001</v>
      </c>
    </row>
    <row r="1526" spans="1:7">
      <c r="A1526" s="4" t="s">
        <v>46</v>
      </c>
      <c r="B1526" s="4" t="s">
        <v>689</v>
      </c>
      <c r="C1526" s="4" t="s">
        <v>3240</v>
      </c>
      <c r="D1526" s="4" t="s">
        <v>893</v>
      </c>
      <c r="E1526" s="6">
        <v>44120</v>
      </c>
      <c r="F1526" s="7">
        <v>100</v>
      </c>
      <c r="G1526" s="7">
        <v>4.1100000000000003</v>
      </c>
    </row>
    <row r="1527" spans="1:7">
      <c r="A1527" s="4" t="s">
        <v>46</v>
      </c>
      <c r="B1527" s="4" t="s">
        <v>689</v>
      </c>
      <c r="C1527" s="4" t="s">
        <v>3240</v>
      </c>
      <c r="D1527" s="4" t="s">
        <v>784</v>
      </c>
      <c r="E1527" s="6">
        <v>44120</v>
      </c>
      <c r="F1527" s="7">
        <v>1</v>
      </c>
      <c r="G1527" s="7">
        <v>0</v>
      </c>
    </row>
    <row r="1528" spans="1:7">
      <c r="A1528" s="4" t="s">
        <v>88</v>
      </c>
      <c r="B1528" s="4" t="s">
        <v>685</v>
      </c>
      <c r="C1528" s="4" t="s">
        <v>3241</v>
      </c>
      <c r="D1528" s="4" t="s">
        <v>1011</v>
      </c>
      <c r="E1528" s="6">
        <v>44120</v>
      </c>
      <c r="F1528" s="7">
        <v>20</v>
      </c>
      <c r="G1528" s="7">
        <v>0.85</v>
      </c>
    </row>
    <row r="1529" spans="1:7">
      <c r="A1529" s="4" t="s">
        <v>88</v>
      </c>
      <c r="B1529" s="4" t="s">
        <v>685</v>
      </c>
      <c r="C1529" s="4" t="s">
        <v>3241</v>
      </c>
      <c r="D1529" s="4" t="s">
        <v>1015</v>
      </c>
      <c r="E1529" s="6">
        <v>44120</v>
      </c>
      <c r="F1529" s="7">
        <v>10</v>
      </c>
      <c r="G1529" s="7">
        <v>1.35</v>
      </c>
    </row>
    <row r="1530" spans="1:7">
      <c r="A1530" s="4" t="s">
        <v>88</v>
      </c>
      <c r="B1530" s="4" t="s">
        <v>685</v>
      </c>
      <c r="C1530" s="4" t="s">
        <v>3241</v>
      </c>
      <c r="D1530" s="4" t="s">
        <v>887</v>
      </c>
      <c r="E1530" s="6">
        <v>44120</v>
      </c>
      <c r="F1530" s="7">
        <v>10</v>
      </c>
      <c r="G1530" s="7">
        <v>0.62</v>
      </c>
    </row>
    <row r="1531" spans="1:7">
      <c r="A1531" s="4" t="s">
        <v>88</v>
      </c>
      <c r="B1531" s="4" t="s">
        <v>685</v>
      </c>
      <c r="C1531" s="4" t="s">
        <v>3241</v>
      </c>
      <c r="D1531" s="4" t="s">
        <v>949</v>
      </c>
      <c r="E1531" s="6">
        <v>44120</v>
      </c>
      <c r="F1531" s="7">
        <v>20</v>
      </c>
      <c r="G1531" s="7">
        <v>0.66</v>
      </c>
    </row>
    <row r="1532" spans="1:7">
      <c r="A1532" s="4" t="s">
        <v>88</v>
      </c>
      <c r="B1532" s="4" t="s">
        <v>685</v>
      </c>
      <c r="C1532" s="4" t="s">
        <v>3241</v>
      </c>
      <c r="D1532" s="4" t="s">
        <v>873</v>
      </c>
      <c r="E1532" s="6">
        <v>44120</v>
      </c>
      <c r="F1532" s="7">
        <v>10</v>
      </c>
      <c r="G1532" s="7">
        <v>0.56000000000000005</v>
      </c>
    </row>
    <row r="1533" spans="1:7">
      <c r="A1533" s="4" t="s">
        <v>88</v>
      </c>
      <c r="B1533" s="4" t="s">
        <v>685</v>
      </c>
      <c r="C1533" s="4" t="s">
        <v>3241</v>
      </c>
      <c r="D1533" s="4" t="s">
        <v>940</v>
      </c>
      <c r="E1533" s="6">
        <v>44120</v>
      </c>
      <c r="F1533" s="7">
        <v>10</v>
      </c>
      <c r="G1533" s="7">
        <v>1.1400000000000001</v>
      </c>
    </row>
    <row r="1534" spans="1:7">
      <c r="A1534" s="4" t="s">
        <v>88</v>
      </c>
      <c r="B1534" s="4" t="s">
        <v>685</v>
      </c>
      <c r="C1534" s="4" t="s">
        <v>3241</v>
      </c>
      <c r="D1534" s="4" t="s">
        <v>942</v>
      </c>
      <c r="E1534" s="6">
        <v>44120</v>
      </c>
      <c r="F1534" s="7">
        <v>10</v>
      </c>
      <c r="G1534" s="7">
        <v>1.7899999999999998</v>
      </c>
    </row>
    <row r="1535" spans="1:7">
      <c r="A1535" s="4" t="s">
        <v>88</v>
      </c>
      <c r="B1535" s="4" t="s">
        <v>685</v>
      </c>
      <c r="C1535" s="4" t="s">
        <v>3241</v>
      </c>
      <c r="D1535" s="4" t="s">
        <v>1126</v>
      </c>
      <c r="E1535" s="6">
        <v>44120</v>
      </c>
      <c r="F1535" s="7">
        <v>5</v>
      </c>
      <c r="G1535" s="7">
        <v>3.4799999999999995</v>
      </c>
    </row>
    <row r="1536" spans="1:7">
      <c r="A1536" s="4" t="s">
        <v>88</v>
      </c>
      <c r="B1536" s="4" t="s">
        <v>685</v>
      </c>
      <c r="C1536" s="4" t="s">
        <v>3241</v>
      </c>
      <c r="D1536" s="4" t="s">
        <v>891</v>
      </c>
      <c r="E1536" s="6">
        <v>44120</v>
      </c>
      <c r="F1536" s="7">
        <v>20</v>
      </c>
      <c r="G1536" s="7">
        <v>1.3699999999999999</v>
      </c>
    </row>
    <row r="1537" spans="1:7">
      <c r="A1537" s="4" t="s">
        <v>88</v>
      </c>
      <c r="B1537" s="4" t="s">
        <v>685</v>
      </c>
      <c r="C1537" s="4" t="s">
        <v>3241</v>
      </c>
      <c r="D1537" s="4" t="s">
        <v>1005</v>
      </c>
      <c r="E1537" s="6">
        <v>44120</v>
      </c>
      <c r="F1537" s="7">
        <v>20</v>
      </c>
      <c r="G1537" s="7">
        <v>1.3199999999999998</v>
      </c>
    </row>
    <row r="1538" spans="1:7">
      <c r="A1538" s="4" t="s">
        <v>88</v>
      </c>
      <c r="B1538" s="4" t="s">
        <v>685</v>
      </c>
      <c r="C1538" s="4" t="s">
        <v>3241</v>
      </c>
      <c r="D1538" s="4" t="s">
        <v>1028</v>
      </c>
      <c r="E1538" s="6">
        <v>44120</v>
      </c>
      <c r="F1538" s="7">
        <v>10</v>
      </c>
      <c r="G1538" s="7">
        <v>1.8</v>
      </c>
    </row>
    <row r="1539" spans="1:7">
      <c r="A1539" s="4" t="s">
        <v>88</v>
      </c>
      <c r="B1539" s="4" t="s">
        <v>685</v>
      </c>
      <c r="C1539" s="4" t="s">
        <v>3241</v>
      </c>
      <c r="D1539" s="4" t="s">
        <v>853</v>
      </c>
      <c r="E1539" s="6">
        <v>44120</v>
      </c>
      <c r="F1539" s="7">
        <v>10</v>
      </c>
      <c r="G1539" s="7">
        <v>2.96</v>
      </c>
    </row>
    <row r="1540" spans="1:7">
      <c r="A1540" s="4" t="s">
        <v>88</v>
      </c>
      <c r="B1540" s="4" t="s">
        <v>685</v>
      </c>
      <c r="C1540" s="4" t="s">
        <v>3241</v>
      </c>
      <c r="D1540" s="4" t="s">
        <v>1030</v>
      </c>
      <c r="E1540" s="6">
        <v>44120</v>
      </c>
      <c r="F1540" s="7">
        <v>10</v>
      </c>
      <c r="G1540" s="7">
        <v>3.2</v>
      </c>
    </row>
    <row r="1541" spans="1:7">
      <c r="A1541" s="4" t="s">
        <v>88</v>
      </c>
      <c r="B1541" s="4" t="s">
        <v>685</v>
      </c>
      <c r="C1541" s="4" t="s">
        <v>3241</v>
      </c>
      <c r="D1541" s="4" t="s">
        <v>1032</v>
      </c>
      <c r="E1541" s="6">
        <v>44120</v>
      </c>
      <c r="F1541" s="7">
        <v>10</v>
      </c>
      <c r="G1541" s="7">
        <v>4.08</v>
      </c>
    </row>
    <row r="1542" spans="1:7">
      <c r="A1542" s="4" t="s">
        <v>88</v>
      </c>
      <c r="B1542" s="4" t="s">
        <v>685</v>
      </c>
      <c r="C1542" s="4" t="s">
        <v>3241</v>
      </c>
      <c r="D1542" s="4" t="s">
        <v>784</v>
      </c>
      <c r="E1542" s="6">
        <v>44120</v>
      </c>
      <c r="F1542" s="7">
        <v>1</v>
      </c>
      <c r="G1542" s="7">
        <v>0</v>
      </c>
    </row>
    <row r="1543" spans="1:7">
      <c r="A1543" s="4" t="s">
        <v>405</v>
      </c>
      <c r="B1543" s="4" t="s">
        <v>770</v>
      </c>
      <c r="C1543" s="4" t="s">
        <v>3242</v>
      </c>
      <c r="D1543" s="4" t="s">
        <v>1384</v>
      </c>
      <c r="E1543" s="6">
        <v>44117</v>
      </c>
      <c r="F1543" s="7">
        <v>-50</v>
      </c>
      <c r="G1543" s="7">
        <v>0.91</v>
      </c>
    </row>
    <row r="1544" spans="1:7">
      <c r="A1544" s="4" t="s">
        <v>405</v>
      </c>
      <c r="B1544" s="4" t="s">
        <v>770</v>
      </c>
      <c r="C1544" s="4" t="s">
        <v>3242</v>
      </c>
      <c r="D1544" s="4" t="s">
        <v>1042</v>
      </c>
      <c r="E1544" s="6">
        <v>44117</v>
      </c>
      <c r="F1544" s="7">
        <v>-50</v>
      </c>
      <c r="G1544" s="7">
        <v>0.78</v>
      </c>
    </row>
    <row r="1545" spans="1:7">
      <c r="A1545" s="4" t="s">
        <v>405</v>
      </c>
      <c r="B1545" s="4" t="s">
        <v>770</v>
      </c>
      <c r="C1545" s="4" t="s">
        <v>3242</v>
      </c>
      <c r="D1545" s="4" t="s">
        <v>883</v>
      </c>
      <c r="E1545" s="6">
        <v>44117</v>
      </c>
      <c r="F1545" s="7">
        <v>-50</v>
      </c>
      <c r="G1545" s="7">
        <v>1.46</v>
      </c>
    </row>
    <row r="1546" spans="1:7">
      <c r="A1546" s="4" t="s">
        <v>405</v>
      </c>
      <c r="B1546" s="4" t="s">
        <v>770</v>
      </c>
      <c r="C1546" s="4" t="s">
        <v>3242</v>
      </c>
      <c r="D1546" s="4" t="s">
        <v>784</v>
      </c>
      <c r="E1546" s="6">
        <v>44117</v>
      </c>
      <c r="F1546" s="7">
        <v>-1</v>
      </c>
      <c r="G1546" s="7">
        <v>0</v>
      </c>
    </row>
    <row r="1547" spans="1:7">
      <c r="A1547" s="4" t="s">
        <v>405</v>
      </c>
      <c r="B1547" s="4" t="s">
        <v>677</v>
      </c>
      <c r="C1547" s="4" t="s">
        <v>3243</v>
      </c>
      <c r="D1547" s="4" t="s">
        <v>1384</v>
      </c>
      <c r="E1547" s="6">
        <v>44117</v>
      </c>
      <c r="F1547" s="7">
        <v>50</v>
      </c>
      <c r="G1547" s="7">
        <v>0.91</v>
      </c>
    </row>
    <row r="1548" spans="1:7">
      <c r="A1548" s="4" t="s">
        <v>405</v>
      </c>
      <c r="B1548" s="4" t="s">
        <v>677</v>
      </c>
      <c r="C1548" s="4" t="s">
        <v>3243</v>
      </c>
      <c r="D1548" s="4" t="s">
        <v>1042</v>
      </c>
      <c r="E1548" s="6">
        <v>44117</v>
      </c>
      <c r="F1548" s="7">
        <v>50</v>
      </c>
      <c r="G1548" s="7">
        <v>0.78</v>
      </c>
    </row>
    <row r="1549" spans="1:7">
      <c r="A1549" s="4" t="s">
        <v>405</v>
      </c>
      <c r="B1549" s="4" t="s">
        <v>677</v>
      </c>
      <c r="C1549" s="4" t="s">
        <v>3243</v>
      </c>
      <c r="D1549" s="4" t="s">
        <v>949</v>
      </c>
      <c r="E1549" s="6">
        <v>44117</v>
      </c>
      <c r="F1549" s="7">
        <v>50</v>
      </c>
      <c r="G1549" s="7">
        <v>0.66</v>
      </c>
    </row>
    <row r="1550" spans="1:7">
      <c r="A1550" s="4" t="s">
        <v>405</v>
      </c>
      <c r="B1550" s="4" t="s">
        <v>677</v>
      </c>
      <c r="C1550" s="4" t="s">
        <v>3243</v>
      </c>
      <c r="D1550" s="4" t="s">
        <v>784</v>
      </c>
      <c r="E1550" s="6">
        <v>44117</v>
      </c>
      <c r="F1550" s="7">
        <v>1</v>
      </c>
      <c r="G1550" s="7">
        <v>0</v>
      </c>
    </row>
    <row r="1551" spans="1:7">
      <c r="A1551" s="4" t="s">
        <v>252</v>
      </c>
      <c r="B1551" s="4" t="s">
        <v>693</v>
      </c>
      <c r="C1551" s="4" t="s">
        <v>3244</v>
      </c>
      <c r="D1551" s="4" t="s">
        <v>1561</v>
      </c>
      <c r="E1551" s="6">
        <v>44124</v>
      </c>
      <c r="F1551" s="7">
        <v>500</v>
      </c>
      <c r="G1551" s="7">
        <v>0.69</v>
      </c>
    </row>
    <row r="1552" spans="1:7">
      <c r="A1552" s="4" t="s">
        <v>252</v>
      </c>
      <c r="B1552" s="4" t="s">
        <v>693</v>
      </c>
      <c r="C1552" s="4" t="s">
        <v>3244</v>
      </c>
      <c r="D1552" s="4" t="s">
        <v>784</v>
      </c>
      <c r="E1552" s="6">
        <v>44124</v>
      </c>
      <c r="F1552" s="7">
        <v>1</v>
      </c>
      <c r="G1552" s="7">
        <v>0</v>
      </c>
    </row>
    <row r="1553" spans="1:7">
      <c r="A1553" s="4" t="s">
        <v>98</v>
      </c>
      <c r="B1553" s="4" t="s">
        <v>709</v>
      </c>
      <c r="C1553" s="4" t="s">
        <v>3245</v>
      </c>
      <c r="D1553" s="4" t="s">
        <v>2318</v>
      </c>
      <c r="E1553" s="6">
        <v>44131</v>
      </c>
      <c r="F1553" s="7">
        <v>50</v>
      </c>
      <c r="G1553" s="7">
        <v>26.58</v>
      </c>
    </row>
    <row r="1554" spans="1:7">
      <c r="A1554" s="4" t="s">
        <v>98</v>
      </c>
      <c r="B1554" s="4" t="s">
        <v>709</v>
      </c>
      <c r="C1554" s="4" t="s">
        <v>3245</v>
      </c>
      <c r="D1554" s="4" t="s">
        <v>961</v>
      </c>
      <c r="E1554" s="6">
        <v>44131</v>
      </c>
      <c r="F1554" s="7">
        <v>50</v>
      </c>
      <c r="G1554" s="7">
        <v>24.96</v>
      </c>
    </row>
    <row r="1555" spans="1:7">
      <c r="A1555" s="4" t="s">
        <v>98</v>
      </c>
      <c r="B1555" s="4" t="s">
        <v>709</v>
      </c>
      <c r="C1555" s="4" t="s">
        <v>3245</v>
      </c>
      <c r="D1555" s="4" t="s">
        <v>840</v>
      </c>
      <c r="E1555" s="6">
        <v>44131</v>
      </c>
      <c r="F1555" s="7">
        <v>1</v>
      </c>
      <c r="G1555" s="7">
        <v>0</v>
      </c>
    </row>
    <row r="1556" spans="1:7">
      <c r="A1556" s="4" t="s">
        <v>98</v>
      </c>
      <c r="B1556" s="4" t="s">
        <v>709</v>
      </c>
      <c r="C1556" s="4" t="s">
        <v>3245</v>
      </c>
      <c r="D1556" s="4" t="s">
        <v>784</v>
      </c>
      <c r="E1556" s="6">
        <v>44131</v>
      </c>
      <c r="F1556" s="7">
        <v>1</v>
      </c>
      <c r="G1556" s="7">
        <v>0</v>
      </c>
    </row>
    <row r="1557" spans="1:7">
      <c r="A1557" s="4" t="s">
        <v>455</v>
      </c>
      <c r="B1557" s="4" t="s">
        <v>687</v>
      </c>
      <c r="C1557" s="4" t="s">
        <v>3246</v>
      </c>
      <c r="D1557" s="4" t="s">
        <v>2010</v>
      </c>
      <c r="E1557" s="6">
        <v>44120</v>
      </c>
      <c r="F1557" s="7">
        <v>25</v>
      </c>
      <c r="G1557" s="7">
        <v>21.5</v>
      </c>
    </row>
    <row r="1558" spans="1:7">
      <c r="A1558" s="4" t="s">
        <v>455</v>
      </c>
      <c r="B1558" s="4" t="s">
        <v>687</v>
      </c>
      <c r="C1558" s="4" t="s">
        <v>3246</v>
      </c>
      <c r="D1558" s="4" t="s">
        <v>2010</v>
      </c>
      <c r="E1558" s="6">
        <v>44120</v>
      </c>
      <c r="F1558" s="7">
        <v>25</v>
      </c>
      <c r="G1558" s="7">
        <v>16.5</v>
      </c>
    </row>
    <row r="1559" spans="1:7">
      <c r="A1559" s="4" t="s">
        <v>455</v>
      </c>
      <c r="B1559" s="4" t="s">
        <v>687</v>
      </c>
      <c r="C1559" s="4" t="s">
        <v>3246</v>
      </c>
      <c r="D1559" s="4" t="s">
        <v>2010</v>
      </c>
      <c r="E1559" s="6">
        <v>44120</v>
      </c>
      <c r="F1559" s="7">
        <v>25</v>
      </c>
      <c r="G1559" s="7">
        <v>22.3</v>
      </c>
    </row>
    <row r="1560" spans="1:7">
      <c r="A1560" s="4" t="s">
        <v>455</v>
      </c>
      <c r="B1560" s="4" t="s">
        <v>687</v>
      </c>
      <c r="C1560" s="4" t="s">
        <v>3246</v>
      </c>
      <c r="D1560" s="4" t="s">
        <v>784</v>
      </c>
      <c r="E1560" s="6">
        <v>44120</v>
      </c>
      <c r="F1560" s="7">
        <v>1</v>
      </c>
      <c r="G1560" s="7">
        <v>0</v>
      </c>
    </row>
    <row r="1561" spans="1:7">
      <c r="A1561" s="4" t="s">
        <v>417</v>
      </c>
      <c r="B1561" s="4" t="s">
        <v>718</v>
      </c>
      <c r="C1561" s="4" t="s">
        <v>3247</v>
      </c>
      <c r="D1561" s="4" t="s">
        <v>2655</v>
      </c>
      <c r="E1561" s="6">
        <v>44132</v>
      </c>
      <c r="F1561" s="7">
        <v>40000</v>
      </c>
      <c r="G1561" s="7">
        <v>0.23</v>
      </c>
    </row>
    <row r="1562" spans="1:7">
      <c r="A1562" s="4" t="s">
        <v>417</v>
      </c>
      <c r="B1562" s="4" t="s">
        <v>718</v>
      </c>
      <c r="C1562" s="4" t="s">
        <v>3247</v>
      </c>
      <c r="D1562" s="4" t="s">
        <v>784</v>
      </c>
      <c r="E1562" s="6">
        <v>44132</v>
      </c>
      <c r="F1562" s="7">
        <v>1</v>
      </c>
      <c r="G1562" s="7">
        <v>0</v>
      </c>
    </row>
    <row r="1563" spans="1:7">
      <c r="A1563" s="4" t="s">
        <v>38</v>
      </c>
      <c r="B1563" s="4" t="s">
        <v>734</v>
      </c>
      <c r="C1563" s="4" t="s">
        <v>3248</v>
      </c>
      <c r="D1563" s="4" t="s">
        <v>1537</v>
      </c>
      <c r="E1563" s="6">
        <v>44138</v>
      </c>
      <c r="F1563" s="7">
        <v>1</v>
      </c>
      <c r="G1563" s="7">
        <v>2685</v>
      </c>
    </row>
    <row r="1564" spans="1:7">
      <c r="A1564" s="4" t="s">
        <v>38</v>
      </c>
      <c r="B1564" s="4" t="s">
        <v>734</v>
      </c>
      <c r="C1564" s="4" t="s">
        <v>3248</v>
      </c>
      <c r="D1564" s="4" t="s">
        <v>840</v>
      </c>
      <c r="E1564" s="6">
        <v>44138</v>
      </c>
      <c r="F1564" s="7">
        <v>1</v>
      </c>
      <c r="G1564" s="7">
        <v>225</v>
      </c>
    </row>
    <row r="1565" spans="1:7">
      <c r="A1565" s="4" t="s">
        <v>38</v>
      </c>
      <c r="B1565" s="4" t="s">
        <v>734</v>
      </c>
      <c r="C1565" s="4" t="s">
        <v>3249</v>
      </c>
      <c r="D1565" s="4" t="s">
        <v>784</v>
      </c>
      <c r="E1565" s="6">
        <v>44138</v>
      </c>
      <c r="F1565" s="7">
        <v>1</v>
      </c>
      <c r="G1565" s="7">
        <v>0</v>
      </c>
    </row>
    <row r="1566" spans="1:7">
      <c r="A1566" s="4" t="s">
        <v>32</v>
      </c>
      <c r="B1566" s="4" t="s">
        <v>697</v>
      </c>
      <c r="C1566" s="4" t="s">
        <v>3250</v>
      </c>
      <c r="D1566" s="4" t="s">
        <v>940</v>
      </c>
      <c r="E1566" s="6">
        <v>44124</v>
      </c>
      <c r="F1566" s="7">
        <v>150</v>
      </c>
      <c r="G1566" s="7">
        <v>0.92</v>
      </c>
    </row>
    <row r="1567" spans="1:7">
      <c r="A1567" s="4" t="s">
        <v>32</v>
      </c>
      <c r="B1567" s="4" t="s">
        <v>697</v>
      </c>
      <c r="C1567" s="4" t="s">
        <v>3250</v>
      </c>
      <c r="D1567" s="4" t="s">
        <v>889</v>
      </c>
      <c r="E1567" s="6">
        <v>44124</v>
      </c>
      <c r="F1567" s="7">
        <v>10</v>
      </c>
      <c r="G1567" s="7">
        <v>0.72</v>
      </c>
    </row>
    <row r="1568" spans="1:7">
      <c r="A1568" s="4" t="s">
        <v>32</v>
      </c>
      <c r="B1568" s="4" t="s">
        <v>697</v>
      </c>
      <c r="C1568" s="4" t="s">
        <v>3250</v>
      </c>
      <c r="D1568" s="4" t="s">
        <v>1063</v>
      </c>
      <c r="E1568" s="6">
        <v>44124</v>
      </c>
      <c r="F1568" s="7">
        <v>30</v>
      </c>
      <c r="G1568" s="7">
        <v>0.85</v>
      </c>
    </row>
    <row r="1569" spans="1:7">
      <c r="A1569" s="4" t="s">
        <v>32</v>
      </c>
      <c r="B1569" s="4" t="s">
        <v>697</v>
      </c>
      <c r="C1569" s="4" t="s">
        <v>3250</v>
      </c>
      <c r="D1569" s="4" t="s">
        <v>987</v>
      </c>
      <c r="E1569" s="6">
        <v>44124</v>
      </c>
      <c r="F1569" s="7">
        <v>40</v>
      </c>
      <c r="G1569" s="7">
        <v>0.85</v>
      </c>
    </row>
    <row r="1570" spans="1:7">
      <c r="A1570" s="4" t="s">
        <v>32</v>
      </c>
      <c r="B1570" s="4" t="s">
        <v>697</v>
      </c>
      <c r="C1570" s="4" t="s">
        <v>3250</v>
      </c>
      <c r="D1570" s="4" t="s">
        <v>930</v>
      </c>
      <c r="E1570" s="6">
        <v>44124</v>
      </c>
      <c r="F1570" s="7">
        <v>10</v>
      </c>
      <c r="G1570" s="7">
        <v>0.38</v>
      </c>
    </row>
    <row r="1571" spans="1:7">
      <c r="A1571" s="4" t="s">
        <v>32</v>
      </c>
      <c r="B1571" s="4" t="s">
        <v>697</v>
      </c>
      <c r="C1571" s="4" t="s">
        <v>3250</v>
      </c>
      <c r="D1571" s="4" t="s">
        <v>1323</v>
      </c>
      <c r="E1571" s="6">
        <v>44124</v>
      </c>
      <c r="F1571" s="7">
        <v>50</v>
      </c>
      <c r="G1571" s="7">
        <v>0.39</v>
      </c>
    </row>
    <row r="1572" spans="1:7">
      <c r="A1572" s="4" t="s">
        <v>32</v>
      </c>
      <c r="B1572" s="4" t="s">
        <v>697</v>
      </c>
      <c r="C1572" s="4" t="s">
        <v>3250</v>
      </c>
      <c r="D1572" s="4" t="s">
        <v>1146</v>
      </c>
      <c r="E1572" s="6">
        <v>44124</v>
      </c>
      <c r="F1572" s="7">
        <v>75</v>
      </c>
      <c r="G1572" s="7">
        <v>1.2</v>
      </c>
    </row>
    <row r="1573" spans="1:7">
      <c r="A1573" s="4" t="s">
        <v>32</v>
      </c>
      <c r="B1573" s="4" t="s">
        <v>697</v>
      </c>
      <c r="C1573" s="4" t="s">
        <v>3250</v>
      </c>
      <c r="D1573" s="4" t="s">
        <v>784</v>
      </c>
      <c r="E1573" s="6">
        <v>44124</v>
      </c>
      <c r="F1573" s="7">
        <v>1</v>
      </c>
      <c r="G1573" s="7">
        <v>0</v>
      </c>
    </row>
    <row r="1574" spans="1:7">
      <c r="A1574" s="4" t="s">
        <v>114</v>
      </c>
      <c r="B1574" s="4" t="s">
        <v>699</v>
      </c>
      <c r="C1574" s="4" t="s">
        <v>3251</v>
      </c>
      <c r="D1574" s="4" t="s">
        <v>940</v>
      </c>
      <c r="E1574" s="6">
        <v>44124</v>
      </c>
      <c r="F1574" s="7">
        <v>10</v>
      </c>
      <c r="G1574" s="7">
        <v>2.04</v>
      </c>
    </row>
    <row r="1575" spans="1:7">
      <c r="A1575" s="4" t="s">
        <v>114</v>
      </c>
      <c r="B1575" s="4" t="s">
        <v>699</v>
      </c>
      <c r="C1575" s="4" t="s">
        <v>3251</v>
      </c>
      <c r="D1575" s="4" t="s">
        <v>784</v>
      </c>
      <c r="E1575" s="6">
        <v>44124</v>
      </c>
      <c r="F1575" s="7">
        <v>1</v>
      </c>
      <c r="G1575" s="7">
        <v>0</v>
      </c>
    </row>
    <row r="1576" spans="1:7">
      <c r="A1576" s="4" t="s">
        <v>351</v>
      </c>
      <c r="B1576" s="4" t="s">
        <v>726</v>
      </c>
      <c r="C1576" s="4" t="s">
        <v>3252</v>
      </c>
      <c r="D1576" s="4" t="s">
        <v>891</v>
      </c>
      <c r="E1576" s="6">
        <v>44133</v>
      </c>
      <c r="F1576" s="7">
        <v>1000</v>
      </c>
      <c r="G1576" s="7">
        <v>1.3699999999999999</v>
      </c>
    </row>
    <row r="1577" spans="1:7">
      <c r="A1577" s="4" t="s">
        <v>351</v>
      </c>
      <c r="B1577" s="4" t="s">
        <v>726</v>
      </c>
      <c r="C1577" s="4" t="s">
        <v>3252</v>
      </c>
      <c r="D1577" s="4" t="s">
        <v>1005</v>
      </c>
      <c r="E1577" s="6">
        <v>44133</v>
      </c>
      <c r="F1577" s="7">
        <v>200</v>
      </c>
      <c r="G1577" s="7">
        <v>1.3199999999999998</v>
      </c>
    </row>
    <row r="1578" spans="1:7">
      <c r="A1578" s="4" t="s">
        <v>351</v>
      </c>
      <c r="B1578" s="4" t="s">
        <v>726</v>
      </c>
      <c r="C1578" s="4" t="s">
        <v>3252</v>
      </c>
      <c r="D1578" s="4" t="s">
        <v>784</v>
      </c>
      <c r="E1578" s="6">
        <v>44133</v>
      </c>
      <c r="F1578" s="7">
        <v>1</v>
      </c>
      <c r="G1578" s="7">
        <v>0</v>
      </c>
    </row>
    <row r="1579" spans="1:7">
      <c r="A1579" s="4" t="s">
        <v>59</v>
      </c>
      <c r="B1579" s="4" t="s">
        <v>695</v>
      </c>
      <c r="C1579" s="4" t="s">
        <v>3253</v>
      </c>
      <c r="D1579" s="4" t="s">
        <v>1349</v>
      </c>
      <c r="E1579" s="6">
        <v>44124</v>
      </c>
      <c r="F1579" s="7">
        <v>5000</v>
      </c>
      <c r="G1579" s="7">
        <v>0.1</v>
      </c>
    </row>
    <row r="1580" spans="1:7">
      <c r="A1580" s="4" t="s">
        <v>59</v>
      </c>
      <c r="B1580" s="4" t="s">
        <v>695</v>
      </c>
      <c r="C1580" s="4" t="s">
        <v>3253</v>
      </c>
      <c r="D1580" s="4" t="s">
        <v>1341</v>
      </c>
      <c r="E1580" s="6">
        <v>44124</v>
      </c>
      <c r="F1580" s="7">
        <v>5000</v>
      </c>
      <c r="G1580" s="7">
        <v>0.1</v>
      </c>
    </row>
    <row r="1581" spans="1:7">
      <c r="A1581" s="4" t="s">
        <v>59</v>
      </c>
      <c r="B1581" s="4" t="s">
        <v>695</v>
      </c>
      <c r="C1581" s="4" t="s">
        <v>3253</v>
      </c>
      <c r="D1581" s="4" t="s">
        <v>784</v>
      </c>
      <c r="E1581" s="6">
        <v>44124</v>
      </c>
      <c r="F1581" s="7">
        <v>1</v>
      </c>
      <c r="G1581" s="7">
        <v>0</v>
      </c>
    </row>
    <row r="1582" spans="1:7">
      <c r="A1582" s="4" t="s">
        <v>711</v>
      </c>
      <c r="B1582" s="4" t="s">
        <v>712</v>
      </c>
      <c r="C1582" s="4" t="s">
        <v>3254</v>
      </c>
      <c r="D1582" s="4" t="s">
        <v>1035</v>
      </c>
      <c r="E1582" s="6">
        <v>44132</v>
      </c>
      <c r="F1582" s="7">
        <v>200</v>
      </c>
      <c r="G1582" s="7">
        <v>2.4699999999999998</v>
      </c>
    </row>
    <row r="1583" spans="1:7">
      <c r="A1583" s="4" t="s">
        <v>711</v>
      </c>
      <c r="B1583" s="4" t="s">
        <v>712</v>
      </c>
      <c r="C1583" s="4" t="s">
        <v>3254</v>
      </c>
      <c r="D1583" s="4" t="s">
        <v>1035</v>
      </c>
      <c r="E1583" s="6">
        <v>44132</v>
      </c>
      <c r="F1583" s="7">
        <v>100</v>
      </c>
      <c r="G1583" s="7">
        <v>4.0999999999999996</v>
      </c>
    </row>
    <row r="1584" spans="1:7">
      <c r="A1584" s="4" t="s">
        <v>711</v>
      </c>
      <c r="B1584" s="4" t="s">
        <v>712</v>
      </c>
      <c r="C1584" s="4" t="s">
        <v>3254</v>
      </c>
      <c r="D1584" s="4" t="s">
        <v>1049</v>
      </c>
      <c r="E1584" s="6">
        <v>44132</v>
      </c>
      <c r="F1584" s="7">
        <v>1</v>
      </c>
      <c r="G1584" s="7">
        <v>230</v>
      </c>
    </row>
    <row r="1585" spans="1:7">
      <c r="A1585" s="4" t="s">
        <v>711</v>
      </c>
      <c r="B1585" s="4" t="s">
        <v>712</v>
      </c>
      <c r="C1585" s="4" t="s">
        <v>3254</v>
      </c>
      <c r="D1585" s="4" t="s">
        <v>784</v>
      </c>
      <c r="E1585" s="6">
        <v>44132</v>
      </c>
      <c r="F1585" s="7">
        <v>1</v>
      </c>
      <c r="G1585" s="7">
        <v>0</v>
      </c>
    </row>
    <row r="1586" spans="1:7">
      <c r="A1586" s="4" t="s">
        <v>252</v>
      </c>
      <c r="B1586" s="4" t="s">
        <v>722</v>
      </c>
      <c r="C1586" s="4" t="s">
        <v>3255</v>
      </c>
      <c r="D1586" s="4" t="s">
        <v>2686</v>
      </c>
      <c r="E1586" s="6">
        <v>44132</v>
      </c>
      <c r="F1586" s="7">
        <v>200</v>
      </c>
      <c r="G1586" s="7">
        <v>0.55000000000000004</v>
      </c>
    </row>
    <row r="1587" spans="1:7">
      <c r="A1587" s="4" t="s">
        <v>252</v>
      </c>
      <c r="B1587" s="4" t="s">
        <v>722</v>
      </c>
      <c r="C1587" s="4" t="s">
        <v>3255</v>
      </c>
      <c r="D1587" s="4" t="s">
        <v>2689</v>
      </c>
      <c r="E1587" s="6">
        <v>44132</v>
      </c>
      <c r="F1587" s="7">
        <v>100</v>
      </c>
      <c r="G1587" s="7">
        <v>0.73</v>
      </c>
    </row>
    <row r="1588" spans="1:7">
      <c r="A1588" s="4" t="s">
        <v>252</v>
      </c>
      <c r="B1588" s="4" t="s">
        <v>722</v>
      </c>
      <c r="C1588" s="4" t="s">
        <v>3255</v>
      </c>
      <c r="D1588" s="4" t="s">
        <v>784</v>
      </c>
      <c r="E1588" s="6">
        <v>44132</v>
      </c>
      <c r="F1588" s="7">
        <v>1</v>
      </c>
      <c r="G1588" s="7">
        <v>0</v>
      </c>
    </row>
    <row r="1589" spans="1:7">
      <c r="A1589" s="4" t="s">
        <v>46</v>
      </c>
      <c r="B1589" s="4" t="s">
        <v>716</v>
      </c>
      <c r="C1589" s="4" t="s">
        <v>3256</v>
      </c>
      <c r="D1589" s="4" t="s">
        <v>875</v>
      </c>
      <c r="E1589" s="6">
        <v>44132</v>
      </c>
      <c r="F1589" s="7">
        <v>100</v>
      </c>
      <c r="G1589" s="7">
        <v>0.72</v>
      </c>
    </row>
    <row r="1590" spans="1:7">
      <c r="A1590" s="4" t="s">
        <v>46</v>
      </c>
      <c r="B1590" s="4" t="s">
        <v>716</v>
      </c>
      <c r="C1590" s="4" t="s">
        <v>3256</v>
      </c>
      <c r="D1590" s="4" t="s">
        <v>1202</v>
      </c>
      <c r="E1590" s="6">
        <v>44132</v>
      </c>
      <c r="F1590" s="7">
        <v>50</v>
      </c>
      <c r="G1590" s="7">
        <v>1.58</v>
      </c>
    </row>
    <row r="1591" spans="1:7">
      <c r="A1591" s="4" t="s">
        <v>46</v>
      </c>
      <c r="B1591" s="4" t="s">
        <v>716</v>
      </c>
      <c r="C1591" s="4" t="s">
        <v>3256</v>
      </c>
      <c r="D1591" s="4" t="s">
        <v>1005</v>
      </c>
      <c r="E1591" s="6">
        <v>44132</v>
      </c>
      <c r="F1591" s="7">
        <v>50</v>
      </c>
      <c r="G1591" s="7">
        <v>1.23</v>
      </c>
    </row>
    <row r="1592" spans="1:7">
      <c r="A1592" s="4" t="s">
        <v>46</v>
      </c>
      <c r="B1592" s="4" t="s">
        <v>716</v>
      </c>
      <c r="C1592" s="4" t="s">
        <v>3256</v>
      </c>
      <c r="D1592" s="4" t="s">
        <v>1063</v>
      </c>
      <c r="E1592" s="6">
        <v>44132</v>
      </c>
      <c r="F1592" s="7">
        <v>100</v>
      </c>
      <c r="G1592" s="7">
        <v>0.98</v>
      </c>
    </row>
    <row r="1593" spans="1:7">
      <c r="A1593" s="4" t="s">
        <v>46</v>
      </c>
      <c r="B1593" s="4" t="s">
        <v>716</v>
      </c>
      <c r="C1593" s="4" t="s">
        <v>3256</v>
      </c>
      <c r="D1593" s="4" t="s">
        <v>1026</v>
      </c>
      <c r="E1593" s="6">
        <v>44132</v>
      </c>
      <c r="F1593" s="7">
        <v>200</v>
      </c>
      <c r="G1593" s="7">
        <v>0.83</v>
      </c>
    </row>
    <row r="1594" spans="1:7">
      <c r="A1594" s="4" t="s">
        <v>46</v>
      </c>
      <c r="B1594" s="4" t="s">
        <v>716</v>
      </c>
      <c r="C1594" s="4" t="s">
        <v>3256</v>
      </c>
      <c r="D1594" s="4" t="s">
        <v>815</v>
      </c>
      <c r="E1594" s="6">
        <v>44132</v>
      </c>
      <c r="F1594" s="7">
        <v>50</v>
      </c>
      <c r="G1594" s="7">
        <v>3.35</v>
      </c>
    </row>
    <row r="1595" spans="1:7">
      <c r="A1595" s="4" t="s">
        <v>46</v>
      </c>
      <c r="B1595" s="4" t="s">
        <v>716</v>
      </c>
      <c r="C1595" s="4" t="s">
        <v>3256</v>
      </c>
      <c r="D1595" s="4" t="s">
        <v>853</v>
      </c>
      <c r="E1595" s="6">
        <v>44132</v>
      </c>
      <c r="F1595" s="7">
        <v>100</v>
      </c>
      <c r="G1595" s="7">
        <v>2.75</v>
      </c>
    </row>
    <row r="1596" spans="1:7">
      <c r="A1596" s="4" t="s">
        <v>46</v>
      </c>
      <c r="B1596" s="4" t="s">
        <v>716</v>
      </c>
      <c r="C1596" s="4" t="s">
        <v>3256</v>
      </c>
      <c r="D1596" s="4" t="s">
        <v>1015</v>
      </c>
      <c r="E1596" s="6">
        <v>44132</v>
      </c>
      <c r="F1596" s="7">
        <v>100</v>
      </c>
      <c r="G1596" s="7">
        <v>1.25</v>
      </c>
    </row>
    <row r="1597" spans="1:7">
      <c r="A1597" s="4" t="s">
        <v>46</v>
      </c>
      <c r="B1597" s="4" t="s">
        <v>716</v>
      </c>
      <c r="C1597" s="4" t="s">
        <v>3256</v>
      </c>
      <c r="D1597" s="4" t="s">
        <v>784</v>
      </c>
      <c r="E1597" s="6">
        <v>44132</v>
      </c>
      <c r="F1597" s="7">
        <v>1</v>
      </c>
      <c r="G1597" s="7">
        <v>0</v>
      </c>
    </row>
    <row r="1598" spans="1:7">
      <c r="A1598" s="4" t="s">
        <v>266</v>
      </c>
      <c r="B1598" s="4" t="s">
        <v>724</v>
      </c>
      <c r="C1598" s="4" t="s">
        <v>3257</v>
      </c>
      <c r="D1598" s="4" t="s">
        <v>2048</v>
      </c>
      <c r="E1598" s="6">
        <v>44133</v>
      </c>
      <c r="F1598" s="7">
        <v>35</v>
      </c>
      <c r="G1598" s="7">
        <v>11.83</v>
      </c>
    </row>
    <row r="1599" spans="1:7">
      <c r="A1599" s="4" t="s">
        <v>266</v>
      </c>
      <c r="B1599" s="4" t="s">
        <v>724</v>
      </c>
      <c r="C1599" s="4" t="s">
        <v>3257</v>
      </c>
      <c r="D1599" s="4" t="s">
        <v>1049</v>
      </c>
      <c r="E1599" s="6">
        <v>44133</v>
      </c>
      <c r="F1599" s="7">
        <v>1</v>
      </c>
      <c r="G1599" s="7">
        <v>250</v>
      </c>
    </row>
    <row r="1600" spans="1:7">
      <c r="A1600" s="4" t="s">
        <v>266</v>
      </c>
      <c r="B1600" s="4" t="s">
        <v>724</v>
      </c>
      <c r="C1600" s="4" t="s">
        <v>3258</v>
      </c>
      <c r="D1600" s="4" t="s">
        <v>784</v>
      </c>
      <c r="E1600" s="6">
        <v>44133</v>
      </c>
      <c r="F1600" s="7">
        <v>1</v>
      </c>
      <c r="G1600" s="7">
        <v>0</v>
      </c>
    </row>
    <row r="1601" spans="1:7">
      <c r="A1601" s="4" t="s">
        <v>12</v>
      </c>
      <c r="B1601" s="4" t="s">
        <v>2913</v>
      </c>
      <c r="C1601" s="4" t="s">
        <v>3259</v>
      </c>
      <c r="D1601" s="4" t="s">
        <v>803</v>
      </c>
      <c r="E1601" s="6">
        <v>44151</v>
      </c>
      <c r="F1601" s="7">
        <v>1000</v>
      </c>
      <c r="G1601" s="7">
        <v>1.06</v>
      </c>
    </row>
    <row r="1602" spans="1:7">
      <c r="A1602" s="4" t="s">
        <v>12</v>
      </c>
      <c r="B1602" s="4" t="s">
        <v>2913</v>
      </c>
      <c r="C1602" s="4" t="s">
        <v>3259</v>
      </c>
      <c r="D1602" s="4" t="s">
        <v>786</v>
      </c>
      <c r="E1602" s="6">
        <v>44151</v>
      </c>
      <c r="F1602" s="7">
        <v>2000</v>
      </c>
      <c r="G1602" s="7">
        <v>0.74</v>
      </c>
    </row>
    <row r="1603" spans="1:7">
      <c r="A1603" s="4" t="s">
        <v>12</v>
      </c>
      <c r="B1603" s="4" t="s">
        <v>2913</v>
      </c>
      <c r="C1603" s="4" t="s">
        <v>3259</v>
      </c>
      <c r="D1603" s="4" t="s">
        <v>801</v>
      </c>
      <c r="E1603" s="6">
        <v>44151</v>
      </c>
      <c r="F1603" s="7">
        <v>1500</v>
      </c>
      <c r="G1603" s="7">
        <v>0.95</v>
      </c>
    </row>
    <row r="1604" spans="1:7">
      <c r="A1604" s="4" t="s">
        <v>12</v>
      </c>
      <c r="B1604" s="4" t="s">
        <v>2913</v>
      </c>
      <c r="C1604" s="4" t="s">
        <v>3259</v>
      </c>
      <c r="D1604" s="4" t="s">
        <v>799</v>
      </c>
      <c r="E1604" s="6">
        <v>44151</v>
      </c>
      <c r="F1604" s="7">
        <v>1500</v>
      </c>
      <c r="G1604" s="7">
        <v>0.85</v>
      </c>
    </row>
    <row r="1605" spans="1:7">
      <c r="A1605" s="4" t="s">
        <v>12</v>
      </c>
      <c r="B1605" s="4" t="s">
        <v>2913</v>
      </c>
      <c r="C1605" s="4" t="s">
        <v>3259</v>
      </c>
      <c r="D1605" s="4" t="s">
        <v>784</v>
      </c>
      <c r="E1605" s="6">
        <v>44151</v>
      </c>
      <c r="F1605" s="7">
        <v>1</v>
      </c>
      <c r="G1605" s="7">
        <v>0</v>
      </c>
    </row>
    <row r="1606" spans="1:7">
      <c r="A1606" s="4" t="s">
        <v>29</v>
      </c>
      <c r="B1606" s="4" t="s">
        <v>728</v>
      </c>
      <c r="C1606" s="4" t="s">
        <v>3260</v>
      </c>
      <c r="D1606" s="4" t="s">
        <v>1485</v>
      </c>
      <c r="E1606" s="6">
        <v>44134</v>
      </c>
      <c r="F1606" s="7">
        <v>1000</v>
      </c>
      <c r="G1606" s="7">
        <v>2.41</v>
      </c>
    </row>
    <row r="1607" spans="1:7">
      <c r="A1607" s="4" t="s">
        <v>29</v>
      </c>
      <c r="B1607" s="4" t="s">
        <v>728</v>
      </c>
      <c r="C1607" s="4" t="s">
        <v>3260</v>
      </c>
      <c r="D1607" s="4" t="s">
        <v>784</v>
      </c>
      <c r="E1607" s="6">
        <v>44134</v>
      </c>
      <c r="F1607" s="7">
        <v>1</v>
      </c>
      <c r="G1607" s="7">
        <v>0</v>
      </c>
    </row>
    <row r="1608" spans="1:7">
      <c r="A1608" s="4" t="s">
        <v>736</v>
      </c>
      <c r="B1608" s="4" t="s">
        <v>737</v>
      </c>
      <c r="C1608" s="4" t="s">
        <v>3261</v>
      </c>
      <c r="D1608" s="4" t="s">
        <v>1086</v>
      </c>
      <c r="E1608" s="6">
        <v>44139</v>
      </c>
      <c r="F1608" s="7">
        <v>1</v>
      </c>
      <c r="G1608" s="7">
        <v>140</v>
      </c>
    </row>
    <row r="1609" spans="1:7">
      <c r="A1609" s="4" t="s">
        <v>101</v>
      </c>
      <c r="B1609" s="4" t="s">
        <v>714</v>
      </c>
      <c r="C1609" s="4" t="s">
        <v>3262</v>
      </c>
      <c r="D1609" s="4" t="s">
        <v>1126</v>
      </c>
      <c r="E1609" s="6">
        <v>44132</v>
      </c>
      <c r="F1609" s="7">
        <v>10</v>
      </c>
      <c r="G1609" s="7">
        <v>6.2200000000000006</v>
      </c>
    </row>
    <row r="1610" spans="1:7">
      <c r="A1610" s="4" t="s">
        <v>101</v>
      </c>
      <c r="B1610" s="4" t="s">
        <v>714</v>
      </c>
      <c r="C1610" s="4" t="s">
        <v>3262</v>
      </c>
      <c r="D1610" s="4" t="s">
        <v>784</v>
      </c>
      <c r="E1610" s="6">
        <v>44132</v>
      </c>
      <c r="F1610" s="7">
        <v>1</v>
      </c>
      <c r="G1610" s="7">
        <v>0</v>
      </c>
    </row>
    <row r="1611" spans="1:7">
      <c r="A1611" s="4" t="s">
        <v>132</v>
      </c>
      <c r="B1611" s="4" t="s">
        <v>3280</v>
      </c>
      <c r="C1611" s="4" t="s">
        <v>3281</v>
      </c>
      <c r="D1611" s="4" t="s">
        <v>968</v>
      </c>
      <c r="E1611" s="6">
        <v>44153</v>
      </c>
      <c r="F1611" s="7">
        <v>470</v>
      </c>
      <c r="G1611" s="7">
        <v>11.52</v>
      </c>
    </row>
    <row r="1612" spans="1:7">
      <c r="A1612" s="4" t="s">
        <v>132</v>
      </c>
      <c r="B1612" s="4" t="s">
        <v>3280</v>
      </c>
      <c r="C1612" s="4" t="s">
        <v>3281</v>
      </c>
      <c r="D1612" s="4" t="s">
        <v>2272</v>
      </c>
      <c r="E1612" s="6">
        <v>44153</v>
      </c>
      <c r="F1612" s="7">
        <v>470</v>
      </c>
      <c r="G1612" s="7">
        <v>12.14</v>
      </c>
    </row>
    <row r="1613" spans="1:7">
      <c r="A1613" s="4" t="s">
        <v>132</v>
      </c>
      <c r="B1613" s="4" t="s">
        <v>3280</v>
      </c>
      <c r="C1613" s="4" t="s">
        <v>3281</v>
      </c>
      <c r="D1613" s="4" t="s">
        <v>970</v>
      </c>
      <c r="E1613" s="6">
        <v>44153</v>
      </c>
      <c r="F1613" s="7">
        <v>1358</v>
      </c>
      <c r="G1613" s="7">
        <v>4.18</v>
      </c>
    </row>
    <row r="1614" spans="1:7">
      <c r="A1614" s="4" t="s">
        <v>132</v>
      </c>
      <c r="B1614" s="4" t="s">
        <v>3280</v>
      </c>
      <c r="C1614" s="4" t="s">
        <v>3281</v>
      </c>
      <c r="D1614" s="4" t="s">
        <v>784</v>
      </c>
      <c r="E1614" s="6">
        <v>44153</v>
      </c>
      <c r="F1614" s="7">
        <v>1</v>
      </c>
      <c r="G1614" s="7">
        <v>0</v>
      </c>
    </row>
    <row r="1615" spans="1:7">
      <c r="A1615" s="4" t="s">
        <v>32</v>
      </c>
      <c r="B1615" s="4" t="s">
        <v>732</v>
      </c>
      <c r="C1615" s="4" t="s">
        <v>3263</v>
      </c>
      <c r="D1615" s="4" t="s">
        <v>889</v>
      </c>
      <c r="E1615" s="6">
        <v>44138</v>
      </c>
      <c r="F1615" s="7">
        <v>60</v>
      </c>
      <c r="G1615" s="7">
        <v>0.72</v>
      </c>
    </row>
    <row r="1616" spans="1:7">
      <c r="A1616" s="4" t="s">
        <v>32</v>
      </c>
      <c r="B1616" s="4" t="s">
        <v>732</v>
      </c>
      <c r="C1616" s="4" t="s">
        <v>3263</v>
      </c>
      <c r="D1616" s="4" t="s">
        <v>1739</v>
      </c>
      <c r="E1616" s="6">
        <v>44138</v>
      </c>
      <c r="F1616" s="7">
        <v>60</v>
      </c>
      <c r="G1616" s="7">
        <v>0.41</v>
      </c>
    </row>
    <row r="1617" spans="1:7">
      <c r="A1617" s="4" t="s">
        <v>32</v>
      </c>
      <c r="B1617" s="4" t="s">
        <v>732</v>
      </c>
      <c r="C1617" s="4" t="s">
        <v>3263</v>
      </c>
      <c r="D1617" s="4" t="s">
        <v>1088</v>
      </c>
      <c r="E1617" s="6">
        <v>44138</v>
      </c>
      <c r="F1617" s="7">
        <v>100</v>
      </c>
      <c r="G1617" s="7">
        <v>0.43</v>
      </c>
    </row>
    <row r="1618" spans="1:7">
      <c r="A1618" s="4" t="s">
        <v>32</v>
      </c>
      <c r="B1618" s="4" t="s">
        <v>732</v>
      </c>
      <c r="C1618" s="4" t="s">
        <v>3263</v>
      </c>
      <c r="D1618" s="4" t="s">
        <v>987</v>
      </c>
      <c r="E1618" s="6">
        <v>44138</v>
      </c>
      <c r="F1618" s="7">
        <v>60</v>
      </c>
      <c r="G1618" s="7">
        <v>0.85</v>
      </c>
    </row>
    <row r="1619" spans="1:7">
      <c r="A1619" s="4" t="s">
        <v>32</v>
      </c>
      <c r="B1619" s="4" t="s">
        <v>732</v>
      </c>
      <c r="C1619" s="4" t="s">
        <v>3263</v>
      </c>
      <c r="D1619" s="4" t="s">
        <v>1143</v>
      </c>
      <c r="E1619" s="6">
        <v>44138</v>
      </c>
      <c r="F1619" s="7">
        <v>100</v>
      </c>
      <c r="G1619" s="7">
        <v>0.54</v>
      </c>
    </row>
    <row r="1620" spans="1:7">
      <c r="A1620" s="4" t="s">
        <v>32</v>
      </c>
      <c r="B1620" s="4" t="s">
        <v>732</v>
      </c>
      <c r="C1620" s="4" t="s">
        <v>3263</v>
      </c>
      <c r="D1620" s="4" t="s">
        <v>1030</v>
      </c>
      <c r="E1620" s="6">
        <v>44138</v>
      </c>
      <c r="F1620" s="7">
        <v>50</v>
      </c>
      <c r="G1620" s="7">
        <v>2.57</v>
      </c>
    </row>
    <row r="1621" spans="1:7">
      <c r="A1621" s="4" t="s">
        <v>32</v>
      </c>
      <c r="B1621" s="4" t="s">
        <v>732</v>
      </c>
      <c r="C1621" s="4" t="s">
        <v>3263</v>
      </c>
      <c r="D1621" s="4" t="s">
        <v>784</v>
      </c>
      <c r="E1621" s="6">
        <v>44138</v>
      </c>
      <c r="F1621" s="7">
        <v>1</v>
      </c>
      <c r="G1621" s="7">
        <v>0</v>
      </c>
    </row>
    <row r="1622" spans="1:7">
      <c r="A1622" s="4" t="s">
        <v>46</v>
      </c>
      <c r="B1622" s="4" t="s">
        <v>739</v>
      </c>
      <c r="C1622" s="4" t="s">
        <v>3264</v>
      </c>
      <c r="D1622" s="4" t="s">
        <v>887</v>
      </c>
      <c r="E1622" s="6">
        <v>44139</v>
      </c>
      <c r="F1622" s="7">
        <v>250</v>
      </c>
      <c r="G1622" s="7">
        <v>0.57999999999999996</v>
      </c>
    </row>
    <row r="1623" spans="1:7">
      <c r="A1623" s="4" t="s">
        <v>46</v>
      </c>
      <c r="B1623" s="4" t="s">
        <v>739</v>
      </c>
      <c r="C1623" s="4" t="s">
        <v>3264</v>
      </c>
      <c r="D1623" s="4" t="s">
        <v>1577</v>
      </c>
      <c r="E1623" s="6">
        <v>44139</v>
      </c>
      <c r="F1623" s="7">
        <v>50</v>
      </c>
      <c r="G1623" s="7">
        <v>1.03</v>
      </c>
    </row>
    <row r="1624" spans="1:7">
      <c r="A1624" s="4" t="s">
        <v>46</v>
      </c>
      <c r="B1624" s="4" t="s">
        <v>739</v>
      </c>
      <c r="C1624" s="4" t="s">
        <v>3264</v>
      </c>
      <c r="D1624" s="4" t="s">
        <v>993</v>
      </c>
      <c r="E1624" s="6">
        <v>44139</v>
      </c>
      <c r="F1624" s="7">
        <v>50</v>
      </c>
      <c r="G1624" s="7">
        <v>0.44</v>
      </c>
    </row>
    <row r="1625" spans="1:7">
      <c r="A1625" s="4" t="s">
        <v>46</v>
      </c>
      <c r="B1625" s="4" t="s">
        <v>739</v>
      </c>
      <c r="C1625" s="4" t="s">
        <v>3264</v>
      </c>
      <c r="D1625" s="4" t="s">
        <v>873</v>
      </c>
      <c r="E1625" s="6">
        <v>44139</v>
      </c>
      <c r="F1625" s="7">
        <v>100</v>
      </c>
      <c r="G1625" s="7">
        <v>0.52</v>
      </c>
    </row>
    <row r="1626" spans="1:7">
      <c r="A1626" s="4" t="s">
        <v>46</v>
      </c>
      <c r="B1626" s="4" t="s">
        <v>739</v>
      </c>
      <c r="C1626" s="4" t="s">
        <v>3264</v>
      </c>
      <c r="D1626" s="4" t="s">
        <v>1579</v>
      </c>
      <c r="E1626" s="6">
        <v>44139</v>
      </c>
      <c r="F1626" s="7">
        <v>50</v>
      </c>
      <c r="G1626" s="7">
        <v>1.27</v>
      </c>
    </row>
    <row r="1627" spans="1:7">
      <c r="A1627" s="4" t="s">
        <v>46</v>
      </c>
      <c r="B1627" s="4" t="s">
        <v>739</v>
      </c>
      <c r="C1627" s="4" t="s">
        <v>3264</v>
      </c>
      <c r="D1627" s="4" t="s">
        <v>849</v>
      </c>
      <c r="E1627" s="6">
        <v>44139</v>
      </c>
      <c r="F1627" s="7">
        <v>50</v>
      </c>
      <c r="G1627" s="7">
        <v>9.0400000000000009</v>
      </c>
    </row>
    <row r="1628" spans="1:7">
      <c r="A1628" s="4" t="s">
        <v>46</v>
      </c>
      <c r="B1628" s="4" t="s">
        <v>739</v>
      </c>
      <c r="C1628" s="4" t="s">
        <v>3264</v>
      </c>
      <c r="D1628" s="4" t="s">
        <v>1011</v>
      </c>
      <c r="E1628" s="6">
        <v>44139</v>
      </c>
      <c r="F1628" s="7">
        <v>100</v>
      </c>
      <c r="G1628" s="7">
        <v>0.79</v>
      </c>
    </row>
    <row r="1629" spans="1:7">
      <c r="A1629" s="4" t="s">
        <v>46</v>
      </c>
      <c r="B1629" s="4" t="s">
        <v>739</v>
      </c>
      <c r="C1629" s="4" t="s">
        <v>3264</v>
      </c>
      <c r="D1629" s="4" t="s">
        <v>1060</v>
      </c>
      <c r="E1629" s="6">
        <v>44139</v>
      </c>
      <c r="F1629" s="7">
        <v>50</v>
      </c>
      <c r="G1629" s="7">
        <v>0.88</v>
      </c>
    </row>
    <row r="1630" spans="1:7">
      <c r="A1630" s="4" t="s">
        <v>46</v>
      </c>
      <c r="B1630" s="4" t="s">
        <v>739</v>
      </c>
      <c r="C1630" s="4" t="s">
        <v>3264</v>
      </c>
      <c r="D1630" s="4" t="s">
        <v>891</v>
      </c>
      <c r="E1630" s="6">
        <v>44139</v>
      </c>
      <c r="F1630" s="7">
        <v>100</v>
      </c>
      <c r="G1630" s="7">
        <v>1.27</v>
      </c>
    </row>
    <row r="1631" spans="1:7">
      <c r="A1631" s="4" t="s">
        <v>46</v>
      </c>
      <c r="B1631" s="4" t="s">
        <v>739</v>
      </c>
      <c r="C1631" s="4" t="s">
        <v>3264</v>
      </c>
      <c r="D1631" s="4" t="s">
        <v>1106</v>
      </c>
      <c r="E1631" s="6">
        <v>44139</v>
      </c>
      <c r="F1631" s="7">
        <v>100</v>
      </c>
      <c r="G1631" s="7">
        <v>1.6600000000000001</v>
      </c>
    </row>
    <row r="1632" spans="1:7">
      <c r="A1632" s="4" t="s">
        <v>46</v>
      </c>
      <c r="B1632" s="4" t="s">
        <v>739</v>
      </c>
      <c r="C1632" s="4" t="s">
        <v>3264</v>
      </c>
      <c r="D1632" s="4" t="s">
        <v>784</v>
      </c>
      <c r="E1632" s="6">
        <v>44139</v>
      </c>
      <c r="F1632" s="7">
        <v>1</v>
      </c>
      <c r="G1632" s="7">
        <v>0</v>
      </c>
    </row>
    <row r="1633" spans="1:7">
      <c r="A1633" s="4" t="s">
        <v>29</v>
      </c>
      <c r="B1633" s="4" t="s">
        <v>772</v>
      </c>
      <c r="C1633" s="4" t="s">
        <v>3265</v>
      </c>
      <c r="D1633" s="4" t="s">
        <v>1485</v>
      </c>
      <c r="E1633" s="6">
        <v>44134</v>
      </c>
      <c r="F1633" s="7">
        <v>-1000</v>
      </c>
      <c r="G1633" s="7">
        <v>2.41</v>
      </c>
    </row>
    <row r="1634" spans="1:7">
      <c r="A1634" s="4" t="s">
        <v>29</v>
      </c>
      <c r="B1634" s="4" t="s">
        <v>772</v>
      </c>
      <c r="C1634" s="4" t="s">
        <v>3265</v>
      </c>
      <c r="D1634" s="4" t="s">
        <v>784</v>
      </c>
      <c r="E1634" s="6">
        <v>44134</v>
      </c>
      <c r="F1634" s="7">
        <v>-1</v>
      </c>
      <c r="G1634" s="7">
        <v>0</v>
      </c>
    </row>
    <row r="1635" spans="1:7">
      <c r="A1635" s="4" t="s">
        <v>29</v>
      </c>
      <c r="B1635" s="4" t="s">
        <v>730</v>
      </c>
      <c r="C1635" s="4" t="s">
        <v>3266</v>
      </c>
      <c r="D1635" s="4" t="s">
        <v>1485</v>
      </c>
      <c r="E1635" s="6">
        <v>44134</v>
      </c>
      <c r="F1635" s="7">
        <v>1000</v>
      </c>
      <c r="G1635" s="7">
        <v>2.41</v>
      </c>
    </row>
    <row r="1636" spans="1:7">
      <c r="A1636" s="4" t="s">
        <v>29</v>
      </c>
      <c r="B1636" s="4" t="s">
        <v>730</v>
      </c>
      <c r="C1636" s="4" t="s">
        <v>3266</v>
      </c>
      <c r="D1636" s="4" t="s">
        <v>784</v>
      </c>
      <c r="E1636" s="6">
        <v>44134</v>
      </c>
      <c r="F1636" s="7">
        <v>1</v>
      </c>
      <c r="G1636" s="7">
        <v>0</v>
      </c>
    </row>
    <row r="1637" spans="1:7">
      <c r="A1637" s="4" t="s">
        <v>56</v>
      </c>
      <c r="B1637" s="4" t="s">
        <v>3282</v>
      </c>
      <c r="C1637" s="4" t="s">
        <v>3283</v>
      </c>
      <c r="D1637" s="4" t="s">
        <v>1044</v>
      </c>
      <c r="E1637" s="6">
        <v>44153</v>
      </c>
      <c r="F1637" s="7">
        <v>250</v>
      </c>
      <c r="G1637" s="7">
        <v>7.5900000000000007</v>
      </c>
    </row>
    <row r="1638" spans="1:7">
      <c r="A1638" s="4" t="s">
        <v>56</v>
      </c>
      <c r="B1638" s="4" t="s">
        <v>3282</v>
      </c>
      <c r="C1638" s="4" t="s">
        <v>3283</v>
      </c>
      <c r="D1638" s="4" t="s">
        <v>1063</v>
      </c>
      <c r="E1638" s="6">
        <v>44153</v>
      </c>
      <c r="F1638" s="7">
        <v>50</v>
      </c>
      <c r="G1638" s="7">
        <v>1.06</v>
      </c>
    </row>
    <row r="1639" spans="1:7">
      <c r="A1639" s="4" t="s">
        <v>56</v>
      </c>
      <c r="B1639" s="4" t="s">
        <v>3282</v>
      </c>
      <c r="C1639" s="4" t="s">
        <v>3283</v>
      </c>
      <c r="D1639" s="4" t="s">
        <v>851</v>
      </c>
      <c r="E1639" s="6">
        <v>44153</v>
      </c>
      <c r="F1639" s="7">
        <v>100</v>
      </c>
      <c r="G1639" s="7">
        <v>2.2199999999999998</v>
      </c>
    </row>
    <row r="1640" spans="1:7">
      <c r="A1640" s="4" t="s">
        <v>56</v>
      </c>
      <c r="B1640" s="4" t="s">
        <v>3282</v>
      </c>
      <c r="C1640" s="4" t="s">
        <v>3283</v>
      </c>
      <c r="D1640" s="4" t="s">
        <v>2040</v>
      </c>
      <c r="E1640" s="6">
        <v>44153</v>
      </c>
      <c r="F1640" s="7">
        <v>50</v>
      </c>
      <c r="G1640" s="7">
        <v>2.3600000000000003</v>
      </c>
    </row>
    <row r="1641" spans="1:7">
      <c r="A1641" s="4" t="s">
        <v>56</v>
      </c>
      <c r="B1641" s="4" t="s">
        <v>3282</v>
      </c>
      <c r="C1641" s="4" t="s">
        <v>3283</v>
      </c>
      <c r="D1641" s="4" t="s">
        <v>1208</v>
      </c>
      <c r="E1641" s="6">
        <v>44153</v>
      </c>
      <c r="F1641" s="7">
        <v>11</v>
      </c>
      <c r="G1641" s="7">
        <v>0</v>
      </c>
    </row>
    <row r="1642" spans="1:7">
      <c r="A1642" s="4" t="s">
        <v>56</v>
      </c>
      <c r="B1642" s="4" t="s">
        <v>3282</v>
      </c>
      <c r="C1642" s="4" t="s">
        <v>3283</v>
      </c>
      <c r="D1642" s="4" t="s">
        <v>1030</v>
      </c>
      <c r="E1642" s="6">
        <v>44153</v>
      </c>
      <c r="F1642" s="7">
        <v>25</v>
      </c>
      <c r="G1642" s="7">
        <v>3.2</v>
      </c>
    </row>
    <row r="1643" spans="1:7">
      <c r="A1643" s="4" t="s">
        <v>56</v>
      </c>
      <c r="B1643" s="4" t="s">
        <v>3282</v>
      </c>
      <c r="C1643" s="4" t="s">
        <v>3283</v>
      </c>
      <c r="D1643" s="4" t="s">
        <v>1032</v>
      </c>
      <c r="E1643" s="6">
        <v>44153</v>
      </c>
      <c r="F1643" s="7">
        <v>25</v>
      </c>
      <c r="G1643" s="7">
        <v>4.08</v>
      </c>
    </row>
    <row r="1644" spans="1:7">
      <c r="A1644" s="4" t="s">
        <v>56</v>
      </c>
      <c r="B1644" s="4" t="s">
        <v>3282</v>
      </c>
      <c r="C1644" s="4" t="s">
        <v>3283</v>
      </c>
      <c r="D1644" s="4" t="s">
        <v>942</v>
      </c>
      <c r="E1644" s="6">
        <v>44153</v>
      </c>
      <c r="F1644" s="7">
        <v>50</v>
      </c>
      <c r="G1644" s="7">
        <v>1.7899999999999998</v>
      </c>
    </row>
    <row r="1645" spans="1:7">
      <c r="A1645" s="4" t="s">
        <v>56</v>
      </c>
      <c r="B1645" s="4" t="s">
        <v>3282</v>
      </c>
      <c r="C1645" s="4" t="s">
        <v>3283</v>
      </c>
      <c r="D1645" s="4" t="s">
        <v>879</v>
      </c>
      <c r="E1645" s="6">
        <v>44153</v>
      </c>
      <c r="F1645" s="7">
        <v>50</v>
      </c>
      <c r="G1645" s="7">
        <v>1.21</v>
      </c>
    </row>
    <row r="1646" spans="1:7">
      <c r="A1646" s="4" t="s">
        <v>56</v>
      </c>
      <c r="B1646" s="4" t="s">
        <v>3282</v>
      </c>
      <c r="C1646" s="4" t="s">
        <v>3283</v>
      </c>
      <c r="D1646" s="4" t="s">
        <v>1161</v>
      </c>
      <c r="E1646" s="6">
        <v>44153</v>
      </c>
      <c r="F1646" s="7">
        <v>25</v>
      </c>
      <c r="G1646" s="7">
        <v>5.42</v>
      </c>
    </row>
    <row r="1647" spans="1:7">
      <c r="A1647" s="4" t="s">
        <v>56</v>
      </c>
      <c r="B1647" s="4" t="s">
        <v>3282</v>
      </c>
      <c r="C1647" s="4" t="s">
        <v>3283</v>
      </c>
      <c r="D1647" s="4" t="s">
        <v>1366</v>
      </c>
      <c r="E1647" s="6">
        <v>44153</v>
      </c>
      <c r="F1647" s="7">
        <v>100</v>
      </c>
      <c r="G1647" s="7">
        <v>1.52</v>
      </c>
    </row>
    <row r="1648" spans="1:7">
      <c r="A1648" s="4" t="s">
        <v>56</v>
      </c>
      <c r="B1648" s="4" t="s">
        <v>3282</v>
      </c>
      <c r="C1648" s="4" t="s">
        <v>3283</v>
      </c>
      <c r="D1648" s="4" t="s">
        <v>784</v>
      </c>
      <c r="E1648" s="6">
        <v>44153</v>
      </c>
      <c r="F1648" s="7">
        <v>1</v>
      </c>
      <c r="G1648" s="7">
        <v>0</v>
      </c>
    </row>
    <row r="1649" spans="1:7">
      <c r="A1649" s="4" t="s">
        <v>741</v>
      </c>
      <c r="B1649" s="4" t="s">
        <v>742</v>
      </c>
      <c r="C1649" s="4" t="s">
        <v>3267</v>
      </c>
      <c r="D1649" s="4" t="s">
        <v>2391</v>
      </c>
      <c r="E1649" s="6">
        <v>44145</v>
      </c>
      <c r="F1649" s="7">
        <v>500</v>
      </c>
      <c r="G1649" s="7">
        <v>0.11</v>
      </c>
    </row>
    <row r="1650" spans="1:7">
      <c r="A1650" s="4" t="s">
        <v>741</v>
      </c>
      <c r="B1650" s="4" t="s">
        <v>742</v>
      </c>
      <c r="C1650" s="4" t="s">
        <v>3267</v>
      </c>
      <c r="D1650" s="4" t="s">
        <v>840</v>
      </c>
      <c r="E1650" s="6">
        <v>44145</v>
      </c>
      <c r="F1650" s="7">
        <v>1</v>
      </c>
      <c r="G1650" s="7">
        <v>120</v>
      </c>
    </row>
    <row r="1651" spans="1:7">
      <c r="A1651" s="4" t="s">
        <v>741</v>
      </c>
      <c r="B1651" s="4" t="s">
        <v>742</v>
      </c>
      <c r="C1651" s="4" t="s">
        <v>3267</v>
      </c>
      <c r="D1651" s="4" t="s">
        <v>784</v>
      </c>
      <c r="E1651" s="6">
        <v>44145</v>
      </c>
      <c r="F1651" s="7">
        <v>1</v>
      </c>
      <c r="G1651" s="7">
        <v>0</v>
      </c>
    </row>
    <row r="1652" spans="1:7">
      <c r="A1652" s="4" t="s">
        <v>46</v>
      </c>
      <c r="B1652" s="4" t="s">
        <v>2763</v>
      </c>
      <c r="C1652" s="4" t="s">
        <v>3268</v>
      </c>
      <c r="D1652" s="4" t="s">
        <v>942</v>
      </c>
      <c r="E1652" s="6">
        <v>44145</v>
      </c>
      <c r="F1652" s="7">
        <v>100</v>
      </c>
      <c r="G1652" s="7">
        <v>1.6600000000000001</v>
      </c>
    </row>
    <row r="1653" spans="1:7">
      <c r="A1653" s="4" t="s">
        <v>46</v>
      </c>
      <c r="B1653" s="4" t="s">
        <v>2763</v>
      </c>
      <c r="C1653" s="4" t="s">
        <v>3268</v>
      </c>
      <c r="D1653" s="4" t="s">
        <v>985</v>
      </c>
      <c r="E1653" s="6">
        <v>44145</v>
      </c>
      <c r="F1653" s="7">
        <v>50</v>
      </c>
      <c r="G1653" s="7">
        <v>2.5100000000000002</v>
      </c>
    </row>
    <row r="1654" spans="1:7">
      <c r="A1654" s="4" t="s">
        <v>46</v>
      </c>
      <c r="B1654" s="4" t="s">
        <v>2763</v>
      </c>
      <c r="C1654" s="4" t="s">
        <v>3268</v>
      </c>
      <c r="D1654" s="4" t="s">
        <v>821</v>
      </c>
      <c r="E1654" s="6">
        <v>44145</v>
      </c>
      <c r="F1654" s="7">
        <v>50</v>
      </c>
      <c r="G1654" s="7">
        <v>3.84</v>
      </c>
    </row>
    <row r="1655" spans="1:7">
      <c r="A1655" s="4" t="s">
        <v>46</v>
      </c>
      <c r="B1655" s="4" t="s">
        <v>2763</v>
      </c>
      <c r="C1655" s="4" t="s">
        <v>3268</v>
      </c>
      <c r="D1655" s="4" t="s">
        <v>1669</v>
      </c>
      <c r="E1655" s="6">
        <v>44145</v>
      </c>
      <c r="F1655" s="7">
        <v>50</v>
      </c>
      <c r="G1655" s="7">
        <v>3.28</v>
      </c>
    </row>
    <row r="1656" spans="1:7">
      <c r="A1656" s="4" t="s">
        <v>46</v>
      </c>
      <c r="B1656" s="4" t="s">
        <v>2763</v>
      </c>
      <c r="C1656" s="4" t="s">
        <v>3268</v>
      </c>
      <c r="D1656" s="4" t="s">
        <v>1106</v>
      </c>
      <c r="E1656" s="6">
        <v>44145</v>
      </c>
      <c r="F1656" s="7">
        <v>150</v>
      </c>
      <c r="G1656" s="7">
        <v>1.6600000000000001</v>
      </c>
    </row>
    <row r="1657" spans="1:7">
      <c r="A1657" s="4" t="s">
        <v>46</v>
      </c>
      <c r="B1657" s="4" t="s">
        <v>2763</v>
      </c>
      <c r="C1657" s="4" t="s">
        <v>3268</v>
      </c>
      <c r="D1657" s="4" t="s">
        <v>964</v>
      </c>
      <c r="E1657" s="6">
        <v>44145</v>
      </c>
      <c r="F1657" s="7">
        <v>100</v>
      </c>
      <c r="G1657" s="7">
        <v>1.24</v>
      </c>
    </row>
    <row r="1658" spans="1:7">
      <c r="A1658" s="4" t="s">
        <v>46</v>
      </c>
      <c r="B1658" s="4" t="s">
        <v>2763</v>
      </c>
      <c r="C1658" s="4" t="s">
        <v>3268</v>
      </c>
      <c r="D1658" s="4" t="s">
        <v>823</v>
      </c>
      <c r="E1658" s="6">
        <v>44145</v>
      </c>
      <c r="F1658" s="7">
        <v>50</v>
      </c>
      <c r="G1658" s="7">
        <v>5.5</v>
      </c>
    </row>
    <row r="1659" spans="1:7">
      <c r="A1659" s="4" t="s">
        <v>46</v>
      </c>
      <c r="B1659" s="4" t="s">
        <v>2763</v>
      </c>
      <c r="C1659" s="4" t="s">
        <v>3268</v>
      </c>
      <c r="D1659" s="4" t="s">
        <v>1040</v>
      </c>
      <c r="E1659" s="6">
        <v>44145</v>
      </c>
      <c r="F1659" s="7">
        <v>50</v>
      </c>
      <c r="G1659" s="7">
        <v>2.25</v>
      </c>
    </row>
    <row r="1660" spans="1:7">
      <c r="A1660" s="4" t="s">
        <v>46</v>
      </c>
      <c r="B1660" s="4" t="s">
        <v>2763</v>
      </c>
      <c r="C1660" s="4" t="s">
        <v>3268</v>
      </c>
      <c r="D1660" s="4" t="s">
        <v>784</v>
      </c>
      <c r="E1660" s="6">
        <v>44145</v>
      </c>
      <c r="F1660" s="7">
        <v>1</v>
      </c>
      <c r="G1660" s="7">
        <v>0</v>
      </c>
    </row>
    <row r="1661" spans="1:7">
      <c r="A1661" s="4" t="s">
        <v>301</v>
      </c>
      <c r="B1661" s="4" t="s">
        <v>2761</v>
      </c>
      <c r="C1661" s="4" t="s">
        <v>3269</v>
      </c>
      <c r="D1661" s="4" t="s">
        <v>2898</v>
      </c>
      <c r="E1661" s="6">
        <v>44145</v>
      </c>
      <c r="F1661" s="7">
        <v>4</v>
      </c>
      <c r="G1661" s="7">
        <v>0</v>
      </c>
    </row>
    <row r="1662" spans="1:7">
      <c r="A1662" s="4" t="s">
        <v>126</v>
      </c>
      <c r="B1662" s="4" t="s">
        <v>2920</v>
      </c>
      <c r="C1662" s="4" t="s">
        <v>3270</v>
      </c>
      <c r="D1662" s="4" t="s">
        <v>1168</v>
      </c>
      <c r="E1662" s="6">
        <v>44148</v>
      </c>
      <c r="F1662" s="7">
        <v>10</v>
      </c>
      <c r="G1662" s="7">
        <v>1.04</v>
      </c>
    </row>
    <row r="1663" spans="1:7">
      <c r="A1663" s="4" t="s">
        <v>126</v>
      </c>
      <c r="B1663" s="4" t="s">
        <v>2920</v>
      </c>
      <c r="C1663" s="4" t="s">
        <v>3270</v>
      </c>
      <c r="D1663" s="4" t="s">
        <v>1137</v>
      </c>
      <c r="E1663" s="6">
        <v>44148</v>
      </c>
      <c r="F1663" s="7">
        <v>50</v>
      </c>
      <c r="G1663" s="7">
        <v>0.53</v>
      </c>
    </row>
    <row r="1664" spans="1:7">
      <c r="A1664" s="4" t="s">
        <v>126</v>
      </c>
      <c r="B1664" s="4" t="s">
        <v>2920</v>
      </c>
      <c r="C1664" s="4" t="s">
        <v>3270</v>
      </c>
      <c r="D1664" s="4" t="s">
        <v>1795</v>
      </c>
      <c r="E1664" s="6">
        <v>44148</v>
      </c>
      <c r="F1664" s="7">
        <v>50</v>
      </c>
      <c r="G1664" s="7">
        <v>1.6199999999999999</v>
      </c>
    </row>
    <row r="1665" spans="1:7">
      <c r="A1665" s="4" t="s">
        <v>126</v>
      </c>
      <c r="B1665" s="4" t="s">
        <v>2920</v>
      </c>
      <c r="C1665" s="4" t="s">
        <v>3270</v>
      </c>
      <c r="D1665" s="4" t="s">
        <v>2925</v>
      </c>
      <c r="E1665" s="6">
        <v>44148</v>
      </c>
      <c r="F1665" s="7">
        <v>50</v>
      </c>
      <c r="G1665" s="7">
        <v>1.77</v>
      </c>
    </row>
    <row r="1666" spans="1:7">
      <c r="A1666" s="4" t="s">
        <v>126</v>
      </c>
      <c r="B1666" s="4" t="s">
        <v>2920</v>
      </c>
      <c r="C1666" s="4" t="s">
        <v>3270</v>
      </c>
      <c r="D1666" s="4" t="s">
        <v>1969</v>
      </c>
      <c r="E1666" s="6">
        <v>44148</v>
      </c>
      <c r="F1666" s="7">
        <v>25</v>
      </c>
      <c r="G1666" s="7">
        <v>2.27</v>
      </c>
    </row>
    <row r="1667" spans="1:7">
      <c r="A1667" s="4" t="s">
        <v>126</v>
      </c>
      <c r="B1667" s="4" t="s">
        <v>2920</v>
      </c>
      <c r="C1667" s="4" t="s">
        <v>3270</v>
      </c>
      <c r="D1667" s="4" t="s">
        <v>2380</v>
      </c>
      <c r="E1667" s="6">
        <v>44148</v>
      </c>
      <c r="F1667" s="7">
        <v>25</v>
      </c>
      <c r="G1667" s="7">
        <v>3.18</v>
      </c>
    </row>
    <row r="1668" spans="1:7">
      <c r="A1668" s="4" t="s">
        <v>126</v>
      </c>
      <c r="B1668" s="4" t="s">
        <v>2920</v>
      </c>
      <c r="C1668" s="4" t="s">
        <v>3270</v>
      </c>
      <c r="D1668" s="4" t="s">
        <v>2908</v>
      </c>
      <c r="E1668" s="6">
        <v>44148</v>
      </c>
      <c r="F1668" s="7">
        <v>25</v>
      </c>
      <c r="G1668" s="7">
        <v>3.53</v>
      </c>
    </row>
    <row r="1669" spans="1:7">
      <c r="A1669" s="4" t="s">
        <v>126</v>
      </c>
      <c r="B1669" s="4" t="s">
        <v>2920</v>
      </c>
      <c r="C1669" s="4" t="s">
        <v>3270</v>
      </c>
      <c r="D1669" s="4" t="s">
        <v>1165</v>
      </c>
      <c r="E1669" s="6">
        <v>44148</v>
      </c>
      <c r="F1669" s="7">
        <v>50</v>
      </c>
      <c r="G1669" s="7">
        <v>1.52</v>
      </c>
    </row>
    <row r="1670" spans="1:7">
      <c r="A1670" s="4" t="s">
        <v>126</v>
      </c>
      <c r="B1670" s="4" t="s">
        <v>2920</v>
      </c>
      <c r="C1670" s="4" t="s">
        <v>3270</v>
      </c>
      <c r="D1670" s="4" t="s">
        <v>784</v>
      </c>
      <c r="E1670" s="6">
        <v>44148</v>
      </c>
      <c r="F1670" s="7">
        <v>1</v>
      </c>
      <c r="G1670" s="7">
        <v>0</v>
      </c>
    </row>
    <row r="1671" spans="1:7">
      <c r="A1671" s="4" t="s">
        <v>24</v>
      </c>
      <c r="B1671" s="4" t="s">
        <v>2932</v>
      </c>
      <c r="C1671" s="4" t="s">
        <v>3271</v>
      </c>
      <c r="D1671" s="4" t="s">
        <v>817</v>
      </c>
      <c r="E1671" s="6">
        <v>44148</v>
      </c>
      <c r="F1671" s="7">
        <v>500</v>
      </c>
      <c r="G1671" s="7">
        <v>1.64</v>
      </c>
    </row>
    <row r="1672" spans="1:7">
      <c r="A1672" s="4" t="s">
        <v>24</v>
      </c>
      <c r="B1672" s="4" t="s">
        <v>2932</v>
      </c>
      <c r="C1672" s="4" t="s">
        <v>3271</v>
      </c>
      <c r="D1672" s="4" t="s">
        <v>813</v>
      </c>
      <c r="E1672" s="6">
        <v>44148</v>
      </c>
      <c r="F1672" s="7">
        <v>30</v>
      </c>
      <c r="G1672" s="7">
        <v>2.29</v>
      </c>
    </row>
    <row r="1673" spans="1:7">
      <c r="A1673" s="4" t="s">
        <v>24</v>
      </c>
      <c r="B1673" s="4" t="s">
        <v>2932</v>
      </c>
      <c r="C1673" s="4" t="s">
        <v>3271</v>
      </c>
      <c r="D1673" s="4" t="s">
        <v>815</v>
      </c>
      <c r="E1673" s="6">
        <v>44148</v>
      </c>
      <c r="F1673" s="7">
        <v>150</v>
      </c>
      <c r="G1673" s="7">
        <v>3.6100000000000003</v>
      </c>
    </row>
    <row r="1674" spans="1:7">
      <c r="A1674" s="4" t="s">
        <v>24</v>
      </c>
      <c r="B1674" s="4" t="s">
        <v>2932</v>
      </c>
      <c r="C1674" s="4" t="s">
        <v>3271</v>
      </c>
      <c r="D1674" s="4" t="s">
        <v>784</v>
      </c>
      <c r="E1674" s="6">
        <v>44148</v>
      </c>
      <c r="F1674" s="7">
        <v>1</v>
      </c>
      <c r="G1674" s="7">
        <v>0</v>
      </c>
    </row>
    <row r="1675" spans="1:7">
      <c r="A1675" s="4" t="s">
        <v>166</v>
      </c>
      <c r="B1675" s="4" t="s">
        <v>2938</v>
      </c>
      <c r="C1675" s="4" t="s">
        <v>3272</v>
      </c>
      <c r="D1675" s="4" t="s">
        <v>1011</v>
      </c>
      <c r="E1675" s="6">
        <v>44148</v>
      </c>
      <c r="F1675" s="7">
        <v>50</v>
      </c>
      <c r="G1675" s="7">
        <v>0.79</v>
      </c>
    </row>
    <row r="1676" spans="1:7">
      <c r="A1676" s="4" t="s">
        <v>166</v>
      </c>
      <c r="B1676" s="4" t="s">
        <v>2938</v>
      </c>
      <c r="C1676" s="4" t="s">
        <v>3272</v>
      </c>
      <c r="D1676" s="4" t="s">
        <v>1060</v>
      </c>
      <c r="E1676" s="6">
        <v>44148</v>
      </c>
      <c r="F1676" s="7">
        <v>50</v>
      </c>
      <c r="G1676" s="7">
        <v>0.88</v>
      </c>
    </row>
    <row r="1677" spans="1:7">
      <c r="A1677" s="4" t="s">
        <v>166</v>
      </c>
      <c r="B1677" s="4" t="s">
        <v>2938</v>
      </c>
      <c r="C1677" s="4" t="s">
        <v>3272</v>
      </c>
      <c r="D1677" s="4" t="s">
        <v>784</v>
      </c>
      <c r="E1677" s="6">
        <v>44148</v>
      </c>
      <c r="F1677" s="7">
        <v>1</v>
      </c>
      <c r="G1677" s="7">
        <v>0</v>
      </c>
    </row>
    <row r="1678" spans="1:7">
      <c r="A1678" s="4" t="s">
        <v>80</v>
      </c>
      <c r="B1678" s="4" t="s">
        <v>3284</v>
      </c>
      <c r="C1678" s="4" t="s">
        <v>3285</v>
      </c>
      <c r="D1678" s="4" t="s">
        <v>1904</v>
      </c>
      <c r="E1678" s="6">
        <v>44153</v>
      </c>
      <c r="F1678" s="7">
        <v>16</v>
      </c>
      <c r="G1678" s="7">
        <v>12.2</v>
      </c>
    </row>
    <row r="1679" spans="1:7">
      <c r="A1679" s="4" t="s">
        <v>80</v>
      </c>
      <c r="B1679" s="4" t="s">
        <v>3284</v>
      </c>
      <c r="C1679" s="4" t="s">
        <v>3285</v>
      </c>
      <c r="D1679" s="4" t="s">
        <v>867</v>
      </c>
      <c r="E1679" s="6">
        <v>44153</v>
      </c>
      <c r="F1679" s="7">
        <v>30</v>
      </c>
      <c r="G1679" s="7">
        <v>3.47</v>
      </c>
    </row>
    <row r="1680" spans="1:7">
      <c r="A1680" s="4" t="s">
        <v>80</v>
      </c>
      <c r="B1680" s="4" t="s">
        <v>3284</v>
      </c>
      <c r="C1680" s="4" t="s">
        <v>3285</v>
      </c>
      <c r="D1680" s="4" t="s">
        <v>869</v>
      </c>
      <c r="E1680" s="6">
        <v>44153</v>
      </c>
      <c r="F1680" s="7">
        <v>20</v>
      </c>
      <c r="G1680" s="7">
        <v>8.09</v>
      </c>
    </row>
    <row r="1681" spans="1:7">
      <c r="A1681" s="4" t="s">
        <v>80</v>
      </c>
      <c r="B1681" s="4" t="s">
        <v>3284</v>
      </c>
      <c r="C1681" s="4" t="s">
        <v>3285</v>
      </c>
      <c r="D1681" s="4" t="s">
        <v>3286</v>
      </c>
      <c r="E1681" s="6">
        <v>44153</v>
      </c>
      <c r="F1681" s="7">
        <v>5</v>
      </c>
      <c r="G1681" s="7">
        <v>5</v>
      </c>
    </row>
    <row r="1682" spans="1:7">
      <c r="A1682" s="4" t="s">
        <v>80</v>
      </c>
      <c r="B1682" s="4" t="s">
        <v>3284</v>
      </c>
      <c r="C1682" s="4" t="s">
        <v>3285</v>
      </c>
      <c r="D1682" s="4" t="s">
        <v>3277</v>
      </c>
      <c r="E1682" s="6">
        <v>44153</v>
      </c>
      <c r="F1682" s="7">
        <v>2</v>
      </c>
      <c r="G1682" s="7">
        <v>17.11</v>
      </c>
    </row>
    <row r="1683" spans="1:7">
      <c r="A1683" s="4" t="s">
        <v>80</v>
      </c>
      <c r="B1683" s="4" t="s">
        <v>3284</v>
      </c>
      <c r="C1683" s="4" t="s">
        <v>3285</v>
      </c>
      <c r="D1683" s="4" t="s">
        <v>873</v>
      </c>
      <c r="E1683" s="6">
        <v>44153</v>
      </c>
      <c r="F1683" s="7">
        <v>5</v>
      </c>
      <c r="G1683" s="7">
        <v>1</v>
      </c>
    </row>
    <row r="1684" spans="1:7">
      <c r="A1684" s="4" t="s">
        <v>80</v>
      </c>
      <c r="B1684" s="4" t="s">
        <v>3284</v>
      </c>
      <c r="C1684" s="4" t="s">
        <v>3285</v>
      </c>
      <c r="D1684" s="4" t="s">
        <v>1485</v>
      </c>
      <c r="E1684" s="6">
        <v>44153</v>
      </c>
      <c r="F1684" s="7">
        <v>100</v>
      </c>
      <c r="G1684" s="7">
        <v>4.3100000000000005</v>
      </c>
    </row>
    <row r="1685" spans="1:7">
      <c r="A1685" s="4" t="s">
        <v>80</v>
      </c>
      <c r="B1685" s="4" t="s">
        <v>3284</v>
      </c>
      <c r="C1685" s="4" t="s">
        <v>3285</v>
      </c>
      <c r="D1685" s="4" t="s">
        <v>908</v>
      </c>
      <c r="E1685" s="6">
        <v>44153</v>
      </c>
      <c r="F1685" s="7">
        <v>100</v>
      </c>
      <c r="G1685" s="7">
        <v>1.51</v>
      </c>
    </row>
    <row r="1686" spans="1:7">
      <c r="A1686" s="4" t="s">
        <v>80</v>
      </c>
      <c r="B1686" s="4" t="s">
        <v>3284</v>
      </c>
      <c r="C1686" s="4" t="s">
        <v>3285</v>
      </c>
      <c r="D1686" s="4" t="s">
        <v>1310</v>
      </c>
      <c r="E1686" s="6">
        <v>44153</v>
      </c>
      <c r="F1686" s="7">
        <v>100</v>
      </c>
      <c r="G1686" s="7">
        <v>3.91</v>
      </c>
    </row>
    <row r="1687" spans="1:7">
      <c r="A1687" s="2" t="s">
        <v>774</v>
      </c>
      <c r="B1687" s="3"/>
      <c r="C1687" s="3" t="s">
        <v>774</v>
      </c>
      <c r="D1687" s="3"/>
      <c r="E1687" s="5"/>
      <c r="F1687" s="2">
        <f>SUBTOTAL(109,AtlasReport_3_Table_1[Delivered])</f>
        <v>607154.19999999995</v>
      </c>
      <c r="G1687" s="2"/>
    </row>
    <row r="1688" spans="1:7">
      <c r="A1688" s="2"/>
      <c r="B1688" s="2"/>
      <c r="C1688" s="2"/>
      <c r="D1688" s="2"/>
      <c r="E1688" s="5"/>
      <c r="F1688" s="2"/>
      <c r="G1688" s="2"/>
    </row>
    <row r="1689" spans="1:7">
      <c r="A1689" s="2"/>
      <c r="B1689" s="2"/>
      <c r="C1689" s="2"/>
      <c r="D1689" s="2"/>
      <c r="E1689" s="5"/>
      <c r="F1689" s="2"/>
      <c r="G1689" s="2"/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nventTrans">
    <tabColor theme="2" tint="-9.9978637043366805E-2"/>
  </sheetPr>
  <dimension ref="A1:H1787"/>
  <sheetViews>
    <sheetView workbookViewId="0">
      <selection activeCell="D37" sqref="D37"/>
    </sheetView>
  </sheetViews>
  <sheetFormatPr defaultRowHeight="13.5"/>
  <cols>
    <col min="1" max="1" width="10.625" customWidth="1"/>
    <col min="2" max="2" width="11" customWidth="1"/>
    <col min="3" max="3" width="38.625" customWidth="1"/>
    <col min="4" max="4" width="11.625" customWidth="1"/>
    <col min="5" max="5" width="15.75" customWidth="1"/>
    <col min="6" max="6" width="11" customWidth="1"/>
    <col min="7" max="7" width="22.75" customWidth="1"/>
    <col min="8" max="8" width="13.75" customWidth="1"/>
  </cols>
  <sheetData>
    <row r="1" spans="1:8" ht="22.5">
      <c r="A1" s="16" t="s">
        <v>775</v>
      </c>
      <c r="B1" s="16"/>
      <c r="C1" s="16"/>
      <c r="D1" s="16"/>
      <c r="E1" s="16"/>
      <c r="F1" s="16"/>
      <c r="G1" s="16"/>
      <c r="H1" s="16"/>
    </row>
    <row r="2" spans="1:8">
      <c r="A2" s="2" t="s">
        <v>2733</v>
      </c>
      <c r="B2" s="2" t="s">
        <v>10</v>
      </c>
      <c r="C2" s="2" t="s">
        <v>776</v>
      </c>
      <c r="D2" s="2" t="s">
        <v>777</v>
      </c>
      <c r="E2" s="5" t="s">
        <v>778</v>
      </c>
      <c r="F2" s="2" t="s">
        <v>779</v>
      </c>
      <c r="G2" s="2" t="s">
        <v>780</v>
      </c>
      <c r="H2" s="2" t="s">
        <v>781</v>
      </c>
    </row>
    <row r="3" spans="1:8">
      <c r="A3" s="4" t="s">
        <v>50</v>
      </c>
      <c r="B3" s="4" t="s">
        <v>51</v>
      </c>
      <c r="C3" s="4" t="s">
        <v>782</v>
      </c>
      <c r="D3" s="4" t="s">
        <v>783</v>
      </c>
      <c r="E3" s="6">
        <v>43846</v>
      </c>
      <c r="F3" s="7">
        <v>-10</v>
      </c>
      <c r="G3" s="7">
        <v>-93.89</v>
      </c>
      <c r="H3" s="7">
        <v>0</v>
      </c>
    </row>
    <row r="4" spans="1:8">
      <c r="A4" s="4" t="s">
        <v>50</v>
      </c>
      <c r="B4" s="4" t="s">
        <v>51</v>
      </c>
      <c r="C4" s="4" t="s">
        <v>784</v>
      </c>
      <c r="D4" s="4" t="s">
        <v>785</v>
      </c>
      <c r="E4" s="6">
        <v>43846</v>
      </c>
      <c r="F4" s="7">
        <v>-1</v>
      </c>
      <c r="G4" s="7">
        <v>0</v>
      </c>
      <c r="H4" s="7">
        <v>0</v>
      </c>
    </row>
    <row r="5" spans="1:8">
      <c r="A5" s="4" t="s">
        <v>13</v>
      </c>
      <c r="B5" s="4" t="s">
        <v>14</v>
      </c>
      <c r="C5" s="4" t="s">
        <v>786</v>
      </c>
      <c r="D5" s="4" t="s">
        <v>787</v>
      </c>
      <c r="E5" s="6">
        <v>43837</v>
      </c>
      <c r="F5" s="7">
        <v>-2000</v>
      </c>
      <c r="G5" s="7">
        <v>-1107.0899999999999</v>
      </c>
      <c r="H5" s="7">
        <v>-0.01</v>
      </c>
    </row>
    <row r="6" spans="1:8">
      <c r="A6" s="4" t="s">
        <v>13</v>
      </c>
      <c r="B6" s="4" t="s">
        <v>14</v>
      </c>
      <c r="C6" s="4" t="s">
        <v>784</v>
      </c>
      <c r="D6" s="4" t="s">
        <v>788</v>
      </c>
      <c r="E6" s="6">
        <v>43837</v>
      </c>
      <c r="F6" s="7">
        <v>-1</v>
      </c>
      <c r="G6" s="7">
        <v>0</v>
      </c>
      <c r="H6" s="7">
        <v>0</v>
      </c>
    </row>
    <row r="7" spans="1:8">
      <c r="A7" s="4" t="s">
        <v>36</v>
      </c>
      <c r="B7" s="4" t="s">
        <v>37</v>
      </c>
      <c r="C7" s="4" t="s">
        <v>789</v>
      </c>
      <c r="D7" s="4" t="s">
        <v>790</v>
      </c>
      <c r="E7" s="6">
        <v>43844</v>
      </c>
      <c r="F7" s="7">
        <v>-1136</v>
      </c>
      <c r="G7" s="7">
        <v>-5545.13</v>
      </c>
      <c r="H7" s="7">
        <v>0</v>
      </c>
    </row>
    <row r="8" spans="1:8">
      <c r="A8" s="4" t="s">
        <v>36</v>
      </c>
      <c r="B8" s="4" t="s">
        <v>37</v>
      </c>
      <c r="C8" s="4" t="s">
        <v>791</v>
      </c>
      <c r="D8" s="4" t="s">
        <v>792</v>
      </c>
      <c r="E8" s="6">
        <v>43844</v>
      </c>
      <c r="F8" s="7">
        <v>-5</v>
      </c>
      <c r="G8" s="7">
        <v>-41.44</v>
      </c>
      <c r="H8" s="7">
        <v>0</v>
      </c>
    </row>
    <row r="9" spans="1:8">
      <c r="A9" s="4" t="s">
        <v>36</v>
      </c>
      <c r="B9" s="4" t="s">
        <v>37</v>
      </c>
      <c r="C9" s="4" t="s">
        <v>793</v>
      </c>
      <c r="D9" s="4" t="s">
        <v>794</v>
      </c>
      <c r="E9" s="6">
        <v>43844</v>
      </c>
      <c r="F9" s="7">
        <v>-50</v>
      </c>
      <c r="G9" s="7">
        <v>-466.85</v>
      </c>
      <c r="H9" s="7">
        <v>0</v>
      </c>
    </row>
    <row r="10" spans="1:8">
      <c r="A10" s="4" t="s">
        <v>36</v>
      </c>
      <c r="B10" s="4" t="s">
        <v>37</v>
      </c>
      <c r="C10" s="4" t="s">
        <v>795</v>
      </c>
      <c r="D10" s="4" t="s">
        <v>796</v>
      </c>
      <c r="E10" s="6">
        <v>43844</v>
      </c>
      <c r="F10" s="7">
        <v>-1200</v>
      </c>
      <c r="G10" s="7">
        <v>-6801.08</v>
      </c>
      <c r="H10" s="7">
        <v>0</v>
      </c>
    </row>
    <row r="11" spans="1:8">
      <c r="A11" s="4" t="s">
        <v>36</v>
      </c>
      <c r="B11" s="4" t="s">
        <v>37</v>
      </c>
      <c r="C11" s="4" t="s">
        <v>797</v>
      </c>
      <c r="D11" s="4" t="s">
        <v>798</v>
      </c>
      <c r="E11" s="6">
        <v>43844</v>
      </c>
      <c r="F11" s="7">
        <v>-700</v>
      </c>
      <c r="G11" s="7">
        <v>-6168.9</v>
      </c>
      <c r="H11" s="7">
        <v>0</v>
      </c>
    </row>
    <row r="12" spans="1:8">
      <c r="A12" s="4" t="s">
        <v>44</v>
      </c>
      <c r="B12" s="4" t="s">
        <v>45</v>
      </c>
      <c r="C12" s="4" t="s">
        <v>799</v>
      </c>
      <c r="D12" s="4" t="s">
        <v>800</v>
      </c>
      <c r="E12" s="6">
        <v>43845</v>
      </c>
      <c r="F12" s="7">
        <v>-1000</v>
      </c>
      <c r="G12" s="7">
        <v>-632.63</v>
      </c>
      <c r="H12" s="7">
        <v>0.01</v>
      </c>
    </row>
    <row r="13" spans="1:8">
      <c r="A13" s="4" t="s">
        <v>44</v>
      </c>
      <c r="B13" s="4" t="s">
        <v>45</v>
      </c>
      <c r="C13" s="4" t="s">
        <v>801</v>
      </c>
      <c r="D13" s="4" t="s">
        <v>802</v>
      </c>
      <c r="E13" s="6">
        <v>43845</v>
      </c>
      <c r="F13" s="7">
        <v>-1000</v>
      </c>
      <c r="G13" s="7">
        <v>-711.7</v>
      </c>
      <c r="H13" s="7">
        <v>0</v>
      </c>
    </row>
    <row r="14" spans="1:8">
      <c r="A14" s="4" t="s">
        <v>44</v>
      </c>
      <c r="B14" s="4" t="s">
        <v>45</v>
      </c>
      <c r="C14" s="4" t="s">
        <v>803</v>
      </c>
      <c r="D14" s="4" t="s">
        <v>804</v>
      </c>
      <c r="E14" s="6">
        <v>43845</v>
      </c>
      <c r="F14" s="7">
        <v>-1000</v>
      </c>
      <c r="G14" s="7">
        <v>-790.78</v>
      </c>
      <c r="H14" s="7">
        <v>0</v>
      </c>
    </row>
    <row r="15" spans="1:8">
      <c r="A15" s="4" t="s">
        <v>44</v>
      </c>
      <c r="B15" s="4" t="s">
        <v>45</v>
      </c>
      <c r="C15" s="4" t="s">
        <v>784</v>
      </c>
      <c r="D15" s="4" t="s">
        <v>805</v>
      </c>
      <c r="E15" s="6">
        <v>43845</v>
      </c>
      <c r="F15" s="7">
        <v>-1</v>
      </c>
      <c r="G15" s="7">
        <v>0</v>
      </c>
      <c r="H15" s="7">
        <v>0</v>
      </c>
    </row>
    <row r="16" spans="1:8">
      <c r="A16" s="4" t="s">
        <v>22</v>
      </c>
      <c r="B16" s="4" t="s">
        <v>23</v>
      </c>
      <c r="C16" s="4" t="s">
        <v>806</v>
      </c>
      <c r="D16" s="4" t="s">
        <v>807</v>
      </c>
      <c r="E16" s="6">
        <v>43838</v>
      </c>
      <c r="F16" s="7">
        <v>-1000</v>
      </c>
      <c r="G16" s="7">
        <v>-352.77</v>
      </c>
      <c r="H16" s="7">
        <v>0</v>
      </c>
    </row>
    <row r="17" spans="1:8">
      <c r="A17" s="4" t="s">
        <v>22</v>
      </c>
      <c r="B17" s="4" t="s">
        <v>23</v>
      </c>
      <c r="C17" s="4" t="s">
        <v>806</v>
      </c>
      <c r="D17" s="4" t="s">
        <v>808</v>
      </c>
      <c r="E17" s="6">
        <v>43838</v>
      </c>
      <c r="F17" s="7">
        <v>-1030</v>
      </c>
      <c r="G17" s="7">
        <v>-363.35</v>
      </c>
      <c r="H17" s="7">
        <v>0</v>
      </c>
    </row>
    <row r="18" spans="1:8">
      <c r="A18" s="4" t="s">
        <v>22</v>
      </c>
      <c r="B18" s="4" t="s">
        <v>23</v>
      </c>
      <c r="C18" s="4" t="s">
        <v>784</v>
      </c>
      <c r="D18" s="4" t="s">
        <v>809</v>
      </c>
      <c r="E18" s="6">
        <v>43838</v>
      </c>
      <c r="F18" s="7">
        <v>-1</v>
      </c>
      <c r="G18" s="7">
        <v>0</v>
      </c>
      <c r="H18" s="7">
        <v>0</v>
      </c>
    </row>
    <row r="19" spans="1:8">
      <c r="A19" s="4" t="s">
        <v>383</v>
      </c>
      <c r="B19" s="4" t="s">
        <v>384</v>
      </c>
      <c r="C19" s="4" t="s">
        <v>810</v>
      </c>
      <c r="D19" s="4" t="s">
        <v>811</v>
      </c>
      <c r="E19" s="6">
        <v>43963</v>
      </c>
      <c r="F19" s="7">
        <v>-155</v>
      </c>
      <c r="G19" s="7">
        <v>-440.4</v>
      </c>
      <c r="H19" s="7">
        <v>0</v>
      </c>
    </row>
    <row r="20" spans="1:8">
      <c r="A20" s="4" t="s">
        <v>383</v>
      </c>
      <c r="B20" s="4" t="s">
        <v>384</v>
      </c>
      <c r="C20" s="4" t="s">
        <v>810</v>
      </c>
      <c r="D20" s="4" t="s">
        <v>811</v>
      </c>
      <c r="E20" s="6">
        <v>43963</v>
      </c>
      <c r="F20" s="7">
        <v>-265</v>
      </c>
      <c r="G20" s="7">
        <v>-752.93999999999994</v>
      </c>
      <c r="H20" s="7">
        <v>0.01</v>
      </c>
    </row>
    <row r="21" spans="1:8">
      <c r="A21" s="4" t="s">
        <v>383</v>
      </c>
      <c r="B21" s="4" t="s">
        <v>384</v>
      </c>
      <c r="C21" s="4" t="s">
        <v>810</v>
      </c>
      <c r="D21" s="4" t="s">
        <v>811</v>
      </c>
      <c r="E21" s="6">
        <v>43963</v>
      </c>
      <c r="F21" s="7">
        <v>-200</v>
      </c>
      <c r="G21" s="7">
        <v>-568.25</v>
      </c>
      <c r="H21" s="7">
        <v>-0.01</v>
      </c>
    </row>
    <row r="22" spans="1:8">
      <c r="A22" s="4" t="s">
        <v>383</v>
      </c>
      <c r="B22" s="4" t="s">
        <v>384</v>
      </c>
      <c r="C22" s="4" t="s">
        <v>810</v>
      </c>
      <c r="D22" s="4" t="s">
        <v>811</v>
      </c>
      <c r="E22" s="6">
        <v>43963</v>
      </c>
      <c r="F22" s="7">
        <v>-160</v>
      </c>
      <c r="G22" s="7">
        <v>-454.6</v>
      </c>
      <c r="H22" s="7">
        <v>0</v>
      </c>
    </row>
    <row r="23" spans="1:8">
      <c r="A23" s="4" t="s">
        <v>383</v>
      </c>
      <c r="B23" s="4" t="s">
        <v>384</v>
      </c>
      <c r="C23" s="4" t="s">
        <v>810</v>
      </c>
      <c r="D23" s="4" t="s">
        <v>811</v>
      </c>
      <c r="E23" s="6">
        <v>43963</v>
      </c>
      <c r="F23" s="7">
        <v>-277</v>
      </c>
      <c r="G23" s="7">
        <v>-787.03</v>
      </c>
      <c r="H23" s="7">
        <v>0</v>
      </c>
    </row>
    <row r="24" spans="1:8">
      <c r="A24" s="4" t="s">
        <v>383</v>
      </c>
      <c r="B24" s="4" t="s">
        <v>384</v>
      </c>
      <c r="C24" s="4" t="s">
        <v>784</v>
      </c>
      <c r="D24" s="4" t="s">
        <v>812</v>
      </c>
      <c r="E24" s="6">
        <v>43963</v>
      </c>
      <c r="F24" s="7">
        <v>-1</v>
      </c>
      <c r="G24" s="7">
        <v>0</v>
      </c>
      <c r="H24" s="7">
        <v>0</v>
      </c>
    </row>
    <row r="25" spans="1:8">
      <c r="A25" s="4" t="s">
        <v>25</v>
      </c>
      <c r="B25" s="4" t="s">
        <v>26</v>
      </c>
      <c r="C25" s="4" t="s">
        <v>813</v>
      </c>
      <c r="D25" s="4" t="s">
        <v>814</v>
      </c>
      <c r="E25" s="6">
        <v>43839</v>
      </c>
      <c r="F25" s="7">
        <v>-60</v>
      </c>
      <c r="G25" s="7">
        <v>-57.97</v>
      </c>
      <c r="H25" s="7">
        <v>-0.01</v>
      </c>
    </row>
    <row r="26" spans="1:8">
      <c r="A26" s="4" t="s">
        <v>25</v>
      </c>
      <c r="B26" s="4" t="s">
        <v>26</v>
      </c>
      <c r="C26" s="4" t="s">
        <v>815</v>
      </c>
      <c r="D26" s="4" t="s">
        <v>816</v>
      </c>
      <c r="E26" s="6">
        <v>43839</v>
      </c>
      <c r="F26" s="7">
        <v>-150</v>
      </c>
      <c r="G26" s="7">
        <v>-237.23000000000002</v>
      </c>
      <c r="H26" s="7">
        <v>-0.01</v>
      </c>
    </row>
    <row r="27" spans="1:8">
      <c r="A27" s="4" t="s">
        <v>25</v>
      </c>
      <c r="B27" s="4" t="s">
        <v>26</v>
      </c>
      <c r="C27" s="4" t="s">
        <v>817</v>
      </c>
      <c r="D27" s="4" t="s">
        <v>818</v>
      </c>
      <c r="E27" s="6">
        <v>43839</v>
      </c>
      <c r="F27" s="7">
        <v>-450</v>
      </c>
      <c r="G27" s="7">
        <v>-348.78000000000003</v>
      </c>
      <c r="H27" s="7">
        <v>0</v>
      </c>
    </row>
    <row r="28" spans="1:8">
      <c r="A28" s="4" t="s">
        <v>25</v>
      </c>
      <c r="B28" s="4" t="s">
        <v>26</v>
      </c>
      <c r="C28" s="4" t="s">
        <v>819</v>
      </c>
      <c r="D28" s="4" t="s">
        <v>820</v>
      </c>
      <c r="E28" s="6">
        <v>43839</v>
      </c>
      <c r="F28" s="7">
        <v>-100</v>
      </c>
      <c r="G28" s="7">
        <v>-774.85</v>
      </c>
      <c r="H28" s="7">
        <v>0</v>
      </c>
    </row>
    <row r="29" spans="1:8">
      <c r="A29" s="4" t="s">
        <v>25</v>
      </c>
      <c r="B29" s="4" t="s">
        <v>26</v>
      </c>
      <c r="C29" s="4" t="s">
        <v>821</v>
      </c>
      <c r="D29" s="4" t="s">
        <v>822</v>
      </c>
      <c r="E29" s="6">
        <v>43839</v>
      </c>
      <c r="F29" s="7">
        <v>-50</v>
      </c>
      <c r="G29" s="7">
        <v>-122.50999999999999</v>
      </c>
      <c r="H29" s="7">
        <v>0</v>
      </c>
    </row>
    <row r="30" spans="1:8">
      <c r="A30" s="4" t="s">
        <v>25</v>
      </c>
      <c r="B30" s="4" t="s">
        <v>26</v>
      </c>
      <c r="C30" s="4" t="s">
        <v>823</v>
      </c>
      <c r="D30" s="4" t="s">
        <v>824</v>
      </c>
      <c r="E30" s="6">
        <v>43839</v>
      </c>
      <c r="F30" s="7">
        <v>-200</v>
      </c>
      <c r="G30" s="7">
        <v>-593.68999999999994</v>
      </c>
      <c r="H30" s="7">
        <v>-0.01</v>
      </c>
    </row>
    <row r="31" spans="1:8">
      <c r="A31" s="4" t="s">
        <v>25</v>
      </c>
      <c r="B31" s="4" t="s">
        <v>26</v>
      </c>
      <c r="C31" s="4" t="s">
        <v>784</v>
      </c>
      <c r="D31" s="4" t="s">
        <v>825</v>
      </c>
      <c r="E31" s="6">
        <v>43839</v>
      </c>
      <c r="F31" s="7">
        <v>-1</v>
      </c>
      <c r="G31" s="7">
        <v>0</v>
      </c>
      <c r="H31" s="7">
        <v>0</v>
      </c>
    </row>
    <row r="32" spans="1:8">
      <c r="A32" s="4" t="s">
        <v>42</v>
      </c>
      <c r="B32" s="4" t="s">
        <v>43</v>
      </c>
      <c r="C32" s="4" t="s">
        <v>826</v>
      </c>
      <c r="D32" s="4" t="s">
        <v>827</v>
      </c>
      <c r="E32" s="6">
        <v>43844</v>
      </c>
      <c r="F32" s="7">
        <v>-25</v>
      </c>
      <c r="G32" s="7">
        <v>-253.24</v>
      </c>
      <c r="H32" s="7">
        <v>0</v>
      </c>
    </row>
    <row r="33" spans="1:8">
      <c r="A33" s="4" t="s">
        <v>42</v>
      </c>
      <c r="B33" s="4" t="s">
        <v>43</v>
      </c>
      <c r="C33" s="4" t="s">
        <v>826</v>
      </c>
      <c r="D33" s="4" t="s">
        <v>828</v>
      </c>
      <c r="E33" s="6">
        <v>43844</v>
      </c>
      <c r="F33" s="7">
        <v>-25</v>
      </c>
      <c r="G33" s="7">
        <v>-253.24</v>
      </c>
      <c r="H33" s="7">
        <v>0</v>
      </c>
    </row>
    <row r="34" spans="1:8">
      <c r="A34" s="4" t="s">
        <v>42</v>
      </c>
      <c r="B34" s="4" t="s">
        <v>43</v>
      </c>
      <c r="C34" s="4" t="s">
        <v>826</v>
      </c>
      <c r="D34" s="4" t="s">
        <v>829</v>
      </c>
      <c r="E34" s="6">
        <v>43844</v>
      </c>
      <c r="F34" s="7">
        <v>-25</v>
      </c>
      <c r="G34" s="7">
        <v>-253.23000000000002</v>
      </c>
      <c r="H34" s="7">
        <v>0</v>
      </c>
    </row>
    <row r="35" spans="1:8">
      <c r="A35" s="4" t="s">
        <v>42</v>
      </c>
      <c r="B35" s="4" t="s">
        <v>43</v>
      </c>
      <c r="C35" s="4" t="s">
        <v>826</v>
      </c>
      <c r="D35" s="4" t="s">
        <v>830</v>
      </c>
      <c r="E35" s="6">
        <v>43844</v>
      </c>
      <c r="F35" s="7">
        <v>-25</v>
      </c>
      <c r="G35" s="7">
        <v>-253.24</v>
      </c>
      <c r="H35" s="7">
        <v>0</v>
      </c>
    </row>
    <row r="36" spans="1:8">
      <c r="A36" s="4" t="s">
        <v>42</v>
      </c>
      <c r="B36" s="4" t="s">
        <v>43</v>
      </c>
      <c r="C36" s="4" t="s">
        <v>826</v>
      </c>
      <c r="D36" s="4" t="s">
        <v>831</v>
      </c>
      <c r="E36" s="6">
        <v>43844</v>
      </c>
      <c r="F36" s="7">
        <v>-25</v>
      </c>
      <c r="G36" s="7">
        <v>-253.23000000000002</v>
      </c>
      <c r="H36" s="7">
        <v>0</v>
      </c>
    </row>
    <row r="37" spans="1:8">
      <c r="A37" s="4" t="s">
        <v>42</v>
      </c>
      <c r="B37" s="4" t="s">
        <v>43</v>
      </c>
      <c r="C37" s="4" t="s">
        <v>826</v>
      </c>
      <c r="D37" s="4" t="s">
        <v>832</v>
      </c>
      <c r="E37" s="6">
        <v>43844</v>
      </c>
      <c r="F37" s="7">
        <v>-35</v>
      </c>
      <c r="G37" s="7">
        <v>-354.53000000000003</v>
      </c>
      <c r="H37" s="7">
        <v>0</v>
      </c>
    </row>
    <row r="38" spans="1:8">
      <c r="A38" s="4" t="s">
        <v>42</v>
      </c>
      <c r="B38" s="4" t="s">
        <v>43</v>
      </c>
      <c r="C38" s="4" t="s">
        <v>784</v>
      </c>
      <c r="D38" s="4" t="s">
        <v>833</v>
      </c>
      <c r="E38" s="6">
        <v>43844</v>
      </c>
      <c r="F38" s="7">
        <v>-1</v>
      </c>
      <c r="G38" s="7">
        <v>0</v>
      </c>
      <c r="H38" s="7">
        <v>0</v>
      </c>
    </row>
    <row r="39" spans="1:8">
      <c r="A39" s="4" t="s">
        <v>78</v>
      </c>
      <c r="B39" s="4" t="s">
        <v>79</v>
      </c>
      <c r="C39" s="4" t="s">
        <v>834</v>
      </c>
      <c r="D39" s="4" t="s">
        <v>835</v>
      </c>
      <c r="E39" s="6">
        <v>43857</v>
      </c>
      <c r="F39" s="7">
        <v>-1100</v>
      </c>
      <c r="G39" s="7">
        <v>-6522.63</v>
      </c>
      <c r="H39" s="7">
        <v>0</v>
      </c>
    </row>
    <row r="40" spans="1:8">
      <c r="A40" s="4" t="s">
        <v>78</v>
      </c>
      <c r="B40" s="4" t="s">
        <v>106</v>
      </c>
      <c r="C40" s="4" t="s">
        <v>797</v>
      </c>
      <c r="D40" s="4" t="s">
        <v>836</v>
      </c>
      <c r="E40" s="6">
        <v>43861</v>
      </c>
      <c r="F40" s="7">
        <v>-1000</v>
      </c>
      <c r="G40" s="7">
        <v>-8812.7199999999993</v>
      </c>
      <c r="H40" s="7">
        <v>0</v>
      </c>
    </row>
    <row r="41" spans="1:8">
      <c r="A41" s="4" t="s">
        <v>78</v>
      </c>
      <c r="B41" s="4" t="s">
        <v>106</v>
      </c>
      <c r="C41" s="4" t="s">
        <v>793</v>
      </c>
      <c r="D41" s="4" t="s">
        <v>837</v>
      </c>
      <c r="E41" s="6">
        <v>43861</v>
      </c>
      <c r="F41" s="7">
        <v>-200</v>
      </c>
      <c r="G41" s="7">
        <v>-1867.38</v>
      </c>
      <c r="H41" s="7">
        <v>0</v>
      </c>
    </row>
    <row r="42" spans="1:8">
      <c r="A42" s="4" t="s">
        <v>78</v>
      </c>
      <c r="B42" s="4" t="s">
        <v>106</v>
      </c>
      <c r="C42" s="4" t="s">
        <v>795</v>
      </c>
      <c r="D42" s="4" t="s">
        <v>838</v>
      </c>
      <c r="E42" s="6">
        <v>43861</v>
      </c>
      <c r="F42" s="7">
        <v>-289</v>
      </c>
      <c r="G42" s="7">
        <v>-1637.93</v>
      </c>
      <c r="H42" s="7">
        <v>0.01</v>
      </c>
    </row>
    <row r="43" spans="1:8">
      <c r="A43" s="4" t="s">
        <v>39</v>
      </c>
      <c r="B43" s="4" t="s">
        <v>40</v>
      </c>
      <c r="C43" s="4" t="s">
        <v>826</v>
      </c>
      <c r="D43" s="4" t="s">
        <v>839</v>
      </c>
      <c r="E43" s="6">
        <v>43844</v>
      </c>
      <c r="F43" s="7">
        <v>-1</v>
      </c>
      <c r="G43" s="7">
        <v>-10.130000000000001</v>
      </c>
      <c r="H43" s="7">
        <v>0</v>
      </c>
    </row>
    <row r="44" spans="1:8">
      <c r="A44" s="4" t="s">
        <v>39</v>
      </c>
      <c r="B44" s="4" t="s">
        <v>40</v>
      </c>
      <c r="C44" s="4" t="s">
        <v>840</v>
      </c>
      <c r="D44" s="4" t="s">
        <v>841</v>
      </c>
      <c r="E44" s="6">
        <v>43844</v>
      </c>
      <c r="F44" s="7">
        <v>-1</v>
      </c>
      <c r="G44" s="7">
        <v>0</v>
      </c>
      <c r="H44" s="7">
        <v>0</v>
      </c>
    </row>
    <row r="45" spans="1:8">
      <c r="A45" s="4" t="s">
        <v>39</v>
      </c>
      <c r="B45" s="4" t="s">
        <v>40</v>
      </c>
      <c r="C45" s="4" t="s">
        <v>784</v>
      </c>
      <c r="D45" s="4" t="s">
        <v>842</v>
      </c>
      <c r="E45" s="6">
        <v>43844</v>
      </c>
      <c r="F45" s="7">
        <v>-1</v>
      </c>
      <c r="G45" s="7">
        <v>0</v>
      </c>
      <c r="H45" s="7">
        <v>0</v>
      </c>
    </row>
    <row r="46" spans="1:8">
      <c r="A46" s="4" t="s">
        <v>27</v>
      </c>
      <c r="B46" s="4" t="s">
        <v>28</v>
      </c>
      <c r="C46" s="4" t="s">
        <v>843</v>
      </c>
      <c r="D46" s="4" t="s">
        <v>844</v>
      </c>
      <c r="E46" s="6">
        <v>43839</v>
      </c>
      <c r="F46" s="7">
        <v>-20</v>
      </c>
      <c r="G46" s="7">
        <v>-143.99</v>
      </c>
      <c r="H46" s="7">
        <v>0</v>
      </c>
    </row>
    <row r="47" spans="1:8">
      <c r="A47" s="4" t="s">
        <v>27</v>
      </c>
      <c r="B47" s="4" t="s">
        <v>28</v>
      </c>
      <c r="C47" s="4" t="s">
        <v>784</v>
      </c>
      <c r="D47" s="4" t="s">
        <v>845</v>
      </c>
      <c r="E47" s="6">
        <v>43839</v>
      </c>
      <c r="F47" s="7">
        <v>-1</v>
      </c>
      <c r="G47" s="7">
        <v>0</v>
      </c>
      <c r="H47" s="7">
        <v>0</v>
      </c>
    </row>
    <row r="48" spans="1:8">
      <c r="A48" s="4" t="s">
        <v>16</v>
      </c>
      <c r="B48" s="4" t="s">
        <v>17</v>
      </c>
      <c r="C48" s="4" t="s">
        <v>813</v>
      </c>
      <c r="D48" s="4" t="s">
        <v>846</v>
      </c>
      <c r="E48" s="6">
        <v>43838</v>
      </c>
      <c r="F48" s="7">
        <v>-30</v>
      </c>
      <c r="G48" s="7">
        <v>-28.99</v>
      </c>
      <c r="H48" s="7">
        <v>0.01</v>
      </c>
    </row>
    <row r="49" spans="1:8">
      <c r="A49" s="4" t="s">
        <v>16</v>
      </c>
      <c r="B49" s="4" t="s">
        <v>17</v>
      </c>
      <c r="C49" s="4" t="s">
        <v>847</v>
      </c>
      <c r="D49" s="4" t="s">
        <v>848</v>
      </c>
      <c r="E49" s="6">
        <v>43838</v>
      </c>
      <c r="F49" s="7">
        <v>-30</v>
      </c>
      <c r="G49" s="7">
        <v>-57.46</v>
      </c>
      <c r="H49" s="7">
        <v>0</v>
      </c>
    </row>
    <row r="50" spans="1:8">
      <c r="A50" s="4" t="s">
        <v>16</v>
      </c>
      <c r="B50" s="4" t="s">
        <v>17</v>
      </c>
      <c r="C50" s="4" t="s">
        <v>849</v>
      </c>
      <c r="D50" s="4" t="s">
        <v>850</v>
      </c>
      <c r="E50" s="6">
        <v>43838</v>
      </c>
      <c r="F50" s="7">
        <v>-30</v>
      </c>
      <c r="G50" s="7">
        <v>-114.92</v>
      </c>
      <c r="H50" s="7">
        <v>0</v>
      </c>
    </row>
    <row r="51" spans="1:8">
      <c r="A51" s="4" t="s">
        <v>16</v>
      </c>
      <c r="B51" s="4" t="s">
        <v>17</v>
      </c>
      <c r="C51" s="4" t="s">
        <v>851</v>
      </c>
      <c r="D51" s="4" t="s">
        <v>852</v>
      </c>
      <c r="E51" s="6">
        <v>43838</v>
      </c>
      <c r="F51" s="7">
        <v>-5</v>
      </c>
      <c r="G51" s="7">
        <v>-6.24</v>
      </c>
      <c r="H51" s="7">
        <v>0</v>
      </c>
    </row>
    <row r="52" spans="1:8">
      <c r="A52" s="4" t="s">
        <v>16</v>
      </c>
      <c r="B52" s="4" t="s">
        <v>17</v>
      </c>
      <c r="C52" s="4" t="s">
        <v>853</v>
      </c>
      <c r="D52" s="4" t="s">
        <v>854</v>
      </c>
      <c r="E52" s="6">
        <v>43838</v>
      </c>
      <c r="F52" s="7">
        <v>-5</v>
      </c>
      <c r="G52" s="7">
        <v>-7.42</v>
      </c>
      <c r="H52" s="7">
        <v>0</v>
      </c>
    </row>
    <row r="53" spans="1:8">
      <c r="A53" s="4" t="s">
        <v>16</v>
      </c>
      <c r="B53" s="4" t="s">
        <v>17</v>
      </c>
      <c r="C53" s="4" t="s">
        <v>855</v>
      </c>
      <c r="D53" s="4" t="s">
        <v>856</v>
      </c>
      <c r="E53" s="6">
        <v>43838</v>
      </c>
      <c r="F53" s="7">
        <v>-100</v>
      </c>
      <c r="G53" s="7">
        <v>-122.50999999999999</v>
      </c>
      <c r="H53" s="7">
        <v>0</v>
      </c>
    </row>
    <row r="54" spans="1:8">
      <c r="A54" s="4" t="s">
        <v>16</v>
      </c>
      <c r="B54" s="4" t="s">
        <v>17</v>
      </c>
      <c r="C54" s="4" t="s">
        <v>821</v>
      </c>
      <c r="D54" s="4" t="s">
        <v>857</v>
      </c>
      <c r="E54" s="6">
        <v>43838</v>
      </c>
      <c r="F54" s="7">
        <v>-100</v>
      </c>
      <c r="G54" s="7">
        <v>-245.01999999999998</v>
      </c>
      <c r="H54" s="7">
        <v>0</v>
      </c>
    </row>
    <row r="55" spans="1:8">
      <c r="A55" s="4" t="s">
        <v>16</v>
      </c>
      <c r="B55" s="4" t="s">
        <v>17</v>
      </c>
      <c r="C55" s="4" t="s">
        <v>858</v>
      </c>
      <c r="D55" s="4" t="s">
        <v>859</v>
      </c>
      <c r="E55" s="6">
        <v>43838</v>
      </c>
      <c r="F55" s="7">
        <v>-30</v>
      </c>
      <c r="G55" s="7">
        <v>-61.4</v>
      </c>
      <c r="H55" s="7">
        <v>0</v>
      </c>
    </row>
    <row r="56" spans="1:8">
      <c r="A56" s="4" t="s">
        <v>16</v>
      </c>
      <c r="B56" s="4" t="s">
        <v>17</v>
      </c>
      <c r="C56" s="4" t="s">
        <v>860</v>
      </c>
      <c r="D56" s="4" t="s">
        <v>861</v>
      </c>
      <c r="E56" s="6">
        <v>43838</v>
      </c>
      <c r="F56" s="7">
        <v>-30</v>
      </c>
      <c r="G56" s="7">
        <v>-79.52</v>
      </c>
      <c r="H56" s="7">
        <v>0</v>
      </c>
    </row>
    <row r="57" spans="1:8">
      <c r="A57" s="4" t="s">
        <v>16</v>
      </c>
      <c r="B57" s="4" t="s">
        <v>17</v>
      </c>
      <c r="C57" s="4" t="s">
        <v>862</v>
      </c>
      <c r="D57" s="4" t="s">
        <v>863</v>
      </c>
      <c r="E57" s="6">
        <v>43838</v>
      </c>
      <c r="F57" s="7">
        <v>-30</v>
      </c>
      <c r="G57" s="7">
        <v>-87.89</v>
      </c>
      <c r="H57" s="7">
        <v>-0.01</v>
      </c>
    </row>
    <row r="58" spans="1:8">
      <c r="A58" s="4" t="s">
        <v>16</v>
      </c>
      <c r="B58" s="4" t="s">
        <v>17</v>
      </c>
      <c r="C58" s="4" t="s">
        <v>784</v>
      </c>
      <c r="D58" s="4" t="s">
        <v>864</v>
      </c>
      <c r="E58" s="6">
        <v>43838</v>
      </c>
      <c r="F58" s="7">
        <v>-1</v>
      </c>
      <c r="G58" s="7">
        <v>0</v>
      </c>
      <c r="H58" s="7">
        <v>0</v>
      </c>
    </row>
    <row r="59" spans="1:8">
      <c r="A59" s="4" t="s">
        <v>19</v>
      </c>
      <c r="B59" s="4" t="s">
        <v>20</v>
      </c>
      <c r="C59" s="4" t="s">
        <v>865</v>
      </c>
      <c r="D59" s="4" t="s">
        <v>866</v>
      </c>
      <c r="E59" s="6">
        <v>43838</v>
      </c>
      <c r="F59" s="7">
        <v>-5</v>
      </c>
      <c r="G59" s="7">
        <v>-30.95</v>
      </c>
      <c r="H59" s="7">
        <v>0</v>
      </c>
    </row>
    <row r="60" spans="1:8">
      <c r="A60" s="4" t="s">
        <v>19</v>
      </c>
      <c r="B60" s="4" t="s">
        <v>20</v>
      </c>
      <c r="C60" s="4" t="s">
        <v>867</v>
      </c>
      <c r="D60" s="4" t="s">
        <v>868</v>
      </c>
      <c r="E60" s="6">
        <v>43838</v>
      </c>
      <c r="F60" s="7">
        <v>-10</v>
      </c>
      <c r="G60" s="7">
        <v>-9.02</v>
      </c>
      <c r="H60" s="7">
        <v>0</v>
      </c>
    </row>
    <row r="61" spans="1:8">
      <c r="A61" s="4" t="s">
        <v>19</v>
      </c>
      <c r="B61" s="4" t="s">
        <v>20</v>
      </c>
      <c r="C61" s="4" t="s">
        <v>869</v>
      </c>
      <c r="D61" s="4" t="s">
        <v>870</v>
      </c>
      <c r="E61" s="6">
        <v>43838</v>
      </c>
      <c r="F61" s="7">
        <v>-6</v>
      </c>
      <c r="G61" s="7">
        <v>-17.690000000000001</v>
      </c>
      <c r="H61" s="7">
        <v>0</v>
      </c>
    </row>
    <row r="62" spans="1:8">
      <c r="A62" s="4" t="s">
        <v>19</v>
      </c>
      <c r="B62" s="4" t="s">
        <v>20</v>
      </c>
      <c r="C62" s="4" t="s">
        <v>865</v>
      </c>
      <c r="D62" s="4" t="s">
        <v>871</v>
      </c>
      <c r="E62" s="6">
        <v>43838</v>
      </c>
      <c r="F62" s="7">
        <v>-8</v>
      </c>
      <c r="G62" s="7">
        <v>-49.51</v>
      </c>
      <c r="H62" s="7">
        <v>0</v>
      </c>
    </row>
    <row r="63" spans="1:8">
      <c r="A63" s="4" t="s">
        <v>19</v>
      </c>
      <c r="B63" s="4" t="s">
        <v>20</v>
      </c>
      <c r="C63" s="4" t="s">
        <v>784</v>
      </c>
      <c r="D63" s="4" t="s">
        <v>872</v>
      </c>
      <c r="E63" s="6">
        <v>43838</v>
      </c>
      <c r="F63" s="7">
        <v>-1</v>
      </c>
      <c r="G63" s="7">
        <v>0</v>
      </c>
      <c r="H63" s="7">
        <v>0</v>
      </c>
    </row>
    <row r="64" spans="1:8">
      <c r="A64" s="4" t="s">
        <v>54</v>
      </c>
      <c r="B64" s="4" t="s">
        <v>55</v>
      </c>
      <c r="C64" s="4" t="s">
        <v>873</v>
      </c>
      <c r="D64" s="4" t="s">
        <v>874</v>
      </c>
      <c r="E64" s="6">
        <v>43847</v>
      </c>
      <c r="F64" s="7">
        <v>-100</v>
      </c>
      <c r="G64" s="7">
        <v>-32.51</v>
      </c>
      <c r="H64" s="7">
        <v>0</v>
      </c>
    </row>
    <row r="65" spans="1:8">
      <c r="A65" s="4" t="s">
        <v>54</v>
      </c>
      <c r="B65" s="4" t="s">
        <v>55</v>
      </c>
      <c r="C65" s="4" t="s">
        <v>875</v>
      </c>
      <c r="D65" s="4" t="s">
        <v>876</v>
      </c>
      <c r="E65" s="6">
        <v>43847</v>
      </c>
      <c r="F65" s="7">
        <v>-50</v>
      </c>
      <c r="G65" s="7">
        <v>-17.920000000000002</v>
      </c>
      <c r="H65" s="7">
        <v>0</v>
      </c>
    </row>
    <row r="66" spans="1:8">
      <c r="A66" s="4" t="s">
        <v>54</v>
      </c>
      <c r="B66" s="4" t="s">
        <v>55</v>
      </c>
      <c r="C66" s="4" t="s">
        <v>877</v>
      </c>
      <c r="D66" s="4" t="s">
        <v>878</v>
      </c>
      <c r="E66" s="6">
        <v>43847</v>
      </c>
      <c r="F66" s="7">
        <v>-50</v>
      </c>
      <c r="G66" s="7">
        <v>-28.27</v>
      </c>
      <c r="H66" s="7">
        <v>0</v>
      </c>
    </row>
    <row r="67" spans="1:8">
      <c r="A67" s="4" t="s">
        <v>54</v>
      </c>
      <c r="B67" s="4" t="s">
        <v>55</v>
      </c>
      <c r="C67" s="4" t="s">
        <v>879</v>
      </c>
      <c r="D67" s="4" t="s">
        <v>880</v>
      </c>
      <c r="E67" s="6">
        <v>43847</v>
      </c>
      <c r="F67" s="7">
        <v>-50</v>
      </c>
      <c r="G67" s="7">
        <v>-33.26</v>
      </c>
      <c r="H67" s="7">
        <v>-0.01</v>
      </c>
    </row>
    <row r="68" spans="1:8">
      <c r="A68" s="4" t="s">
        <v>54</v>
      </c>
      <c r="B68" s="4" t="s">
        <v>55</v>
      </c>
      <c r="C68" s="4" t="s">
        <v>881</v>
      </c>
      <c r="D68" s="4" t="s">
        <v>882</v>
      </c>
      <c r="E68" s="6">
        <v>43847</v>
      </c>
      <c r="F68" s="7">
        <v>-50</v>
      </c>
      <c r="G68" s="7">
        <v>-73.25</v>
      </c>
      <c r="H68" s="7">
        <v>0</v>
      </c>
    </row>
    <row r="69" spans="1:8">
      <c r="A69" s="4" t="s">
        <v>54</v>
      </c>
      <c r="B69" s="4" t="s">
        <v>55</v>
      </c>
      <c r="C69" s="4" t="s">
        <v>883</v>
      </c>
      <c r="D69" s="4" t="s">
        <v>884</v>
      </c>
      <c r="E69" s="6">
        <v>43847</v>
      </c>
      <c r="F69" s="7">
        <v>-100</v>
      </c>
      <c r="G69" s="7">
        <v>-62.94</v>
      </c>
      <c r="H69" s="7">
        <v>0</v>
      </c>
    </row>
    <row r="70" spans="1:8">
      <c r="A70" s="4" t="s">
        <v>54</v>
      </c>
      <c r="B70" s="4" t="s">
        <v>55</v>
      </c>
      <c r="C70" s="4" t="s">
        <v>885</v>
      </c>
      <c r="D70" s="4" t="s">
        <v>886</v>
      </c>
      <c r="E70" s="6">
        <v>43847</v>
      </c>
      <c r="F70" s="7">
        <v>-50</v>
      </c>
      <c r="G70" s="7">
        <v>-179</v>
      </c>
      <c r="H70" s="7">
        <v>0</v>
      </c>
    </row>
    <row r="71" spans="1:8">
      <c r="A71" s="4" t="s">
        <v>54</v>
      </c>
      <c r="B71" s="4" t="s">
        <v>55</v>
      </c>
      <c r="C71" s="4" t="s">
        <v>887</v>
      </c>
      <c r="D71" s="4" t="s">
        <v>888</v>
      </c>
      <c r="E71" s="6">
        <v>43847</v>
      </c>
      <c r="F71" s="7">
        <v>-50</v>
      </c>
      <c r="G71" s="7">
        <v>-15.92</v>
      </c>
      <c r="H71" s="7">
        <v>0</v>
      </c>
    </row>
    <row r="72" spans="1:8">
      <c r="A72" s="4" t="s">
        <v>54</v>
      </c>
      <c r="B72" s="4" t="s">
        <v>55</v>
      </c>
      <c r="C72" s="4" t="s">
        <v>889</v>
      </c>
      <c r="D72" s="4" t="s">
        <v>890</v>
      </c>
      <c r="E72" s="6">
        <v>43847</v>
      </c>
      <c r="F72" s="7">
        <v>-100</v>
      </c>
      <c r="G72" s="7">
        <v>-34.909999999999997</v>
      </c>
      <c r="H72" s="7">
        <v>0</v>
      </c>
    </row>
    <row r="73" spans="1:8">
      <c r="A73" s="4" t="s">
        <v>54</v>
      </c>
      <c r="B73" s="4" t="s">
        <v>55</v>
      </c>
      <c r="C73" s="4" t="s">
        <v>891</v>
      </c>
      <c r="D73" s="4" t="s">
        <v>892</v>
      </c>
      <c r="E73" s="6">
        <v>43847</v>
      </c>
      <c r="F73" s="7">
        <v>-50</v>
      </c>
      <c r="G73" s="7">
        <v>-28.12</v>
      </c>
      <c r="H73" s="7">
        <v>-0.01</v>
      </c>
    </row>
    <row r="74" spans="1:8">
      <c r="A74" s="4" t="s">
        <v>54</v>
      </c>
      <c r="B74" s="4" t="s">
        <v>55</v>
      </c>
      <c r="C74" s="4" t="s">
        <v>893</v>
      </c>
      <c r="D74" s="4" t="s">
        <v>894</v>
      </c>
      <c r="E74" s="6">
        <v>43847</v>
      </c>
      <c r="F74" s="7">
        <v>-50</v>
      </c>
      <c r="G74" s="7">
        <v>-124.8</v>
      </c>
      <c r="H74" s="7">
        <v>0</v>
      </c>
    </row>
    <row r="75" spans="1:8">
      <c r="A75" s="4" t="s">
        <v>54</v>
      </c>
      <c r="B75" s="4" t="s">
        <v>55</v>
      </c>
      <c r="C75" s="4" t="s">
        <v>784</v>
      </c>
      <c r="D75" s="4" t="s">
        <v>895</v>
      </c>
      <c r="E75" s="6">
        <v>43847</v>
      </c>
      <c r="F75" s="7">
        <v>-1</v>
      </c>
      <c r="G75" s="7">
        <v>0</v>
      </c>
      <c r="H75" s="7">
        <v>0</v>
      </c>
    </row>
    <row r="76" spans="1:8">
      <c r="A76" s="4" t="s">
        <v>147</v>
      </c>
      <c r="B76" s="4" t="s">
        <v>148</v>
      </c>
      <c r="C76" s="4" t="s">
        <v>786</v>
      </c>
      <c r="D76" s="4" t="s">
        <v>896</v>
      </c>
      <c r="E76" s="6">
        <v>43873</v>
      </c>
      <c r="F76" s="7">
        <v>-1500</v>
      </c>
      <c r="G76" s="7">
        <v>-985.65</v>
      </c>
      <c r="H76" s="7">
        <v>0.01</v>
      </c>
    </row>
    <row r="77" spans="1:8">
      <c r="A77" s="4" t="s">
        <v>147</v>
      </c>
      <c r="B77" s="4" t="s">
        <v>148</v>
      </c>
      <c r="C77" s="4" t="s">
        <v>801</v>
      </c>
      <c r="D77" s="4" t="s">
        <v>897</v>
      </c>
      <c r="E77" s="6">
        <v>43873</v>
      </c>
      <c r="F77" s="7">
        <v>-1000</v>
      </c>
      <c r="G77" s="7">
        <v>-844.83999999999992</v>
      </c>
      <c r="H77" s="7">
        <v>0</v>
      </c>
    </row>
    <row r="78" spans="1:8">
      <c r="A78" s="4" t="s">
        <v>147</v>
      </c>
      <c r="B78" s="4" t="s">
        <v>148</v>
      </c>
      <c r="C78" s="4" t="s">
        <v>799</v>
      </c>
      <c r="D78" s="4" t="s">
        <v>898</v>
      </c>
      <c r="E78" s="6">
        <v>43873</v>
      </c>
      <c r="F78" s="7">
        <v>-1500</v>
      </c>
      <c r="G78" s="7">
        <v>-1126.45</v>
      </c>
      <c r="H78" s="7">
        <v>-0.01</v>
      </c>
    </row>
    <row r="79" spans="1:8">
      <c r="A79" s="4" t="s">
        <v>147</v>
      </c>
      <c r="B79" s="4" t="s">
        <v>148</v>
      </c>
      <c r="C79" s="4" t="s">
        <v>784</v>
      </c>
      <c r="D79" s="4" t="s">
        <v>899</v>
      </c>
      <c r="E79" s="6">
        <v>43873</v>
      </c>
      <c r="F79" s="7">
        <v>-1</v>
      </c>
      <c r="G79" s="7">
        <v>0</v>
      </c>
      <c r="H79" s="7">
        <v>0</v>
      </c>
    </row>
    <row r="80" spans="1:8">
      <c r="A80" s="4" t="s">
        <v>138</v>
      </c>
      <c r="B80" s="4" t="s">
        <v>139</v>
      </c>
      <c r="C80" s="4" t="s">
        <v>786</v>
      </c>
      <c r="D80" s="4" t="s">
        <v>900</v>
      </c>
      <c r="E80" s="6">
        <v>43873</v>
      </c>
      <c r="F80" s="7">
        <v>-1000</v>
      </c>
      <c r="G80" s="7">
        <v>-657.1</v>
      </c>
      <c r="H80" s="7">
        <v>0</v>
      </c>
    </row>
    <row r="81" spans="1:8">
      <c r="A81" s="4" t="s">
        <v>138</v>
      </c>
      <c r="B81" s="4" t="s">
        <v>139</v>
      </c>
      <c r="C81" s="4" t="s">
        <v>801</v>
      </c>
      <c r="D81" s="4" t="s">
        <v>901</v>
      </c>
      <c r="E81" s="6">
        <v>43873</v>
      </c>
      <c r="F81" s="7">
        <v>-1000</v>
      </c>
      <c r="G81" s="7">
        <v>-844.83999999999992</v>
      </c>
      <c r="H81" s="7">
        <v>0</v>
      </c>
    </row>
    <row r="82" spans="1:8">
      <c r="A82" s="4" t="s">
        <v>138</v>
      </c>
      <c r="B82" s="4" t="s">
        <v>139</v>
      </c>
      <c r="C82" s="4" t="s">
        <v>799</v>
      </c>
      <c r="D82" s="4" t="s">
        <v>902</v>
      </c>
      <c r="E82" s="6">
        <v>43873</v>
      </c>
      <c r="F82" s="7">
        <v>-1500</v>
      </c>
      <c r="G82" s="7">
        <v>-1126.45</v>
      </c>
      <c r="H82" s="7">
        <v>0</v>
      </c>
    </row>
    <row r="83" spans="1:8">
      <c r="A83" s="4" t="s">
        <v>138</v>
      </c>
      <c r="B83" s="4" t="s">
        <v>139</v>
      </c>
      <c r="C83" s="4" t="s">
        <v>784</v>
      </c>
      <c r="D83" s="4" t="s">
        <v>903</v>
      </c>
      <c r="E83" s="6">
        <v>43873</v>
      </c>
      <c r="F83" s="7">
        <v>-1</v>
      </c>
      <c r="G83" s="7">
        <v>0</v>
      </c>
      <c r="H83" s="7">
        <v>0</v>
      </c>
    </row>
    <row r="84" spans="1:8">
      <c r="A84" s="4" t="s">
        <v>52</v>
      </c>
      <c r="B84" s="4" t="s">
        <v>53</v>
      </c>
      <c r="C84" s="4" t="s">
        <v>904</v>
      </c>
      <c r="D84" s="4" t="s">
        <v>905</v>
      </c>
      <c r="E84" s="6">
        <v>43846</v>
      </c>
      <c r="F84" s="7">
        <v>-10</v>
      </c>
      <c r="G84" s="7">
        <v>-60.11</v>
      </c>
      <c r="H84" s="7">
        <v>-0.01</v>
      </c>
    </row>
    <row r="85" spans="1:8">
      <c r="A85" s="4" t="s">
        <v>52</v>
      </c>
      <c r="B85" s="4" t="s">
        <v>53</v>
      </c>
      <c r="C85" s="4" t="s">
        <v>906</v>
      </c>
      <c r="D85" s="4" t="s">
        <v>907</v>
      </c>
      <c r="E85" s="6">
        <v>43846</v>
      </c>
      <c r="F85" s="7">
        <v>-1</v>
      </c>
      <c r="G85" s="7">
        <v>-87.26</v>
      </c>
      <c r="H85" s="7">
        <v>0</v>
      </c>
    </row>
    <row r="86" spans="1:8">
      <c r="A86" s="4" t="s">
        <v>52</v>
      </c>
      <c r="B86" s="4" t="s">
        <v>53</v>
      </c>
      <c r="C86" s="4" t="s">
        <v>908</v>
      </c>
      <c r="D86" s="4" t="s">
        <v>909</v>
      </c>
      <c r="E86" s="6">
        <v>43846</v>
      </c>
      <c r="F86" s="7">
        <v>-100</v>
      </c>
      <c r="G86" s="7">
        <v>-38.51</v>
      </c>
      <c r="H86" s="7">
        <v>0</v>
      </c>
    </row>
    <row r="87" spans="1:8">
      <c r="A87" s="4" t="s">
        <v>52</v>
      </c>
      <c r="B87" s="4" t="s">
        <v>53</v>
      </c>
      <c r="C87" s="4" t="s">
        <v>910</v>
      </c>
      <c r="D87" s="4" t="s">
        <v>911</v>
      </c>
      <c r="E87" s="6">
        <v>43846</v>
      </c>
      <c r="F87" s="7">
        <v>-100</v>
      </c>
      <c r="G87" s="7">
        <v>-113.08</v>
      </c>
      <c r="H87" s="7">
        <v>0</v>
      </c>
    </row>
    <row r="88" spans="1:8">
      <c r="A88" s="4" t="s">
        <v>52</v>
      </c>
      <c r="B88" s="4" t="s">
        <v>53</v>
      </c>
      <c r="C88" s="4" t="s">
        <v>912</v>
      </c>
      <c r="D88" s="4" t="s">
        <v>913</v>
      </c>
      <c r="E88" s="6">
        <v>43846</v>
      </c>
      <c r="F88" s="7">
        <v>-100</v>
      </c>
      <c r="G88" s="7">
        <v>-92.88</v>
      </c>
      <c r="H88" s="7">
        <v>-0.01</v>
      </c>
    </row>
    <row r="89" spans="1:8">
      <c r="A89" s="4" t="s">
        <v>52</v>
      </c>
      <c r="B89" s="4" t="s">
        <v>53</v>
      </c>
      <c r="C89" s="4" t="s">
        <v>914</v>
      </c>
      <c r="D89" s="4" t="s">
        <v>915</v>
      </c>
      <c r="E89" s="6">
        <v>43846</v>
      </c>
      <c r="F89" s="7">
        <v>-100</v>
      </c>
      <c r="G89" s="7">
        <v>-55.83</v>
      </c>
      <c r="H89" s="7">
        <v>0.01</v>
      </c>
    </row>
    <row r="90" spans="1:8">
      <c r="A90" s="4" t="s">
        <v>52</v>
      </c>
      <c r="B90" s="4" t="s">
        <v>53</v>
      </c>
      <c r="C90" s="4" t="s">
        <v>916</v>
      </c>
      <c r="D90" s="4" t="s">
        <v>917</v>
      </c>
      <c r="E90" s="6">
        <v>43846</v>
      </c>
      <c r="F90" s="7">
        <v>-100</v>
      </c>
      <c r="G90" s="7">
        <v>-29.62</v>
      </c>
      <c r="H90" s="7">
        <v>0</v>
      </c>
    </row>
    <row r="91" spans="1:8">
      <c r="A91" s="4" t="s">
        <v>52</v>
      </c>
      <c r="B91" s="4" t="s">
        <v>53</v>
      </c>
      <c r="C91" s="4" t="s">
        <v>817</v>
      </c>
      <c r="D91" s="4" t="s">
        <v>918</v>
      </c>
      <c r="E91" s="6">
        <v>43846</v>
      </c>
      <c r="F91" s="7">
        <v>-100</v>
      </c>
      <c r="G91" s="7">
        <v>-77.510000000000005</v>
      </c>
      <c r="H91" s="7">
        <v>0</v>
      </c>
    </row>
    <row r="92" spans="1:8">
      <c r="A92" s="4" t="s">
        <v>52</v>
      </c>
      <c r="B92" s="4" t="s">
        <v>53</v>
      </c>
      <c r="C92" s="4" t="s">
        <v>784</v>
      </c>
      <c r="D92" s="4" t="s">
        <v>919</v>
      </c>
      <c r="E92" s="6">
        <v>43846</v>
      </c>
      <c r="F92" s="7">
        <v>-1</v>
      </c>
      <c r="G92" s="7">
        <v>0</v>
      </c>
      <c r="H92" s="7">
        <v>0</v>
      </c>
    </row>
    <row r="93" spans="1:8">
      <c r="A93" s="4" t="s">
        <v>66</v>
      </c>
      <c r="B93" s="4" t="s">
        <v>67</v>
      </c>
      <c r="C93" s="4" t="s">
        <v>920</v>
      </c>
      <c r="D93" s="4" t="s">
        <v>921</v>
      </c>
      <c r="E93" s="6">
        <v>43854</v>
      </c>
      <c r="F93" s="7">
        <v>-2400</v>
      </c>
      <c r="G93" s="7">
        <v>-1472.65</v>
      </c>
      <c r="H93" s="7">
        <v>0.01</v>
      </c>
    </row>
    <row r="94" spans="1:8">
      <c r="A94" s="4" t="s">
        <v>66</v>
      </c>
      <c r="B94" s="4" t="s">
        <v>67</v>
      </c>
      <c r="C94" s="4" t="s">
        <v>920</v>
      </c>
      <c r="D94" s="4" t="s">
        <v>921</v>
      </c>
      <c r="E94" s="6">
        <v>43854</v>
      </c>
      <c r="F94" s="7">
        <v>-2200</v>
      </c>
      <c r="G94" s="7">
        <v>-1349.93</v>
      </c>
      <c r="H94" s="7">
        <v>0</v>
      </c>
    </row>
    <row r="95" spans="1:8">
      <c r="A95" s="4" t="s">
        <v>66</v>
      </c>
      <c r="B95" s="4" t="s">
        <v>67</v>
      </c>
      <c r="C95" s="4" t="s">
        <v>920</v>
      </c>
      <c r="D95" s="4" t="s">
        <v>921</v>
      </c>
      <c r="E95" s="6">
        <v>43854</v>
      </c>
      <c r="F95" s="7">
        <v>-1560</v>
      </c>
      <c r="G95" s="7">
        <v>-957.22</v>
      </c>
      <c r="H95" s="7">
        <v>0</v>
      </c>
    </row>
    <row r="96" spans="1:8">
      <c r="A96" s="4" t="s">
        <v>30</v>
      </c>
      <c r="B96" s="4" t="s">
        <v>31</v>
      </c>
      <c r="C96" s="4" t="s">
        <v>922</v>
      </c>
      <c r="D96" s="4" t="s">
        <v>923</v>
      </c>
      <c r="E96" s="6">
        <v>43840</v>
      </c>
      <c r="F96" s="7">
        <v>-200</v>
      </c>
      <c r="G96" s="7">
        <v>-251.76</v>
      </c>
      <c r="H96" s="7">
        <v>0</v>
      </c>
    </row>
    <row r="97" spans="1:8">
      <c r="A97" s="4" t="s">
        <v>30</v>
      </c>
      <c r="B97" s="4" t="s">
        <v>31</v>
      </c>
      <c r="C97" s="4" t="s">
        <v>784</v>
      </c>
      <c r="D97" s="4" t="s">
        <v>924</v>
      </c>
      <c r="E97" s="6">
        <v>43840</v>
      </c>
      <c r="F97" s="7">
        <v>-1</v>
      </c>
      <c r="G97" s="7">
        <v>0</v>
      </c>
      <c r="H97" s="7">
        <v>0</v>
      </c>
    </row>
    <row r="98" spans="1:8">
      <c r="A98" s="4" t="s">
        <v>92</v>
      </c>
      <c r="B98" s="4" t="s">
        <v>93</v>
      </c>
      <c r="C98" s="4" t="s">
        <v>925</v>
      </c>
      <c r="D98" s="4" t="s">
        <v>926</v>
      </c>
      <c r="E98" s="6">
        <v>43858</v>
      </c>
      <c r="F98" s="7">
        <v>-500</v>
      </c>
      <c r="G98" s="7">
        <v>-57.95</v>
      </c>
      <c r="H98" s="7">
        <v>0</v>
      </c>
    </row>
    <row r="99" spans="1:8">
      <c r="A99" s="4" t="s">
        <v>92</v>
      </c>
      <c r="B99" s="4" t="s">
        <v>93</v>
      </c>
      <c r="C99" s="4" t="s">
        <v>784</v>
      </c>
      <c r="D99" s="4" t="s">
        <v>927</v>
      </c>
      <c r="E99" s="6">
        <v>43858</v>
      </c>
      <c r="F99" s="7">
        <v>-1</v>
      </c>
      <c r="G99" s="7">
        <v>0</v>
      </c>
      <c r="H99" s="7">
        <v>0</v>
      </c>
    </row>
    <row r="100" spans="1:8">
      <c r="A100" s="4" t="s">
        <v>30</v>
      </c>
      <c r="B100" s="4" t="s">
        <v>31</v>
      </c>
      <c r="C100" s="4" t="s">
        <v>928</v>
      </c>
      <c r="D100" s="4" t="s">
        <v>929</v>
      </c>
      <c r="E100" s="6">
        <v>43840</v>
      </c>
      <c r="F100" s="7">
        <v>-50</v>
      </c>
      <c r="G100" s="7">
        <v>-207.29000000000002</v>
      </c>
      <c r="H100" s="7">
        <v>0.01</v>
      </c>
    </row>
    <row r="101" spans="1:8">
      <c r="A101" s="4" t="s">
        <v>33</v>
      </c>
      <c r="B101" s="4" t="s">
        <v>34</v>
      </c>
      <c r="C101" s="4" t="s">
        <v>930</v>
      </c>
      <c r="D101" s="4" t="s">
        <v>931</v>
      </c>
      <c r="E101" s="6">
        <v>43840</v>
      </c>
      <c r="F101" s="7">
        <v>-100</v>
      </c>
      <c r="G101" s="7">
        <v>-24.91</v>
      </c>
      <c r="H101" s="7">
        <v>0</v>
      </c>
    </row>
    <row r="102" spans="1:8">
      <c r="A102" s="4" t="s">
        <v>33</v>
      </c>
      <c r="B102" s="4" t="s">
        <v>34</v>
      </c>
      <c r="C102" s="4" t="s">
        <v>932</v>
      </c>
      <c r="D102" s="4" t="s">
        <v>933</v>
      </c>
      <c r="E102" s="6">
        <v>43840</v>
      </c>
      <c r="F102" s="7">
        <v>-120</v>
      </c>
      <c r="G102" s="7">
        <v>-35.29</v>
      </c>
      <c r="H102" s="7">
        <v>-0.01</v>
      </c>
    </row>
    <row r="103" spans="1:8">
      <c r="A103" s="4" t="s">
        <v>33</v>
      </c>
      <c r="B103" s="4" t="s">
        <v>34</v>
      </c>
      <c r="C103" s="4" t="s">
        <v>934</v>
      </c>
      <c r="D103" s="4" t="s">
        <v>935</v>
      </c>
      <c r="E103" s="6">
        <v>43840</v>
      </c>
      <c r="F103" s="7">
        <v>-100</v>
      </c>
      <c r="G103" s="7">
        <v>-32.31</v>
      </c>
      <c r="H103" s="7">
        <v>0</v>
      </c>
    </row>
    <row r="104" spans="1:8">
      <c r="A104" s="4" t="s">
        <v>33</v>
      </c>
      <c r="B104" s="4" t="s">
        <v>34</v>
      </c>
      <c r="C104" s="4" t="s">
        <v>936</v>
      </c>
      <c r="D104" s="4" t="s">
        <v>937</v>
      </c>
      <c r="E104" s="6">
        <v>43840</v>
      </c>
      <c r="F104" s="7">
        <v>-100</v>
      </c>
      <c r="G104" s="7">
        <v>-38.75</v>
      </c>
      <c r="H104" s="7">
        <v>-0.01</v>
      </c>
    </row>
    <row r="105" spans="1:8">
      <c r="A105" s="4" t="s">
        <v>33</v>
      </c>
      <c r="B105" s="4" t="s">
        <v>34</v>
      </c>
      <c r="C105" s="4" t="s">
        <v>873</v>
      </c>
      <c r="D105" s="4" t="s">
        <v>938</v>
      </c>
      <c r="E105" s="6">
        <v>43840</v>
      </c>
      <c r="F105" s="7">
        <v>-50</v>
      </c>
      <c r="G105" s="7">
        <v>-16.260000000000002</v>
      </c>
      <c r="H105" s="7">
        <v>0.01</v>
      </c>
    </row>
    <row r="106" spans="1:8">
      <c r="A106" s="4" t="s">
        <v>33</v>
      </c>
      <c r="B106" s="4" t="s">
        <v>34</v>
      </c>
      <c r="C106" s="4" t="s">
        <v>784</v>
      </c>
      <c r="D106" s="4" t="s">
        <v>939</v>
      </c>
      <c r="E106" s="6">
        <v>43840</v>
      </c>
      <c r="F106" s="7">
        <v>-1</v>
      </c>
      <c r="G106" s="7">
        <v>0</v>
      </c>
      <c r="H106" s="7">
        <v>0</v>
      </c>
    </row>
    <row r="107" spans="1:8">
      <c r="A107" s="4" t="s">
        <v>47</v>
      </c>
      <c r="B107" s="4" t="s">
        <v>48</v>
      </c>
      <c r="C107" s="4" t="s">
        <v>940</v>
      </c>
      <c r="D107" s="4" t="s">
        <v>941</v>
      </c>
      <c r="E107" s="6">
        <v>43846</v>
      </c>
      <c r="F107" s="7">
        <v>-100</v>
      </c>
      <c r="G107" s="7">
        <v>-48.31</v>
      </c>
      <c r="H107" s="7">
        <v>0</v>
      </c>
    </row>
    <row r="108" spans="1:8">
      <c r="A108" s="4" t="s">
        <v>47</v>
      </c>
      <c r="B108" s="4" t="s">
        <v>48</v>
      </c>
      <c r="C108" s="4" t="s">
        <v>942</v>
      </c>
      <c r="D108" s="4" t="s">
        <v>943</v>
      </c>
      <c r="E108" s="6">
        <v>43846</v>
      </c>
      <c r="F108" s="7">
        <v>-100</v>
      </c>
      <c r="G108" s="7">
        <v>-83.9</v>
      </c>
      <c r="H108" s="7">
        <v>0</v>
      </c>
    </row>
    <row r="109" spans="1:8">
      <c r="A109" s="4" t="s">
        <v>47</v>
      </c>
      <c r="B109" s="4" t="s">
        <v>48</v>
      </c>
      <c r="C109" s="4" t="s">
        <v>944</v>
      </c>
      <c r="D109" s="4" t="s">
        <v>945</v>
      </c>
      <c r="E109" s="6">
        <v>43846</v>
      </c>
      <c r="F109" s="7">
        <v>-100</v>
      </c>
      <c r="G109" s="7">
        <v>-117.65</v>
      </c>
      <c r="H109" s="7">
        <v>0</v>
      </c>
    </row>
    <row r="110" spans="1:8">
      <c r="A110" s="4" t="s">
        <v>47</v>
      </c>
      <c r="B110" s="4" t="s">
        <v>48</v>
      </c>
      <c r="C110" s="4" t="s">
        <v>851</v>
      </c>
      <c r="D110" s="4" t="s">
        <v>946</v>
      </c>
      <c r="E110" s="6">
        <v>43846</v>
      </c>
      <c r="F110" s="7">
        <v>-100</v>
      </c>
      <c r="G110" s="7">
        <v>-124.8</v>
      </c>
      <c r="H110" s="7">
        <v>0</v>
      </c>
    </row>
    <row r="111" spans="1:8">
      <c r="A111" s="4" t="s">
        <v>47</v>
      </c>
      <c r="B111" s="4" t="s">
        <v>48</v>
      </c>
      <c r="C111" s="4" t="s">
        <v>887</v>
      </c>
      <c r="D111" s="4" t="s">
        <v>947</v>
      </c>
      <c r="E111" s="6">
        <v>43846</v>
      </c>
      <c r="F111" s="7">
        <v>-150</v>
      </c>
      <c r="G111" s="7">
        <v>-47.75</v>
      </c>
      <c r="H111" s="7">
        <v>-0.01</v>
      </c>
    </row>
    <row r="112" spans="1:8">
      <c r="A112" s="4" t="s">
        <v>47</v>
      </c>
      <c r="B112" s="4" t="s">
        <v>48</v>
      </c>
      <c r="C112" s="4" t="s">
        <v>887</v>
      </c>
      <c r="D112" s="4" t="s">
        <v>948</v>
      </c>
      <c r="E112" s="6">
        <v>43846</v>
      </c>
      <c r="F112" s="7">
        <v>-100</v>
      </c>
      <c r="G112" s="7">
        <v>-31.84</v>
      </c>
      <c r="H112" s="7">
        <v>0.01</v>
      </c>
    </row>
    <row r="113" spans="1:8">
      <c r="A113" s="4" t="s">
        <v>47</v>
      </c>
      <c r="B113" s="4" t="s">
        <v>48</v>
      </c>
      <c r="C113" s="4" t="s">
        <v>949</v>
      </c>
      <c r="D113" s="4" t="s">
        <v>950</v>
      </c>
      <c r="E113" s="6">
        <v>43846</v>
      </c>
      <c r="F113" s="7">
        <v>-50</v>
      </c>
      <c r="G113" s="7">
        <v>-14.25</v>
      </c>
      <c r="H113" s="7">
        <v>0</v>
      </c>
    </row>
    <row r="114" spans="1:8">
      <c r="A114" s="4" t="s">
        <v>47</v>
      </c>
      <c r="B114" s="4" t="s">
        <v>48</v>
      </c>
      <c r="C114" s="4" t="s">
        <v>867</v>
      </c>
      <c r="D114" s="4" t="s">
        <v>951</v>
      </c>
      <c r="E114" s="6">
        <v>43846</v>
      </c>
      <c r="F114" s="7">
        <v>-50</v>
      </c>
      <c r="G114" s="7">
        <v>-45.1</v>
      </c>
      <c r="H114" s="7">
        <v>0</v>
      </c>
    </row>
    <row r="115" spans="1:8">
      <c r="A115" s="4" t="s">
        <v>47</v>
      </c>
      <c r="B115" s="4" t="s">
        <v>48</v>
      </c>
      <c r="C115" s="4" t="s">
        <v>952</v>
      </c>
      <c r="D115" s="4" t="s">
        <v>953</v>
      </c>
      <c r="E115" s="6">
        <v>43846</v>
      </c>
      <c r="F115" s="7">
        <v>-50</v>
      </c>
      <c r="G115" s="7">
        <v>-26.08</v>
      </c>
      <c r="H115" s="7">
        <v>0</v>
      </c>
    </row>
    <row r="116" spans="1:8">
      <c r="A116" s="4" t="s">
        <v>47</v>
      </c>
      <c r="B116" s="4" t="s">
        <v>48</v>
      </c>
      <c r="C116" s="4" t="s">
        <v>784</v>
      </c>
      <c r="D116" s="4" t="s">
        <v>954</v>
      </c>
      <c r="E116" s="6">
        <v>43846</v>
      </c>
      <c r="F116" s="7">
        <v>-1</v>
      </c>
      <c r="G116" s="7">
        <v>0</v>
      </c>
      <c r="H116" s="7">
        <v>0</v>
      </c>
    </row>
    <row r="117" spans="1:8">
      <c r="A117" s="4" t="s">
        <v>81</v>
      </c>
      <c r="B117" s="4" t="s">
        <v>82</v>
      </c>
      <c r="C117" s="4" t="s">
        <v>955</v>
      </c>
      <c r="D117" s="4" t="s">
        <v>956</v>
      </c>
      <c r="E117" s="6">
        <v>43857</v>
      </c>
      <c r="F117" s="7">
        <v>-10</v>
      </c>
      <c r="G117" s="7">
        <v>-3.6799999999999997</v>
      </c>
      <c r="H117" s="7">
        <v>0.01</v>
      </c>
    </row>
    <row r="118" spans="1:8">
      <c r="A118" s="4" t="s">
        <v>81</v>
      </c>
      <c r="B118" s="4" t="s">
        <v>82</v>
      </c>
      <c r="C118" s="4" t="s">
        <v>957</v>
      </c>
      <c r="D118" s="4" t="s">
        <v>958</v>
      </c>
      <c r="E118" s="6">
        <v>43857</v>
      </c>
      <c r="F118" s="7">
        <v>-2</v>
      </c>
      <c r="G118" s="7">
        <v>-1.8</v>
      </c>
      <c r="H118" s="7">
        <v>0</v>
      </c>
    </row>
    <row r="119" spans="1:8">
      <c r="A119" s="4" t="s">
        <v>81</v>
      </c>
      <c r="B119" s="4" t="s">
        <v>82</v>
      </c>
      <c r="C119" s="4" t="s">
        <v>959</v>
      </c>
      <c r="D119" s="4" t="s">
        <v>960</v>
      </c>
      <c r="E119" s="6">
        <v>43857</v>
      </c>
      <c r="F119" s="7">
        <v>-3</v>
      </c>
      <c r="G119" s="7">
        <v>-5.2299999999999995</v>
      </c>
      <c r="H119" s="7">
        <v>0</v>
      </c>
    </row>
    <row r="120" spans="1:8">
      <c r="A120" s="4" t="s">
        <v>99</v>
      </c>
      <c r="B120" s="4" t="s">
        <v>100</v>
      </c>
      <c r="C120" s="4" t="s">
        <v>961</v>
      </c>
      <c r="D120" s="4" t="s">
        <v>962</v>
      </c>
      <c r="E120" s="6">
        <v>43859</v>
      </c>
      <c r="F120" s="7">
        <v>-100</v>
      </c>
      <c r="G120" s="7">
        <v>-1495.18</v>
      </c>
      <c r="H120" s="7">
        <v>0</v>
      </c>
    </row>
    <row r="121" spans="1:8">
      <c r="A121" s="4" t="s">
        <v>99</v>
      </c>
      <c r="B121" s="4" t="s">
        <v>100</v>
      </c>
      <c r="C121" s="4" t="s">
        <v>784</v>
      </c>
      <c r="D121" s="4" t="s">
        <v>963</v>
      </c>
      <c r="E121" s="6">
        <v>43859</v>
      </c>
      <c r="F121" s="7">
        <v>-1</v>
      </c>
      <c r="G121" s="7">
        <v>0</v>
      </c>
      <c r="H121" s="7">
        <v>0</v>
      </c>
    </row>
    <row r="122" spans="1:8">
      <c r="A122" s="4" t="s">
        <v>744</v>
      </c>
      <c r="B122" s="4" t="s">
        <v>745</v>
      </c>
      <c r="C122" s="4" t="s">
        <v>964</v>
      </c>
      <c r="D122" s="4" t="s">
        <v>965</v>
      </c>
      <c r="E122" s="6">
        <v>43847</v>
      </c>
      <c r="F122" s="7">
        <v>50</v>
      </c>
      <c r="G122" s="7">
        <v>33.729999999999997</v>
      </c>
      <c r="H122" s="7">
        <v>7.31</v>
      </c>
    </row>
    <row r="123" spans="1:8">
      <c r="A123" s="4" t="s">
        <v>744</v>
      </c>
      <c r="B123" s="4" t="s">
        <v>745</v>
      </c>
      <c r="C123" s="4" t="s">
        <v>966</v>
      </c>
      <c r="D123" s="4" t="s">
        <v>967</v>
      </c>
      <c r="E123" s="6">
        <v>43847</v>
      </c>
      <c r="F123" s="7">
        <v>-50</v>
      </c>
      <c r="G123" s="7">
        <v>-22.55</v>
      </c>
      <c r="H123" s="7">
        <v>0.01</v>
      </c>
    </row>
    <row r="124" spans="1:8">
      <c r="A124" s="4" t="s">
        <v>133</v>
      </c>
      <c r="B124" s="4" t="s">
        <v>134</v>
      </c>
      <c r="C124" s="4" t="s">
        <v>968</v>
      </c>
      <c r="D124" s="4" t="s">
        <v>969</v>
      </c>
      <c r="E124" s="6">
        <v>43873</v>
      </c>
      <c r="F124" s="7">
        <v>-700</v>
      </c>
      <c r="G124" s="7">
        <v>-5465.91</v>
      </c>
      <c r="H124" s="7">
        <v>0</v>
      </c>
    </row>
    <row r="125" spans="1:8">
      <c r="A125" s="4" t="s">
        <v>133</v>
      </c>
      <c r="B125" s="4" t="s">
        <v>134</v>
      </c>
      <c r="C125" s="4" t="s">
        <v>970</v>
      </c>
      <c r="D125" s="4" t="s">
        <v>971</v>
      </c>
      <c r="E125" s="6">
        <v>43873</v>
      </c>
      <c r="F125" s="7">
        <v>-1711</v>
      </c>
      <c r="G125" s="7">
        <v>-4849.53</v>
      </c>
      <c r="H125" s="7">
        <v>0</v>
      </c>
    </row>
    <row r="126" spans="1:8">
      <c r="A126" s="4" t="s">
        <v>133</v>
      </c>
      <c r="B126" s="4" t="s">
        <v>134</v>
      </c>
      <c r="C126" s="4" t="s">
        <v>784</v>
      </c>
      <c r="D126" s="4" t="s">
        <v>972</v>
      </c>
      <c r="E126" s="6">
        <v>43873</v>
      </c>
      <c r="F126" s="7">
        <v>-1</v>
      </c>
      <c r="G126" s="7">
        <v>0</v>
      </c>
      <c r="H126" s="7">
        <v>0</v>
      </c>
    </row>
    <row r="127" spans="1:8">
      <c r="A127" s="4" t="s">
        <v>68</v>
      </c>
      <c r="B127" s="4" t="s">
        <v>69</v>
      </c>
      <c r="C127" s="4" t="s">
        <v>806</v>
      </c>
      <c r="D127" s="4" t="s">
        <v>973</v>
      </c>
      <c r="E127" s="6">
        <v>43854</v>
      </c>
      <c r="F127" s="7">
        <v>-260</v>
      </c>
      <c r="G127" s="7">
        <v>-116.64000000000001</v>
      </c>
      <c r="H127" s="7">
        <v>0</v>
      </c>
    </row>
    <row r="128" spans="1:8">
      <c r="A128" s="4" t="s">
        <v>68</v>
      </c>
      <c r="B128" s="4" t="s">
        <v>69</v>
      </c>
      <c r="C128" s="4" t="s">
        <v>840</v>
      </c>
      <c r="D128" s="4" t="s">
        <v>974</v>
      </c>
      <c r="E128" s="6">
        <v>43854</v>
      </c>
      <c r="F128" s="7">
        <v>-1</v>
      </c>
      <c r="G128" s="7">
        <v>0</v>
      </c>
      <c r="H128" s="7">
        <v>0</v>
      </c>
    </row>
    <row r="129" spans="1:8">
      <c r="A129" s="4" t="s">
        <v>68</v>
      </c>
      <c r="B129" s="4" t="s">
        <v>69</v>
      </c>
      <c r="C129" s="4" t="s">
        <v>784</v>
      </c>
      <c r="D129" s="4" t="s">
        <v>975</v>
      </c>
      <c r="E129" s="6">
        <v>43854</v>
      </c>
      <c r="F129" s="7">
        <v>-1</v>
      </c>
      <c r="G129" s="7">
        <v>0</v>
      </c>
      <c r="H129" s="7">
        <v>0</v>
      </c>
    </row>
    <row r="130" spans="1:8">
      <c r="A130" s="4" t="s">
        <v>76</v>
      </c>
      <c r="B130" s="4" t="s">
        <v>77</v>
      </c>
      <c r="C130" s="4" t="s">
        <v>976</v>
      </c>
      <c r="D130" s="4" t="s">
        <v>977</v>
      </c>
      <c r="E130" s="6">
        <v>43854</v>
      </c>
      <c r="F130" s="7">
        <v>-100</v>
      </c>
      <c r="G130" s="7">
        <v>-63.67</v>
      </c>
      <c r="H130" s="7">
        <v>0</v>
      </c>
    </row>
    <row r="131" spans="1:8">
      <c r="A131" s="4" t="s">
        <v>76</v>
      </c>
      <c r="B131" s="4" t="s">
        <v>77</v>
      </c>
      <c r="C131" s="4" t="s">
        <v>867</v>
      </c>
      <c r="D131" s="4" t="s">
        <v>978</v>
      </c>
      <c r="E131" s="6">
        <v>43854</v>
      </c>
      <c r="F131" s="7">
        <v>-250</v>
      </c>
      <c r="G131" s="7">
        <v>-225.49</v>
      </c>
      <c r="H131" s="7">
        <v>0</v>
      </c>
    </row>
    <row r="132" spans="1:8">
      <c r="A132" s="4" t="s">
        <v>76</v>
      </c>
      <c r="B132" s="4" t="s">
        <v>77</v>
      </c>
      <c r="C132" s="4" t="s">
        <v>979</v>
      </c>
      <c r="D132" s="4" t="s">
        <v>980</v>
      </c>
      <c r="E132" s="6">
        <v>43854</v>
      </c>
      <c r="F132" s="7">
        <v>-100</v>
      </c>
      <c r="G132" s="7">
        <v>-106.28</v>
      </c>
      <c r="H132" s="7">
        <v>-0.01</v>
      </c>
    </row>
    <row r="133" spans="1:8">
      <c r="A133" s="4" t="s">
        <v>76</v>
      </c>
      <c r="B133" s="4" t="s">
        <v>77</v>
      </c>
      <c r="C133" s="4" t="s">
        <v>847</v>
      </c>
      <c r="D133" s="4" t="s">
        <v>981</v>
      </c>
      <c r="E133" s="6">
        <v>43854</v>
      </c>
      <c r="F133" s="7">
        <v>-50</v>
      </c>
      <c r="G133" s="7">
        <v>-95.77</v>
      </c>
      <c r="H133" s="7">
        <v>0</v>
      </c>
    </row>
    <row r="134" spans="1:8">
      <c r="A134" s="4" t="s">
        <v>76</v>
      </c>
      <c r="B134" s="4" t="s">
        <v>77</v>
      </c>
      <c r="C134" s="4" t="s">
        <v>982</v>
      </c>
      <c r="D134" s="4" t="s">
        <v>983</v>
      </c>
      <c r="E134" s="6">
        <v>43854</v>
      </c>
      <c r="F134" s="7">
        <v>-50</v>
      </c>
      <c r="G134" s="7">
        <v>-150.28</v>
      </c>
      <c r="H134" s="7">
        <v>0.01</v>
      </c>
    </row>
    <row r="135" spans="1:8">
      <c r="A135" s="4" t="s">
        <v>76</v>
      </c>
      <c r="B135" s="4" t="s">
        <v>77</v>
      </c>
      <c r="C135" s="4" t="s">
        <v>875</v>
      </c>
      <c r="D135" s="4" t="s">
        <v>984</v>
      </c>
      <c r="E135" s="6">
        <v>43854</v>
      </c>
      <c r="F135" s="7">
        <v>-50</v>
      </c>
      <c r="G135" s="7">
        <v>-17.920000000000002</v>
      </c>
      <c r="H135" s="7">
        <v>0</v>
      </c>
    </row>
    <row r="136" spans="1:8">
      <c r="A136" s="4" t="s">
        <v>76</v>
      </c>
      <c r="B136" s="4" t="s">
        <v>77</v>
      </c>
      <c r="C136" s="4" t="s">
        <v>985</v>
      </c>
      <c r="D136" s="4" t="s">
        <v>986</v>
      </c>
      <c r="E136" s="6">
        <v>43854</v>
      </c>
      <c r="F136" s="7">
        <v>-50</v>
      </c>
      <c r="G136" s="7">
        <v>-76.7</v>
      </c>
      <c r="H136" s="7">
        <v>0</v>
      </c>
    </row>
    <row r="137" spans="1:8">
      <c r="A137" s="4" t="s">
        <v>76</v>
      </c>
      <c r="B137" s="4" t="s">
        <v>77</v>
      </c>
      <c r="C137" s="4" t="s">
        <v>987</v>
      </c>
      <c r="D137" s="4" t="s">
        <v>988</v>
      </c>
      <c r="E137" s="6">
        <v>43854</v>
      </c>
      <c r="F137" s="7">
        <v>-50</v>
      </c>
      <c r="G137" s="7">
        <v>-29.41</v>
      </c>
      <c r="H137" s="7">
        <v>0</v>
      </c>
    </row>
    <row r="138" spans="1:8">
      <c r="A138" s="4" t="s">
        <v>76</v>
      </c>
      <c r="B138" s="4" t="s">
        <v>77</v>
      </c>
      <c r="C138" s="4" t="s">
        <v>989</v>
      </c>
      <c r="D138" s="4" t="s">
        <v>990</v>
      </c>
      <c r="E138" s="6">
        <v>43854</v>
      </c>
      <c r="F138" s="7">
        <v>-50</v>
      </c>
      <c r="G138" s="7">
        <v>-63.24</v>
      </c>
      <c r="H138" s="7">
        <v>0</v>
      </c>
    </row>
    <row r="139" spans="1:8">
      <c r="A139" s="4" t="s">
        <v>76</v>
      </c>
      <c r="B139" s="4" t="s">
        <v>77</v>
      </c>
      <c r="C139" s="4" t="s">
        <v>784</v>
      </c>
      <c r="D139" s="4" t="s">
        <v>991</v>
      </c>
      <c r="E139" s="6">
        <v>43854</v>
      </c>
      <c r="F139" s="7">
        <v>-1</v>
      </c>
      <c r="G139" s="7">
        <v>0</v>
      </c>
      <c r="H139" s="7">
        <v>0</v>
      </c>
    </row>
    <row r="140" spans="1:8">
      <c r="A140" s="4" t="s">
        <v>63</v>
      </c>
      <c r="B140" s="4" t="s">
        <v>64</v>
      </c>
      <c r="C140" s="4" t="s">
        <v>817</v>
      </c>
      <c r="D140" s="4" t="s">
        <v>992</v>
      </c>
      <c r="E140" s="6">
        <v>43851</v>
      </c>
      <c r="F140" s="7">
        <v>-100</v>
      </c>
      <c r="G140" s="7">
        <v>-77.510000000000005</v>
      </c>
      <c r="H140" s="7">
        <v>0</v>
      </c>
    </row>
    <row r="141" spans="1:8">
      <c r="A141" s="4" t="s">
        <v>63</v>
      </c>
      <c r="B141" s="4" t="s">
        <v>64</v>
      </c>
      <c r="C141" s="4" t="s">
        <v>993</v>
      </c>
      <c r="D141" s="4" t="s">
        <v>994</v>
      </c>
      <c r="E141" s="6">
        <v>43851</v>
      </c>
      <c r="F141" s="7">
        <v>-100</v>
      </c>
      <c r="G141" s="7">
        <v>-27.91</v>
      </c>
      <c r="H141" s="7">
        <v>-0.01</v>
      </c>
    </row>
    <row r="142" spans="1:8">
      <c r="A142" s="4" t="s">
        <v>63</v>
      </c>
      <c r="B142" s="4" t="s">
        <v>64</v>
      </c>
      <c r="C142" s="4" t="s">
        <v>995</v>
      </c>
      <c r="D142" s="4" t="s">
        <v>996</v>
      </c>
      <c r="E142" s="6">
        <v>43851</v>
      </c>
      <c r="F142" s="7">
        <v>-50</v>
      </c>
      <c r="G142" s="7">
        <v>-48.17</v>
      </c>
      <c r="H142" s="7">
        <v>-0.01</v>
      </c>
    </row>
    <row r="143" spans="1:8">
      <c r="A143" s="4" t="s">
        <v>63</v>
      </c>
      <c r="B143" s="4" t="s">
        <v>64</v>
      </c>
      <c r="C143" s="4" t="s">
        <v>997</v>
      </c>
      <c r="D143" s="4" t="s">
        <v>998</v>
      </c>
      <c r="E143" s="6">
        <v>43851</v>
      </c>
      <c r="F143" s="7">
        <v>-50</v>
      </c>
      <c r="G143" s="7">
        <v>-66.52</v>
      </c>
      <c r="H143" s="7">
        <v>-0.01</v>
      </c>
    </row>
    <row r="144" spans="1:8">
      <c r="A144" s="4" t="s">
        <v>63</v>
      </c>
      <c r="B144" s="4" t="s">
        <v>64</v>
      </c>
      <c r="C144" s="4" t="s">
        <v>999</v>
      </c>
      <c r="D144" s="4" t="s">
        <v>1000</v>
      </c>
      <c r="E144" s="6">
        <v>43851</v>
      </c>
      <c r="F144" s="7">
        <v>-25</v>
      </c>
      <c r="G144" s="7">
        <v>-42.83</v>
      </c>
      <c r="H144" s="7">
        <v>0</v>
      </c>
    </row>
    <row r="145" spans="1:8">
      <c r="A145" s="4" t="s">
        <v>63</v>
      </c>
      <c r="B145" s="4" t="s">
        <v>64</v>
      </c>
      <c r="C145" s="4" t="s">
        <v>851</v>
      </c>
      <c r="D145" s="4" t="s">
        <v>1001</v>
      </c>
      <c r="E145" s="6">
        <v>43851</v>
      </c>
      <c r="F145" s="7">
        <v>-50</v>
      </c>
      <c r="G145" s="7">
        <v>-62.4</v>
      </c>
      <c r="H145" s="7">
        <v>0</v>
      </c>
    </row>
    <row r="146" spans="1:8">
      <c r="A146" s="4" t="s">
        <v>63</v>
      </c>
      <c r="B146" s="4" t="s">
        <v>64</v>
      </c>
      <c r="C146" s="4" t="s">
        <v>784</v>
      </c>
      <c r="D146" s="4" t="s">
        <v>1002</v>
      </c>
      <c r="E146" s="6">
        <v>43851</v>
      </c>
      <c r="F146" s="7">
        <v>-1</v>
      </c>
      <c r="G146" s="7">
        <v>0</v>
      </c>
      <c r="H146" s="7">
        <v>0</v>
      </c>
    </row>
    <row r="147" spans="1:8">
      <c r="A147" s="4" t="s">
        <v>60</v>
      </c>
      <c r="B147" s="4" t="s">
        <v>61</v>
      </c>
      <c r="C147" s="4" t="s">
        <v>873</v>
      </c>
      <c r="D147" s="4" t="s">
        <v>1003</v>
      </c>
      <c r="E147" s="6">
        <v>43851</v>
      </c>
      <c r="F147" s="7">
        <v>-30</v>
      </c>
      <c r="G147" s="7">
        <v>-9.75</v>
      </c>
      <c r="H147" s="7">
        <v>-0.01</v>
      </c>
    </row>
    <row r="148" spans="1:8">
      <c r="A148" s="4" t="s">
        <v>60</v>
      </c>
      <c r="B148" s="4" t="s">
        <v>61</v>
      </c>
      <c r="C148" s="4" t="s">
        <v>883</v>
      </c>
      <c r="D148" s="4" t="s">
        <v>1004</v>
      </c>
      <c r="E148" s="6">
        <v>43851</v>
      </c>
      <c r="F148" s="7">
        <v>-10</v>
      </c>
      <c r="G148" s="7">
        <v>-6.29</v>
      </c>
      <c r="H148" s="7">
        <v>-0.01</v>
      </c>
    </row>
    <row r="149" spans="1:8">
      <c r="A149" s="4" t="s">
        <v>60</v>
      </c>
      <c r="B149" s="4" t="s">
        <v>61</v>
      </c>
      <c r="C149" s="4" t="s">
        <v>1005</v>
      </c>
      <c r="D149" s="4" t="s">
        <v>1006</v>
      </c>
      <c r="E149" s="6">
        <v>43851</v>
      </c>
      <c r="F149" s="7">
        <v>-10</v>
      </c>
      <c r="G149" s="7">
        <v>-5.83</v>
      </c>
      <c r="H149" s="7">
        <v>0</v>
      </c>
    </row>
    <row r="150" spans="1:8">
      <c r="A150" s="4" t="s">
        <v>60</v>
      </c>
      <c r="B150" s="4" t="s">
        <v>61</v>
      </c>
      <c r="C150" s="4" t="s">
        <v>784</v>
      </c>
      <c r="D150" s="4" t="s">
        <v>1007</v>
      </c>
      <c r="E150" s="6">
        <v>43851</v>
      </c>
      <c r="F150" s="7">
        <v>-1</v>
      </c>
      <c r="G150" s="7">
        <v>0</v>
      </c>
      <c r="H150" s="7">
        <v>0</v>
      </c>
    </row>
    <row r="151" spans="1:8">
      <c r="A151" s="4" t="s">
        <v>108</v>
      </c>
      <c r="B151" s="4" t="s">
        <v>109</v>
      </c>
      <c r="C151" s="4" t="s">
        <v>1008</v>
      </c>
      <c r="D151" s="4" t="s">
        <v>1009</v>
      </c>
      <c r="E151" s="6">
        <v>43865</v>
      </c>
      <c r="F151" s="7">
        <v>-765</v>
      </c>
      <c r="G151" s="7">
        <v>-593.16999999999996</v>
      </c>
      <c r="H151" s="7">
        <v>0</v>
      </c>
    </row>
    <row r="152" spans="1:8">
      <c r="A152" s="4" t="s">
        <v>108</v>
      </c>
      <c r="B152" s="4" t="s">
        <v>109</v>
      </c>
      <c r="C152" s="4" t="s">
        <v>1008</v>
      </c>
      <c r="D152" s="4" t="s">
        <v>1009</v>
      </c>
      <c r="E152" s="6">
        <v>43865</v>
      </c>
      <c r="F152" s="7">
        <v>-935</v>
      </c>
      <c r="G152" s="7">
        <v>-724.98</v>
      </c>
      <c r="H152" s="7">
        <v>0</v>
      </c>
    </row>
    <row r="153" spans="1:8">
      <c r="A153" s="4" t="s">
        <v>108</v>
      </c>
      <c r="B153" s="4" t="s">
        <v>109</v>
      </c>
      <c r="C153" s="4" t="s">
        <v>1008</v>
      </c>
      <c r="D153" s="4" t="s">
        <v>1009</v>
      </c>
      <c r="E153" s="6">
        <v>43865</v>
      </c>
      <c r="F153" s="7">
        <v>-365</v>
      </c>
      <c r="G153" s="7">
        <v>-283.01</v>
      </c>
      <c r="H153" s="7">
        <v>0</v>
      </c>
    </row>
    <row r="154" spans="1:8">
      <c r="A154" s="4" t="s">
        <v>108</v>
      </c>
      <c r="B154" s="4" t="s">
        <v>109</v>
      </c>
      <c r="C154" s="4" t="s">
        <v>784</v>
      </c>
      <c r="D154" s="4" t="s">
        <v>1010</v>
      </c>
      <c r="E154" s="6">
        <v>43865</v>
      </c>
      <c r="F154" s="7">
        <v>-1</v>
      </c>
      <c r="G154" s="7">
        <v>0</v>
      </c>
      <c r="H154" s="7">
        <v>0</v>
      </c>
    </row>
    <row r="155" spans="1:8">
      <c r="A155" s="4" t="s">
        <v>89</v>
      </c>
      <c r="B155" s="4" t="s">
        <v>90</v>
      </c>
      <c r="C155" s="4" t="s">
        <v>1011</v>
      </c>
      <c r="D155" s="4" t="s">
        <v>1012</v>
      </c>
      <c r="E155" s="6">
        <v>43858</v>
      </c>
      <c r="F155" s="7">
        <v>-30</v>
      </c>
      <c r="G155" s="7">
        <v>-14.45</v>
      </c>
      <c r="H155" s="7">
        <v>0</v>
      </c>
    </row>
    <row r="156" spans="1:8">
      <c r="A156" s="4" t="s">
        <v>89</v>
      </c>
      <c r="B156" s="4" t="s">
        <v>90</v>
      </c>
      <c r="C156" s="4" t="s">
        <v>877</v>
      </c>
      <c r="D156" s="4" t="s">
        <v>1013</v>
      </c>
      <c r="E156" s="6">
        <v>43858</v>
      </c>
      <c r="F156" s="7">
        <v>-15</v>
      </c>
      <c r="G156" s="7">
        <v>-8.48</v>
      </c>
      <c r="H156" s="7">
        <v>-0.01</v>
      </c>
    </row>
    <row r="157" spans="1:8">
      <c r="A157" s="4" t="s">
        <v>89</v>
      </c>
      <c r="B157" s="4" t="s">
        <v>90</v>
      </c>
      <c r="C157" s="4" t="s">
        <v>879</v>
      </c>
      <c r="D157" s="4" t="s">
        <v>1014</v>
      </c>
      <c r="E157" s="6">
        <v>43858</v>
      </c>
      <c r="F157" s="7">
        <v>-10</v>
      </c>
      <c r="G157" s="7">
        <v>-6.65</v>
      </c>
      <c r="H157" s="7">
        <v>0</v>
      </c>
    </row>
    <row r="158" spans="1:8">
      <c r="A158" s="4" t="s">
        <v>89</v>
      </c>
      <c r="B158" s="4" t="s">
        <v>90</v>
      </c>
      <c r="C158" s="4" t="s">
        <v>1015</v>
      </c>
      <c r="D158" s="4" t="s">
        <v>1016</v>
      </c>
      <c r="E158" s="6">
        <v>43858</v>
      </c>
      <c r="F158" s="7">
        <v>-5</v>
      </c>
      <c r="G158" s="7">
        <v>-3.8299999999999996</v>
      </c>
      <c r="H158" s="7">
        <v>0</v>
      </c>
    </row>
    <row r="159" spans="1:8">
      <c r="A159" s="4" t="s">
        <v>89</v>
      </c>
      <c r="B159" s="4" t="s">
        <v>90</v>
      </c>
      <c r="C159" s="4" t="s">
        <v>993</v>
      </c>
      <c r="D159" s="4" t="s">
        <v>1017</v>
      </c>
      <c r="E159" s="6">
        <v>43858</v>
      </c>
      <c r="F159" s="7">
        <v>-30</v>
      </c>
      <c r="G159" s="7">
        <v>-8.370000000000001</v>
      </c>
      <c r="H159" s="7">
        <v>0</v>
      </c>
    </row>
    <row r="160" spans="1:8">
      <c r="A160" s="4" t="s">
        <v>89</v>
      </c>
      <c r="B160" s="4" t="s">
        <v>90</v>
      </c>
      <c r="C160" s="4" t="s">
        <v>1018</v>
      </c>
      <c r="D160" s="4" t="s">
        <v>1019</v>
      </c>
      <c r="E160" s="6">
        <v>43858</v>
      </c>
      <c r="F160" s="7">
        <v>-20</v>
      </c>
      <c r="G160" s="7">
        <v>-9.2900000000000009</v>
      </c>
      <c r="H160" s="7">
        <v>0</v>
      </c>
    </row>
    <row r="161" spans="1:8">
      <c r="A161" s="4" t="s">
        <v>89</v>
      </c>
      <c r="B161" s="4" t="s">
        <v>90</v>
      </c>
      <c r="C161" s="4" t="s">
        <v>873</v>
      </c>
      <c r="D161" s="4" t="s">
        <v>1020</v>
      </c>
      <c r="E161" s="6">
        <v>43858</v>
      </c>
      <c r="F161" s="7">
        <v>-20</v>
      </c>
      <c r="G161" s="7">
        <v>-6.5</v>
      </c>
      <c r="H161" s="7">
        <v>0</v>
      </c>
    </row>
    <row r="162" spans="1:8">
      <c r="A162" s="4" t="s">
        <v>89</v>
      </c>
      <c r="B162" s="4" t="s">
        <v>90</v>
      </c>
      <c r="C162" s="4" t="s">
        <v>936</v>
      </c>
      <c r="D162" s="4" t="s">
        <v>1021</v>
      </c>
      <c r="E162" s="6">
        <v>43858</v>
      </c>
      <c r="F162" s="7">
        <v>-30</v>
      </c>
      <c r="G162" s="7">
        <v>-11.63</v>
      </c>
      <c r="H162" s="7">
        <v>0.01</v>
      </c>
    </row>
    <row r="163" spans="1:8">
      <c r="A163" s="4" t="s">
        <v>89</v>
      </c>
      <c r="B163" s="4" t="s">
        <v>90</v>
      </c>
      <c r="C163" s="4" t="s">
        <v>940</v>
      </c>
      <c r="D163" s="4" t="s">
        <v>1022</v>
      </c>
      <c r="E163" s="6">
        <v>43858</v>
      </c>
      <c r="F163" s="7">
        <v>-20</v>
      </c>
      <c r="G163" s="7">
        <v>-9.66</v>
      </c>
      <c r="H163" s="7">
        <v>0</v>
      </c>
    </row>
    <row r="164" spans="1:8">
      <c r="A164" s="4" t="s">
        <v>89</v>
      </c>
      <c r="B164" s="4" t="s">
        <v>90</v>
      </c>
      <c r="C164" s="4" t="s">
        <v>942</v>
      </c>
      <c r="D164" s="4" t="s">
        <v>1023</v>
      </c>
      <c r="E164" s="6">
        <v>43858</v>
      </c>
      <c r="F164" s="7">
        <v>-15</v>
      </c>
      <c r="G164" s="7">
        <v>-12.58</v>
      </c>
      <c r="H164" s="7">
        <v>0</v>
      </c>
    </row>
    <row r="165" spans="1:8">
      <c r="A165" s="4" t="s">
        <v>89</v>
      </c>
      <c r="B165" s="4" t="s">
        <v>90</v>
      </c>
      <c r="C165" s="4" t="s">
        <v>979</v>
      </c>
      <c r="D165" s="4" t="s">
        <v>1024</v>
      </c>
      <c r="E165" s="6">
        <v>43858</v>
      </c>
      <c r="F165" s="7">
        <v>-15</v>
      </c>
      <c r="G165" s="7">
        <v>-15.94</v>
      </c>
      <c r="H165" s="7">
        <v>0</v>
      </c>
    </row>
    <row r="166" spans="1:8">
      <c r="A166" s="4" t="s">
        <v>89</v>
      </c>
      <c r="B166" s="4" t="s">
        <v>90</v>
      </c>
      <c r="C166" s="4" t="s">
        <v>1005</v>
      </c>
      <c r="D166" s="4" t="s">
        <v>1025</v>
      </c>
      <c r="E166" s="6">
        <v>43858</v>
      </c>
      <c r="F166" s="7">
        <v>-10</v>
      </c>
      <c r="G166" s="7">
        <v>-5.83</v>
      </c>
      <c r="H166" s="7">
        <v>0</v>
      </c>
    </row>
    <row r="167" spans="1:8">
      <c r="A167" s="4" t="s">
        <v>89</v>
      </c>
      <c r="B167" s="4" t="s">
        <v>90</v>
      </c>
      <c r="C167" s="4" t="s">
        <v>1026</v>
      </c>
      <c r="D167" s="4" t="s">
        <v>1027</v>
      </c>
      <c r="E167" s="6">
        <v>43858</v>
      </c>
      <c r="F167" s="7">
        <v>-10</v>
      </c>
      <c r="G167" s="7">
        <v>-5.45</v>
      </c>
      <c r="H167" s="7">
        <v>0</v>
      </c>
    </row>
    <row r="168" spans="1:8">
      <c r="A168" s="4" t="s">
        <v>89</v>
      </c>
      <c r="B168" s="4" t="s">
        <v>90</v>
      </c>
      <c r="C168" s="4" t="s">
        <v>1028</v>
      </c>
      <c r="D168" s="4" t="s">
        <v>1029</v>
      </c>
      <c r="E168" s="6">
        <v>43858</v>
      </c>
      <c r="F168" s="7">
        <v>-15</v>
      </c>
      <c r="G168" s="7">
        <v>-11.86</v>
      </c>
      <c r="H168" s="7">
        <v>0</v>
      </c>
    </row>
    <row r="169" spans="1:8">
      <c r="A169" s="4" t="s">
        <v>89</v>
      </c>
      <c r="B169" s="4" t="s">
        <v>90</v>
      </c>
      <c r="C169" s="4" t="s">
        <v>1030</v>
      </c>
      <c r="D169" s="4" t="s">
        <v>1031</v>
      </c>
      <c r="E169" s="6">
        <v>43858</v>
      </c>
      <c r="F169" s="7">
        <v>-5</v>
      </c>
      <c r="G169" s="7">
        <v>-8.9499999999999993</v>
      </c>
      <c r="H169" s="7">
        <v>0</v>
      </c>
    </row>
    <row r="170" spans="1:8">
      <c r="A170" s="4" t="s">
        <v>89</v>
      </c>
      <c r="B170" s="4" t="s">
        <v>90</v>
      </c>
      <c r="C170" s="4" t="s">
        <v>1032</v>
      </c>
      <c r="D170" s="4" t="s">
        <v>1033</v>
      </c>
      <c r="E170" s="6">
        <v>43858</v>
      </c>
      <c r="F170" s="7">
        <v>-5</v>
      </c>
      <c r="G170" s="7">
        <v>-9.35</v>
      </c>
      <c r="H170" s="7">
        <v>-0.01</v>
      </c>
    </row>
    <row r="171" spans="1:8">
      <c r="A171" s="4" t="s">
        <v>89</v>
      </c>
      <c r="B171" s="4" t="s">
        <v>90</v>
      </c>
      <c r="C171" s="4" t="s">
        <v>784</v>
      </c>
      <c r="D171" s="4" t="s">
        <v>1034</v>
      </c>
      <c r="E171" s="6">
        <v>43858</v>
      </c>
      <c r="F171" s="7">
        <v>-1</v>
      </c>
      <c r="G171" s="7">
        <v>0</v>
      </c>
      <c r="H171" s="7">
        <v>0</v>
      </c>
    </row>
    <row r="172" spans="1:8">
      <c r="A172" s="4" t="s">
        <v>74</v>
      </c>
      <c r="B172" s="4" t="s">
        <v>75</v>
      </c>
      <c r="C172" s="4" t="s">
        <v>1035</v>
      </c>
      <c r="D172" s="4" t="s">
        <v>1036</v>
      </c>
      <c r="E172" s="6">
        <v>43854</v>
      </c>
      <c r="F172" s="7">
        <v>-300</v>
      </c>
      <c r="G172" s="7">
        <v>-87.19</v>
      </c>
      <c r="H172" s="7">
        <v>0</v>
      </c>
    </row>
    <row r="173" spans="1:8">
      <c r="A173" s="4" t="s">
        <v>74</v>
      </c>
      <c r="B173" s="4" t="s">
        <v>75</v>
      </c>
      <c r="C173" s="4" t="s">
        <v>840</v>
      </c>
      <c r="D173" s="4" t="s">
        <v>1037</v>
      </c>
      <c r="E173" s="6">
        <v>43854</v>
      </c>
      <c r="F173" s="7">
        <v>-1</v>
      </c>
      <c r="G173" s="7">
        <v>0</v>
      </c>
      <c r="H173" s="7">
        <v>0</v>
      </c>
    </row>
    <row r="174" spans="1:8">
      <c r="A174" s="4" t="s">
        <v>74</v>
      </c>
      <c r="B174" s="4" t="s">
        <v>75</v>
      </c>
      <c r="C174" s="4" t="s">
        <v>784</v>
      </c>
      <c r="D174" s="4" t="s">
        <v>1038</v>
      </c>
      <c r="E174" s="6">
        <v>43854</v>
      </c>
      <c r="F174" s="7">
        <v>-1</v>
      </c>
      <c r="G174" s="7">
        <v>0</v>
      </c>
      <c r="H174" s="7">
        <v>0</v>
      </c>
    </row>
    <row r="175" spans="1:8">
      <c r="A175" s="4" t="s">
        <v>57</v>
      </c>
      <c r="B175" s="4" t="s">
        <v>58</v>
      </c>
      <c r="C175" s="4" t="s">
        <v>964</v>
      </c>
      <c r="D175" s="4" t="s">
        <v>1039</v>
      </c>
      <c r="E175" s="6">
        <v>43851</v>
      </c>
      <c r="F175" s="7">
        <v>-50</v>
      </c>
      <c r="G175" s="7">
        <v>-33.729999999999997</v>
      </c>
      <c r="H175" s="7">
        <v>0</v>
      </c>
    </row>
    <row r="176" spans="1:8">
      <c r="A176" s="4" t="s">
        <v>57</v>
      </c>
      <c r="B176" s="4" t="s">
        <v>58</v>
      </c>
      <c r="C176" s="4" t="s">
        <v>1040</v>
      </c>
      <c r="D176" s="4" t="s">
        <v>1041</v>
      </c>
      <c r="E176" s="6">
        <v>43851</v>
      </c>
      <c r="F176" s="7">
        <v>-50</v>
      </c>
      <c r="G176" s="7">
        <v>-66.27</v>
      </c>
      <c r="H176" s="7">
        <v>0</v>
      </c>
    </row>
    <row r="177" spans="1:8">
      <c r="A177" s="4" t="s">
        <v>57</v>
      </c>
      <c r="B177" s="4" t="s">
        <v>58</v>
      </c>
      <c r="C177" s="4" t="s">
        <v>1042</v>
      </c>
      <c r="D177" s="4" t="s">
        <v>1043</v>
      </c>
      <c r="E177" s="6">
        <v>43851</v>
      </c>
      <c r="F177" s="7">
        <v>-50</v>
      </c>
      <c r="G177" s="7">
        <v>-24.87</v>
      </c>
      <c r="H177" s="7">
        <v>0</v>
      </c>
    </row>
    <row r="178" spans="1:8">
      <c r="A178" s="4" t="s">
        <v>57</v>
      </c>
      <c r="B178" s="4" t="s">
        <v>58</v>
      </c>
      <c r="C178" s="4" t="s">
        <v>1044</v>
      </c>
      <c r="D178" s="4" t="s">
        <v>1045</v>
      </c>
      <c r="E178" s="6">
        <v>43851</v>
      </c>
      <c r="F178" s="7">
        <v>-250</v>
      </c>
      <c r="G178" s="7">
        <v>-968.57</v>
      </c>
      <c r="H178" s="7">
        <v>0</v>
      </c>
    </row>
    <row r="179" spans="1:8">
      <c r="A179" s="4" t="s">
        <v>57</v>
      </c>
      <c r="B179" s="4" t="s">
        <v>58</v>
      </c>
      <c r="C179" s="4" t="s">
        <v>784</v>
      </c>
      <c r="D179" s="4" t="s">
        <v>1046</v>
      </c>
      <c r="E179" s="6">
        <v>43851</v>
      </c>
      <c r="F179" s="7">
        <v>-1</v>
      </c>
      <c r="G179" s="7">
        <v>0</v>
      </c>
      <c r="H179" s="7">
        <v>0</v>
      </c>
    </row>
    <row r="180" spans="1:8">
      <c r="A180" s="4" t="s">
        <v>189</v>
      </c>
      <c r="B180" s="4" t="s">
        <v>190</v>
      </c>
      <c r="C180" s="4" t="s">
        <v>1047</v>
      </c>
      <c r="D180" s="4" t="s">
        <v>1048</v>
      </c>
      <c r="E180" s="6">
        <v>43882</v>
      </c>
      <c r="F180" s="7">
        <v>-14000</v>
      </c>
      <c r="G180" s="7">
        <v>-4932.8900000000003</v>
      </c>
      <c r="H180" s="7">
        <v>0.01</v>
      </c>
    </row>
    <row r="181" spans="1:8">
      <c r="A181" s="4" t="s">
        <v>189</v>
      </c>
      <c r="B181" s="4" t="s">
        <v>190</v>
      </c>
      <c r="C181" s="4" t="s">
        <v>1047</v>
      </c>
      <c r="D181" s="4" t="s">
        <v>1048</v>
      </c>
      <c r="E181" s="6">
        <v>43882</v>
      </c>
      <c r="F181" s="7">
        <v>-14000</v>
      </c>
      <c r="G181" s="7">
        <v>-4932.88</v>
      </c>
      <c r="H181" s="7">
        <v>-0.01</v>
      </c>
    </row>
    <row r="182" spans="1:8">
      <c r="A182" s="4" t="s">
        <v>189</v>
      </c>
      <c r="B182" s="4" t="s">
        <v>190</v>
      </c>
      <c r="C182" s="4" t="s">
        <v>1049</v>
      </c>
      <c r="D182" s="4" t="s">
        <v>1050</v>
      </c>
      <c r="E182" s="6">
        <v>43882</v>
      </c>
      <c r="F182" s="7">
        <v>-1</v>
      </c>
      <c r="G182" s="7">
        <v>0</v>
      </c>
      <c r="H182" s="7">
        <v>0</v>
      </c>
    </row>
    <row r="183" spans="1:8">
      <c r="A183" s="4" t="s">
        <v>189</v>
      </c>
      <c r="B183" s="4" t="s">
        <v>190</v>
      </c>
      <c r="C183" s="4" t="s">
        <v>784</v>
      </c>
      <c r="D183" s="4" t="s">
        <v>1051</v>
      </c>
      <c r="E183" s="6">
        <v>43882</v>
      </c>
      <c r="F183" s="7">
        <v>-1</v>
      </c>
      <c r="G183" s="7">
        <v>0</v>
      </c>
      <c r="H183" s="7">
        <v>0</v>
      </c>
    </row>
    <row r="184" spans="1:8">
      <c r="A184" s="4" t="s">
        <v>159</v>
      </c>
      <c r="B184" s="4" t="s">
        <v>160</v>
      </c>
      <c r="C184" s="4" t="s">
        <v>826</v>
      </c>
      <c r="D184" s="4" t="s">
        <v>1052</v>
      </c>
      <c r="E184" s="6">
        <v>43878</v>
      </c>
      <c r="F184" s="7">
        <v>-1</v>
      </c>
      <c r="G184" s="7">
        <v>-55.74</v>
      </c>
      <c r="H184" s="7">
        <v>0</v>
      </c>
    </row>
    <row r="185" spans="1:8">
      <c r="A185" s="4" t="s">
        <v>159</v>
      </c>
      <c r="B185" s="4" t="s">
        <v>160</v>
      </c>
      <c r="C185" s="4" t="s">
        <v>840</v>
      </c>
      <c r="D185" s="4" t="s">
        <v>1053</v>
      </c>
      <c r="E185" s="6">
        <v>43878</v>
      </c>
      <c r="F185" s="7">
        <v>-1</v>
      </c>
      <c r="G185" s="7">
        <v>0</v>
      </c>
      <c r="H185" s="7">
        <v>0</v>
      </c>
    </row>
    <row r="186" spans="1:8">
      <c r="A186" s="4" t="s">
        <v>159</v>
      </c>
      <c r="B186" s="4" t="s">
        <v>160</v>
      </c>
      <c r="C186" s="4" t="s">
        <v>784</v>
      </c>
      <c r="D186" s="4" t="s">
        <v>1054</v>
      </c>
      <c r="E186" s="6">
        <v>43878</v>
      </c>
      <c r="F186" s="7">
        <v>-1</v>
      </c>
      <c r="G186" s="7">
        <v>0</v>
      </c>
      <c r="H186" s="7">
        <v>0</v>
      </c>
    </row>
    <row r="187" spans="1:8">
      <c r="A187" s="4" t="s">
        <v>71</v>
      </c>
      <c r="B187" s="4" t="s">
        <v>72</v>
      </c>
      <c r="C187" s="4" t="s">
        <v>1055</v>
      </c>
      <c r="D187" s="4" t="s">
        <v>1056</v>
      </c>
      <c r="E187" s="6">
        <v>43854</v>
      </c>
      <c r="F187" s="7">
        <v>-100</v>
      </c>
      <c r="G187" s="7">
        <v>-28.12</v>
      </c>
      <c r="H187" s="7">
        <v>0</v>
      </c>
    </row>
    <row r="188" spans="1:8">
      <c r="A188" s="4" t="s">
        <v>71</v>
      </c>
      <c r="B188" s="4" t="s">
        <v>72</v>
      </c>
      <c r="C188" s="4" t="s">
        <v>784</v>
      </c>
      <c r="D188" s="4" t="s">
        <v>1057</v>
      </c>
      <c r="E188" s="6">
        <v>43854</v>
      </c>
      <c r="F188" s="7">
        <v>-1</v>
      </c>
      <c r="G188" s="7">
        <v>0</v>
      </c>
      <c r="H188" s="7">
        <v>0</v>
      </c>
    </row>
    <row r="189" spans="1:8">
      <c r="A189" s="4" t="s">
        <v>94</v>
      </c>
      <c r="B189" s="4" t="s">
        <v>95</v>
      </c>
      <c r="C189" s="4" t="s">
        <v>817</v>
      </c>
      <c r="D189" s="4" t="s">
        <v>1058</v>
      </c>
      <c r="E189" s="6">
        <v>43858</v>
      </c>
      <c r="F189" s="7">
        <v>-50</v>
      </c>
      <c r="G189" s="7">
        <v>-38.75</v>
      </c>
      <c r="H189" s="7">
        <v>0</v>
      </c>
    </row>
    <row r="190" spans="1:8">
      <c r="A190" s="4" t="s">
        <v>94</v>
      </c>
      <c r="B190" s="4" t="s">
        <v>95</v>
      </c>
      <c r="C190" s="4" t="s">
        <v>849</v>
      </c>
      <c r="D190" s="4" t="s">
        <v>1059</v>
      </c>
      <c r="E190" s="6">
        <v>43858</v>
      </c>
      <c r="F190" s="7">
        <v>-50</v>
      </c>
      <c r="G190" s="7">
        <v>-191.54000000000002</v>
      </c>
      <c r="H190" s="7">
        <v>0</v>
      </c>
    </row>
    <row r="191" spans="1:8">
      <c r="A191" s="4" t="s">
        <v>94</v>
      </c>
      <c r="B191" s="4" t="s">
        <v>95</v>
      </c>
      <c r="C191" s="4" t="s">
        <v>1060</v>
      </c>
      <c r="D191" s="4" t="s">
        <v>1061</v>
      </c>
      <c r="E191" s="6">
        <v>43858</v>
      </c>
      <c r="F191" s="7">
        <v>-150</v>
      </c>
      <c r="G191" s="7">
        <v>-89.56</v>
      </c>
      <c r="H191" s="7">
        <v>0</v>
      </c>
    </row>
    <row r="192" spans="1:8">
      <c r="A192" s="4" t="s">
        <v>94</v>
      </c>
      <c r="B192" s="4" t="s">
        <v>95</v>
      </c>
      <c r="C192" s="4" t="s">
        <v>1015</v>
      </c>
      <c r="D192" s="4" t="s">
        <v>1062</v>
      </c>
      <c r="E192" s="6">
        <v>43858</v>
      </c>
      <c r="F192" s="7">
        <v>-100</v>
      </c>
      <c r="G192" s="7">
        <v>-76.7</v>
      </c>
      <c r="H192" s="7">
        <v>0</v>
      </c>
    </row>
    <row r="193" spans="1:8">
      <c r="A193" s="4" t="s">
        <v>94</v>
      </c>
      <c r="B193" s="4" t="s">
        <v>95</v>
      </c>
      <c r="C193" s="4" t="s">
        <v>1063</v>
      </c>
      <c r="D193" s="4" t="s">
        <v>1064</v>
      </c>
      <c r="E193" s="6">
        <v>43858</v>
      </c>
      <c r="F193" s="7">
        <v>-100</v>
      </c>
      <c r="G193" s="7">
        <v>-53.52</v>
      </c>
      <c r="H193" s="7">
        <v>0</v>
      </c>
    </row>
    <row r="194" spans="1:8">
      <c r="A194" s="4" t="s">
        <v>94</v>
      </c>
      <c r="B194" s="4" t="s">
        <v>95</v>
      </c>
      <c r="C194" s="4" t="s">
        <v>966</v>
      </c>
      <c r="D194" s="4" t="s">
        <v>1065</v>
      </c>
      <c r="E194" s="6">
        <v>43858</v>
      </c>
      <c r="F194" s="7">
        <v>-50</v>
      </c>
      <c r="G194" s="7">
        <v>-22.55</v>
      </c>
      <c r="H194" s="7">
        <v>0</v>
      </c>
    </row>
    <row r="195" spans="1:8">
      <c r="A195" s="4" t="s">
        <v>94</v>
      </c>
      <c r="B195" s="4" t="s">
        <v>95</v>
      </c>
      <c r="C195" s="4" t="s">
        <v>889</v>
      </c>
      <c r="D195" s="4" t="s">
        <v>1066</v>
      </c>
      <c r="E195" s="6">
        <v>43858</v>
      </c>
      <c r="F195" s="7">
        <v>-100</v>
      </c>
      <c r="G195" s="7">
        <v>-34.909999999999997</v>
      </c>
      <c r="H195" s="7">
        <v>0.01</v>
      </c>
    </row>
    <row r="196" spans="1:8">
      <c r="A196" s="4" t="s">
        <v>94</v>
      </c>
      <c r="B196" s="4" t="s">
        <v>95</v>
      </c>
      <c r="C196" s="4" t="s">
        <v>1005</v>
      </c>
      <c r="D196" s="4" t="s">
        <v>1067</v>
      </c>
      <c r="E196" s="6">
        <v>43858</v>
      </c>
      <c r="F196" s="7">
        <v>-50</v>
      </c>
      <c r="G196" s="7">
        <v>-29.16</v>
      </c>
      <c r="H196" s="7">
        <v>-0.01</v>
      </c>
    </row>
    <row r="197" spans="1:8">
      <c r="A197" s="4" t="s">
        <v>94</v>
      </c>
      <c r="B197" s="4" t="s">
        <v>95</v>
      </c>
      <c r="C197" s="4" t="s">
        <v>784</v>
      </c>
      <c r="D197" s="4" t="s">
        <v>1068</v>
      </c>
      <c r="E197" s="6">
        <v>43858</v>
      </c>
      <c r="F197" s="7">
        <v>-1</v>
      </c>
      <c r="G197" s="7">
        <v>0</v>
      </c>
      <c r="H197" s="7">
        <v>0</v>
      </c>
    </row>
    <row r="198" spans="1:8">
      <c r="A198" s="4" t="s">
        <v>746</v>
      </c>
      <c r="B198" s="4" t="s">
        <v>747</v>
      </c>
      <c r="C198" s="4" t="s">
        <v>964</v>
      </c>
      <c r="D198" s="4" t="s">
        <v>1069</v>
      </c>
      <c r="E198" s="6">
        <v>43857</v>
      </c>
      <c r="F198" s="7">
        <v>41</v>
      </c>
      <c r="G198" s="7">
        <v>27.66</v>
      </c>
      <c r="H198" s="7">
        <v>5.99</v>
      </c>
    </row>
    <row r="199" spans="1:8">
      <c r="A199" s="4" t="s">
        <v>746</v>
      </c>
      <c r="B199" s="4" t="s">
        <v>747</v>
      </c>
      <c r="C199" s="4" t="s">
        <v>964</v>
      </c>
      <c r="D199" s="4" t="s">
        <v>1069</v>
      </c>
      <c r="E199" s="6">
        <v>43857</v>
      </c>
      <c r="F199" s="7">
        <v>9</v>
      </c>
      <c r="G199" s="7">
        <v>6.07</v>
      </c>
      <c r="H199" s="7">
        <v>1.33</v>
      </c>
    </row>
    <row r="200" spans="1:8">
      <c r="A200" s="4" t="s">
        <v>746</v>
      </c>
      <c r="B200" s="4" t="s">
        <v>747</v>
      </c>
      <c r="C200" s="4" t="s">
        <v>1040</v>
      </c>
      <c r="D200" s="4" t="s">
        <v>1070</v>
      </c>
      <c r="E200" s="6">
        <v>43857</v>
      </c>
      <c r="F200" s="7">
        <v>50</v>
      </c>
      <c r="G200" s="7">
        <v>66.27</v>
      </c>
      <c r="H200" s="7">
        <v>14.59</v>
      </c>
    </row>
    <row r="201" spans="1:8">
      <c r="A201" s="4" t="s">
        <v>746</v>
      </c>
      <c r="B201" s="4" t="s">
        <v>747</v>
      </c>
      <c r="C201" s="4" t="s">
        <v>1042</v>
      </c>
      <c r="D201" s="4" t="s">
        <v>1071</v>
      </c>
      <c r="E201" s="6">
        <v>43857</v>
      </c>
      <c r="F201" s="7">
        <v>50</v>
      </c>
      <c r="G201" s="7">
        <v>24.87</v>
      </c>
      <c r="H201" s="7">
        <v>6.99</v>
      </c>
    </row>
    <row r="202" spans="1:8">
      <c r="A202" s="4" t="s">
        <v>746</v>
      </c>
      <c r="B202" s="4" t="s">
        <v>747</v>
      </c>
      <c r="C202" s="4" t="s">
        <v>1044</v>
      </c>
      <c r="D202" s="4" t="s">
        <v>1072</v>
      </c>
      <c r="E202" s="6">
        <v>43857</v>
      </c>
      <c r="F202" s="7">
        <v>239</v>
      </c>
      <c r="G202" s="7">
        <v>925.95</v>
      </c>
      <c r="H202" s="7">
        <v>0</v>
      </c>
    </row>
    <row r="203" spans="1:8">
      <c r="A203" s="4" t="s">
        <v>746</v>
      </c>
      <c r="B203" s="4" t="s">
        <v>747</v>
      </c>
      <c r="C203" s="4" t="s">
        <v>1044</v>
      </c>
      <c r="D203" s="4" t="s">
        <v>1072</v>
      </c>
      <c r="E203" s="6">
        <v>43857</v>
      </c>
      <c r="F203" s="7">
        <v>11</v>
      </c>
      <c r="G203" s="7">
        <v>42.62</v>
      </c>
      <c r="H203" s="7">
        <v>4.7299999999999995</v>
      </c>
    </row>
    <row r="204" spans="1:8">
      <c r="A204" s="4" t="s">
        <v>746</v>
      </c>
      <c r="B204" s="4" t="s">
        <v>747</v>
      </c>
      <c r="C204" s="4" t="s">
        <v>784</v>
      </c>
      <c r="D204" s="4" t="s">
        <v>1073</v>
      </c>
      <c r="E204" s="6">
        <v>43857</v>
      </c>
      <c r="F204" s="7">
        <v>1</v>
      </c>
      <c r="G204" s="7">
        <v>0</v>
      </c>
      <c r="H204" s="7">
        <v>0</v>
      </c>
    </row>
    <row r="205" spans="1:8">
      <c r="A205" s="4" t="s">
        <v>83</v>
      </c>
      <c r="B205" s="4" t="s">
        <v>84</v>
      </c>
      <c r="C205" s="4" t="s">
        <v>964</v>
      </c>
      <c r="D205" s="4" t="s">
        <v>1074</v>
      </c>
      <c r="E205" s="6">
        <v>43851</v>
      </c>
      <c r="F205" s="7">
        <v>-50</v>
      </c>
      <c r="G205" s="7">
        <v>-33.729999999999997</v>
      </c>
      <c r="H205" s="7">
        <v>0</v>
      </c>
    </row>
    <row r="206" spans="1:8">
      <c r="A206" s="4" t="s">
        <v>83</v>
      </c>
      <c r="B206" s="4" t="s">
        <v>84</v>
      </c>
      <c r="C206" s="4" t="s">
        <v>1040</v>
      </c>
      <c r="D206" s="4" t="s">
        <v>1075</v>
      </c>
      <c r="E206" s="6">
        <v>43851</v>
      </c>
      <c r="F206" s="7">
        <v>-50</v>
      </c>
      <c r="G206" s="7">
        <v>-66.27</v>
      </c>
      <c r="H206" s="7">
        <v>0</v>
      </c>
    </row>
    <row r="207" spans="1:8">
      <c r="A207" s="4" t="s">
        <v>83</v>
      </c>
      <c r="B207" s="4" t="s">
        <v>84</v>
      </c>
      <c r="C207" s="4" t="s">
        <v>1042</v>
      </c>
      <c r="D207" s="4" t="s">
        <v>1076</v>
      </c>
      <c r="E207" s="6">
        <v>43851</v>
      </c>
      <c r="F207" s="7">
        <v>-50</v>
      </c>
      <c r="G207" s="7">
        <v>-24.87</v>
      </c>
      <c r="H207" s="7">
        <v>0</v>
      </c>
    </row>
    <row r="208" spans="1:8">
      <c r="A208" s="4" t="s">
        <v>83</v>
      </c>
      <c r="B208" s="4" t="s">
        <v>84</v>
      </c>
      <c r="C208" s="4" t="s">
        <v>1044</v>
      </c>
      <c r="D208" s="4" t="s">
        <v>1077</v>
      </c>
      <c r="E208" s="6">
        <v>43851</v>
      </c>
      <c r="F208" s="7">
        <v>-250</v>
      </c>
      <c r="G208" s="7">
        <v>-968.57</v>
      </c>
      <c r="H208" s="7">
        <v>0</v>
      </c>
    </row>
    <row r="209" spans="1:8">
      <c r="A209" s="4" t="s">
        <v>83</v>
      </c>
      <c r="B209" s="4" t="s">
        <v>84</v>
      </c>
      <c r="C209" s="4" t="s">
        <v>784</v>
      </c>
      <c r="D209" s="4" t="s">
        <v>1078</v>
      </c>
      <c r="E209" s="6">
        <v>43851</v>
      </c>
      <c r="F209" s="7">
        <v>-1</v>
      </c>
      <c r="G209" s="7">
        <v>0</v>
      </c>
      <c r="H209" s="7">
        <v>0</v>
      </c>
    </row>
    <row r="210" spans="1:8">
      <c r="A210" s="4" t="s">
        <v>96</v>
      </c>
      <c r="B210" s="4" t="s">
        <v>97</v>
      </c>
      <c r="C210" s="4" t="s">
        <v>1079</v>
      </c>
      <c r="D210" s="4" t="s">
        <v>1080</v>
      </c>
      <c r="E210" s="6">
        <v>43859</v>
      </c>
      <c r="F210" s="7">
        <v>-20</v>
      </c>
      <c r="G210" s="7">
        <v>-15.82</v>
      </c>
      <c r="H210" s="7">
        <v>0</v>
      </c>
    </row>
    <row r="211" spans="1:8">
      <c r="A211" s="4" t="s">
        <v>96</v>
      </c>
      <c r="B211" s="4" t="s">
        <v>97</v>
      </c>
      <c r="C211" s="4" t="s">
        <v>840</v>
      </c>
      <c r="D211" s="4" t="s">
        <v>1081</v>
      </c>
      <c r="E211" s="6">
        <v>43859</v>
      </c>
      <c r="F211" s="7">
        <v>-1</v>
      </c>
      <c r="G211" s="7">
        <v>0</v>
      </c>
      <c r="H211" s="7">
        <v>0</v>
      </c>
    </row>
    <row r="212" spans="1:8">
      <c r="A212" s="4" t="s">
        <v>96</v>
      </c>
      <c r="B212" s="4" t="s">
        <v>97</v>
      </c>
      <c r="C212" s="4" t="s">
        <v>1082</v>
      </c>
      <c r="D212" s="4" t="s">
        <v>1083</v>
      </c>
      <c r="E212" s="6">
        <v>43859</v>
      </c>
      <c r="F212" s="7">
        <v>-100</v>
      </c>
      <c r="G212" s="7">
        <v>-50.6</v>
      </c>
      <c r="H212" s="7">
        <v>0</v>
      </c>
    </row>
    <row r="213" spans="1:8">
      <c r="A213" s="4" t="s">
        <v>96</v>
      </c>
      <c r="B213" s="4" t="s">
        <v>97</v>
      </c>
      <c r="C213" s="4" t="s">
        <v>840</v>
      </c>
      <c r="D213" s="4" t="s">
        <v>1084</v>
      </c>
      <c r="E213" s="6">
        <v>43859</v>
      </c>
      <c r="F213" s="7">
        <v>-1</v>
      </c>
      <c r="G213" s="7">
        <v>0</v>
      </c>
      <c r="H213" s="7">
        <v>0</v>
      </c>
    </row>
    <row r="214" spans="1:8">
      <c r="A214" s="4" t="s">
        <v>96</v>
      </c>
      <c r="B214" s="4" t="s">
        <v>97</v>
      </c>
      <c r="C214" s="4" t="s">
        <v>784</v>
      </c>
      <c r="D214" s="4" t="s">
        <v>1085</v>
      </c>
      <c r="E214" s="6">
        <v>43859</v>
      </c>
      <c r="F214" s="7">
        <v>-1</v>
      </c>
      <c r="G214" s="7">
        <v>0</v>
      </c>
      <c r="H214" s="7">
        <v>0</v>
      </c>
    </row>
    <row r="215" spans="1:8">
      <c r="A215" s="4" t="s">
        <v>157</v>
      </c>
      <c r="B215" s="4" t="s">
        <v>158</v>
      </c>
      <c r="C215" s="4" t="s">
        <v>1086</v>
      </c>
      <c r="D215" s="4" t="s">
        <v>1087</v>
      </c>
      <c r="E215" s="6">
        <v>43875</v>
      </c>
      <c r="F215" s="7">
        <v>-800</v>
      </c>
      <c r="G215" s="7">
        <v>-450.96000000000004</v>
      </c>
      <c r="H215" s="7">
        <v>0</v>
      </c>
    </row>
    <row r="216" spans="1:8">
      <c r="A216" s="4" t="s">
        <v>121</v>
      </c>
      <c r="B216" s="4" t="s">
        <v>122</v>
      </c>
      <c r="C216" s="4" t="s">
        <v>1088</v>
      </c>
      <c r="D216" s="4" t="s">
        <v>1089</v>
      </c>
      <c r="E216" s="6">
        <v>43868</v>
      </c>
      <c r="F216" s="7">
        <v>-1000</v>
      </c>
      <c r="G216" s="7">
        <v>-342.46999999999997</v>
      </c>
      <c r="H216" s="7">
        <v>0</v>
      </c>
    </row>
    <row r="217" spans="1:8">
      <c r="A217" s="4" t="s">
        <v>121</v>
      </c>
      <c r="B217" s="4" t="s">
        <v>122</v>
      </c>
      <c r="C217" s="4" t="s">
        <v>1090</v>
      </c>
      <c r="D217" s="4" t="s">
        <v>1091</v>
      </c>
      <c r="E217" s="6">
        <v>43868</v>
      </c>
      <c r="F217" s="7">
        <v>-1000</v>
      </c>
      <c r="G217" s="7">
        <v>-523.37</v>
      </c>
      <c r="H217" s="7">
        <v>0</v>
      </c>
    </row>
    <row r="218" spans="1:8">
      <c r="A218" s="4" t="s">
        <v>121</v>
      </c>
      <c r="B218" s="4" t="s">
        <v>122</v>
      </c>
      <c r="C218" s="4" t="s">
        <v>840</v>
      </c>
      <c r="D218" s="4" t="s">
        <v>1092</v>
      </c>
      <c r="E218" s="6">
        <v>43868</v>
      </c>
      <c r="F218" s="7">
        <v>-1</v>
      </c>
      <c r="G218" s="7">
        <v>0</v>
      </c>
      <c r="H218" s="7">
        <v>0</v>
      </c>
    </row>
    <row r="219" spans="1:8">
      <c r="A219" s="4" t="s">
        <v>121</v>
      </c>
      <c r="B219" s="4" t="s">
        <v>122</v>
      </c>
      <c r="C219" s="4" t="s">
        <v>784</v>
      </c>
      <c r="D219" s="4" t="s">
        <v>1093</v>
      </c>
      <c r="E219" s="6">
        <v>43868</v>
      </c>
      <c r="F219" s="7">
        <v>-1</v>
      </c>
      <c r="G219" s="7">
        <v>0</v>
      </c>
      <c r="H219" s="7">
        <v>0</v>
      </c>
    </row>
    <row r="220" spans="1:8">
      <c r="A220" s="4" t="s">
        <v>86</v>
      </c>
      <c r="B220" s="4" t="s">
        <v>87</v>
      </c>
      <c r="C220" s="4" t="s">
        <v>1094</v>
      </c>
      <c r="D220" s="4" t="s">
        <v>1095</v>
      </c>
      <c r="E220" s="6">
        <v>43858</v>
      </c>
      <c r="F220" s="7">
        <v>-6</v>
      </c>
      <c r="G220" s="7">
        <v>-11</v>
      </c>
      <c r="H220" s="7">
        <v>0</v>
      </c>
    </row>
    <row r="221" spans="1:8">
      <c r="A221" s="4" t="s">
        <v>143</v>
      </c>
      <c r="B221" s="4" t="s">
        <v>144</v>
      </c>
      <c r="C221" s="4" t="s">
        <v>1096</v>
      </c>
      <c r="D221" s="4" t="s">
        <v>1097</v>
      </c>
      <c r="E221" s="6">
        <v>43873</v>
      </c>
      <c r="F221" s="7">
        <v>-100</v>
      </c>
      <c r="G221" s="7">
        <v>-260.89999999999998</v>
      </c>
      <c r="H221" s="7">
        <v>0</v>
      </c>
    </row>
    <row r="222" spans="1:8">
      <c r="A222" s="4" t="s">
        <v>143</v>
      </c>
      <c r="B222" s="4" t="s">
        <v>144</v>
      </c>
      <c r="C222" s="4" t="s">
        <v>959</v>
      </c>
      <c r="D222" s="4" t="s">
        <v>1098</v>
      </c>
      <c r="E222" s="6">
        <v>43873</v>
      </c>
      <c r="F222" s="7">
        <v>-60</v>
      </c>
      <c r="G222" s="7">
        <v>-135.81</v>
      </c>
      <c r="H222" s="7">
        <v>0</v>
      </c>
    </row>
    <row r="223" spans="1:8">
      <c r="A223" s="4" t="s">
        <v>143</v>
      </c>
      <c r="B223" s="4" t="s">
        <v>144</v>
      </c>
      <c r="C223" s="4" t="s">
        <v>817</v>
      </c>
      <c r="D223" s="4" t="s">
        <v>1099</v>
      </c>
      <c r="E223" s="6">
        <v>43873</v>
      </c>
      <c r="F223" s="7">
        <v>-240</v>
      </c>
      <c r="G223" s="7">
        <v>-227.35999999999999</v>
      </c>
      <c r="H223" s="7">
        <v>0</v>
      </c>
    </row>
    <row r="224" spans="1:8">
      <c r="A224" s="4" t="s">
        <v>143</v>
      </c>
      <c r="B224" s="4" t="s">
        <v>144</v>
      </c>
      <c r="C224" s="4" t="s">
        <v>813</v>
      </c>
      <c r="D224" s="4" t="s">
        <v>1100</v>
      </c>
      <c r="E224" s="6">
        <v>43873</v>
      </c>
      <c r="F224" s="7">
        <v>-90</v>
      </c>
      <c r="G224" s="7">
        <v>-101.47</v>
      </c>
      <c r="H224" s="7">
        <v>0</v>
      </c>
    </row>
    <row r="225" spans="1:8">
      <c r="A225" s="4" t="s">
        <v>143</v>
      </c>
      <c r="B225" s="4" t="s">
        <v>144</v>
      </c>
      <c r="C225" s="4" t="s">
        <v>821</v>
      </c>
      <c r="D225" s="4" t="s">
        <v>1101</v>
      </c>
      <c r="E225" s="6">
        <v>43873</v>
      </c>
      <c r="F225" s="7">
        <v>-10</v>
      </c>
      <c r="G225" s="7">
        <v>-30</v>
      </c>
      <c r="H225" s="7">
        <v>-0.01</v>
      </c>
    </row>
    <row r="226" spans="1:8">
      <c r="A226" s="4" t="s">
        <v>143</v>
      </c>
      <c r="B226" s="4" t="s">
        <v>144</v>
      </c>
      <c r="C226" s="4" t="s">
        <v>1102</v>
      </c>
      <c r="D226" s="4" t="s">
        <v>1103</v>
      </c>
      <c r="E226" s="6">
        <v>43873</v>
      </c>
      <c r="F226" s="7">
        <v>-25</v>
      </c>
      <c r="G226" s="7">
        <v>-150.78</v>
      </c>
      <c r="H226" s="7">
        <v>0</v>
      </c>
    </row>
    <row r="227" spans="1:8">
      <c r="A227" s="4" t="s">
        <v>143</v>
      </c>
      <c r="B227" s="4" t="s">
        <v>144</v>
      </c>
      <c r="C227" s="4" t="s">
        <v>1104</v>
      </c>
      <c r="D227" s="4" t="s">
        <v>1105</v>
      </c>
      <c r="E227" s="6">
        <v>43873</v>
      </c>
      <c r="F227" s="7">
        <v>-150</v>
      </c>
      <c r="G227" s="7">
        <v>-205.48000000000002</v>
      </c>
      <c r="H227" s="7">
        <v>0</v>
      </c>
    </row>
    <row r="228" spans="1:8">
      <c r="A228" s="4" t="s">
        <v>143</v>
      </c>
      <c r="B228" s="4" t="s">
        <v>144</v>
      </c>
      <c r="C228" s="4" t="s">
        <v>1106</v>
      </c>
      <c r="D228" s="4" t="s">
        <v>1107</v>
      </c>
      <c r="E228" s="6">
        <v>43873</v>
      </c>
      <c r="F228" s="7">
        <v>-370</v>
      </c>
      <c r="G228" s="7">
        <v>-506.4</v>
      </c>
      <c r="H228" s="7">
        <v>0</v>
      </c>
    </row>
    <row r="229" spans="1:8">
      <c r="A229" s="4" t="s">
        <v>143</v>
      </c>
      <c r="B229" s="4" t="s">
        <v>144</v>
      </c>
      <c r="C229" s="4" t="s">
        <v>815</v>
      </c>
      <c r="D229" s="4" t="s">
        <v>1108</v>
      </c>
      <c r="E229" s="6">
        <v>43873</v>
      </c>
      <c r="F229" s="7">
        <v>-360</v>
      </c>
      <c r="G229" s="7">
        <v>-675.87</v>
      </c>
      <c r="H229" s="7">
        <v>-0.01</v>
      </c>
    </row>
    <row r="230" spans="1:8">
      <c r="A230" s="4" t="s">
        <v>143</v>
      </c>
      <c r="B230" s="4" t="s">
        <v>144</v>
      </c>
      <c r="C230" s="4" t="s">
        <v>1109</v>
      </c>
      <c r="D230" s="4" t="s">
        <v>1110</v>
      </c>
      <c r="E230" s="6">
        <v>43873</v>
      </c>
      <c r="F230" s="7">
        <v>-60</v>
      </c>
      <c r="G230" s="7">
        <v>-187.53</v>
      </c>
      <c r="H230" s="7">
        <v>0</v>
      </c>
    </row>
    <row r="231" spans="1:8">
      <c r="A231" s="4" t="s">
        <v>143</v>
      </c>
      <c r="B231" s="4" t="s">
        <v>144</v>
      </c>
      <c r="C231" s="4" t="s">
        <v>823</v>
      </c>
      <c r="D231" s="4" t="s">
        <v>1111</v>
      </c>
      <c r="E231" s="6">
        <v>43873</v>
      </c>
      <c r="F231" s="7">
        <v>-75</v>
      </c>
      <c r="G231" s="7">
        <v>-269.58000000000004</v>
      </c>
      <c r="H231" s="7">
        <v>0</v>
      </c>
    </row>
    <row r="232" spans="1:8">
      <c r="A232" s="4" t="s">
        <v>143</v>
      </c>
      <c r="B232" s="4" t="s">
        <v>144</v>
      </c>
      <c r="C232" s="4" t="s">
        <v>885</v>
      </c>
      <c r="D232" s="4" t="s">
        <v>1112</v>
      </c>
      <c r="E232" s="6">
        <v>43873</v>
      </c>
      <c r="F232" s="7">
        <v>-90</v>
      </c>
      <c r="G232" s="7">
        <v>-390.09000000000003</v>
      </c>
      <c r="H232" s="7">
        <v>0</v>
      </c>
    </row>
    <row r="233" spans="1:8">
      <c r="A233" s="4" t="s">
        <v>143</v>
      </c>
      <c r="B233" s="4" t="s">
        <v>144</v>
      </c>
      <c r="C233" s="4" t="s">
        <v>1113</v>
      </c>
      <c r="D233" s="4" t="s">
        <v>1114</v>
      </c>
      <c r="E233" s="6">
        <v>43873</v>
      </c>
      <c r="F233" s="7">
        <v>-350</v>
      </c>
      <c r="G233" s="7">
        <v>-1554.03</v>
      </c>
      <c r="H233" s="7">
        <v>0</v>
      </c>
    </row>
    <row r="234" spans="1:8">
      <c r="A234" s="4" t="s">
        <v>143</v>
      </c>
      <c r="B234" s="4" t="s">
        <v>144</v>
      </c>
      <c r="C234" s="4" t="s">
        <v>784</v>
      </c>
      <c r="D234" s="4" t="s">
        <v>1115</v>
      </c>
      <c r="E234" s="6">
        <v>43873</v>
      </c>
      <c r="F234" s="7">
        <v>-1</v>
      </c>
      <c r="G234" s="7">
        <v>0</v>
      </c>
      <c r="H234" s="7">
        <v>0</v>
      </c>
    </row>
    <row r="235" spans="1:8">
      <c r="A235" s="4" t="s">
        <v>258</v>
      </c>
      <c r="B235" s="4" t="s">
        <v>259</v>
      </c>
      <c r="C235" s="4" t="s">
        <v>1116</v>
      </c>
      <c r="D235" s="4" t="s">
        <v>1117</v>
      </c>
      <c r="E235" s="6">
        <v>43907</v>
      </c>
      <c r="F235" s="7">
        <v>-500</v>
      </c>
      <c r="G235" s="7">
        <v>-4054.34</v>
      </c>
      <c r="H235" s="7">
        <v>0</v>
      </c>
    </row>
    <row r="236" spans="1:8">
      <c r="A236" s="4" t="s">
        <v>258</v>
      </c>
      <c r="B236" s="4" t="s">
        <v>259</v>
      </c>
      <c r="C236" s="4" t="s">
        <v>791</v>
      </c>
      <c r="D236" s="4" t="s">
        <v>1118</v>
      </c>
      <c r="E236" s="6">
        <v>43907</v>
      </c>
      <c r="F236" s="7">
        <v>-100</v>
      </c>
      <c r="G236" s="7">
        <v>-928.28</v>
      </c>
      <c r="H236" s="7">
        <v>0</v>
      </c>
    </row>
    <row r="237" spans="1:8">
      <c r="A237" s="4" t="s">
        <v>258</v>
      </c>
      <c r="B237" s="4" t="s">
        <v>259</v>
      </c>
      <c r="C237" s="4" t="s">
        <v>797</v>
      </c>
      <c r="D237" s="4" t="s">
        <v>1119</v>
      </c>
      <c r="E237" s="6">
        <v>43907</v>
      </c>
      <c r="F237" s="7">
        <v>-650</v>
      </c>
      <c r="G237" s="7">
        <v>-6415.44</v>
      </c>
      <c r="H237" s="7">
        <v>0</v>
      </c>
    </row>
    <row r="238" spans="1:8">
      <c r="A238" s="4" t="s">
        <v>258</v>
      </c>
      <c r="B238" s="4" t="s">
        <v>259</v>
      </c>
      <c r="C238" s="4" t="s">
        <v>793</v>
      </c>
      <c r="D238" s="4" t="s">
        <v>1120</v>
      </c>
      <c r="E238" s="6">
        <v>43907</v>
      </c>
      <c r="F238" s="7">
        <v>-200</v>
      </c>
      <c r="G238" s="7">
        <v>-2091.4</v>
      </c>
      <c r="H238" s="7">
        <v>0</v>
      </c>
    </row>
    <row r="239" spans="1:8">
      <c r="A239" s="4" t="s">
        <v>258</v>
      </c>
      <c r="B239" s="4" t="s">
        <v>259</v>
      </c>
      <c r="C239" s="4" t="s">
        <v>795</v>
      </c>
      <c r="D239" s="4" t="s">
        <v>1121</v>
      </c>
      <c r="E239" s="6">
        <v>43907</v>
      </c>
      <c r="F239" s="7">
        <v>-600</v>
      </c>
      <c r="G239" s="7">
        <v>-3808.47</v>
      </c>
      <c r="H239" s="7">
        <v>0</v>
      </c>
    </row>
    <row r="240" spans="1:8">
      <c r="A240" s="4" t="s">
        <v>258</v>
      </c>
      <c r="B240" s="4" t="s">
        <v>259</v>
      </c>
      <c r="C240" s="4" t="s">
        <v>789</v>
      </c>
      <c r="D240" s="4" t="s">
        <v>1122</v>
      </c>
      <c r="E240" s="6">
        <v>43907</v>
      </c>
      <c r="F240" s="7">
        <v>-697</v>
      </c>
      <c r="G240" s="7">
        <v>-3810.39</v>
      </c>
      <c r="H240" s="7">
        <v>0</v>
      </c>
    </row>
    <row r="241" spans="1:8">
      <c r="A241" s="4" t="s">
        <v>127</v>
      </c>
      <c r="B241" s="4" t="s">
        <v>128</v>
      </c>
      <c r="C241" s="4" t="s">
        <v>851</v>
      </c>
      <c r="D241" s="4" t="s">
        <v>1123</v>
      </c>
      <c r="E241" s="6">
        <v>43868</v>
      </c>
      <c r="F241" s="7">
        <v>-25</v>
      </c>
      <c r="G241" s="7">
        <v>-38.42</v>
      </c>
      <c r="H241" s="7">
        <v>0.01</v>
      </c>
    </row>
    <row r="242" spans="1:8">
      <c r="A242" s="4" t="s">
        <v>102</v>
      </c>
      <c r="B242" s="4" t="s">
        <v>103</v>
      </c>
      <c r="C242" s="4" t="s">
        <v>942</v>
      </c>
      <c r="D242" s="4" t="s">
        <v>1124</v>
      </c>
      <c r="E242" s="6">
        <v>43861</v>
      </c>
      <c r="F242" s="7">
        <v>-20</v>
      </c>
      <c r="G242" s="7">
        <v>-16.78</v>
      </c>
      <c r="H242" s="7">
        <v>0</v>
      </c>
    </row>
    <row r="243" spans="1:8">
      <c r="A243" s="4" t="s">
        <v>102</v>
      </c>
      <c r="B243" s="4" t="s">
        <v>103</v>
      </c>
      <c r="C243" s="4" t="s">
        <v>979</v>
      </c>
      <c r="D243" s="4" t="s">
        <v>1125</v>
      </c>
      <c r="E243" s="6">
        <v>43861</v>
      </c>
      <c r="F243" s="7">
        <v>-10</v>
      </c>
      <c r="G243" s="7">
        <v>-10.63</v>
      </c>
      <c r="H243" s="7">
        <v>0</v>
      </c>
    </row>
    <row r="244" spans="1:8">
      <c r="A244" s="4" t="s">
        <v>102</v>
      </c>
      <c r="B244" s="4" t="s">
        <v>103</v>
      </c>
      <c r="C244" s="4" t="s">
        <v>1126</v>
      </c>
      <c r="D244" s="4" t="s">
        <v>1127</v>
      </c>
      <c r="E244" s="6">
        <v>43861</v>
      </c>
      <c r="F244" s="7">
        <v>-10</v>
      </c>
      <c r="G244" s="7">
        <v>-12.44</v>
      </c>
      <c r="H244" s="7">
        <v>0</v>
      </c>
    </row>
    <row r="245" spans="1:8">
      <c r="A245" s="4" t="s">
        <v>102</v>
      </c>
      <c r="B245" s="4" t="s">
        <v>103</v>
      </c>
      <c r="C245" s="4" t="s">
        <v>784</v>
      </c>
      <c r="D245" s="4" t="s">
        <v>1128</v>
      </c>
      <c r="E245" s="6">
        <v>43861</v>
      </c>
      <c r="F245" s="7">
        <v>-1</v>
      </c>
      <c r="G245" s="7">
        <v>0</v>
      </c>
      <c r="H245" s="7">
        <v>0</v>
      </c>
    </row>
    <row r="246" spans="1:8">
      <c r="A246" s="4" t="s">
        <v>104</v>
      </c>
      <c r="B246" s="4" t="s">
        <v>105</v>
      </c>
      <c r="C246" s="4" t="s">
        <v>1129</v>
      </c>
      <c r="D246" s="4" t="s">
        <v>1130</v>
      </c>
      <c r="E246" s="6">
        <v>43861</v>
      </c>
      <c r="F246" s="7">
        <v>-100</v>
      </c>
      <c r="G246" s="7">
        <v>-14.25</v>
      </c>
      <c r="H246" s="7">
        <v>-0.01</v>
      </c>
    </row>
    <row r="247" spans="1:8">
      <c r="A247" s="4" t="s">
        <v>104</v>
      </c>
      <c r="B247" s="4" t="s">
        <v>105</v>
      </c>
      <c r="C247" s="4" t="s">
        <v>1131</v>
      </c>
      <c r="D247" s="4" t="s">
        <v>1132</v>
      </c>
      <c r="E247" s="6">
        <v>43861</v>
      </c>
      <c r="F247" s="7">
        <v>-200</v>
      </c>
      <c r="G247" s="7">
        <v>-27.91</v>
      </c>
      <c r="H247" s="7">
        <v>-0.01</v>
      </c>
    </row>
    <row r="248" spans="1:8">
      <c r="A248" s="4" t="s">
        <v>104</v>
      </c>
      <c r="B248" s="4" t="s">
        <v>105</v>
      </c>
      <c r="C248" s="4" t="s">
        <v>1133</v>
      </c>
      <c r="D248" s="4" t="s">
        <v>1134</v>
      </c>
      <c r="E248" s="6">
        <v>43861</v>
      </c>
      <c r="F248" s="7">
        <v>-100</v>
      </c>
      <c r="G248" s="7">
        <v>-16.260000000000002</v>
      </c>
      <c r="H248" s="7">
        <v>0.01</v>
      </c>
    </row>
    <row r="249" spans="1:8">
      <c r="A249" s="4" t="s">
        <v>104</v>
      </c>
      <c r="B249" s="4" t="s">
        <v>105</v>
      </c>
      <c r="C249" s="4" t="s">
        <v>1135</v>
      </c>
      <c r="D249" s="4" t="s">
        <v>1136</v>
      </c>
      <c r="E249" s="6">
        <v>43861</v>
      </c>
      <c r="F249" s="7">
        <v>-200</v>
      </c>
      <c r="G249" s="7">
        <v>-38.75</v>
      </c>
      <c r="H249" s="7">
        <v>-0.01</v>
      </c>
    </row>
    <row r="250" spans="1:8">
      <c r="A250" s="4" t="s">
        <v>104</v>
      </c>
      <c r="B250" s="4" t="s">
        <v>105</v>
      </c>
      <c r="C250" s="4" t="s">
        <v>1137</v>
      </c>
      <c r="D250" s="4" t="s">
        <v>1138</v>
      </c>
      <c r="E250" s="6">
        <v>43861</v>
      </c>
      <c r="F250" s="7">
        <v>-100</v>
      </c>
      <c r="G250" s="7">
        <v>-24.15</v>
      </c>
      <c r="H250" s="7">
        <v>0</v>
      </c>
    </row>
    <row r="251" spans="1:8">
      <c r="A251" s="4" t="s">
        <v>104</v>
      </c>
      <c r="B251" s="4" t="s">
        <v>105</v>
      </c>
      <c r="C251" s="4" t="s">
        <v>1139</v>
      </c>
      <c r="D251" s="4" t="s">
        <v>1140</v>
      </c>
      <c r="E251" s="6">
        <v>43861</v>
      </c>
      <c r="F251" s="7">
        <v>-100</v>
      </c>
      <c r="G251" s="7">
        <v>-53.14</v>
      </c>
      <c r="H251" s="7">
        <v>0</v>
      </c>
    </row>
    <row r="252" spans="1:8">
      <c r="A252" s="4" t="s">
        <v>104</v>
      </c>
      <c r="B252" s="4" t="s">
        <v>105</v>
      </c>
      <c r="C252" s="4" t="s">
        <v>1063</v>
      </c>
      <c r="D252" s="4" t="s">
        <v>1141</v>
      </c>
      <c r="E252" s="6">
        <v>43861</v>
      </c>
      <c r="F252" s="7">
        <v>-15</v>
      </c>
      <c r="G252" s="7">
        <v>-8.0299999999999994</v>
      </c>
      <c r="H252" s="7">
        <v>0</v>
      </c>
    </row>
    <row r="253" spans="1:8">
      <c r="A253" s="4" t="s">
        <v>104</v>
      </c>
      <c r="B253" s="4" t="s">
        <v>105</v>
      </c>
      <c r="C253" s="4" t="s">
        <v>987</v>
      </c>
      <c r="D253" s="4" t="s">
        <v>1142</v>
      </c>
      <c r="E253" s="6">
        <v>43861</v>
      </c>
      <c r="F253" s="7">
        <v>-20</v>
      </c>
      <c r="G253" s="7">
        <v>-11.76</v>
      </c>
      <c r="H253" s="7">
        <v>-0.01</v>
      </c>
    </row>
    <row r="254" spans="1:8">
      <c r="A254" s="4" t="s">
        <v>104</v>
      </c>
      <c r="B254" s="4" t="s">
        <v>105</v>
      </c>
      <c r="C254" s="4" t="s">
        <v>1143</v>
      </c>
      <c r="D254" s="4" t="s">
        <v>1144</v>
      </c>
      <c r="E254" s="6">
        <v>43861</v>
      </c>
      <c r="F254" s="7">
        <v>-100</v>
      </c>
      <c r="G254" s="7">
        <v>-33.729999999999997</v>
      </c>
      <c r="H254" s="7">
        <v>0</v>
      </c>
    </row>
    <row r="255" spans="1:8">
      <c r="A255" s="4" t="s">
        <v>104</v>
      </c>
      <c r="B255" s="4" t="s">
        <v>105</v>
      </c>
      <c r="C255" s="4" t="s">
        <v>964</v>
      </c>
      <c r="D255" s="4" t="s">
        <v>1145</v>
      </c>
      <c r="E255" s="6">
        <v>43861</v>
      </c>
      <c r="F255" s="7">
        <v>-50</v>
      </c>
      <c r="G255" s="7">
        <v>-33.729999999999997</v>
      </c>
      <c r="H255" s="7">
        <v>0</v>
      </c>
    </row>
    <row r="256" spans="1:8">
      <c r="A256" s="4" t="s">
        <v>104</v>
      </c>
      <c r="B256" s="4" t="s">
        <v>105</v>
      </c>
      <c r="C256" s="4" t="s">
        <v>1146</v>
      </c>
      <c r="D256" s="4" t="s">
        <v>1147</v>
      </c>
      <c r="E256" s="6">
        <v>43861</v>
      </c>
      <c r="F256" s="7">
        <v>-25</v>
      </c>
      <c r="G256" s="7">
        <v>-16.149999999999999</v>
      </c>
      <c r="H256" s="7">
        <v>0</v>
      </c>
    </row>
    <row r="257" spans="1:8">
      <c r="A257" s="4" t="s">
        <v>104</v>
      </c>
      <c r="B257" s="4" t="s">
        <v>105</v>
      </c>
      <c r="C257" s="4" t="s">
        <v>851</v>
      </c>
      <c r="D257" s="4" t="s">
        <v>1148</v>
      </c>
      <c r="E257" s="6">
        <v>43861</v>
      </c>
      <c r="F257" s="7">
        <v>-150</v>
      </c>
      <c r="G257" s="7">
        <v>-187.2</v>
      </c>
      <c r="H257" s="7">
        <v>-0.01</v>
      </c>
    </row>
    <row r="258" spans="1:8">
      <c r="A258" s="4" t="s">
        <v>104</v>
      </c>
      <c r="B258" s="4" t="s">
        <v>105</v>
      </c>
      <c r="C258" s="4" t="s">
        <v>1149</v>
      </c>
      <c r="D258" s="4" t="s">
        <v>1150</v>
      </c>
      <c r="E258" s="6">
        <v>43861</v>
      </c>
      <c r="F258" s="7">
        <v>-100</v>
      </c>
      <c r="G258" s="7">
        <v>-71.22</v>
      </c>
      <c r="H258" s="7">
        <v>0</v>
      </c>
    </row>
    <row r="259" spans="1:8">
      <c r="A259" s="4" t="s">
        <v>104</v>
      </c>
      <c r="B259" s="4" t="s">
        <v>105</v>
      </c>
      <c r="C259" s="4" t="s">
        <v>1151</v>
      </c>
      <c r="D259" s="4" t="s">
        <v>1152</v>
      </c>
      <c r="E259" s="6">
        <v>43861</v>
      </c>
      <c r="F259" s="7">
        <v>-100</v>
      </c>
      <c r="G259" s="7">
        <v>-74.209999999999994</v>
      </c>
      <c r="H259" s="7">
        <v>0</v>
      </c>
    </row>
    <row r="260" spans="1:8">
      <c r="A260" s="4" t="s">
        <v>104</v>
      </c>
      <c r="B260" s="4" t="s">
        <v>105</v>
      </c>
      <c r="C260" s="4" t="s">
        <v>853</v>
      </c>
      <c r="D260" s="4" t="s">
        <v>1153</v>
      </c>
      <c r="E260" s="6">
        <v>43861</v>
      </c>
      <c r="F260" s="7">
        <v>-25</v>
      </c>
      <c r="G260" s="7">
        <v>-37.11</v>
      </c>
      <c r="H260" s="7">
        <v>0</v>
      </c>
    </row>
    <row r="261" spans="1:8">
      <c r="A261" s="4" t="s">
        <v>104</v>
      </c>
      <c r="B261" s="4" t="s">
        <v>105</v>
      </c>
      <c r="C261" s="4" t="s">
        <v>1154</v>
      </c>
      <c r="D261" s="4" t="s">
        <v>1155</v>
      </c>
      <c r="E261" s="6">
        <v>43861</v>
      </c>
      <c r="F261" s="7">
        <v>-50</v>
      </c>
      <c r="G261" s="7">
        <v>-44.75</v>
      </c>
      <c r="H261" s="7">
        <v>0</v>
      </c>
    </row>
    <row r="262" spans="1:8">
      <c r="A262" s="4" t="s">
        <v>104</v>
      </c>
      <c r="B262" s="4" t="s">
        <v>105</v>
      </c>
      <c r="C262" s="4" t="s">
        <v>784</v>
      </c>
      <c r="D262" s="4" t="s">
        <v>1156</v>
      </c>
      <c r="E262" s="6">
        <v>43861</v>
      </c>
      <c r="F262" s="7">
        <v>-1</v>
      </c>
      <c r="G262" s="7">
        <v>0</v>
      </c>
      <c r="H262" s="7">
        <v>0</v>
      </c>
    </row>
    <row r="263" spans="1:8">
      <c r="A263" s="4" t="s">
        <v>161</v>
      </c>
      <c r="B263" s="4" t="s">
        <v>162</v>
      </c>
      <c r="C263" s="4" t="s">
        <v>1157</v>
      </c>
      <c r="D263" s="4" t="s">
        <v>1158</v>
      </c>
      <c r="E263" s="6">
        <v>43878</v>
      </c>
      <c r="F263" s="7">
        <v>-10000</v>
      </c>
      <c r="G263" s="7">
        <v>-1401.84</v>
      </c>
      <c r="H263" s="7">
        <v>0.01</v>
      </c>
    </row>
    <row r="264" spans="1:8">
      <c r="A264" s="4" t="s">
        <v>161</v>
      </c>
      <c r="B264" s="4" t="s">
        <v>162</v>
      </c>
      <c r="C264" s="4" t="s">
        <v>784</v>
      </c>
      <c r="D264" s="4" t="s">
        <v>1159</v>
      </c>
      <c r="E264" s="6">
        <v>43878</v>
      </c>
      <c r="F264" s="7">
        <v>-1</v>
      </c>
      <c r="G264" s="7">
        <v>0</v>
      </c>
      <c r="H264" s="7">
        <v>0</v>
      </c>
    </row>
    <row r="265" spans="1:8">
      <c r="A265" s="4" t="s">
        <v>110</v>
      </c>
      <c r="B265" s="4" t="s">
        <v>111</v>
      </c>
      <c r="C265" s="4" t="s">
        <v>985</v>
      </c>
      <c r="D265" s="4" t="s">
        <v>1160</v>
      </c>
      <c r="E265" s="6">
        <v>43865</v>
      </c>
      <c r="F265" s="7">
        <v>-100</v>
      </c>
      <c r="G265" s="7">
        <v>-184.94</v>
      </c>
      <c r="H265" s="7">
        <v>0</v>
      </c>
    </row>
    <row r="266" spans="1:8">
      <c r="A266" s="4" t="s">
        <v>110</v>
      </c>
      <c r="B266" s="4" t="s">
        <v>111</v>
      </c>
      <c r="C266" s="4" t="s">
        <v>1161</v>
      </c>
      <c r="D266" s="4" t="s">
        <v>1162</v>
      </c>
      <c r="E266" s="6">
        <v>43865</v>
      </c>
      <c r="F266" s="7">
        <v>-50</v>
      </c>
      <c r="G266" s="7">
        <v>-150.78</v>
      </c>
      <c r="H266" s="7">
        <v>0</v>
      </c>
    </row>
    <row r="267" spans="1:8">
      <c r="A267" s="4" t="s">
        <v>110</v>
      </c>
      <c r="B267" s="4" t="s">
        <v>111</v>
      </c>
      <c r="C267" s="4" t="s">
        <v>987</v>
      </c>
      <c r="D267" s="4" t="s">
        <v>1163</v>
      </c>
      <c r="E267" s="6">
        <v>43865</v>
      </c>
      <c r="F267" s="7">
        <v>-100</v>
      </c>
      <c r="G267" s="7">
        <v>-74.989999999999995</v>
      </c>
      <c r="H267" s="7">
        <v>0.01</v>
      </c>
    </row>
    <row r="268" spans="1:8">
      <c r="A268" s="4" t="s">
        <v>110</v>
      </c>
      <c r="B268" s="4" t="s">
        <v>111</v>
      </c>
      <c r="C268" s="4" t="s">
        <v>1146</v>
      </c>
      <c r="D268" s="4" t="s">
        <v>1164</v>
      </c>
      <c r="E268" s="6">
        <v>43865</v>
      </c>
      <c r="F268" s="7">
        <v>-50</v>
      </c>
      <c r="G268" s="7">
        <v>-40.119999999999997</v>
      </c>
      <c r="H268" s="7">
        <v>0</v>
      </c>
    </row>
    <row r="269" spans="1:8">
      <c r="A269" s="4" t="s">
        <v>110</v>
      </c>
      <c r="B269" s="4" t="s">
        <v>111</v>
      </c>
      <c r="C269" s="4" t="s">
        <v>1165</v>
      </c>
      <c r="D269" s="4" t="s">
        <v>1166</v>
      </c>
      <c r="E269" s="6">
        <v>43865</v>
      </c>
      <c r="F269" s="7">
        <v>-50</v>
      </c>
      <c r="G269" s="7">
        <v>-45.28</v>
      </c>
      <c r="H269" s="7">
        <v>0</v>
      </c>
    </row>
    <row r="270" spans="1:8">
      <c r="A270" s="4" t="s">
        <v>110</v>
      </c>
      <c r="B270" s="4" t="s">
        <v>111</v>
      </c>
      <c r="C270" s="4" t="s">
        <v>949</v>
      </c>
      <c r="D270" s="4" t="s">
        <v>1167</v>
      </c>
      <c r="E270" s="6">
        <v>43865</v>
      </c>
      <c r="F270" s="7">
        <v>-50</v>
      </c>
      <c r="G270" s="7">
        <v>-18.02</v>
      </c>
      <c r="H270" s="7">
        <v>0</v>
      </c>
    </row>
    <row r="271" spans="1:8">
      <c r="A271" s="4" t="s">
        <v>110</v>
      </c>
      <c r="B271" s="4" t="s">
        <v>111</v>
      </c>
      <c r="C271" s="4" t="s">
        <v>1168</v>
      </c>
      <c r="D271" s="4" t="s">
        <v>1169</v>
      </c>
      <c r="E271" s="6">
        <v>43865</v>
      </c>
      <c r="F271" s="7">
        <v>-50</v>
      </c>
      <c r="G271" s="7">
        <v>-40.47</v>
      </c>
      <c r="H271" s="7">
        <v>0</v>
      </c>
    </row>
    <row r="272" spans="1:8">
      <c r="A272" s="4" t="s">
        <v>110</v>
      </c>
      <c r="B272" s="4" t="s">
        <v>111</v>
      </c>
      <c r="C272" s="4" t="s">
        <v>889</v>
      </c>
      <c r="D272" s="4" t="s">
        <v>1170</v>
      </c>
      <c r="E272" s="6">
        <v>43865</v>
      </c>
      <c r="F272" s="7">
        <v>-100</v>
      </c>
      <c r="G272" s="7">
        <v>-44.67</v>
      </c>
      <c r="H272" s="7">
        <v>0</v>
      </c>
    </row>
    <row r="273" spans="1:8">
      <c r="A273" s="4" t="s">
        <v>110</v>
      </c>
      <c r="B273" s="4" t="s">
        <v>111</v>
      </c>
      <c r="C273" s="4" t="s">
        <v>891</v>
      </c>
      <c r="D273" s="4" t="s">
        <v>1171</v>
      </c>
      <c r="E273" s="6">
        <v>43865</v>
      </c>
      <c r="F273" s="7">
        <v>-50</v>
      </c>
      <c r="G273" s="7">
        <v>-36.54</v>
      </c>
      <c r="H273" s="7">
        <v>-0.01</v>
      </c>
    </row>
    <row r="274" spans="1:8">
      <c r="A274" s="4" t="s">
        <v>110</v>
      </c>
      <c r="B274" s="4" t="s">
        <v>111</v>
      </c>
      <c r="C274" s="4" t="s">
        <v>1026</v>
      </c>
      <c r="D274" s="4" t="s">
        <v>1172</v>
      </c>
      <c r="E274" s="6">
        <v>43865</v>
      </c>
      <c r="F274" s="7">
        <v>-100</v>
      </c>
      <c r="G274" s="7">
        <v>-68.430000000000007</v>
      </c>
      <c r="H274" s="7">
        <v>-0.01</v>
      </c>
    </row>
    <row r="275" spans="1:8">
      <c r="A275" s="4" t="s">
        <v>110</v>
      </c>
      <c r="B275" s="4" t="s">
        <v>111</v>
      </c>
      <c r="C275" s="4" t="s">
        <v>964</v>
      </c>
      <c r="D275" s="4" t="s">
        <v>1173</v>
      </c>
      <c r="E275" s="6">
        <v>43865</v>
      </c>
      <c r="F275" s="7">
        <v>-100</v>
      </c>
      <c r="G275" s="7">
        <v>-82.09</v>
      </c>
      <c r="H275" s="7">
        <v>0</v>
      </c>
    </row>
    <row r="276" spans="1:8">
      <c r="A276" s="4" t="s">
        <v>110</v>
      </c>
      <c r="B276" s="4" t="s">
        <v>111</v>
      </c>
      <c r="C276" s="4" t="s">
        <v>784</v>
      </c>
      <c r="D276" s="4" t="s">
        <v>1174</v>
      </c>
      <c r="E276" s="6">
        <v>43865</v>
      </c>
      <c r="F276" s="7">
        <v>-1</v>
      </c>
      <c r="G276" s="7">
        <v>0</v>
      </c>
      <c r="H276" s="7">
        <v>0</v>
      </c>
    </row>
    <row r="277" spans="1:8">
      <c r="A277" s="4" t="s">
        <v>110</v>
      </c>
      <c r="B277" s="4" t="s">
        <v>111</v>
      </c>
      <c r="C277" s="4" t="s">
        <v>1063</v>
      </c>
      <c r="D277" s="4" t="s">
        <v>1175</v>
      </c>
      <c r="E277" s="6">
        <v>43865</v>
      </c>
      <c r="F277" s="7">
        <v>-50</v>
      </c>
      <c r="G277" s="7">
        <v>-34.25</v>
      </c>
      <c r="H277" s="7">
        <v>0.01</v>
      </c>
    </row>
    <row r="278" spans="1:8">
      <c r="A278" s="4" t="s">
        <v>208</v>
      </c>
      <c r="B278" s="4" t="s">
        <v>209</v>
      </c>
      <c r="C278" s="4" t="s">
        <v>968</v>
      </c>
      <c r="D278" s="4" t="s">
        <v>1176</v>
      </c>
      <c r="E278" s="6">
        <v>43892</v>
      </c>
      <c r="F278" s="7">
        <v>-1100</v>
      </c>
      <c r="G278" s="7">
        <v>-8589.2199999999993</v>
      </c>
      <c r="H278" s="7">
        <v>0</v>
      </c>
    </row>
    <row r="279" spans="1:8">
      <c r="A279" s="4" t="s">
        <v>208</v>
      </c>
      <c r="B279" s="4" t="s">
        <v>209</v>
      </c>
      <c r="C279" s="4" t="s">
        <v>970</v>
      </c>
      <c r="D279" s="4" t="s">
        <v>1177</v>
      </c>
      <c r="E279" s="6">
        <v>43892</v>
      </c>
      <c r="F279" s="7">
        <v>-900</v>
      </c>
      <c r="G279" s="7">
        <v>-2550.89</v>
      </c>
      <c r="H279" s="7">
        <v>0</v>
      </c>
    </row>
    <row r="280" spans="1:8">
      <c r="A280" s="4" t="s">
        <v>208</v>
      </c>
      <c r="B280" s="4" t="s">
        <v>209</v>
      </c>
      <c r="C280" s="4" t="s">
        <v>784</v>
      </c>
      <c r="D280" s="4" t="s">
        <v>1178</v>
      </c>
      <c r="E280" s="6">
        <v>43892</v>
      </c>
      <c r="F280" s="7">
        <v>-1</v>
      </c>
      <c r="G280" s="7">
        <v>0</v>
      </c>
      <c r="H280" s="7">
        <v>0</v>
      </c>
    </row>
    <row r="281" spans="1:8">
      <c r="A281" s="4" t="s">
        <v>179</v>
      </c>
      <c r="B281" s="4" t="s">
        <v>180</v>
      </c>
      <c r="C281" s="4" t="s">
        <v>1179</v>
      </c>
      <c r="D281" s="4" t="s">
        <v>1180</v>
      </c>
      <c r="E281" s="6">
        <v>43880</v>
      </c>
      <c r="F281" s="7">
        <v>-2000</v>
      </c>
      <c r="G281" s="7">
        <v>-85.04</v>
      </c>
      <c r="H281" s="7">
        <v>0</v>
      </c>
    </row>
    <row r="282" spans="1:8">
      <c r="A282" s="4" t="s">
        <v>179</v>
      </c>
      <c r="B282" s="4" t="s">
        <v>180</v>
      </c>
      <c r="C282" s="4" t="s">
        <v>1179</v>
      </c>
      <c r="D282" s="4" t="s">
        <v>1180</v>
      </c>
      <c r="E282" s="6">
        <v>43880</v>
      </c>
      <c r="F282" s="7">
        <v>-55</v>
      </c>
      <c r="G282" s="7">
        <v>-2.34</v>
      </c>
      <c r="H282" s="7">
        <v>0</v>
      </c>
    </row>
    <row r="283" spans="1:8">
      <c r="A283" s="4" t="s">
        <v>179</v>
      </c>
      <c r="B283" s="4" t="s">
        <v>180</v>
      </c>
      <c r="C283" s="4" t="s">
        <v>1179</v>
      </c>
      <c r="D283" s="4" t="s">
        <v>1180</v>
      </c>
      <c r="E283" s="6">
        <v>43880</v>
      </c>
      <c r="F283" s="7">
        <v>-7945</v>
      </c>
      <c r="G283" s="7">
        <v>-337.82</v>
      </c>
      <c r="H283" s="7">
        <v>0</v>
      </c>
    </row>
    <row r="284" spans="1:8">
      <c r="A284" s="4" t="s">
        <v>179</v>
      </c>
      <c r="B284" s="4" t="s">
        <v>180</v>
      </c>
      <c r="C284" s="4" t="s">
        <v>1181</v>
      </c>
      <c r="D284" s="4" t="s">
        <v>1182</v>
      </c>
      <c r="E284" s="6">
        <v>43880</v>
      </c>
      <c r="F284" s="7">
        <v>-10000</v>
      </c>
      <c r="G284" s="7">
        <v>-482.39</v>
      </c>
      <c r="H284" s="7">
        <v>0</v>
      </c>
    </row>
    <row r="285" spans="1:8">
      <c r="A285" s="4" t="s">
        <v>179</v>
      </c>
      <c r="B285" s="4" t="s">
        <v>180</v>
      </c>
      <c r="C285" s="4" t="s">
        <v>784</v>
      </c>
      <c r="D285" s="4" t="s">
        <v>1183</v>
      </c>
      <c r="E285" s="6">
        <v>43880</v>
      </c>
      <c r="F285" s="7">
        <v>-1</v>
      </c>
      <c r="G285" s="7">
        <v>0</v>
      </c>
      <c r="H285" s="7">
        <v>0</v>
      </c>
    </row>
    <row r="286" spans="1:8">
      <c r="A286" s="4" t="s">
        <v>245</v>
      </c>
      <c r="B286" s="4" t="s">
        <v>246</v>
      </c>
      <c r="C286" s="4" t="s">
        <v>786</v>
      </c>
      <c r="D286" s="4" t="s">
        <v>1184</v>
      </c>
      <c r="E286" s="6">
        <v>43901</v>
      </c>
      <c r="F286" s="7">
        <v>-1000</v>
      </c>
      <c r="G286" s="7">
        <v>-657.1</v>
      </c>
      <c r="H286" s="7">
        <v>0.01</v>
      </c>
    </row>
    <row r="287" spans="1:8">
      <c r="A287" s="4" t="s">
        <v>245</v>
      </c>
      <c r="B287" s="4" t="s">
        <v>246</v>
      </c>
      <c r="C287" s="4" t="s">
        <v>799</v>
      </c>
      <c r="D287" s="4" t="s">
        <v>1185</v>
      </c>
      <c r="E287" s="6">
        <v>43901</v>
      </c>
      <c r="F287" s="7">
        <v>-750</v>
      </c>
      <c r="G287" s="7">
        <v>-563.23</v>
      </c>
      <c r="H287" s="7">
        <v>0.01</v>
      </c>
    </row>
    <row r="288" spans="1:8">
      <c r="A288" s="4" t="s">
        <v>245</v>
      </c>
      <c r="B288" s="4" t="s">
        <v>246</v>
      </c>
      <c r="C288" s="4" t="s">
        <v>784</v>
      </c>
      <c r="D288" s="4" t="s">
        <v>1186</v>
      </c>
      <c r="E288" s="6">
        <v>43901</v>
      </c>
      <c r="F288" s="7">
        <v>-1</v>
      </c>
      <c r="G288" s="7">
        <v>0</v>
      </c>
      <c r="H288" s="7">
        <v>0</v>
      </c>
    </row>
    <row r="289" spans="1:8">
      <c r="A289" s="4" t="s">
        <v>243</v>
      </c>
      <c r="B289" s="4" t="s">
        <v>244</v>
      </c>
      <c r="C289" s="4" t="s">
        <v>786</v>
      </c>
      <c r="D289" s="4" t="s">
        <v>1187</v>
      </c>
      <c r="E289" s="6">
        <v>43901</v>
      </c>
      <c r="F289" s="7">
        <v>-1000</v>
      </c>
      <c r="G289" s="7">
        <v>-657.1</v>
      </c>
      <c r="H289" s="7">
        <v>0</v>
      </c>
    </row>
    <row r="290" spans="1:8">
      <c r="A290" s="4" t="s">
        <v>243</v>
      </c>
      <c r="B290" s="4" t="s">
        <v>244</v>
      </c>
      <c r="C290" s="4" t="s">
        <v>799</v>
      </c>
      <c r="D290" s="4" t="s">
        <v>1188</v>
      </c>
      <c r="E290" s="6">
        <v>43901</v>
      </c>
      <c r="F290" s="7">
        <v>-750</v>
      </c>
      <c r="G290" s="7">
        <v>-563.23</v>
      </c>
      <c r="H290" s="7">
        <v>0</v>
      </c>
    </row>
    <row r="291" spans="1:8">
      <c r="A291" s="4" t="s">
        <v>243</v>
      </c>
      <c r="B291" s="4" t="s">
        <v>244</v>
      </c>
      <c r="C291" s="4" t="s">
        <v>784</v>
      </c>
      <c r="D291" s="4" t="s">
        <v>1189</v>
      </c>
      <c r="E291" s="6">
        <v>43901</v>
      </c>
      <c r="F291" s="7">
        <v>-1</v>
      </c>
      <c r="G291" s="7">
        <v>0</v>
      </c>
      <c r="H291" s="7">
        <v>0</v>
      </c>
    </row>
    <row r="292" spans="1:8">
      <c r="A292" s="4" t="s">
        <v>127</v>
      </c>
      <c r="B292" s="4" t="s">
        <v>128</v>
      </c>
      <c r="C292" s="4" t="s">
        <v>821</v>
      </c>
      <c r="D292" s="4" t="s">
        <v>1190</v>
      </c>
      <c r="E292" s="6">
        <v>43868</v>
      </c>
      <c r="F292" s="7">
        <v>-10</v>
      </c>
      <c r="G292" s="7">
        <v>-30</v>
      </c>
      <c r="H292" s="7">
        <v>0</v>
      </c>
    </row>
    <row r="293" spans="1:8">
      <c r="A293" s="4" t="s">
        <v>127</v>
      </c>
      <c r="B293" s="4" t="s">
        <v>128</v>
      </c>
      <c r="C293" s="4" t="s">
        <v>887</v>
      </c>
      <c r="D293" s="4" t="s">
        <v>1191</v>
      </c>
      <c r="E293" s="6">
        <v>43868</v>
      </c>
      <c r="F293" s="7">
        <v>-100</v>
      </c>
      <c r="G293" s="7">
        <v>-40.89</v>
      </c>
      <c r="H293" s="7">
        <v>0</v>
      </c>
    </row>
    <row r="294" spans="1:8">
      <c r="A294" s="4" t="s">
        <v>127</v>
      </c>
      <c r="B294" s="4" t="s">
        <v>128</v>
      </c>
      <c r="C294" s="4" t="s">
        <v>883</v>
      </c>
      <c r="D294" s="4" t="s">
        <v>1192</v>
      </c>
      <c r="E294" s="6">
        <v>43868</v>
      </c>
      <c r="F294" s="7">
        <v>-50</v>
      </c>
      <c r="G294" s="7">
        <v>-39.89</v>
      </c>
      <c r="H294" s="7">
        <v>0</v>
      </c>
    </row>
    <row r="295" spans="1:8">
      <c r="A295" s="4" t="s">
        <v>127</v>
      </c>
      <c r="B295" s="4" t="s">
        <v>128</v>
      </c>
      <c r="C295" s="4" t="s">
        <v>784</v>
      </c>
      <c r="D295" s="4" t="s">
        <v>1193</v>
      </c>
      <c r="E295" s="6">
        <v>43868</v>
      </c>
      <c r="F295" s="7">
        <v>-1</v>
      </c>
      <c r="G295" s="7">
        <v>0</v>
      </c>
      <c r="H295" s="7">
        <v>0</v>
      </c>
    </row>
    <row r="296" spans="1:8">
      <c r="A296" s="4" t="s">
        <v>173</v>
      </c>
      <c r="B296" s="4" t="s">
        <v>174</v>
      </c>
      <c r="C296" s="4" t="s">
        <v>840</v>
      </c>
      <c r="D296" s="4" t="s">
        <v>1194</v>
      </c>
      <c r="E296" s="6">
        <v>43879</v>
      </c>
      <c r="F296" s="7">
        <v>-440</v>
      </c>
      <c r="G296" s="7">
        <v>0</v>
      </c>
      <c r="H296" s="7">
        <v>0</v>
      </c>
    </row>
    <row r="297" spans="1:8">
      <c r="A297" s="4" t="s">
        <v>118</v>
      </c>
      <c r="B297" s="4" t="s">
        <v>119</v>
      </c>
      <c r="C297" s="4" t="s">
        <v>883</v>
      </c>
      <c r="D297" s="4" t="s">
        <v>1195</v>
      </c>
      <c r="E297" s="6">
        <v>43868</v>
      </c>
      <c r="F297" s="7">
        <v>-12</v>
      </c>
      <c r="G297" s="7">
        <v>-9.57</v>
      </c>
      <c r="H297" s="7">
        <v>-0.01</v>
      </c>
    </row>
    <row r="298" spans="1:8">
      <c r="A298" s="4" t="s">
        <v>118</v>
      </c>
      <c r="B298" s="4" t="s">
        <v>119</v>
      </c>
      <c r="C298" s="4" t="s">
        <v>949</v>
      </c>
      <c r="D298" s="4" t="s">
        <v>1196</v>
      </c>
      <c r="E298" s="6">
        <v>43868</v>
      </c>
      <c r="F298" s="7">
        <v>-12</v>
      </c>
      <c r="G298" s="7">
        <v>-4.33</v>
      </c>
      <c r="H298" s="7">
        <v>0</v>
      </c>
    </row>
    <row r="299" spans="1:8">
      <c r="A299" s="4" t="s">
        <v>118</v>
      </c>
      <c r="B299" s="4" t="s">
        <v>119</v>
      </c>
      <c r="C299" s="4" t="s">
        <v>887</v>
      </c>
      <c r="D299" s="4" t="s">
        <v>1197</v>
      </c>
      <c r="E299" s="6">
        <v>43868</v>
      </c>
      <c r="F299" s="7">
        <v>-12</v>
      </c>
      <c r="G299" s="7">
        <v>-4.91</v>
      </c>
      <c r="H299" s="7">
        <v>0</v>
      </c>
    </row>
    <row r="300" spans="1:8">
      <c r="A300" s="4" t="s">
        <v>118</v>
      </c>
      <c r="B300" s="4" t="s">
        <v>119</v>
      </c>
      <c r="C300" s="4" t="s">
        <v>916</v>
      </c>
      <c r="D300" s="4" t="s">
        <v>1198</v>
      </c>
      <c r="E300" s="6">
        <v>43868</v>
      </c>
      <c r="F300" s="7">
        <v>-2</v>
      </c>
      <c r="G300" s="7">
        <v>-0.75</v>
      </c>
      <c r="H300" s="7">
        <v>0</v>
      </c>
    </row>
    <row r="301" spans="1:8">
      <c r="A301" s="4" t="s">
        <v>118</v>
      </c>
      <c r="B301" s="4" t="s">
        <v>119</v>
      </c>
      <c r="C301" s="4" t="s">
        <v>784</v>
      </c>
      <c r="D301" s="4" t="s">
        <v>1199</v>
      </c>
      <c r="E301" s="6">
        <v>43868</v>
      </c>
      <c r="F301" s="7">
        <v>-1</v>
      </c>
      <c r="G301" s="7">
        <v>0</v>
      </c>
      <c r="H301" s="7">
        <v>0</v>
      </c>
    </row>
    <row r="302" spans="1:8">
      <c r="A302" s="4" t="s">
        <v>173</v>
      </c>
      <c r="B302" s="4" t="s">
        <v>174</v>
      </c>
      <c r="C302" s="4" t="s">
        <v>1200</v>
      </c>
      <c r="D302" s="4" t="s">
        <v>1201</v>
      </c>
      <c r="E302" s="6">
        <v>43879</v>
      </c>
      <c r="F302" s="7">
        <v>-440</v>
      </c>
      <c r="G302" s="7">
        <v>-295.75</v>
      </c>
      <c r="H302" s="7">
        <v>0</v>
      </c>
    </row>
    <row r="303" spans="1:8">
      <c r="A303" s="4" t="s">
        <v>141</v>
      </c>
      <c r="B303" s="4" t="s">
        <v>142</v>
      </c>
      <c r="C303" s="4" t="s">
        <v>1202</v>
      </c>
      <c r="D303" s="4" t="s">
        <v>1203</v>
      </c>
      <c r="E303" s="6">
        <v>43873</v>
      </c>
      <c r="F303" s="7">
        <v>-10</v>
      </c>
      <c r="G303" s="7">
        <v>-11.38</v>
      </c>
      <c r="H303" s="7">
        <v>0</v>
      </c>
    </row>
    <row r="304" spans="1:8">
      <c r="A304" s="4" t="s">
        <v>141</v>
      </c>
      <c r="B304" s="4" t="s">
        <v>142</v>
      </c>
      <c r="C304" s="4" t="s">
        <v>1204</v>
      </c>
      <c r="D304" s="4" t="s">
        <v>1205</v>
      </c>
      <c r="E304" s="6">
        <v>43873</v>
      </c>
      <c r="F304" s="7">
        <v>-20</v>
      </c>
      <c r="G304" s="7">
        <v>-8.73</v>
      </c>
      <c r="H304" s="7">
        <v>0</v>
      </c>
    </row>
    <row r="305" spans="1:8">
      <c r="A305" s="4" t="s">
        <v>141</v>
      </c>
      <c r="B305" s="4" t="s">
        <v>142</v>
      </c>
      <c r="C305" s="4" t="s">
        <v>889</v>
      </c>
      <c r="D305" s="4" t="s">
        <v>1206</v>
      </c>
      <c r="E305" s="6">
        <v>43873</v>
      </c>
      <c r="F305" s="7">
        <v>-5</v>
      </c>
      <c r="G305" s="7">
        <v>-2.23</v>
      </c>
      <c r="H305" s="7">
        <v>0</v>
      </c>
    </row>
    <row r="306" spans="1:8">
      <c r="A306" s="4" t="s">
        <v>141</v>
      </c>
      <c r="B306" s="4" t="s">
        <v>142</v>
      </c>
      <c r="C306" s="4" t="s">
        <v>891</v>
      </c>
      <c r="D306" s="4" t="s">
        <v>1207</v>
      </c>
      <c r="E306" s="6">
        <v>43873</v>
      </c>
      <c r="F306" s="7">
        <v>-20</v>
      </c>
      <c r="G306" s="7">
        <v>-14.62</v>
      </c>
      <c r="H306" s="7">
        <v>0.01</v>
      </c>
    </row>
    <row r="307" spans="1:8">
      <c r="A307" s="4" t="s">
        <v>141</v>
      </c>
      <c r="B307" s="4" t="s">
        <v>142</v>
      </c>
      <c r="C307" s="4" t="s">
        <v>1208</v>
      </c>
      <c r="D307" s="4" t="s">
        <v>1209</v>
      </c>
      <c r="E307" s="6">
        <v>43873</v>
      </c>
      <c r="F307" s="7">
        <v>-4</v>
      </c>
      <c r="G307" s="7">
        <v>-5.91</v>
      </c>
      <c r="H307" s="7">
        <v>0</v>
      </c>
    </row>
    <row r="308" spans="1:8">
      <c r="A308" s="4" t="s">
        <v>141</v>
      </c>
      <c r="B308" s="4" t="s">
        <v>142</v>
      </c>
      <c r="C308" s="4" t="s">
        <v>784</v>
      </c>
      <c r="D308" s="4" t="s">
        <v>1210</v>
      </c>
      <c r="E308" s="6">
        <v>43873</v>
      </c>
      <c r="F308" s="7">
        <v>-1</v>
      </c>
      <c r="G308" s="7">
        <v>0</v>
      </c>
      <c r="H308" s="7">
        <v>0</v>
      </c>
    </row>
    <row r="309" spans="1:8">
      <c r="A309" s="4" t="s">
        <v>141</v>
      </c>
      <c r="B309" s="4" t="s">
        <v>142</v>
      </c>
      <c r="C309" s="4" t="s">
        <v>865</v>
      </c>
      <c r="D309" s="4" t="s">
        <v>1211</v>
      </c>
      <c r="E309" s="6">
        <v>43873</v>
      </c>
      <c r="F309" s="7">
        <v>-10</v>
      </c>
      <c r="G309" s="7">
        <v>-65.75</v>
      </c>
      <c r="H309" s="7">
        <v>0</v>
      </c>
    </row>
    <row r="310" spans="1:8">
      <c r="A310" s="4" t="s">
        <v>181</v>
      </c>
      <c r="B310" s="4" t="s">
        <v>182</v>
      </c>
      <c r="C310" s="4" t="s">
        <v>985</v>
      </c>
      <c r="D310" s="4" t="s">
        <v>1212</v>
      </c>
      <c r="E310" s="6">
        <v>43880</v>
      </c>
      <c r="F310" s="7">
        <v>-100</v>
      </c>
      <c r="G310" s="7">
        <v>-184.94</v>
      </c>
      <c r="H310" s="7">
        <v>0</v>
      </c>
    </row>
    <row r="311" spans="1:8">
      <c r="A311" s="4" t="s">
        <v>181</v>
      </c>
      <c r="B311" s="4" t="s">
        <v>182</v>
      </c>
      <c r="C311" s="4" t="s">
        <v>1213</v>
      </c>
      <c r="D311" s="4" t="s">
        <v>1214</v>
      </c>
      <c r="E311" s="6">
        <v>43880</v>
      </c>
      <c r="F311" s="7">
        <v>-100</v>
      </c>
      <c r="G311" s="7">
        <v>-63.35</v>
      </c>
      <c r="H311" s="7">
        <v>0</v>
      </c>
    </row>
    <row r="312" spans="1:8">
      <c r="A312" s="4" t="s">
        <v>181</v>
      </c>
      <c r="B312" s="4" t="s">
        <v>182</v>
      </c>
      <c r="C312" s="4" t="s">
        <v>883</v>
      </c>
      <c r="D312" s="4" t="s">
        <v>1215</v>
      </c>
      <c r="E312" s="6">
        <v>43880</v>
      </c>
      <c r="F312" s="7">
        <v>-200</v>
      </c>
      <c r="G312" s="7">
        <v>-159.56</v>
      </c>
      <c r="H312" s="7">
        <v>0</v>
      </c>
    </row>
    <row r="313" spans="1:8">
      <c r="A313" s="4" t="s">
        <v>181</v>
      </c>
      <c r="B313" s="4" t="s">
        <v>182</v>
      </c>
      <c r="C313" s="4" t="s">
        <v>1106</v>
      </c>
      <c r="D313" s="4" t="s">
        <v>1216</v>
      </c>
      <c r="E313" s="6">
        <v>43880</v>
      </c>
      <c r="F313" s="7">
        <v>-100</v>
      </c>
      <c r="G313" s="7">
        <v>-136.87</v>
      </c>
      <c r="H313" s="7">
        <v>0</v>
      </c>
    </row>
    <row r="314" spans="1:8">
      <c r="A314" s="4" t="s">
        <v>181</v>
      </c>
      <c r="B314" s="4" t="s">
        <v>182</v>
      </c>
      <c r="C314" s="4" t="s">
        <v>893</v>
      </c>
      <c r="D314" s="4" t="s">
        <v>1217</v>
      </c>
      <c r="E314" s="6">
        <v>43880</v>
      </c>
      <c r="F314" s="7">
        <v>-100</v>
      </c>
      <c r="G314" s="7">
        <v>-307.33000000000004</v>
      </c>
      <c r="H314" s="7">
        <v>0</v>
      </c>
    </row>
    <row r="315" spans="1:8">
      <c r="A315" s="4" t="s">
        <v>181</v>
      </c>
      <c r="B315" s="4" t="s">
        <v>182</v>
      </c>
      <c r="C315" s="4" t="s">
        <v>916</v>
      </c>
      <c r="D315" s="4" t="s">
        <v>1218</v>
      </c>
      <c r="E315" s="6">
        <v>43880</v>
      </c>
      <c r="F315" s="7">
        <v>-100</v>
      </c>
      <c r="G315" s="7">
        <v>-37.58</v>
      </c>
      <c r="H315" s="7">
        <v>0</v>
      </c>
    </row>
    <row r="316" spans="1:8">
      <c r="A316" s="4" t="s">
        <v>181</v>
      </c>
      <c r="B316" s="4" t="s">
        <v>182</v>
      </c>
      <c r="C316" s="4" t="s">
        <v>976</v>
      </c>
      <c r="D316" s="4" t="s">
        <v>1219</v>
      </c>
      <c r="E316" s="6">
        <v>43880</v>
      </c>
      <c r="F316" s="7">
        <v>-200</v>
      </c>
      <c r="G316" s="7">
        <v>-163.57</v>
      </c>
      <c r="H316" s="7">
        <v>0</v>
      </c>
    </row>
    <row r="317" spans="1:8">
      <c r="A317" s="4" t="s">
        <v>181</v>
      </c>
      <c r="B317" s="4" t="s">
        <v>182</v>
      </c>
      <c r="C317" s="4" t="s">
        <v>1220</v>
      </c>
      <c r="D317" s="4" t="s">
        <v>1221</v>
      </c>
      <c r="E317" s="6">
        <v>43880</v>
      </c>
      <c r="F317" s="7">
        <v>-100</v>
      </c>
      <c r="G317" s="7">
        <v>-72.09</v>
      </c>
      <c r="H317" s="7">
        <v>0.01</v>
      </c>
    </row>
    <row r="318" spans="1:8">
      <c r="A318" s="4" t="s">
        <v>181</v>
      </c>
      <c r="B318" s="4" t="s">
        <v>182</v>
      </c>
      <c r="C318" s="4" t="s">
        <v>1222</v>
      </c>
      <c r="D318" s="4" t="s">
        <v>1223</v>
      </c>
      <c r="E318" s="6">
        <v>43880</v>
      </c>
      <c r="F318" s="7">
        <v>-50</v>
      </c>
      <c r="G318" s="7">
        <v>-83.92</v>
      </c>
      <c r="H318" s="7">
        <v>0.01</v>
      </c>
    </row>
    <row r="319" spans="1:8">
      <c r="A319" s="4" t="s">
        <v>181</v>
      </c>
      <c r="B319" s="4" t="s">
        <v>182</v>
      </c>
      <c r="C319" s="4" t="s">
        <v>860</v>
      </c>
      <c r="D319" s="4" t="s">
        <v>1224</v>
      </c>
      <c r="E319" s="6">
        <v>43880</v>
      </c>
      <c r="F319" s="7">
        <v>-30</v>
      </c>
      <c r="G319" s="7">
        <v>-96.87</v>
      </c>
      <c r="H319" s="7">
        <v>0</v>
      </c>
    </row>
    <row r="320" spans="1:8">
      <c r="A320" s="4" t="s">
        <v>181</v>
      </c>
      <c r="B320" s="4" t="s">
        <v>182</v>
      </c>
      <c r="C320" s="4" t="s">
        <v>784</v>
      </c>
      <c r="D320" s="4" t="s">
        <v>1225</v>
      </c>
      <c r="E320" s="6">
        <v>43880</v>
      </c>
      <c r="F320" s="7">
        <v>-1</v>
      </c>
      <c r="G320" s="7">
        <v>0</v>
      </c>
      <c r="H320" s="7">
        <v>0</v>
      </c>
    </row>
    <row r="321" spans="1:8">
      <c r="A321" s="4" t="s">
        <v>124</v>
      </c>
      <c r="B321" s="4" t="s">
        <v>125</v>
      </c>
      <c r="C321" s="4" t="s">
        <v>887</v>
      </c>
      <c r="D321" s="4" t="s">
        <v>1226</v>
      </c>
      <c r="E321" s="6">
        <v>43868</v>
      </c>
      <c r="F321" s="7">
        <v>-25</v>
      </c>
      <c r="G321" s="7">
        <v>-10.220000000000001</v>
      </c>
      <c r="H321" s="7">
        <v>0</v>
      </c>
    </row>
    <row r="322" spans="1:8">
      <c r="A322" s="4" t="s">
        <v>124</v>
      </c>
      <c r="B322" s="4" t="s">
        <v>125</v>
      </c>
      <c r="C322" s="4" t="s">
        <v>936</v>
      </c>
      <c r="D322" s="4" t="s">
        <v>1227</v>
      </c>
      <c r="E322" s="6">
        <v>43868</v>
      </c>
      <c r="F322" s="7">
        <v>-25</v>
      </c>
      <c r="G322" s="7">
        <v>-11.84</v>
      </c>
      <c r="H322" s="7">
        <v>0</v>
      </c>
    </row>
    <row r="323" spans="1:8">
      <c r="A323" s="4" t="s">
        <v>124</v>
      </c>
      <c r="B323" s="4" t="s">
        <v>125</v>
      </c>
      <c r="C323" s="4" t="s">
        <v>875</v>
      </c>
      <c r="D323" s="4" t="s">
        <v>1228</v>
      </c>
      <c r="E323" s="6">
        <v>43868</v>
      </c>
      <c r="F323" s="7">
        <v>-150</v>
      </c>
      <c r="G323" s="7">
        <v>-68.41</v>
      </c>
      <c r="H323" s="7">
        <v>0.01</v>
      </c>
    </row>
    <row r="324" spans="1:8">
      <c r="A324" s="4" t="s">
        <v>124</v>
      </c>
      <c r="B324" s="4" t="s">
        <v>125</v>
      </c>
      <c r="C324" s="4" t="s">
        <v>883</v>
      </c>
      <c r="D324" s="4" t="s">
        <v>1229</v>
      </c>
      <c r="E324" s="6">
        <v>43868</v>
      </c>
      <c r="F324" s="7">
        <v>-10</v>
      </c>
      <c r="G324" s="7">
        <v>-7.9799999999999995</v>
      </c>
      <c r="H324" s="7">
        <v>0.01</v>
      </c>
    </row>
    <row r="325" spans="1:8">
      <c r="A325" s="4" t="s">
        <v>124</v>
      </c>
      <c r="B325" s="4" t="s">
        <v>125</v>
      </c>
      <c r="C325" s="4" t="s">
        <v>1063</v>
      </c>
      <c r="D325" s="4" t="s">
        <v>1230</v>
      </c>
      <c r="E325" s="6">
        <v>43868</v>
      </c>
      <c r="F325" s="7">
        <v>-25</v>
      </c>
      <c r="G325" s="7">
        <v>-17.12</v>
      </c>
      <c r="H325" s="7">
        <v>-0.01</v>
      </c>
    </row>
    <row r="326" spans="1:8">
      <c r="A326" s="4" t="s">
        <v>124</v>
      </c>
      <c r="B326" s="4" t="s">
        <v>125</v>
      </c>
      <c r="C326" s="4" t="s">
        <v>784</v>
      </c>
      <c r="D326" s="4" t="s">
        <v>1231</v>
      </c>
      <c r="E326" s="6">
        <v>43868</v>
      </c>
      <c r="F326" s="7">
        <v>-1</v>
      </c>
      <c r="G326" s="7">
        <v>0</v>
      </c>
      <c r="H326" s="7">
        <v>0</v>
      </c>
    </row>
    <row r="327" spans="1:8">
      <c r="A327" s="4" t="s">
        <v>130</v>
      </c>
      <c r="B327" s="4" t="s">
        <v>131</v>
      </c>
      <c r="C327" s="4" t="s">
        <v>1232</v>
      </c>
      <c r="D327" s="4" t="s">
        <v>1233</v>
      </c>
      <c r="E327" s="6">
        <v>43872</v>
      </c>
      <c r="F327" s="7">
        <v>-120</v>
      </c>
      <c r="G327" s="7">
        <v>-549.24</v>
      </c>
      <c r="H327" s="7">
        <v>-0.01</v>
      </c>
    </row>
    <row r="328" spans="1:8">
      <c r="A328" s="4" t="s">
        <v>130</v>
      </c>
      <c r="B328" s="4" t="s">
        <v>131</v>
      </c>
      <c r="C328" s="4" t="s">
        <v>840</v>
      </c>
      <c r="D328" s="4" t="s">
        <v>1234</v>
      </c>
      <c r="E328" s="6">
        <v>43872</v>
      </c>
      <c r="F328" s="7">
        <v>-1</v>
      </c>
      <c r="G328" s="7">
        <v>0</v>
      </c>
      <c r="H328" s="7">
        <v>0</v>
      </c>
    </row>
    <row r="329" spans="1:8">
      <c r="A329" s="4" t="s">
        <v>130</v>
      </c>
      <c r="B329" s="4" t="s">
        <v>131</v>
      </c>
      <c r="C329" s="4" t="s">
        <v>784</v>
      </c>
      <c r="D329" s="4" t="s">
        <v>1235</v>
      </c>
      <c r="E329" s="6">
        <v>43872</v>
      </c>
      <c r="F329" s="7">
        <v>-1</v>
      </c>
      <c r="G329" s="7">
        <v>0</v>
      </c>
      <c r="H329" s="7">
        <v>0</v>
      </c>
    </row>
    <row r="330" spans="1:8">
      <c r="A330" s="4" t="s">
        <v>393</v>
      </c>
      <c r="B330" s="4" t="s">
        <v>394</v>
      </c>
      <c r="C330" s="4" t="s">
        <v>1236</v>
      </c>
      <c r="D330" s="4" t="s">
        <v>1237</v>
      </c>
      <c r="E330" s="6">
        <v>43966</v>
      </c>
      <c r="F330" s="7">
        <v>-1</v>
      </c>
      <c r="G330" s="7">
        <v>0</v>
      </c>
      <c r="H330" s="7">
        <v>0</v>
      </c>
    </row>
    <row r="331" spans="1:8">
      <c r="A331" s="4" t="s">
        <v>393</v>
      </c>
      <c r="B331" s="4" t="s">
        <v>394</v>
      </c>
      <c r="C331" s="4" t="s">
        <v>784</v>
      </c>
      <c r="D331" s="4" t="s">
        <v>1238</v>
      </c>
      <c r="E331" s="6">
        <v>43966</v>
      </c>
      <c r="F331" s="7">
        <v>-1</v>
      </c>
      <c r="G331" s="7">
        <v>0</v>
      </c>
      <c r="H331" s="7">
        <v>0</v>
      </c>
    </row>
    <row r="332" spans="1:8">
      <c r="A332" s="4" t="s">
        <v>294</v>
      </c>
      <c r="B332" s="4" t="s">
        <v>295</v>
      </c>
      <c r="C332" s="4" t="s">
        <v>1179</v>
      </c>
      <c r="D332" s="4" t="s">
        <v>1239</v>
      </c>
      <c r="E332" s="6">
        <v>43921</v>
      </c>
      <c r="F332" s="7">
        <v>-10000</v>
      </c>
      <c r="G332" s="7">
        <v>-425.2</v>
      </c>
      <c r="H332" s="7">
        <v>0.01</v>
      </c>
    </row>
    <row r="333" spans="1:8">
      <c r="A333" s="4" t="s">
        <v>294</v>
      </c>
      <c r="B333" s="4" t="s">
        <v>295</v>
      </c>
      <c r="C333" s="4" t="s">
        <v>1181</v>
      </c>
      <c r="D333" s="4" t="s">
        <v>1240</v>
      </c>
      <c r="E333" s="6">
        <v>43921</v>
      </c>
      <c r="F333" s="7">
        <v>-530</v>
      </c>
      <c r="G333" s="7">
        <v>-25.57</v>
      </c>
      <c r="H333" s="7">
        <v>0.01</v>
      </c>
    </row>
    <row r="334" spans="1:8">
      <c r="A334" s="4" t="s">
        <v>294</v>
      </c>
      <c r="B334" s="4" t="s">
        <v>295</v>
      </c>
      <c r="C334" s="4" t="s">
        <v>1181</v>
      </c>
      <c r="D334" s="4" t="s">
        <v>1240</v>
      </c>
      <c r="E334" s="6">
        <v>43921</v>
      </c>
      <c r="F334" s="7">
        <v>-1000</v>
      </c>
      <c r="G334" s="7">
        <v>-48.24</v>
      </c>
      <c r="H334" s="7">
        <v>0</v>
      </c>
    </row>
    <row r="335" spans="1:8">
      <c r="A335" s="4" t="s">
        <v>294</v>
      </c>
      <c r="B335" s="4" t="s">
        <v>295</v>
      </c>
      <c r="C335" s="4" t="s">
        <v>1181</v>
      </c>
      <c r="D335" s="4" t="s">
        <v>1240</v>
      </c>
      <c r="E335" s="6">
        <v>43921</v>
      </c>
      <c r="F335" s="7">
        <v>-8470</v>
      </c>
      <c r="G335" s="7">
        <v>-408.58000000000004</v>
      </c>
      <c r="H335" s="7">
        <v>0</v>
      </c>
    </row>
    <row r="336" spans="1:8">
      <c r="A336" s="4" t="s">
        <v>294</v>
      </c>
      <c r="B336" s="4" t="s">
        <v>295</v>
      </c>
      <c r="C336" s="4" t="s">
        <v>784</v>
      </c>
      <c r="D336" s="4" t="s">
        <v>1241</v>
      </c>
      <c r="E336" s="6">
        <v>43921</v>
      </c>
      <c r="F336" s="7">
        <v>-1</v>
      </c>
      <c r="G336" s="7">
        <v>0</v>
      </c>
      <c r="H336" s="7">
        <v>0</v>
      </c>
    </row>
    <row r="337" spans="1:8">
      <c r="A337" s="4" t="s">
        <v>170</v>
      </c>
      <c r="B337" s="4" t="s">
        <v>171</v>
      </c>
      <c r="C337" s="4" t="s">
        <v>1242</v>
      </c>
      <c r="D337" s="4" t="s">
        <v>1243</v>
      </c>
      <c r="E337" s="6">
        <v>43879</v>
      </c>
      <c r="F337" s="7">
        <v>-2400</v>
      </c>
      <c r="G337" s="7">
        <v>-2219.2600000000002</v>
      </c>
      <c r="H337" s="7">
        <v>0</v>
      </c>
    </row>
    <row r="338" spans="1:8">
      <c r="A338" s="4" t="s">
        <v>170</v>
      </c>
      <c r="B338" s="4" t="s">
        <v>171</v>
      </c>
      <c r="C338" s="4" t="s">
        <v>784</v>
      </c>
      <c r="D338" s="4" t="s">
        <v>1244</v>
      </c>
      <c r="E338" s="6">
        <v>43879</v>
      </c>
      <c r="F338" s="7">
        <v>-1</v>
      </c>
      <c r="G338" s="7">
        <v>0</v>
      </c>
      <c r="H338" s="7">
        <v>0</v>
      </c>
    </row>
    <row r="339" spans="1:8">
      <c r="A339" s="4" t="s">
        <v>748</v>
      </c>
      <c r="B339" s="4" t="s">
        <v>749</v>
      </c>
      <c r="C339" s="4" t="s">
        <v>1129</v>
      </c>
      <c r="D339" s="4" t="s">
        <v>1245</v>
      </c>
      <c r="E339" s="6">
        <v>43866</v>
      </c>
      <c r="F339" s="7">
        <v>100</v>
      </c>
      <c r="G339" s="7">
        <v>14.25</v>
      </c>
      <c r="H339" s="7">
        <v>3.7700000000000005</v>
      </c>
    </row>
    <row r="340" spans="1:8">
      <c r="A340" s="4" t="s">
        <v>748</v>
      </c>
      <c r="B340" s="4" t="s">
        <v>749</v>
      </c>
      <c r="C340" s="4" t="s">
        <v>1131</v>
      </c>
      <c r="D340" s="4" t="s">
        <v>1246</v>
      </c>
      <c r="E340" s="6">
        <v>43866</v>
      </c>
      <c r="F340" s="7">
        <v>200</v>
      </c>
      <c r="G340" s="7">
        <v>27.91</v>
      </c>
      <c r="H340" s="7">
        <v>7.3900000000000006</v>
      </c>
    </row>
    <row r="341" spans="1:8">
      <c r="A341" s="4" t="s">
        <v>748</v>
      </c>
      <c r="B341" s="4" t="s">
        <v>749</v>
      </c>
      <c r="C341" s="4" t="s">
        <v>1133</v>
      </c>
      <c r="D341" s="4" t="s">
        <v>1247</v>
      </c>
      <c r="E341" s="6">
        <v>43866</v>
      </c>
      <c r="F341" s="7">
        <v>100</v>
      </c>
      <c r="G341" s="7">
        <v>16.260000000000002</v>
      </c>
      <c r="H341" s="7">
        <v>3.9799999999999995</v>
      </c>
    </row>
    <row r="342" spans="1:8">
      <c r="A342" s="4" t="s">
        <v>748</v>
      </c>
      <c r="B342" s="4" t="s">
        <v>749</v>
      </c>
      <c r="C342" s="4" t="s">
        <v>1135</v>
      </c>
      <c r="D342" s="4" t="s">
        <v>1248</v>
      </c>
      <c r="E342" s="6">
        <v>43866</v>
      </c>
      <c r="F342" s="7">
        <v>200</v>
      </c>
      <c r="G342" s="7">
        <v>38.75</v>
      </c>
      <c r="H342" s="7">
        <v>8.620000000000001</v>
      </c>
    </row>
    <row r="343" spans="1:8">
      <c r="A343" s="4" t="s">
        <v>748</v>
      </c>
      <c r="B343" s="4" t="s">
        <v>749</v>
      </c>
      <c r="C343" s="4" t="s">
        <v>1137</v>
      </c>
      <c r="D343" s="4" t="s">
        <v>1249</v>
      </c>
      <c r="E343" s="6">
        <v>43866</v>
      </c>
      <c r="F343" s="7">
        <v>100</v>
      </c>
      <c r="G343" s="7">
        <v>24.15</v>
      </c>
      <c r="H343" s="7">
        <v>4.04</v>
      </c>
    </row>
    <row r="344" spans="1:8">
      <c r="A344" s="4" t="s">
        <v>748</v>
      </c>
      <c r="B344" s="4" t="s">
        <v>749</v>
      </c>
      <c r="C344" s="4" t="s">
        <v>1139</v>
      </c>
      <c r="D344" s="4" t="s">
        <v>1250</v>
      </c>
      <c r="E344" s="6">
        <v>43866</v>
      </c>
      <c r="F344" s="7">
        <v>100</v>
      </c>
      <c r="G344" s="7">
        <v>53.14</v>
      </c>
      <c r="H344" s="7">
        <v>9.25</v>
      </c>
    </row>
    <row r="345" spans="1:8">
      <c r="A345" s="4" t="s">
        <v>748</v>
      </c>
      <c r="B345" s="4" t="s">
        <v>749</v>
      </c>
      <c r="C345" s="4" t="s">
        <v>1063</v>
      </c>
      <c r="D345" s="4" t="s">
        <v>1251</v>
      </c>
      <c r="E345" s="6">
        <v>43866</v>
      </c>
      <c r="F345" s="7">
        <v>15</v>
      </c>
      <c r="G345" s="7">
        <v>8.0299999999999994</v>
      </c>
      <c r="H345" s="7">
        <v>2.2399999999999998</v>
      </c>
    </row>
    <row r="346" spans="1:8">
      <c r="A346" s="4" t="s">
        <v>748</v>
      </c>
      <c r="B346" s="4" t="s">
        <v>749</v>
      </c>
      <c r="C346" s="4" t="s">
        <v>987</v>
      </c>
      <c r="D346" s="4" t="s">
        <v>1252</v>
      </c>
      <c r="E346" s="6">
        <v>43866</v>
      </c>
      <c r="F346" s="7">
        <v>20</v>
      </c>
      <c r="G346" s="7">
        <v>11.76</v>
      </c>
      <c r="H346" s="7">
        <v>3.2399999999999998</v>
      </c>
    </row>
    <row r="347" spans="1:8">
      <c r="A347" s="4" t="s">
        <v>748</v>
      </c>
      <c r="B347" s="4" t="s">
        <v>749</v>
      </c>
      <c r="C347" s="4" t="s">
        <v>1143</v>
      </c>
      <c r="D347" s="4" t="s">
        <v>1253</v>
      </c>
      <c r="E347" s="6">
        <v>43866</v>
      </c>
      <c r="F347" s="7">
        <v>100</v>
      </c>
      <c r="G347" s="7">
        <v>33.729999999999997</v>
      </c>
      <c r="H347" s="7">
        <v>7.37</v>
      </c>
    </row>
    <row r="348" spans="1:8">
      <c r="A348" s="4" t="s">
        <v>748</v>
      </c>
      <c r="B348" s="4" t="s">
        <v>749</v>
      </c>
      <c r="C348" s="4" t="s">
        <v>964</v>
      </c>
      <c r="D348" s="4" t="s">
        <v>1254</v>
      </c>
      <c r="E348" s="6">
        <v>43866</v>
      </c>
      <c r="F348" s="7">
        <v>50</v>
      </c>
      <c r="G348" s="7">
        <v>33.729999999999997</v>
      </c>
      <c r="H348" s="7">
        <v>7.37</v>
      </c>
    </row>
    <row r="349" spans="1:8">
      <c r="A349" s="4" t="s">
        <v>748</v>
      </c>
      <c r="B349" s="4" t="s">
        <v>749</v>
      </c>
      <c r="C349" s="4" t="s">
        <v>1146</v>
      </c>
      <c r="D349" s="4" t="s">
        <v>1255</v>
      </c>
      <c r="E349" s="6">
        <v>43866</v>
      </c>
      <c r="F349" s="7">
        <v>25</v>
      </c>
      <c r="G349" s="7">
        <v>16.149999999999999</v>
      </c>
      <c r="H349" s="7">
        <v>3.91</v>
      </c>
    </row>
    <row r="350" spans="1:8">
      <c r="A350" s="4" t="s">
        <v>748</v>
      </c>
      <c r="B350" s="4" t="s">
        <v>749</v>
      </c>
      <c r="C350" s="4" t="s">
        <v>851</v>
      </c>
      <c r="D350" s="4" t="s">
        <v>1256</v>
      </c>
      <c r="E350" s="6">
        <v>43866</v>
      </c>
      <c r="F350" s="7">
        <v>150</v>
      </c>
      <c r="G350" s="7">
        <v>187.2</v>
      </c>
      <c r="H350" s="7">
        <v>43.3</v>
      </c>
    </row>
    <row r="351" spans="1:8">
      <c r="A351" s="4" t="s">
        <v>748</v>
      </c>
      <c r="B351" s="4" t="s">
        <v>749</v>
      </c>
      <c r="C351" s="4" t="s">
        <v>1149</v>
      </c>
      <c r="D351" s="4" t="s">
        <v>1257</v>
      </c>
      <c r="E351" s="6">
        <v>43866</v>
      </c>
      <c r="F351" s="7">
        <v>100</v>
      </c>
      <c r="G351" s="7">
        <v>71.22</v>
      </c>
      <c r="H351" s="7">
        <v>15.65</v>
      </c>
    </row>
    <row r="352" spans="1:8">
      <c r="A352" s="4" t="s">
        <v>748</v>
      </c>
      <c r="B352" s="4" t="s">
        <v>749</v>
      </c>
      <c r="C352" s="4" t="s">
        <v>1151</v>
      </c>
      <c r="D352" s="4" t="s">
        <v>1258</v>
      </c>
      <c r="E352" s="6">
        <v>43866</v>
      </c>
      <c r="F352" s="7">
        <v>100</v>
      </c>
      <c r="G352" s="7">
        <v>74.209999999999994</v>
      </c>
      <c r="H352" s="7">
        <v>15.65</v>
      </c>
    </row>
    <row r="353" spans="1:8">
      <c r="A353" s="4" t="s">
        <v>748</v>
      </c>
      <c r="B353" s="4" t="s">
        <v>749</v>
      </c>
      <c r="C353" s="4" t="s">
        <v>853</v>
      </c>
      <c r="D353" s="4" t="s">
        <v>1259</v>
      </c>
      <c r="E353" s="6">
        <v>43866</v>
      </c>
      <c r="F353" s="7">
        <v>25</v>
      </c>
      <c r="G353" s="7">
        <v>37.11</v>
      </c>
      <c r="H353" s="7">
        <v>7.82</v>
      </c>
    </row>
    <row r="354" spans="1:8">
      <c r="A354" s="4" t="s">
        <v>748</v>
      </c>
      <c r="B354" s="4" t="s">
        <v>749</v>
      </c>
      <c r="C354" s="4" t="s">
        <v>1154</v>
      </c>
      <c r="D354" s="4" t="s">
        <v>1260</v>
      </c>
      <c r="E354" s="6">
        <v>43866</v>
      </c>
      <c r="F354" s="7">
        <v>50</v>
      </c>
      <c r="G354" s="7">
        <v>44.75</v>
      </c>
      <c r="H354" s="7">
        <v>9.43</v>
      </c>
    </row>
    <row r="355" spans="1:8">
      <c r="A355" s="4" t="s">
        <v>748</v>
      </c>
      <c r="B355" s="4" t="s">
        <v>749</v>
      </c>
      <c r="C355" s="4" t="s">
        <v>784</v>
      </c>
      <c r="D355" s="4" t="s">
        <v>1261</v>
      </c>
      <c r="E355" s="6">
        <v>43866</v>
      </c>
      <c r="F355" s="7">
        <v>1</v>
      </c>
      <c r="G355" s="7">
        <v>0</v>
      </c>
      <c r="H355" s="7">
        <v>0</v>
      </c>
    </row>
    <row r="356" spans="1:8">
      <c r="A356" s="4" t="s">
        <v>112</v>
      </c>
      <c r="B356" s="4" t="s">
        <v>113</v>
      </c>
      <c r="C356" s="4" t="s">
        <v>1129</v>
      </c>
      <c r="D356" s="4" t="s">
        <v>1262</v>
      </c>
      <c r="E356" s="6">
        <v>43866</v>
      </c>
      <c r="F356" s="7">
        <v>-100</v>
      </c>
      <c r="G356" s="7">
        <v>-18.02</v>
      </c>
      <c r="H356" s="7">
        <v>0</v>
      </c>
    </row>
    <row r="357" spans="1:8">
      <c r="A357" s="4" t="s">
        <v>112</v>
      </c>
      <c r="B357" s="4" t="s">
        <v>113</v>
      </c>
      <c r="C357" s="4" t="s">
        <v>1131</v>
      </c>
      <c r="D357" s="4" t="s">
        <v>1263</v>
      </c>
      <c r="E357" s="6">
        <v>43866</v>
      </c>
      <c r="F357" s="7">
        <v>-200</v>
      </c>
      <c r="G357" s="7">
        <v>-35.299999999999997</v>
      </c>
      <c r="H357" s="7">
        <v>0</v>
      </c>
    </row>
    <row r="358" spans="1:8">
      <c r="A358" s="4" t="s">
        <v>112</v>
      </c>
      <c r="B358" s="4" t="s">
        <v>113</v>
      </c>
      <c r="C358" s="4" t="s">
        <v>1133</v>
      </c>
      <c r="D358" s="4" t="s">
        <v>1264</v>
      </c>
      <c r="E358" s="6">
        <v>43866</v>
      </c>
      <c r="F358" s="7">
        <v>-100</v>
      </c>
      <c r="G358" s="7">
        <v>-20.239999999999998</v>
      </c>
      <c r="H358" s="7">
        <v>0.01</v>
      </c>
    </row>
    <row r="359" spans="1:8">
      <c r="A359" s="4" t="s">
        <v>112</v>
      </c>
      <c r="B359" s="4" t="s">
        <v>113</v>
      </c>
      <c r="C359" s="4" t="s">
        <v>1135</v>
      </c>
      <c r="D359" s="4" t="s">
        <v>1265</v>
      </c>
      <c r="E359" s="6">
        <v>43866</v>
      </c>
      <c r="F359" s="7">
        <v>-200</v>
      </c>
      <c r="G359" s="7">
        <v>-47.37</v>
      </c>
      <c r="H359" s="7">
        <v>0</v>
      </c>
    </row>
    <row r="360" spans="1:8">
      <c r="A360" s="4" t="s">
        <v>112</v>
      </c>
      <c r="B360" s="4" t="s">
        <v>113</v>
      </c>
      <c r="C360" s="4" t="s">
        <v>1137</v>
      </c>
      <c r="D360" s="4" t="s">
        <v>1266</v>
      </c>
      <c r="E360" s="6">
        <v>43866</v>
      </c>
      <c r="F360" s="7">
        <v>-100</v>
      </c>
      <c r="G360" s="7">
        <v>-28.19</v>
      </c>
      <c r="H360" s="7">
        <v>0</v>
      </c>
    </row>
    <row r="361" spans="1:8">
      <c r="A361" s="4" t="s">
        <v>112</v>
      </c>
      <c r="B361" s="4" t="s">
        <v>113</v>
      </c>
      <c r="C361" s="4" t="s">
        <v>1139</v>
      </c>
      <c r="D361" s="4" t="s">
        <v>1267</v>
      </c>
      <c r="E361" s="6">
        <v>43866</v>
      </c>
      <c r="F361" s="7">
        <v>-100</v>
      </c>
      <c r="G361" s="7">
        <v>-62.39</v>
      </c>
      <c r="H361" s="7">
        <v>0</v>
      </c>
    </row>
    <row r="362" spans="1:8">
      <c r="A362" s="4" t="s">
        <v>112</v>
      </c>
      <c r="B362" s="4" t="s">
        <v>113</v>
      </c>
      <c r="C362" s="4" t="s">
        <v>1063</v>
      </c>
      <c r="D362" s="4" t="s">
        <v>1268</v>
      </c>
      <c r="E362" s="6">
        <v>43866</v>
      </c>
      <c r="F362" s="7">
        <v>-15</v>
      </c>
      <c r="G362" s="7">
        <v>-10.27</v>
      </c>
      <c r="H362" s="7">
        <v>0</v>
      </c>
    </row>
    <row r="363" spans="1:8">
      <c r="A363" s="4" t="s">
        <v>112</v>
      </c>
      <c r="B363" s="4" t="s">
        <v>113</v>
      </c>
      <c r="C363" s="4" t="s">
        <v>987</v>
      </c>
      <c r="D363" s="4" t="s">
        <v>1269</v>
      </c>
      <c r="E363" s="6">
        <v>43866</v>
      </c>
      <c r="F363" s="7">
        <v>-20</v>
      </c>
      <c r="G363" s="7">
        <v>-15</v>
      </c>
      <c r="H363" s="7">
        <v>0.01</v>
      </c>
    </row>
    <row r="364" spans="1:8">
      <c r="A364" s="4" t="s">
        <v>112</v>
      </c>
      <c r="B364" s="4" t="s">
        <v>113</v>
      </c>
      <c r="C364" s="4" t="s">
        <v>1143</v>
      </c>
      <c r="D364" s="4" t="s">
        <v>1270</v>
      </c>
      <c r="E364" s="6">
        <v>43866</v>
      </c>
      <c r="F364" s="7">
        <v>-100</v>
      </c>
      <c r="G364" s="7">
        <v>-41.05</v>
      </c>
      <c r="H364" s="7">
        <v>0</v>
      </c>
    </row>
    <row r="365" spans="1:8">
      <c r="A365" s="4" t="s">
        <v>112</v>
      </c>
      <c r="B365" s="4" t="s">
        <v>113</v>
      </c>
      <c r="C365" s="4" t="s">
        <v>964</v>
      </c>
      <c r="D365" s="4" t="s">
        <v>1271</v>
      </c>
      <c r="E365" s="6">
        <v>43866</v>
      </c>
      <c r="F365" s="7">
        <v>-50</v>
      </c>
      <c r="G365" s="7">
        <v>-41.05</v>
      </c>
      <c r="H365" s="7">
        <v>0</v>
      </c>
    </row>
    <row r="366" spans="1:8">
      <c r="A366" s="4" t="s">
        <v>112</v>
      </c>
      <c r="B366" s="4" t="s">
        <v>113</v>
      </c>
      <c r="C366" s="4" t="s">
        <v>1146</v>
      </c>
      <c r="D366" s="4" t="s">
        <v>1272</v>
      </c>
      <c r="E366" s="6">
        <v>43866</v>
      </c>
      <c r="F366" s="7">
        <v>-25</v>
      </c>
      <c r="G366" s="7">
        <v>-20.059999999999999</v>
      </c>
      <c r="H366" s="7">
        <v>0</v>
      </c>
    </row>
    <row r="367" spans="1:8">
      <c r="A367" s="4" t="s">
        <v>112</v>
      </c>
      <c r="B367" s="4" t="s">
        <v>113</v>
      </c>
      <c r="C367" s="4" t="s">
        <v>851</v>
      </c>
      <c r="D367" s="4" t="s">
        <v>1273</v>
      </c>
      <c r="E367" s="6">
        <v>43866</v>
      </c>
      <c r="F367" s="7">
        <v>-150</v>
      </c>
      <c r="G367" s="7">
        <v>-230.5</v>
      </c>
      <c r="H367" s="7">
        <v>0</v>
      </c>
    </row>
    <row r="368" spans="1:8">
      <c r="A368" s="4" t="s">
        <v>112</v>
      </c>
      <c r="B368" s="4" t="s">
        <v>113</v>
      </c>
      <c r="C368" s="4" t="s">
        <v>1149</v>
      </c>
      <c r="D368" s="4" t="s">
        <v>1274</v>
      </c>
      <c r="E368" s="6">
        <v>43866</v>
      </c>
      <c r="F368" s="7">
        <v>-100</v>
      </c>
      <c r="G368" s="7">
        <v>-86.87</v>
      </c>
      <c r="H368" s="7">
        <v>0</v>
      </c>
    </row>
    <row r="369" spans="1:8">
      <c r="A369" s="4" t="s">
        <v>112</v>
      </c>
      <c r="B369" s="4" t="s">
        <v>113</v>
      </c>
      <c r="C369" s="4" t="s">
        <v>1151</v>
      </c>
      <c r="D369" s="4" t="s">
        <v>1275</v>
      </c>
      <c r="E369" s="6">
        <v>43866</v>
      </c>
      <c r="F369" s="7">
        <v>-100</v>
      </c>
      <c r="G369" s="7">
        <v>-89.86</v>
      </c>
      <c r="H369" s="7">
        <v>0</v>
      </c>
    </row>
    <row r="370" spans="1:8">
      <c r="A370" s="4" t="s">
        <v>112</v>
      </c>
      <c r="B370" s="4" t="s">
        <v>113</v>
      </c>
      <c r="C370" s="4" t="s">
        <v>853</v>
      </c>
      <c r="D370" s="4" t="s">
        <v>1276</v>
      </c>
      <c r="E370" s="6">
        <v>43866</v>
      </c>
      <c r="F370" s="7">
        <v>-25</v>
      </c>
      <c r="G370" s="7">
        <v>-44.93</v>
      </c>
      <c r="H370" s="7">
        <v>0</v>
      </c>
    </row>
    <row r="371" spans="1:8">
      <c r="A371" s="4" t="s">
        <v>112</v>
      </c>
      <c r="B371" s="4" t="s">
        <v>113</v>
      </c>
      <c r="C371" s="4" t="s">
        <v>1154</v>
      </c>
      <c r="D371" s="4" t="s">
        <v>1277</v>
      </c>
      <c r="E371" s="6">
        <v>43866</v>
      </c>
      <c r="F371" s="7">
        <v>-50</v>
      </c>
      <c r="G371" s="7">
        <v>-54.18</v>
      </c>
      <c r="H371" s="7">
        <v>0</v>
      </c>
    </row>
    <row r="372" spans="1:8">
      <c r="A372" s="4" t="s">
        <v>112</v>
      </c>
      <c r="B372" s="4" t="s">
        <v>113</v>
      </c>
      <c r="C372" s="4" t="s">
        <v>784</v>
      </c>
      <c r="D372" s="4" t="s">
        <v>1278</v>
      </c>
      <c r="E372" s="6">
        <v>43866</v>
      </c>
      <c r="F372" s="7">
        <v>-1</v>
      </c>
      <c r="G372" s="7">
        <v>0</v>
      </c>
      <c r="H372" s="7">
        <v>0</v>
      </c>
    </row>
    <row r="373" spans="1:8">
      <c r="A373" s="4" t="s">
        <v>186</v>
      </c>
      <c r="B373" s="4" t="s">
        <v>187</v>
      </c>
      <c r="C373" s="4" t="s">
        <v>1236</v>
      </c>
      <c r="D373" s="4" t="s">
        <v>1279</v>
      </c>
      <c r="E373" s="6">
        <v>43881</v>
      </c>
      <c r="F373" s="7">
        <v>-1</v>
      </c>
      <c r="G373" s="7">
        <v>0</v>
      </c>
      <c r="H373" s="7">
        <v>0</v>
      </c>
    </row>
    <row r="374" spans="1:8">
      <c r="A374" s="4" t="s">
        <v>115</v>
      </c>
      <c r="B374" s="4" t="s">
        <v>116</v>
      </c>
      <c r="C374" s="4" t="s">
        <v>936</v>
      </c>
      <c r="D374" s="4" t="s">
        <v>1280</v>
      </c>
      <c r="E374" s="6">
        <v>43868</v>
      </c>
      <c r="F374" s="7">
        <v>-10</v>
      </c>
      <c r="G374" s="7">
        <v>-4.74</v>
      </c>
      <c r="H374" s="7">
        <v>0</v>
      </c>
    </row>
    <row r="375" spans="1:8">
      <c r="A375" s="4" t="s">
        <v>115</v>
      </c>
      <c r="B375" s="4" t="s">
        <v>116</v>
      </c>
      <c r="C375" s="4" t="s">
        <v>940</v>
      </c>
      <c r="D375" s="4" t="s">
        <v>1281</v>
      </c>
      <c r="E375" s="6">
        <v>43868</v>
      </c>
      <c r="F375" s="7">
        <v>-10</v>
      </c>
      <c r="G375" s="7">
        <v>-5.64</v>
      </c>
      <c r="H375" s="7">
        <v>0</v>
      </c>
    </row>
    <row r="376" spans="1:8">
      <c r="A376" s="4" t="s">
        <v>115</v>
      </c>
      <c r="B376" s="4" t="s">
        <v>116</v>
      </c>
      <c r="C376" s="4" t="s">
        <v>784</v>
      </c>
      <c r="D376" s="4" t="s">
        <v>1282</v>
      </c>
      <c r="E376" s="6">
        <v>43868</v>
      </c>
      <c r="F376" s="7">
        <v>-1</v>
      </c>
      <c r="G376" s="7">
        <v>0</v>
      </c>
      <c r="H376" s="7">
        <v>0</v>
      </c>
    </row>
    <row r="377" spans="1:8">
      <c r="A377" s="4" t="s">
        <v>199</v>
      </c>
      <c r="B377" s="4" t="s">
        <v>200</v>
      </c>
      <c r="C377" s="4" t="s">
        <v>1283</v>
      </c>
      <c r="D377" s="4" t="s">
        <v>1284</v>
      </c>
      <c r="E377" s="6">
        <v>43887</v>
      </c>
      <c r="F377" s="7">
        <v>-300</v>
      </c>
      <c r="G377" s="7">
        <v>-100.78</v>
      </c>
      <c r="H377" s="7">
        <v>0</v>
      </c>
    </row>
    <row r="378" spans="1:8">
      <c r="A378" s="4" t="s">
        <v>199</v>
      </c>
      <c r="B378" s="4" t="s">
        <v>200</v>
      </c>
      <c r="C378" s="4" t="s">
        <v>1283</v>
      </c>
      <c r="D378" s="4" t="s">
        <v>1285</v>
      </c>
      <c r="E378" s="6">
        <v>43887</v>
      </c>
      <c r="F378" s="7">
        <v>-750</v>
      </c>
      <c r="G378" s="7">
        <v>-251.94</v>
      </c>
      <c r="H378" s="7">
        <v>0</v>
      </c>
    </row>
    <row r="379" spans="1:8">
      <c r="A379" s="4" t="s">
        <v>199</v>
      </c>
      <c r="B379" s="4" t="s">
        <v>200</v>
      </c>
      <c r="C379" s="4" t="s">
        <v>784</v>
      </c>
      <c r="D379" s="4" t="s">
        <v>1286</v>
      </c>
      <c r="E379" s="6">
        <v>43887</v>
      </c>
      <c r="F379" s="7">
        <v>-1</v>
      </c>
      <c r="G379" s="7">
        <v>0</v>
      </c>
      <c r="H379" s="7">
        <v>0</v>
      </c>
    </row>
    <row r="380" spans="1:8">
      <c r="A380" s="4" t="s">
        <v>136</v>
      </c>
      <c r="B380" s="4" t="s">
        <v>137</v>
      </c>
      <c r="C380" s="4" t="s">
        <v>916</v>
      </c>
      <c r="D380" s="4" t="s">
        <v>1287</v>
      </c>
      <c r="E380" s="6">
        <v>43873</v>
      </c>
      <c r="F380" s="7">
        <v>-450</v>
      </c>
      <c r="G380" s="7">
        <v>-169.10999999999999</v>
      </c>
      <c r="H380" s="7">
        <v>0</v>
      </c>
    </row>
    <row r="381" spans="1:8">
      <c r="A381" s="4" t="s">
        <v>136</v>
      </c>
      <c r="B381" s="4" t="s">
        <v>137</v>
      </c>
      <c r="C381" s="4" t="s">
        <v>887</v>
      </c>
      <c r="D381" s="4" t="s">
        <v>1288</v>
      </c>
      <c r="E381" s="6">
        <v>43873</v>
      </c>
      <c r="F381" s="7">
        <v>-400</v>
      </c>
      <c r="G381" s="7">
        <v>-163.57</v>
      </c>
      <c r="H381" s="7">
        <v>0</v>
      </c>
    </row>
    <row r="382" spans="1:8">
      <c r="A382" s="4" t="s">
        <v>136</v>
      </c>
      <c r="B382" s="4" t="s">
        <v>137</v>
      </c>
      <c r="C382" s="4" t="s">
        <v>949</v>
      </c>
      <c r="D382" s="4" t="s">
        <v>1289</v>
      </c>
      <c r="E382" s="6">
        <v>43873</v>
      </c>
      <c r="F382" s="7">
        <v>-50</v>
      </c>
      <c r="G382" s="7">
        <v>-18.02</v>
      </c>
      <c r="H382" s="7">
        <v>0</v>
      </c>
    </row>
    <row r="383" spans="1:8">
      <c r="A383" s="4" t="s">
        <v>136</v>
      </c>
      <c r="B383" s="4" t="s">
        <v>137</v>
      </c>
      <c r="C383" s="4" t="s">
        <v>1290</v>
      </c>
      <c r="D383" s="4" t="s">
        <v>1291</v>
      </c>
      <c r="E383" s="6">
        <v>43873</v>
      </c>
      <c r="F383" s="7">
        <v>-80</v>
      </c>
      <c r="G383" s="7">
        <v>-46.96</v>
      </c>
      <c r="H383" s="7">
        <v>0.01</v>
      </c>
    </row>
    <row r="384" spans="1:8">
      <c r="A384" s="4" t="s">
        <v>136</v>
      </c>
      <c r="B384" s="4" t="s">
        <v>137</v>
      </c>
      <c r="C384" s="4" t="s">
        <v>993</v>
      </c>
      <c r="D384" s="4" t="s">
        <v>1292</v>
      </c>
      <c r="E384" s="6">
        <v>43873</v>
      </c>
      <c r="F384" s="7">
        <v>-70</v>
      </c>
      <c r="G384" s="7">
        <v>-24.71</v>
      </c>
      <c r="H384" s="7">
        <v>0</v>
      </c>
    </row>
    <row r="385" spans="1:8">
      <c r="A385" s="4" t="s">
        <v>136</v>
      </c>
      <c r="B385" s="4" t="s">
        <v>137</v>
      </c>
      <c r="C385" s="4" t="s">
        <v>1005</v>
      </c>
      <c r="D385" s="4" t="s">
        <v>1293</v>
      </c>
      <c r="E385" s="6">
        <v>43873</v>
      </c>
      <c r="F385" s="7">
        <v>-50</v>
      </c>
      <c r="G385" s="7">
        <v>-37.25</v>
      </c>
      <c r="H385" s="7">
        <v>0</v>
      </c>
    </row>
    <row r="386" spans="1:8">
      <c r="A386" s="4" t="s">
        <v>136</v>
      </c>
      <c r="B386" s="4" t="s">
        <v>137</v>
      </c>
      <c r="C386" s="4" t="s">
        <v>1063</v>
      </c>
      <c r="D386" s="4" t="s">
        <v>1294</v>
      </c>
      <c r="E386" s="6">
        <v>43873</v>
      </c>
      <c r="F386" s="7">
        <v>-10</v>
      </c>
      <c r="G386" s="7">
        <v>-6.85</v>
      </c>
      <c r="H386" s="7">
        <v>0</v>
      </c>
    </row>
    <row r="387" spans="1:8">
      <c r="A387" s="4" t="s">
        <v>136</v>
      </c>
      <c r="B387" s="4" t="s">
        <v>137</v>
      </c>
      <c r="C387" s="4" t="s">
        <v>1026</v>
      </c>
      <c r="D387" s="4" t="s">
        <v>1295</v>
      </c>
      <c r="E387" s="6">
        <v>43873</v>
      </c>
      <c r="F387" s="7">
        <v>-10</v>
      </c>
      <c r="G387" s="7">
        <v>-6.8400000000000007</v>
      </c>
      <c r="H387" s="7">
        <v>0</v>
      </c>
    </row>
    <row r="388" spans="1:8">
      <c r="A388" s="4" t="s">
        <v>136</v>
      </c>
      <c r="B388" s="4" t="s">
        <v>137</v>
      </c>
      <c r="C388" s="4" t="s">
        <v>952</v>
      </c>
      <c r="D388" s="4" t="s">
        <v>1296</v>
      </c>
      <c r="E388" s="6">
        <v>43873</v>
      </c>
      <c r="F388" s="7">
        <v>-50</v>
      </c>
      <c r="G388" s="7">
        <v>-33.07</v>
      </c>
      <c r="H388" s="7">
        <v>0</v>
      </c>
    </row>
    <row r="389" spans="1:8">
      <c r="A389" s="4" t="s">
        <v>136</v>
      </c>
      <c r="B389" s="4" t="s">
        <v>137</v>
      </c>
      <c r="C389" s="4" t="s">
        <v>784</v>
      </c>
      <c r="D389" s="4" t="s">
        <v>1297</v>
      </c>
      <c r="E389" s="6">
        <v>43873</v>
      </c>
      <c r="F389" s="7">
        <v>-1</v>
      </c>
      <c r="G389" s="7">
        <v>0</v>
      </c>
      <c r="H389" s="7">
        <v>0</v>
      </c>
    </row>
    <row r="390" spans="1:8">
      <c r="A390" s="4" t="s">
        <v>145</v>
      </c>
      <c r="B390" s="4" t="s">
        <v>146</v>
      </c>
      <c r="C390" s="4" t="s">
        <v>1298</v>
      </c>
      <c r="D390" s="4" t="s">
        <v>1299</v>
      </c>
      <c r="E390" s="6">
        <v>43873</v>
      </c>
      <c r="F390" s="7">
        <v>-100</v>
      </c>
      <c r="G390" s="7">
        <v>-146.17000000000002</v>
      </c>
      <c r="H390" s="7">
        <v>0</v>
      </c>
    </row>
    <row r="391" spans="1:8">
      <c r="A391" s="4" t="s">
        <v>145</v>
      </c>
      <c r="B391" s="4" t="s">
        <v>146</v>
      </c>
      <c r="C391" s="4" t="s">
        <v>843</v>
      </c>
      <c r="D391" s="4" t="s">
        <v>1300</v>
      </c>
      <c r="E391" s="6">
        <v>43873</v>
      </c>
      <c r="F391" s="7">
        <v>-50</v>
      </c>
      <c r="G391" s="7">
        <v>-396.58000000000004</v>
      </c>
      <c r="H391" s="7">
        <v>0</v>
      </c>
    </row>
    <row r="392" spans="1:8">
      <c r="A392" s="4" t="s">
        <v>145</v>
      </c>
      <c r="B392" s="4" t="s">
        <v>146</v>
      </c>
      <c r="C392" s="4" t="s">
        <v>784</v>
      </c>
      <c r="D392" s="4" t="s">
        <v>1301</v>
      </c>
      <c r="E392" s="6">
        <v>43873</v>
      </c>
      <c r="F392" s="7">
        <v>-1</v>
      </c>
      <c r="G392" s="7">
        <v>0</v>
      </c>
      <c r="H392" s="7">
        <v>0</v>
      </c>
    </row>
    <row r="393" spans="1:8">
      <c r="A393" s="4" t="s">
        <v>183</v>
      </c>
      <c r="B393" s="4" t="s">
        <v>184</v>
      </c>
      <c r="C393" s="4" t="s">
        <v>928</v>
      </c>
      <c r="D393" s="4" t="s">
        <v>1302</v>
      </c>
      <c r="E393" s="6">
        <v>43880</v>
      </c>
      <c r="F393" s="7">
        <v>-100</v>
      </c>
      <c r="G393" s="7">
        <v>-515.98</v>
      </c>
      <c r="H393" s="7">
        <v>0.01</v>
      </c>
    </row>
    <row r="394" spans="1:8">
      <c r="A394" s="4" t="s">
        <v>183</v>
      </c>
      <c r="B394" s="4" t="s">
        <v>184</v>
      </c>
      <c r="C394" s="4" t="s">
        <v>889</v>
      </c>
      <c r="D394" s="4" t="s">
        <v>1303</v>
      </c>
      <c r="E394" s="6">
        <v>43880</v>
      </c>
      <c r="F394" s="7">
        <v>-50</v>
      </c>
      <c r="G394" s="7">
        <v>-22.34</v>
      </c>
      <c r="H394" s="7">
        <v>0</v>
      </c>
    </row>
    <row r="395" spans="1:8">
      <c r="A395" s="4" t="s">
        <v>183</v>
      </c>
      <c r="B395" s="4" t="s">
        <v>184</v>
      </c>
      <c r="C395" s="4" t="s">
        <v>1304</v>
      </c>
      <c r="D395" s="4" t="s">
        <v>1305</v>
      </c>
      <c r="E395" s="6">
        <v>43880</v>
      </c>
      <c r="F395" s="7">
        <v>-25</v>
      </c>
      <c r="G395" s="7">
        <v>-42.96</v>
      </c>
      <c r="H395" s="7">
        <v>0</v>
      </c>
    </row>
    <row r="396" spans="1:8">
      <c r="A396" s="4" t="s">
        <v>183</v>
      </c>
      <c r="B396" s="4" t="s">
        <v>184</v>
      </c>
      <c r="C396" s="4" t="s">
        <v>1306</v>
      </c>
      <c r="D396" s="4" t="s">
        <v>1307</v>
      </c>
      <c r="E396" s="6">
        <v>43880</v>
      </c>
      <c r="F396" s="7">
        <v>-50</v>
      </c>
      <c r="G396" s="7">
        <v>-171.39000000000001</v>
      </c>
      <c r="H396" s="7">
        <v>0</v>
      </c>
    </row>
    <row r="397" spans="1:8">
      <c r="A397" s="4" t="s">
        <v>183</v>
      </c>
      <c r="B397" s="4" t="s">
        <v>184</v>
      </c>
      <c r="C397" s="4" t="s">
        <v>860</v>
      </c>
      <c r="D397" s="4" t="s">
        <v>1308</v>
      </c>
      <c r="E397" s="6">
        <v>43880</v>
      </c>
      <c r="F397" s="7">
        <v>-25</v>
      </c>
      <c r="G397" s="7">
        <v>-80.72</v>
      </c>
      <c r="H397" s="7">
        <v>-0.01</v>
      </c>
    </row>
    <row r="398" spans="1:8">
      <c r="A398" s="4" t="s">
        <v>183</v>
      </c>
      <c r="B398" s="4" t="s">
        <v>184</v>
      </c>
      <c r="C398" s="4" t="s">
        <v>784</v>
      </c>
      <c r="D398" s="4" t="s">
        <v>1309</v>
      </c>
      <c r="E398" s="6">
        <v>43880</v>
      </c>
      <c r="F398" s="7">
        <v>-1</v>
      </c>
      <c r="G398" s="7">
        <v>0</v>
      </c>
      <c r="H398" s="7">
        <v>0</v>
      </c>
    </row>
    <row r="399" spans="1:8">
      <c r="A399" s="4" t="s">
        <v>164</v>
      </c>
      <c r="B399" s="4" t="s">
        <v>165</v>
      </c>
      <c r="C399" s="4" t="s">
        <v>1310</v>
      </c>
      <c r="D399" s="4" t="s">
        <v>1311</v>
      </c>
      <c r="E399" s="6">
        <v>43878</v>
      </c>
      <c r="F399" s="7">
        <v>-6</v>
      </c>
      <c r="G399" s="7">
        <v>-7.6099999999999994</v>
      </c>
      <c r="H399" s="7">
        <v>0</v>
      </c>
    </row>
    <row r="400" spans="1:8">
      <c r="A400" s="4" t="s">
        <v>164</v>
      </c>
      <c r="B400" s="4" t="s">
        <v>165</v>
      </c>
      <c r="C400" s="4" t="s">
        <v>1310</v>
      </c>
      <c r="D400" s="4" t="s">
        <v>1312</v>
      </c>
      <c r="E400" s="6">
        <v>43878</v>
      </c>
      <c r="F400" s="7">
        <v>-8</v>
      </c>
      <c r="G400" s="7">
        <v>-10.14</v>
      </c>
      <c r="H400" s="7">
        <v>0</v>
      </c>
    </row>
    <row r="401" spans="1:8">
      <c r="A401" s="4" t="s">
        <v>164</v>
      </c>
      <c r="B401" s="4" t="s">
        <v>165</v>
      </c>
      <c r="C401" s="4" t="s">
        <v>1313</v>
      </c>
      <c r="D401" s="4" t="s">
        <v>1314</v>
      </c>
      <c r="E401" s="6">
        <v>43878</v>
      </c>
      <c r="F401" s="7">
        <v>-14</v>
      </c>
      <c r="G401" s="7">
        <v>-7.82</v>
      </c>
      <c r="H401" s="7">
        <v>0.01</v>
      </c>
    </row>
    <row r="402" spans="1:8">
      <c r="A402" s="4" t="s">
        <v>164</v>
      </c>
      <c r="B402" s="4" t="s">
        <v>165</v>
      </c>
      <c r="C402" s="4" t="s">
        <v>1133</v>
      </c>
      <c r="D402" s="4" t="s">
        <v>1315</v>
      </c>
      <c r="E402" s="6">
        <v>43878</v>
      </c>
      <c r="F402" s="7">
        <v>-2</v>
      </c>
      <c r="G402" s="7">
        <v>-0.4</v>
      </c>
      <c r="H402" s="7">
        <v>-0.01</v>
      </c>
    </row>
    <row r="403" spans="1:8">
      <c r="A403" s="4" t="s">
        <v>164</v>
      </c>
      <c r="B403" s="4" t="s">
        <v>165</v>
      </c>
      <c r="C403" s="4" t="s">
        <v>784</v>
      </c>
      <c r="D403" s="4" t="s">
        <v>1316</v>
      </c>
      <c r="E403" s="6">
        <v>43878</v>
      </c>
      <c r="F403" s="7">
        <v>-1</v>
      </c>
      <c r="G403" s="7">
        <v>0</v>
      </c>
      <c r="H403" s="7">
        <v>0</v>
      </c>
    </row>
    <row r="404" spans="1:8">
      <c r="A404" s="4" t="s">
        <v>176</v>
      </c>
      <c r="B404" s="4" t="s">
        <v>177</v>
      </c>
      <c r="C404" s="4" t="s">
        <v>1086</v>
      </c>
      <c r="D404" s="4" t="s">
        <v>1317</v>
      </c>
      <c r="E404" s="6">
        <v>43880</v>
      </c>
      <c r="F404" s="7">
        <v>-300</v>
      </c>
      <c r="G404" s="7">
        <v>-169.10999999999999</v>
      </c>
      <c r="H404" s="7">
        <v>0</v>
      </c>
    </row>
    <row r="405" spans="1:8">
      <c r="A405" s="4" t="s">
        <v>176</v>
      </c>
      <c r="B405" s="4" t="s">
        <v>177</v>
      </c>
      <c r="C405" s="4" t="s">
        <v>784</v>
      </c>
      <c r="D405" s="4" t="s">
        <v>1318</v>
      </c>
      <c r="E405" s="6">
        <v>43880</v>
      </c>
      <c r="F405" s="7">
        <v>-1</v>
      </c>
      <c r="G405" s="7">
        <v>0</v>
      </c>
      <c r="H405" s="7">
        <v>0</v>
      </c>
    </row>
    <row r="406" spans="1:8">
      <c r="A406" s="4" t="s">
        <v>176</v>
      </c>
      <c r="B406" s="4" t="s">
        <v>177</v>
      </c>
      <c r="C406" s="4" t="s">
        <v>1049</v>
      </c>
      <c r="D406" s="4" t="s">
        <v>1319</v>
      </c>
      <c r="E406" s="6">
        <v>43880</v>
      </c>
      <c r="F406" s="7">
        <v>-1</v>
      </c>
      <c r="G406" s="7">
        <v>0</v>
      </c>
      <c r="H406" s="7">
        <v>0</v>
      </c>
    </row>
    <row r="407" spans="1:8">
      <c r="A407" s="4" t="s">
        <v>199</v>
      </c>
      <c r="B407" s="4" t="s">
        <v>200</v>
      </c>
      <c r="C407" s="4" t="s">
        <v>1283</v>
      </c>
      <c r="D407" s="4" t="s">
        <v>1320</v>
      </c>
      <c r="E407" s="6">
        <v>43887</v>
      </c>
      <c r="F407" s="7">
        <v>-1500</v>
      </c>
      <c r="G407" s="7">
        <v>-503.88</v>
      </c>
      <c r="H407" s="7">
        <v>0</v>
      </c>
    </row>
    <row r="408" spans="1:8">
      <c r="A408" s="4" t="s">
        <v>151</v>
      </c>
      <c r="B408" s="4" t="s">
        <v>152</v>
      </c>
      <c r="C408" s="4" t="s">
        <v>782</v>
      </c>
      <c r="D408" s="4" t="s">
        <v>1321</v>
      </c>
      <c r="E408" s="6">
        <v>43875</v>
      </c>
      <c r="F408" s="7">
        <v>-2</v>
      </c>
      <c r="G408" s="7">
        <v>-20.239999999999998</v>
      </c>
      <c r="H408" s="7">
        <v>0</v>
      </c>
    </row>
    <row r="409" spans="1:8">
      <c r="A409" s="4" t="s">
        <v>151</v>
      </c>
      <c r="B409" s="4" t="s">
        <v>152</v>
      </c>
      <c r="C409" s="4" t="s">
        <v>1129</v>
      </c>
      <c r="D409" s="4" t="s">
        <v>1322</v>
      </c>
      <c r="E409" s="6">
        <v>43875</v>
      </c>
      <c r="F409" s="7">
        <v>-55</v>
      </c>
      <c r="G409" s="7">
        <v>-9.91</v>
      </c>
      <c r="H409" s="7">
        <v>0</v>
      </c>
    </row>
    <row r="410" spans="1:8">
      <c r="A410" s="4" t="s">
        <v>151</v>
      </c>
      <c r="B410" s="4" t="s">
        <v>152</v>
      </c>
      <c r="C410" s="4" t="s">
        <v>1323</v>
      </c>
      <c r="D410" s="4" t="s">
        <v>1324</v>
      </c>
      <c r="E410" s="6">
        <v>43875</v>
      </c>
      <c r="F410" s="7">
        <v>-50</v>
      </c>
      <c r="G410" s="7">
        <v>-13.43</v>
      </c>
      <c r="H410" s="7">
        <v>0</v>
      </c>
    </row>
    <row r="411" spans="1:8">
      <c r="A411" s="4" t="s">
        <v>151</v>
      </c>
      <c r="B411" s="4" t="s">
        <v>152</v>
      </c>
      <c r="C411" s="4" t="s">
        <v>1325</v>
      </c>
      <c r="D411" s="4" t="s">
        <v>1326</v>
      </c>
      <c r="E411" s="6">
        <v>43875</v>
      </c>
      <c r="F411" s="7">
        <v>-50</v>
      </c>
      <c r="G411" s="7">
        <v>-25.07</v>
      </c>
      <c r="H411" s="7">
        <v>0</v>
      </c>
    </row>
    <row r="412" spans="1:8">
      <c r="A412" s="4" t="s">
        <v>151</v>
      </c>
      <c r="B412" s="4" t="s">
        <v>152</v>
      </c>
      <c r="C412" s="4" t="s">
        <v>1088</v>
      </c>
      <c r="D412" s="4" t="s">
        <v>1327</v>
      </c>
      <c r="E412" s="6">
        <v>43875</v>
      </c>
      <c r="F412" s="7">
        <v>-100</v>
      </c>
      <c r="G412" s="7">
        <v>-34.25</v>
      </c>
      <c r="H412" s="7">
        <v>0</v>
      </c>
    </row>
    <row r="413" spans="1:8">
      <c r="A413" s="4" t="s">
        <v>151</v>
      </c>
      <c r="B413" s="4" t="s">
        <v>152</v>
      </c>
      <c r="C413" s="4" t="s">
        <v>987</v>
      </c>
      <c r="D413" s="4" t="s">
        <v>1328</v>
      </c>
      <c r="E413" s="6">
        <v>43875</v>
      </c>
      <c r="F413" s="7">
        <v>-10</v>
      </c>
      <c r="G413" s="7">
        <v>-7.5</v>
      </c>
      <c r="H413" s="7">
        <v>0</v>
      </c>
    </row>
    <row r="414" spans="1:8">
      <c r="A414" s="4" t="s">
        <v>151</v>
      </c>
      <c r="B414" s="4" t="s">
        <v>152</v>
      </c>
      <c r="C414" s="4" t="s">
        <v>1030</v>
      </c>
      <c r="D414" s="4" t="s">
        <v>1329</v>
      </c>
      <c r="E414" s="6">
        <v>43875</v>
      </c>
      <c r="F414" s="7">
        <v>-25</v>
      </c>
      <c r="G414" s="7">
        <v>-54.18</v>
      </c>
      <c r="H414" s="7">
        <v>0</v>
      </c>
    </row>
    <row r="415" spans="1:8">
      <c r="A415" s="4" t="s">
        <v>151</v>
      </c>
      <c r="B415" s="4" t="s">
        <v>152</v>
      </c>
      <c r="C415" s="4" t="s">
        <v>784</v>
      </c>
      <c r="D415" s="4" t="s">
        <v>1330</v>
      </c>
      <c r="E415" s="6">
        <v>43875</v>
      </c>
      <c r="F415" s="7">
        <v>-1</v>
      </c>
      <c r="G415" s="7">
        <v>0</v>
      </c>
      <c r="H415" s="7">
        <v>0</v>
      </c>
    </row>
    <row r="416" spans="1:8">
      <c r="A416" s="4" t="s">
        <v>151</v>
      </c>
      <c r="B416" s="4" t="s">
        <v>152</v>
      </c>
      <c r="C416" s="4" t="s">
        <v>889</v>
      </c>
      <c r="D416" s="4" t="s">
        <v>1331</v>
      </c>
      <c r="E416" s="6">
        <v>43875</v>
      </c>
      <c r="F416" s="7">
        <v>-30</v>
      </c>
      <c r="G416" s="7">
        <v>-13.4</v>
      </c>
      <c r="H416" s="7">
        <v>0</v>
      </c>
    </row>
    <row r="417" spans="1:8">
      <c r="A417" s="4" t="s">
        <v>241</v>
      </c>
      <c r="B417" s="4" t="s">
        <v>242</v>
      </c>
      <c r="C417" s="4" t="s">
        <v>801</v>
      </c>
      <c r="D417" s="4" t="s">
        <v>1332</v>
      </c>
      <c r="E417" s="6">
        <v>43901</v>
      </c>
      <c r="F417" s="7">
        <v>-1500</v>
      </c>
      <c r="G417" s="7">
        <v>-1267.26</v>
      </c>
      <c r="H417" s="7">
        <v>0</v>
      </c>
    </row>
    <row r="418" spans="1:8">
      <c r="A418" s="4" t="s">
        <v>241</v>
      </c>
      <c r="B418" s="4" t="s">
        <v>242</v>
      </c>
      <c r="C418" s="4" t="s">
        <v>784</v>
      </c>
      <c r="D418" s="4" t="s">
        <v>1333</v>
      </c>
      <c r="E418" s="6">
        <v>43901</v>
      </c>
      <c r="F418" s="7">
        <v>-1</v>
      </c>
      <c r="G418" s="7">
        <v>0</v>
      </c>
      <c r="H418" s="7">
        <v>0</v>
      </c>
    </row>
    <row r="419" spans="1:8">
      <c r="A419" s="4" t="s">
        <v>312</v>
      </c>
      <c r="B419" s="4" t="s">
        <v>313</v>
      </c>
      <c r="C419" s="4" t="s">
        <v>786</v>
      </c>
      <c r="D419" s="4" t="s">
        <v>1334</v>
      </c>
      <c r="E419" s="6">
        <v>43929</v>
      </c>
      <c r="F419" s="7">
        <v>-2500</v>
      </c>
      <c r="G419" s="7">
        <v>-1642.74</v>
      </c>
      <c r="H419" s="7">
        <v>-0.01</v>
      </c>
    </row>
    <row r="420" spans="1:8">
      <c r="A420" s="4" t="s">
        <v>312</v>
      </c>
      <c r="B420" s="4" t="s">
        <v>313</v>
      </c>
      <c r="C420" s="4" t="s">
        <v>799</v>
      </c>
      <c r="D420" s="4" t="s">
        <v>1335</v>
      </c>
      <c r="E420" s="6">
        <v>43929</v>
      </c>
      <c r="F420" s="7">
        <v>-1000</v>
      </c>
      <c r="G420" s="7">
        <v>-750.97</v>
      </c>
      <c r="H420" s="7">
        <v>0</v>
      </c>
    </row>
    <row r="421" spans="1:8">
      <c r="A421" s="4" t="s">
        <v>312</v>
      </c>
      <c r="B421" s="4" t="s">
        <v>313</v>
      </c>
      <c r="C421" s="4" t="s">
        <v>784</v>
      </c>
      <c r="D421" s="4" t="s">
        <v>1336</v>
      </c>
      <c r="E421" s="6">
        <v>43929</v>
      </c>
      <c r="F421" s="7">
        <v>-1</v>
      </c>
      <c r="G421" s="7">
        <v>0</v>
      </c>
      <c r="H421" s="7">
        <v>0</v>
      </c>
    </row>
    <row r="422" spans="1:8">
      <c r="A422" s="4" t="s">
        <v>153</v>
      </c>
      <c r="B422" s="4" t="s">
        <v>154</v>
      </c>
      <c r="C422" s="4" t="s">
        <v>936</v>
      </c>
      <c r="D422" s="4" t="s">
        <v>1337</v>
      </c>
      <c r="E422" s="6">
        <v>43875</v>
      </c>
      <c r="F422" s="7">
        <v>-100</v>
      </c>
      <c r="G422" s="7">
        <v>-47.37</v>
      </c>
      <c r="H422" s="7">
        <v>0</v>
      </c>
    </row>
    <row r="423" spans="1:8">
      <c r="A423" s="4" t="s">
        <v>153</v>
      </c>
      <c r="B423" s="4" t="s">
        <v>154</v>
      </c>
      <c r="C423" s="4" t="s">
        <v>784</v>
      </c>
      <c r="D423" s="4" t="s">
        <v>1338</v>
      </c>
      <c r="E423" s="6">
        <v>43875</v>
      </c>
      <c r="F423" s="7">
        <v>-1</v>
      </c>
      <c r="G423" s="7">
        <v>0</v>
      </c>
      <c r="H423" s="7">
        <v>0</v>
      </c>
    </row>
    <row r="424" spans="1:8">
      <c r="A424" s="4" t="s">
        <v>149</v>
      </c>
      <c r="B424" s="4" t="s">
        <v>150</v>
      </c>
      <c r="C424" s="4" t="s">
        <v>1339</v>
      </c>
      <c r="D424" s="4" t="s">
        <v>1340</v>
      </c>
      <c r="E424" s="6">
        <v>43875</v>
      </c>
      <c r="F424" s="7">
        <v>-2000</v>
      </c>
      <c r="G424" s="7">
        <v>-2.4300000000000002</v>
      </c>
      <c r="H424" s="7">
        <v>0</v>
      </c>
    </row>
    <row r="425" spans="1:8">
      <c r="A425" s="4" t="s">
        <v>149</v>
      </c>
      <c r="B425" s="4" t="s">
        <v>150</v>
      </c>
      <c r="C425" s="4" t="s">
        <v>1341</v>
      </c>
      <c r="D425" s="4" t="s">
        <v>1342</v>
      </c>
      <c r="E425" s="6">
        <v>43875</v>
      </c>
      <c r="F425" s="7">
        <v>-5000</v>
      </c>
      <c r="G425" s="7">
        <v>-12.14</v>
      </c>
      <c r="H425" s="7">
        <v>0</v>
      </c>
    </row>
    <row r="426" spans="1:8">
      <c r="A426" s="4" t="s">
        <v>149</v>
      </c>
      <c r="B426" s="4" t="s">
        <v>150</v>
      </c>
      <c r="C426" s="4" t="s">
        <v>1343</v>
      </c>
      <c r="D426" s="4" t="s">
        <v>1344</v>
      </c>
      <c r="E426" s="6">
        <v>43875</v>
      </c>
      <c r="F426" s="7">
        <v>-1000</v>
      </c>
      <c r="G426" s="7">
        <v>-3.44</v>
      </c>
      <c r="H426" s="7">
        <v>0</v>
      </c>
    </row>
    <row r="427" spans="1:8">
      <c r="A427" s="4" t="s">
        <v>149</v>
      </c>
      <c r="B427" s="4" t="s">
        <v>150</v>
      </c>
      <c r="C427" s="4" t="s">
        <v>1345</v>
      </c>
      <c r="D427" s="4" t="s">
        <v>1346</v>
      </c>
      <c r="E427" s="6">
        <v>43875</v>
      </c>
      <c r="F427" s="7">
        <v>-2000</v>
      </c>
      <c r="G427" s="7">
        <v>-4.4700000000000006</v>
      </c>
      <c r="H427" s="7">
        <v>0</v>
      </c>
    </row>
    <row r="428" spans="1:8">
      <c r="A428" s="4" t="s">
        <v>149</v>
      </c>
      <c r="B428" s="4" t="s">
        <v>150</v>
      </c>
      <c r="C428" s="4" t="s">
        <v>1347</v>
      </c>
      <c r="D428" s="4" t="s">
        <v>1348</v>
      </c>
      <c r="E428" s="6">
        <v>43875</v>
      </c>
      <c r="F428" s="7">
        <v>-2000</v>
      </c>
      <c r="G428" s="7">
        <v>-19.690000000000001</v>
      </c>
      <c r="H428" s="7">
        <v>0</v>
      </c>
    </row>
    <row r="429" spans="1:8">
      <c r="A429" s="4" t="s">
        <v>149</v>
      </c>
      <c r="B429" s="4" t="s">
        <v>150</v>
      </c>
      <c r="C429" s="4" t="s">
        <v>1349</v>
      </c>
      <c r="D429" s="4" t="s">
        <v>1350</v>
      </c>
      <c r="E429" s="6">
        <v>43875</v>
      </c>
      <c r="F429" s="7">
        <v>-5000</v>
      </c>
      <c r="G429" s="7">
        <v>-98.44</v>
      </c>
      <c r="H429" s="7">
        <v>0</v>
      </c>
    </row>
    <row r="430" spans="1:8">
      <c r="A430" s="4" t="s">
        <v>149</v>
      </c>
      <c r="B430" s="4" t="s">
        <v>150</v>
      </c>
      <c r="C430" s="4" t="s">
        <v>1351</v>
      </c>
      <c r="D430" s="4" t="s">
        <v>1352</v>
      </c>
      <c r="E430" s="6">
        <v>43875</v>
      </c>
      <c r="F430" s="7">
        <v>-1000</v>
      </c>
      <c r="G430" s="7">
        <v>-4.4700000000000006</v>
      </c>
      <c r="H430" s="7">
        <v>0</v>
      </c>
    </row>
    <row r="431" spans="1:8">
      <c r="A431" s="4" t="s">
        <v>149</v>
      </c>
      <c r="B431" s="4" t="s">
        <v>150</v>
      </c>
      <c r="C431" s="4" t="s">
        <v>1005</v>
      </c>
      <c r="D431" s="4" t="s">
        <v>1353</v>
      </c>
      <c r="E431" s="6">
        <v>43875</v>
      </c>
      <c r="F431" s="7">
        <v>-10</v>
      </c>
      <c r="G431" s="7">
        <v>-7.45</v>
      </c>
      <c r="H431" s="7">
        <v>0</v>
      </c>
    </row>
    <row r="432" spans="1:8">
      <c r="A432" s="4" t="s">
        <v>149</v>
      </c>
      <c r="B432" s="4" t="s">
        <v>150</v>
      </c>
      <c r="C432" s="4" t="s">
        <v>883</v>
      </c>
      <c r="D432" s="4" t="s">
        <v>1354</v>
      </c>
      <c r="E432" s="6">
        <v>43875</v>
      </c>
      <c r="F432" s="7">
        <v>-10</v>
      </c>
      <c r="G432" s="7">
        <v>-7.9799999999999995</v>
      </c>
      <c r="H432" s="7">
        <v>0</v>
      </c>
    </row>
    <row r="433" spans="1:8">
      <c r="A433" s="4" t="s">
        <v>149</v>
      </c>
      <c r="B433" s="4" t="s">
        <v>150</v>
      </c>
      <c r="C433" s="4" t="s">
        <v>784</v>
      </c>
      <c r="D433" s="4" t="s">
        <v>1355</v>
      </c>
      <c r="E433" s="6">
        <v>43875</v>
      </c>
      <c r="F433" s="7">
        <v>-1</v>
      </c>
      <c r="G433" s="7">
        <v>0</v>
      </c>
      <c r="H433" s="7">
        <v>0</v>
      </c>
    </row>
    <row r="434" spans="1:8">
      <c r="A434" s="4" t="s">
        <v>155</v>
      </c>
      <c r="B434" s="4" t="s">
        <v>156</v>
      </c>
      <c r="C434" s="4" t="s">
        <v>889</v>
      </c>
      <c r="D434" s="4" t="s">
        <v>1356</v>
      </c>
      <c r="E434" s="6">
        <v>43875</v>
      </c>
      <c r="F434" s="7">
        <v>-50</v>
      </c>
      <c r="G434" s="7">
        <v>-22.34</v>
      </c>
      <c r="H434" s="7">
        <v>0</v>
      </c>
    </row>
    <row r="435" spans="1:8">
      <c r="A435" s="4" t="s">
        <v>155</v>
      </c>
      <c r="B435" s="4" t="s">
        <v>156</v>
      </c>
      <c r="C435" s="4" t="s">
        <v>910</v>
      </c>
      <c r="D435" s="4" t="s">
        <v>1357</v>
      </c>
      <c r="E435" s="6">
        <v>43875</v>
      </c>
      <c r="F435" s="7">
        <v>-25</v>
      </c>
      <c r="G435" s="7">
        <v>-35.36</v>
      </c>
      <c r="H435" s="7">
        <v>0</v>
      </c>
    </row>
    <row r="436" spans="1:8">
      <c r="A436" s="4" t="s">
        <v>155</v>
      </c>
      <c r="B436" s="4" t="s">
        <v>156</v>
      </c>
      <c r="C436" s="4" t="s">
        <v>784</v>
      </c>
      <c r="D436" s="4" t="s">
        <v>1358</v>
      </c>
      <c r="E436" s="6">
        <v>43875</v>
      </c>
      <c r="F436" s="7">
        <v>-1</v>
      </c>
      <c r="G436" s="7">
        <v>0</v>
      </c>
      <c r="H436" s="7">
        <v>0</v>
      </c>
    </row>
    <row r="437" spans="1:8">
      <c r="A437" s="4" t="s">
        <v>196</v>
      </c>
      <c r="B437" s="4" t="s">
        <v>197</v>
      </c>
      <c r="C437" s="4" t="s">
        <v>1082</v>
      </c>
      <c r="D437" s="4" t="s">
        <v>1359</v>
      </c>
      <c r="E437" s="6">
        <v>43882</v>
      </c>
      <c r="F437" s="7">
        <v>-300</v>
      </c>
      <c r="G437" s="7">
        <v>-369.40999999999997</v>
      </c>
      <c r="H437" s="7">
        <v>0</v>
      </c>
    </row>
    <row r="438" spans="1:8">
      <c r="A438" s="4" t="s">
        <v>196</v>
      </c>
      <c r="B438" s="4" t="s">
        <v>197</v>
      </c>
      <c r="C438" s="4" t="s">
        <v>893</v>
      </c>
      <c r="D438" s="4" t="s">
        <v>1360</v>
      </c>
      <c r="E438" s="6">
        <v>43882</v>
      </c>
      <c r="F438" s="7">
        <v>-50</v>
      </c>
      <c r="G438" s="7">
        <v>-153.67000000000002</v>
      </c>
      <c r="H438" s="7">
        <v>0</v>
      </c>
    </row>
    <row r="439" spans="1:8">
      <c r="A439" s="4" t="s">
        <v>196</v>
      </c>
      <c r="B439" s="4" t="s">
        <v>197</v>
      </c>
      <c r="C439" s="4" t="s">
        <v>784</v>
      </c>
      <c r="D439" s="4" t="s">
        <v>1361</v>
      </c>
      <c r="E439" s="6">
        <v>43882</v>
      </c>
      <c r="F439" s="7">
        <v>-1</v>
      </c>
      <c r="G439" s="7">
        <v>0</v>
      </c>
      <c r="H439" s="7">
        <v>0</v>
      </c>
    </row>
    <row r="440" spans="1:8">
      <c r="A440" s="4" t="s">
        <v>193</v>
      </c>
      <c r="B440" s="4" t="s">
        <v>194</v>
      </c>
      <c r="C440" s="4" t="s">
        <v>1290</v>
      </c>
      <c r="D440" s="4" t="s">
        <v>1362</v>
      </c>
      <c r="E440" s="6">
        <v>43882</v>
      </c>
      <c r="F440" s="7">
        <v>-50</v>
      </c>
      <c r="G440" s="7">
        <v>-29.35</v>
      </c>
      <c r="H440" s="7">
        <v>0</v>
      </c>
    </row>
    <row r="441" spans="1:8">
      <c r="A441" s="4" t="s">
        <v>193</v>
      </c>
      <c r="B441" s="4" t="s">
        <v>194</v>
      </c>
      <c r="C441" s="4" t="s">
        <v>966</v>
      </c>
      <c r="D441" s="4" t="s">
        <v>1363</v>
      </c>
      <c r="E441" s="6">
        <v>43882</v>
      </c>
      <c r="F441" s="7">
        <v>-50</v>
      </c>
      <c r="G441" s="7">
        <v>-26.86</v>
      </c>
      <c r="H441" s="7">
        <v>0.01</v>
      </c>
    </row>
    <row r="442" spans="1:8">
      <c r="A442" s="4" t="s">
        <v>193</v>
      </c>
      <c r="B442" s="4" t="s">
        <v>194</v>
      </c>
      <c r="C442" s="4" t="s">
        <v>1364</v>
      </c>
      <c r="D442" s="4" t="s">
        <v>1365</v>
      </c>
      <c r="E442" s="6">
        <v>43882</v>
      </c>
      <c r="F442" s="7">
        <v>-50</v>
      </c>
      <c r="G442" s="7">
        <v>-140.44999999999999</v>
      </c>
      <c r="H442" s="7">
        <v>0</v>
      </c>
    </row>
    <row r="443" spans="1:8">
      <c r="A443" s="4" t="s">
        <v>193</v>
      </c>
      <c r="B443" s="4" t="s">
        <v>194</v>
      </c>
      <c r="C443" s="4" t="s">
        <v>1366</v>
      </c>
      <c r="D443" s="4" t="s">
        <v>1367</v>
      </c>
      <c r="E443" s="6">
        <v>43882</v>
      </c>
      <c r="F443" s="7">
        <v>-50</v>
      </c>
      <c r="G443" s="7">
        <v>-60.12</v>
      </c>
      <c r="H443" s="7">
        <v>0</v>
      </c>
    </row>
    <row r="444" spans="1:8">
      <c r="A444" s="4" t="s">
        <v>193</v>
      </c>
      <c r="B444" s="4" t="s">
        <v>194</v>
      </c>
      <c r="C444" s="4" t="s">
        <v>877</v>
      </c>
      <c r="D444" s="4" t="s">
        <v>1368</v>
      </c>
      <c r="E444" s="6">
        <v>43882</v>
      </c>
      <c r="F444" s="7">
        <v>-100</v>
      </c>
      <c r="G444" s="7">
        <v>-70.72</v>
      </c>
      <c r="H444" s="7">
        <v>0</v>
      </c>
    </row>
    <row r="445" spans="1:8">
      <c r="A445" s="4" t="s">
        <v>193</v>
      </c>
      <c r="B445" s="4" t="s">
        <v>194</v>
      </c>
      <c r="C445" s="4" t="s">
        <v>1369</v>
      </c>
      <c r="D445" s="4" t="s">
        <v>1370</v>
      </c>
      <c r="E445" s="6">
        <v>43882</v>
      </c>
      <c r="F445" s="7">
        <v>-50</v>
      </c>
      <c r="G445" s="7">
        <v>-69.27</v>
      </c>
      <c r="H445" s="7">
        <v>0</v>
      </c>
    </row>
    <row r="446" spans="1:8">
      <c r="A446" s="4" t="s">
        <v>193</v>
      </c>
      <c r="B446" s="4" t="s">
        <v>194</v>
      </c>
      <c r="C446" s="4" t="s">
        <v>1371</v>
      </c>
      <c r="D446" s="4" t="s">
        <v>1372</v>
      </c>
      <c r="E446" s="6">
        <v>43882</v>
      </c>
      <c r="F446" s="7">
        <v>-200</v>
      </c>
      <c r="G446" s="7">
        <v>-328.36</v>
      </c>
      <c r="H446" s="7">
        <v>0</v>
      </c>
    </row>
    <row r="447" spans="1:8">
      <c r="A447" s="4" t="s">
        <v>193</v>
      </c>
      <c r="B447" s="4" t="s">
        <v>194</v>
      </c>
      <c r="C447" s="4" t="s">
        <v>1373</v>
      </c>
      <c r="D447" s="4" t="s">
        <v>1374</v>
      </c>
      <c r="E447" s="6">
        <v>43882</v>
      </c>
      <c r="F447" s="7">
        <v>-50</v>
      </c>
      <c r="G447" s="7">
        <v>-80.239999999999995</v>
      </c>
      <c r="H447" s="7">
        <v>0</v>
      </c>
    </row>
    <row r="448" spans="1:8">
      <c r="A448" s="4" t="s">
        <v>193</v>
      </c>
      <c r="B448" s="4" t="s">
        <v>194</v>
      </c>
      <c r="C448" s="4" t="s">
        <v>823</v>
      </c>
      <c r="D448" s="4" t="s">
        <v>1375</v>
      </c>
      <c r="E448" s="6">
        <v>43882</v>
      </c>
      <c r="F448" s="7">
        <v>-50</v>
      </c>
      <c r="G448" s="7">
        <v>-179.72</v>
      </c>
      <c r="H448" s="7">
        <v>0</v>
      </c>
    </row>
    <row r="449" spans="1:8">
      <c r="A449" s="4" t="s">
        <v>193</v>
      </c>
      <c r="B449" s="4" t="s">
        <v>194</v>
      </c>
      <c r="C449" s="4" t="s">
        <v>1030</v>
      </c>
      <c r="D449" s="4" t="s">
        <v>1376</v>
      </c>
      <c r="E449" s="6">
        <v>43882</v>
      </c>
      <c r="F449" s="7">
        <v>-50</v>
      </c>
      <c r="G449" s="7">
        <v>-108.35999999999999</v>
      </c>
      <c r="H449" s="7">
        <v>0</v>
      </c>
    </row>
    <row r="450" spans="1:8">
      <c r="A450" s="4" t="s">
        <v>193</v>
      </c>
      <c r="B450" s="4" t="s">
        <v>194</v>
      </c>
      <c r="C450" s="4" t="s">
        <v>784</v>
      </c>
      <c r="D450" s="4" t="s">
        <v>1377</v>
      </c>
      <c r="E450" s="6">
        <v>43882</v>
      </c>
      <c r="F450" s="7">
        <v>-1</v>
      </c>
      <c r="G450" s="7">
        <v>0</v>
      </c>
      <c r="H450" s="7">
        <v>0</v>
      </c>
    </row>
    <row r="451" spans="1:8">
      <c r="A451" s="4" t="s">
        <v>167</v>
      </c>
      <c r="B451" s="4" t="s">
        <v>168</v>
      </c>
      <c r="C451" s="4" t="s">
        <v>964</v>
      </c>
      <c r="D451" s="4" t="s">
        <v>1378</v>
      </c>
      <c r="E451" s="6">
        <v>43879</v>
      </c>
      <c r="F451" s="7">
        <v>-50</v>
      </c>
      <c r="G451" s="7">
        <v>-41.05</v>
      </c>
      <c r="H451" s="7">
        <v>0.01</v>
      </c>
    </row>
    <row r="452" spans="1:8">
      <c r="A452" s="4" t="s">
        <v>167</v>
      </c>
      <c r="B452" s="4" t="s">
        <v>168</v>
      </c>
      <c r="C452" s="4" t="s">
        <v>784</v>
      </c>
      <c r="D452" s="4" t="s">
        <v>1379</v>
      </c>
      <c r="E452" s="6">
        <v>43879</v>
      </c>
      <c r="F452" s="7">
        <v>-1</v>
      </c>
      <c r="G452" s="7">
        <v>0</v>
      </c>
      <c r="H452" s="7">
        <v>0</v>
      </c>
    </row>
    <row r="453" spans="1:8">
      <c r="A453" s="4" t="s">
        <v>250</v>
      </c>
      <c r="B453" s="4" t="s">
        <v>251</v>
      </c>
      <c r="C453" s="4" t="s">
        <v>1380</v>
      </c>
      <c r="D453" s="4" t="s">
        <v>1381</v>
      </c>
      <c r="E453" s="6">
        <v>43907</v>
      </c>
      <c r="F453" s="7">
        <v>-239</v>
      </c>
      <c r="G453" s="7">
        <v>-679.15</v>
      </c>
      <c r="H453" s="7">
        <v>0</v>
      </c>
    </row>
    <row r="454" spans="1:8">
      <c r="A454" s="4" t="s">
        <v>250</v>
      </c>
      <c r="B454" s="4" t="s">
        <v>251</v>
      </c>
      <c r="C454" s="4" t="s">
        <v>1380</v>
      </c>
      <c r="D454" s="4" t="s">
        <v>1381</v>
      </c>
      <c r="E454" s="6">
        <v>43907</v>
      </c>
      <c r="F454" s="7">
        <v>-143</v>
      </c>
      <c r="G454" s="7">
        <v>-406.36</v>
      </c>
      <c r="H454" s="7">
        <v>0</v>
      </c>
    </row>
    <row r="455" spans="1:8">
      <c r="A455" s="4" t="s">
        <v>250</v>
      </c>
      <c r="B455" s="4" t="s">
        <v>251</v>
      </c>
      <c r="C455" s="4" t="s">
        <v>1380</v>
      </c>
      <c r="D455" s="4" t="s">
        <v>1381</v>
      </c>
      <c r="E455" s="6">
        <v>43907</v>
      </c>
      <c r="F455" s="7">
        <v>-168</v>
      </c>
      <c r="G455" s="7">
        <v>-477.4</v>
      </c>
      <c r="H455" s="7">
        <v>0.01</v>
      </c>
    </row>
    <row r="456" spans="1:8">
      <c r="A456" s="4" t="s">
        <v>250</v>
      </c>
      <c r="B456" s="4" t="s">
        <v>251</v>
      </c>
      <c r="C456" s="4" t="s">
        <v>1380</v>
      </c>
      <c r="D456" s="4" t="s">
        <v>1381</v>
      </c>
      <c r="E456" s="6">
        <v>43907</v>
      </c>
      <c r="F456" s="7">
        <v>-209</v>
      </c>
      <c r="G456" s="7">
        <v>-593.9</v>
      </c>
      <c r="H456" s="7">
        <v>-0.01</v>
      </c>
    </row>
    <row r="457" spans="1:8">
      <c r="A457" s="4" t="s">
        <v>250</v>
      </c>
      <c r="B457" s="4" t="s">
        <v>251</v>
      </c>
      <c r="C457" s="4" t="s">
        <v>784</v>
      </c>
      <c r="D457" s="4" t="s">
        <v>1382</v>
      </c>
      <c r="E457" s="6">
        <v>43907</v>
      </c>
      <c r="F457" s="7">
        <v>-1</v>
      </c>
      <c r="G457" s="7">
        <v>0</v>
      </c>
      <c r="H457" s="7">
        <v>0</v>
      </c>
    </row>
    <row r="458" spans="1:8">
      <c r="A458" s="4" t="s">
        <v>173</v>
      </c>
      <c r="B458" s="4" t="s">
        <v>174</v>
      </c>
      <c r="C458" s="4" t="s">
        <v>784</v>
      </c>
      <c r="D458" s="4" t="s">
        <v>1383</v>
      </c>
      <c r="E458" s="6">
        <v>43879</v>
      </c>
      <c r="F458" s="7">
        <v>-1</v>
      </c>
      <c r="G458" s="7">
        <v>0</v>
      </c>
      <c r="H458" s="7">
        <v>0</v>
      </c>
    </row>
    <row r="459" spans="1:8">
      <c r="A459" s="4" t="s">
        <v>191</v>
      </c>
      <c r="B459" s="4" t="s">
        <v>192</v>
      </c>
      <c r="C459" s="4" t="s">
        <v>1384</v>
      </c>
      <c r="D459" s="4" t="s">
        <v>1385</v>
      </c>
      <c r="E459" s="6">
        <v>43882</v>
      </c>
      <c r="F459" s="7">
        <v>-50</v>
      </c>
      <c r="G459" s="7">
        <v>-37.17</v>
      </c>
      <c r="H459" s="7">
        <v>0.01</v>
      </c>
    </row>
    <row r="460" spans="1:8">
      <c r="A460" s="4" t="s">
        <v>191</v>
      </c>
      <c r="B460" s="4" t="s">
        <v>192</v>
      </c>
      <c r="C460" s="4" t="s">
        <v>891</v>
      </c>
      <c r="D460" s="4" t="s">
        <v>1386</v>
      </c>
      <c r="E460" s="6">
        <v>43882</v>
      </c>
      <c r="F460" s="7">
        <v>-50</v>
      </c>
      <c r="G460" s="7">
        <v>-36.54</v>
      </c>
      <c r="H460" s="7">
        <v>-0.01</v>
      </c>
    </row>
    <row r="461" spans="1:8">
      <c r="A461" s="4" t="s">
        <v>191</v>
      </c>
      <c r="B461" s="4" t="s">
        <v>192</v>
      </c>
      <c r="C461" s="4" t="s">
        <v>1063</v>
      </c>
      <c r="D461" s="4" t="s">
        <v>1387</v>
      </c>
      <c r="E461" s="6">
        <v>43882</v>
      </c>
      <c r="F461" s="7">
        <v>-200</v>
      </c>
      <c r="G461" s="7">
        <v>-136.99</v>
      </c>
      <c r="H461" s="7">
        <v>0.01</v>
      </c>
    </row>
    <row r="462" spans="1:8">
      <c r="A462" s="4" t="s">
        <v>191</v>
      </c>
      <c r="B462" s="4" t="s">
        <v>192</v>
      </c>
      <c r="C462" s="4" t="s">
        <v>815</v>
      </c>
      <c r="D462" s="4" t="s">
        <v>1388</v>
      </c>
      <c r="E462" s="6">
        <v>43882</v>
      </c>
      <c r="F462" s="7">
        <v>-100</v>
      </c>
      <c r="G462" s="7">
        <v>-187.74</v>
      </c>
      <c r="H462" s="7">
        <v>0</v>
      </c>
    </row>
    <row r="463" spans="1:8">
      <c r="A463" s="4" t="s">
        <v>191</v>
      </c>
      <c r="B463" s="4" t="s">
        <v>192</v>
      </c>
      <c r="C463" s="4" t="s">
        <v>1113</v>
      </c>
      <c r="D463" s="4" t="s">
        <v>1389</v>
      </c>
      <c r="E463" s="6">
        <v>43882</v>
      </c>
      <c r="F463" s="7">
        <v>-100</v>
      </c>
      <c r="G463" s="7">
        <v>-444.01000000000005</v>
      </c>
      <c r="H463" s="7">
        <v>0</v>
      </c>
    </row>
    <row r="464" spans="1:8">
      <c r="A464" s="4" t="s">
        <v>191</v>
      </c>
      <c r="B464" s="4" t="s">
        <v>192</v>
      </c>
      <c r="C464" s="4" t="s">
        <v>885</v>
      </c>
      <c r="D464" s="4" t="s">
        <v>1390</v>
      </c>
      <c r="E464" s="6">
        <v>43882</v>
      </c>
      <c r="F464" s="7">
        <v>-50</v>
      </c>
      <c r="G464" s="7">
        <v>-216.70999999999998</v>
      </c>
      <c r="H464" s="7">
        <v>0</v>
      </c>
    </row>
    <row r="465" spans="1:8">
      <c r="A465" s="4" t="s">
        <v>191</v>
      </c>
      <c r="B465" s="4" t="s">
        <v>192</v>
      </c>
      <c r="C465" s="4" t="s">
        <v>1290</v>
      </c>
      <c r="D465" s="4" t="s">
        <v>1391</v>
      </c>
      <c r="E465" s="6">
        <v>43882</v>
      </c>
      <c r="F465" s="7">
        <v>-50</v>
      </c>
      <c r="G465" s="7">
        <v>-29.35</v>
      </c>
      <c r="H465" s="7">
        <v>0</v>
      </c>
    </row>
    <row r="466" spans="1:8">
      <c r="A466" s="4" t="s">
        <v>191</v>
      </c>
      <c r="B466" s="4" t="s">
        <v>192</v>
      </c>
      <c r="C466" s="4" t="s">
        <v>817</v>
      </c>
      <c r="D466" s="4" t="s">
        <v>1392</v>
      </c>
      <c r="E466" s="6">
        <v>43882</v>
      </c>
      <c r="F466" s="7">
        <v>-100</v>
      </c>
      <c r="G466" s="7">
        <v>-94.73</v>
      </c>
      <c r="H466" s="7">
        <v>0</v>
      </c>
    </row>
    <row r="467" spans="1:8">
      <c r="A467" s="4" t="s">
        <v>191</v>
      </c>
      <c r="B467" s="4" t="s">
        <v>192</v>
      </c>
      <c r="C467" s="4" t="s">
        <v>813</v>
      </c>
      <c r="D467" s="4" t="s">
        <v>1393</v>
      </c>
      <c r="E467" s="6">
        <v>43882</v>
      </c>
      <c r="F467" s="7">
        <v>-100</v>
      </c>
      <c r="G467" s="7">
        <v>-112.74000000000001</v>
      </c>
      <c r="H467" s="7">
        <v>0</v>
      </c>
    </row>
    <row r="468" spans="1:8">
      <c r="A468" s="4" t="s">
        <v>191</v>
      </c>
      <c r="B468" s="4" t="s">
        <v>192</v>
      </c>
      <c r="C468" s="4" t="s">
        <v>1394</v>
      </c>
      <c r="D468" s="4" t="s">
        <v>1395</v>
      </c>
      <c r="E468" s="6">
        <v>43882</v>
      </c>
      <c r="F468" s="7">
        <v>-200</v>
      </c>
      <c r="G468" s="7">
        <v>-226.35</v>
      </c>
      <c r="H468" s="7">
        <v>0</v>
      </c>
    </row>
    <row r="469" spans="1:8">
      <c r="A469" s="4" t="s">
        <v>191</v>
      </c>
      <c r="B469" s="4" t="s">
        <v>192</v>
      </c>
      <c r="C469" s="4" t="s">
        <v>784</v>
      </c>
      <c r="D469" s="4" t="s">
        <v>1396</v>
      </c>
      <c r="E469" s="6">
        <v>43882</v>
      </c>
      <c r="F469" s="7">
        <v>-1</v>
      </c>
      <c r="G469" s="7">
        <v>0</v>
      </c>
      <c r="H469" s="7">
        <v>0</v>
      </c>
    </row>
    <row r="470" spans="1:8">
      <c r="A470" s="4" t="s">
        <v>214</v>
      </c>
      <c r="B470" s="4" t="s">
        <v>215</v>
      </c>
      <c r="C470" s="4" t="s">
        <v>925</v>
      </c>
      <c r="D470" s="4" t="s">
        <v>1397</v>
      </c>
      <c r="E470" s="6">
        <v>43894</v>
      </c>
      <c r="F470" s="7">
        <v>-310</v>
      </c>
      <c r="G470" s="7">
        <v>-42.79</v>
      </c>
      <c r="H470" s="7">
        <v>0</v>
      </c>
    </row>
    <row r="471" spans="1:8">
      <c r="A471" s="4" t="s">
        <v>214</v>
      </c>
      <c r="B471" s="4" t="s">
        <v>215</v>
      </c>
      <c r="C471" s="4" t="s">
        <v>925</v>
      </c>
      <c r="D471" s="4" t="s">
        <v>1397</v>
      </c>
      <c r="E471" s="6">
        <v>43894</v>
      </c>
      <c r="F471" s="7">
        <v>-190</v>
      </c>
      <c r="G471" s="7">
        <v>-26.23</v>
      </c>
      <c r="H471" s="7">
        <v>0</v>
      </c>
    </row>
    <row r="472" spans="1:8">
      <c r="A472" s="4" t="s">
        <v>214</v>
      </c>
      <c r="B472" s="4" t="s">
        <v>215</v>
      </c>
      <c r="C472" s="4" t="s">
        <v>784</v>
      </c>
      <c r="D472" s="4" t="s">
        <v>1398</v>
      </c>
      <c r="E472" s="6">
        <v>43894</v>
      </c>
      <c r="F472" s="7">
        <v>-1</v>
      </c>
      <c r="G472" s="7">
        <v>0</v>
      </c>
      <c r="H472" s="7">
        <v>0</v>
      </c>
    </row>
    <row r="473" spans="1:8">
      <c r="A473" s="4" t="s">
        <v>186</v>
      </c>
      <c r="B473" s="4" t="s">
        <v>187</v>
      </c>
      <c r="C473" s="4" t="s">
        <v>784</v>
      </c>
      <c r="D473" s="4" t="s">
        <v>1399</v>
      </c>
      <c r="E473" s="6">
        <v>43881</v>
      </c>
      <c r="F473" s="7">
        <v>-1</v>
      </c>
      <c r="G473" s="7">
        <v>0</v>
      </c>
      <c r="H473" s="7">
        <v>0</v>
      </c>
    </row>
    <row r="474" spans="1:8">
      <c r="A474" s="4" t="s">
        <v>206</v>
      </c>
      <c r="B474" s="4" t="s">
        <v>207</v>
      </c>
      <c r="C474" s="4" t="s">
        <v>949</v>
      </c>
      <c r="D474" s="4" t="s">
        <v>1400</v>
      </c>
      <c r="E474" s="6">
        <v>43892</v>
      </c>
      <c r="F474" s="7">
        <v>-150</v>
      </c>
      <c r="G474" s="7">
        <v>-54.06</v>
      </c>
      <c r="H474" s="7">
        <v>0</v>
      </c>
    </row>
    <row r="475" spans="1:8">
      <c r="A475" s="4" t="s">
        <v>206</v>
      </c>
      <c r="B475" s="4" t="s">
        <v>207</v>
      </c>
      <c r="C475" s="4" t="s">
        <v>1401</v>
      </c>
      <c r="D475" s="4" t="s">
        <v>1402</v>
      </c>
      <c r="E475" s="6">
        <v>43892</v>
      </c>
      <c r="F475" s="7">
        <v>-100</v>
      </c>
      <c r="G475" s="7">
        <v>-87.31</v>
      </c>
      <c r="H475" s="7">
        <v>0</v>
      </c>
    </row>
    <row r="476" spans="1:8">
      <c r="A476" s="4" t="s">
        <v>206</v>
      </c>
      <c r="B476" s="4" t="s">
        <v>207</v>
      </c>
      <c r="C476" s="4" t="s">
        <v>1015</v>
      </c>
      <c r="D476" s="4" t="s">
        <v>1403</v>
      </c>
      <c r="E476" s="6">
        <v>43892</v>
      </c>
      <c r="F476" s="7">
        <v>-100</v>
      </c>
      <c r="G476" s="7">
        <v>-92.47</v>
      </c>
      <c r="H476" s="7">
        <v>0</v>
      </c>
    </row>
    <row r="477" spans="1:8">
      <c r="A477" s="4" t="s">
        <v>206</v>
      </c>
      <c r="B477" s="4" t="s">
        <v>207</v>
      </c>
      <c r="C477" s="4" t="s">
        <v>1404</v>
      </c>
      <c r="D477" s="4" t="s">
        <v>1405</v>
      </c>
      <c r="E477" s="6">
        <v>43892</v>
      </c>
      <c r="F477" s="7">
        <v>-50</v>
      </c>
      <c r="G477" s="7">
        <v>-138.55000000000001</v>
      </c>
      <c r="H477" s="7">
        <v>0</v>
      </c>
    </row>
    <row r="478" spans="1:8">
      <c r="A478" s="4" t="s">
        <v>206</v>
      </c>
      <c r="B478" s="4" t="s">
        <v>207</v>
      </c>
      <c r="C478" s="4" t="s">
        <v>964</v>
      </c>
      <c r="D478" s="4" t="s">
        <v>1406</v>
      </c>
      <c r="E478" s="6">
        <v>43892</v>
      </c>
      <c r="F478" s="7">
        <v>-350</v>
      </c>
      <c r="G478" s="7">
        <v>-287.32</v>
      </c>
      <c r="H478" s="7">
        <v>0</v>
      </c>
    </row>
    <row r="479" spans="1:8">
      <c r="A479" s="4" t="s">
        <v>206</v>
      </c>
      <c r="B479" s="4" t="s">
        <v>207</v>
      </c>
      <c r="C479" s="4" t="s">
        <v>873</v>
      </c>
      <c r="D479" s="4" t="s">
        <v>1407</v>
      </c>
      <c r="E479" s="6">
        <v>43892</v>
      </c>
      <c r="F479" s="7">
        <v>-50</v>
      </c>
      <c r="G479" s="7">
        <v>-20.239999999999998</v>
      </c>
      <c r="H479" s="7">
        <v>0.01</v>
      </c>
    </row>
    <row r="480" spans="1:8">
      <c r="A480" s="4" t="s">
        <v>206</v>
      </c>
      <c r="B480" s="4" t="s">
        <v>207</v>
      </c>
      <c r="C480" s="4" t="s">
        <v>993</v>
      </c>
      <c r="D480" s="4" t="s">
        <v>1408</v>
      </c>
      <c r="E480" s="6">
        <v>43892</v>
      </c>
      <c r="F480" s="7">
        <v>-50</v>
      </c>
      <c r="G480" s="7">
        <v>-17.649999999999999</v>
      </c>
      <c r="H480" s="7">
        <v>0</v>
      </c>
    </row>
    <row r="481" spans="1:8">
      <c r="A481" s="4" t="s">
        <v>206</v>
      </c>
      <c r="B481" s="4" t="s">
        <v>207</v>
      </c>
      <c r="C481" s="4" t="s">
        <v>883</v>
      </c>
      <c r="D481" s="4" t="s">
        <v>1409</v>
      </c>
      <c r="E481" s="6">
        <v>43892</v>
      </c>
      <c r="F481" s="7">
        <v>-50</v>
      </c>
      <c r="G481" s="7">
        <v>-39.89</v>
      </c>
      <c r="H481" s="7">
        <v>0</v>
      </c>
    </row>
    <row r="482" spans="1:8">
      <c r="A482" s="4" t="s">
        <v>206</v>
      </c>
      <c r="B482" s="4" t="s">
        <v>207</v>
      </c>
      <c r="C482" s="4" t="s">
        <v>784</v>
      </c>
      <c r="D482" s="4" t="s">
        <v>1410</v>
      </c>
      <c r="E482" s="6">
        <v>43892</v>
      </c>
      <c r="F482" s="7">
        <v>-1</v>
      </c>
      <c r="G482" s="7">
        <v>0</v>
      </c>
      <c r="H482" s="7">
        <v>0</v>
      </c>
    </row>
    <row r="483" spans="1:8">
      <c r="A483" s="4" t="s">
        <v>204</v>
      </c>
      <c r="B483" s="4" t="s">
        <v>205</v>
      </c>
      <c r="C483" s="4" t="s">
        <v>817</v>
      </c>
      <c r="D483" s="4" t="s">
        <v>1411</v>
      </c>
      <c r="E483" s="6">
        <v>43889</v>
      </c>
      <c r="F483" s="7">
        <v>-350</v>
      </c>
      <c r="G483" s="7">
        <v>-331.57</v>
      </c>
      <c r="H483" s="7">
        <v>0</v>
      </c>
    </row>
    <row r="484" spans="1:8">
      <c r="A484" s="4" t="s">
        <v>204</v>
      </c>
      <c r="B484" s="4" t="s">
        <v>205</v>
      </c>
      <c r="C484" s="4" t="s">
        <v>1109</v>
      </c>
      <c r="D484" s="4" t="s">
        <v>1412</v>
      </c>
      <c r="E484" s="6">
        <v>43889</v>
      </c>
      <c r="F484" s="7">
        <v>-60</v>
      </c>
      <c r="G484" s="7">
        <v>-187.53</v>
      </c>
      <c r="H484" s="7">
        <v>0</v>
      </c>
    </row>
    <row r="485" spans="1:8">
      <c r="A485" s="4" t="s">
        <v>204</v>
      </c>
      <c r="B485" s="4" t="s">
        <v>205</v>
      </c>
      <c r="C485" s="4" t="s">
        <v>821</v>
      </c>
      <c r="D485" s="4" t="s">
        <v>1413</v>
      </c>
      <c r="E485" s="6">
        <v>43889</v>
      </c>
      <c r="F485" s="7">
        <v>-50</v>
      </c>
      <c r="G485" s="7">
        <v>-150.02000000000001</v>
      </c>
      <c r="H485" s="7">
        <v>0</v>
      </c>
    </row>
    <row r="486" spans="1:8">
      <c r="A486" s="4" t="s">
        <v>204</v>
      </c>
      <c r="B486" s="4" t="s">
        <v>205</v>
      </c>
      <c r="C486" s="4" t="s">
        <v>1096</v>
      </c>
      <c r="D486" s="4" t="s">
        <v>1414</v>
      </c>
      <c r="E486" s="6">
        <v>43889</v>
      </c>
      <c r="F486" s="7">
        <v>-50</v>
      </c>
      <c r="G486" s="7">
        <v>-130.44999999999999</v>
      </c>
      <c r="H486" s="7">
        <v>0</v>
      </c>
    </row>
    <row r="487" spans="1:8">
      <c r="A487" s="4" t="s">
        <v>204</v>
      </c>
      <c r="B487" s="4" t="s">
        <v>205</v>
      </c>
      <c r="C487" s="4" t="s">
        <v>823</v>
      </c>
      <c r="D487" s="4" t="s">
        <v>1415</v>
      </c>
      <c r="E487" s="6">
        <v>43889</v>
      </c>
      <c r="F487" s="7">
        <v>-50</v>
      </c>
      <c r="G487" s="7">
        <v>-179.72</v>
      </c>
      <c r="H487" s="7">
        <v>0</v>
      </c>
    </row>
    <row r="488" spans="1:8">
      <c r="A488" s="4" t="s">
        <v>204</v>
      </c>
      <c r="B488" s="4" t="s">
        <v>205</v>
      </c>
      <c r="C488" s="4" t="s">
        <v>784</v>
      </c>
      <c r="D488" s="4" t="s">
        <v>1416</v>
      </c>
      <c r="E488" s="6">
        <v>43889</v>
      </c>
      <c r="F488" s="7">
        <v>-1</v>
      </c>
      <c r="G488" s="7">
        <v>0</v>
      </c>
      <c r="H488" s="7">
        <v>0</v>
      </c>
    </row>
    <row r="489" spans="1:8">
      <c r="A489" s="4" t="s">
        <v>204</v>
      </c>
      <c r="B489" s="4" t="s">
        <v>205</v>
      </c>
      <c r="C489" s="4" t="s">
        <v>1298</v>
      </c>
      <c r="D489" s="4" t="s">
        <v>1417</v>
      </c>
      <c r="E489" s="6">
        <v>43889</v>
      </c>
      <c r="F489" s="7">
        <v>-100</v>
      </c>
      <c r="G489" s="7">
        <v>-146.17000000000002</v>
      </c>
      <c r="H489" s="7">
        <v>-0.01</v>
      </c>
    </row>
    <row r="490" spans="1:8">
      <c r="A490" s="4" t="s">
        <v>202</v>
      </c>
      <c r="B490" s="4" t="s">
        <v>203</v>
      </c>
      <c r="C490" s="4" t="s">
        <v>993</v>
      </c>
      <c r="D490" s="4" t="s">
        <v>1418</v>
      </c>
      <c r="E490" s="6">
        <v>43887</v>
      </c>
      <c r="F490" s="7">
        <v>-50</v>
      </c>
      <c r="G490" s="7">
        <v>-17.649999999999999</v>
      </c>
      <c r="H490" s="7">
        <v>0</v>
      </c>
    </row>
    <row r="491" spans="1:8">
      <c r="A491" s="4" t="s">
        <v>202</v>
      </c>
      <c r="B491" s="4" t="s">
        <v>203</v>
      </c>
      <c r="C491" s="4" t="s">
        <v>873</v>
      </c>
      <c r="D491" s="4" t="s">
        <v>1419</v>
      </c>
      <c r="E491" s="6">
        <v>43887</v>
      </c>
      <c r="F491" s="7">
        <v>-50</v>
      </c>
      <c r="G491" s="7">
        <v>-20.239999999999998</v>
      </c>
      <c r="H491" s="7">
        <v>0</v>
      </c>
    </row>
    <row r="492" spans="1:8">
      <c r="A492" s="4" t="s">
        <v>202</v>
      </c>
      <c r="B492" s="4" t="s">
        <v>203</v>
      </c>
      <c r="C492" s="4" t="s">
        <v>881</v>
      </c>
      <c r="D492" s="4" t="s">
        <v>1420</v>
      </c>
      <c r="E492" s="6">
        <v>43887</v>
      </c>
      <c r="F492" s="7">
        <v>-20</v>
      </c>
      <c r="G492" s="7">
        <v>-35.1</v>
      </c>
      <c r="H492" s="7">
        <v>0</v>
      </c>
    </row>
    <row r="493" spans="1:8">
      <c r="A493" s="4" t="s">
        <v>202</v>
      </c>
      <c r="B493" s="4" t="s">
        <v>203</v>
      </c>
      <c r="C493" s="4" t="s">
        <v>1040</v>
      </c>
      <c r="D493" s="4" t="s">
        <v>1421</v>
      </c>
      <c r="E493" s="6">
        <v>43887</v>
      </c>
      <c r="F493" s="7">
        <v>-5</v>
      </c>
      <c r="G493" s="7">
        <v>-8.07</v>
      </c>
      <c r="H493" s="7">
        <v>0</v>
      </c>
    </row>
    <row r="494" spans="1:8">
      <c r="A494" s="4" t="s">
        <v>202</v>
      </c>
      <c r="B494" s="4" t="s">
        <v>203</v>
      </c>
      <c r="C494" s="4" t="s">
        <v>1146</v>
      </c>
      <c r="D494" s="4" t="s">
        <v>1422</v>
      </c>
      <c r="E494" s="6">
        <v>43887</v>
      </c>
      <c r="F494" s="7">
        <v>-50</v>
      </c>
      <c r="G494" s="7">
        <v>-40.119999999999997</v>
      </c>
      <c r="H494" s="7">
        <v>0</v>
      </c>
    </row>
    <row r="495" spans="1:8">
      <c r="A495" s="4" t="s">
        <v>202</v>
      </c>
      <c r="B495" s="4" t="s">
        <v>203</v>
      </c>
      <c r="C495" s="4" t="s">
        <v>1290</v>
      </c>
      <c r="D495" s="4" t="s">
        <v>1423</v>
      </c>
      <c r="E495" s="6">
        <v>43887</v>
      </c>
      <c r="F495" s="7">
        <v>-50</v>
      </c>
      <c r="G495" s="7">
        <v>-29.35</v>
      </c>
      <c r="H495" s="7">
        <v>0</v>
      </c>
    </row>
    <row r="496" spans="1:8">
      <c r="A496" s="4" t="s">
        <v>202</v>
      </c>
      <c r="B496" s="4" t="s">
        <v>203</v>
      </c>
      <c r="C496" s="4" t="s">
        <v>979</v>
      </c>
      <c r="D496" s="4" t="s">
        <v>1424</v>
      </c>
      <c r="E496" s="6">
        <v>43887</v>
      </c>
      <c r="F496" s="7">
        <v>-25</v>
      </c>
      <c r="G496" s="7">
        <v>-31.2</v>
      </c>
      <c r="H496" s="7">
        <v>0</v>
      </c>
    </row>
    <row r="497" spans="1:8">
      <c r="A497" s="4" t="s">
        <v>202</v>
      </c>
      <c r="B497" s="4" t="s">
        <v>203</v>
      </c>
      <c r="C497" s="4" t="s">
        <v>1290</v>
      </c>
      <c r="D497" s="4" t="s">
        <v>1425</v>
      </c>
      <c r="E497" s="6">
        <v>43887</v>
      </c>
      <c r="F497" s="7">
        <v>-50</v>
      </c>
      <c r="G497" s="7">
        <v>-29.35</v>
      </c>
      <c r="H497" s="7">
        <v>0</v>
      </c>
    </row>
    <row r="498" spans="1:8">
      <c r="A498" s="4" t="s">
        <v>202</v>
      </c>
      <c r="B498" s="4" t="s">
        <v>203</v>
      </c>
      <c r="C498" s="4" t="s">
        <v>1018</v>
      </c>
      <c r="D498" s="4" t="s">
        <v>1426</v>
      </c>
      <c r="E498" s="6">
        <v>43887</v>
      </c>
      <c r="F498" s="7">
        <v>-50</v>
      </c>
      <c r="G498" s="7">
        <v>-29.78</v>
      </c>
      <c r="H498" s="7">
        <v>0</v>
      </c>
    </row>
    <row r="499" spans="1:8">
      <c r="A499" s="4" t="s">
        <v>202</v>
      </c>
      <c r="B499" s="4" t="s">
        <v>203</v>
      </c>
      <c r="C499" s="4" t="s">
        <v>853</v>
      </c>
      <c r="D499" s="4" t="s">
        <v>1427</v>
      </c>
      <c r="E499" s="6">
        <v>43887</v>
      </c>
      <c r="F499" s="7">
        <v>-25</v>
      </c>
      <c r="G499" s="7">
        <v>-44.93</v>
      </c>
      <c r="H499" s="7">
        <v>0</v>
      </c>
    </row>
    <row r="500" spans="1:8">
      <c r="A500" s="4" t="s">
        <v>202</v>
      </c>
      <c r="B500" s="4" t="s">
        <v>203</v>
      </c>
      <c r="C500" s="4" t="s">
        <v>883</v>
      </c>
      <c r="D500" s="4" t="s">
        <v>1428</v>
      </c>
      <c r="E500" s="6">
        <v>43887</v>
      </c>
      <c r="F500" s="7">
        <v>-50</v>
      </c>
      <c r="G500" s="7">
        <v>-39.89</v>
      </c>
      <c r="H500" s="7">
        <v>0</v>
      </c>
    </row>
    <row r="501" spans="1:8">
      <c r="A501" s="4" t="s">
        <v>202</v>
      </c>
      <c r="B501" s="4" t="s">
        <v>203</v>
      </c>
      <c r="C501" s="4" t="s">
        <v>1030</v>
      </c>
      <c r="D501" s="4" t="s">
        <v>1429</v>
      </c>
      <c r="E501" s="6">
        <v>43887</v>
      </c>
      <c r="F501" s="7">
        <v>-10</v>
      </c>
      <c r="G501" s="7">
        <v>-21.67</v>
      </c>
      <c r="H501" s="7">
        <v>0</v>
      </c>
    </row>
    <row r="502" spans="1:8">
      <c r="A502" s="4" t="s">
        <v>202</v>
      </c>
      <c r="B502" s="4" t="s">
        <v>203</v>
      </c>
      <c r="C502" s="4" t="s">
        <v>784</v>
      </c>
      <c r="D502" s="4" t="s">
        <v>1430</v>
      </c>
      <c r="E502" s="6">
        <v>43887</v>
      </c>
      <c r="F502" s="7">
        <v>-1</v>
      </c>
      <c r="G502" s="7">
        <v>0</v>
      </c>
      <c r="H502" s="7">
        <v>0</v>
      </c>
    </row>
    <row r="503" spans="1:8">
      <c r="A503" s="4" t="s">
        <v>276</v>
      </c>
      <c r="B503" s="4" t="s">
        <v>277</v>
      </c>
      <c r="C503" s="4" t="s">
        <v>1431</v>
      </c>
      <c r="D503" s="4" t="s">
        <v>1432</v>
      </c>
      <c r="E503" s="6">
        <v>43921</v>
      </c>
      <c r="F503" s="7">
        <v>-150</v>
      </c>
      <c r="G503" s="7">
        <v>-1304.3599999999999</v>
      </c>
      <c r="H503" s="7">
        <v>0</v>
      </c>
    </row>
    <row r="504" spans="1:8">
      <c r="A504" s="4" t="s">
        <v>276</v>
      </c>
      <c r="B504" s="4" t="s">
        <v>277</v>
      </c>
      <c r="C504" s="4" t="s">
        <v>797</v>
      </c>
      <c r="D504" s="4" t="s">
        <v>1433</v>
      </c>
      <c r="E504" s="6">
        <v>43921</v>
      </c>
      <c r="F504" s="7">
        <v>-1105</v>
      </c>
      <c r="G504" s="7">
        <v>-10906.25</v>
      </c>
      <c r="H504" s="7">
        <v>0</v>
      </c>
    </row>
    <row r="505" spans="1:8">
      <c r="A505" s="4" t="s">
        <v>276</v>
      </c>
      <c r="B505" s="4" t="s">
        <v>277</v>
      </c>
      <c r="C505" s="4" t="s">
        <v>793</v>
      </c>
      <c r="D505" s="4" t="s">
        <v>1434</v>
      </c>
      <c r="E505" s="6">
        <v>43921</v>
      </c>
      <c r="F505" s="7">
        <v>-850</v>
      </c>
      <c r="G505" s="7">
        <v>-8888.44</v>
      </c>
      <c r="H505" s="7">
        <v>0.01</v>
      </c>
    </row>
    <row r="506" spans="1:8">
      <c r="A506" s="4" t="s">
        <v>371</v>
      </c>
      <c r="B506" s="4" t="s">
        <v>372</v>
      </c>
      <c r="C506" s="4" t="s">
        <v>793</v>
      </c>
      <c r="D506" s="4" t="s">
        <v>1435</v>
      </c>
      <c r="E506" s="6">
        <v>43959</v>
      </c>
      <c r="F506" s="7">
        <v>-900</v>
      </c>
      <c r="G506" s="7">
        <v>-9411.2800000000007</v>
      </c>
      <c r="H506" s="7">
        <v>0</v>
      </c>
    </row>
    <row r="507" spans="1:8">
      <c r="A507" s="4" t="s">
        <v>371</v>
      </c>
      <c r="B507" s="4" t="s">
        <v>372</v>
      </c>
      <c r="C507" s="4" t="s">
        <v>797</v>
      </c>
      <c r="D507" s="4" t="s">
        <v>1436</v>
      </c>
      <c r="E507" s="6">
        <v>43959</v>
      </c>
      <c r="F507" s="7">
        <v>-800</v>
      </c>
      <c r="G507" s="7">
        <v>-7895.93</v>
      </c>
      <c r="H507" s="7">
        <v>0</v>
      </c>
    </row>
    <row r="508" spans="1:8">
      <c r="A508" s="4" t="s">
        <v>371</v>
      </c>
      <c r="B508" s="4" t="s">
        <v>372</v>
      </c>
      <c r="C508" s="4" t="s">
        <v>834</v>
      </c>
      <c r="D508" s="4" t="s">
        <v>1437</v>
      </c>
      <c r="E508" s="6">
        <v>43959</v>
      </c>
      <c r="F508" s="7">
        <v>-576</v>
      </c>
      <c r="G508" s="7">
        <v>-3825.21</v>
      </c>
      <c r="H508" s="7">
        <v>0</v>
      </c>
    </row>
    <row r="509" spans="1:8">
      <c r="A509" s="4" t="s">
        <v>210</v>
      </c>
      <c r="B509" s="4" t="s">
        <v>211</v>
      </c>
      <c r="C509" s="4" t="s">
        <v>813</v>
      </c>
      <c r="D509" s="4" t="s">
        <v>1438</v>
      </c>
      <c r="E509" s="6">
        <v>43893</v>
      </c>
      <c r="F509" s="7">
        <v>-100</v>
      </c>
      <c r="G509" s="7">
        <v>-112.74000000000001</v>
      </c>
      <c r="H509" s="7">
        <v>0</v>
      </c>
    </row>
    <row r="510" spans="1:8">
      <c r="A510" s="4" t="s">
        <v>210</v>
      </c>
      <c r="B510" s="4" t="s">
        <v>211</v>
      </c>
      <c r="C510" s="4" t="s">
        <v>1439</v>
      </c>
      <c r="D510" s="4" t="s">
        <v>1440</v>
      </c>
      <c r="E510" s="6">
        <v>43893</v>
      </c>
      <c r="F510" s="7">
        <v>-100</v>
      </c>
      <c r="G510" s="7">
        <v>-200.52</v>
      </c>
      <c r="H510" s="7">
        <v>0</v>
      </c>
    </row>
    <row r="511" spans="1:8">
      <c r="A511" s="4" t="s">
        <v>210</v>
      </c>
      <c r="B511" s="4" t="s">
        <v>211</v>
      </c>
      <c r="C511" s="4" t="s">
        <v>1126</v>
      </c>
      <c r="D511" s="4" t="s">
        <v>1441</v>
      </c>
      <c r="E511" s="6">
        <v>43893</v>
      </c>
      <c r="F511" s="7">
        <v>-50</v>
      </c>
      <c r="G511" s="7">
        <v>-70.22</v>
      </c>
      <c r="H511" s="7">
        <v>0</v>
      </c>
    </row>
    <row r="512" spans="1:8">
      <c r="A512" s="4" t="s">
        <v>210</v>
      </c>
      <c r="B512" s="4" t="s">
        <v>211</v>
      </c>
      <c r="C512" s="4" t="s">
        <v>1104</v>
      </c>
      <c r="D512" s="4" t="s">
        <v>1442</v>
      </c>
      <c r="E512" s="6">
        <v>43893</v>
      </c>
      <c r="F512" s="7">
        <v>-50</v>
      </c>
      <c r="G512" s="7">
        <v>-68.489999999999995</v>
      </c>
      <c r="H512" s="7">
        <v>0</v>
      </c>
    </row>
    <row r="513" spans="1:8">
      <c r="A513" s="4" t="s">
        <v>210</v>
      </c>
      <c r="B513" s="4" t="s">
        <v>211</v>
      </c>
      <c r="C513" s="4" t="s">
        <v>1106</v>
      </c>
      <c r="D513" s="4" t="s">
        <v>1443</v>
      </c>
      <c r="E513" s="6">
        <v>43893</v>
      </c>
      <c r="F513" s="7">
        <v>-150</v>
      </c>
      <c r="G513" s="7">
        <v>-205.3</v>
      </c>
      <c r="H513" s="7">
        <v>0</v>
      </c>
    </row>
    <row r="514" spans="1:8">
      <c r="A514" s="4" t="s">
        <v>210</v>
      </c>
      <c r="B514" s="4" t="s">
        <v>211</v>
      </c>
      <c r="C514" s="4" t="s">
        <v>853</v>
      </c>
      <c r="D514" s="4" t="s">
        <v>1444</v>
      </c>
      <c r="E514" s="6">
        <v>43893</v>
      </c>
      <c r="F514" s="7">
        <v>-100</v>
      </c>
      <c r="G514" s="7">
        <v>-179.72</v>
      </c>
      <c r="H514" s="7">
        <v>0</v>
      </c>
    </row>
    <row r="515" spans="1:8">
      <c r="A515" s="4" t="s">
        <v>210</v>
      </c>
      <c r="B515" s="4" t="s">
        <v>211</v>
      </c>
      <c r="C515" s="4" t="s">
        <v>784</v>
      </c>
      <c r="D515" s="4" t="s">
        <v>1445</v>
      </c>
      <c r="E515" s="6">
        <v>43893</v>
      </c>
      <c r="F515" s="7">
        <v>-1</v>
      </c>
      <c r="G515" s="7">
        <v>0</v>
      </c>
      <c r="H515" s="7">
        <v>0</v>
      </c>
    </row>
    <row r="516" spans="1:8">
      <c r="A516" s="4" t="s">
        <v>256</v>
      </c>
      <c r="B516" s="4" t="s">
        <v>257</v>
      </c>
      <c r="C516" s="4" t="s">
        <v>1283</v>
      </c>
      <c r="D516" s="4" t="s">
        <v>1446</v>
      </c>
      <c r="E516" s="6">
        <v>43907</v>
      </c>
      <c r="F516" s="7">
        <v>-10000</v>
      </c>
      <c r="G516" s="7">
        <v>-974.31000000000006</v>
      </c>
      <c r="H516" s="7">
        <v>0</v>
      </c>
    </row>
    <row r="517" spans="1:8">
      <c r="A517" s="4" t="s">
        <v>256</v>
      </c>
      <c r="B517" s="4" t="s">
        <v>257</v>
      </c>
      <c r="C517" s="4" t="s">
        <v>784</v>
      </c>
      <c r="D517" s="4" t="s">
        <v>1447</v>
      </c>
      <c r="E517" s="6">
        <v>43907</v>
      </c>
      <c r="F517" s="7">
        <v>-1</v>
      </c>
      <c r="G517" s="7">
        <v>0</v>
      </c>
      <c r="H517" s="7">
        <v>0</v>
      </c>
    </row>
    <row r="518" spans="1:8">
      <c r="A518" s="4" t="s">
        <v>330</v>
      </c>
      <c r="B518" s="4" t="s">
        <v>331</v>
      </c>
      <c r="C518" s="4" t="s">
        <v>1047</v>
      </c>
      <c r="D518" s="4" t="s">
        <v>1448</v>
      </c>
      <c r="E518" s="6">
        <v>43942</v>
      </c>
      <c r="F518" s="7">
        <v>-9400</v>
      </c>
      <c r="G518" s="7">
        <v>-3318.18</v>
      </c>
      <c r="H518" s="7">
        <v>0</v>
      </c>
    </row>
    <row r="519" spans="1:8">
      <c r="A519" s="4" t="s">
        <v>330</v>
      </c>
      <c r="B519" s="4" t="s">
        <v>331</v>
      </c>
      <c r="C519" s="4" t="s">
        <v>1047</v>
      </c>
      <c r="D519" s="4" t="s">
        <v>1448</v>
      </c>
      <c r="E519" s="6">
        <v>43942</v>
      </c>
      <c r="F519" s="7">
        <v>-6600</v>
      </c>
      <c r="G519" s="7">
        <v>-2329.79</v>
      </c>
      <c r="H519" s="7">
        <v>0</v>
      </c>
    </row>
    <row r="520" spans="1:8">
      <c r="A520" s="4" t="s">
        <v>330</v>
      </c>
      <c r="B520" s="4" t="s">
        <v>331</v>
      </c>
      <c r="C520" s="4" t="s">
        <v>1047</v>
      </c>
      <c r="D520" s="4" t="s">
        <v>1448</v>
      </c>
      <c r="E520" s="6">
        <v>43942</v>
      </c>
      <c r="F520" s="7">
        <v>-8820</v>
      </c>
      <c r="G520" s="7">
        <v>-3113.44</v>
      </c>
      <c r="H520" s="7">
        <v>0</v>
      </c>
    </row>
    <row r="521" spans="1:8">
      <c r="A521" s="4" t="s">
        <v>330</v>
      </c>
      <c r="B521" s="4" t="s">
        <v>331</v>
      </c>
      <c r="C521" s="4" t="s">
        <v>1047</v>
      </c>
      <c r="D521" s="4" t="s">
        <v>1448</v>
      </c>
      <c r="E521" s="6">
        <v>43942</v>
      </c>
      <c r="F521" s="7">
        <v>-8030</v>
      </c>
      <c r="G521" s="7">
        <v>-2834.58</v>
      </c>
      <c r="H521" s="7">
        <v>0</v>
      </c>
    </row>
    <row r="522" spans="1:8">
      <c r="A522" s="4" t="s">
        <v>330</v>
      </c>
      <c r="B522" s="4" t="s">
        <v>331</v>
      </c>
      <c r="C522" s="4" t="s">
        <v>1049</v>
      </c>
      <c r="D522" s="4" t="s">
        <v>1449</v>
      </c>
      <c r="E522" s="6">
        <v>43942</v>
      </c>
      <c r="F522" s="7">
        <v>-1</v>
      </c>
      <c r="G522" s="7">
        <v>0</v>
      </c>
      <c r="H522" s="7">
        <v>0</v>
      </c>
    </row>
    <row r="523" spans="1:8">
      <c r="A523" s="4" t="s">
        <v>330</v>
      </c>
      <c r="B523" s="4" t="s">
        <v>331</v>
      </c>
      <c r="C523" s="4" t="s">
        <v>784</v>
      </c>
      <c r="D523" s="4" t="s">
        <v>1450</v>
      </c>
      <c r="E523" s="6">
        <v>43942</v>
      </c>
      <c r="F523" s="7">
        <v>-1</v>
      </c>
      <c r="G523" s="7">
        <v>0</v>
      </c>
      <c r="H523" s="7">
        <v>0</v>
      </c>
    </row>
    <row r="524" spans="1:8">
      <c r="A524" s="4" t="s">
        <v>347</v>
      </c>
      <c r="B524" s="4" t="s">
        <v>348</v>
      </c>
      <c r="C524" s="4" t="s">
        <v>1451</v>
      </c>
      <c r="D524" s="4" t="s">
        <v>1452</v>
      </c>
      <c r="E524" s="6">
        <v>43950</v>
      </c>
      <c r="F524" s="7">
        <v>-1</v>
      </c>
      <c r="G524" s="7">
        <v>0</v>
      </c>
      <c r="H524" s="7">
        <v>0</v>
      </c>
    </row>
    <row r="525" spans="1:8">
      <c r="A525" s="4" t="s">
        <v>347</v>
      </c>
      <c r="B525" s="4" t="s">
        <v>348</v>
      </c>
      <c r="C525" s="4" t="s">
        <v>840</v>
      </c>
      <c r="D525" s="4" t="s">
        <v>1453</v>
      </c>
      <c r="E525" s="6">
        <v>43950</v>
      </c>
      <c r="F525" s="7">
        <v>-1</v>
      </c>
      <c r="G525" s="7">
        <v>0</v>
      </c>
      <c r="H525" s="7">
        <v>0</v>
      </c>
    </row>
    <row r="526" spans="1:8">
      <c r="A526" s="4" t="s">
        <v>347</v>
      </c>
      <c r="B526" s="4" t="s">
        <v>348</v>
      </c>
      <c r="C526" s="4" t="s">
        <v>784</v>
      </c>
      <c r="D526" s="4" t="s">
        <v>1454</v>
      </c>
      <c r="E526" s="6">
        <v>43950</v>
      </c>
      <c r="F526" s="7">
        <v>-1</v>
      </c>
      <c r="G526" s="7">
        <v>0</v>
      </c>
      <c r="H526" s="7">
        <v>0</v>
      </c>
    </row>
    <row r="527" spans="1:8">
      <c r="A527" s="4" t="s">
        <v>512</v>
      </c>
      <c r="B527" s="4" t="s">
        <v>513</v>
      </c>
      <c r="C527" s="4" t="s">
        <v>883</v>
      </c>
      <c r="D527" s="4" t="s">
        <v>1455</v>
      </c>
      <c r="E527" s="6">
        <v>44013</v>
      </c>
      <c r="F527" s="7">
        <v>-300</v>
      </c>
      <c r="G527" s="7">
        <v>-239.35</v>
      </c>
      <c r="H527" s="7">
        <v>0</v>
      </c>
    </row>
    <row r="528" spans="1:8">
      <c r="A528" s="4" t="s">
        <v>512</v>
      </c>
      <c r="B528" s="4" t="s">
        <v>513</v>
      </c>
      <c r="C528" s="4" t="s">
        <v>891</v>
      </c>
      <c r="D528" s="4" t="s">
        <v>1456</v>
      </c>
      <c r="E528" s="6">
        <v>44013</v>
      </c>
      <c r="F528" s="7">
        <v>-250</v>
      </c>
      <c r="G528" s="7">
        <v>-182.82999999999998</v>
      </c>
      <c r="H528" s="7">
        <v>0.01</v>
      </c>
    </row>
    <row r="529" spans="1:8">
      <c r="A529" s="4" t="s">
        <v>512</v>
      </c>
      <c r="B529" s="4" t="s">
        <v>513</v>
      </c>
      <c r="C529" s="4" t="s">
        <v>1063</v>
      </c>
      <c r="D529" s="4" t="s">
        <v>1457</v>
      </c>
      <c r="E529" s="6">
        <v>44013</v>
      </c>
      <c r="F529" s="7">
        <v>-50</v>
      </c>
      <c r="G529" s="7">
        <v>-34.26</v>
      </c>
      <c r="H529" s="7">
        <v>0</v>
      </c>
    </row>
    <row r="530" spans="1:8">
      <c r="A530" s="4" t="s">
        <v>512</v>
      </c>
      <c r="B530" s="4" t="s">
        <v>513</v>
      </c>
      <c r="C530" s="4" t="s">
        <v>1026</v>
      </c>
      <c r="D530" s="4" t="s">
        <v>1458</v>
      </c>
      <c r="E530" s="6">
        <v>44013</v>
      </c>
      <c r="F530" s="7">
        <v>-50</v>
      </c>
      <c r="G530" s="7">
        <v>-34.24</v>
      </c>
      <c r="H530" s="7">
        <v>0</v>
      </c>
    </row>
    <row r="531" spans="1:8">
      <c r="A531" s="4" t="s">
        <v>512</v>
      </c>
      <c r="B531" s="4" t="s">
        <v>513</v>
      </c>
      <c r="C531" s="4" t="s">
        <v>964</v>
      </c>
      <c r="D531" s="4" t="s">
        <v>1459</v>
      </c>
      <c r="E531" s="6">
        <v>44013</v>
      </c>
      <c r="F531" s="7">
        <v>-30</v>
      </c>
      <c r="G531" s="7">
        <v>-24.65</v>
      </c>
      <c r="H531" s="7">
        <v>-0.01</v>
      </c>
    </row>
    <row r="532" spans="1:8">
      <c r="A532" s="4" t="s">
        <v>512</v>
      </c>
      <c r="B532" s="4" t="s">
        <v>513</v>
      </c>
      <c r="C532" s="4" t="s">
        <v>1028</v>
      </c>
      <c r="D532" s="4" t="s">
        <v>1460</v>
      </c>
      <c r="E532" s="6">
        <v>44013</v>
      </c>
      <c r="F532" s="7">
        <v>-20</v>
      </c>
      <c r="G532" s="7">
        <v>-19.13</v>
      </c>
      <c r="H532" s="7">
        <v>0.01</v>
      </c>
    </row>
    <row r="533" spans="1:8">
      <c r="A533" s="4" t="s">
        <v>512</v>
      </c>
      <c r="B533" s="4" t="s">
        <v>513</v>
      </c>
      <c r="C533" s="4" t="s">
        <v>1165</v>
      </c>
      <c r="D533" s="4" t="s">
        <v>1461</v>
      </c>
      <c r="E533" s="6">
        <v>44013</v>
      </c>
      <c r="F533" s="7">
        <v>-50</v>
      </c>
      <c r="G533" s="7">
        <v>-45.32</v>
      </c>
      <c r="H533" s="7">
        <v>0</v>
      </c>
    </row>
    <row r="534" spans="1:8">
      <c r="A534" s="4" t="s">
        <v>512</v>
      </c>
      <c r="B534" s="4" t="s">
        <v>513</v>
      </c>
      <c r="C534" s="4" t="s">
        <v>989</v>
      </c>
      <c r="D534" s="4" t="s">
        <v>1462</v>
      </c>
      <c r="E534" s="6">
        <v>44013</v>
      </c>
      <c r="F534" s="7">
        <v>-50</v>
      </c>
      <c r="G534" s="7">
        <v>-78.19</v>
      </c>
      <c r="H534" s="7">
        <v>0</v>
      </c>
    </row>
    <row r="535" spans="1:8">
      <c r="A535" s="4" t="s">
        <v>512</v>
      </c>
      <c r="B535" s="4" t="s">
        <v>513</v>
      </c>
      <c r="C535" s="4" t="s">
        <v>916</v>
      </c>
      <c r="D535" s="4" t="s">
        <v>1463</v>
      </c>
      <c r="E535" s="6">
        <v>44013</v>
      </c>
      <c r="F535" s="7">
        <v>-200</v>
      </c>
      <c r="G535" s="7">
        <v>-75.16</v>
      </c>
      <c r="H535" s="7">
        <v>0</v>
      </c>
    </row>
    <row r="536" spans="1:8">
      <c r="A536" s="4" t="s">
        <v>512</v>
      </c>
      <c r="B536" s="4" t="s">
        <v>513</v>
      </c>
      <c r="C536" s="4" t="s">
        <v>982</v>
      </c>
      <c r="D536" s="4" t="s">
        <v>1464</v>
      </c>
      <c r="E536" s="6">
        <v>44013</v>
      </c>
      <c r="F536" s="7">
        <v>-15</v>
      </c>
      <c r="G536" s="7">
        <v>-50.54</v>
      </c>
      <c r="H536" s="7">
        <v>0.01</v>
      </c>
    </row>
    <row r="537" spans="1:8">
      <c r="A537" s="4" t="s">
        <v>512</v>
      </c>
      <c r="B537" s="4" t="s">
        <v>513</v>
      </c>
      <c r="C537" s="4" t="s">
        <v>1044</v>
      </c>
      <c r="D537" s="4" t="s">
        <v>1465</v>
      </c>
      <c r="E537" s="6">
        <v>44013</v>
      </c>
      <c r="F537" s="7">
        <v>-15</v>
      </c>
      <c r="G537" s="7">
        <v>-64.14</v>
      </c>
      <c r="H537" s="7">
        <v>0</v>
      </c>
    </row>
    <row r="538" spans="1:8">
      <c r="A538" s="4" t="s">
        <v>512</v>
      </c>
      <c r="B538" s="4" t="s">
        <v>513</v>
      </c>
      <c r="C538" s="4" t="s">
        <v>955</v>
      </c>
      <c r="D538" s="4" t="s">
        <v>1466</v>
      </c>
      <c r="E538" s="6">
        <v>44013</v>
      </c>
      <c r="F538" s="7">
        <v>-200</v>
      </c>
      <c r="G538" s="7">
        <v>-93.05</v>
      </c>
      <c r="H538" s="7">
        <v>0</v>
      </c>
    </row>
    <row r="539" spans="1:8">
      <c r="A539" s="4" t="s">
        <v>512</v>
      </c>
      <c r="B539" s="4" t="s">
        <v>513</v>
      </c>
      <c r="C539" s="4" t="s">
        <v>875</v>
      </c>
      <c r="D539" s="4" t="s">
        <v>1467</v>
      </c>
      <c r="E539" s="6">
        <v>44013</v>
      </c>
      <c r="F539" s="7">
        <v>-300</v>
      </c>
      <c r="G539" s="7">
        <v>-136.84</v>
      </c>
      <c r="H539" s="7">
        <v>0</v>
      </c>
    </row>
    <row r="540" spans="1:8">
      <c r="A540" s="4" t="s">
        <v>512</v>
      </c>
      <c r="B540" s="4" t="s">
        <v>513</v>
      </c>
      <c r="C540" s="4" t="s">
        <v>889</v>
      </c>
      <c r="D540" s="4" t="s">
        <v>1468</v>
      </c>
      <c r="E540" s="6">
        <v>44013</v>
      </c>
      <c r="F540" s="7">
        <v>-300</v>
      </c>
      <c r="G540" s="7">
        <v>-134.03</v>
      </c>
      <c r="H540" s="7">
        <v>0</v>
      </c>
    </row>
    <row r="541" spans="1:8">
      <c r="A541" s="4" t="s">
        <v>512</v>
      </c>
      <c r="B541" s="4" t="s">
        <v>513</v>
      </c>
      <c r="C541" s="4" t="s">
        <v>1015</v>
      </c>
      <c r="D541" s="4" t="s">
        <v>1469</v>
      </c>
      <c r="E541" s="6">
        <v>44013</v>
      </c>
      <c r="F541" s="7">
        <v>-30</v>
      </c>
      <c r="G541" s="7">
        <v>-27.78</v>
      </c>
      <c r="H541" s="7">
        <v>0</v>
      </c>
    </row>
    <row r="542" spans="1:8">
      <c r="A542" s="4" t="s">
        <v>512</v>
      </c>
      <c r="B542" s="4" t="s">
        <v>513</v>
      </c>
      <c r="C542" s="4" t="s">
        <v>784</v>
      </c>
      <c r="D542" s="4" t="s">
        <v>1470</v>
      </c>
      <c r="E542" s="6">
        <v>44013</v>
      </c>
      <c r="F542" s="7">
        <v>-1</v>
      </c>
      <c r="G542" s="7">
        <v>0</v>
      </c>
      <c r="H542" s="7">
        <v>0</v>
      </c>
    </row>
    <row r="543" spans="1:8">
      <c r="A543" s="4" t="s">
        <v>232</v>
      </c>
      <c r="B543" s="4" t="s">
        <v>233</v>
      </c>
      <c r="C543" s="4" t="s">
        <v>1471</v>
      </c>
      <c r="D543" s="4" t="s">
        <v>1472</v>
      </c>
      <c r="E543" s="6">
        <v>43900</v>
      </c>
      <c r="F543" s="7">
        <v>-15</v>
      </c>
      <c r="G543" s="7">
        <v>-40.72</v>
      </c>
      <c r="H543" s="7">
        <v>0</v>
      </c>
    </row>
    <row r="544" spans="1:8">
      <c r="A544" s="4" t="s">
        <v>232</v>
      </c>
      <c r="B544" s="4" t="s">
        <v>233</v>
      </c>
      <c r="C544" s="4" t="s">
        <v>1471</v>
      </c>
      <c r="D544" s="4" t="s">
        <v>1473</v>
      </c>
      <c r="E544" s="6">
        <v>43900</v>
      </c>
      <c r="F544" s="7">
        <v>-15</v>
      </c>
      <c r="G544" s="7">
        <v>-40.72</v>
      </c>
      <c r="H544" s="7">
        <v>0</v>
      </c>
    </row>
    <row r="545" spans="1:8">
      <c r="A545" s="4" t="s">
        <v>232</v>
      </c>
      <c r="B545" s="4" t="s">
        <v>233</v>
      </c>
      <c r="C545" s="4" t="s">
        <v>784</v>
      </c>
      <c r="D545" s="4" t="s">
        <v>1474</v>
      </c>
      <c r="E545" s="6">
        <v>43900</v>
      </c>
      <c r="F545" s="7">
        <v>-1</v>
      </c>
      <c r="G545" s="7">
        <v>0</v>
      </c>
      <c r="H545" s="7">
        <v>0</v>
      </c>
    </row>
    <row r="546" spans="1:8">
      <c r="A546" s="4" t="s">
        <v>229</v>
      </c>
      <c r="B546" s="4" t="s">
        <v>230</v>
      </c>
      <c r="C546" s="4" t="s">
        <v>1373</v>
      </c>
      <c r="D546" s="4" t="s">
        <v>1475</v>
      </c>
      <c r="E546" s="6">
        <v>43900</v>
      </c>
      <c r="F546" s="7">
        <v>-100</v>
      </c>
      <c r="G546" s="7">
        <v>-160.49</v>
      </c>
      <c r="H546" s="7">
        <v>0</v>
      </c>
    </row>
    <row r="547" spans="1:8">
      <c r="A547" s="4" t="s">
        <v>229</v>
      </c>
      <c r="B547" s="4" t="s">
        <v>230</v>
      </c>
      <c r="C547" s="4" t="s">
        <v>1476</v>
      </c>
      <c r="D547" s="4" t="s">
        <v>1477</v>
      </c>
      <c r="E547" s="6">
        <v>43900</v>
      </c>
      <c r="F547" s="7">
        <v>-100</v>
      </c>
      <c r="G547" s="7">
        <v>-249.57</v>
      </c>
      <c r="H547" s="7">
        <v>0</v>
      </c>
    </row>
    <row r="548" spans="1:8">
      <c r="A548" s="4" t="s">
        <v>229</v>
      </c>
      <c r="B548" s="4" t="s">
        <v>230</v>
      </c>
      <c r="C548" s="4" t="s">
        <v>1222</v>
      </c>
      <c r="D548" s="4" t="s">
        <v>1478</v>
      </c>
      <c r="E548" s="6">
        <v>43900</v>
      </c>
      <c r="F548" s="7">
        <v>-134</v>
      </c>
      <c r="G548" s="7">
        <v>-224.9</v>
      </c>
      <c r="H548" s="7">
        <v>0</v>
      </c>
    </row>
    <row r="549" spans="1:8">
      <c r="A549" s="4" t="s">
        <v>229</v>
      </c>
      <c r="B549" s="4" t="s">
        <v>230</v>
      </c>
      <c r="C549" s="4" t="s">
        <v>1106</v>
      </c>
      <c r="D549" s="4" t="s">
        <v>1479</v>
      </c>
      <c r="E549" s="6">
        <v>43900</v>
      </c>
      <c r="F549" s="7">
        <v>-50</v>
      </c>
      <c r="G549" s="7">
        <v>-68.430000000000007</v>
      </c>
      <c r="H549" s="7">
        <v>0</v>
      </c>
    </row>
    <row r="550" spans="1:8">
      <c r="A550" s="4" t="s">
        <v>229</v>
      </c>
      <c r="B550" s="4" t="s">
        <v>230</v>
      </c>
      <c r="C550" s="4" t="s">
        <v>784</v>
      </c>
      <c r="D550" s="4" t="s">
        <v>1480</v>
      </c>
      <c r="E550" s="6">
        <v>43900</v>
      </c>
      <c r="F550" s="7">
        <v>-1</v>
      </c>
      <c r="G550" s="7">
        <v>0</v>
      </c>
      <c r="H550" s="7">
        <v>0</v>
      </c>
    </row>
    <row r="551" spans="1:8">
      <c r="A551" s="4" t="s">
        <v>219</v>
      </c>
      <c r="B551" s="4" t="s">
        <v>220</v>
      </c>
      <c r="C551" s="4" t="s">
        <v>993</v>
      </c>
      <c r="D551" s="4" t="s">
        <v>1481</v>
      </c>
      <c r="E551" s="6">
        <v>43896</v>
      </c>
      <c r="F551" s="7">
        <v>-100</v>
      </c>
      <c r="G551" s="7">
        <v>-35.299999999999997</v>
      </c>
      <c r="H551" s="7">
        <v>0</v>
      </c>
    </row>
    <row r="552" spans="1:8">
      <c r="A552" s="4" t="s">
        <v>219</v>
      </c>
      <c r="B552" s="4" t="s">
        <v>220</v>
      </c>
      <c r="C552" s="4" t="s">
        <v>936</v>
      </c>
      <c r="D552" s="4" t="s">
        <v>1482</v>
      </c>
      <c r="E552" s="6">
        <v>43896</v>
      </c>
      <c r="F552" s="7">
        <v>-100</v>
      </c>
      <c r="G552" s="7">
        <v>-47.37</v>
      </c>
      <c r="H552" s="7">
        <v>0.01</v>
      </c>
    </row>
    <row r="553" spans="1:8">
      <c r="A553" s="4" t="s">
        <v>219</v>
      </c>
      <c r="B553" s="4" t="s">
        <v>220</v>
      </c>
      <c r="C553" s="4" t="s">
        <v>940</v>
      </c>
      <c r="D553" s="4" t="s">
        <v>1483</v>
      </c>
      <c r="E553" s="6">
        <v>43896</v>
      </c>
      <c r="F553" s="7">
        <v>-50</v>
      </c>
      <c r="G553" s="7">
        <v>-28.19</v>
      </c>
      <c r="H553" s="7">
        <v>0</v>
      </c>
    </row>
    <row r="554" spans="1:8">
      <c r="A554" s="4" t="s">
        <v>219</v>
      </c>
      <c r="B554" s="4" t="s">
        <v>220</v>
      </c>
      <c r="C554" s="4" t="s">
        <v>1126</v>
      </c>
      <c r="D554" s="4" t="s">
        <v>1484</v>
      </c>
      <c r="E554" s="6">
        <v>43896</v>
      </c>
      <c r="F554" s="7">
        <v>-10</v>
      </c>
      <c r="G554" s="7">
        <v>-14.04</v>
      </c>
      <c r="H554" s="7">
        <v>-0.01</v>
      </c>
    </row>
    <row r="555" spans="1:8">
      <c r="A555" s="4" t="s">
        <v>219</v>
      </c>
      <c r="B555" s="4" t="s">
        <v>220</v>
      </c>
      <c r="C555" s="4" t="s">
        <v>1485</v>
      </c>
      <c r="D555" s="4" t="s">
        <v>1486</v>
      </c>
      <c r="E555" s="6">
        <v>43896</v>
      </c>
      <c r="F555" s="7">
        <v>-100</v>
      </c>
      <c r="G555" s="7">
        <v>-171.39000000000001</v>
      </c>
      <c r="H555" s="7">
        <v>0</v>
      </c>
    </row>
    <row r="556" spans="1:8">
      <c r="A556" s="4" t="s">
        <v>219</v>
      </c>
      <c r="B556" s="4" t="s">
        <v>220</v>
      </c>
      <c r="C556" s="4" t="s">
        <v>908</v>
      </c>
      <c r="D556" s="4" t="s">
        <v>1487</v>
      </c>
      <c r="E556" s="6">
        <v>43896</v>
      </c>
      <c r="F556" s="7">
        <v>-50</v>
      </c>
      <c r="G556" s="7">
        <v>-23.68</v>
      </c>
      <c r="H556" s="7">
        <v>0</v>
      </c>
    </row>
    <row r="557" spans="1:8">
      <c r="A557" s="4" t="s">
        <v>219</v>
      </c>
      <c r="B557" s="4" t="s">
        <v>220</v>
      </c>
      <c r="C557" s="4" t="s">
        <v>1310</v>
      </c>
      <c r="D557" s="4" t="s">
        <v>1488</v>
      </c>
      <c r="E557" s="6">
        <v>43896</v>
      </c>
      <c r="F557" s="7">
        <v>-50</v>
      </c>
      <c r="G557" s="7">
        <v>-63.38</v>
      </c>
      <c r="H557" s="7">
        <v>0</v>
      </c>
    </row>
    <row r="558" spans="1:8">
      <c r="A558" s="4" t="s">
        <v>219</v>
      </c>
      <c r="B558" s="4" t="s">
        <v>220</v>
      </c>
      <c r="C558" s="4" t="s">
        <v>784</v>
      </c>
      <c r="D558" s="4" t="s">
        <v>1489</v>
      </c>
      <c r="E558" s="6">
        <v>43896</v>
      </c>
      <c r="F558" s="7">
        <v>-1</v>
      </c>
      <c r="G558" s="7">
        <v>0</v>
      </c>
      <c r="H558" s="7">
        <v>0</v>
      </c>
    </row>
    <row r="559" spans="1:8">
      <c r="A559" s="4" t="s">
        <v>212</v>
      </c>
      <c r="B559" s="4" t="s">
        <v>213</v>
      </c>
      <c r="C559" s="4" t="s">
        <v>940</v>
      </c>
      <c r="D559" s="4" t="s">
        <v>1490</v>
      </c>
      <c r="E559" s="6">
        <v>43894</v>
      </c>
      <c r="F559" s="7">
        <v>-50</v>
      </c>
      <c r="G559" s="7">
        <v>-28.19</v>
      </c>
      <c r="H559" s="7">
        <v>0.01</v>
      </c>
    </row>
    <row r="560" spans="1:8">
      <c r="A560" s="4" t="s">
        <v>212</v>
      </c>
      <c r="B560" s="4" t="s">
        <v>213</v>
      </c>
      <c r="C560" s="4" t="s">
        <v>784</v>
      </c>
      <c r="D560" s="4" t="s">
        <v>1491</v>
      </c>
      <c r="E560" s="6">
        <v>43894</v>
      </c>
      <c r="F560" s="7">
        <v>-1</v>
      </c>
      <c r="G560" s="7">
        <v>0</v>
      </c>
      <c r="H560" s="7">
        <v>0</v>
      </c>
    </row>
    <row r="561" spans="1:8">
      <c r="A561" s="4" t="s">
        <v>229</v>
      </c>
      <c r="B561" s="4" t="s">
        <v>230</v>
      </c>
      <c r="C561" s="4" t="s">
        <v>1492</v>
      </c>
      <c r="D561" s="4" t="s">
        <v>1493</v>
      </c>
      <c r="E561" s="6">
        <v>43900</v>
      </c>
      <c r="F561" s="7">
        <v>-1</v>
      </c>
      <c r="G561" s="7">
        <v>-109.1</v>
      </c>
      <c r="H561" s="7">
        <v>0</v>
      </c>
    </row>
    <row r="562" spans="1:8">
      <c r="A562" s="4" t="s">
        <v>221</v>
      </c>
      <c r="B562" s="4" t="s">
        <v>222</v>
      </c>
      <c r="C562" s="4" t="s">
        <v>1369</v>
      </c>
      <c r="D562" s="4" t="s">
        <v>1494</v>
      </c>
      <c r="E562" s="6">
        <v>43896</v>
      </c>
      <c r="F562" s="7">
        <v>-5</v>
      </c>
      <c r="G562" s="7">
        <v>-6.93</v>
      </c>
      <c r="H562" s="7">
        <v>0</v>
      </c>
    </row>
    <row r="563" spans="1:8">
      <c r="A563" s="4" t="s">
        <v>221</v>
      </c>
      <c r="B563" s="4" t="s">
        <v>222</v>
      </c>
      <c r="C563" s="4" t="s">
        <v>784</v>
      </c>
      <c r="D563" s="4" t="s">
        <v>1495</v>
      </c>
      <c r="E563" s="6">
        <v>43896</v>
      </c>
      <c r="F563" s="7">
        <v>-1</v>
      </c>
      <c r="G563" s="7">
        <v>0</v>
      </c>
      <c r="H563" s="7">
        <v>0</v>
      </c>
    </row>
    <row r="564" spans="1:8">
      <c r="A564" s="4" t="s">
        <v>334</v>
      </c>
      <c r="B564" s="4" t="s">
        <v>335</v>
      </c>
      <c r="C564" s="4" t="s">
        <v>1179</v>
      </c>
      <c r="D564" s="4" t="s">
        <v>1496</v>
      </c>
      <c r="E564" s="6">
        <v>43943</v>
      </c>
      <c r="F564" s="7">
        <v>-8000</v>
      </c>
      <c r="G564" s="7">
        <v>-340.15999999999997</v>
      </c>
      <c r="H564" s="7">
        <v>0</v>
      </c>
    </row>
    <row r="565" spans="1:8">
      <c r="A565" s="4" t="s">
        <v>334</v>
      </c>
      <c r="B565" s="4" t="s">
        <v>335</v>
      </c>
      <c r="C565" s="4" t="s">
        <v>1181</v>
      </c>
      <c r="D565" s="4" t="s">
        <v>1497</v>
      </c>
      <c r="E565" s="6">
        <v>43943</v>
      </c>
      <c r="F565" s="7">
        <v>-8000</v>
      </c>
      <c r="G565" s="7">
        <v>-385.90999999999997</v>
      </c>
      <c r="H565" s="7">
        <v>0</v>
      </c>
    </row>
    <row r="566" spans="1:8">
      <c r="A566" s="4" t="s">
        <v>334</v>
      </c>
      <c r="B566" s="4" t="s">
        <v>335</v>
      </c>
      <c r="C566" s="4" t="s">
        <v>784</v>
      </c>
      <c r="D566" s="4" t="s">
        <v>1498</v>
      </c>
      <c r="E566" s="6">
        <v>43943</v>
      </c>
      <c r="F566" s="7">
        <v>-1</v>
      </c>
      <c r="G566" s="7">
        <v>0</v>
      </c>
      <c r="H566" s="7">
        <v>0</v>
      </c>
    </row>
    <row r="567" spans="1:8">
      <c r="A567" s="4" t="s">
        <v>217</v>
      </c>
      <c r="B567" s="4" t="s">
        <v>218</v>
      </c>
      <c r="C567" s="4" t="s">
        <v>819</v>
      </c>
      <c r="D567" s="4" t="s">
        <v>1499</v>
      </c>
      <c r="E567" s="6">
        <v>43894</v>
      </c>
      <c r="F567" s="7">
        <v>-4</v>
      </c>
      <c r="G567" s="7">
        <v>-34.43</v>
      </c>
      <c r="H567" s="7">
        <v>-0.01</v>
      </c>
    </row>
    <row r="568" spans="1:8">
      <c r="A568" s="4" t="s">
        <v>217</v>
      </c>
      <c r="B568" s="4" t="s">
        <v>218</v>
      </c>
      <c r="C568" s="4" t="s">
        <v>784</v>
      </c>
      <c r="D568" s="4" t="s">
        <v>1500</v>
      </c>
      <c r="E568" s="6">
        <v>43894</v>
      </c>
      <c r="F568" s="7">
        <v>-1</v>
      </c>
      <c r="G568" s="7">
        <v>0</v>
      </c>
      <c r="H568" s="7">
        <v>0</v>
      </c>
    </row>
    <row r="569" spans="1:8">
      <c r="A569" s="4" t="s">
        <v>413</v>
      </c>
      <c r="B569" s="4" t="s">
        <v>414</v>
      </c>
      <c r="C569" s="4" t="s">
        <v>1179</v>
      </c>
      <c r="D569" s="4" t="s">
        <v>1501</v>
      </c>
      <c r="E569" s="6">
        <v>43970</v>
      </c>
      <c r="F569" s="7">
        <v>-8000</v>
      </c>
      <c r="G569" s="7">
        <v>-340.15999999999997</v>
      </c>
      <c r="H569" s="7">
        <v>0</v>
      </c>
    </row>
    <row r="570" spans="1:8">
      <c r="A570" s="4" t="s">
        <v>413</v>
      </c>
      <c r="B570" s="4" t="s">
        <v>414</v>
      </c>
      <c r="C570" s="4" t="s">
        <v>1181</v>
      </c>
      <c r="D570" s="4" t="s">
        <v>1502</v>
      </c>
      <c r="E570" s="6">
        <v>43970</v>
      </c>
      <c r="F570" s="7">
        <v>-8000</v>
      </c>
      <c r="G570" s="7">
        <v>-385.90999999999997</v>
      </c>
      <c r="H570" s="7">
        <v>0</v>
      </c>
    </row>
    <row r="571" spans="1:8">
      <c r="A571" s="4" t="s">
        <v>413</v>
      </c>
      <c r="B571" s="4" t="s">
        <v>414</v>
      </c>
      <c r="C571" s="4" t="s">
        <v>784</v>
      </c>
      <c r="D571" s="4" t="s">
        <v>1503</v>
      </c>
      <c r="E571" s="6">
        <v>43970</v>
      </c>
      <c r="F571" s="7">
        <v>-1</v>
      </c>
      <c r="G571" s="7">
        <v>0</v>
      </c>
      <c r="H571" s="7">
        <v>0</v>
      </c>
    </row>
    <row r="572" spans="1:8">
      <c r="A572" s="4" t="s">
        <v>447</v>
      </c>
      <c r="B572" s="4" t="s">
        <v>448</v>
      </c>
      <c r="C572" s="4" t="s">
        <v>1179</v>
      </c>
      <c r="D572" s="4" t="s">
        <v>1504</v>
      </c>
      <c r="E572" s="6">
        <v>44005</v>
      </c>
      <c r="F572" s="7">
        <v>-2280</v>
      </c>
      <c r="G572" s="7">
        <v>-96.95</v>
      </c>
      <c r="H572" s="7">
        <v>0</v>
      </c>
    </row>
    <row r="573" spans="1:8">
      <c r="A573" s="4" t="s">
        <v>447</v>
      </c>
      <c r="B573" s="4" t="s">
        <v>448</v>
      </c>
      <c r="C573" s="4" t="s">
        <v>1179</v>
      </c>
      <c r="D573" s="4" t="s">
        <v>1504</v>
      </c>
      <c r="E573" s="6">
        <v>44005</v>
      </c>
      <c r="F573" s="7">
        <v>-5982</v>
      </c>
      <c r="G573" s="7">
        <v>-254.35</v>
      </c>
      <c r="H573" s="7">
        <v>0</v>
      </c>
    </row>
    <row r="574" spans="1:8">
      <c r="A574" s="4" t="s">
        <v>447</v>
      </c>
      <c r="B574" s="4" t="s">
        <v>448</v>
      </c>
      <c r="C574" s="4" t="s">
        <v>1181</v>
      </c>
      <c r="D574" s="4" t="s">
        <v>1505</v>
      </c>
      <c r="E574" s="6">
        <v>44005</v>
      </c>
      <c r="F574" s="7">
        <v>-8000</v>
      </c>
      <c r="G574" s="7">
        <v>-385.90999999999997</v>
      </c>
      <c r="H574" s="7">
        <v>0</v>
      </c>
    </row>
    <row r="575" spans="1:8">
      <c r="A575" s="4" t="s">
        <v>447</v>
      </c>
      <c r="B575" s="4" t="s">
        <v>448</v>
      </c>
      <c r="C575" s="4" t="s">
        <v>784</v>
      </c>
      <c r="D575" s="4" t="s">
        <v>1506</v>
      </c>
      <c r="E575" s="6">
        <v>44005</v>
      </c>
      <c r="F575" s="7">
        <v>-1</v>
      </c>
      <c r="G575" s="7">
        <v>0</v>
      </c>
      <c r="H575" s="7">
        <v>0</v>
      </c>
    </row>
    <row r="576" spans="1:8">
      <c r="A576" s="4" t="s">
        <v>225</v>
      </c>
      <c r="B576" s="4" t="s">
        <v>226</v>
      </c>
      <c r="C576" s="4" t="s">
        <v>1131</v>
      </c>
      <c r="D576" s="4" t="s">
        <v>1507</v>
      </c>
      <c r="E576" s="6">
        <v>43900</v>
      </c>
      <c r="F576" s="7">
        <v>-50</v>
      </c>
      <c r="G576" s="7">
        <v>-8.83</v>
      </c>
      <c r="H576" s="7">
        <v>0</v>
      </c>
    </row>
    <row r="577" spans="1:8">
      <c r="A577" s="4" t="s">
        <v>225</v>
      </c>
      <c r="B577" s="4" t="s">
        <v>226</v>
      </c>
      <c r="C577" s="4" t="s">
        <v>993</v>
      </c>
      <c r="D577" s="4" t="s">
        <v>1508</v>
      </c>
      <c r="E577" s="6">
        <v>43900</v>
      </c>
      <c r="F577" s="7">
        <v>-150</v>
      </c>
      <c r="G577" s="7">
        <v>-52.95</v>
      </c>
      <c r="H577" s="7">
        <v>0</v>
      </c>
    </row>
    <row r="578" spans="1:8">
      <c r="A578" s="4" t="s">
        <v>225</v>
      </c>
      <c r="B578" s="4" t="s">
        <v>226</v>
      </c>
      <c r="C578" s="4" t="s">
        <v>1137</v>
      </c>
      <c r="D578" s="4" t="s">
        <v>1509</v>
      </c>
      <c r="E578" s="6">
        <v>43900</v>
      </c>
      <c r="F578" s="7">
        <v>-150</v>
      </c>
      <c r="G578" s="7">
        <v>-42.28</v>
      </c>
      <c r="H578" s="7">
        <v>0.01</v>
      </c>
    </row>
    <row r="579" spans="1:8">
      <c r="A579" s="4" t="s">
        <v>225</v>
      </c>
      <c r="B579" s="4" t="s">
        <v>226</v>
      </c>
      <c r="C579" s="4" t="s">
        <v>1325</v>
      </c>
      <c r="D579" s="4" t="s">
        <v>1510</v>
      </c>
      <c r="E579" s="6">
        <v>43900</v>
      </c>
      <c r="F579" s="7">
        <v>-50</v>
      </c>
      <c r="G579" s="7">
        <v>-25.07</v>
      </c>
      <c r="H579" s="7">
        <v>0.01</v>
      </c>
    </row>
    <row r="580" spans="1:8">
      <c r="A580" s="4" t="s">
        <v>225</v>
      </c>
      <c r="B580" s="4" t="s">
        <v>226</v>
      </c>
      <c r="C580" s="4" t="s">
        <v>942</v>
      </c>
      <c r="D580" s="4" t="s">
        <v>1511</v>
      </c>
      <c r="E580" s="6">
        <v>43900</v>
      </c>
      <c r="F580" s="7">
        <v>-50</v>
      </c>
      <c r="G580" s="7">
        <v>-50.13</v>
      </c>
      <c r="H580" s="7">
        <v>0</v>
      </c>
    </row>
    <row r="581" spans="1:8">
      <c r="A581" s="4" t="s">
        <v>225</v>
      </c>
      <c r="B581" s="4" t="s">
        <v>226</v>
      </c>
      <c r="C581" s="4" t="s">
        <v>1063</v>
      </c>
      <c r="D581" s="4" t="s">
        <v>1512</v>
      </c>
      <c r="E581" s="6">
        <v>43900</v>
      </c>
      <c r="F581" s="7">
        <v>-20</v>
      </c>
      <c r="G581" s="7">
        <v>-13.7</v>
      </c>
      <c r="H581" s="7">
        <v>0</v>
      </c>
    </row>
    <row r="582" spans="1:8">
      <c r="A582" s="4" t="s">
        <v>225</v>
      </c>
      <c r="B582" s="4" t="s">
        <v>226</v>
      </c>
      <c r="C582" s="4" t="s">
        <v>987</v>
      </c>
      <c r="D582" s="4" t="s">
        <v>1513</v>
      </c>
      <c r="E582" s="6">
        <v>43900</v>
      </c>
      <c r="F582" s="7">
        <v>-20</v>
      </c>
      <c r="G582" s="7">
        <v>-15</v>
      </c>
      <c r="H582" s="7">
        <v>0</v>
      </c>
    </row>
    <row r="583" spans="1:8">
      <c r="A583" s="4" t="s">
        <v>225</v>
      </c>
      <c r="B583" s="4" t="s">
        <v>226</v>
      </c>
      <c r="C583" s="4" t="s">
        <v>1026</v>
      </c>
      <c r="D583" s="4" t="s">
        <v>1514</v>
      </c>
      <c r="E583" s="6">
        <v>43900</v>
      </c>
      <c r="F583" s="7">
        <v>-30</v>
      </c>
      <c r="G583" s="7">
        <v>-20.53</v>
      </c>
      <c r="H583" s="7">
        <v>0</v>
      </c>
    </row>
    <row r="584" spans="1:8">
      <c r="A584" s="4" t="s">
        <v>225</v>
      </c>
      <c r="B584" s="4" t="s">
        <v>226</v>
      </c>
      <c r="C584" s="4" t="s">
        <v>1146</v>
      </c>
      <c r="D584" s="4" t="s">
        <v>1515</v>
      </c>
      <c r="E584" s="6">
        <v>43900</v>
      </c>
      <c r="F584" s="7">
        <v>-25</v>
      </c>
      <c r="G584" s="7">
        <v>-20.059999999999999</v>
      </c>
      <c r="H584" s="7">
        <v>0</v>
      </c>
    </row>
    <row r="585" spans="1:8">
      <c r="A585" s="4" t="s">
        <v>225</v>
      </c>
      <c r="B585" s="4" t="s">
        <v>226</v>
      </c>
      <c r="C585" s="4" t="s">
        <v>1516</v>
      </c>
      <c r="D585" s="4" t="s">
        <v>1517</v>
      </c>
      <c r="E585" s="6">
        <v>43900</v>
      </c>
      <c r="F585" s="7">
        <v>-50</v>
      </c>
      <c r="G585" s="7">
        <v>-55.5</v>
      </c>
      <c r="H585" s="7">
        <v>0</v>
      </c>
    </row>
    <row r="586" spans="1:8">
      <c r="A586" s="4" t="s">
        <v>225</v>
      </c>
      <c r="B586" s="4" t="s">
        <v>226</v>
      </c>
      <c r="C586" s="4" t="s">
        <v>784</v>
      </c>
      <c r="D586" s="4" t="s">
        <v>1518</v>
      </c>
      <c r="E586" s="6">
        <v>43900</v>
      </c>
      <c r="F586" s="7">
        <v>-1</v>
      </c>
      <c r="G586" s="7">
        <v>0</v>
      </c>
      <c r="H586" s="7">
        <v>0</v>
      </c>
    </row>
    <row r="587" spans="1:8">
      <c r="A587" s="4" t="s">
        <v>234</v>
      </c>
      <c r="B587" s="4" t="s">
        <v>235</v>
      </c>
      <c r="C587" s="4" t="s">
        <v>1471</v>
      </c>
      <c r="D587" s="4" t="s">
        <v>1519</v>
      </c>
      <c r="E587" s="6">
        <v>43900</v>
      </c>
      <c r="F587" s="7">
        <v>-20</v>
      </c>
      <c r="G587" s="7">
        <v>-54.3</v>
      </c>
      <c r="H587" s="7">
        <v>0</v>
      </c>
    </row>
    <row r="588" spans="1:8">
      <c r="A588" s="4" t="s">
        <v>234</v>
      </c>
      <c r="B588" s="4" t="s">
        <v>235</v>
      </c>
      <c r="C588" s="4" t="s">
        <v>1471</v>
      </c>
      <c r="D588" s="4" t="s">
        <v>1520</v>
      </c>
      <c r="E588" s="6">
        <v>43900</v>
      </c>
      <c r="F588" s="7">
        <v>-25</v>
      </c>
      <c r="G588" s="7">
        <v>-67.87</v>
      </c>
      <c r="H588" s="7">
        <v>0</v>
      </c>
    </row>
    <row r="589" spans="1:8">
      <c r="A589" s="4" t="s">
        <v>234</v>
      </c>
      <c r="B589" s="4" t="s">
        <v>235</v>
      </c>
      <c r="C589" s="4" t="s">
        <v>784</v>
      </c>
      <c r="D589" s="4" t="s">
        <v>1521</v>
      </c>
      <c r="E589" s="6">
        <v>43900</v>
      </c>
      <c r="F589" s="7">
        <v>-1</v>
      </c>
      <c r="G589" s="7">
        <v>0</v>
      </c>
      <c r="H589" s="7">
        <v>0</v>
      </c>
    </row>
    <row r="590" spans="1:8">
      <c r="A590" s="4" t="s">
        <v>239</v>
      </c>
      <c r="B590" s="4" t="s">
        <v>240</v>
      </c>
      <c r="C590" s="4" t="s">
        <v>993</v>
      </c>
      <c r="D590" s="4" t="s">
        <v>1522</v>
      </c>
      <c r="E590" s="6">
        <v>43901</v>
      </c>
      <c r="F590" s="7">
        <v>-100</v>
      </c>
      <c r="G590" s="7">
        <v>-35.299999999999997</v>
      </c>
      <c r="H590" s="7">
        <v>0</v>
      </c>
    </row>
    <row r="591" spans="1:8">
      <c r="A591" s="4" t="s">
        <v>239</v>
      </c>
      <c r="B591" s="4" t="s">
        <v>240</v>
      </c>
      <c r="C591" s="4" t="s">
        <v>936</v>
      </c>
      <c r="D591" s="4" t="s">
        <v>1523</v>
      </c>
      <c r="E591" s="6">
        <v>43901</v>
      </c>
      <c r="F591" s="7">
        <v>-100</v>
      </c>
      <c r="G591" s="7">
        <v>-47.37</v>
      </c>
      <c r="H591" s="7">
        <v>0</v>
      </c>
    </row>
    <row r="592" spans="1:8">
      <c r="A592" s="4" t="s">
        <v>239</v>
      </c>
      <c r="B592" s="4" t="s">
        <v>240</v>
      </c>
      <c r="C592" s="4" t="s">
        <v>940</v>
      </c>
      <c r="D592" s="4" t="s">
        <v>1524</v>
      </c>
      <c r="E592" s="6">
        <v>43901</v>
      </c>
      <c r="F592" s="7">
        <v>-100</v>
      </c>
      <c r="G592" s="7">
        <v>-56.37</v>
      </c>
      <c r="H592" s="7">
        <v>0</v>
      </c>
    </row>
    <row r="593" spans="1:8">
      <c r="A593" s="4" t="s">
        <v>239</v>
      </c>
      <c r="B593" s="4" t="s">
        <v>240</v>
      </c>
      <c r="C593" s="4" t="s">
        <v>813</v>
      </c>
      <c r="D593" s="4" t="s">
        <v>1525</v>
      </c>
      <c r="E593" s="6">
        <v>43901</v>
      </c>
      <c r="F593" s="7">
        <v>-50</v>
      </c>
      <c r="G593" s="7">
        <v>-56.37</v>
      </c>
      <c r="H593" s="7">
        <v>0</v>
      </c>
    </row>
    <row r="594" spans="1:8">
      <c r="A594" s="4" t="s">
        <v>239</v>
      </c>
      <c r="B594" s="4" t="s">
        <v>240</v>
      </c>
      <c r="C594" s="4" t="s">
        <v>942</v>
      </c>
      <c r="D594" s="4" t="s">
        <v>1526</v>
      </c>
      <c r="E594" s="6">
        <v>43901</v>
      </c>
      <c r="F594" s="7">
        <v>-100</v>
      </c>
      <c r="G594" s="7">
        <v>-100.26</v>
      </c>
      <c r="H594" s="7">
        <v>0</v>
      </c>
    </row>
    <row r="595" spans="1:8">
      <c r="A595" s="4" t="s">
        <v>239</v>
      </c>
      <c r="B595" s="4" t="s">
        <v>240</v>
      </c>
      <c r="C595" s="4" t="s">
        <v>1527</v>
      </c>
      <c r="D595" s="4" t="s">
        <v>1528</v>
      </c>
      <c r="E595" s="6">
        <v>43901</v>
      </c>
      <c r="F595" s="7">
        <v>-50</v>
      </c>
      <c r="G595" s="7">
        <v>-110.27000000000001</v>
      </c>
      <c r="H595" s="7">
        <v>0</v>
      </c>
    </row>
    <row r="596" spans="1:8">
      <c r="A596" s="4" t="s">
        <v>239</v>
      </c>
      <c r="B596" s="4" t="s">
        <v>240</v>
      </c>
      <c r="C596" s="4" t="s">
        <v>1042</v>
      </c>
      <c r="D596" s="4" t="s">
        <v>1529</v>
      </c>
      <c r="E596" s="6">
        <v>43901</v>
      </c>
      <c r="F596" s="7">
        <v>-50</v>
      </c>
      <c r="G596" s="7">
        <v>-31.86</v>
      </c>
      <c r="H596" s="7">
        <v>0</v>
      </c>
    </row>
    <row r="597" spans="1:8">
      <c r="A597" s="4" t="s">
        <v>239</v>
      </c>
      <c r="B597" s="4" t="s">
        <v>240</v>
      </c>
      <c r="C597" s="4" t="s">
        <v>1530</v>
      </c>
      <c r="D597" s="4" t="s">
        <v>1531</v>
      </c>
      <c r="E597" s="6">
        <v>43901</v>
      </c>
      <c r="F597" s="7">
        <v>-50</v>
      </c>
      <c r="G597" s="7">
        <v>-72.81</v>
      </c>
      <c r="H597" s="7">
        <v>0</v>
      </c>
    </row>
    <row r="598" spans="1:8">
      <c r="A598" s="4" t="s">
        <v>239</v>
      </c>
      <c r="B598" s="4" t="s">
        <v>240</v>
      </c>
      <c r="C598" s="4" t="s">
        <v>1146</v>
      </c>
      <c r="D598" s="4" t="s">
        <v>1532</v>
      </c>
      <c r="E598" s="6">
        <v>43901</v>
      </c>
      <c r="F598" s="7">
        <v>-50</v>
      </c>
      <c r="G598" s="7">
        <v>-40.119999999999997</v>
      </c>
      <c r="H598" s="7">
        <v>-0.01</v>
      </c>
    </row>
    <row r="599" spans="1:8">
      <c r="A599" s="4" t="s">
        <v>239</v>
      </c>
      <c r="B599" s="4" t="s">
        <v>240</v>
      </c>
      <c r="C599" s="4" t="s">
        <v>1165</v>
      </c>
      <c r="D599" s="4" t="s">
        <v>1533</v>
      </c>
      <c r="E599" s="6">
        <v>43901</v>
      </c>
      <c r="F599" s="7">
        <v>-50</v>
      </c>
      <c r="G599" s="7">
        <v>-45.28</v>
      </c>
      <c r="H599" s="7">
        <v>0.01</v>
      </c>
    </row>
    <row r="600" spans="1:8">
      <c r="A600" s="4" t="s">
        <v>239</v>
      </c>
      <c r="B600" s="4" t="s">
        <v>240</v>
      </c>
      <c r="C600" s="4" t="s">
        <v>885</v>
      </c>
      <c r="D600" s="4" t="s">
        <v>1534</v>
      </c>
      <c r="E600" s="6">
        <v>43901</v>
      </c>
      <c r="F600" s="7">
        <v>-50</v>
      </c>
      <c r="G600" s="7">
        <v>-216.70999999999998</v>
      </c>
      <c r="H600" s="7">
        <v>0</v>
      </c>
    </row>
    <row r="601" spans="1:8">
      <c r="A601" s="4" t="s">
        <v>239</v>
      </c>
      <c r="B601" s="4" t="s">
        <v>240</v>
      </c>
      <c r="C601" s="4" t="s">
        <v>1032</v>
      </c>
      <c r="D601" s="4" t="s">
        <v>1535</v>
      </c>
      <c r="E601" s="6">
        <v>43901</v>
      </c>
      <c r="F601" s="7">
        <v>-50</v>
      </c>
      <c r="G601" s="7">
        <v>-111</v>
      </c>
      <c r="H601" s="7">
        <v>0</v>
      </c>
    </row>
    <row r="602" spans="1:8">
      <c r="A602" s="4" t="s">
        <v>239</v>
      </c>
      <c r="B602" s="4" t="s">
        <v>240</v>
      </c>
      <c r="C602" s="4" t="s">
        <v>784</v>
      </c>
      <c r="D602" s="4" t="s">
        <v>1536</v>
      </c>
      <c r="E602" s="6">
        <v>43901</v>
      </c>
      <c r="F602" s="7">
        <v>-1</v>
      </c>
      <c r="G602" s="7">
        <v>0</v>
      </c>
      <c r="H602" s="7">
        <v>0</v>
      </c>
    </row>
    <row r="603" spans="1:8">
      <c r="A603" s="4" t="s">
        <v>227</v>
      </c>
      <c r="B603" s="4" t="s">
        <v>228</v>
      </c>
      <c r="C603" s="4" t="s">
        <v>1537</v>
      </c>
      <c r="D603" s="4" t="s">
        <v>1538</v>
      </c>
      <c r="E603" s="6">
        <v>43900</v>
      </c>
      <c r="F603" s="7">
        <v>-1</v>
      </c>
      <c r="G603" s="7">
        <v>-5.89</v>
      </c>
      <c r="H603" s="7">
        <v>0</v>
      </c>
    </row>
    <row r="604" spans="1:8">
      <c r="A604" s="4" t="s">
        <v>227</v>
      </c>
      <c r="B604" s="4" t="s">
        <v>228</v>
      </c>
      <c r="C604" s="4" t="s">
        <v>784</v>
      </c>
      <c r="D604" s="4" t="s">
        <v>1539</v>
      </c>
      <c r="E604" s="6">
        <v>43900</v>
      </c>
      <c r="F604" s="7">
        <v>-1</v>
      </c>
      <c r="G604" s="7">
        <v>0</v>
      </c>
      <c r="H604" s="7">
        <v>0</v>
      </c>
    </row>
    <row r="605" spans="1:8">
      <c r="A605" s="4" t="s">
        <v>272</v>
      </c>
      <c r="B605" s="4" t="s">
        <v>273</v>
      </c>
      <c r="C605" s="4" t="s">
        <v>826</v>
      </c>
      <c r="D605" s="4" t="s">
        <v>1540</v>
      </c>
      <c r="E605" s="6">
        <v>43917</v>
      </c>
      <c r="F605" s="7">
        <v>-1</v>
      </c>
      <c r="G605" s="7">
        <v>-87.24</v>
      </c>
      <c r="H605" s="7">
        <v>0</v>
      </c>
    </row>
    <row r="606" spans="1:8">
      <c r="A606" s="4" t="s">
        <v>272</v>
      </c>
      <c r="B606" s="4" t="s">
        <v>273</v>
      </c>
      <c r="C606" s="4" t="s">
        <v>840</v>
      </c>
      <c r="D606" s="4" t="s">
        <v>1541</v>
      </c>
      <c r="E606" s="6">
        <v>43917</v>
      </c>
      <c r="F606" s="7">
        <v>-1</v>
      </c>
      <c r="G606" s="7">
        <v>0</v>
      </c>
      <c r="H606" s="7">
        <v>0</v>
      </c>
    </row>
    <row r="607" spans="1:8">
      <c r="A607" s="4" t="s">
        <v>272</v>
      </c>
      <c r="B607" s="4" t="s">
        <v>273</v>
      </c>
      <c r="C607" s="4" t="s">
        <v>784</v>
      </c>
      <c r="D607" s="4" t="s">
        <v>1542</v>
      </c>
      <c r="E607" s="6">
        <v>43917</v>
      </c>
      <c r="F607" s="7">
        <v>-1</v>
      </c>
      <c r="G607" s="7">
        <v>0</v>
      </c>
      <c r="H607" s="7">
        <v>0</v>
      </c>
    </row>
    <row r="608" spans="1:8">
      <c r="A608" s="4" t="s">
        <v>395</v>
      </c>
      <c r="B608" s="4" t="s">
        <v>396</v>
      </c>
      <c r="C608" s="4" t="s">
        <v>786</v>
      </c>
      <c r="D608" s="4" t="s">
        <v>1543</v>
      </c>
      <c r="E608" s="6">
        <v>43970</v>
      </c>
      <c r="F608" s="7">
        <v>-2000</v>
      </c>
      <c r="G608" s="7">
        <v>-1314.19</v>
      </c>
      <c r="H608" s="7">
        <v>0</v>
      </c>
    </row>
    <row r="609" spans="1:8">
      <c r="A609" s="4" t="s">
        <v>395</v>
      </c>
      <c r="B609" s="4" t="s">
        <v>396</v>
      </c>
      <c r="C609" s="4" t="s">
        <v>799</v>
      </c>
      <c r="D609" s="4" t="s">
        <v>1544</v>
      </c>
      <c r="E609" s="6">
        <v>43970</v>
      </c>
      <c r="F609" s="7">
        <v>-1000</v>
      </c>
      <c r="G609" s="7">
        <v>-750.97</v>
      </c>
      <c r="H609" s="7">
        <v>0</v>
      </c>
    </row>
    <row r="610" spans="1:8">
      <c r="A610" s="4" t="s">
        <v>395</v>
      </c>
      <c r="B610" s="4" t="s">
        <v>396</v>
      </c>
      <c r="C610" s="4" t="s">
        <v>784</v>
      </c>
      <c r="D610" s="4" t="s">
        <v>1545</v>
      </c>
      <c r="E610" s="6">
        <v>43970</v>
      </c>
      <c r="F610" s="7">
        <v>-1</v>
      </c>
      <c r="G610" s="7">
        <v>0</v>
      </c>
      <c r="H610" s="7">
        <v>0</v>
      </c>
    </row>
    <row r="611" spans="1:8">
      <c r="A611" s="4" t="s">
        <v>397</v>
      </c>
      <c r="B611" s="4" t="s">
        <v>398</v>
      </c>
      <c r="C611" s="4" t="s">
        <v>786</v>
      </c>
      <c r="D611" s="4" t="s">
        <v>1546</v>
      </c>
      <c r="E611" s="6">
        <v>43970</v>
      </c>
      <c r="F611" s="7">
        <v>-4500</v>
      </c>
      <c r="G611" s="7">
        <v>-2956.94</v>
      </c>
      <c r="H611" s="7">
        <v>0</v>
      </c>
    </row>
    <row r="612" spans="1:8">
      <c r="A612" s="4" t="s">
        <v>397</v>
      </c>
      <c r="B612" s="4" t="s">
        <v>398</v>
      </c>
      <c r="C612" s="4" t="s">
        <v>799</v>
      </c>
      <c r="D612" s="4" t="s">
        <v>1547</v>
      </c>
      <c r="E612" s="6">
        <v>43970</v>
      </c>
      <c r="F612" s="7">
        <v>-750</v>
      </c>
      <c r="G612" s="7">
        <v>-563.23</v>
      </c>
      <c r="H612" s="7">
        <v>0.01</v>
      </c>
    </row>
    <row r="613" spans="1:8">
      <c r="A613" s="4" t="s">
        <v>397</v>
      </c>
      <c r="B613" s="4" t="s">
        <v>398</v>
      </c>
      <c r="C613" s="4" t="s">
        <v>801</v>
      </c>
      <c r="D613" s="4" t="s">
        <v>1548</v>
      </c>
      <c r="E613" s="6">
        <v>43970</v>
      </c>
      <c r="F613" s="7">
        <v>-750</v>
      </c>
      <c r="G613" s="7">
        <v>-633.63</v>
      </c>
      <c r="H613" s="7">
        <v>0</v>
      </c>
    </row>
    <row r="614" spans="1:8">
      <c r="A614" s="4" t="s">
        <v>397</v>
      </c>
      <c r="B614" s="4" t="s">
        <v>398</v>
      </c>
      <c r="C614" s="4" t="s">
        <v>784</v>
      </c>
      <c r="D614" s="4" t="s">
        <v>1549</v>
      </c>
      <c r="E614" s="6">
        <v>43970</v>
      </c>
      <c r="F614" s="7">
        <v>-1</v>
      </c>
      <c r="G614" s="7">
        <v>0</v>
      </c>
      <c r="H614" s="7">
        <v>0</v>
      </c>
    </row>
    <row r="615" spans="1:8">
      <c r="A615" s="4" t="s">
        <v>223</v>
      </c>
      <c r="B615" s="4" t="s">
        <v>224</v>
      </c>
      <c r="C615" s="4" t="s">
        <v>1364</v>
      </c>
      <c r="D615" s="4" t="s">
        <v>1550</v>
      </c>
      <c r="E615" s="6">
        <v>43900</v>
      </c>
      <c r="F615" s="7">
        <v>-18</v>
      </c>
      <c r="G615" s="7">
        <v>-50.56</v>
      </c>
      <c r="H615" s="7">
        <v>-0.01</v>
      </c>
    </row>
    <row r="616" spans="1:8">
      <c r="A616" s="4" t="s">
        <v>223</v>
      </c>
      <c r="B616" s="4" t="s">
        <v>224</v>
      </c>
      <c r="C616" s="4" t="s">
        <v>784</v>
      </c>
      <c r="D616" s="4" t="s">
        <v>1551</v>
      </c>
      <c r="E616" s="6">
        <v>43900</v>
      </c>
      <c r="F616" s="7">
        <v>-1</v>
      </c>
      <c r="G616" s="7">
        <v>0</v>
      </c>
      <c r="H616" s="7">
        <v>0</v>
      </c>
    </row>
    <row r="617" spans="1:8">
      <c r="A617" s="4" t="s">
        <v>237</v>
      </c>
      <c r="B617" s="4" t="s">
        <v>238</v>
      </c>
      <c r="C617" s="4" t="s">
        <v>1126</v>
      </c>
      <c r="D617" s="4" t="s">
        <v>1552</v>
      </c>
      <c r="E617" s="6">
        <v>43901</v>
      </c>
      <c r="F617" s="7">
        <v>-1</v>
      </c>
      <c r="G617" s="7">
        <v>-1.4</v>
      </c>
      <c r="H617" s="7">
        <v>0</v>
      </c>
    </row>
    <row r="618" spans="1:8">
      <c r="A618" s="4" t="s">
        <v>237</v>
      </c>
      <c r="B618" s="4" t="s">
        <v>238</v>
      </c>
      <c r="C618" s="4" t="s">
        <v>979</v>
      </c>
      <c r="D618" s="4" t="s">
        <v>1553</v>
      </c>
      <c r="E618" s="6">
        <v>43901</v>
      </c>
      <c r="F618" s="7">
        <v>-2</v>
      </c>
      <c r="G618" s="7">
        <v>-2.5</v>
      </c>
      <c r="H618" s="7">
        <v>0</v>
      </c>
    </row>
    <row r="619" spans="1:8">
      <c r="A619" s="4" t="s">
        <v>237</v>
      </c>
      <c r="B619" s="4" t="s">
        <v>238</v>
      </c>
      <c r="C619" s="4" t="s">
        <v>784</v>
      </c>
      <c r="D619" s="4" t="s">
        <v>1554</v>
      </c>
      <c r="E619" s="6">
        <v>43901</v>
      </c>
      <c r="F619" s="7">
        <v>-1</v>
      </c>
      <c r="G619" s="7">
        <v>0</v>
      </c>
      <c r="H619" s="7">
        <v>0</v>
      </c>
    </row>
    <row r="620" spans="1:8">
      <c r="A620" s="4" t="s">
        <v>302</v>
      </c>
      <c r="B620" s="4" t="s">
        <v>303</v>
      </c>
      <c r="C620" s="4" t="s">
        <v>1236</v>
      </c>
      <c r="D620" s="4" t="s">
        <v>1555</v>
      </c>
      <c r="E620" s="6">
        <v>43924</v>
      </c>
      <c r="F620" s="7">
        <v>-1</v>
      </c>
      <c r="G620" s="7">
        <v>0</v>
      </c>
      <c r="H620" s="7">
        <v>0</v>
      </c>
    </row>
    <row r="621" spans="1:8">
      <c r="A621" s="4" t="s">
        <v>302</v>
      </c>
      <c r="B621" s="4" t="s">
        <v>303</v>
      </c>
      <c r="C621" s="4" t="s">
        <v>784</v>
      </c>
      <c r="D621" s="4" t="s">
        <v>1556</v>
      </c>
      <c r="E621" s="6">
        <v>43924</v>
      </c>
      <c r="F621" s="7">
        <v>-1</v>
      </c>
      <c r="G621" s="7">
        <v>0</v>
      </c>
      <c r="H621" s="7">
        <v>0</v>
      </c>
    </row>
    <row r="622" spans="1:8">
      <c r="A622" s="4" t="s">
        <v>247</v>
      </c>
      <c r="B622" s="4" t="s">
        <v>248</v>
      </c>
      <c r="C622" s="4" t="s">
        <v>916</v>
      </c>
      <c r="D622" s="4" t="s">
        <v>1557</v>
      </c>
      <c r="E622" s="6">
        <v>43903</v>
      </c>
      <c r="F622" s="7">
        <v>-500</v>
      </c>
      <c r="G622" s="7">
        <v>-187.9</v>
      </c>
      <c r="H622" s="7">
        <v>0</v>
      </c>
    </row>
    <row r="623" spans="1:8">
      <c r="A623" s="4" t="s">
        <v>247</v>
      </c>
      <c r="B623" s="4" t="s">
        <v>248</v>
      </c>
      <c r="C623" s="4" t="s">
        <v>887</v>
      </c>
      <c r="D623" s="4" t="s">
        <v>1558</v>
      </c>
      <c r="E623" s="6">
        <v>43903</v>
      </c>
      <c r="F623" s="7">
        <v>-400</v>
      </c>
      <c r="G623" s="7">
        <v>-163.57</v>
      </c>
      <c r="H623" s="7">
        <v>-0.01</v>
      </c>
    </row>
    <row r="624" spans="1:8">
      <c r="A624" s="4" t="s">
        <v>247</v>
      </c>
      <c r="B624" s="4" t="s">
        <v>248</v>
      </c>
      <c r="C624" s="4" t="s">
        <v>889</v>
      </c>
      <c r="D624" s="4" t="s">
        <v>1559</v>
      </c>
      <c r="E624" s="6">
        <v>43903</v>
      </c>
      <c r="F624" s="7">
        <v>-200</v>
      </c>
      <c r="G624" s="7">
        <v>-89.34</v>
      </c>
      <c r="H624" s="7">
        <v>0</v>
      </c>
    </row>
    <row r="625" spans="1:8">
      <c r="A625" s="4" t="s">
        <v>247</v>
      </c>
      <c r="B625" s="4" t="s">
        <v>248</v>
      </c>
      <c r="C625" s="4" t="s">
        <v>784</v>
      </c>
      <c r="D625" s="4" t="s">
        <v>1560</v>
      </c>
      <c r="E625" s="6">
        <v>43903</v>
      </c>
      <c r="F625" s="7">
        <v>-1</v>
      </c>
      <c r="G625" s="7">
        <v>0</v>
      </c>
      <c r="H625" s="7">
        <v>0</v>
      </c>
    </row>
    <row r="626" spans="1:8">
      <c r="A626" s="4" t="s">
        <v>253</v>
      </c>
      <c r="B626" s="4" t="s">
        <v>254</v>
      </c>
      <c r="C626" s="4" t="s">
        <v>1561</v>
      </c>
      <c r="D626" s="4" t="s">
        <v>1562</v>
      </c>
      <c r="E626" s="6">
        <v>43907</v>
      </c>
      <c r="F626" s="7">
        <v>-200</v>
      </c>
      <c r="G626" s="7">
        <v>-69.430000000000007</v>
      </c>
      <c r="H626" s="7">
        <v>0</v>
      </c>
    </row>
    <row r="627" spans="1:8">
      <c r="A627" s="4" t="s">
        <v>253</v>
      </c>
      <c r="B627" s="4" t="s">
        <v>254</v>
      </c>
      <c r="C627" s="4" t="s">
        <v>1131</v>
      </c>
      <c r="D627" s="4" t="s">
        <v>1563</v>
      </c>
      <c r="E627" s="6">
        <v>43907</v>
      </c>
      <c r="F627" s="7">
        <v>-200</v>
      </c>
      <c r="G627" s="7">
        <v>-35.299999999999997</v>
      </c>
      <c r="H627" s="7">
        <v>0</v>
      </c>
    </row>
    <row r="628" spans="1:8">
      <c r="A628" s="4" t="s">
        <v>253</v>
      </c>
      <c r="B628" s="4" t="s">
        <v>254</v>
      </c>
      <c r="C628" s="4" t="s">
        <v>784</v>
      </c>
      <c r="D628" s="4" t="s">
        <v>1564</v>
      </c>
      <c r="E628" s="6">
        <v>43907</v>
      </c>
      <c r="F628" s="7">
        <v>-1</v>
      </c>
      <c r="G628" s="7">
        <v>0</v>
      </c>
      <c r="H628" s="7">
        <v>0</v>
      </c>
    </row>
    <row r="629" spans="1:8">
      <c r="A629" s="4" t="s">
        <v>264</v>
      </c>
      <c r="B629" s="4" t="s">
        <v>265</v>
      </c>
      <c r="C629" s="4" t="s">
        <v>1565</v>
      </c>
      <c r="D629" s="4" t="s">
        <v>1566</v>
      </c>
      <c r="E629" s="6">
        <v>43910</v>
      </c>
      <c r="F629" s="7">
        <v>-1</v>
      </c>
      <c r="G629" s="7">
        <v>-39.89</v>
      </c>
      <c r="H629" s="7">
        <v>0</v>
      </c>
    </row>
    <row r="630" spans="1:8">
      <c r="A630" s="4" t="s">
        <v>264</v>
      </c>
      <c r="B630" s="4" t="s">
        <v>265</v>
      </c>
      <c r="C630" s="4" t="s">
        <v>1565</v>
      </c>
      <c r="D630" s="4" t="s">
        <v>1566</v>
      </c>
      <c r="E630" s="6">
        <v>43910</v>
      </c>
      <c r="F630" s="7">
        <v>-1</v>
      </c>
      <c r="G630" s="7">
        <v>-39.89</v>
      </c>
      <c r="H630" s="7">
        <v>0</v>
      </c>
    </row>
    <row r="631" spans="1:8">
      <c r="A631" s="4" t="s">
        <v>264</v>
      </c>
      <c r="B631" s="4" t="s">
        <v>265</v>
      </c>
      <c r="C631" s="4" t="s">
        <v>1567</v>
      </c>
      <c r="D631" s="4" t="s">
        <v>1568</v>
      </c>
      <c r="E631" s="6">
        <v>43910</v>
      </c>
      <c r="F631" s="7">
        <v>-1</v>
      </c>
      <c r="G631" s="7">
        <v>-74.489999999999995</v>
      </c>
      <c r="H631" s="7">
        <v>0</v>
      </c>
    </row>
    <row r="632" spans="1:8">
      <c r="A632" s="4" t="s">
        <v>264</v>
      </c>
      <c r="B632" s="4" t="s">
        <v>265</v>
      </c>
      <c r="C632" s="4" t="s">
        <v>784</v>
      </c>
      <c r="D632" s="4" t="s">
        <v>1569</v>
      </c>
      <c r="E632" s="6">
        <v>43910</v>
      </c>
      <c r="F632" s="7">
        <v>-1</v>
      </c>
      <c r="G632" s="7">
        <v>0</v>
      </c>
      <c r="H632" s="7">
        <v>0</v>
      </c>
    </row>
    <row r="633" spans="1:8">
      <c r="A633" s="4" t="s">
        <v>337</v>
      </c>
      <c r="B633" s="4" t="s">
        <v>338</v>
      </c>
      <c r="C633" s="4" t="s">
        <v>1035</v>
      </c>
      <c r="D633" s="4" t="s">
        <v>1570</v>
      </c>
      <c r="E633" s="6">
        <v>43949</v>
      </c>
      <c r="F633" s="7">
        <v>-3434</v>
      </c>
      <c r="G633" s="7">
        <v>-218.69</v>
      </c>
      <c r="H633" s="7">
        <v>0</v>
      </c>
    </row>
    <row r="634" spans="1:8">
      <c r="A634" s="4" t="s">
        <v>337</v>
      </c>
      <c r="B634" s="4" t="s">
        <v>338</v>
      </c>
      <c r="C634" s="4" t="s">
        <v>1035</v>
      </c>
      <c r="D634" s="4" t="s">
        <v>1571</v>
      </c>
      <c r="E634" s="6">
        <v>43949</v>
      </c>
      <c r="F634" s="7">
        <v>-3185</v>
      </c>
      <c r="G634" s="7">
        <v>-202.84</v>
      </c>
      <c r="H634" s="7">
        <v>0</v>
      </c>
    </row>
    <row r="635" spans="1:8">
      <c r="A635" s="4" t="s">
        <v>337</v>
      </c>
      <c r="B635" s="4" t="s">
        <v>338</v>
      </c>
      <c r="C635" s="4" t="s">
        <v>840</v>
      </c>
      <c r="D635" s="4" t="s">
        <v>1572</v>
      </c>
      <c r="E635" s="6">
        <v>43949</v>
      </c>
      <c r="F635" s="7">
        <v>-1</v>
      </c>
      <c r="G635" s="7">
        <v>0</v>
      </c>
      <c r="H635" s="7">
        <v>0</v>
      </c>
    </row>
    <row r="636" spans="1:8">
      <c r="A636" s="4" t="s">
        <v>337</v>
      </c>
      <c r="B636" s="4" t="s">
        <v>338</v>
      </c>
      <c r="C636" s="4" t="s">
        <v>784</v>
      </c>
      <c r="D636" s="4" t="s">
        <v>1573</v>
      </c>
      <c r="E636" s="6">
        <v>43949</v>
      </c>
      <c r="F636" s="7">
        <v>-1</v>
      </c>
      <c r="G636" s="7">
        <v>0</v>
      </c>
      <c r="H636" s="7">
        <v>0</v>
      </c>
    </row>
    <row r="637" spans="1:8">
      <c r="A637" s="4" t="s">
        <v>430</v>
      </c>
      <c r="B637" s="4" t="s">
        <v>431</v>
      </c>
      <c r="C637" s="4" t="s">
        <v>834</v>
      </c>
      <c r="D637" s="4" t="s">
        <v>1574</v>
      </c>
      <c r="E637" s="6">
        <v>43994</v>
      </c>
      <c r="F637" s="7">
        <v>-279</v>
      </c>
      <c r="G637" s="7">
        <v>-1852.84</v>
      </c>
      <c r="H637" s="7">
        <v>0</v>
      </c>
    </row>
    <row r="638" spans="1:8">
      <c r="A638" s="4" t="s">
        <v>430</v>
      </c>
      <c r="B638" s="4" t="s">
        <v>431</v>
      </c>
      <c r="C638" s="4" t="s">
        <v>797</v>
      </c>
      <c r="D638" s="4" t="s">
        <v>1575</v>
      </c>
      <c r="E638" s="6">
        <v>43994</v>
      </c>
      <c r="F638" s="7">
        <v>-1153</v>
      </c>
      <c r="G638" s="7">
        <v>-11380</v>
      </c>
      <c r="H638" s="7">
        <v>0</v>
      </c>
    </row>
    <row r="639" spans="1:8">
      <c r="A639" s="4" t="s">
        <v>430</v>
      </c>
      <c r="B639" s="4" t="s">
        <v>431</v>
      </c>
      <c r="C639" s="4" t="s">
        <v>793</v>
      </c>
      <c r="D639" s="4" t="s">
        <v>1576</v>
      </c>
      <c r="E639" s="6">
        <v>43994</v>
      </c>
      <c r="F639" s="7">
        <v>-750</v>
      </c>
      <c r="G639" s="7">
        <v>-7842.74</v>
      </c>
      <c r="H639" s="7">
        <v>0</v>
      </c>
    </row>
    <row r="640" spans="1:8">
      <c r="A640" s="4" t="s">
        <v>269</v>
      </c>
      <c r="B640" s="4" t="s">
        <v>270</v>
      </c>
      <c r="C640" s="4" t="s">
        <v>1577</v>
      </c>
      <c r="D640" s="4" t="s">
        <v>1578</v>
      </c>
      <c r="E640" s="6">
        <v>43917</v>
      </c>
      <c r="F640" s="7">
        <v>-50</v>
      </c>
      <c r="G640" s="7">
        <v>-34.46</v>
      </c>
      <c r="H640" s="7">
        <v>0</v>
      </c>
    </row>
    <row r="641" spans="1:8">
      <c r="A641" s="4" t="s">
        <v>269</v>
      </c>
      <c r="B641" s="4" t="s">
        <v>270</v>
      </c>
      <c r="C641" s="4" t="s">
        <v>1579</v>
      </c>
      <c r="D641" s="4" t="s">
        <v>1580</v>
      </c>
      <c r="E641" s="6">
        <v>43917</v>
      </c>
      <c r="F641" s="7">
        <v>-50</v>
      </c>
      <c r="G641" s="7">
        <v>-51.84</v>
      </c>
      <c r="H641" s="7">
        <v>0</v>
      </c>
    </row>
    <row r="642" spans="1:8">
      <c r="A642" s="4" t="s">
        <v>269</v>
      </c>
      <c r="B642" s="4" t="s">
        <v>270</v>
      </c>
      <c r="C642" s="4" t="s">
        <v>1581</v>
      </c>
      <c r="D642" s="4" t="s">
        <v>1582</v>
      </c>
      <c r="E642" s="6">
        <v>43917</v>
      </c>
      <c r="F642" s="7">
        <v>-50</v>
      </c>
      <c r="G642" s="7">
        <v>-65.53</v>
      </c>
      <c r="H642" s="7">
        <v>0</v>
      </c>
    </row>
    <row r="643" spans="1:8">
      <c r="A643" s="4" t="s">
        <v>269</v>
      </c>
      <c r="B643" s="4" t="s">
        <v>270</v>
      </c>
      <c r="C643" s="4" t="s">
        <v>881</v>
      </c>
      <c r="D643" s="4" t="s">
        <v>1583</v>
      </c>
      <c r="E643" s="6">
        <v>43917</v>
      </c>
      <c r="F643" s="7">
        <v>-50</v>
      </c>
      <c r="G643" s="7">
        <v>-87.74</v>
      </c>
      <c r="H643" s="7">
        <v>0</v>
      </c>
    </row>
    <row r="644" spans="1:8">
      <c r="A644" s="4" t="s">
        <v>269</v>
      </c>
      <c r="B644" s="4" t="s">
        <v>270</v>
      </c>
      <c r="C644" s="4" t="s">
        <v>1439</v>
      </c>
      <c r="D644" s="4" t="s">
        <v>1584</v>
      </c>
      <c r="E644" s="6">
        <v>43917</v>
      </c>
      <c r="F644" s="7">
        <v>-100</v>
      </c>
      <c r="G644" s="7">
        <v>-200.52</v>
      </c>
      <c r="H644" s="7">
        <v>0</v>
      </c>
    </row>
    <row r="645" spans="1:8">
      <c r="A645" s="4" t="s">
        <v>269</v>
      </c>
      <c r="B645" s="4" t="s">
        <v>270</v>
      </c>
      <c r="C645" s="4" t="s">
        <v>1232</v>
      </c>
      <c r="D645" s="4" t="s">
        <v>1585</v>
      </c>
      <c r="E645" s="6">
        <v>43917</v>
      </c>
      <c r="F645" s="7">
        <v>-50</v>
      </c>
      <c r="G645" s="7">
        <v>-228.85</v>
      </c>
      <c r="H645" s="7">
        <v>0</v>
      </c>
    </row>
    <row r="646" spans="1:8">
      <c r="A646" s="4" t="s">
        <v>269</v>
      </c>
      <c r="B646" s="4" t="s">
        <v>270</v>
      </c>
      <c r="C646" s="4" t="s">
        <v>1005</v>
      </c>
      <c r="D646" s="4" t="s">
        <v>1586</v>
      </c>
      <c r="E646" s="6">
        <v>43917</v>
      </c>
      <c r="F646" s="7">
        <v>-200</v>
      </c>
      <c r="G646" s="7">
        <v>-148.97999999999999</v>
      </c>
      <c r="H646" s="7">
        <v>0</v>
      </c>
    </row>
    <row r="647" spans="1:8">
      <c r="A647" s="4" t="s">
        <v>269</v>
      </c>
      <c r="B647" s="4" t="s">
        <v>270</v>
      </c>
      <c r="C647" s="4" t="s">
        <v>1026</v>
      </c>
      <c r="D647" s="4" t="s">
        <v>1587</v>
      </c>
      <c r="E647" s="6">
        <v>43917</v>
      </c>
      <c r="F647" s="7">
        <v>-200</v>
      </c>
      <c r="G647" s="7">
        <v>-136.87</v>
      </c>
      <c r="H647" s="7">
        <v>0</v>
      </c>
    </row>
    <row r="648" spans="1:8">
      <c r="A648" s="4" t="s">
        <v>269</v>
      </c>
      <c r="B648" s="4" t="s">
        <v>270</v>
      </c>
      <c r="C648" s="4" t="s">
        <v>989</v>
      </c>
      <c r="D648" s="4" t="s">
        <v>1588</v>
      </c>
      <c r="E648" s="6">
        <v>43917</v>
      </c>
      <c r="F648" s="7">
        <v>-50</v>
      </c>
      <c r="G648" s="7">
        <v>-78.14</v>
      </c>
      <c r="H648" s="7">
        <v>0.01</v>
      </c>
    </row>
    <row r="649" spans="1:8">
      <c r="A649" s="4" t="s">
        <v>269</v>
      </c>
      <c r="B649" s="4" t="s">
        <v>270</v>
      </c>
      <c r="C649" s="4" t="s">
        <v>784</v>
      </c>
      <c r="D649" s="4" t="s">
        <v>1589</v>
      </c>
      <c r="E649" s="6">
        <v>43917</v>
      </c>
      <c r="F649" s="7">
        <v>-1</v>
      </c>
      <c r="G649" s="7">
        <v>0</v>
      </c>
      <c r="H649" s="7">
        <v>0</v>
      </c>
    </row>
    <row r="650" spans="1:8">
      <c r="A650" s="4" t="s">
        <v>297</v>
      </c>
      <c r="B650" s="4" t="s">
        <v>298</v>
      </c>
      <c r="C650" s="4" t="s">
        <v>1086</v>
      </c>
      <c r="D650" s="4" t="s">
        <v>1590</v>
      </c>
      <c r="E650" s="6">
        <v>43924</v>
      </c>
      <c r="F650" s="7">
        <v>-1000</v>
      </c>
      <c r="G650" s="7">
        <v>-73.25</v>
      </c>
      <c r="H650" s="7">
        <v>0</v>
      </c>
    </row>
    <row r="651" spans="1:8">
      <c r="A651" s="4" t="s">
        <v>297</v>
      </c>
      <c r="B651" s="4" t="s">
        <v>298</v>
      </c>
      <c r="C651" s="4" t="s">
        <v>784</v>
      </c>
      <c r="D651" s="4" t="s">
        <v>1591</v>
      </c>
      <c r="E651" s="6">
        <v>43924</v>
      </c>
      <c r="F651" s="7">
        <v>-1</v>
      </c>
      <c r="G651" s="7">
        <v>0</v>
      </c>
      <c r="H651" s="7">
        <v>0</v>
      </c>
    </row>
    <row r="652" spans="1:8">
      <c r="A652" s="4" t="s">
        <v>260</v>
      </c>
      <c r="B652" s="4" t="s">
        <v>261</v>
      </c>
      <c r="C652" s="4" t="s">
        <v>1129</v>
      </c>
      <c r="D652" s="4" t="s">
        <v>1592</v>
      </c>
      <c r="E652" s="6">
        <v>43910</v>
      </c>
      <c r="F652" s="7">
        <v>-20</v>
      </c>
      <c r="G652" s="7">
        <v>-3.6</v>
      </c>
      <c r="H652" s="7">
        <v>-0.01</v>
      </c>
    </row>
    <row r="653" spans="1:8">
      <c r="A653" s="4" t="s">
        <v>260</v>
      </c>
      <c r="B653" s="4" t="s">
        <v>261</v>
      </c>
      <c r="C653" s="4" t="s">
        <v>1135</v>
      </c>
      <c r="D653" s="4" t="s">
        <v>1593</v>
      </c>
      <c r="E653" s="6">
        <v>43910</v>
      </c>
      <c r="F653" s="7">
        <v>-200</v>
      </c>
      <c r="G653" s="7">
        <v>-47.37</v>
      </c>
      <c r="H653" s="7">
        <v>0.01</v>
      </c>
    </row>
    <row r="654" spans="1:8">
      <c r="A654" s="4" t="s">
        <v>260</v>
      </c>
      <c r="B654" s="4" t="s">
        <v>271</v>
      </c>
      <c r="C654" s="4" t="s">
        <v>1137</v>
      </c>
      <c r="D654" s="4" t="s">
        <v>1594</v>
      </c>
      <c r="E654" s="6">
        <v>43917</v>
      </c>
      <c r="F654" s="7">
        <v>-400</v>
      </c>
      <c r="G654" s="7">
        <v>-112.74000000000001</v>
      </c>
      <c r="H654" s="7">
        <v>0</v>
      </c>
    </row>
    <row r="655" spans="1:8">
      <c r="A655" s="4" t="s">
        <v>260</v>
      </c>
      <c r="B655" s="4" t="s">
        <v>261</v>
      </c>
      <c r="C655" s="4" t="s">
        <v>940</v>
      </c>
      <c r="D655" s="4" t="s">
        <v>1595</v>
      </c>
      <c r="E655" s="6">
        <v>43910</v>
      </c>
      <c r="F655" s="7">
        <v>-100</v>
      </c>
      <c r="G655" s="7">
        <v>-56.37</v>
      </c>
      <c r="H655" s="7">
        <v>0</v>
      </c>
    </row>
    <row r="656" spans="1:8">
      <c r="A656" s="4" t="s">
        <v>260</v>
      </c>
      <c r="B656" s="4" t="s">
        <v>261</v>
      </c>
      <c r="C656" s="4" t="s">
        <v>1325</v>
      </c>
      <c r="D656" s="4" t="s">
        <v>1596</v>
      </c>
      <c r="E656" s="6">
        <v>43910</v>
      </c>
      <c r="F656" s="7">
        <v>-100</v>
      </c>
      <c r="G656" s="7">
        <v>-50.13</v>
      </c>
      <c r="H656" s="7">
        <v>0</v>
      </c>
    </row>
    <row r="657" spans="1:8">
      <c r="A657" s="4" t="s">
        <v>260</v>
      </c>
      <c r="B657" s="4" t="s">
        <v>261</v>
      </c>
      <c r="C657" s="4" t="s">
        <v>1139</v>
      </c>
      <c r="D657" s="4" t="s">
        <v>1597</v>
      </c>
      <c r="E657" s="6">
        <v>43910</v>
      </c>
      <c r="F657" s="7">
        <v>-100</v>
      </c>
      <c r="G657" s="7">
        <v>-62.39</v>
      </c>
      <c r="H657" s="7">
        <v>0</v>
      </c>
    </row>
    <row r="658" spans="1:8">
      <c r="A658" s="4" t="s">
        <v>260</v>
      </c>
      <c r="B658" s="4" t="s">
        <v>261</v>
      </c>
      <c r="C658" s="4" t="s">
        <v>1598</v>
      </c>
      <c r="D658" s="4" t="s">
        <v>1599</v>
      </c>
      <c r="E658" s="6">
        <v>43910</v>
      </c>
      <c r="F658" s="7">
        <v>-50</v>
      </c>
      <c r="G658" s="7">
        <v>-23.47</v>
      </c>
      <c r="H658" s="7">
        <v>0</v>
      </c>
    </row>
    <row r="659" spans="1:8">
      <c r="A659" s="4" t="s">
        <v>260</v>
      </c>
      <c r="B659" s="4" t="s">
        <v>261</v>
      </c>
      <c r="C659" s="4" t="s">
        <v>1600</v>
      </c>
      <c r="D659" s="4" t="s">
        <v>1601</v>
      </c>
      <c r="E659" s="6">
        <v>43910</v>
      </c>
      <c r="F659" s="7">
        <v>-100</v>
      </c>
      <c r="G659" s="7">
        <v>-76.83</v>
      </c>
      <c r="H659" s="7">
        <v>-0.01</v>
      </c>
    </row>
    <row r="660" spans="1:8">
      <c r="A660" s="4" t="s">
        <v>260</v>
      </c>
      <c r="B660" s="4" t="s">
        <v>261</v>
      </c>
      <c r="C660" s="4" t="s">
        <v>851</v>
      </c>
      <c r="D660" s="4" t="s">
        <v>1602</v>
      </c>
      <c r="E660" s="6">
        <v>43910</v>
      </c>
      <c r="F660" s="7">
        <v>-100</v>
      </c>
      <c r="G660" s="7">
        <v>-153.67000000000002</v>
      </c>
      <c r="H660" s="7">
        <v>0</v>
      </c>
    </row>
    <row r="661" spans="1:8">
      <c r="A661" s="4" t="s">
        <v>260</v>
      </c>
      <c r="B661" s="4" t="s">
        <v>261</v>
      </c>
      <c r="C661" s="4" t="s">
        <v>784</v>
      </c>
      <c r="D661" s="4" t="s">
        <v>1603</v>
      </c>
      <c r="E661" s="6">
        <v>43910</v>
      </c>
      <c r="F661" s="7">
        <v>-1</v>
      </c>
      <c r="G661" s="7">
        <v>0</v>
      </c>
      <c r="H661" s="7">
        <v>0</v>
      </c>
    </row>
    <row r="662" spans="1:8">
      <c r="A662" s="4" t="s">
        <v>260</v>
      </c>
      <c r="B662" s="4" t="s">
        <v>262</v>
      </c>
      <c r="C662" s="4" t="s">
        <v>964</v>
      </c>
      <c r="D662" s="4" t="s">
        <v>1604</v>
      </c>
      <c r="E662" s="6">
        <v>43910</v>
      </c>
      <c r="F662" s="7">
        <v>-50</v>
      </c>
      <c r="G662" s="7">
        <v>-41.05</v>
      </c>
      <c r="H662" s="7">
        <v>0</v>
      </c>
    </row>
    <row r="663" spans="1:8">
      <c r="A663" s="4" t="s">
        <v>285</v>
      </c>
      <c r="B663" s="4" t="s">
        <v>286</v>
      </c>
      <c r="C663" s="4" t="s">
        <v>1605</v>
      </c>
      <c r="D663" s="4" t="s">
        <v>1606</v>
      </c>
      <c r="E663" s="6">
        <v>43921</v>
      </c>
      <c r="F663" s="7">
        <v>-10</v>
      </c>
      <c r="G663" s="7">
        <v>-15.08</v>
      </c>
      <c r="H663" s="7">
        <v>0</v>
      </c>
    </row>
    <row r="664" spans="1:8">
      <c r="A664" s="4" t="s">
        <v>285</v>
      </c>
      <c r="B664" s="4" t="s">
        <v>286</v>
      </c>
      <c r="C664" s="4" t="s">
        <v>1161</v>
      </c>
      <c r="D664" s="4" t="s">
        <v>1607</v>
      </c>
      <c r="E664" s="6">
        <v>43921</v>
      </c>
      <c r="F664" s="7">
        <v>-6</v>
      </c>
      <c r="G664" s="7">
        <v>-18.09</v>
      </c>
      <c r="H664" s="7">
        <v>-0.01</v>
      </c>
    </row>
    <row r="665" spans="1:8">
      <c r="A665" s="4" t="s">
        <v>285</v>
      </c>
      <c r="B665" s="4" t="s">
        <v>286</v>
      </c>
      <c r="C665" s="4" t="s">
        <v>840</v>
      </c>
      <c r="D665" s="4" t="s">
        <v>1608</v>
      </c>
      <c r="E665" s="6">
        <v>43921</v>
      </c>
      <c r="F665" s="7">
        <v>-1</v>
      </c>
      <c r="G665" s="7">
        <v>0</v>
      </c>
      <c r="H665" s="7">
        <v>0</v>
      </c>
    </row>
    <row r="666" spans="1:8">
      <c r="A666" s="4" t="s">
        <v>285</v>
      </c>
      <c r="B666" s="4" t="s">
        <v>286</v>
      </c>
      <c r="C666" s="4" t="s">
        <v>784</v>
      </c>
      <c r="D666" s="4" t="s">
        <v>1609</v>
      </c>
      <c r="E666" s="6">
        <v>43921</v>
      </c>
      <c r="F666" s="7">
        <v>-1</v>
      </c>
      <c r="G666" s="7">
        <v>0</v>
      </c>
      <c r="H666" s="7">
        <v>0</v>
      </c>
    </row>
    <row r="667" spans="1:8">
      <c r="A667" s="4" t="s">
        <v>290</v>
      </c>
      <c r="B667" s="4" t="s">
        <v>291</v>
      </c>
      <c r="C667" s="4" t="s">
        <v>817</v>
      </c>
      <c r="D667" s="4" t="s">
        <v>1610</v>
      </c>
      <c r="E667" s="6">
        <v>43921</v>
      </c>
      <c r="F667" s="7">
        <v>-250</v>
      </c>
      <c r="G667" s="7">
        <v>-236.83</v>
      </c>
      <c r="H667" s="7">
        <v>0</v>
      </c>
    </row>
    <row r="668" spans="1:8">
      <c r="A668" s="4" t="s">
        <v>290</v>
      </c>
      <c r="B668" s="4" t="s">
        <v>291</v>
      </c>
      <c r="C668" s="4" t="s">
        <v>1109</v>
      </c>
      <c r="D668" s="4" t="s">
        <v>1611</v>
      </c>
      <c r="E668" s="6">
        <v>43921</v>
      </c>
      <c r="F668" s="7">
        <v>-100</v>
      </c>
      <c r="G668" s="7">
        <v>-312.55</v>
      </c>
      <c r="H668" s="7">
        <v>0</v>
      </c>
    </row>
    <row r="669" spans="1:8">
      <c r="A669" s="4" t="s">
        <v>290</v>
      </c>
      <c r="B669" s="4" t="s">
        <v>291</v>
      </c>
      <c r="C669" s="4" t="s">
        <v>784</v>
      </c>
      <c r="D669" s="4" t="s">
        <v>1612</v>
      </c>
      <c r="E669" s="6">
        <v>43921</v>
      </c>
      <c r="F669" s="7">
        <v>-1</v>
      </c>
      <c r="G669" s="7">
        <v>0</v>
      </c>
      <c r="H669" s="7">
        <v>0</v>
      </c>
    </row>
    <row r="670" spans="1:8">
      <c r="A670" s="4" t="s">
        <v>280</v>
      </c>
      <c r="B670" s="4" t="s">
        <v>281</v>
      </c>
      <c r="C670" s="4" t="s">
        <v>1126</v>
      </c>
      <c r="D670" s="4" t="s">
        <v>1613</v>
      </c>
      <c r="E670" s="6">
        <v>43921</v>
      </c>
      <c r="F670" s="7">
        <v>-10</v>
      </c>
      <c r="G670" s="7">
        <v>-14.04</v>
      </c>
      <c r="H670" s="7">
        <v>-0.01</v>
      </c>
    </row>
    <row r="671" spans="1:8">
      <c r="A671" s="4" t="s">
        <v>280</v>
      </c>
      <c r="B671" s="4" t="s">
        <v>281</v>
      </c>
      <c r="C671" s="4" t="s">
        <v>1530</v>
      </c>
      <c r="D671" s="4" t="s">
        <v>1614</v>
      </c>
      <c r="E671" s="6">
        <v>43921</v>
      </c>
      <c r="F671" s="7">
        <v>-10</v>
      </c>
      <c r="G671" s="7">
        <v>-14.56</v>
      </c>
      <c r="H671" s="7">
        <v>0</v>
      </c>
    </row>
    <row r="672" spans="1:8">
      <c r="A672" s="4" t="s">
        <v>280</v>
      </c>
      <c r="B672" s="4" t="s">
        <v>281</v>
      </c>
      <c r="C672" s="4" t="s">
        <v>784</v>
      </c>
      <c r="D672" s="4" t="s">
        <v>1615</v>
      </c>
      <c r="E672" s="6">
        <v>43921</v>
      </c>
      <c r="F672" s="7">
        <v>-1</v>
      </c>
      <c r="G672" s="7">
        <v>0</v>
      </c>
      <c r="H672" s="7">
        <v>0</v>
      </c>
    </row>
    <row r="673" spans="1:8">
      <c r="A673" s="4" t="s">
        <v>278</v>
      </c>
      <c r="B673" s="4" t="s">
        <v>279</v>
      </c>
      <c r="C673" s="4" t="s">
        <v>964</v>
      </c>
      <c r="D673" s="4" t="s">
        <v>1616</v>
      </c>
      <c r="E673" s="6">
        <v>43921</v>
      </c>
      <c r="F673" s="7">
        <v>-50</v>
      </c>
      <c r="G673" s="7">
        <v>-41.05</v>
      </c>
      <c r="H673" s="7">
        <v>0.01</v>
      </c>
    </row>
    <row r="674" spans="1:8">
      <c r="A674" s="4" t="s">
        <v>278</v>
      </c>
      <c r="B674" s="4" t="s">
        <v>279</v>
      </c>
      <c r="C674" s="4" t="s">
        <v>949</v>
      </c>
      <c r="D674" s="4" t="s">
        <v>1617</v>
      </c>
      <c r="E674" s="6">
        <v>43921</v>
      </c>
      <c r="F674" s="7">
        <v>-50</v>
      </c>
      <c r="G674" s="7">
        <v>-18.02</v>
      </c>
      <c r="H674" s="7">
        <v>0</v>
      </c>
    </row>
    <row r="675" spans="1:8">
      <c r="A675" s="4" t="s">
        <v>278</v>
      </c>
      <c r="B675" s="4" t="s">
        <v>279</v>
      </c>
      <c r="C675" s="4" t="s">
        <v>873</v>
      </c>
      <c r="D675" s="4" t="s">
        <v>1618</v>
      </c>
      <c r="E675" s="6">
        <v>43921</v>
      </c>
      <c r="F675" s="7">
        <v>-50</v>
      </c>
      <c r="G675" s="7">
        <v>-20.239999999999998</v>
      </c>
      <c r="H675" s="7">
        <v>0.01</v>
      </c>
    </row>
    <row r="676" spans="1:8">
      <c r="A676" s="4" t="s">
        <v>278</v>
      </c>
      <c r="B676" s="4" t="s">
        <v>279</v>
      </c>
      <c r="C676" s="4" t="s">
        <v>993</v>
      </c>
      <c r="D676" s="4" t="s">
        <v>1619</v>
      </c>
      <c r="E676" s="6">
        <v>43921</v>
      </c>
      <c r="F676" s="7">
        <v>-50</v>
      </c>
      <c r="G676" s="7">
        <v>-17.649999999999999</v>
      </c>
      <c r="H676" s="7">
        <v>0</v>
      </c>
    </row>
    <row r="677" spans="1:8">
      <c r="A677" s="4" t="s">
        <v>278</v>
      </c>
      <c r="B677" s="4" t="s">
        <v>279</v>
      </c>
      <c r="C677" s="4" t="s">
        <v>940</v>
      </c>
      <c r="D677" s="4" t="s">
        <v>1620</v>
      </c>
      <c r="E677" s="6">
        <v>43921</v>
      </c>
      <c r="F677" s="7">
        <v>-50</v>
      </c>
      <c r="G677" s="7">
        <v>-28.19</v>
      </c>
      <c r="H677" s="7">
        <v>0.01</v>
      </c>
    </row>
    <row r="678" spans="1:8">
      <c r="A678" s="4" t="s">
        <v>278</v>
      </c>
      <c r="B678" s="4" t="s">
        <v>279</v>
      </c>
      <c r="C678" s="4" t="s">
        <v>1135</v>
      </c>
      <c r="D678" s="4" t="s">
        <v>1621</v>
      </c>
      <c r="E678" s="6">
        <v>43921</v>
      </c>
      <c r="F678" s="7">
        <v>-50</v>
      </c>
      <c r="G678" s="7">
        <v>-11.84</v>
      </c>
      <c r="H678" s="7">
        <v>0</v>
      </c>
    </row>
    <row r="679" spans="1:8">
      <c r="A679" s="4" t="s">
        <v>278</v>
      </c>
      <c r="B679" s="4" t="s">
        <v>279</v>
      </c>
      <c r="C679" s="4" t="s">
        <v>1323</v>
      </c>
      <c r="D679" s="4" t="s">
        <v>1622</v>
      </c>
      <c r="E679" s="6">
        <v>43921</v>
      </c>
      <c r="F679" s="7">
        <v>-50</v>
      </c>
      <c r="G679" s="7">
        <v>-13.43</v>
      </c>
      <c r="H679" s="7">
        <v>0.01</v>
      </c>
    </row>
    <row r="680" spans="1:8">
      <c r="A680" s="4" t="s">
        <v>278</v>
      </c>
      <c r="B680" s="4" t="s">
        <v>279</v>
      </c>
      <c r="C680" s="4" t="s">
        <v>1137</v>
      </c>
      <c r="D680" s="4" t="s">
        <v>1623</v>
      </c>
      <c r="E680" s="6">
        <v>43921</v>
      </c>
      <c r="F680" s="7">
        <v>-50</v>
      </c>
      <c r="G680" s="7">
        <v>-14.09</v>
      </c>
      <c r="H680" s="7">
        <v>0</v>
      </c>
    </row>
    <row r="681" spans="1:8">
      <c r="A681" s="4" t="s">
        <v>278</v>
      </c>
      <c r="B681" s="4" t="s">
        <v>279</v>
      </c>
      <c r="C681" s="4" t="s">
        <v>1325</v>
      </c>
      <c r="D681" s="4" t="s">
        <v>1624</v>
      </c>
      <c r="E681" s="6">
        <v>43921</v>
      </c>
      <c r="F681" s="7">
        <v>-50</v>
      </c>
      <c r="G681" s="7">
        <v>-25.07</v>
      </c>
      <c r="H681" s="7">
        <v>0.01</v>
      </c>
    </row>
    <row r="682" spans="1:8">
      <c r="A682" s="4" t="s">
        <v>278</v>
      </c>
      <c r="B682" s="4" t="s">
        <v>279</v>
      </c>
      <c r="C682" s="4" t="s">
        <v>784</v>
      </c>
      <c r="D682" s="4" t="s">
        <v>1625</v>
      </c>
      <c r="E682" s="6">
        <v>43921</v>
      </c>
      <c r="F682" s="7">
        <v>-1</v>
      </c>
      <c r="G682" s="7">
        <v>0</v>
      </c>
      <c r="H682" s="7">
        <v>0</v>
      </c>
    </row>
    <row r="683" spans="1:8">
      <c r="A683" s="4" t="s">
        <v>306</v>
      </c>
      <c r="B683" s="4" t="s">
        <v>307</v>
      </c>
      <c r="C683" s="4" t="s">
        <v>1373</v>
      </c>
      <c r="D683" s="4" t="s">
        <v>1626</v>
      </c>
      <c r="E683" s="6">
        <v>43928</v>
      </c>
      <c r="F683" s="7">
        <v>-200</v>
      </c>
      <c r="G683" s="7">
        <v>-320.96999999999997</v>
      </c>
      <c r="H683" s="7">
        <v>0</v>
      </c>
    </row>
    <row r="684" spans="1:8">
      <c r="A684" s="4" t="s">
        <v>306</v>
      </c>
      <c r="B684" s="4" t="s">
        <v>307</v>
      </c>
      <c r="C684" s="4" t="s">
        <v>1106</v>
      </c>
      <c r="D684" s="4" t="s">
        <v>1627</v>
      </c>
      <c r="E684" s="6">
        <v>43928</v>
      </c>
      <c r="F684" s="7">
        <v>-400</v>
      </c>
      <c r="G684" s="7">
        <v>-547.46</v>
      </c>
      <c r="H684" s="7">
        <v>-0.01</v>
      </c>
    </row>
    <row r="685" spans="1:8">
      <c r="A685" s="4" t="s">
        <v>306</v>
      </c>
      <c r="B685" s="4" t="s">
        <v>307</v>
      </c>
      <c r="C685" s="4" t="s">
        <v>1628</v>
      </c>
      <c r="D685" s="4" t="s">
        <v>1629</v>
      </c>
      <c r="E685" s="6">
        <v>43928</v>
      </c>
      <c r="F685" s="7">
        <v>-300</v>
      </c>
      <c r="G685" s="7">
        <v>-225.48000000000002</v>
      </c>
      <c r="H685" s="7">
        <v>-0.01</v>
      </c>
    </row>
    <row r="686" spans="1:8">
      <c r="A686" s="4" t="s">
        <v>306</v>
      </c>
      <c r="B686" s="4" t="s">
        <v>307</v>
      </c>
      <c r="C686" s="4" t="s">
        <v>976</v>
      </c>
      <c r="D686" s="4" t="s">
        <v>1630</v>
      </c>
      <c r="E686" s="6">
        <v>43928</v>
      </c>
      <c r="F686" s="7">
        <v>-100</v>
      </c>
      <c r="G686" s="7">
        <v>-81.790000000000006</v>
      </c>
      <c r="H686" s="7">
        <v>0</v>
      </c>
    </row>
    <row r="687" spans="1:8">
      <c r="A687" s="4" t="s">
        <v>306</v>
      </c>
      <c r="B687" s="4" t="s">
        <v>307</v>
      </c>
      <c r="C687" s="4" t="s">
        <v>912</v>
      </c>
      <c r="D687" s="4" t="s">
        <v>1631</v>
      </c>
      <c r="E687" s="6">
        <v>43928</v>
      </c>
      <c r="F687" s="7">
        <v>-100</v>
      </c>
      <c r="G687" s="7">
        <v>-119.12</v>
      </c>
      <c r="H687" s="7">
        <v>0</v>
      </c>
    </row>
    <row r="688" spans="1:8">
      <c r="A688" s="4" t="s">
        <v>306</v>
      </c>
      <c r="B688" s="4" t="s">
        <v>307</v>
      </c>
      <c r="C688" s="4" t="s">
        <v>1632</v>
      </c>
      <c r="D688" s="4" t="s">
        <v>1633</v>
      </c>
      <c r="E688" s="6">
        <v>43928</v>
      </c>
      <c r="F688" s="7">
        <v>-100</v>
      </c>
      <c r="G688" s="7">
        <v>-121.2</v>
      </c>
      <c r="H688" s="7">
        <v>0</v>
      </c>
    </row>
    <row r="689" spans="1:8">
      <c r="A689" s="4" t="s">
        <v>306</v>
      </c>
      <c r="B689" s="4" t="s">
        <v>307</v>
      </c>
      <c r="C689" s="4" t="s">
        <v>1634</v>
      </c>
      <c r="D689" s="4" t="s">
        <v>1635</v>
      </c>
      <c r="E689" s="6">
        <v>43928</v>
      </c>
      <c r="F689" s="7">
        <v>-100</v>
      </c>
      <c r="G689" s="7">
        <v>-138.85</v>
      </c>
      <c r="H689" s="7">
        <v>0</v>
      </c>
    </row>
    <row r="690" spans="1:8">
      <c r="A690" s="4" t="s">
        <v>306</v>
      </c>
      <c r="B690" s="4" t="s">
        <v>307</v>
      </c>
      <c r="C690" s="4" t="s">
        <v>1636</v>
      </c>
      <c r="D690" s="4" t="s">
        <v>1637</v>
      </c>
      <c r="E690" s="6">
        <v>43928</v>
      </c>
      <c r="F690" s="7">
        <v>-100</v>
      </c>
      <c r="G690" s="7">
        <v>-127.45</v>
      </c>
      <c r="H690" s="7">
        <v>0.01</v>
      </c>
    </row>
    <row r="691" spans="1:8">
      <c r="A691" s="4" t="s">
        <v>306</v>
      </c>
      <c r="B691" s="4" t="s">
        <v>307</v>
      </c>
      <c r="C691" s="4" t="s">
        <v>1638</v>
      </c>
      <c r="D691" s="4" t="s">
        <v>1639</v>
      </c>
      <c r="E691" s="6">
        <v>43928</v>
      </c>
      <c r="F691" s="7">
        <v>-100</v>
      </c>
      <c r="G691" s="7">
        <v>-132.28</v>
      </c>
      <c r="H691" s="7">
        <v>-0.01</v>
      </c>
    </row>
    <row r="692" spans="1:8">
      <c r="A692" s="4" t="s">
        <v>306</v>
      </c>
      <c r="B692" s="4" t="s">
        <v>307</v>
      </c>
      <c r="C692" s="4" t="s">
        <v>1640</v>
      </c>
      <c r="D692" s="4" t="s">
        <v>1641</v>
      </c>
      <c r="E692" s="6">
        <v>43928</v>
      </c>
      <c r="F692" s="7">
        <v>-100</v>
      </c>
      <c r="G692" s="7">
        <v>-227.67</v>
      </c>
      <c r="H692" s="7">
        <v>0</v>
      </c>
    </row>
    <row r="693" spans="1:8">
      <c r="A693" s="4" t="s">
        <v>306</v>
      </c>
      <c r="B693" s="4" t="s">
        <v>307</v>
      </c>
      <c r="C693" s="4" t="s">
        <v>1113</v>
      </c>
      <c r="D693" s="4" t="s">
        <v>1642</v>
      </c>
      <c r="E693" s="6">
        <v>43928</v>
      </c>
      <c r="F693" s="7">
        <v>-50</v>
      </c>
      <c r="G693" s="7">
        <v>-222</v>
      </c>
      <c r="H693" s="7">
        <v>0</v>
      </c>
    </row>
    <row r="694" spans="1:8">
      <c r="A694" s="4" t="s">
        <v>306</v>
      </c>
      <c r="B694" s="4" t="s">
        <v>307</v>
      </c>
      <c r="C694" s="4" t="s">
        <v>784</v>
      </c>
      <c r="D694" s="4" t="s">
        <v>1643</v>
      </c>
      <c r="E694" s="6">
        <v>43928</v>
      </c>
      <c r="F694" s="7">
        <v>-1</v>
      </c>
      <c r="G694" s="7">
        <v>0</v>
      </c>
      <c r="H694" s="7">
        <v>0</v>
      </c>
    </row>
    <row r="695" spans="1:8">
      <c r="A695" s="4" t="s">
        <v>267</v>
      </c>
      <c r="B695" s="4" t="s">
        <v>268</v>
      </c>
      <c r="C695" s="4" t="s">
        <v>1644</v>
      </c>
      <c r="D695" s="4" t="s">
        <v>1645</v>
      </c>
      <c r="E695" s="6">
        <v>43915</v>
      </c>
      <c r="F695" s="7">
        <v>-1</v>
      </c>
      <c r="G695" s="7">
        <v>0</v>
      </c>
      <c r="H695" s="7">
        <v>0</v>
      </c>
    </row>
    <row r="696" spans="1:8">
      <c r="A696" s="4" t="s">
        <v>399</v>
      </c>
      <c r="B696" s="4" t="s">
        <v>400</v>
      </c>
      <c r="C696" s="4" t="s">
        <v>1200</v>
      </c>
      <c r="D696" s="4" t="s">
        <v>1646</v>
      </c>
      <c r="E696" s="6">
        <v>43966</v>
      </c>
      <c r="F696" s="7">
        <v>-440</v>
      </c>
      <c r="G696" s="7">
        <v>-295.75</v>
      </c>
      <c r="H696" s="7">
        <v>0</v>
      </c>
    </row>
    <row r="697" spans="1:8">
      <c r="A697" s="4" t="s">
        <v>399</v>
      </c>
      <c r="B697" s="4" t="s">
        <v>400</v>
      </c>
      <c r="C697" s="4" t="s">
        <v>1200</v>
      </c>
      <c r="D697" s="4" t="s">
        <v>1646</v>
      </c>
      <c r="E697" s="6">
        <v>43966</v>
      </c>
      <c r="F697" s="7">
        <v>-440</v>
      </c>
      <c r="G697" s="7">
        <v>-295.75</v>
      </c>
      <c r="H697" s="7">
        <v>0</v>
      </c>
    </row>
    <row r="698" spans="1:8">
      <c r="A698" s="4" t="s">
        <v>399</v>
      </c>
      <c r="B698" s="4" t="s">
        <v>400</v>
      </c>
      <c r="C698" s="4" t="s">
        <v>1647</v>
      </c>
      <c r="D698" s="4" t="s">
        <v>1648</v>
      </c>
      <c r="E698" s="6">
        <v>43966</v>
      </c>
      <c r="F698" s="7">
        <v>-440</v>
      </c>
      <c r="G698" s="7">
        <v>-310.01</v>
      </c>
      <c r="H698" s="7">
        <v>0</v>
      </c>
    </row>
    <row r="699" spans="1:8">
      <c r="A699" s="4" t="s">
        <v>399</v>
      </c>
      <c r="B699" s="4" t="s">
        <v>400</v>
      </c>
      <c r="C699" s="4" t="s">
        <v>1647</v>
      </c>
      <c r="D699" s="4" t="s">
        <v>1648</v>
      </c>
      <c r="E699" s="6">
        <v>43966</v>
      </c>
      <c r="F699" s="7">
        <v>-440</v>
      </c>
      <c r="G699" s="7">
        <v>-310.01</v>
      </c>
      <c r="H699" s="7">
        <v>0.01</v>
      </c>
    </row>
    <row r="700" spans="1:8">
      <c r="A700" s="4" t="s">
        <v>399</v>
      </c>
      <c r="B700" s="4" t="s">
        <v>400</v>
      </c>
      <c r="C700" s="4" t="s">
        <v>1647</v>
      </c>
      <c r="D700" s="4" t="s">
        <v>1648</v>
      </c>
      <c r="E700" s="6">
        <v>43966</v>
      </c>
      <c r="F700" s="7">
        <v>-440</v>
      </c>
      <c r="G700" s="7">
        <v>-310</v>
      </c>
      <c r="H700" s="7">
        <v>-0.01</v>
      </c>
    </row>
    <row r="701" spans="1:8">
      <c r="A701" s="4" t="s">
        <v>399</v>
      </c>
      <c r="B701" s="4" t="s">
        <v>400</v>
      </c>
      <c r="C701" s="4" t="s">
        <v>784</v>
      </c>
      <c r="D701" s="4" t="s">
        <v>1649</v>
      </c>
      <c r="E701" s="6">
        <v>43966</v>
      </c>
      <c r="F701" s="7">
        <v>-1</v>
      </c>
      <c r="G701" s="7">
        <v>0</v>
      </c>
      <c r="H701" s="7">
        <v>0</v>
      </c>
    </row>
    <row r="702" spans="1:8">
      <c r="A702" s="4" t="s">
        <v>288</v>
      </c>
      <c r="B702" s="4" t="s">
        <v>289</v>
      </c>
      <c r="C702" s="4" t="s">
        <v>1086</v>
      </c>
      <c r="D702" s="4" t="s">
        <v>1650</v>
      </c>
      <c r="E702" s="6">
        <v>43921</v>
      </c>
      <c r="F702" s="7">
        <v>-3050</v>
      </c>
      <c r="G702" s="7">
        <v>-223.4</v>
      </c>
      <c r="H702" s="7">
        <v>0</v>
      </c>
    </row>
    <row r="703" spans="1:8">
      <c r="A703" s="4" t="s">
        <v>288</v>
      </c>
      <c r="B703" s="4" t="s">
        <v>289</v>
      </c>
      <c r="C703" s="4" t="s">
        <v>1049</v>
      </c>
      <c r="D703" s="4" t="s">
        <v>1651</v>
      </c>
      <c r="E703" s="6">
        <v>43921</v>
      </c>
      <c r="F703" s="7">
        <v>-1</v>
      </c>
      <c r="G703" s="7">
        <v>0</v>
      </c>
      <c r="H703" s="7">
        <v>0</v>
      </c>
    </row>
    <row r="704" spans="1:8">
      <c r="A704" s="4" t="s">
        <v>292</v>
      </c>
      <c r="B704" s="4" t="s">
        <v>293</v>
      </c>
      <c r="C704" s="4" t="s">
        <v>1652</v>
      </c>
      <c r="D704" s="4" t="s">
        <v>1653</v>
      </c>
      <c r="E704" s="6">
        <v>43921</v>
      </c>
      <c r="F704" s="7">
        <v>-50</v>
      </c>
      <c r="G704" s="7">
        <v>-21.83</v>
      </c>
      <c r="H704" s="7">
        <v>0.01</v>
      </c>
    </row>
    <row r="705" spans="1:8">
      <c r="A705" s="4" t="s">
        <v>292</v>
      </c>
      <c r="B705" s="4" t="s">
        <v>293</v>
      </c>
      <c r="C705" s="4" t="s">
        <v>813</v>
      </c>
      <c r="D705" s="4" t="s">
        <v>1654</v>
      </c>
      <c r="E705" s="6">
        <v>43921</v>
      </c>
      <c r="F705" s="7">
        <v>-100</v>
      </c>
      <c r="G705" s="7">
        <v>-112.74000000000001</v>
      </c>
      <c r="H705" s="7">
        <v>0</v>
      </c>
    </row>
    <row r="706" spans="1:8">
      <c r="A706" s="4" t="s">
        <v>292</v>
      </c>
      <c r="B706" s="4" t="s">
        <v>293</v>
      </c>
      <c r="C706" s="4" t="s">
        <v>1655</v>
      </c>
      <c r="D706" s="4" t="s">
        <v>1656</v>
      </c>
      <c r="E706" s="6">
        <v>43921</v>
      </c>
      <c r="F706" s="7">
        <v>-50</v>
      </c>
      <c r="G706" s="7">
        <v>-74.33</v>
      </c>
      <c r="H706" s="7">
        <v>-0.01</v>
      </c>
    </row>
    <row r="707" spans="1:8">
      <c r="A707" s="4" t="s">
        <v>292</v>
      </c>
      <c r="B707" s="4" t="s">
        <v>293</v>
      </c>
      <c r="C707" s="4" t="s">
        <v>1063</v>
      </c>
      <c r="D707" s="4" t="s">
        <v>1657</v>
      </c>
      <c r="E707" s="6">
        <v>43921</v>
      </c>
      <c r="F707" s="7">
        <v>-150</v>
      </c>
      <c r="G707" s="7">
        <v>-102.74000000000001</v>
      </c>
      <c r="H707" s="7">
        <v>0</v>
      </c>
    </row>
    <row r="708" spans="1:8">
      <c r="A708" s="4" t="s">
        <v>292</v>
      </c>
      <c r="B708" s="4" t="s">
        <v>293</v>
      </c>
      <c r="C708" s="4" t="s">
        <v>1104</v>
      </c>
      <c r="D708" s="4" t="s">
        <v>1658</v>
      </c>
      <c r="E708" s="6">
        <v>43921</v>
      </c>
      <c r="F708" s="7">
        <v>-100</v>
      </c>
      <c r="G708" s="7">
        <v>-136.99</v>
      </c>
      <c r="H708" s="7">
        <v>0</v>
      </c>
    </row>
    <row r="709" spans="1:8">
      <c r="A709" s="4" t="s">
        <v>292</v>
      </c>
      <c r="B709" s="4" t="s">
        <v>293</v>
      </c>
      <c r="C709" s="4" t="s">
        <v>1373</v>
      </c>
      <c r="D709" s="4" t="s">
        <v>1659</v>
      </c>
      <c r="E709" s="6">
        <v>43921</v>
      </c>
      <c r="F709" s="7">
        <v>-50</v>
      </c>
      <c r="G709" s="7">
        <v>-80.239999999999995</v>
      </c>
      <c r="H709" s="7">
        <v>0</v>
      </c>
    </row>
    <row r="710" spans="1:8">
      <c r="A710" s="4" t="s">
        <v>292</v>
      </c>
      <c r="B710" s="4" t="s">
        <v>293</v>
      </c>
      <c r="C710" s="4" t="s">
        <v>993</v>
      </c>
      <c r="D710" s="4" t="s">
        <v>1660</v>
      </c>
      <c r="E710" s="6">
        <v>43921</v>
      </c>
      <c r="F710" s="7">
        <v>-50</v>
      </c>
      <c r="G710" s="7">
        <v>-17.649999999999999</v>
      </c>
      <c r="H710" s="7">
        <v>0</v>
      </c>
    </row>
    <row r="711" spans="1:8">
      <c r="A711" s="4" t="s">
        <v>292</v>
      </c>
      <c r="B711" s="4" t="s">
        <v>293</v>
      </c>
      <c r="C711" s="4" t="s">
        <v>1011</v>
      </c>
      <c r="D711" s="4" t="s">
        <v>1661</v>
      </c>
      <c r="E711" s="6">
        <v>43921</v>
      </c>
      <c r="F711" s="7">
        <v>-50</v>
      </c>
      <c r="G711" s="7">
        <v>-30.65</v>
      </c>
      <c r="H711" s="7">
        <v>0.01</v>
      </c>
    </row>
    <row r="712" spans="1:8">
      <c r="A712" s="4" t="s">
        <v>292</v>
      </c>
      <c r="B712" s="4" t="s">
        <v>293</v>
      </c>
      <c r="C712" s="4" t="s">
        <v>1015</v>
      </c>
      <c r="D712" s="4" t="s">
        <v>1662</v>
      </c>
      <c r="E712" s="6">
        <v>43921</v>
      </c>
      <c r="F712" s="7">
        <v>-50</v>
      </c>
      <c r="G712" s="7">
        <v>-46.23</v>
      </c>
      <c r="H712" s="7">
        <v>0</v>
      </c>
    </row>
    <row r="713" spans="1:8">
      <c r="A713" s="4" t="s">
        <v>292</v>
      </c>
      <c r="B713" s="4" t="s">
        <v>293</v>
      </c>
      <c r="C713" s="4" t="s">
        <v>1106</v>
      </c>
      <c r="D713" s="4" t="s">
        <v>1663</v>
      </c>
      <c r="E713" s="6">
        <v>43921</v>
      </c>
      <c r="F713" s="7">
        <v>-50</v>
      </c>
      <c r="G713" s="7">
        <v>-68.430000000000007</v>
      </c>
      <c r="H713" s="7">
        <v>0</v>
      </c>
    </row>
    <row r="714" spans="1:8">
      <c r="A714" s="4" t="s">
        <v>292</v>
      </c>
      <c r="B714" s="4" t="s">
        <v>293</v>
      </c>
      <c r="C714" s="4" t="s">
        <v>1146</v>
      </c>
      <c r="D714" s="4" t="s">
        <v>1664</v>
      </c>
      <c r="E714" s="6">
        <v>43921</v>
      </c>
      <c r="F714" s="7">
        <v>-50</v>
      </c>
      <c r="G714" s="7">
        <v>-40.119999999999997</v>
      </c>
      <c r="H714" s="7">
        <v>-0.01</v>
      </c>
    </row>
    <row r="715" spans="1:8">
      <c r="A715" s="4" t="s">
        <v>292</v>
      </c>
      <c r="B715" s="4" t="s">
        <v>293</v>
      </c>
      <c r="C715" s="4" t="s">
        <v>784</v>
      </c>
      <c r="D715" s="4" t="s">
        <v>1665</v>
      </c>
      <c r="E715" s="6">
        <v>43921</v>
      </c>
      <c r="F715" s="7">
        <v>-1</v>
      </c>
      <c r="G715" s="7">
        <v>0</v>
      </c>
      <c r="H715" s="7">
        <v>0</v>
      </c>
    </row>
    <row r="716" spans="1:8">
      <c r="A716" s="4" t="s">
        <v>282</v>
      </c>
      <c r="B716" s="4" t="s">
        <v>283</v>
      </c>
      <c r="C716" s="4" t="s">
        <v>936</v>
      </c>
      <c r="D716" s="4" t="s">
        <v>1666</v>
      </c>
      <c r="E716" s="6">
        <v>43921</v>
      </c>
      <c r="F716" s="7">
        <v>-50</v>
      </c>
      <c r="G716" s="7">
        <v>-23.68</v>
      </c>
      <c r="H716" s="7">
        <v>0</v>
      </c>
    </row>
    <row r="717" spans="1:8">
      <c r="A717" s="4" t="s">
        <v>282</v>
      </c>
      <c r="B717" s="4" t="s">
        <v>283</v>
      </c>
      <c r="C717" s="4" t="s">
        <v>942</v>
      </c>
      <c r="D717" s="4" t="s">
        <v>1667</v>
      </c>
      <c r="E717" s="6">
        <v>43921</v>
      </c>
      <c r="F717" s="7">
        <v>-50</v>
      </c>
      <c r="G717" s="7">
        <v>-50.13</v>
      </c>
      <c r="H717" s="7">
        <v>0</v>
      </c>
    </row>
    <row r="718" spans="1:8">
      <c r="A718" s="4" t="s">
        <v>282</v>
      </c>
      <c r="B718" s="4" t="s">
        <v>283</v>
      </c>
      <c r="C718" s="4" t="s">
        <v>855</v>
      </c>
      <c r="D718" s="4" t="s">
        <v>1668</v>
      </c>
      <c r="E718" s="6">
        <v>43921</v>
      </c>
      <c r="F718" s="7">
        <v>-50</v>
      </c>
      <c r="G718" s="7">
        <v>-75.010000000000005</v>
      </c>
      <c r="H718" s="7">
        <v>0</v>
      </c>
    </row>
    <row r="719" spans="1:8">
      <c r="A719" s="4" t="s">
        <v>282</v>
      </c>
      <c r="B719" s="4" t="s">
        <v>283</v>
      </c>
      <c r="C719" s="4" t="s">
        <v>1669</v>
      </c>
      <c r="D719" s="4" t="s">
        <v>1670</v>
      </c>
      <c r="E719" s="6">
        <v>43921</v>
      </c>
      <c r="F719" s="7">
        <v>-100</v>
      </c>
      <c r="G719" s="7">
        <v>-228.85</v>
      </c>
      <c r="H719" s="7">
        <v>0</v>
      </c>
    </row>
    <row r="720" spans="1:8">
      <c r="A720" s="4" t="s">
        <v>282</v>
      </c>
      <c r="B720" s="4" t="s">
        <v>283</v>
      </c>
      <c r="C720" s="4" t="s">
        <v>784</v>
      </c>
      <c r="D720" s="4" t="s">
        <v>1671</v>
      </c>
      <c r="E720" s="6">
        <v>43921</v>
      </c>
      <c r="F720" s="7">
        <v>-1</v>
      </c>
      <c r="G720" s="7">
        <v>0</v>
      </c>
      <c r="H720" s="7">
        <v>0</v>
      </c>
    </row>
    <row r="721" spans="1:8">
      <c r="A721" s="4" t="s">
        <v>260</v>
      </c>
      <c r="B721" s="4" t="s">
        <v>271</v>
      </c>
      <c r="C721" s="4" t="s">
        <v>784</v>
      </c>
      <c r="D721" s="4" t="s">
        <v>1672</v>
      </c>
      <c r="E721" s="6">
        <v>43917</v>
      </c>
      <c r="F721" s="7">
        <v>-1</v>
      </c>
      <c r="G721" s="7">
        <v>0</v>
      </c>
      <c r="H721" s="7">
        <v>0</v>
      </c>
    </row>
    <row r="722" spans="1:8">
      <c r="A722" s="4" t="s">
        <v>282</v>
      </c>
      <c r="B722" s="4" t="s">
        <v>283</v>
      </c>
      <c r="C722" s="4" t="s">
        <v>964</v>
      </c>
      <c r="D722" s="4" t="s">
        <v>1673</v>
      </c>
      <c r="E722" s="6">
        <v>43921</v>
      </c>
      <c r="F722" s="7">
        <v>-50</v>
      </c>
      <c r="G722" s="7">
        <v>-41.05</v>
      </c>
      <c r="H722" s="7">
        <v>0</v>
      </c>
    </row>
    <row r="723" spans="1:8">
      <c r="A723" s="4" t="s">
        <v>274</v>
      </c>
      <c r="B723" s="4" t="s">
        <v>275</v>
      </c>
      <c r="C723" s="4" t="s">
        <v>1674</v>
      </c>
      <c r="D723" s="4" t="s">
        <v>1675</v>
      </c>
      <c r="E723" s="6">
        <v>43920</v>
      </c>
      <c r="F723" s="7">
        <v>-6</v>
      </c>
      <c r="G723" s="7">
        <v>-16.45</v>
      </c>
      <c r="H723" s="7">
        <v>-0.01</v>
      </c>
    </row>
    <row r="724" spans="1:8">
      <c r="A724" s="4" t="s">
        <v>274</v>
      </c>
      <c r="B724" s="4" t="s">
        <v>275</v>
      </c>
      <c r="C724" s="4" t="s">
        <v>873</v>
      </c>
      <c r="D724" s="4" t="s">
        <v>1676</v>
      </c>
      <c r="E724" s="6">
        <v>43920</v>
      </c>
      <c r="F724" s="7">
        <v>-1</v>
      </c>
      <c r="G724" s="7">
        <v>-0.4</v>
      </c>
      <c r="H724" s="7">
        <v>-0.01</v>
      </c>
    </row>
    <row r="725" spans="1:8">
      <c r="A725" s="4" t="s">
        <v>274</v>
      </c>
      <c r="B725" s="4" t="s">
        <v>275</v>
      </c>
      <c r="C725" s="4" t="s">
        <v>987</v>
      </c>
      <c r="D725" s="4" t="s">
        <v>1677</v>
      </c>
      <c r="E725" s="6">
        <v>43920</v>
      </c>
      <c r="F725" s="7">
        <v>-1</v>
      </c>
      <c r="G725" s="7">
        <v>-0.75</v>
      </c>
      <c r="H725" s="7">
        <v>0</v>
      </c>
    </row>
    <row r="726" spans="1:8">
      <c r="A726" s="4" t="s">
        <v>319</v>
      </c>
      <c r="B726" s="4" t="s">
        <v>320</v>
      </c>
      <c r="C726" s="4" t="s">
        <v>1005</v>
      </c>
      <c r="D726" s="4" t="s">
        <v>1678</v>
      </c>
      <c r="E726" s="6">
        <v>43936</v>
      </c>
      <c r="F726" s="7">
        <v>-150</v>
      </c>
      <c r="G726" s="7">
        <v>-111.74000000000001</v>
      </c>
      <c r="H726" s="7">
        <v>0</v>
      </c>
    </row>
    <row r="727" spans="1:8">
      <c r="A727" s="4" t="s">
        <v>319</v>
      </c>
      <c r="B727" s="4" t="s">
        <v>320</v>
      </c>
      <c r="C727" s="4" t="s">
        <v>784</v>
      </c>
      <c r="D727" s="4" t="s">
        <v>1679</v>
      </c>
      <c r="E727" s="6">
        <v>43936</v>
      </c>
      <c r="F727" s="7">
        <v>-1</v>
      </c>
      <c r="G727" s="7">
        <v>0</v>
      </c>
      <c r="H727" s="7">
        <v>0</v>
      </c>
    </row>
    <row r="728" spans="1:8">
      <c r="A728" s="4" t="s">
        <v>299</v>
      </c>
      <c r="B728" s="4" t="s">
        <v>300</v>
      </c>
      <c r="C728" s="4" t="s">
        <v>826</v>
      </c>
      <c r="D728" s="4" t="s">
        <v>1680</v>
      </c>
      <c r="E728" s="6">
        <v>43924</v>
      </c>
      <c r="F728" s="7">
        <v>-85</v>
      </c>
      <c r="G728" s="7">
        <v>-1362.02</v>
      </c>
      <c r="H728" s="7">
        <v>0</v>
      </c>
    </row>
    <row r="729" spans="1:8">
      <c r="A729" s="4" t="s">
        <v>299</v>
      </c>
      <c r="B729" s="4" t="s">
        <v>300</v>
      </c>
      <c r="C729" s="4" t="s">
        <v>826</v>
      </c>
      <c r="D729" s="4" t="s">
        <v>1681</v>
      </c>
      <c r="E729" s="6">
        <v>43924</v>
      </c>
      <c r="F729" s="7">
        <v>-85</v>
      </c>
      <c r="G729" s="7">
        <v>-1362.03</v>
      </c>
      <c r="H729" s="7">
        <v>0</v>
      </c>
    </row>
    <row r="730" spans="1:8">
      <c r="A730" s="4" t="s">
        <v>299</v>
      </c>
      <c r="B730" s="4" t="s">
        <v>300</v>
      </c>
      <c r="C730" s="4" t="s">
        <v>840</v>
      </c>
      <c r="D730" s="4" t="s">
        <v>1682</v>
      </c>
      <c r="E730" s="6">
        <v>43924</v>
      </c>
      <c r="F730" s="7">
        <v>-1</v>
      </c>
      <c r="G730" s="7">
        <v>0</v>
      </c>
      <c r="H730" s="7">
        <v>0</v>
      </c>
    </row>
    <row r="731" spans="1:8">
      <c r="A731" s="4" t="s">
        <v>299</v>
      </c>
      <c r="B731" s="4" t="s">
        <v>300</v>
      </c>
      <c r="C731" s="4" t="s">
        <v>784</v>
      </c>
      <c r="D731" s="4" t="s">
        <v>1683</v>
      </c>
      <c r="E731" s="6">
        <v>43924</v>
      </c>
      <c r="F731" s="7">
        <v>-1</v>
      </c>
      <c r="G731" s="7">
        <v>0</v>
      </c>
      <c r="H731" s="7">
        <v>0</v>
      </c>
    </row>
    <row r="732" spans="1:8">
      <c r="A732" s="4" t="s">
        <v>304</v>
      </c>
      <c r="B732" s="4" t="s">
        <v>305</v>
      </c>
      <c r="C732" s="4" t="s">
        <v>867</v>
      </c>
      <c r="D732" s="4" t="s">
        <v>1684</v>
      </c>
      <c r="E732" s="6">
        <v>43928</v>
      </c>
      <c r="F732" s="7">
        <v>-300</v>
      </c>
      <c r="G732" s="7">
        <v>-322.26</v>
      </c>
      <c r="H732" s="7">
        <v>0</v>
      </c>
    </row>
    <row r="733" spans="1:8">
      <c r="A733" s="4" t="s">
        <v>304</v>
      </c>
      <c r="B733" s="4" t="s">
        <v>305</v>
      </c>
      <c r="C733" s="4" t="s">
        <v>847</v>
      </c>
      <c r="D733" s="4" t="s">
        <v>1685</v>
      </c>
      <c r="E733" s="6">
        <v>43928</v>
      </c>
      <c r="F733" s="7">
        <v>-50</v>
      </c>
      <c r="G733" s="7">
        <v>-104.75999999999999</v>
      </c>
      <c r="H733" s="7">
        <v>0</v>
      </c>
    </row>
    <row r="734" spans="1:8">
      <c r="A734" s="4" t="s">
        <v>304</v>
      </c>
      <c r="B734" s="4" t="s">
        <v>305</v>
      </c>
      <c r="C734" s="4" t="s">
        <v>879</v>
      </c>
      <c r="D734" s="4" t="s">
        <v>1686</v>
      </c>
      <c r="E734" s="6">
        <v>43928</v>
      </c>
      <c r="F734" s="7">
        <v>-50</v>
      </c>
      <c r="G734" s="7">
        <v>-41.08</v>
      </c>
      <c r="H734" s="7">
        <v>0</v>
      </c>
    </row>
    <row r="735" spans="1:8">
      <c r="A735" s="4" t="s">
        <v>304</v>
      </c>
      <c r="B735" s="4" t="s">
        <v>305</v>
      </c>
      <c r="C735" s="4" t="s">
        <v>1040</v>
      </c>
      <c r="D735" s="4" t="s">
        <v>1687</v>
      </c>
      <c r="E735" s="6">
        <v>43928</v>
      </c>
      <c r="F735" s="7">
        <v>-50</v>
      </c>
      <c r="G735" s="7">
        <v>-80.72</v>
      </c>
      <c r="H735" s="7">
        <v>0</v>
      </c>
    </row>
    <row r="736" spans="1:8">
      <c r="A736" s="4" t="s">
        <v>304</v>
      </c>
      <c r="B736" s="4" t="s">
        <v>305</v>
      </c>
      <c r="C736" s="4" t="s">
        <v>893</v>
      </c>
      <c r="D736" s="4" t="s">
        <v>1688</v>
      </c>
      <c r="E736" s="6">
        <v>43928</v>
      </c>
      <c r="F736" s="7">
        <v>-50</v>
      </c>
      <c r="G736" s="7">
        <v>-153.67000000000002</v>
      </c>
      <c r="H736" s="7">
        <v>0.01</v>
      </c>
    </row>
    <row r="737" spans="1:8">
      <c r="A737" s="4" t="s">
        <v>304</v>
      </c>
      <c r="B737" s="4" t="s">
        <v>305</v>
      </c>
      <c r="C737" s="4" t="s">
        <v>784</v>
      </c>
      <c r="D737" s="4" t="s">
        <v>1689</v>
      </c>
      <c r="E737" s="6">
        <v>43928</v>
      </c>
      <c r="F737" s="7">
        <v>-1</v>
      </c>
      <c r="G737" s="7">
        <v>0</v>
      </c>
      <c r="H737" s="7">
        <v>0</v>
      </c>
    </row>
    <row r="738" spans="1:8">
      <c r="A738" s="4" t="s">
        <v>308</v>
      </c>
      <c r="B738" s="4" t="s">
        <v>309</v>
      </c>
      <c r="C738" s="4" t="s">
        <v>849</v>
      </c>
      <c r="D738" s="4" t="s">
        <v>1690</v>
      </c>
      <c r="E738" s="6">
        <v>43928</v>
      </c>
      <c r="F738" s="7">
        <v>-50</v>
      </c>
      <c r="G738" s="7">
        <v>-209.51999999999998</v>
      </c>
      <c r="H738" s="7">
        <v>0</v>
      </c>
    </row>
    <row r="739" spans="1:8">
      <c r="A739" s="4" t="s">
        <v>308</v>
      </c>
      <c r="B739" s="4" t="s">
        <v>309</v>
      </c>
      <c r="C739" s="4" t="s">
        <v>893</v>
      </c>
      <c r="D739" s="4" t="s">
        <v>1691</v>
      </c>
      <c r="E739" s="6">
        <v>43928</v>
      </c>
      <c r="F739" s="7">
        <v>-100</v>
      </c>
      <c r="G739" s="7">
        <v>-307.33000000000004</v>
      </c>
      <c r="H739" s="7">
        <v>0</v>
      </c>
    </row>
    <row r="740" spans="1:8">
      <c r="A740" s="4" t="s">
        <v>308</v>
      </c>
      <c r="B740" s="4" t="s">
        <v>309</v>
      </c>
      <c r="C740" s="4" t="s">
        <v>1063</v>
      </c>
      <c r="D740" s="4" t="s">
        <v>1692</v>
      </c>
      <c r="E740" s="6">
        <v>43928</v>
      </c>
      <c r="F740" s="7">
        <v>-150</v>
      </c>
      <c r="G740" s="7">
        <v>-102.74000000000001</v>
      </c>
      <c r="H740" s="7">
        <v>0</v>
      </c>
    </row>
    <row r="741" spans="1:8">
      <c r="A741" s="4" t="s">
        <v>308</v>
      </c>
      <c r="B741" s="4" t="s">
        <v>309</v>
      </c>
      <c r="C741" s="4" t="s">
        <v>823</v>
      </c>
      <c r="D741" s="4" t="s">
        <v>1693</v>
      </c>
      <c r="E741" s="6">
        <v>43928</v>
      </c>
      <c r="F741" s="7">
        <v>-50</v>
      </c>
      <c r="G741" s="7">
        <v>-179.72</v>
      </c>
      <c r="H741" s="7">
        <v>0</v>
      </c>
    </row>
    <row r="742" spans="1:8">
      <c r="A742" s="4" t="s">
        <v>308</v>
      </c>
      <c r="B742" s="4" t="s">
        <v>309</v>
      </c>
      <c r="C742" s="4" t="s">
        <v>784</v>
      </c>
      <c r="D742" s="4" t="s">
        <v>1694</v>
      </c>
      <c r="E742" s="6">
        <v>43928</v>
      </c>
      <c r="F742" s="7">
        <v>-1</v>
      </c>
      <c r="G742" s="7">
        <v>0</v>
      </c>
      <c r="H742" s="7">
        <v>0</v>
      </c>
    </row>
    <row r="743" spans="1:8">
      <c r="A743" s="4" t="s">
        <v>302</v>
      </c>
      <c r="B743" s="4" t="s">
        <v>303</v>
      </c>
      <c r="C743" s="4" t="s">
        <v>840</v>
      </c>
      <c r="D743" s="4" t="s">
        <v>1695</v>
      </c>
      <c r="E743" s="6">
        <v>43924</v>
      </c>
      <c r="F743" s="7">
        <v>-125</v>
      </c>
      <c r="G743" s="7">
        <v>0</v>
      </c>
      <c r="H743" s="7">
        <v>0</v>
      </c>
    </row>
    <row r="744" spans="1:8">
      <c r="A744" s="4" t="s">
        <v>302</v>
      </c>
      <c r="B744" s="4" t="s">
        <v>303</v>
      </c>
      <c r="C744" s="4" t="s">
        <v>840</v>
      </c>
      <c r="D744" s="4" t="s">
        <v>1696</v>
      </c>
      <c r="E744" s="6">
        <v>43924</v>
      </c>
      <c r="F744" s="7">
        <v>-200</v>
      </c>
      <c r="G744" s="7">
        <v>0</v>
      </c>
      <c r="H744" s="7">
        <v>0</v>
      </c>
    </row>
    <row r="745" spans="1:8">
      <c r="A745" s="4" t="s">
        <v>297</v>
      </c>
      <c r="B745" s="4" t="s">
        <v>298</v>
      </c>
      <c r="C745" s="4" t="s">
        <v>1697</v>
      </c>
      <c r="D745" s="4" t="s">
        <v>1698</v>
      </c>
      <c r="E745" s="6">
        <v>43924</v>
      </c>
      <c r="F745" s="7">
        <v>-5090</v>
      </c>
      <c r="G745" s="7">
        <v>-795.43000000000006</v>
      </c>
      <c r="H745" s="7">
        <v>0</v>
      </c>
    </row>
    <row r="746" spans="1:8">
      <c r="A746" s="4" t="s">
        <v>310</v>
      </c>
      <c r="B746" s="4" t="s">
        <v>311</v>
      </c>
      <c r="C746" s="4" t="s">
        <v>817</v>
      </c>
      <c r="D746" s="4" t="s">
        <v>1699</v>
      </c>
      <c r="E746" s="6">
        <v>43929</v>
      </c>
      <c r="F746" s="7">
        <v>-300</v>
      </c>
      <c r="G746" s="7">
        <v>-284.2</v>
      </c>
      <c r="H746" s="7">
        <v>0</v>
      </c>
    </row>
    <row r="747" spans="1:8">
      <c r="A747" s="4" t="s">
        <v>310</v>
      </c>
      <c r="B747" s="4" t="s">
        <v>311</v>
      </c>
      <c r="C747" s="4" t="s">
        <v>1109</v>
      </c>
      <c r="D747" s="4" t="s">
        <v>1700</v>
      </c>
      <c r="E747" s="6">
        <v>43929</v>
      </c>
      <c r="F747" s="7">
        <v>-100</v>
      </c>
      <c r="G747" s="7">
        <v>-312.55</v>
      </c>
      <c r="H747" s="7">
        <v>0.01</v>
      </c>
    </row>
    <row r="748" spans="1:8">
      <c r="A748" s="4" t="s">
        <v>310</v>
      </c>
      <c r="B748" s="4" t="s">
        <v>311</v>
      </c>
      <c r="C748" s="4" t="s">
        <v>1628</v>
      </c>
      <c r="D748" s="4" t="s">
        <v>1701</v>
      </c>
      <c r="E748" s="6">
        <v>43929</v>
      </c>
      <c r="F748" s="7">
        <v>-50</v>
      </c>
      <c r="G748" s="7">
        <v>-37.58</v>
      </c>
      <c r="H748" s="7">
        <v>0</v>
      </c>
    </row>
    <row r="749" spans="1:8">
      <c r="A749" s="4" t="s">
        <v>310</v>
      </c>
      <c r="B749" s="4" t="s">
        <v>311</v>
      </c>
      <c r="C749" s="4" t="s">
        <v>821</v>
      </c>
      <c r="D749" s="4" t="s">
        <v>1702</v>
      </c>
      <c r="E749" s="6">
        <v>43929</v>
      </c>
      <c r="F749" s="7">
        <v>-40</v>
      </c>
      <c r="G749" s="7">
        <v>-120.02000000000001</v>
      </c>
      <c r="H749" s="7">
        <v>0</v>
      </c>
    </row>
    <row r="750" spans="1:8">
      <c r="A750" s="4" t="s">
        <v>310</v>
      </c>
      <c r="B750" s="4" t="s">
        <v>311</v>
      </c>
      <c r="C750" s="4" t="s">
        <v>1232</v>
      </c>
      <c r="D750" s="4" t="s">
        <v>1703</v>
      </c>
      <c r="E750" s="6">
        <v>43929</v>
      </c>
      <c r="F750" s="7">
        <v>-40</v>
      </c>
      <c r="G750" s="7">
        <v>-183.07999999999998</v>
      </c>
      <c r="H750" s="7">
        <v>0</v>
      </c>
    </row>
    <row r="751" spans="1:8">
      <c r="A751" s="4" t="s">
        <v>310</v>
      </c>
      <c r="B751" s="4" t="s">
        <v>311</v>
      </c>
      <c r="C751" s="4" t="s">
        <v>815</v>
      </c>
      <c r="D751" s="4" t="s">
        <v>1704</v>
      </c>
      <c r="E751" s="6">
        <v>43929</v>
      </c>
      <c r="F751" s="7">
        <v>-100</v>
      </c>
      <c r="G751" s="7">
        <v>-187.74</v>
      </c>
      <c r="H751" s="7">
        <v>0</v>
      </c>
    </row>
    <row r="752" spans="1:8">
      <c r="A752" s="4" t="s">
        <v>310</v>
      </c>
      <c r="B752" s="4" t="s">
        <v>311</v>
      </c>
      <c r="C752" s="4" t="s">
        <v>784</v>
      </c>
      <c r="D752" s="4" t="s">
        <v>1705</v>
      </c>
      <c r="E752" s="6">
        <v>43929</v>
      </c>
      <c r="F752" s="7">
        <v>-1</v>
      </c>
      <c r="G752" s="7">
        <v>0</v>
      </c>
      <c r="H752" s="7">
        <v>0</v>
      </c>
    </row>
    <row r="753" spans="1:8">
      <c r="A753" s="4" t="s">
        <v>332</v>
      </c>
      <c r="B753" s="4" t="s">
        <v>333</v>
      </c>
      <c r="C753" s="4" t="s">
        <v>826</v>
      </c>
      <c r="D753" s="4" t="s">
        <v>1706</v>
      </c>
      <c r="E753" s="6">
        <v>43943</v>
      </c>
      <c r="F753" s="7">
        <v>-1</v>
      </c>
      <c r="G753" s="7">
        <v>-46.81</v>
      </c>
      <c r="H753" s="7">
        <v>0</v>
      </c>
    </row>
    <row r="754" spans="1:8">
      <c r="A754" s="4" t="s">
        <v>332</v>
      </c>
      <c r="B754" s="4" t="s">
        <v>333</v>
      </c>
      <c r="C754" s="4" t="s">
        <v>840</v>
      </c>
      <c r="D754" s="4" t="s">
        <v>1707</v>
      </c>
      <c r="E754" s="6">
        <v>43943</v>
      </c>
      <c r="F754" s="7">
        <v>-1</v>
      </c>
      <c r="G754" s="7">
        <v>0</v>
      </c>
      <c r="H754" s="7">
        <v>0</v>
      </c>
    </row>
    <row r="755" spans="1:8">
      <c r="A755" s="4" t="s">
        <v>332</v>
      </c>
      <c r="B755" s="4" t="s">
        <v>333</v>
      </c>
      <c r="C755" s="4" t="s">
        <v>784</v>
      </c>
      <c r="D755" s="4" t="s">
        <v>1708</v>
      </c>
      <c r="E755" s="6">
        <v>43943</v>
      </c>
      <c r="F755" s="7">
        <v>-1</v>
      </c>
      <c r="G755" s="7">
        <v>0</v>
      </c>
      <c r="H755" s="7">
        <v>0</v>
      </c>
    </row>
    <row r="756" spans="1:8">
      <c r="A756" s="4" t="s">
        <v>332</v>
      </c>
      <c r="B756" s="4" t="s">
        <v>333</v>
      </c>
      <c r="C756" s="4" t="s">
        <v>826</v>
      </c>
      <c r="D756" s="4" t="s">
        <v>1709</v>
      </c>
      <c r="E756" s="6">
        <v>43943</v>
      </c>
      <c r="F756" s="7">
        <v>-1</v>
      </c>
      <c r="G756" s="7">
        <v>-46.81</v>
      </c>
      <c r="H756" s="7">
        <v>0</v>
      </c>
    </row>
    <row r="757" spans="1:8">
      <c r="A757" s="4" t="s">
        <v>332</v>
      </c>
      <c r="B757" s="4" t="s">
        <v>333</v>
      </c>
      <c r="C757" s="4" t="s">
        <v>840</v>
      </c>
      <c r="D757" s="4" t="s">
        <v>1710</v>
      </c>
      <c r="E757" s="6">
        <v>43943</v>
      </c>
      <c r="F757" s="7">
        <v>-1</v>
      </c>
      <c r="G757" s="7">
        <v>0</v>
      </c>
      <c r="H757" s="7">
        <v>0</v>
      </c>
    </row>
    <row r="758" spans="1:8">
      <c r="A758" s="4" t="s">
        <v>342</v>
      </c>
      <c r="B758" s="4" t="s">
        <v>343</v>
      </c>
      <c r="C758" s="4" t="s">
        <v>993</v>
      </c>
      <c r="D758" s="4" t="s">
        <v>1711</v>
      </c>
      <c r="E758" s="6">
        <v>43949</v>
      </c>
      <c r="F758" s="7">
        <v>-50</v>
      </c>
      <c r="G758" s="7">
        <v>-17.649999999999999</v>
      </c>
      <c r="H758" s="7">
        <v>0</v>
      </c>
    </row>
    <row r="759" spans="1:8">
      <c r="A759" s="4" t="s">
        <v>342</v>
      </c>
      <c r="B759" s="4" t="s">
        <v>343</v>
      </c>
      <c r="C759" s="4" t="s">
        <v>1168</v>
      </c>
      <c r="D759" s="4" t="s">
        <v>1712</v>
      </c>
      <c r="E759" s="6">
        <v>43949</v>
      </c>
      <c r="F759" s="7">
        <v>-200</v>
      </c>
      <c r="G759" s="7">
        <v>-161.9</v>
      </c>
      <c r="H759" s="7">
        <v>0</v>
      </c>
    </row>
    <row r="760" spans="1:8">
      <c r="A760" s="4" t="s">
        <v>342</v>
      </c>
      <c r="B760" s="4" t="s">
        <v>343</v>
      </c>
      <c r="C760" s="4" t="s">
        <v>817</v>
      </c>
      <c r="D760" s="4" t="s">
        <v>1713</v>
      </c>
      <c r="E760" s="6">
        <v>43949</v>
      </c>
      <c r="F760" s="7">
        <v>-100</v>
      </c>
      <c r="G760" s="7">
        <v>-94.73</v>
      </c>
      <c r="H760" s="7">
        <v>-0.01</v>
      </c>
    </row>
    <row r="761" spans="1:8">
      <c r="A761" s="4" t="s">
        <v>342</v>
      </c>
      <c r="B761" s="4" t="s">
        <v>343</v>
      </c>
      <c r="C761" s="4" t="s">
        <v>942</v>
      </c>
      <c r="D761" s="4" t="s">
        <v>1714</v>
      </c>
      <c r="E761" s="6">
        <v>43949</v>
      </c>
      <c r="F761" s="7">
        <v>-100</v>
      </c>
      <c r="G761" s="7">
        <v>-100.26</v>
      </c>
      <c r="H761" s="7">
        <v>0</v>
      </c>
    </row>
    <row r="762" spans="1:8">
      <c r="A762" s="4" t="s">
        <v>342</v>
      </c>
      <c r="B762" s="4" t="s">
        <v>343</v>
      </c>
      <c r="C762" s="4" t="s">
        <v>1126</v>
      </c>
      <c r="D762" s="4" t="s">
        <v>1715</v>
      </c>
      <c r="E762" s="6">
        <v>43949</v>
      </c>
      <c r="F762" s="7">
        <v>-100</v>
      </c>
      <c r="G762" s="7">
        <v>-140.44999999999999</v>
      </c>
      <c r="H762" s="7">
        <v>0</v>
      </c>
    </row>
    <row r="763" spans="1:8">
      <c r="A763" s="4" t="s">
        <v>342</v>
      </c>
      <c r="B763" s="4" t="s">
        <v>343</v>
      </c>
      <c r="C763" s="4" t="s">
        <v>1716</v>
      </c>
      <c r="D763" s="4" t="s">
        <v>1717</v>
      </c>
      <c r="E763" s="6">
        <v>43949</v>
      </c>
      <c r="F763" s="7">
        <v>-50</v>
      </c>
      <c r="G763" s="7">
        <v>-34.71</v>
      </c>
      <c r="H763" s="7">
        <v>-0.01</v>
      </c>
    </row>
    <row r="764" spans="1:8">
      <c r="A764" s="4" t="s">
        <v>342</v>
      </c>
      <c r="B764" s="4" t="s">
        <v>343</v>
      </c>
      <c r="C764" s="4" t="s">
        <v>877</v>
      </c>
      <c r="D764" s="4" t="s">
        <v>1718</v>
      </c>
      <c r="E764" s="6">
        <v>43949</v>
      </c>
      <c r="F764" s="7">
        <v>-100</v>
      </c>
      <c r="G764" s="7">
        <v>-70.72</v>
      </c>
      <c r="H764" s="7">
        <v>0</v>
      </c>
    </row>
    <row r="765" spans="1:8">
      <c r="A765" s="4" t="s">
        <v>342</v>
      </c>
      <c r="B765" s="4" t="s">
        <v>343</v>
      </c>
      <c r="C765" s="4" t="s">
        <v>784</v>
      </c>
      <c r="D765" s="4" t="s">
        <v>1719</v>
      </c>
      <c r="E765" s="6">
        <v>43949</v>
      </c>
      <c r="F765" s="7">
        <v>-1</v>
      </c>
      <c r="G765" s="7">
        <v>0</v>
      </c>
      <c r="H765" s="7">
        <v>0</v>
      </c>
    </row>
    <row r="766" spans="1:8">
      <c r="A766" s="4" t="s">
        <v>328</v>
      </c>
      <c r="B766" s="4" t="s">
        <v>329</v>
      </c>
      <c r="C766" s="4" t="s">
        <v>1018</v>
      </c>
      <c r="D766" s="4" t="s">
        <v>1720</v>
      </c>
      <c r="E766" s="6">
        <v>43938</v>
      </c>
      <c r="F766" s="7">
        <v>-20</v>
      </c>
      <c r="G766" s="7">
        <v>-11.91</v>
      </c>
      <c r="H766" s="7">
        <v>0</v>
      </c>
    </row>
    <row r="767" spans="1:8">
      <c r="A767" s="4" t="s">
        <v>328</v>
      </c>
      <c r="B767" s="4" t="s">
        <v>329</v>
      </c>
      <c r="C767" s="4" t="s">
        <v>1721</v>
      </c>
      <c r="D767" s="4" t="s">
        <v>1722</v>
      </c>
      <c r="E767" s="6">
        <v>43938</v>
      </c>
      <c r="F767" s="7">
        <v>-400</v>
      </c>
      <c r="G767" s="7">
        <v>-242.41</v>
      </c>
      <c r="H767" s="7">
        <v>0.01</v>
      </c>
    </row>
    <row r="768" spans="1:8">
      <c r="A768" s="4" t="s">
        <v>328</v>
      </c>
      <c r="B768" s="4" t="s">
        <v>329</v>
      </c>
      <c r="C768" s="4" t="s">
        <v>1723</v>
      </c>
      <c r="D768" s="4" t="s">
        <v>1724</v>
      </c>
      <c r="E768" s="6">
        <v>43938</v>
      </c>
      <c r="F768" s="7">
        <v>-12</v>
      </c>
      <c r="G768" s="7">
        <v>-69.48</v>
      </c>
      <c r="H768" s="7">
        <v>0.01</v>
      </c>
    </row>
    <row r="769" spans="1:8">
      <c r="A769" s="4" t="s">
        <v>328</v>
      </c>
      <c r="B769" s="4" t="s">
        <v>329</v>
      </c>
      <c r="C769" s="4" t="s">
        <v>1640</v>
      </c>
      <c r="D769" s="4" t="s">
        <v>1725</v>
      </c>
      <c r="E769" s="6">
        <v>43938</v>
      </c>
      <c r="F769" s="7">
        <v>-10</v>
      </c>
      <c r="G769" s="7">
        <v>-22.77</v>
      </c>
      <c r="H769" s="7">
        <v>0.01</v>
      </c>
    </row>
    <row r="770" spans="1:8">
      <c r="A770" s="4" t="s">
        <v>328</v>
      </c>
      <c r="B770" s="4" t="s">
        <v>329</v>
      </c>
      <c r="C770" s="4" t="s">
        <v>999</v>
      </c>
      <c r="D770" s="4" t="s">
        <v>1726</v>
      </c>
      <c r="E770" s="6">
        <v>43938</v>
      </c>
      <c r="F770" s="7">
        <v>-5</v>
      </c>
      <c r="G770" s="7">
        <v>-11.17</v>
      </c>
      <c r="H770" s="7">
        <v>0.01</v>
      </c>
    </row>
    <row r="771" spans="1:8">
      <c r="A771" s="4" t="s">
        <v>328</v>
      </c>
      <c r="B771" s="4" t="s">
        <v>329</v>
      </c>
      <c r="C771" s="4" t="s">
        <v>1727</v>
      </c>
      <c r="D771" s="4" t="s">
        <v>1728</v>
      </c>
      <c r="E771" s="6">
        <v>43938</v>
      </c>
      <c r="F771" s="7">
        <v>-6</v>
      </c>
      <c r="G771" s="7">
        <v>-15.21</v>
      </c>
      <c r="H771" s="7">
        <v>0</v>
      </c>
    </row>
    <row r="772" spans="1:8">
      <c r="A772" s="4" t="s">
        <v>328</v>
      </c>
      <c r="B772" s="4" t="s">
        <v>329</v>
      </c>
      <c r="C772" s="4" t="s">
        <v>784</v>
      </c>
      <c r="D772" s="4" t="s">
        <v>1729</v>
      </c>
      <c r="E772" s="6">
        <v>43938</v>
      </c>
      <c r="F772" s="7">
        <v>-1</v>
      </c>
      <c r="G772" s="7">
        <v>0</v>
      </c>
      <c r="H772" s="7">
        <v>0</v>
      </c>
    </row>
    <row r="773" spans="1:8">
      <c r="A773" s="4" t="s">
        <v>324</v>
      </c>
      <c r="B773" s="4" t="s">
        <v>325</v>
      </c>
      <c r="C773" s="4" t="s">
        <v>966</v>
      </c>
      <c r="D773" s="4" t="s">
        <v>1730</v>
      </c>
      <c r="E773" s="6">
        <v>43938</v>
      </c>
      <c r="F773" s="7">
        <v>-25</v>
      </c>
      <c r="G773" s="7">
        <v>-13.43</v>
      </c>
      <c r="H773" s="7">
        <v>0</v>
      </c>
    </row>
    <row r="774" spans="1:8">
      <c r="A774" s="4" t="s">
        <v>324</v>
      </c>
      <c r="B774" s="4" t="s">
        <v>325</v>
      </c>
      <c r="C774" s="4" t="s">
        <v>1325</v>
      </c>
      <c r="D774" s="4" t="s">
        <v>1731</v>
      </c>
      <c r="E774" s="6">
        <v>43938</v>
      </c>
      <c r="F774" s="7">
        <v>-50</v>
      </c>
      <c r="G774" s="7">
        <v>-25.07</v>
      </c>
      <c r="H774" s="7">
        <v>0.01</v>
      </c>
    </row>
    <row r="775" spans="1:8">
      <c r="A775" s="4" t="s">
        <v>324</v>
      </c>
      <c r="B775" s="4" t="s">
        <v>325</v>
      </c>
      <c r="C775" s="4" t="s">
        <v>1026</v>
      </c>
      <c r="D775" s="4" t="s">
        <v>1732</v>
      </c>
      <c r="E775" s="6">
        <v>43938</v>
      </c>
      <c r="F775" s="7">
        <v>-42</v>
      </c>
      <c r="G775" s="7">
        <v>-28.74</v>
      </c>
      <c r="H775" s="7">
        <v>0</v>
      </c>
    </row>
    <row r="776" spans="1:8">
      <c r="A776" s="4" t="s">
        <v>324</v>
      </c>
      <c r="B776" s="4" t="s">
        <v>325</v>
      </c>
      <c r="C776" s="4" t="s">
        <v>964</v>
      </c>
      <c r="D776" s="4" t="s">
        <v>1733</v>
      </c>
      <c r="E776" s="6">
        <v>43938</v>
      </c>
      <c r="F776" s="7">
        <v>-43</v>
      </c>
      <c r="G776" s="7">
        <v>-35.299999999999997</v>
      </c>
      <c r="H776" s="7">
        <v>0</v>
      </c>
    </row>
    <row r="777" spans="1:8">
      <c r="A777" s="4" t="s">
        <v>324</v>
      </c>
      <c r="B777" s="4" t="s">
        <v>325</v>
      </c>
      <c r="C777" s="4" t="s">
        <v>1154</v>
      </c>
      <c r="D777" s="4" t="s">
        <v>1734</v>
      </c>
      <c r="E777" s="6">
        <v>43938</v>
      </c>
      <c r="F777" s="7">
        <v>-75</v>
      </c>
      <c r="G777" s="7">
        <v>-81.27</v>
      </c>
      <c r="H777" s="7">
        <v>0</v>
      </c>
    </row>
    <row r="778" spans="1:8">
      <c r="A778" s="4" t="s">
        <v>324</v>
      </c>
      <c r="B778" s="4" t="s">
        <v>325</v>
      </c>
      <c r="C778" s="4" t="s">
        <v>1735</v>
      </c>
      <c r="D778" s="4" t="s">
        <v>1736</v>
      </c>
      <c r="E778" s="6">
        <v>43938</v>
      </c>
      <c r="F778" s="7">
        <v>-22</v>
      </c>
      <c r="G778" s="7">
        <v>-7.01</v>
      </c>
      <c r="H778" s="7">
        <v>0</v>
      </c>
    </row>
    <row r="779" spans="1:8">
      <c r="A779" s="4" t="s">
        <v>324</v>
      </c>
      <c r="B779" s="4" t="s">
        <v>325</v>
      </c>
      <c r="C779" s="4" t="s">
        <v>1737</v>
      </c>
      <c r="D779" s="4" t="s">
        <v>1738</v>
      </c>
      <c r="E779" s="6">
        <v>43938</v>
      </c>
      <c r="F779" s="7">
        <v>-50</v>
      </c>
      <c r="G779" s="7">
        <v>-15.32</v>
      </c>
      <c r="H779" s="7">
        <v>0</v>
      </c>
    </row>
    <row r="780" spans="1:8">
      <c r="A780" s="4" t="s">
        <v>324</v>
      </c>
      <c r="B780" s="4" t="s">
        <v>325</v>
      </c>
      <c r="C780" s="4" t="s">
        <v>1739</v>
      </c>
      <c r="D780" s="4" t="s">
        <v>1740</v>
      </c>
      <c r="E780" s="6">
        <v>43938</v>
      </c>
      <c r="F780" s="7">
        <v>-80</v>
      </c>
      <c r="G780" s="7">
        <v>-29.73</v>
      </c>
      <c r="H780" s="7">
        <v>-0.01</v>
      </c>
    </row>
    <row r="781" spans="1:8">
      <c r="A781" s="4" t="s">
        <v>324</v>
      </c>
      <c r="B781" s="4" t="s">
        <v>325</v>
      </c>
      <c r="C781" s="4" t="s">
        <v>1741</v>
      </c>
      <c r="D781" s="4" t="s">
        <v>1742</v>
      </c>
      <c r="E781" s="6">
        <v>43938</v>
      </c>
      <c r="F781" s="7">
        <v>-5</v>
      </c>
      <c r="G781" s="7">
        <v>-125.72999999999999</v>
      </c>
      <c r="H781" s="7">
        <v>-0.87</v>
      </c>
    </row>
    <row r="782" spans="1:8">
      <c r="A782" s="4" t="s">
        <v>324</v>
      </c>
      <c r="B782" s="4" t="s">
        <v>325</v>
      </c>
      <c r="C782" s="4" t="s">
        <v>784</v>
      </c>
      <c r="D782" s="4" t="s">
        <v>1743</v>
      </c>
      <c r="E782" s="6">
        <v>43938</v>
      </c>
      <c r="F782" s="7">
        <v>-1</v>
      </c>
      <c r="G782" s="7">
        <v>0</v>
      </c>
      <c r="H782" s="7">
        <v>0</v>
      </c>
    </row>
    <row r="783" spans="1:8">
      <c r="A783" s="4" t="s">
        <v>324</v>
      </c>
      <c r="B783" s="4" t="s">
        <v>325</v>
      </c>
      <c r="C783" s="4" t="s">
        <v>1146</v>
      </c>
      <c r="D783" s="4" t="s">
        <v>1744</v>
      </c>
      <c r="E783" s="6">
        <v>43938</v>
      </c>
      <c r="F783" s="7">
        <v>-25</v>
      </c>
      <c r="G783" s="7">
        <v>-20.059999999999999</v>
      </c>
      <c r="H783" s="7">
        <v>0</v>
      </c>
    </row>
    <row r="784" spans="1:8">
      <c r="A784" s="4" t="s">
        <v>328</v>
      </c>
      <c r="B784" s="4" t="s">
        <v>329</v>
      </c>
      <c r="C784" s="4" t="s">
        <v>1745</v>
      </c>
      <c r="D784" s="4" t="s">
        <v>1746</v>
      </c>
      <c r="E784" s="6">
        <v>43938</v>
      </c>
      <c r="F784" s="7">
        <v>-10</v>
      </c>
      <c r="G784" s="7">
        <v>-11.88</v>
      </c>
      <c r="H784" s="7">
        <v>0</v>
      </c>
    </row>
    <row r="785" spans="1:8">
      <c r="A785" s="4" t="s">
        <v>360</v>
      </c>
      <c r="B785" s="4" t="s">
        <v>361</v>
      </c>
      <c r="C785" s="4" t="s">
        <v>1283</v>
      </c>
      <c r="D785" s="4" t="s">
        <v>1747</v>
      </c>
      <c r="E785" s="6">
        <v>43952</v>
      </c>
      <c r="F785" s="7">
        <v>-200</v>
      </c>
      <c r="G785" s="7">
        <v>-40.630000000000003</v>
      </c>
      <c r="H785" s="7">
        <v>0</v>
      </c>
    </row>
    <row r="786" spans="1:8">
      <c r="A786" s="4" t="s">
        <v>360</v>
      </c>
      <c r="B786" s="4" t="s">
        <v>361</v>
      </c>
      <c r="C786" s="4" t="s">
        <v>1283</v>
      </c>
      <c r="D786" s="4" t="s">
        <v>1748</v>
      </c>
      <c r="E786" s="6">
        <v>43952</v>
      </c>
      <c r="F786" s="7">
        <v>-600</v>
      </c>
      <c r="G786" s="7">
        <v>-121.89000000000001</v>
      </c>
      <c r="H786" s="7">
        <v>0</v>
      </c>
    </row>
    <row r="787" spans="1:8">
      <c r="A787" s="4" t="s">
        <v>360</v>
      </c>
      <c r="B787" s="4" t="s">
        <v>361</v>
      </c>
      <c r="C787" s="4" t="s">
        <v>784</v>
      </c>
      <c r="D787" s="4" t="s">
        <v>1749</v>
      </c>
      <c r="E787" s="6">
        <v>43952</v>
      </c>
      <c r="F787" s="7">
        <v>-1</v>
      </c>
      <c r="G787" s="7">
        <v>0</v>
      </c>
      <c r="H787" s="7">
        <v>0</v>
      </c>
    </row>
    <row r="788" spans="1:8">
      <c r="A788" s="4" t="s">
        <v>314</v>
      </c>
      <c r="B788" s="4" t="s">
        <v>315</v>
      </c>
      <c r="C788" s="4" t="s">
        <v>1750</v>
      </c>
      <c r="D788" s="4" t="s">
        <v>1751</v>
      </c>
      <c r="E788" s="6">
        <v>43936</v>
      </c>
      <c r="F788" s="7">
        <v>-2</v>
      </c>
      <c r="G788" s="7">
        <v>-4.7200000000000006</v>
      </c>
      <c r="H788" s="7">
        <v>0</v>
      </c>
    </row>
    <row r="789" spans="1:8">
      <c r="A789" s="4" t="s">
        <v>314</v>
      </c>
      <c r="B789" s="4" t="s">
        <v>315</v>
      </c>
      <c r="C789" s="4" t="s">
        <v>999</v>
      </c>
      <c r="D789" s="4" t="s">
        <v>1752</v>
      </c>
      <c r="E789" s="6">
        <v>43936</v>
      </c>
      <c r="F789" s="7">
        <v>-2</v>
      </c>
      <c r="G789" s="7">
        <v>-4.4700000000000006</v>
      </c>
      <c r="H789" s="7">
        <v>0</v>
      </c>
    </row>
    <row r="790" spans="1:8">
      <c r="A790" s="4" t="s">
        <v>314</v>
      </c>
      <c r="B790" s="4" t="s">
        <v>315</v>
      </c>
      <c r="C790" s="4" t="s">
        <v>1298</v>
      </c>
      <c r="D790" s="4" t="s">
        <v>1753</v>
      </c>
      <c r="E790" s="6">
        <v>43936</v>
      </c>
      <c r="F790" s="7">
        <v>-2</v>
      </c>
      <c r="G790" s="7">
        <v>-2.92</v>
      </c>
      <c r="H790" s="7">
        <v>0</v>
      </c>
    </row>
    <row r="791" spans="1:8">
      <c r="A791" s="4" t="s">
        <v>314</v>
      </c>
      <c r="B791" s="4" t="s">
        <v>315</v>
      </c>
      <c r="C791" s="4" t="s">
        <v>784</v>
      </c>
      <c r="D791" s="4" t="s">
        <v>1754</v>
      </c>
      <c r="E791" s="6">
        <v>43936</v>
      </c>
      <c r="F791" s="7">
        <v>-1</v>
      </c>
      <c r="G791" s="7">
        <v>0</v>
      </c>
      <c r="H791" s="7">
        <v>0</v>
      </c>
    </row>
    <row r="792" spans="1:8">
      <c r="A792" s="4" t="s">
        <v>316</v>
      </c>
      <c r="B792" s="4" t="s">
        <v>317</v>
      </c>
      <c r="C792" s="4" t="s">
        <v>987</v>
      </c>
      <c r="D792" s="4" t="s">
        <v>1755</v>
      </c>
      <c r="E792" s="6">
        <v>43936</v>
      </c>
      <c r="F792" s="7">
        <v>-50</v>
      </c>
      <c r="G792" s="7">
        <v>-37.49</v>
      </c>
      <c r="H792" s="7">
        <v>0</v>
      </c>
    </row>
    <row r="793" spans="1:8">
      <c r="A793" s="4" t="s">
        <v>316</v>
      </c>
      <c r="B793" s="4" t="s">
        <v>317</v>
      </c>
      <c r="C793" s="4" t="s">
        <v>853</v>
      </c>
      <c r="D793" s="4" t="s">
        <v>1756</v>
      </c>
      <c r="E793" s="6">
        <v>43936</v>
      </c>
      <c r="F793" s="7">
        <v>-50</v>
      </c>
      <c r="G793" s="7">
        <v>-89.86</v>
      </c>
      <c r="H793" s="7">
        <v>0</v>
      </c>
    </row>
    <row r="794" spans="1:8">
      <c r="A794" s="4" t="s">
        <v>316</v>
      </c>
      <c r="B794" s="4" t="s">
        <v>317</v>
      </c>
      <c r="C794" s="4" t="s">
        <v>813</v>
      </c>
      <c r="D794" s="4" t="s">
        <v>1757</v>
      </c>
      <c r="E794" s="6">
        <v>43936</v>
      </c>
      <c r="F794" s="7">
        <v>-25</v>
      </c>
      <c r="G794" s="7">
        <v>-28.19</v>
      </c>
      <c r="H794" s="7">
        <v>0</v>
      </c>
    </row>
    <row r="795" spans="1:8">
      <c r="A795" s="4" t="s">
        <v>316</v>
      </c>
      <c r="B795" s="4" t="s">
        <v>317</v>
      </c>
      <c r="C795" s="4" t="s">
        <v>784</v>
      </c>
      <c r="D795" s="4" t="s">
        <v>1758</v>
      </c>
      <c r="E795" s="6">
        <v>43936</v>
      </c>
      <c r="F795" s="7">
        <v>-1</v>
      </c>
      <c r="G795" s="7">
        <v>0</v>
      </c>
      <c r="H795" s="7">
        <v>0</v>
      </c>
    </row>
    <row r="796" spans="1:8">
      <c r="A796" s="4" t="s">
        <v>314</v>
      </c>
      <c r="B796" s="4" t="s">
        <v>315</v>
      </c>
      <c r="C796" s="4" t="s">
        <v>1208</v>
      </c>
      <c r="D796" s="4" t="s">
        <v>1759</v>
      </c>
      <c r="E796" s="6">
        <v>43936</v>
      </c>
      <c r="F796" s="7">
        <v>-4</v>
      </c>
      <c r="G796" s="7">
        <v>-5.91</v>
      </c>
      <c r="H796" s="7">
        <v>0</v>
      </c>
    </row>
    <row r="797" spans="1:8">
      <c r="A797" s="4" t="s">
        <v>441</v>
      </c>
      <c r="B797" s="4" t="s">
        <v>442</v>
      </c>
      <c r="C797" s="4" t="s">
        <v>840</v>
      </c>
      <c r="D797" s="4" t="s">
        <v>1760</v>
      </c>
      <c r="E797" s="6">
        <v>44000</v>
      </c>
      <c r="F797" s="7">
        <v>-1</v>
      </c>
      <c r="G797" s="7">
        <v>0</v>
      </c>
      <c r="H797" s="7">
        <v>0</v>
      </c>
    </row>
    <row r="798" spans="1:8">
      <c r="A798" s="4" t="s">
        <v>322</v>
      </c>
      <c r="B798" s="4" t="s">
        <v>323</v>
      </c>
      <c r="C798" s="4" t="s">
        <v>1628</v>
      </c>
      <c r="D798" s="4" t="s">
        <v>1761</v>
      </c>
      <c r="E798" s="6">
        <v>43936</v>
      </c>
      <c r="F798" s="7">
        <v>-10</v>
      </c>
      <c r="G798" s="7">
        <v>-7.5200000000000005</v>
      </c>
      <c r="H798" s="7">
        <v>0.01</v>
      </c>
    </row>
    <row r="799" spans="1:8">
      <c r="A799" s="4" t="s">
        <v>322</v>
      </c>
      <c r="B799" s="4" t="s">
        <v>323</v>
      </c>
      <c r="C799" s="4" t="s">
        <v>784</v>
      </c>
      <c r="D799" s="4" t="s">
        <v>1762</v>
      </c>
      <c r="E799" s="6">
        <v>43936</v>
      </c>
      <c r="F799" s="7">
        <v>-1</v>
      </c>
      <c r="G799" s="7">
        <v>0</v>
      </c>
      <c r="H799" s="7">
        <v>0</v>
      </c>
    </row>
    <row r="800" spans="1:8">
      <c r="A800" s="4" t="s">
        <v>326</v>
      </c>
      <c r="B800" s="4" t="s">
        <v>327</v>
      </c>
      <c r="C800" s="4" t="s">
        <v>1763</v>
      </c>
      <c r="D800" s="4" t="s">
        <v>1764</v>
      </c>
      <c r="E800" s="6">
        <v>43938</v>
      </c>
      <c r="F800" s="7">
        <v>-3</v>
      </c>
      <c r="G800" s="7">
        <v>-3.5200000000000005</v>
      </c>
      <c r="H800" s="7">
        <v>0</v>
      </c>
    </row>
    <row r="801" spans="1:8">
      <c r="A801" s="4" t="s">
        <v>326</v>
      </c>
      <c r="B801" s="4" t="s">
        <v>327</v>
      </c>
      <c r="C801" s="4" t="s">
        <v>1298</v>
      </c>
      <c r="D801" s="4" t="s">
        <v>1765</v>
      </c>
      <c r="E801" s="6">
        <v>43938</v>
      </c>
      <c r="F801" s="7">
        <v>-3</v>
      </c>
      <c r="G801" s="7">
        <v>-4.3899999999999997</v>
      </c>
      <c r="H801" s="7">
        <v>0</v>
      </c>
    </row>
    <row r="802" spans="1:8">
      <c r="A802" s="4" t="s">
        <v>326</v>
      </c>
      <c r="B802" s="4" t="s">
        <v>327</v>
      </c>
      <c r="C802" s="4" t="s">
        <v>784</v>
      </c>
      <c r="D802" s="4" t="s">
        <v>1766</v>
      </c>
      <c r="E802" s="6">
        <v>43938</v>
      </c>
      <c r="F802" s="7">
        <v>-1</v>
      </c>
      <c r="G802" s="7">
        <v>0</v>
      </c>
      <c r="H802" s="7">
        <v>0</v>
      </c>
    </row>
    <row r="803" spans="1:8">
      <c r="A803" s="4" t="s">
        <v>340</v>
      </c>
      <c r="B803" s="4" t="s">
        <v>341</v>
      </c>
      <c r="C803" s="4" t="s">
        <v>1767</v>
      </c>
      <c r="D803" s="4" t="s">
        <v>1768</v>
      </c>
      <c r="E803" s="6">
        <v>43949</v>
      </c>
      <c r="F803" s="7">
        <v>-6</v>
      </c>
      <c r="G803" s="7">
        <v>-1214.22</v>
      </c>
      <c r="H803" s="7">
        <v>0</v>
      </c>
    </row>
    <row r="804" spans="1:8">
      <c r="A804" s="4" t="s">
        <v>340</v>
      </c>
      <c r="B804" s="4" t="s">
        <v>341</v>
      </c>
      <c r="C804" s="4" t="s">
        <v>784</v>
      </c>
      <c r="D804" s="4" t="s">
        <v>1769</v>
      </c>
      <c r="E804" s="6">
        <v>43949</v>
      </c>
      <c r="F804" s="7">
        <v>-1</v>
      </c>
      <c r="G804" s="7">
        <v>0</v>
      </c>
      <c r="H804" s="7">
        <v>0</v>
      </c>
    </row>
    <row r="805" spans="1:8">
      <c r="A805" s="4" t="s">
        <v>330</v>
      </c>
      <c r="B805" s="4" t="s">
        <v>331</v>
      </c>
      <c r="C805" s="4" t="s">
        <v>1770</v>
      </c>
      <c r="D805" s="4" t="s">
        <v>1771</v>
      </c>
      <c r="E805" s="6">
        <v>43942</v>
      </c>
      <c r="F805" s="7">
        <v>-2</v>
      </c>
      <c r="G805" s="7">
        <v>0</v>
      </c>
      <c r="H805" s="7">
        <v>0</v>
      </c>
    </row>
    <row r="806" spans="1:8">
      <c r="A806" s="4" t="s">
        <v>344</v>
      </c>
      <c r="B806" s="4" t="s">
        <v>345</v>
      </c>
      <c r="C806" s="4" t="s">
        <v>1628</v>
      </c>
      <c r="D806" s="4" t="s">
        <v>1772</v>
      </c>
      <c r="E806" s="6">
        <v>43950</v>
      </c>
      <c r="F806" s="7">
        <v>-50</v>
      </c>
      <c r="G806" s="7">
        <v>-37.58</v>
      </c>
      <c r="H806" s="7">
        <v>0</v>
      </c>
    </row>
    <row r="807" spans="1:8">
      <c r="A807" s="4" t="s">
        <v>344</v>
      </c>
      <c r="B807" s="4" t="s">
        <v>345</v>
      </c>
      <c r="C807" s="4" t="s">
        <v>976</v>
      </c>
      <c r="D807" s="4" t="s">
        <v>1773</v>
      </c>
      <c r="E807" s="6">
        <v>43950</v>
      </c>
      <c r="F807" s="7">
        <v>-50</v>
      </c>
      <c r="G807" s="7">
        <v>-40.89</v>
      </c>
      <c r="H807" s="7">
        <v>0</v>
      </c>
    </row>
    <row r="808" spans="1:8">
      <c r="A808" s="4" t="s">
        <v>344</v>
      </c>
      <c r="B808" s="4" t="s">
        <v>345</v>
      </c>
      <c r="C808" s="4" t="s">
        <v>1220</v>
      </c>
      <c r="D808" s="4" t="s">
        <v>1774</v>
      </c>
      <c r="E808" s="6">
        <v>43950</v>
      </c>
      <c r="F808" s="7">
        <v>-50</v>
      </c>
      <c r="G808" s="7">
        <v>-36.04</v>
      </c>
      <c r="H808" s="7">
        <v>0</v>
      </c>
    </row>
    <row r="809" spans="1:8">
      <c r="A809" s="4" t="s">
        <v>344</v>
      </c>
      <c r="B809" s="4" t="s">
        <v>345</v>
      </c>
      <c r="C809" s="4" t="s">
        <v>1763</v>
      </c>
      <c r="D809" s="4" t="s">
        <v>1775</v>
      </c>
      <c r="E809" s="6">
        <v>43950</v>
      </c>
      <c r="F809" s="7">
        <v>-50</v>
      </c>
      <c r="G809" s="7">
        <v>-58.7</v>
      </c>
      <c r="H809" s="7">
        <v>0</v>
      </c>
    </row>
    <row r="810" spans="1:8">
      <c r="A810" s="4" t="s">
        <v>344</v>
      </c>
      <c r="B810" s="4" t="s">
        <v>345</v>
      </c>
      <c r="C810" s="4" t="s">
        <v>1632</v>
      </c>
      <c r="D810" s="4" t="s">
        <v>1776</v>
      </c>
      <c r="E810" s="6">
        <v>43950</v>
      </c>
      <c r="F810" s="7">
        <v>-50</v>
      </c>
      <c r="G810" s="7">
        <v>-60.6</v>
      </c>
      <c r="H810" s="7">
        <v>-0.01</v>
      </c>
    </row>
    <row r="811" spans="1:8">
      <c r="A811" s="4" t="s">
        <v>344</v>
      </c>
      <c r="B811" s="4" t="s">
        <v>345</v>
      </c>
      <c r="C811" s="4" t="s">
        <v>1777</v>
      </c>
      <c r="D811" s="4" t="s">
        <v>1778</v>
      </c>
      <c r="E811" s="6">
        <v>43950</v>
      </c>
      <c r="F811" s="7">
        <v>-50</v>
      </c>
      <c r="G811" s="7">
        <v>-63.95</v>
      </c>
      <c r="H811" s="7">
        <v>0</v>
      </c>
    </row>
    <row r="812" spans="1:8">
      <c r="A812" s="4" t="s">
        <v>344</v>
      </c>
      <c r="B812" s="4" t="s">
        <v>345</v>
      </c>
      <c r="C812" s="4" t="s">
        <v>1401</v>
      </c>
      <c r="D812" s="4" t="s">
        <v>1779</v>
      </c>
      <c r="E812" s="6">
        <v>43950</v>
      </c>
      <c r="F812" s="7">
        <v>-50</v>
      </c>
      <c r="G812" s="7">
        <v>-43.65</v>
      </c>
      <c r="H812" s="7">
        <v>-0.01</v>
      </c>
    </row>
    <row r="813" spans="1:8">
      <c r="A813" s="4" t="s">
        <v>344</v>
      </c>
      <c r="B813" s="4" t="s">
        <v>345</v>
      </c>
      <c r="C813" s="4" t="s">
        <v>817</v>
      </c>
      <c r="D813" s="4" t="s">
        <v>1780</v>
      </c>
      <c r="E813" s="6">
        <v>43950</v>
      </c>
      <c r="F813" s="7">
        <v>-50</v>
      </c>
      <c r="G813" s="7">
        <v>-47.37</v>
      </c>
      <c r="H813" s="7">
        <v>0.01</v>
      </c>
    </row>
    <row r="814" spans="1:8">
      <c r="A814" s="4" t="s">
        <v>344</v>
      </c>
      <c r="B814" s="4" t="s">
        <v>345</v>
      </c>
      <c r="C814" s="4" t="s">
        <v>867</v>
      </c>
      <c r="D814" s="4" t="s">
        <v>1781</v>
      </c>
      <c r="E814" s="6">
        <v>43950</v>
      </c>
      <c r="F814" s="7">
        <v>-50</v>
      </c>
      <c r="G814" s="7">
        <v>-53.71</v>
      </c>
      <c r="H814" s="7">
        <v>0</v>
      </c>
    </row>
    <row r="815" spans="1:8">
      <c r="A815" s="4" t="s">
        <v>344</v>
      </c>
      <c r="B815" s="4" t="s">
        <v>345</v>
      </c>
      <c r="C815" s="4" t="s">
        <v>1439</v>
      </c>
      <c r="D815" s="4" t="s">
        <v>1782</v>
      </c>
      <c r="E815" s="6">
        <v>43950</v>
      </c>
      <c r="F815" s="7">
        <v>-50</v>
      </c>
      <c r="G815" s="7">
        <v>-100.26</v>
      </c>
      <c r="H815" s="7">
        <v>0</v>
      </c>
    </row>
    <row r="816" spans="1:8">
      <c r="A816" s="4" t="s">
        <v>344</v>
      </c>
      <c r="B816" s="4" t="s">
        <v>345</v>
      </c>
      <c r="C816" s="4" t="s">
        <v>1104</v>
      </c>
      <c r="D816" s="4" t="s">
        <v>1783</v>
      </c>
      <c r="E816" s="6">
        <v>43950</v>
      </c>
      <c r="F816" s="7">
        <v>-20</v>
      </c>
      <c r="G816" s="7">
        <v>-27.4</v>
      </c>
      <c r="H816" s="7">
        <v>0.01</v>
      </c>
    </row>
    <row r="817" spans="1:8">
      <c r="A817" s="4" t="s">
        <v>344</v>
      </c>
      <c r="B817" s="4" t="s">
        <v>345</v>
      </c>
      <c r="C817" s="4" t="s">
        <v>944</v>
      </c>
      <c r="D817" s="4" t="s">
        <v>1784</v>
      </c>
      <c r="E817" s="6">
        <v>43950</v>
      </c>
      <c r="F817" s="7">
        <v>-20</v>
      </c>
      <c r="G817" s="7">
        <v>-29.99</v>
      </c>
      <c r="H817" s="7">
        <v>0</v>
      </c>
    </row>
    <row r="818" spans="1:8">
      <c r="A818" s="4" t="s">
        <v>344</v>
      </c>
      <c r="B818" s="4" t="s">
        <v>345</v>
      </c>
      <c r="C818" s="4" t="s">
        <v>1106</v>
      </c>
      <c r="D818" s="4" t="s">
        <v>1785</v>
      </c>
      <c r="E818" s="6">
        <v>43950</v>
      </c>
      <c r="F818" s="7">
        <v>-20</v>
      </c>
      <c r="G818" s="7">
        <v>-27.37</v>
      </c>
      <c r="H818" s="7">
        <v>0</v>
      </c>
    </row>
    <row r="819" spans="1:8">
      <c r="A819" s="4" t="s">
        <v>344</v>
      </c>
      <c r="B819" s="4" t="s">
        <v>345</v>
      </c>
      <c r="C819" s="4" t="s">
        <v>1786</v>
      </c>
      <c r="D819" s="4" t="s">
        <v>1787</v>
      </c>
      <c r="E819" s="6">
        <v>43950</v>
      </c>
      <c r="F819" s="7">
        <v>-20</v>
      </c>
      <c r="G819" s="7">
        <v>-36.22</v>
      </c>
      <c r="H819" s="7">
        <v>0</v>
      </c>
    </row>
    <row r="820" spans="1:8">
      <c r="A820" s="4" t="s">
        <v>344</v>
      </c>
      <c r="B820" s="4" t="s">
        <v>345</v>
      </c>
      <c r="C820" s="4" t="s">
        <v>887</v>
      </c>
      <c r="D820" s="4" t="s">
        <v>1788</v>
      </c>
      <c r="E820" s="6">
        <v>43950</v>
      </c>
      <c r="F820" s="7">
        <v>-20</v>
      </c>
      <c r="G820" s="7">
        <v>-8.18</v>
      </c>
      <c r="H820" s="7">
        <v>0.01</v>
      </c>
    </row>
    <row r="821" spans="1:8">
      <c r="A821" s="4" t="s">
        <v>344</v>
      </c>
      <c r="B821" s="4" t="s">
        <v>345</v>
      </c>
      <c r="C821" s="4" t="s">
        <v>993</v>
      </c>
      <c r="D821" s="4" t="s">
        <v>1789</v>
      </c>
      <c r="E821" s="6">
        <v>43950</v>
      </c>
      <c r="F821" s="7">
        <v>-20</v>
      </c>
      <c r="G821" s="7">
        <v>-7.06</v>
      </c>
      <c r="H821" s="7">
        <v>0</v>
      </c>
    </row>
    <row r="822" spans="1:8">
      <c r="A822" s="4" t="s">
        <v>344</v>
      </c>
      <c r="B822" s="4" t="s">
        <v>345</v>
      </c>
      <c r="C822" s="4" t="s">
        <v>784</v>
      </c>
      <c r="D822" s="4" t="s">
        <v>1790</v>
      </c>
      <c r="E822" s="6">
        <v>43950</v>
      </c>
      <c r="F822" s="7">
        <v>-1</v>
      </c>
      <c r="G822" s="7">
        <v>0</v>
      </c>
      <c r="H822" s="7">
        <v>0</v>
      </c>
    </row>
    <row r="823" spans="1:8">
      <c r="A823" s="4" t="s">
        <v>344</v>
      </c>
      <c r="B823" s="4" t="s">
        <v>345</v>
      </c>
      <c r="C823" s="4" t="s">
        <v>1126</v>
      </c>
      <c r="D823" s="4" t="s">
        <v>1791</v>
      </c>
      <c r="E823" s="6">
        <v>43950</v>
      </c>
      <c r="F823" s="7">
        <v>-25</v>
      </c>
      <c r="G823" s="7">
        <v>-35.11</v>
      </c>
      <c r="H823" s="7">
        <v>0</v>
      </c>
    </row>
    <row r="824" spans="1:8">
      <c r="A824" s="4" t="s">
        <v>512</v>
      </c>
      <c r="B824" s="4" t="s">
        <v>513</v>
      </c>
      <c r="C824" s="4" t="s">
        <v>887</v>
      </c>
      <c r="D824" s="4" t="s">
        <v>1792</v>
      </c>
      <c r="E824" s="6">
        <v>44013</v>
      </c>
      <c r="F824" s="7">
        <v>-100</v>
      </c>
      <c r="G824" s="7">
        <v>-40.89</v>
      </c>
      <c r="H824" s="7">
        <v>-0.01</v>
      </c>
    </row>
    <row r="825" spans="1:8">
      <c r="A825" s="4" t="s">
        <v>512</v>
      </c>
      <c r="B825" s="4" t="s">
        <v>513</v>
      </c>
      <c r="C825" s="4" t="s">
        <v>993</v>
      </c>
      <c r="D825" s="4" t="s">
        <v>1793</v>
      </c>
      <c r="E825" s="6">
        <v>44013</v>
      </c>
      <c r="F825" s="7">
        <v>-100</v>
      </c>
      <c r="G825" s="7">
        <v>-35.31</v>
      </c>
      <c r="H825" s="7">
        <v>0</v>
      </c>
    </row>
    <row r="826" spans="1:8">
      <c r="A826" s="4" t="s">
        <v>354</v>
      </c>
      <c r="B826" s="4" t="s">
        <v>355</v>
      </c>
      <c r="C826" s="4" t="s">
        <v>1126</v>
      </c>
      <c r="D826" s="4" t="s">
        <v>1794</v>
      </c>
      <c r="E826" s="6">
        <v>43951</v>
      </c>
      <c r="F826" s="7">
        <v>-50</v>
      </c>
      <c r="G826" s="7">
        <v>-70.22</v>
      </c>
      <c r="H826" s="7">
        <v>0</v>
      </c>
    </row>
    <row r="827" spans="1:8">
      <c r="A827" s="4" t="s">
        <v>354</v>
      </c>
      <c r="B827" s="4" t="s">
        <v>355</v>
      </c>
      <c r="C827" s="4" t="s">
        <v>1795</v>
      </c>
      <c r="D827" s="4" t="s">
        <v>1796</v>
      </c>
      <c r="E827" s="6">
        <v>43951</v>
      </c>
      <c r="F827" s="7">
        <v>-50</v>
      </c>
      <c r="G827" s="7">
        <v>-35.11</v>
      </c>
      <c r="H827" s="7">
        <v>0</v>
      </c>
    </row>
    <row r="828" spans="1:8">
      <c r="A828" s="4" t="s">
        <v>354</v>
      </c>
      <c r="B828" s="4" t="s">
        <v>355</v>
      </c>
      <c r="C828" s="4" t="s">
        <v>784</v>
      </c>
      <c r="D828" s="4" t="s">
        <v>1797</v>
      </c>
      <c r="E828" s="6">
        <v>43951</v>
      </c>
      <c r="F828" s="7">
        <v>-1</v>
      </c>
      <c r="G828" s="7">
        <v>0</v>
      </c>
      <c r="H828" s="7">
        <v>0</v>
      </c>
    </row>
    <row r="829" spans="1:8">
      <c r="A829" s="4" t="s">
        <v>358</v>
      </c>
      <c r="B829" s="4" t="s">
        <v>359</v>
      </c>
      <c r="C829" s="4" t="s">
        <v>976</v>
      </c>
      <c r="D829" s="4" t="s">
        <v>1798</v>
      </c>
      <c r="E829" s="6">
        <v>43951</v>
      </c>
      <c r="F829" s="7">
        <v>-100</v>
      </c>
      <c r="G829" s="7">
        <v>-81.790000000000006</v>
      </c>
      <c r="H829" s="7">
        <v>0</v>
      </c>
    </row>
    <row r="830" spans="1:8">
      <c r="A830" s="4" t="s">
        <v>358</v>
      </c>
      <c r="B830" s="4" t="s">
        <v>359</v>
      </c>
      <c r="C830" s="4" t="s">
        <v>1401</v>
      </c>
      <c r="D830" s="4" t="s">
        <v>1799</v>
      </c>
      <c r="E830" s="6">
        <v>43951</v>
      </c>
      <c r="F830" s="7">
        <v>-50</v>
      </c>
      <c r="G830" s="7">
        <v>-43.65</v>
      </c>
      <c r="H830" s="7">
        <v>0</v>
      </c>
    </row>
    <row r="831" spans="1:8">
      <c r="A831" s="4" t="s">
        <v>358</v>
      </c>
      <c r="B831" s="4" t="s">
        <v>359</v>
      </c>
      <c r="C831" s="4" t="s">
        <v>966</v>
      </c>
      <c r="D831" s="4" t="s">
        <v>1800</v>
      </c>
      <c r="E831" s="6">
        <v>43951</v>
      </c>
      <c r="F831" s="7">
        <v>-50</v>
      </c>
      <c r="G831" s="7">
        <v>-26.86</v>
      </c>
      <c r="H831" s="7">
        <v>0.01</v>
      </c>
    </row>
    <row r="832" spans="1:8">
      <c r="A832" s="4" t="s">
        <v>358</v>
      </c>
      <c r="B832" s="4" t="s">
        <v>359</v>
      </c>
      <c r="C832" s="4" t="s">
        <v>1366</v>
      </c>
      <c r="D832" s="4" t="s">
        <v>1801</v>
      </c>
      <c r="E832" s="6">
        <v>43951</v>
      </c>
      <c r="F832" s="7">
        <v>-50</v>
      </c>
      <c r="G832" s="7">
        <v>-60.12</v>
      </c>
      <c r="H832" s="7">
        <v>0</v>
      </c>
    </row>
    <row r="833" spans="1:8">
      <c r="A833" s="4" t="s">
        <v>358</v>
      </c>
      <c r="B833" s="4" t="s">
        <v>359</v>
      </c>
      <c r="C833" s="4" t="s">
        <v>952</v>
      </c>
      <c r="D833" s="4" t="s">
        <v>1802</v>
      </c>
      <c r="E833" s="6">
        <v>43951</v>
      </c>
      <c r="F833" s="7">
        <v>-50</v>
      </c>
      <c r="G833" s="7">
        <v>-33.07</v>
      </c>
      <c r="H833" s="7">
        <v>0</v>
      </c>
    </row>
    <row r="834" spans="1:8">
      <c r="A834" s="4" t="s">
        <v>358</v>
      </c>
      <c r="B834" s="4" t="s">
        <v>359</v>
      </c>
      <c r="C834" s="4" t="s">
        <v>1202</v>
      </c>
      <c r="D834" s="4" t="s">
        <v>1803</v>
      </c>
      <c r="E834" s="6">
        <v>43951</v>
      </c>
      <c r="F834" s="7">
        <v>-50</v>
      </c>
      <c r="G834" s="7">
        <v>-56.92</v>
      </c>
      <c r="H834" s="7">
        <v>0</v>
      </c>
    </row>
    <row r="835" spans="1:8">
      <c r="A835" s="4" t="s">
        <v>358</v>
      </c>
      <c r="B835" s="4" t="s">
        <v>359</v>
      </c>
      <c r="C835" s="4" t="s">
        <v>1005</v>
      </c>
      <c r="D835" s="4" t="s">
        <v>1804</v>
      </c>
      <c r="E835" s="6">
        <v>43951</v>
      </c>
      <c r="F835" s="7">
        <v>-100</v>
      </c>
      <c r="G835" s="7">
        <v>-74.489999999999995</v>
      </c>
      <c r="H835" s="7">
        <v>0</v>
      </c>
    </row>
    <row r="836" spans="1:8">
      <c r="A836" s="4" t="s">
        <v>358</v>
      </c>
      <c r="B836" s="4" t="s">
        <v>359</v>
      </c>
      <c r="C836" s="4" t="s">
        <v>885</v>
      </c>
      <c r="D836" s="4" t="s">
        <v>1805</v>
      </c>
      <c r="E836" s="6">
        <v>43951</v>
      </c>
      <c r="F836" s="7">
        <v>-100</v>
      </c>
      <c r="G836" s="7">
        <v>-433.43</v>
      </c>
      <c r="H836" s="7">
        <v>0</v>
      </c>
    </row>
    <row r="837" spans="1:8">
      <c r="A837" s="4" t="s">
        <v>358</v>
      </c>
      <c r="B837" s="4" t="s">
        <v>359</v>
      </c>
      <c r="C837" s="4" t="s">
        <v>784</v>
      </c>
      <c r="D837" s="4" t="s">
        <v>1806</v>
      </c>
      <c r="E837" s="6">
        <v>43951</v>
      </c>
      <c r="F837" s="7">
        <v>-1</v>
      </c>
      <c r="G837" s="7">
        <v>0</v>
      </c>
      <c r="H837" s="7">
        <v>0</v>
      </c>
    </row>
    <row r="838" spans="1:8">
      <c r="A838" s="4" t="s">
        <v>352</v>
      </c>
      <c r="B838" s="4" t="s">
        <v>353</v>
      </c>
      <c r="C838" s="4" t="s">
        <v>916</v>
      </c>
      <c r="D838" s="4" t="s">
        <v>1807</v>
      </c>
      <c r="E838" s="6">
        <v>43951</v>
      </c>
      <c r="F838" s="7">
        <v>-200</v>
      </c>
      <c r="G838" s="7">
        <v>-75.16</v>
      </c>
      <c r="H838" s="7">
        <v>0</v>
      </c>
    </row>
    <row r="839" spans="1:8">
      <c r="A839" s="4" t="s">
        <v>352</v>
      </c>
      <c r="B839" s="4" t="s">
        <v>353</v>
      </c>
      <c r="C839" s="4" t="s">
        <v>891</v>
      </c>
      <c r="D839" s="4" t="s">
        <v>1808</v>
      </c>
      <c r="E839" s="6">
        <v>43951</v>
      </c>
      <c r="F839" s="7">
        <v>-100</v>
      </c>
      <c r="G839" s="7">
        <v>-73.09</v>
      </c>
      <c r="H839" s="7">
        <v>0</v>
      </c>
    </row>
    <row r="840" spans="1:8">
      <c r="A840" s="4" t="s">
        <v>352</v>
      </c>
      <c r="B840" s="4" t="s">
        <v>353</v>
      </c>
      <c r="C840" s="4" t="s">
        <v>883</v>
      </c>
      <c r="D840" s="4" t="s">
        <v>1809</v>
      </c>
      <c r="E840" s="6">
        <v>43951</v>
      </c>
      <c r="F840" s="7">
        <v>-100</v>
      </c>
      <c r="G840" s="7">
        <v>-79.78</v>
      </c>
      <c r="H840" s="7">
        <v>0</v>
      </c>
    </row>
    <row r="841" spans="1:8">
      <c r="A841" s="4" t="s">
        <v>352</v>
      </c>
      <c r="B841" s="4" t="s">
        <v>353</v>
      </c>
      <c r="C841" s="4" t="s">
        <v>1810</v>
      </c>
      <c r="D841" s="4" t="s">
        <v>1811</v>
      </c>
      <c r="E841" s="6">
        <v>43951</v>
      </c>
      <c r="F841" s="7">
        <v>-100</v>
      </c>
      <c r="G841" s="7">
        <v>-128.34</v>
      </c>
      <c r="H841" s="7">
        <v>0</v>
      </c>
    </row>
    <row r="842" spans="1:8">
      <c r="A842" s="4" t="s">
        <v>352</v>
      </c>
      <c r="B842" s="4" t="s">
        <v>353</v>
      </c>
      <c r="C842" s="4" t="s">
        <v>1040</v>
      </c>
      <c r="D842" s="4" t="s">
        <v>1812</v>
      </c>
      <c r="E842" s="6">
        <v>43951</v>
      </c>
      <c r="F842" s="7">
        <v>-200</v>
      </c>
      <c r="G842" s="7">
        <v>-322.89</v>
      </c>
      <c r="H842" s="7">
        <v>-0.01</v>
      </c>
    </row>
    <row r="843" spans="1:8">
      <c r="A843" s="4" t="s">
        <v>352</v>
      </c>
      <c r="B843" s="4" t="s">
        <v>353</v>
      </c>
      <c r="C843" s="4" t="s">
        <v>784</v>
      </c>
      <c r="D843" s="4" t="s">
        <v>1813</v>
      </c>
      <c r="E843" s="6">
        <v>43951</v>
      </c>
      <c r="F843" s="7">
        <v>-1</v>
      </c>
      <c r="G843" s="7">
        <v>0</v>
      </c>
      <c r="H843" s="7">
        <v>0</v>
      </c>
    </row>
    <row r="844" spans="1:8">
      <c r="A844" s="4" t="s">
        <v>349</v>
      </c>
      <c r="B844" s="4" t="s">
        <v>350</v>
      </c>
      <c r="C844" s="4" t="s">
        <v>815</v>
      </c>
      <c r="D844" s="4" t="s">
        <v>1814</v>
      </c>
      <c r="E844" s="6">
        <v>43951</v>
      </c>
      <c r="F844" s="7">
        <v>-200</v>
      </c>
      <c r="G844" s="7">
        <v>-375.48</v>
      </c>
      <c r="H844" s="7">
        <v>0</v>
      </c>
    </row>
    <row r="845" spans="1:8">
      <c r="A845" s="4" t="s">
        <v>349</v>
      </c>
      <c r="B845" s="4" t="s">
        <v>350</v>
      </c>
      <c r="C845" s="4" t="s">
        <v>1109</v>
      </c>
      <c r="D845" s="4" t="s">
        <v>1815</v>
      </c>
      <c r="E845" s="6">
        <v>43951</v>
      </c>
      <c r="F845" s="7">
        <v>-100</v>
      </c>
      <c r="G845" s="7">
        <v>-312.55</v>
      </c>
      <c r="H845" s="7">
        <v>0</v>
      </c>
    </row>
    <row r="846" spans="1:8">
      <c r="A846" s="4" t="s">
        <v>349</v>
      </c>
      <c r="B846" s="4" t="s">
        <v>350</v>
      </c>
      <c r="C846" s="4" t="s">
        <v>823</v>
      </c>
      <c r="D846" s="4" t="s">
        <v>1816</v>
      </c>
      <c r="E846" s="6">
        <v>43951</v>
      </c>
      <c r="F846" s="7">
        <v>-50</v>
      </c>
      <c r="G846" s="7">
        <v>-179.72</v>
      </c>
      <c r="H846" s="7">
        <v>0</v>
      </c>
    </row>
    <row r="847" spans="1:8">
      <c r="A847" s="4" t="s">
        <v>349</v>
      </c>
      <c r="B847" s="4" t="s">
        <v>350</v>
      </c>
      <c r="C847" s="4" t="s">
        <v>784</v>
      </c>
      <c r="D847" s="4" t="s">
        <v>1817</v>
      </c>
      <c r="E847" s="6">
        <v>43951</v>
      </c>
      <c r="F847" s="7">
        <v>-1</v>
      </c>
      <c r="G847" s="7">
        <v>0</v>
      </c>
      <c r="H847" s="7">
        <v>0</v>
      </c>
    </row>
    <row r="848" spans="1:8">
      <c r="A848" s="4" t="s">
        <v>367</v>
      </c>
      <c r="B848" s="4" t="s">
        <v>368</v>
      </c>
      <c r="C848" s="4" t="s">
        <v>1600</v>
      </c>
      <c r="D848" s="4" t="s">
        <v>1818</v>
      </c>
      <c r="E848" s="6">
        <v>43957</v>
      </c>
      <c r="F848" s="7">
        <v>-100</v>
      </c>
      <c r="G848" s="7">
        <v>-76.83</v>
      </c>
      <c r="H848" s="7">
        <v>-0.01</v>
      </c>
    </row>
    <row r="849" spans="1:8">
      <c r="A849" s="4" t="s">
        <v>367</v>
      </c>
      <c r="B849" s="4" t="s">
        <v>368</v>
      </c>
      <c r="C849" s="4" t="s">
        <v>784</v>
      </c>
      <c r="D849" s="4" t="s">
        <v>1819</v>
      </c>
      <c r="E849" s="6">
        <v>43957</v>
      </c>
      <c r="F849" s="7">
        <v>-1</v>
      </c>
      <c r="G849" s="7">
        <v>0</v>
      </c>
      <c r="H849" s="7">
        <v>0</v>
      </c>
    </row>
    <row r="850" spans="1:8">
      <c r="A850" s="4" t="s">
        <v>362</v>
      </c>
      <c r="B850" s="4" t="s">
        <v>363</v>
      </c>
      <c r="C850" s="4" t="s">
        <v>887</v>
      </c>
      <c r="D850" s="4" t="s">
        <v>1820</v>
      </c>
      <c r="E850" s="6">
        <v>43957</v>
      </c>
      <c r="F850" s="7">
        <v>-40</v>
      </c>
      <c r="G850" s="7">
        <v>-16.36</v>
      </c>
      <c r="H850" s="7">
        <v>0</v>
      </c>
    </row>
    <row r="851" spans="1:8">
      <c r="A851" s="4" t="s">
        <v>362</v>
      </c>
      <c r="B851" s="4" t="s">
        <v>363</v>
      </c>
      <c r="C851" s="4" t="s">
        <v>1131</v>
      </c>
      <c r="D851" s="4" t="s">
        <v>1821</v>
      </c>
      <c r="E851" s="6">
        <v>43957</v>
      </c>
      <c r="F851" s="7">
        <v>-150</v>
      </c>
      <c r="G851" s="7">
        <v>-26.48</v>
      </c>
      <c r="H851" s="7">
        <v>0.01</v>
      </c>
    </row>
    <row r="852" spans="1:8">
      <c r="A852" s="4" t="s">
        <v>362</v>
      </c>
      <c r="B852" s="4" t="s">
        <v>363</v>
      </c>
      <c r="C852" s="4" t="s">
        <v>993</v>
      </c>
      <c r="D852" s="4" t="s">
        <v>1822</v>
      </c>
      <c r="E852" s="6">
        <v>43957</v>
      </c>
      <c r="F852" s="7">
        <v>-100</v>
      </c>
      <c r="G852" s="7">
        <v>-35.299999999999997</v>
      </c>
      <c r="H852" s="7">
        <v>0</v>
      </c>
    </row>
    <row r="853" spans="1:8">
      <c r="A853" s="4" t="s">
        <v>362</v>
      </c>
      <c r="B853" s="4" t="s">
        <v>363</v>
      </c>
      <c r="C853" s="4" t="s">
        <v>889</v>
      </c>
      <c r="D853" s="4" t="s">
        <v>1823</v>
      </c>
      <c r="E853" s="6">
        <v>43957</v>
      </c>
      <c r="F853" s="7">
        <v>-50</v>
      </c>
      <c r="G853" s="7">
        <v>-22.34</v>
      </c>
      <c r="H853" s="7">
        <v>0.01</v>
      </c>
    </row>
    <row r="854" spans="1:8">
      <c r="A854" s="4" t="s">
        <v>362</v>
      </c>
      <c r="B854" s="4" t="s">
        <v>363</v>
      </c>
      <c r="C854" s="4" t="s">
        <v>1063</v>
      </c>
      <c r="D854" s="4" t="s">
        <v>1824</v>
      </c>
      <c r="E854" s="6">
        <v>43957</v>
      </c>
      <c r="F854" s="7">
        <v>-20</v>
      </c>
      <c r="G854" s="7">
        <v>-13.7</v>
      </c>
      <c r="H854" s="7">
        <v>0</v>
      </c>
    </row>
    <row r="855" spans="1:8">
      <c r="A855" s="4" t="s">
        <v>362</v>
      </c>
      <c r="B855" s="4" t="s">
        <v>363</v>
      </c>
      <c r="C855" s="4" t="s">
        <v>1146</v>
      </c>
      <c r="D855" s="4" t="s">
        <v>1825</v>
      </c>
      <c r="E855" s="6">
        <v>43957</v>
      </c>
      <c r="F855" s="7">
        <v>-25</v>
      </c>
      <c r="G855" s="7">
        <v>-20.059999999999999</v>
      </c>
      <c r="H855" s="7">
        <v>-0.01</v>
      </c>
    </row>
    <row r="856" spans="1:8">
      <c r="A856" s="4" t="s">
        <v>362</v>
      </c>
      <c r="B856" s="4" t="s">
        <v>363</v>
      </c>
      <c r="C856" s="4" t="s">
        <v>1600</v>
      </c>
      <c r="D856" s="4" t="s">
        <v>1826</v>
      </c>
      <c r="E856" s="6">
        <v>43957</v>
      </c>
      <c r="F856" s="7">
        <v>-100</v>
      </c>
      <c r="G856" s="7">
        <v>-76.83</v>
      </c>
      <c r="H856" s="7">
        <v>0</v>
      </c>
    </row>
    <row r="857" spans="1:8">
      <c r="A857" s="4" t="s">
        <v>362</v>
      </c>
      <c r="B857" s="4" t="s">
        <v>363</v>
      </c>
      <c r="C857" s="4" t="s">
        <v>853</v>
      </c>
      <c r="D857" s="4" t="s">
        <v>1827</v>
      </c>
      <c r="E857" s="6">
        <v>43957</v>
      </c>
      <c r="F857" s="7">
        <v>-25</v>
      </c>
      <c r="G857" s="7">
        <v>-44.93</v>
      </c>
      <c r="H857" s="7">
        <v>0</v>
      </c>
    </row>
    <row r="858" spans="1:8">
      <c r="A858" s="4" t="s">
        <v>362</v>
      </c>
      <c r="B858" s="4" t="s">
        <v>363</v>
      </c>
      <c r="C858" s="4" t="s">
        <v>1828</v>
      </c>
      <c r="D858" s="4" t="s">
        <v>1829</v>
      </c>
      <c r="E858" s="6">
        <v>43957</v>
      </c>
      <c r="F858" s="7">
        <v>-22</v>
      </c>
      <c r="G858" s="7">
        <v>-6.5299999999999994</v>
      </c>
      <c r="H858" s="7">
        <v>-0.01</v>
      </c>
    </row>
    <row r="859" spans="1:8">
      <c r="A859" s="4" t="s">
        <v>362</v>
      </c>
      <c r="B859" s="4" t="s">
        <v>363</v>
      </c>
      <c r="C859" s="4" t="s">
        <v>784</v>
      </c>
      <c r="D859" s="4" t="s">
        <v>1830</v>
      </c>
      <c r="E859" s="6">
        <v>43957</v>
      </c>
      <c r="F859" s="7">
        <v>-1</v>
      </c>
      <c r="G859" s="7">
        <v>0</v>
      </c>
      <c r="H859" s="7">
        <v>0</v>
      </c>
    </row>
    <row r="860" spans="1:8">
      <c r="A860" s="4" t="s">
        <v>364</v>
      </c>
      <c r="B860" s="4" t="s">
        <v>365</v>
      </c>
      <c r="C860" s="4" t="s">
        <v>881</v>
      </c>
      <c r="D860" s="4" t="s">
        <v>1831</v>
      </c>
      <c r="E860" s="6">
        <v>43957</v>
      </c>
      <c r="F860" s="7">
        <v>-50</v>
      </c>
      <c r="G860" s="7">
        <v>-87.74</v>
      </c>
      <c r="H860" s="7">
        <v>0</v>
      </c>
    </row>
    <row r="861" spans="1:8">
      <c r="A861" s="4" t="s">
        <v>364</v>
      </c>
      <c r="B861" s="4" t="s">
        <v>365</v>
      </c>
      <c r="C861" s="4" t="s">
        <v>1404</v>
      </c>
      <c r="D861" s="4" t="s">
        <v>1832</v>
      </c>
      <c r="E861" s="6">
        <v>43957</v>
      </c>
      <c r="F861" s="7">
        <v>-50</v>
      </c>
      <c r="G861" s="7">
        <v>-138.55000000000001</v>
      </c>
      <c r="H861" s="7">
        <v>0.01</v>
      </c>
    </row>
    <row r="862" spans="1:8">
      <c r="A862" s="4" t="s">
        <v>364</v>
      </c>
      <c r="B862" s="4" t="s">
        <v>365</v>
      </c>
      <c r="C862" s="4" t="s">
        <v>1106</v>
      </c>
      <c r="D862" s="4" t="s">
        <v>1833</v>
      </c>
      <c r="E862" s="6">
        <v>43957</v>
      </c>
      <c r="F862" s="7">
        <v>-150</v>
      </c>
      <c r="G862" s="7">
        <v>-205.3</v>
      </c>
      <c r="H862" s="7">
        <v>0</v>
      </c>
    </row>
    <row r="863" spans="1:8">
      <c r="A863" s="4" t="s">
        <v>364</v>
      </c>
      <c r="B863" s="4" t="s">
        <v>365</v>
      </c>
      <c r="C863" s="4" t="s">
        <v>1028</v>
      </c>
      <c r="D863" s="4" t="s">
        <v>1834</v>
      </c>
      <c r="E863" s="6">
        <v>43957</v>
      </c>
      <c r="F863" s="7">
        <v>-100</v>
      </c>
      <c r="G863" s="7">
        <v>-93.87</v>
      </c>
      <c r="H863" s="7">
        <v>-0.01</v>
      </c>
    </row>
    <row r="864" spans="1:8">
      <c r="A864" s="4" t="s">
        <v>364</v>
      </c>
      <c r="B864" s="4" t="s">
        <v>365</v>
      </c>
      <c r="C864" s="4" t="s">
        <v>966</v>
      </c>
      <c r="D864" s="4" t="s">
        <v>1835</v>
      </c>
      <c r="E864" s="6">
        <v>43957</v>
      </c>
      <c r="F864" s="7">
        <v>-50</v>
      </c>
      <c r="G864" s="7">
        <v>-26.86</v>
      </c>
      <c r="H864" s="7">
        <v>0</v>
      </c>
    </row>
    <row r="865" spans="1:8">
      <c r="A865" s="4" t="s">
        <v>364</v>
      </c>
      <c r="B865" s="4" t="s">
        <v>365</v>
      </c>
      <c r="C865" s="4" t="s">
        <v>993</v>
      </c>
      <c r="D865" s="4" t="s">
        <v>1836</v>
      </c>
      <c r="E865" s="6">
        <v>43957</v>
      </c>
      <c r="F865" s="7">
        <v>-50</v>
      </c>
      <c r="G865" s="7">
        <v>-17.649999999999999</v>
      </c>
      <c r="H865" s="7">
        <v>0</v>
      </c>
    </row>
    <row r="866" spans="1:8">
      <c r="A866" s="4" t="s">
        <v>364</v>
      </c>
      <c r="B866" s="4" t="s">
        <v>365</v>
      </c>
      <c r="C866" s="4" t="s">
        <v>936</v>
      </c>
      <c r="D866" s="4" t="s">
        <v>1837</v>
      </c>
      <c r="E866" s="6">
        <v>43957</v>
      </c>
      <c r="F866" s="7">
        <v>-50</v>
      </c>
      <c r="G866" s="7">
        <v>-23.68</v>
      </c>
      <c r="H866" s="7">
        <v>0</v>
      </c>
    </row>
    <row r="867" spans="1:8">
      <c r="A867" s="4" t="s">
        <v>364</v>
      </c>
      <c r="B867" s="4" t="s">
        <v>365</v>
      </c>
      <c r="C867" s="4" t="s">
        <v>1015</v>
      </c>
      <c r="D867" s="4" t="s">
        <v>1838</v>
      </c>
      <c r="E867" s="6">
        <v>43957</v>
      </c>
      <c r="F867" s="7">
        <v>-50</v>
      </c>
      <c r="G867" s="7">
        <v>-46.23</v>
      </c>
      <c r="H867" s="7">
        <v>-0.01</v>
      </c>
    </row>
    <row r="868" spans="1:8">
      <c r="A868" s="4" t="s">
        <v>364</v>
      </c>
      <c r="B868" s="4" t="s">
        <v>365</v>
      </c>
      <c r="C868" s="4" t="s">
        <v>885</v>
      </c>
      <c r="D868" s="4" t="s">
        <v>1839</v>
      </c>
      <c r="E868" s="6">
        <v>43957</v>
      </c>
      <c r="F868" s="7">
        <v>-50</v>
      </c>
      <c r="G868" s="7">
        <v>-216.70999999999998</v>
      </c>
      <c r="H868" s="7">
        <v>-0.01</v>
      </c>
    </row>
    <row r="869" spans="1:8">
      <c r="A869" s="4" t="s">
        <v>364</v>
      </c>
      <c r="B869" s="4" t="s">
        <v>365</v>
      </c>
      <c r="C869" s="4" t="s">
        <v>784</v>
      </c>
      <c r="D869" s="4" t="s">
        <v>1840</v>
      </c>
      <c r="E869" s="6">
        <v>43957</v>
      </c>
      <c r="F869" s="7">
        <v>-1</v>
      </c>
      <c r="G869" s="7">
        <v>0</v>
      </c>
      <c r="H869" s="7">
        <v>0</v>
      </c>
    </row>
    <row r="870" spans="1:8">
      <c r="A870" s="4" t="s">
        <v>750</v>
      </c>
      <c r="B870" s="4" t="s">
        <v>751</v>
      </c>
      <c r="C870" s="4" t="s">
        <v>784</v>
      </c>
      <c r="D870" s="4" t="s">
        <v>1841</v>
      </c>
      <c r="E870" s="6">
        <v>43951</v>
      </c>
      <c r="F870" s="7">
        <v>1</v>
      </c>
      <c r="G870" s="7">
        <v>0</v>
      </c>
      <c r="H870" s="7">
        <v>0</v>
      </c>
    </row>
    <row r="871" spans="1:8">
      <c r="A871" s="4" t="s">
        <v>356</v>
      </c>
      <c r="B871" s="4" t="s">
        <v>357</v>
      </c>
      <c r="C871" s="4" t="s">
        <v>817</v>
      </c>
      <c r="D871" s="4" t="s">
        <v>1842</v>
      </c>
      <c r="E871" s="6">
        <v>43951</v>
      </c>
      <c r="F871" s="7">
        <v>-250</v>
      </c>
      <c r="G871" s="7">
        <v>-236.83</v>
      </c>
      <c r="H871" s="7">
        <v>-0.01</v>
      </c>
    </row>
    <row r="872" spans="1:8">
      <c r="A872" s="4" t="s">
        <v>356</v>
      </c>
      <c r="B872" s="4" t="s">
        <v>357</v>
      </c>
      <c r="C872" s="4" t="s">
        <v>784</v>
      </c>
      <c r="D872" s="4" t="s">
        <v>1843</v>
      </c>
      <c r="E872" s="6">
        <v>43951</v>
      </c>
      <c r="F872" s="7">
        <v>-1</v>
      </c>
      <c r="G872" s="7">
        <v>0</v>
      </c>
      <c r="H872" s="7">
        <v>0</v>
      </c>
    </row>
    <row r="873" spans="1:8">
      <c r="A873" s="4" t="s">
        <v>362</v>
      </c>
      <c r="B873" s="4" t="s">
        <v>363</v>
      </c>
      <c r="C873" s="4" t="s">
        <v>1139</v>
      </c>
      <c r="D873" s="4" t="s">
        <v>1844</v>
      </c>
      <c r="E873" s="6">
        <v>43957</v>
      </c>
      <c r="F873" s="7">
        <v>-50</v>
      </c>
      <c r="G873" s="7">
        <v>-31.2</v>
      </c>
      <c r="H873" s="7">
        <v>0</v>
      </c>
    </row>
    <row r="874" spans="1:8">
      <c r="A874" s="4" t="s">
        <v>374</v>
      </c>
      <c r="B874" s="4" t="s">
        <v>375</v>
      </c>
      <c r="C874" s="4" t="s">
        <v>849</v>
      </c>
      <c r="D874" s="4" t="s">
        <v>1845</v>
      </c>
      <c r="E874" s="6">
        <v>43959</v>
      </c>
      <c r="F874" s="7">
        <v>-2</v>
      </c>
      <c r="G874" s="7">
        <v>-8.379999999999999</v>
      </c>
      <c r="H874" s="7">
        <v>0</v>
      </c>
    </row>
    <row r="875" spans="1:8">
      <c r="A875" s="4" t="s">
        <v>369</v>
      </c>
      <c r="B875" s="4" t="s">
        <v>370</v>
      </c>
      <c r="C875" s="4" t="s">
        <v>813</v>
      </c>
      <c r="D875" s="4" t="s">
        <v>1846</v>
      </c>
      <c r="E875" s="6">
        <v>43959</v>
      </c>
      <c r="F875" s="7">
        <v>-250</v>
      </c>
      <c r="G875" s="7">
        <v>-281.85000000000002</v>
      </c>
      <c r="H875" s="7">
        <v>0</v>
      </c>
    </row>
    <row r="876" spans="1:8">
      <c r="A876" s="4" t="s">
        <v>369</v>
      </c>
      <c r="B876" s="4" t="s">
        <v>370</v>
      </c>
      <c r="C876" s="4" t="s">
        <v>784</v>
      </c>
      <c r="D876" s="4" t="s">
        <v>1847</v>
      </c>
      <c r="E876" s="6">
        <v>43959</v>
      </c>
      <c r="F876" s="7">
        <v>-1</v>
      </c>
      <c r="G876" s="7">
        <v>0</v>
      </c>
      <c r="H876" s="7">
        <v>0</v>
      </c>
    </row>
    <row r="877" spans="1:8">
      <c r="A877" s="4" t="s">
        <v>432</v>
      </c>
      <c r="B877" s="4" t="s">
        <v>433</v>
      </c>
      <c r="C877" s="4" t="s">
        <v>834</v>
      </c>
      <c r="D877" s="4" t="s">
        <v>1848</v>
      </c>
      <c r="E877" s="6">
        <v>43994</v>
      </c>
      <c r="F877" s="7">
        <v>-1099</v>
      </c>
      <c r="G877" s="7">
        <v>-7298.45</v>
      </c>
      <c r="H877" s="7">
        <v>0</v>
      </c>
    </row>
    <row r="878" spans="1:8">
      <c r="A878" s="4" t="s">
        <v>432</v>
      </c>
      <c r="B878" s="4" t="s">
        <v>433</v>
      </c>
      <c r="C878" s="4" t="s">
        <v>795</v>
      </c>
      <c r="D878" s="4" t="s">
        <v>1849</v>
      </c>
      <c r="E878" s="6">
        <v>43994</v>
      </c>
      <c r="F878" s="7">
        <v>-525</v>
      </c>
      <c r="G878" s="7">
        <v>-3332.41</v>
      </c>
      <c r="H878" s="7">
        <v>0</v>
      </c>
    </row>
    <row r="879" spans="1:8">
      <c r="A879" s="4" t="s">
        <v>403</v>
      </c>
      <c r="B879" s="4" t="s">
        <v>404</v>
      </c>
      <c r="C879" s="4" t="s">
        <v>1005</v>
      </c>
      <c r="D879" s="4" t="s">
        <v>1850</v>
      </c>
      <c r="E879" s="6">
        <v>43966</v>
      </c>
      <c r="F879" s="7">
        <v>-100</v>
      </c>
      <c r="G879" s="7">
        <v>-74.489999999999995</v>
      </c>
      <c r="H879" s="7">
        <v>0</v>
      </c>
    </row>
    <row r="880" spans="1:8">
      <c r="A880" s="4" t="s">
        <v>403</v>
      </c>
      <c r="B880" s="4" t="s">
        <v>404</v>
      </c>
      <c r="C880" s="4" t="s">
        <v>1028</v>
      </c>
      <c r="D880" s="4" t="s">
        <v>1851</v>
      </c>
      <c r="E880" s="6">
        <v>43966</v>
      </c>
      <c r="F880" s="7">
        <v>-150</v>
      </c>
      <c r="G880" s="7">
        <v>-140.81</v>
      </c>
      <c r="H880" s="7">
        <v>0</v>
      </c>
    </row>
    <row r="881" spans="1:8">
      <c r="A881" s="4" t="s">
        <v>403</v>
      </c>
      <c r="B881" s="4" t="s">
        <v>404</v>
      </c>
      <c r="C881" s="4" t="s">
        <v>853</v>
      </c>
      <c r="D881" s="4" t="s">
        <v>1852</v>
      </c>
      <c r="E881" s="6">
        <v>43966</v>
      </c>
      <c r="F881" s="7">
        <v>-100</v>
      </c>
      <c r="G881" s="7">
        <v>-179.72</v>
      </c>
      <c r="H881" s="7">
        <v>0</v>
      </c>
    </row>
    <row r="882" spans="1:8">
      <c r="A882" s="4" t="s">
        <v>403</v>
      </c>
      <c r="B882" s="4" t="s">
        <v>404</v>
      </c>
      <c r="C882" s="4" t="s">
        <v>887</v>
      </c>
      <c r="D882" s="4" t="s">
        <v>1853</v>
      </c>
      <c r="E882" s="6">
        <v>43966</v>
      </c>
      <c r="F882" s="7">
        <v>-50</v>
      </c>
      <c r="G882" s="7">
        <v>-20.45</v>
      </c>
      <c r="H882" s="7">
        <v>0.01</v>
      </c>
    </row>
    <row r="883" spans="1:8">
      <c r="A883" s="4" t="s">
        <v>403</v>
      </c>
      <c r="B883" s="4" t="s">
        <v>404</v>
      </c>
      <c r="C883" s="4" t="s">
        <v>993</v>
      </c>
      <c r="D883" s="4" t="s">
        <v>1854</v>
      </c>
      <c r="E883" s="6">
        <v>43966</v>
      </c>
      <c r="F883" s="7">
        <v>-50</v>
      </c>
      <c r="G883" s="7">
        <v>-17.649999999999999</v>
      </c>
      <c r="H883" s="7">
        <v>0</v>
      </c>
    </row>
    <row r="884" spans="1:8">
      <c r="A884" s="4" t="s">
        <v>403</v>
      </c>
      <c r="B884" s="4" t="s">
        <v>404</v>
      </c>
      <c r="C884" s="4" t="s">
        <v>1168</v>
      </c>
      <c r="D884" s="4" t="s">
        <v>1855</v>
      </c>
      <c r="E884" s="6">
        <v>43966</v>
      </c>
      <c r="F884" s="7">
        <v>-50</v>
      </c>
      <c r="G884" s="7">
        <v>-40.47</v>
      </c>
      <c r="H884" s="7">
        <v>-0.01</v>
      </c>
    </row>
    <row r="885" spans="1:8">
      <c r="A885" s="4" t="s">
        <v>403</v>
      </c>
      <c r="B885" s="4" t="s">
        <v>404</v>
      </c>
      <c r="C885" s="4" t="s">
        <v>936</v>
      </c>
      <c r="D885" s="4" t="s">
        <v>1856</v>
      </c>
      <c r="E885" s="6">
        <v>43966</v>
      </c>
      <c r="F885" s="7">
        <v>-50</v>
      </c>
      <c r="G885" s="7">
        <v>-23.68</v>
      </c>
      <c r="H885" s="7">
        <v>0</v>
      </c>
    </row>
    <row r="886" spans="1:8">
      <c r="A886" s="4" t="s">
        <v>403</v>
      </c>
      <c r="B886" s="4" t="s">
        <v>404</v>
      </c>
      <c r="C886" s="4" t="s">
        <v>893</v>
      </c>
      <c r="D886" s="4" t="s">
        <v>1857</v>
      </c>
      <c r="E886" s="6">
        <v>43966</v>
      </c>
      <c r="F886" s="7">
        <v>-50</v>
      </c>
      <c r="G886" s="7">
        <v>-153.67000000000002</v>
      </c>
      <c r="H886" s="7">
        <v>0</v>
      </c>
    </row>
    <row r="887" spans="1:8">
      <c r="A887" s="4" t="s">
        <v>403</v>
      </c>
      <c r="B887" s="4" t="s">
        <v>404</v>
      </c>
      <c r="C887" s="4" t="s">
        <v>784</v>
      </c>
      <c r="D887" s="4" t="s">
        <v>1858</v>
      </c>
      <c r="E887" s="6">
        <v>43966</v>
      </c>
      <c r="F887" s="7">
        <v>-1</v>
      </c>
      <c r="G887" s="7">
        <v>0</v>
      </c>
      <c r="H887" s="7">
        <v>0</v>
      </c>
    </row>
    <row r="888" spans="1:8">
      <c r="A888" s="4" t="s">
        <v>401</v>
      </c>
      <c r="B888" s="4" t="s">
        <v>402</v>
      </c>
      <c r="C888" s="4" t="s">
        <v>944</v>
      </c>
      <c r="D888" s="4" t="s">
        <v>1859</v>
      </c>
      <c r="E888" s="6">
        <v>43966</v>
      </c>
      <c r="F888" s="7">
        <v>-100</v>
      </c>
      <c r="G888" s="7">
        <v>-149.97</v>
      </c>
      <c r="H888" s="7">
        <v>0</v>
      </c>
    </row>
    <row r="889" spans="1:8">
      <c r="A889" s="4" t="s">
        <v>401</v>
      </c>
      <c r="B889" s="4" t="s">
        <v>402</v>
      </c>
      <c r="C889" s="4" t="s">
        <v>893</v>
      </c>
      <c r="D889" s="4" t="s">
        <v>1860</v>
      </c>
      <c r="E889" s="6">
        <v>43966</v>
      </c>
      <c r="F889" s="7">
        <v>-50</v>
      </c>
      <c r="G889" s="7">
        <v>-153.67000000000002</v>
      </c>
      <c r="H889" s="7">
        <v>0</v>
      </c>
    </row>
    <row r="890" spans="1:8">
      <c r="A890" s="4" t="s">
        <v>401</v>
      </c>
      <c r="B890" s="4" t="s">
        <v>402</v>
      </c>
      <c r="C890" s="4" t="s">
        <v>1861</v>
      </c>
      <c r="D890" s="4" t="s">
        <v>1862</v>
      </c>
      <c r="E890" s="6">
        <v>43966</v>
      </c>
      <c r="F890" s="7">
        <v>-20</v>
      </c>
      <c r="G890" s="7">
        <v>-59.13</v>
      </c>
      <c r="H890" s="7">
        <v>0.01</v>
      </c>
    </row>
    <row r="891" spans="1:8">
      <c r="A891" s="4" t="s">
        <v>401</v>
      </c>
      <c r="B891" s="4" t="s">
        <v>402</v>
      </c>
      <c r="C891" s="4" t="s">
        <v>1290</v>
      </c>
      <c r="D891" s="4" t="s">
        <v>1863</v>
      </c>
      <c r="E891" s="6">
        <v>43966</v>
      </c>
      <c r="F891" s="7">
        <v>-100</v>
      </c>
      <c r="G891" s="7">
        <v>-58.7</v>
      </c>
      <c r="H891" s="7">
        <v>0.01</v>
      </c>
    </row>
    <row r="892" spans="1:8">
      <c r="A892" s="4" t="s">
        <v>401</v>
      </c>
      <c r="B892" s="4" t="s">
        <v>402</v>
      </c>
      <c r="C892" s="4" t="s">
        <v>904</v>
      </c>
      <c r="D892" s="4" t="s">
        <v>1864</v>
      </c>
      <c r="E892" s="6">
        <v>43966</v>
      </c>
      <c r="F892" s="7">
        <v>-25</v>
      </c>
      <c r="G892" s="7">
        <v>-170.29000000000002</v>
      </c>
      <c r="H892" s="7">
        <v>0</v>
      </c>
    </row>
    <row r="893" spans="1:8">
      <c r="A893" s="4" t="s">
        <v>401</v>
      </c>
      <c r="B893" s="4" t="s">
        <v>402</v>
      </c>
      <c r="C893" s="4" t="s">
        <v>819</v>
      </c>
      <c r="D893" s="4" t="s">
        <v>1865</v>
      </c>
      <c r="E893" s="6">
        <v>43966</v>
      </c>
      <c r="F893" s="7">
        <v>-20</v>
      </c>
      <c r="G893" s="7">
        <v>-172.16</v>
      </c>
      <c r="H893" s="7">
        <v>0</v>
      </c>
    </row>
    <row r="894" spans="1:8">
      <c r="A894" s="4" t="s">
        <v>401</v>
      </c>
      <c r="B894" s="4" t="s">
        <v>402</v>
      </c>
      <c r="C894" s="4" t="s">
        <v>782</v>
      </c>
      <c r="D894" s="4" t="s">
        <v>1866</v>
      </c>
      <c r="E894" s="6">
        <v>43966</v>
      </c>
      <c r="F894" s="7">
        <v>-10</v>
      </c>
      <c r="G894" s="7">
        <v>-101.17999999999999</v>
      </c>
      <c r="H894" s="7">
        <v>0</v>
      </c>
    </row>
    <row r="895" spans="1:8">
      <c r="A895" s="4" t="s">
        <v>401</v>
      </c>
      <c r="B895" s="4" t="s">
        <v>402</v>
      </c>
      <c r="C895" s="4" t="s">
        <v>784</v>
      </c>
      <c r="D895" s="4" t="s">
        <v>1867</v>
      </c>
      <c r="E895" s="6">
        <v>43966</v>
      </c>
      <c r="F895" s="7">
        <v>-1</v>
      </c>
      <c r="G895" s="7">
        <v>0</v>
      </c>
      <c r="H895" s="7">
        <v>0</v>
      </c>
    </row>
    <row r="896" spans="1:8">
      <c r="A896" s="4" t="s">
        <v>376</v>
      </c>
      <c r="B896" s="4" t="s">
        <v>377</v>
      </c>
      <c r="C896" s="4" t="s">
        <v>1404</v>
      </c>
      <c r="D896" s="4" t="s">
        <v>1868</v>
      </c>
      <c r="E896" s="6">
        <v>43959</v>
      </c>
      <c r="F896" s="7">
        <v>-10</v>
      </c>
      <c r="G896" s="7">
        <v>-27.71</v>
      </c>
      <c r="H896" s="7">
        <v>0</v>
      </c>
    </row>
    <row r="897" spans="1:8">
      <c r="A897" s="4" t="s">
        <v>376</v>
      </c>
      <c r="B897" s="4" t="s">
        <v>377</v>
      </c>
      <c r="C897" s="4" t="s">
        <v>784</v>
      </c>
      <c r="D897" s="4" t="s">
        <v>1869</v>
      </c>
      <c r="E897" s="6">
        <v>43959</v>
      </c>
      <c r="F897" s="7">
        <v>-1</v>
      </c>
      <c r="G897" s="7">
        <v>0</v>
      </c>
      <c r="H897" s="7">
        <v>0</v>
      </c>
    </row>
    <row r="898" spans="1:8">
      <c r="A898" s="4" t="s">
        <v>388</v>
      </c>
      <c r="B898" s="4" t="s">
        <v>389</v>
      </c>
      <c r="C898" s="4" t="s">
        <v>940</v>
      </c>
      <c r="D898" s="4" t="s">
        <v>1870</v>
      </c>
      <c r="E898" s="6">
        <v>43964</v>
      </c>
      <c r="F898" s="7">
        <v>-25</v>
      </c>
      <c r="G898" s="7">
        <v>-14.09</v>
      </c>
      <c r="H898" s="7">
        <v>0</v>
      </c>
    </row>
    <row r="899" spans="1:8">
      <c r="A899" s="4" t="s">
        <v>388</v>
      </c>
      <c r="B899" s="4" t="s">
        <v>389</v>
      </c>
      <c r="C899" s="4" t="s">
        <v>982</v>
      </c>
      <c r="D899" s="4" t="s">
        <v>1871</v>
      </c>
      <c r="E899" s="6">
        <v>43964</v>
      </c>
      <c r="F899" s="7">
        <v>-15</v>
      </c>
      <c r="G899" s="7">
        <v>-51.09</v>
      </c>
      <c r="H899" s="7">
        <v>0</v>
      </c>
    </row>
    <row r="900" spans="1:8">
      <c r="A900" s="4" t="s">
        <v>388</v>
      </c>
      <c r="B900" s="4" t="s">
        <v>389</v>
      </c>
      <c r="C900" s="4" t="s">
        <v>952</v>
      </c>
      <c r="D900" s="4" t="s">
        <v>1872</v>
      </c>
      <c r="E900" s="6">
        <v>43964</v>
      </c>
      <c r="F900" s="7">
        <v>-50</v>
      </c>
      <c r="G900" s="7">
        <v>-33.07</v>
      </c>
      <c r="H900" s="7">
        <v>0</v>
      </c>
    </row>
    <row r="901" spans="1:8">
      <c r="A901" s="4" t="s">
        <v>388</v>
      </c>
      <c r="B901" s="4" t="s">
        <v>389</v>
      </c>
      <c r="C901" s="4" t="s">
        <v>1042</v>
      </c>
      <c r="D901" s="4" t="s">
        <v>1873</v>
      </c>
      <c r="E901" s="6">
        <v>43964</v>
      </c>
      <c r="F901" s="7">
        <v>-50</v>
      </c>
      <c r="G901" s="7">
        <v>-31.86</v>
      </c>
      <c r="H901" s="7">
        <v>0</v>
      </c>
    </row>
    <row r="902" spans="1:8">
      <c r="A902" s="4" t="s">
        <v>388</v>
      </c>
      <c r="B902" s="4" t="s">
        <v>389</v>
      </c>
      <c r="C902" s="4" t="s">
        <v>851</v>
      </c>
      <c r="D902" s="4" t="s">
        <v>1874</v>
      </c>
      <c r="E902" s="6">
        <v>43964</v>
      </c>
      <c r="F902" s="7">
        <v>-50</v>
      </c>
      <c r="G902" s="7">
        <v>-76.83</v>
      </c>
      <c r="H902" s="7">
        <v>-0.01</v>
      </c>
    </row>
    <row r="903" spans="1:8">
      <c r="A903" s="4" t="s">
        <v>388</v>
      </c>
      <c r="B903" s="4" t="s">
        <v>389</v>
      </c>
      <c r="C903" s="4" t="s">
        <v>964</v>
      </c>
      <c r="D903" s="4" t="s">
        <v>1875</v>
      </c>
      <c r="E903" s="6">
        <v>43964</v>
      </c>
      <c r="F903" s="7">
        <v>-100</v>
      </c>
      <c r="G903" s="7">
        <v>-82.09</v>
      </c>
      <c r="H903" s="7">
        <v>0</v>
      </c>
    </row>
    <row r="904" spans="1:8">
      <c r="A904" s="4" t="s">
        <v>388</v>
      </c>
      <c r="B904" s="4" t="s">
        <v>389</v>
      </c>
      <c r="C904" s="4" t="s">
        <v>1876</v>
      </c>
      <c r="D904" s="4" t="s">
        <v>1877</v>
      </c>
      <c r="E904" s="6">
        <v>43964</v>
      </c>
      <c r="F904" s="7">
        <v>-1</v>
      </c>
      <c r="G904" s="7">
        <v>-114.02000000000001</v>
      </c>
      <c r="H904" s="7">
        <v>0</v>
      </c>
    </row>
    <row r="905" spans="1:8">
      <c r="A905" s="4" t="s">
        <v>388</v>
      </c>
      <c r="B905" s="4" t="s">
        <v>389</v>
      </c>
      <c r="C905" s="4" t="s">
        <v>784</v>
      </c>
      <c r="D905" s="4" t="s">
        <v>1878</v>
      </c>
      <c r="E905" s="6">
        <v>43964</v>
      </c>
      <c r="F905" s="7">
        <v>-1</v>
      </c>
      <c r="G905" s="7">
        <v>0</v>
      </c>
      <c r="H905" s="7">
        <v>0</v>
      </c>
    </row>
    <row r="906" spans="1:8">
      <c r="A906" s="4" t="s">
        <v>386</v>
      </c>
      <c r="B906" s="4" t="s">
        <v>387</v>
      </c>
      <c r="C906" s="4" t="s">
        <v>1102</v>
      </c>
      <c r="D906" s="4" t="s">
        <v>1879</v>
      </c>
      <c r="E906" s="6">
        <v>43963</v>
      </c>
      <c r="F906" s="7">
        <v>-7</v>
      </c>
      <c r="G906" s="7">
        <v>-42.22</v>
      </c>
      <c r="H906" s="7">
        <v>0</v>
      </c>
    </row>
    <row r="907" spans="1:8">
      <c r="A907" s="4" t="s">
        <v>386</v>
      </c>
      <c r="B907" s="4" t="s">
        <v>387</v>
      </c>
      <c r="C907" s="4" t="s">
        <v>840</v>
      </c>
      <c r="D907" s="4" t="s">
        <v>1880</v>
      </c>
      <c r="E907" s="6">
        <v>43963</v>
      </c>
      <c r="F907" s="7">
        <v>-1</v>
      </c>
      <c r="G907" s="7">
        <v>0</v>
      </c>
      <c r="H907" s="7">
        <v>0</v>
      </c>
    </row>
    <row r="908" spans="1:8">
      <c r="A908" s="4" t="s">
        <v>386</v>
      </c>
      <c r="B908" s="4" t="s">
        <v>387</v>
      </c>
      <c r="C908" s="4" t="s">
        <v>784</v>
      </c>
      <c r="D908" s="4" t="s">
        <v>1881</v>
      </c>
      <c r="E908" s="6">
        <v>43963</v>
      </c>
      <c r="F908" s="7">
        <v>-1</v>
      </c>
      <c r="G908" s="7">
        <v>0</v>
      </c>
      <c r="H908" s="7">
        <v>0</v>
      </c>
    </row>
    <row r="909" spans="1:8">
      <c r="A909" s="4" t="s">
        <v>752</v>
      </c>
      <c r="B909" s="4" t="s">
        <v>753</v>
      </c>
      <c r="C909" s="4" t="s">
        <v>1767</v>
      </c>
      <c r="D909" s="4" t="s">
        <v>1882</v>
      </c>
      <c r="E909" s="6">
        <v>43952</v>
      </c>
      <c r="F909" s="7">
        <v>6</v>
      </c>
      <c r="G909" s="7">
        <v>1214.22</v>
      </c>
      <c r="H909" s="7">
        <v>0</v>
      </c>
    </row>
    <row r="910" spans="1:8">
      <c r="A910" s="4" t="s">
        <v>752</v>
      </c>
      <c r="B910" s="4" t="s">
        <v>753</v>
      </c>
      <c r="C910" s="4" t="s">
        <v>784</v>
      </c>
      <c r="D910" s="4" t="s">
        <v>1883</v>
      </c>
      <c r="E910" s="6">
        <v>43952</v>
      </c>
      <c r="F910" s="7">
        <v>1</v>
      </c>
      <c r="G910" s="7">
        <v>0</v>
      </c>
      <c r="H910" s="7">
        <v>0</v>
      </c>
    </row>
    <row r="911" spans="1:8">
      <c r="A911" s="4" t="s">
        <v>754</v>
      </c>
      <c r="B911" s="4" t="s">
        <v>755</v>
      </c>
      <c r="C911" s="4" t="s">
        <v>817</v>
      </c>
      <c r="D911" s="4" t="s">
        <v>1884</v>
      </c>
      <c r="E911" s="6">
        <v>43952</v>
      </c>
      <c r="F911" s="7">
        <v>223</v>
      </c>
      <c r="G911" s="7">
        <v>211.25</v>
      </c>
      <c r="H911" s="7">
        <v>0</v>
      </c>
    </row>
    <row r="912" spans="1:8">
      <c r="A912" s="4" t="s">
        <v>754</v>
      </c>
      <c r="B912" s="4" t="s">
        <v>755</v>
      </c>
      <c r="C912" s="4" t="s">
        <v>817</v>
      </c>
      <c r="D912" s="4" t="s">
        <v>1884</v>
      </c>
      <c r="E912" s="6">
        <v>43952</v>
      </c>
      <c r="F912" s="7">
        <v>27</v>
      </c>
      <c r="G912" s="7">
        <v>25.58</v>
      </c>
      <c r="H912" s="7">
        <v>0.02</v>
      </c>
    </row>
    <row r="913" spans="1:8">
      <c r="A913" s="4" t="s">
        <v>754</v>
      </c>
      <c r="B913" s="4" t="s">
        <v>755</v>
      </c>
      <c r="C913" s="4" t="s">
        <v>784</v>
      </c>
      <c r="D913" s="4" t="s">
        <v>1885</v>
      </c>
      <c r="E913" s="6">
        <v>43952</v>
      </c>
      <c r="F913" s="7">
        <v>1</v>
      </c>
      <c r="G913" s="7">
        <v>0</v>
      </c>
      <c r="H913" s="7">
        <v>0</v>
      </c>
    </row>
    <row r="914" spans="1:8">
      <c r="A914" s="4" t="s">
        <v>380</v>
      </c>
      <c r="B914" s="4" t="s">
        <v>381</v>
      </c>
      <c r="C914" s="4" t="s">
        <v>817</v>
      </c>
      <c r="D914" s="4" t="s">
        <v>1886</v>
      </c>
      <c r="E914" s="6">
        <v>43952</v>
      </c>
      <c r="F914" s="7">
        <v>-250</v>
      </c>
      <c r="G914" s="7">
        <v>-236.83</v>
      </c>
      <c r="H914" s="7">
        <v>0</v>
      </c>
    </row>
    <row r="915" spans="1:8">
      <c r="A915" s="4" t="s">
        <v>380</v>
      </c>
      <c r="B915" s="4" t="s">
        <v>381</v>
      </c>
      <c r="C915" s="4" t="s">
        <v>784</v>
      </c>
      <c r="D915" s="4" t="s">
        <v>1887</v>
      </c>
      <c r="E915" s="6">
        <v>43952</v>
      </c>
      <c r="F915" s="7">
        <v>-1</v>
      </c>
      <c r="G915" s="7">
        <v>0</v>
      </c>
      <c r="H915" s="7">
        <v>0</v>
      </c>
    </row>
    <row r="916" spans="1:8">
      <c r="A916" s="4" t="s">
        <v>378</v>
      </c>
      <c r="B916" s="4" t="s">
        <v>379</v>
      </c>
      <c r="C916" s="4" t="s">
        <v>1767</v>
      </c>
      <c r="D916" s="4" t="s">
        <v>1888</v>
      </c>
      <c r="E916" s="6">
        <v>43952</v>
      </c>
      <c r="F916" s="7">
        <v>-6</v>
      </c>
      <c r="G916" s="7">
        <v>-1214.22</v>
      </c>
      <c r="H916" s="7">
        <v>0</v>
      </c>
    </row>
    <row r="917" spans="1:8">
      <c r="A917" s="4" t="s">
        <v>378</v>
      </c>
      <c r="B917" s="4" t="s">
        <v>379</v>
      </c>
      <c r="C917" s="4" t="s">
        <v>784</v>
      </c>
      <c r="D917" s="4" t="s">
        <v>1889</v>
      </c>
      <c r="E917" s="6">
        <v>43952</v>
      </c>
      <c r="F917" s="7">
        <v>-1</v>
      </c>
      <c r="G917" s="7">
        <v>0</v>
      </c>
      <c r="H917" s="7">
        <v>0</v>
      </c>
    </row>
    <row r="918" spans="1:8">
      <c r="A918" s="4" t="s">
        <v>390</v>
      </c>
      <c r="B918" s="4" t="s">
        <v>391</v>
      </c>
      <c r="C918" s="4" t="s">
        <v>873</v>
      </c>
      <c r="D918" s="4" t="s">
        <v>1890</v>
      </c>
      <c r="E918" s="6">
        <v>43966</v>
      </c>
      <c r="F918" s="7">
        <v>-30</v>
      </c>
      <c r="G918" s="7">
        <v>-12.14</v>
      </c>
      <c r="H918" s="7">
        <v>0</v>
      </c>
    </row>
    <row r="919" spans="1:8">
      <c r="A919" s="4" t="s">
        <v>390</v>
      </c>
      <c r="B919" s="4" t="s">
        <v>391</v>
      </c>
      <c r="C919" s="4" t="s">
        <v>1005</v>
      </c>
      <c r="D919" s="4" t="s">
        <v>1891</v>
      </c>
      <c r="E919" s="6">
        <v>43966</v>
      </c>
      <c r="F919" s="7">
        <v>-10</v>
      </c>
      <c r="G919" s="7">
        <v>-7.45</v>
      </c>
      <c r="H919" s="7">
        <v>0</v>
      </c>
    </row>
    <row r="920" spans="1:8">
      <c r="A920" s="4" t="s">
        <v>390</v>
      </c>
      <c r="B920" s="4" t="s">
        <v>391</v>
      </c>
      <c r="C920" s="4" t="s">
        <v>1341</v>
      </c>
      <c r="D920" s="4" t="s">
        <v>1892</v>
      </c>
      <c r="E920" s="6">
        <v>43966</v>
      </c>
      <c r="F920" s="7">
        <v>-5000</v>
      </c>
      <c r="G920" s="7">
        <v>-12.14</v>
      </c>
      <c r="H920" s="7">
        <v>0</v>
      </c>
    </row>
    <row r="921" spans="1:8">
      <c r="A921" s="4" t="s">
        <v>390</v>
      </c>
      <c r="B921" s="4" t="s">
        <v>391</v>
      </c>
      <c r="C921" s="4" t="s">
        <v>1339</v>
      </c>
      <c r="D921" s="4" t="s">
        <v>1893</v>
      </c>
      <c r="E921" s="6">
        <v>43966</v>
      </c>
      <c r="F921" s="7">
        <v>-2000</v>
      </c>
      <c r="G921" s="7">
        <v>-2.4300000000000002</v>
      </c>
      <c r="H921" s="7">
        <v>0</v>
      </c>
    </row>
    <row r="922" spans="1:8">
      <c r="A922" s="4" t="s">
        <v>390</v>
      </c>
      <c r="B922" s="4" t="s">
        <v>391</v>
      </c>
      <c r="C922" s="4" t="s">
        <v>784</v>
      </c>
      <c r="D922" s="4" t="s">
        <v>1894</v>
      </c>
      <c r="E922" s="6">
        <v>43966</v>
      </c>
      <c r="F922" s="7">
        <v>-1</v>
      </c>
      <c r="G922" s="7">
        <v>0</v>
      </c>
      <c r="H922" s="7">
        <v>0</v>
      </c>
    </row>
    <row r="923" spans="1:8">
      <c r="A923" s="4" t="s">
        <v>426</v>
      </c>
      <c r="B923" s="4" t="s">
        <v>427</v>
      </c>
      <c r="C923" s="4" t="s">
        <v>803</v>
      </c>
      <c r="D923" s="4" t="s">
        <v>1895</v>
      </c>
      <c r="E923" s="6">
        <v>43994</v>
      </c>
      <c r="F923" s="7">
        <v>-1000</v>
      </c>
      <c r="G923" s="7">
        <v>-938.71</v>
      </c>
      <c r="H923" s="7">
        <v>0</v>
      </c>
    </row>
    <row r="924" spans="1:8">
      <c r="A924" s="4" t="s">
        <v>426</v>
      </c>
      <c r="B924" s="4" t="s">
        <v>427</v>
      </c>
      <c r="C924" s="4" t="s">
        <v>786</v>
      </c>
      <c r="D924" s="4" t="s">
        <v>1896</v>
      </c>
      <c r="E924" s="6">
        <v>43994</v>
      </c>
      <c r="F924" s="7">
        <v>-1500</v>
      </c>
      <c r="G924" s="7">
        <v>-985.65</v>
      </c>
      <c r="H924" s="7">
        <v>0.01</v>
      </c>
    </row>
    <row r="925" spans="1:8">
      <c r="A925" s="4" t="s">
        <v>426</v>
      </c>
      <c r="B925" s="4" t="s">
        <v>427</v>
      </c>
      <c r="C925" s="4" t="s">
        <v>801</v>
      </c>
      <c r="D925" s="4" t="s">
        <v>1897</v>
      </c>
      <c r="E925" s="6">
        <v>43994</v>
      </c>
      <c r="F925" s="7">
        <v>-750</v>
      </c>
      <c r="G925" s="7">
        <v>-633.63</v>
      </c>
      <c r="H925" s="7">
        <v>0</v>
      </c>
    </row>
    <row r="926" spans="1:8">
      <c r="A926" s="4" t="s">
        <v>426</v>
      </c>
      <c r="B926" s="4" t="s">
        <v>427</v>
      </c>
      <c r="C926" s="4" t="s">
        <v>799</v>
      </c>
      <c r="D926" s="4" t="s">
        <v>1898</v>
      </c>
      <c r="E926" s="6">
        <v>43994</v>
      </c>
      <c r="F926" s="7">
        <v>-1000</v>
      </c>
      <c r="G926" s="7">
        <v>-750.97</v>
      </c>
      <c r="H926" s="7">
        <v>0</v>
      </c>
    </row>
    <row r="927" spans="1:8">
      <c r="A927" s="4" t="s">
        <v>426</v>
      </c>
      <c r="B927" s="4" t="s">
        <v>427</v>
      </c>
      <c r="C927" s="4" t="s">
        <v>784</v>
      </c>
      <c r="D927" s="4" t="s">
        <v>1899</v>
      </c>
      <c r="E927" s="6">
        <v>43994</v>
      </c>
      <c r="F927" s="7">
        <v>-1</v>
      </c>
      <c r="G927" s="7">
        <v>0</v>
      </c>
      <c r="H927" s="7">
        <v>0</v>
      </c>
    </row>
    <row r="928" spans="1:8">
      <c r="A928" s="4" t="s">
        <v>428</v>
      </c>
      <c r="B928" s="4" t="s">
        <v>429</v>
      </c>
      <c r="C928" s="4" t="s">
        <v>803</v>
      </c>
      <c r="D928" s="4" t="s">
        <v>1900</v>
      </c>
      <c r="E928" s="6">
        <v>43994</v>
      </c>
      <c r="F928" s="7">
        <v>-1000</v>
      </c>
      <c r="G928" s="7">
        <v>-938.71</v>
      </c>
      <c r="H928" s="7">
        <v>0</v>
      </c>
    </row>
    <row r="929" spans="1:8">
      <c r="A929" s="4" t="s">
        <v>428</v>
      </c>
      <c r="B929" s="4" t="s">
        <v>429</v>
      </c>
      <c r="C929" s="4" t="s">
        <v>786</v>
      </c>
      <c r="D929" s="4" t="s">
        <v>1901</v>
      </c>
      <c r="E929" s="6">
        <v>43994</v>
      </c>
      <c r="F929" s="7">
        <v>-1500</v>
      </c>
      <c r="G929" s="7">
        <v>-985.65</v>
      </c>
      <c r="H929" s="7">
        <v>0</v>
      </c>
    </row>
    <row r="930" spans="1:8">
      <c r="A930" s="4" t="s">
        <v>428</v>
      </c>
      <c r="B930" s="4" t="s">
        <v>429</v>
      </c>
      <c r="C930" s="4" t="s">
        <v>799</v>
      </c>
      <c r="D930" s="4" t="s">
        <v>1902</v>
      </c>
      <c r="E930" s="6">
        <v>43994</v>
      </c>
      <c r="F930" s="7">
        <v>-1000</v>
      </c>
      <c r="G930" s="7">
        <v>-750.97</v>
      </c>
      <c r="H930" s="7">
        <v>0</v>
      </c>
    </row>
    <row r="931" spans="1:8">
      <c r="A931" s="4" t="s">
        <v>428</v>
      </c>
      <c r="B931" s="4" t="s">
        <v>429</v>
      </c>
      <c r="C931" s="4" t="s">
        <v>784</v>
      </c>
      <c r="D931" s="4" t="s">
        <v>1903</v>
      </c>
      <c r="E931" s="6">
        <v>43994</v>
      </c>
      <c r="F931" s="7">
        <v>-1</v>
      </c>
      <c r="G931" s="7">
        <v>0</v>
      </c>
      <c r="H931" s="7">
        <v>0</v>
      </c>
    </row>
    <row r="932" spans="1:8">
      <c r="A932" s="4" t="s">
        <v>409</v>
      </c>
      <c r="B932" s="4" t="s">
        <v>410</v>
      </c>
      <c r="C932" s="4" t="s">
        <v>1904</v>
      </c>
      <c r="D932" s="4" t="s">
        <v>1905</v>
      </c>
      <c r="E932" s="6">
        <v>43970</v>
      </c>
      <c r="F932" s="7">
        <v>-15</v>
      </c>
      <c r="G932" s="7">
        <v>-49.31</v>
      </c>
      <c r="H932" s="7">
        <v>0</v>
      </c>
    </row>
    <row r="933" spans="1:8">
      <c r="A933" s="4" t="s">
        <v>409</v>
      </c>
      <c r="B933" s="4" t="s">
        <v>410</v>
      </c>
      <c r="C933" s="4" t="s">
        <v>784</v>
      </c>
      <c r="D933" s="4" t="s">
        <v>1906</v>
      </c>
      <c r="E933" s="6">
        <v>43970</v>
      </c>
      <c r="F933" s="7">
        <v>-1</v>
      </c>
      <c r="G933" s="7">
        <v>0</v>
      </c>
      <c r="H933" s="7">
        <v>0</v>
      </c>
    </row>
    <row r="934" spans="1:8">
      <c r="A934" s="4" t="s">
        <v>411</v>
      </c>
      <c r="B934" s="4" t="s">
        <v>412</v>
      </c>
      <c r="C934" s="4" t="s">
        <v>949</v>
      </c>
      <c r="D934" s="4" t="s">
        <v>1907</v>
      </c>
      <c r="E934" s="6">
        <v>43970</v>
      </c>
      <c r="F934" s="7">
        <v>-125</v>
      </c>
      <c r="G934" s="7">
        <v>-45.05</v>
      </c>
      <c r="H934" s="7">
        <v>0</v>
      </c>
    </row>
    <row r="935" spans="1:8">
      <c r="A935" s="4" t="s">
        <v>411</v>
      </c>
      <c r="B935" s="4" t="s">
        <v>412</v>
      </c>
      <c r="C935" s="4" t="s">
        <v>847</v>
      </c>
      <c r="D935" s="4" t="s">
        <v>1908</v>
      </c>
      <c r="E935" s="6">
        <v>43970</v>
      </c>
      <c r="F935" s="7">
        <v>-50</v>
      </c>
      <c r="G935" s="7">
        <v>-104.75999999999999</v>
      </c>
      <c r="H935" s="7">
        <v>-0.01</v>
      </c>
    </row>
    <row r="936" spans="1:8">
      <c r="A936" s="4" t="s">
        <v>411</v>
      </c>
      <c r="B936" s="4" t="s">
        <v>412</v>
      </c>
      <c r="C936" s="4" t="s">
        <v>982</v>
      </c>
      <c r="D936" s="4" t="s">
        <v>1909</v>
      </c>
      <c r="E936" s="6">
        <v>43970</v>
      </c>
      <c r="F936" s="7">
        <v>-50</v>
      </c>
      <c r="G936" s="7">
        <v>-170.29000000000002</v>
      </c>
      <c r="H936" s="7">
        <v>-0.01</v>
      </c>
    </row>
    <row r="937" spans="1:8">
      <c r="A937" s="4" t="s">
        <v>411</v>
      </c>
      <c r="B937" s="4" t="s">
        <v>412</v>
      </c>
      <c r="C937" s="4" t="s">
        <v>952</v>
      </c>
      <c r="D937" s="4" t="s">
        <v>1910</v>
      </c>
      <c r="E937" s="6">
        <v>43970</v>
      </c>
      <c r="F937" s="7">
        <v>-50</v>
      </c>
      <c r="G937" s="7">
        <v>-33.07</v>
      </c>
      <c r="H937" s="7">
        <v>0</v>
      </c>
    </row>
    <row r="938" spans="1:8">
      <c r="A938" s="4" t="s">
        <v>411</v>
      </c>
      <c r="B938" s="4" t="s">
        <v>412</v>
      </c>
      <c r="C938" s="4" t="s">
        <v>883</v>
      </c>
      <c r="D938" s="4" t="s">
        <v>1911</v>
      </c>
      <c r="E938" s="6">
        <v>43970</v>
      </c>
      <c r="F938" s="7">
        <v>-100</v>
      </c>
      <c r="G938" s="7">
        <v>-79.78</v>
      </c>
      <c r="H938" s="7">
        <v>0.01</v>
      </c>
    </row>
    <row r="939" spans="1:8">
      <c r="A939" s="4" t="s">
        <v>411</v>
      </c>
      <c r="B939" s="4" t="s">
        <v>412</v>
      </c>
      <c r="C939" s="4" t="s">
        <v>966</v>
      </c>
      <c r="D939" s="4" t="s">
        <v>1912</v>
      </c>
      <c r="E939" s="6">
        <v>43970</v>
      </c>
      <c r="F939" s="7">
        <v>-50</v>
      </c>
      <c r="G939" s="7">
        <v>-26.86</v>
      </c>
      <c r="H939" s="7">
        <v>0</v>
      </c>
    </row>
    <row r="940" spans="1:8">
      <c r="A940" s="4" t="s">
        <v>411</v>
      </c>
      <c r="B940" s="4" t="s">
        <v>412</v>
      </c>
      <c r="C940" s="4" t="s">
        <v>1026</v>
      </c>
      <c r="D940" s="4" t="s">
        <v>1913</v>
      </c>
      <c r="E940" s="6">
        <v>43970</v>
      </c>
      <c r="F940" s="7">
        <v>-50</v>
      </c>
      <c r="G940" s="7">
        <v>-34.22</v>
      </c>
      <c r="H940" s="7">
        <v>0.01</v>
      </c>
    </row>
    <row r="941" spans="1:8">
      <c r="A941" s="4" t="s">
        <v>411</v>
      </c>
      <c r="B941" s="4" t="s">
        <v>412</v>
      </c>
      <c r="C941" s="4" t="s">
        <v>1028</v>
      </c>
      <c r="D941" s="4" t="s">
        <v>1914</v>
      </c>
      <c r="E941" s="6">
        <v>43970</v>
      </c>
      <c r="F941" s="7">
        <v>-50</v>
      </c>
      <c r="G941" s="7">
        <v>-46.94</v>
      </c>
      <c r="H941" s="7">
        <v>0</v>
      </c>
    </row>
    <row r="942" spans="1:8">
      <c r="A942" s="4" t="s">
        <v>411</v>
      </c>
      <c r="B942" s="4" t="s">
        <v>412</v>
      </c>
      <c r="C942" s="4" t="s">
        <v>989</v>
      </c>
      <c r="D942" s="4" t="s">
        <v>1915</v>
      </c>
      <c r="E942" s="6">
        <v>43970</v>
      </c>
      <c r="F942" s="7">
        <v>-50</v>
      </c>
      <c r="G942" s="7">
        <v>-78.14</v>
      </c>
      <c r="H942" s="7">
        <v>0</v>
      </c>
    </row>
    <row r="943" spans="1:8">
      <c r="A943" s="4" t="s">
        <v>411</v>
      </c>
      <c r="B943" s="4" t="s">
        <v>412</v>
      </c>
      <c r="C943" s="4" t="s">
        <v>784</v>
      </c>
      <c r="D943" s="4" t="s">
        <v>1916</v>
      </c>
      <c r="E943" s="6">
        <v>43970</v>
      </c>
      <c r="F943" s="7">
        <v>-1</v>
      </c>
      <c r="G943" s="7">
        <v>0</v>
      </c>
      <c r="H943" s="7">
        <v>0</v>
      </c>
    </row>
    <row r="944" spans="1:8">
      <c r="A944" s="4" t="s">
        <v>406</v>
      </c>
      <c r="B944" s="4" t="s">
        <v>407</v>
      </c>
      <c r="C944" s="4" t="s">
        <v>1204</v>
      </c>
      <c r="D944" s="4" t="s">
        <v>1917</v>
      </c>
      <c r="E944" s="6">
        <v>43969</v>
      </c>
      <c r="F944" s="7">
        <v>-250</v>
      </c>
      <c r="G944" s="7">
        <v>-109.1</v>
      </c>
      <c r="H944" s="7">
        <v>0</v>
      </c>
    </row>
    <row r="945" spans="1:8">
      <c r="A945" s="4" t="s">
        <v>406</v>
      </c>
      <c r="B945" s="4" t="s">
        <v>407</v>
      </c>
      <c r="C945" s="4" t="s">
        <v>1011</v>
      </c>
      <c r="D945" s="4" t="s">
        <v>1918</v>
      </c>
      <c r="E945" s="6">
        <v>43969</v>
      </c>
      <c r="F945" s="7">
        <v>-50</v>
      </c>
      <c r="G945" s="7">
        <v>-30.65</v>
      </c>
      <c r="H945" s="7">
        <v>0</v>
      </c>
    </row>
    <row r="946" spans="1:8">
      <c r="A946" s="4" t="s">
        <v>406</v>
      </c>
      <c r="B946" s="4" t="s">
        <v>407</v>
      </c>
      <c r="C946" s="4" t="s">
        <v>887</v>
      </c>
      <c r="D946" s="4" t="s">
        <v>1919</v>
      </c>
      <c r="E946" s="6">
        <v>43969</v>
      </c>
      <c r="F946" s="7">
        <v>-100</v>
      </c>
      <c r="G946" s="7">
        <v>-40.89</v>
      </c>
      <c r="H946" s="7">
        <v>-0.01</v>
      </c>
    </row>
    <row r="947" spans="1:8">
      <c r="A947" s="4" t="s">
        <v>406</v>
      </c>
      <c r="B947" s="4" t="s">
        <v>407</v>
      </c>
      <c r="C947" s="4" t="s">
        <v>949</v>
      </c>
      <c r="D947" s="4" t="s">
        <v>1920</v>
      </c>
      <c r="E947" s="6">
        <v>43969</v>
      </c>
      <c r="F947" s="7">
        <v>-100</v>
      </c>
      <c r="G947" s="7">
        <v>-36.04</v>
      </c>
      <c r="H947" s="7">
        <v>-0.01</v>
      </c>
    </row>
    <row r="948" spans="1:8">
      <c r="A948" s="4" t="s">
        <v>406</v>
      </c>
      <c r="B948" s="4" t="s">
        <v>407</v>
      </c>
      <c r="C948" s="4" t="s">
        <v>916</v>
      </c>
      <c r="D948" s="4" t="s">
        <v>1921</v>
      </c>
      <c r="E948" s="6">
        <v>43969</v>
      </c>
      <c r="F948" s="7">
        <v>-100</v>
      </c>
      <c r="G948" s="7">
        <v>-37.58</v>
      </c>
      <c r="H948" s="7">
        <v>0</v>
      </c>
    </row>
    <row r="949" spans="1:8">
      <c r="A949" s="4" t="s">
        <v>406</v>
      </c>
      <c r="B949" s="4" t="s">
        <v>407</v>
      </c>
      <c r="C949" s="4" t="s">
        <v>784</v>
      </c>
      <c r="D949" s="4" t="s">
        <v>1922</v>
      </c>
      <c r="E949" s="6">
        <v>43969</v>
      </c>
      <c r="F949" s="7">
        <v>-1</v>
      </c>
      <c r="G949" s="7">
        <v>0</v>
      </c>
      <c r="H949" s="7">
        <v>0</v>
      </c>
    </row>
    <row r="950" spans="1:8">
      <c r="A950" s="4" t="s">
        <v>415</v>
      </c>
      <c r="B950" s="4" t="s">
        <v>416</v>
      </c>
      <c r="C950" s="4" t="s">
        <v>1439</v>
      </c>
      <c r="D950" s="4" t="s">
        <v>1923</v>
      </c>
      <c r="E950" s="6">
        <v>43985</v>
      </c>
      <c r="F950" s="7">
        <v>-100</v>
      </c>
      <c r="G950" s="7">
        <v>-200.52</v>
      </c>
      <c r="H950" s="7">
        <v>0</v>
      </c>
    </row>
    <row r="951" spans="1:8">
      <c r="A951" s="4" t="s">
        <v>415</v>
      </c>
      <c r="B951" s="4" t="s">
        <v>416</v>
      </c>
      <c r="C951" s="4" t="s">
        <v>1011</v>
      </c>
      <c r="D951" s="4" t="s">
        <v>1924</v>
      </c>
      <c r="E951" s="6">
        <v>43985</v>
      </c>
      <c r="F951" s="7">
        <v>-50</v>
      </c>
      <c r="G951" s="7">
        <v>-30.65</v>
      </c>
      <c r="H951" s="7">
        <v>0.01</v>
      </c>
    </row>
    <row r="952" spans="1:8">
      <c r="A952" s="4" t="s">
        <v>415</v>
      </c>
      <c r="B952" s="4" t="s">
        <v>416</v>
      </c>
      <c r="C952" s="4" t="s">
        <v>879</v>
      </c>
      <c r="D952" s="4" t="s">
        <v>1925</v>
      </c>
      <c r="E952" s="6">
        <v>43985</v>
      </c>
      <c r="F952" s="7">
        <v>-50</v>
      </c>
      <c r="G952" s="7">
        <v>-41.08</v>
      </c>
      <c r="H952" s="7">
        <v>0.01</v>
      </c>
    </row>
    <row r="953" spans="1:8">
      <c r="A953" s="4" t="s">
        <v>415</v>
      </c>
      <c r="B953" s="4" t="s">
        <v>416</v>
      </c>
      <c r="C953" s="4" t="s">
        <v>1404</v>
      </c>
      <c r="D953" s="4" t="s">
        <v>1926</v>
      </c>
      <c r="E953" s="6">
        <v>43985</v>
      </c>
      <c r="F953" s="7">
        <v>-50</v>
      </c>
      <c r="G953" s="7">
        <v>-138.55000000000001</v>
      </c>
      <c r="H953" s="7">
        <v>0</v>
      </c>
    </row>
    <row r="954" spans="1:8">
      <c r="A954" s="4" t="s">
        <v>415</v>
      </c>
      <c r="B954" s="4" t="s">
        <v>416</v>
      </c>
      <c r="C954" s="4" t="s">
        <v>1063</v>
      </c>
      <c r="D954" s="4" t="s">
        <v>1927</v>
      </c>
      <c r="E954" s="6">
        <v>43985</v>
      </c>
      <c r="F954" s="7">
        <v>-150</v>
      </c>
      <c r="G954" s="7">
        <v>-102.74000000000001</v>
      </c>
      <c r="H954" s="7">
        <v>0</v>
      </c>
    </row>
    <row r="955" spans="1:8">
      <c r="A955" s="4" t="s">
        <v>415</v>
      </c>
      <c r="B955" s="4" t="s">
        <v>416</v>
      </c>
      <c r="C955" s="4" t="s">
        <v>851</v>
      </c>
      <c r="D955" s="4" t="s">
        <v>1928</v>
      </c>
      <c r="E955" s="6">
        <v>43985</v>
      </c>
      <c r="F955" s="7">
        <v>-50</v>
      </c>
      <c r="G955" s="7">
        <v>-76.83</v>
      </c>
      <c r="H955" s="7">
        <v>0</v>
      </c>
    </row>
    <row r="956" spans="1:8">
      <c r="A956" s="4" t="s">
        <v>415</v>
      </c>
      <c r="B956" s="4" t="s">
        <v>416</v>
      </c>
      <c r="C956" s="4" t="s">
        <v>823</v>
      </c>
      <c r="D956" s="4" t="s">
        <v>1929</v>
      </c>
      <c r="E956" s="6">
        <v>43985</v>
      </c>
      <c r="F956" s="7">
        <v>-50</v>
      </c>
      <c r="G956" s="7">
        <v>-179.72</v>
      </c>
      <c r="H956" s="7">
        <v>0</v>
      </c>
    </row>
    <row r="957" spans="1:8">
      <c r="A957" s="4" t="s">
        <v>415</v>
      </c>
      <c r="B957" s="4" t="s">
        <v>416</v>
      </c>
      <c r="C957" s="4" t="s">
        <v>1030</v>
      </c>
      <c r="D957" s="4" t="s">
        <v>1930</v>
      </c>
      <c r="E957" s="6">
        <v>43985</v>
      </c>
      <c r="F957" s="7">
        <v>-50</v>
      </c>
      <c r="G957" s="7">
        <v>-108.35999999999999</v>
      </c>
      <c r="H957" s="7">
        <v>0</v>
      </c>
    </row>
    <row r="958" spans="1:8">
      <c r="A958" s="4" t="s">
        <v>415</v>
      </c>
      <c r="B958" s="4" t="s">
        <v>416</v>
      </c>
      <c r="C958" s="4" t="s">
        <v>1040</v>
      </c>
      <c r="D958" s="4" t="s">
        <v>1931</v>
      </c>
      <c r="E958" s="6">
        <v>43985</v>
      </c>
      <c r="F958" s="7">
        <v>-50</v>
      </c>
      <c r="G958" s="7">
        <v>-80.72</v>
      </c>
      <c r="H958" s="7">
        <v>0</v>
      </c>
    </row>
    <row r="959" spans="1:8">
      <c r="A959" s="4" t="s">
        <v>415</v>
      </c>
      <c r="B959" s="4" t="s">
        <v>416</v>
      </c>
      <c r="C959" s="4" t="s">
        <v>784</v>
      </c>
      <c r="D959" s="4" t="s">
        <v>1932</v>
      </c>
      <c r="E959" s="6">
        <v>43985</v>
      </c>
      <c r="F959" s="7">
        <v>-1</v>
      </c>
      <c r="G959" s="7">
        <v>0</v>
      </c>
      <c r="H959" s="7">
        <v>0</v>
      </c>
    </row>
    <row r="960" spans="1:8">
      <c r="A960" s="4" t="s">
        <v>438</v>
      </c>
      <c r="B960" s="4" t="s">
        <v>439</v>
      </c>
      <c r="C960" s="4" t="s">
        <v>1157</v>
      </c>
      <c r="D960" s="4" t="s">
        <v>1933</v>
      </c>
      <c r="E960" s="6">
        <v>43999</v>
      </c>
      <c r="F960" s="7">
        <v>-1180</v>
      </c>
      <c r="G960" s="7">
        <v>-165.42000000000002</v>
      </c>
      <c r="H960" s="7">
        <v>0.01</v>
      </c>
    </row>
    <row r="961" spans="1:8">
      <c r="A961" s="4" t="s">
        <v>438</v>
      </c>
      <c r="B961" s="4" t="s">
        <v>439</v>
      </c>
      <c r="C961" s="4" t="s">
        <v>1157</v>
      </c>
      <c r="D961" s="4" t="s">
        <v>1933</v>
      </c>
      <c r="E961" s="6">
        <v>43999</v>
      </c>
      <c r="F961" s="7">
        <v>-8255</v>
      </c>
      <c r="G961" s="7">
        <v>-1157.22</v>
      </c>
      <c r="H961" s="7">
        <v>0</v>
      </c>
    </row>
    <row r="962" spans="1:8">
      <c r="A962" s="4" t="s">
        <v>438</v>
      </c>
      <c r="B962" s="4" t="s">
        <v>439</v>
      </c>
      <c r="C962" s="4" t="s">
        <v>1157</v>
      </c>
      <c r="D962" s="4" t="s">
        <v>1933</v>
      </c>
      <c r="E962" s="6">
        <v>43999</v>
      </c>
      <c r="F962" s="7">
        <v>-565</v>
      </c>
      <c r="G962" s="7">
        <v>-79.2</v>
      </c>
      <c r="H962" s="7">
        <v>0</v>
      </c>
    </row>
    <row r="963" spans="1:8">
      <c r="A963" s="4" t="s">
        <v>438</v>
      </c>
      <c r="B963" s="4" t="s">
        <v>439</v>
      </c>
      <c r="C963" s="4" t="s">
        <v>784</v>
      </c>
      <c r="D963" s="4" t="s">
        <v>1934</v>
      </c>
      <c r="E963" s="6">
        <v>43999</v>
      </c>
      <c r="F963" s="7">
        <v>-1</v>
      </c>
      <c r="G963" s="7">
        <v>0</v>
      </c>
      <c r="H963" s="7">
        <v>0</v>
      </c>
    </row>
    <row r="964" spans="1:8">
      <c r="A964" s="4" t="s">
        <v>418</v>
      </c>
      <c r="B964" s="4" t="s">
        <v>419</v>
      </c>
      <c r="C964" s="4" t="s">
        <v>1283</v>
      </c>
      <c r="D964" s="4" t="s">
        <v>1935</v>
      </c>
      <c r="E964" s="6">
        <v>43987</v>
      </c>
      <c r="F964" s="7">
        <v>-20770</v>
      </c>
      <c r="G964" s="7">
        <v>-1167.29</v>
      </c>
      <c r="H964" s="7">
        <v>0</v>
      </c>
    </row>
    <row r="965" spans="1:8">
      <c r="A965" s="4" t="s">
        <v>418</v>
      </c>
      <c r="B965" s="4" t="s">
        <v>419</v>
      </c>
      <c r="C965" s="4" t="s">
        <v>784</v>
      </c>
      <c r="D965" s="4" t="s">
        <v>1936</v>
      </c>
      <c r="E965" s="6">
        <v>43987</v>
      </c>
      <c r="F965" s="7">
        <v>-1</v>
      </c>
      <c r="G965" s="7">
        <v>0</v>
      </c>
      <c r="H965" s="7">
        <v>0</v>
      </c>
    </row>
    <row r="966" spans="1:8">
      <c r="A966" s="4" t="s">
        <v>422</v>
      </c>
      <c r="B966" s="4" t="s">
        <v>423</v>
      </c>
      <c r="C966" s="4" t="s">
        <v>1561</v>
      </c>
      <c r="D966" s="4" t="s">
        <v>1937</v>
      </c>
      <c r="E966" s="6">
        <v>43987</v>
      </c>
      <c r="F966" s="7">
        <v>-400</v>
      </c>
      <c r="G966" s="7">
        <v>-138.85</v>
      </c>
      <c r="H966" s="7">
        <v>0</v>
      </c>
    </row>
    <row r="967" spans="1:8">
      <c r="A967" s="4" t="s">
        <v>422</v>
      </c>
      <c r="B967" s="4" t="s">
        <v>423</v>
      </c>
      <c r="C967" s="4" t="s">
        <v>784</v>
      </c>
      <c r="D967" s="4" t="s">
        <v>1938</v>
      </c>
      <c r="E967" s="6">
        <v>43987</v>
      </c>
      <c r="F967" s="7">
        <v>-1</v>
      </c>
      <c r="G967" s="7">
        <v>0</v>
      </c>
      <c r="H967" s="7">
        <v>0</v>
      </c>
    </row>
    <row r="968" spans="1:8">
      <c r="A968" s="4" t="s">
        <v>480</v>
      </c>
      <c r="B968" s="4" t="s">
        <v>481</v>
      </c>
      <c r="C968" s="4" t="s">
        <v>803</v>
      </c>
      <c r="D968" s="4" t="s">
        <v>1939</v>
      </c>
      <c r="E968" s="6">
        <v>44019</v>
      </c>
      <c r="F968" s="7">
        <v>-1000</v>
      </c>
      <c r="G968" s="7">
        <v>-956.3</v>
      </c>
      <c r="H968" s="7">
        <v>-0.01</v>
      </c>
    </row>
    <row r="969" spans="1:8">
      <c r="A969" s="4" t="s">
        <v>480</v>
      </c>
      <c r="B969" s="4" t="s">
        <v>481</v>
      </c>
      <c r="C969" s="4" t="s">
        <v>786</v>
      </c>
      <c r="D969" s="4" t="s">
        <v>1940</v>
      </c>
      <c r="E969" s="6">
        <v>44019</v>
      </c>
      <c r="F969" s="7">
        <v>-2400</v>
      </c>
      <c r="G969" s="7">
        <v>-1606.59</v>
      </c>
      <c r="H969" s="7">
        <v>0</v>
      </c>
    </row>
    <row r="970" spans="1:8">
      <c r="A970" s="4" t="s">
        <v>480</v>
      </c>
      <c r="B970" s="4" t="s">
        <v>481</v>
      </c>
      <c r="C970" s="4" t="s">
        <v>801</v>
      </c>
      <c r="D970" s="4" t="s">
        <v>1941</v>
      </c>
      <c r="E970" s="6">
        <v>44019</v>
      </c>
      <c r="F970" s="7">
        <v>-1000</v>
      </c>
      <c r="G970" s="7">
        <v>-860.67000000000007</v>
      </c>
      <c r="H970" s="7">
        <v>-0.01</v>
      </c>
    </row>
    <row r="971" spans="1:8">
      <c r="A971" s="4" t="s">
        <v>480</v>
      </c>
      <c r="B971" s="4" t="s">
        <v>481</v>
      </c>
      <c r="C971" s="4" t="s">
        <v>799</v>
      </c>
      <c r="D971" s="4" t="s">
        <v>1942</v>
      </c>
      <c r="E971" s="6">
        <v>44019</v>
      </c>
      <c r="F971" s="7">
        <v>-1000</v>
      </c>
      <c r="G971" s="7">
        <v>-765.04</v>
      </c>
      <c r="H971" s="7">
        <v>0</v>
      </c>
    </row>
    <row r="972" spans="1:8">
      <c r="A972" s="4" t="s">
        <v>480</v>
      </c>
      <c r="B972" s="4" t="s">
        <v>481</v>
      </c>
      <c r="C972" s="4" t="s">
        <v>784</v>
      </c>
      <c r="D972" s="4" t="s">
        <v>1943</v>
      </c>
      <c r="E972" s="6">
        <v>44019</v>
      </c>
      <c r="F972" s="7">
        <v>-1</v>
      </c>
      <c r="G972" s="7">
        <v>0</v>
      </c>
      <c r="H972" s="7">
        <v>0</v>
      </c>
    </row>
    <row r="973" spans="1:8">
      <c r="A973" s="4" t="s">
        <v>482</v>
      </c>
      <c r="B973" s="4" t="s">
        <v>483</v>
      </c>
      <c r="C973" s="4" t="s">
        <v>786</v>
      </c>
      <c r="D973" s="4" t="s">
        <v>1944</v>
      </c>
      <c r="E973" s="6">
        <v>44019</v>
      </c>
      <c r="F973" s="7">
        <v>-2000</v>
      </c>
      <c r="G973" s="7">
        <v>-1338.82</v>
      </c>
      <c r="H973" s="7">
        <v>-0.01</v>
      </c>
    </row>
    <row r="974" spans="1:8">
      <c r="A974" s="4" t="s">
        <v>482</v>
      </c>
      <c r="B974" s="4" t="s">
        <v>483</v>
      </c>
      <c r="C974" s="4" t="s">
        <v>801</v>
      </c>
      <c r="D974" s="4" t="s">
        <v>1945</v>
      </c>
      <c r="E974" s="6">
        <v>44019</v>
      </c>
      <c r="F974" s="7">
        <v>-1000</v>
      </c>
      <c r="G974" s="7">
        <v>-860.67000000000007</v>
      </c>
      <c r="H974" s="7">
        <v>0</v>
      </c>
    </row>
    <row r="975" spans="1:8">
      <c r="A975" s="4" t="s">
        <v>482</v>
      </c>
      <c r="B975" s="4" t="s">
        <v>483</v>
      </c>
      <c r="C975" s="4" t="s">
        <v>799</v>
      </c>
      <c r="D975" s="4" t="s">
        <v>1946</v>
      </c>
      <c r="E975" s="6">
        <v>44019</v>
      </c>
      <c r="F975" s="7">
        <v>-1000</v>
      </c>
      <c r="G975" s="7">
        <v>-765.04</v>
      </c>
      <c r="H975" s="7">
        <v>0</v>
      </c>
    </row>
    <row r="976" spans="1:8">
      <c r="A976" s="4" t="s">
        <v>482</v>
      </c>
      <c r="B976" s="4" t="s">
        <v>483</v>
      </c>
      <c r="C976" s="4" t="s">
        <v>784</v>
      </c>
      <c r="D976" s="4" t="s">
        <v>1947</v>
      </c>
      <c r="E976" s="6">
        <v>44019</v>
      </c>
      <c r="F976" s="7">
        <v>-1</v>
      </c>
      <c r="G976" s="7">
        <v>0</v>
      </c>
      <c r="H976" s="7">
        <v>0</v>
      </c>
    </row>
    <row r="977" spans="1:8">
      <c r="A977" s="4" t="s">
        <v>424</v>
      </c>
      <c r="B977" s="4" t="s">
        <v>425</v>
      </c>
      <c r="C977" s="4" t="s">
        <v>1948</v>
      </c>
      <c r="D977" s="4" t="s">
        <v>1949</v>
      </c>
      <c r="E977" s="6">
        <v>43990</v>
      </c>
      <c r="F977" s="7">
        <v>-100</v>
      </c>
      <c r="G977" s="7">
        <v>-18.79</v>
      </c>
      <c r="H977" s="7">
        <v>0</v>
      </c>
    </row>
    <row r="978" spans="1:8">
      <c r="A978" s="4" t="s">
        <v>424</v>
      </c>
      <c r="B978" s="4" t="s">
        <v>425</v>
      </c>
      <c r="C978" s="4" t="s">
        <v>1950</v>
      </c>
      <c r="D978" s="4" t="s">
        <v>1951</v>
      </c>
      <c r="E978" s="6">
        <v>43990</v>
      </c>
      <c r="F978" s="7">
        <v>-100</v>
      </c>
      <c r="G978" s="7">
        <v>-20.45</v>
      </c>
      <c r="H978" s="7">
        <v>0</v>
      </c>
    </row>
    <row r="979" spans="1:8">
      <c r="A979" s="4" t="s">
        <v>424</v>
      </c>
      <c r="B979" s="4" t="s">
        <v>425</v>
      </c>
      <c r="C979" s="4" t="s">
        <v>887</v>
      </c>
      <c r="D979" s="4" t="s">
        <v>1952</v>
      </c>
      <c r="E979" s="6">
        <v>43990</v>
      </c>
      <c r="F979" s="7">
        <v>-100</v>
      </c>
      <c r="G979" s="7">
        <v>-40.89</v>
      </c>
      <c r="H979" s="7">
        <v>0</v>
      </c>
    </row>
    <row r="980" spans="1:8">
      <c r="A980" s="4" t="s">
        <v>424</v>
      </c>
      <c r="B980" s="4" t="s">
        <v>425</v>
      </c>
      <c r="C980" s="4" t="s">
        <v>1133</v>
      </c>
      <c r="D980" s="4" t="s">
        <v>1953</v>
      </c>
      <c r="E980" s="6">
        <v>43990</v>
      </c>
      <c r="F980" s="7">
        <v>-40</v>
      </c>
      <c r="G980" s="7">
        <v>-8.09</v>
      </c>
      <c r="H980" s="7">
        <v>0</v>
      </c>
    </row>
    <row r="981" spans="1:8">
      <c r="A981" s="4" t="s">
        <v>424</v>
      </c>
      <c r="B981" s="4" t="s">
        <v>425</v>
      </c>
      <c r="C981" s="4" t="s">
        <v>966</v>
      </c>
      <c r="D981" s="4" t="s">
        <v>1954</v>
      </c>
      <c r="E981" s="6">
        <v>43990</v>
      </c>
      <c r="F981" s="7">
        <v>-50</v>
      </c>
      <c r="G981" s="7">
        <v>-26.86</v>
      </c>
      <c r="H981" s="7">
        <v>0.01</v>
      </c>
    </row>
    <row r="982" spans="1:8">
      <c r="A982" s="4" t="s">
        <v>424</v>
      </c>
      <c r="B982" s="4" t="s">
        <v>425</v>
      </c>
      <c r="C982" s="4" t="s">
        <v>1063</v>
      </c>
      <c r="D982" s="4" t="s">
        <v>1955</v>
      </c>
      <c r="E982" s="6">
        <v>43990</v>
      </c>
      <c r="F982" s="7">
        <v>-40</v>
      </c>
      <c r="G982" s="7">
        <v>-27.4</v>
      </c>
      <c r="H982" s="7">
        <v>0</v>
      </c>
    </row>
    <row r="983" spans="1:8">
      <c r="A983" s="4" t="s">
        <v>424</v>
      </c>
      <c r="B983" s="4" t="s">
        <v>425</v>
      </c>
      <c r="C983" s="4" t="s">
        <v>1956</v>
      </c>
      <c r="D983" s="4" t="s">
        <v>1957</v>
      </c>
      <c r="E983" s="6">
        <v>43990</v>
      </c>
      <c r="F983" s="7">
        <v>-100</v>
      </c>
      <c r="G983" s="7">
        <v>-34.22</v>
      </c>
      <c r="H983" s="7">
        <v>0</v>
      </c>
    </row>
    <row r="984" spans="1:8">
      <c r="A984" s="4" t="s">
        <v>424</v>
      </c>
      <c r="B984" s="4" t="s">
        <v>425</v>
      </c>
      <c r="C984" s="4" t="s">
        <v>1143</v>
      </c>
      <c r="D984" s="4" t="s">
        <v>1958</v>
      </c>
      <c r="E984" s="6">
        <v>43990</v>
      </c>
      <c r="F984" s="7">
        <v>-50</v>
      </c>
      <c r="G984" s="7">
        <v>-20.52</v>
      </c>
      <c r="H984" s="7">
        <v>0</v>
      </c>
    </row>
    <row r="985" spans="1:8">
      <c r="A985" s="4" t="s">
        <v>424</v>
      </c>
      <c r="B985" s="4" t="s">
        <v>425</v>
      </c>
      <c r="C985" s="4" t="s">
        <v>934</v>
      </c>
      <c r="D985" s="4" t="s">
        <v>1959</v>
      </c>
      <c r="E985" s="6">
        <v>43990</v>
      </c>
      <c r="F985" s="7">
        <v>-100</v>
      </c>
      <c r="G985" s="7">
        <v>-40.119999999999997</v>
      </c>
      <c r="H985" s="7">
        <v>0</v>
      </c>
    </row>
    <row r="986" spans="1:8">
      <c r="A986" s="4" t="s">
        <v>424</v>
      </c>
      <c r="B986" s="4" t="s">
        <v>425</v>
      </c>
      <c r="C986" s="4" t="s">
        <v>1598</v>
      </c>
      <c r="D986" s="4" t="s">
        <v>1960</v>
      </c>
      <c r="E986" s="6">
        <v>43990</v>
      </c>
      <c r="F986" s="7">
        <v>-100</v>
      </c>
      <c r="G986" s="7">
        <v>-46.94</v>
      </c>
      <c r="H986" s="7">
        <v>0</v>
      </c>
    </row>
    <row r="987" spans="1:8">
      <c r="A987" s="4" t="s">
        <v>424</v>
      </c>
      <c r="B987" s="4" t="s">
        <v>425</v>
      </c>
      <c r="C987" s="4" t="s">
        <v>1154</v>
      </c>
      <c r="D987" s="4" t="s">
        <v>1961</v>
      </c>
      <c r="E987" s="6">
        <v>43990</v>
      </c>
      <c r="F987" s="7">
        <v>-50</v>
      </c>
      <c r="G987" s="7">
        <v>-54.18</v>
      </c>
      <c r="H987" s="7">
        <v>0</v>
      </c>
    </row>
    <row r="988" spans="1:8">
      <c r="A988" s="4" t="s">
        <v>424</v>
      </c>
      <c r="B988" s="4" t="s">
        <v>425</v>
      </c>
      <c r="C988" s="4" t="s">
        <v>1030</v>
      </c>
      <c r="D988" s="4" t="s">
        <v>1962</v>
      </c>
      <c r="E988" s="6">
        <v>43990</v>
      </c>
      <c r="F988" s="7">
        <v>-50</v>
      </c>
      <c r="G988" s="7">
        <v>-108.35999999999999</v>
      </c>
      <c r="H988" s="7">
        <v>0.01</v>
      </c>
    </row>
    <row r="989" spans="1:8">
      <c r="A989" s="4" t="s">
        <v>424</v>
      </c>
      <c r="B989" s="4" t="s">
        <v>425</v>
      </c>
      <c r="C989" s="4" t="s">
        <v>784</v>
      </c>
      <c r="D989" s="4" t="s">
        <v>1963</v>
      </c>
      <c r="E989" s="6">
        <v>43990</v>
      </c>
      <c r="F989" s="7">
        <v>-1</v>
      </c>
      <c r="G989" s="7">
        <v>0</v>
      </c>
      <c r="H989" s="7">
        <v>0</v>
      </c>
    </row>
    <row r="990" spans="1:8">
      <c r="A990" s="4" t="s">
        <v>505</v>
      </c>
      <c r="B990" s="4" t="s">
        <v>506</v>
      </c>
      <c r="C990" s="4" t="s">
        <v>1028</v>
      </c>
      <c r="D990" s="4" t="s">
        <v>1964</v>
      </c>
      <c r="E990" s="6">
        <v>44022</v>
      </c>
      <c r="F990" s="7">
        <v>-50</v>
      </c>
      <c r="G990" s="7">
        <v>-47.82</v>
      </c>
      <c r="H990" s="7">
        <v>0</v>
      </c>
    </row>
    <row r="991" spans="1:8">
      <c r="A991" s="4" t="s">
        <v>505</v>
      </c>
      <c r="B991" s="4" t="s">
        <v>506</v>
      </c>
      <c r="C991" s="4" t="s">
        <v>1965</v>
      </c>
      <c r="D991" s="4" t="s">
        <v>1966</v>
      </c>
      <c r="E991" s="6">
        <v>44022</v>
      </c>
      <c r="F991" s="7">
        <v>-1</v>
      </c>
      <c r="G991" s="7">
        <v>0</v>
      </c>
      <c r="H991" s="7">
        <v>0</v>
      </c>
    </row>
    <row r="992" spans="1:8">
      <c r="A992" s="4" t="s">
        <v>505</v>
      </c>
      <c r="B992" s="4" t="s">
        <v>506</v>
      </c>
      <c r="C992" s="4" t="s">
        <v>784</v>
      </c>
      <c r="D992" s="4" t="s">
        <v>1967</v>
      </c>
      <c r="E992" s="6">
        <v>44022</v>
      </c>
      <c r="F992" s="7">
        <v>-1</v>
      </c>
      <c r="G992" s="7">
        <v>0</v>
      </c>
      <c r="H992" s="7">
        <v>0</v>
      </c>
    </row>
    <row r="993" spans="1:8">
      <c r="A993" s="4" t="s">
        <v>420</v>
      </c>
      <c r="B993" s="4" t="s">
        <v>421</v>
      </c>
      <c r="C993" s="4" t="s">
        <v>847</v>
      </c>
      <c r="D993" s="4" t="s">
        <v>1968</v>
      </c>
      <c r="E993" s="6">
        <v>43987</v>
      </c>
      <c r="F993" s="7">
        <v>-50</v>
      </c>
      <c r="G993" s="7">
        <v>-104.75999999999999</v>
      </c>
      <c r="H993" s="7">
        <v>0</v>
      </c>
    </row>
    <row r="994" spans="1:8">
      <c r="A994" s="4" t="s">
        <v>420</v>
      </c>
      <c r="B994" s="4" t="s">
        <v>421</v>
      </c>
      <c r="C994" s="4" t="s">
        <v>1969</v>
      </c>
      <c r="D994" s="4" t="s">
        <v>1970</v>
      </c>
      <c r="E994" s="6">
        <v>43987</v>
      </c>
      <c r="F994" s="7">
        <v>-50</v>
      </c>
      <c r="G994" s="7">
        <v>-52.38</v>
      </c>
      <c r="H994" s="7">
        <v>0</v>
      </c>
    </row>
    <row r="995" spans="1:8">
      <c r="A995" s="4" t="s">
        <v>420</v>
      </c>
      <c r="B995" s="4" t="s">
        <v>421</v>
      </c>
      <c r="C995" s="4" t="s">
        <v>942</v>
      </c>
      <c r="D995" s="4" t="s">
        <v>1971</v>
      </c>
      <c r="E995" s="6">
        <v>43987</v>
      </c>
      <c r="F995" s="7">
        <v>-50</v>
      </c>
      <c r="G995" s="7">
        <v>-50.13</v>
      </c>
      <c r="H995" s="7">
        <v>0</v>
      </c>
    </row>
    <row r="996" spans="1:8">
      <c r="A996" s="4" t="s">
        <v>420</v>
      </c>
      <c r="B996" s="4" t="s">
        <v>421</v>
      </c>
      <c r="C996" s="4" t="s">
        <v>784</v>
      </c>
      <c r="D996" s="4" t="s">
        <v>1972</v>
      </c>
      <c r="E996" s="6">
        <v>43987</v>
      </c>
      <c r="F996" s="7">
        <v>-1</v>
      </c>
      <c r="G996" s="7">
        <v>0</v>
      </c>
      <c r="H996" s="7">
        <v>0</v>
      </c>
    </row>
    <row r="997" spans="1:8">
      <c r="A997" s="4" t="s">
        <v>557</v>
      </c>
      <c r="B997" s="4" t="s">
        <v>558</v>
      </c>
      <c r="C997" s="4" t="s">
        <v>803</v>
      </c>
      <c r="D997" s="4" t="s">
        <v>1973</v>
      </c>
      <c r="E997" s="6">
        <v>44048</v>
      </c>
      <c r="F997" s="7">
        <v>-500</v>
      </c>
      <c r="G997" s="7">
        <v>-478.15</v>
      </c>
      <c r="H997" s="7">
        <v>-0.01</v>
      </c>
    </row>
    <row r="998" spans="1:8">
      <c r="A998" s="4" t="s">
        <v>557</v>
      </c>
      <c r="B998" s="4" t="s">
        <v>558</v>
      </c>
      <c r="C998" s="4" t="s">
        <v>786</v>
      </c>
      <c r="D998" s="4" t="s">
        <v>1974</v>
      </c>
      <c r="E998" s="6">
        <v>44048</v>
      </c>
      <c r="F998" s="7">
        <v>-1000</v>
      </c>
      <c r="G998" s="7">
        <v>-669.41000000000008</v>
      </c>
      <c r="H998" s="7">
        <v>-0.01</v>
      </c>
    </row>
    <row r="999" spans="1:8">
      <c r="A999" s="4" t="s">
        <v>557</v>
      </c>
      <c r="B999" s="4" t="s">
        <v>558</v>
      </c>
      <c r="C999" s="4" t="s">
        <v>801</v>
      </c>
      <c r="D999" s="4" t="s">
        <v>1975</v>
      </c>
      <c r="E999" s="6">
        <v>44048</v>
      </c>
      <c r="F999" s="7">
        <v>-2000</v>
      </c>
      <c r="G999" s="7">
        <v>-1721.35</v>
      </c>
      <c r="H999" s="7">
        <v>0</v>
      </c>
    </row>
    <row r="1000" spans="1:8">
      <c r="A1000" s="4" t="s">
        <v>557</v>
      </c>
      <c r="B1000" s="4" t="s">
        <v>558</v>
      </c>
      <c r="C1000" s="4" t="s">
        <v>799</v>
      </c>
      <c r="D1000" s="4" t="s">
        <v>1976</v>
      </c>
      <c r="E1000" s="6">
        <v>44048</v>
      </c>
      <c r="F1000" s="7">
        <v>-1500</v>
      </c>
      <c r="G1000" s="7">
        <v>-1147.56</v>
      </c>
      <c r="H1000" s="7">
        <v>0</v>
      </c>
    </row>
    <row r="1001" spans="1:8">
      <c r="A1001" s="4" t="s">
        <v>557</v>
      </c>
      <c r="B1001" s="4" t="s">
        <v>558</v>
      </c>
      <c r="C1001" s="4" t="s">
        <v>784</v>
      </c>
      <c r="D1001" s="4" t="s">
        <v>1977</v>
      </c>
      <c r="E1001" s="6">
        <v>44048</v>
      </c>
      <c r="F1001" s="7">
        <v>-1</v>
      </c>
      <c r="G1001" s="7">
        <v>0</v>
      </c>
      <c r="H1001" s="7">
        <v>0</v>
      </c>
    </row>
    <row r="1002" spans="1:8">
      <c r="A1002" s="4" t="s">
        <v>474</v>
      </c>
      <c r="B1002" s="4" t="s">
        <v>475</v>
      </c>
      <c r="C1002" s="4" t="s">
        <v>789</v>
      </c>
      <c r="D1002" s="4" t="s">
        <v>1978</v>
      </c>
      <c r="E1002" s="6">
        <v>44014</v>
      </c>
      <c r="F1002" s="7">
        <v>-1900</v>
      </c>
      <c r="G1002" s="7">
        <v>-9416.5300000000007</v>
      </c>
      <c r="H1002" s="7">
        <v>0</v>
      </c>
    </row>
    <row r="1003" spans="1:8">
      <c r="A1003" s="4" t="s">
        <v>474</v>
      </c>
      <c r="B1003" s="4" t="s">
        <v>475</v>
      </c>
      <c r="C1003" s="4" t="s">
        <v>789</v>
      </c>
      <c r="D1003" s="4" t="s">
        <v>1978</v>
      </c>
      <c r="E1003" s="6">
        <v>44014</v>
      </c>
      <c r="F1003" s="7">
        <v>-33</v>
      </c>
      <c r="G1003" s="7">
        <v>-163.55000000000001</v>
      </c>
      <c r="H1003" s="7">
        <v>0</v>
      </c>
    </row>
    <row r="1004" spans="1:8">
      <c r="A1004" s="4" t="s">
        <v>465</v>
      </c>
      <c r="B1004" s="4" t="s">
        <v>466</v>
      </c>
      <c r="C1004" s="4" t="s">
        <v>1086</v>
      </c>
      <c r="D1004" s="4" t="s">
        <v>1979</v>
      </c>
      <c r="E1004" s="6">
        <v>44013</v>
      </c>
      <c r="F1004" s="7">
        <v>-5050</v>
      </c>
      <c r="G1004" s="7">
        <v>-348.59000000000003</v>
      </c>
      <c r="H1004" s="7">
        <v>0</v>
      </c>
    </row>
    <row r="1005" spans="1:8">
      <c r="A1005" s="4" t="s">
        <v>465</v>
      </c>
      <c r="B1005" s="4" t="s">
        <v>466</v>
      </c>
      <c r="C1005" s="4" t="s">
        <v>1086</v>
      </c>
      <c r="D1005" s="4" t="s">
        <v>1980</v>
      </c>
      <c r="E1005" s="6">
        <v>44013</v>
      </c>
      <c r="F1005" s="7">
        <v>-5070</v>
      </c>
      <c r="G1005" s="7">
        <v>-349.98</v>
      </c>
      <c r="H1005" s="7">
        <v>0</v>
      </c>
    </row>
    <row r="1006" spans="1:8">
      <c r="A1006" s="4" t="s">
        <v>465</v>
      </c>
      <c r="B1006" s="4" t="s">
        <v>466</v>
      </c>
      <c r="C1006" s="4" t="s">
        <v>784</v>
      </c>
      <c r="D1006" s="4" t="s">
        <v>1981</v>
      </c>
      <c r="E1006" s="6">
        <v>44013</v>
      </c>
      <c r="F1006" s="7">
        <v>-1</v>
      </c>
      <c r="G1006" s="7">
        <v>0</v>
      </c>
      <c r="H1006" s="7">
        <v>0</v>
      </c>
    </row>
    <row r="1007" spans="1:8">
      <c r="A1007" s="4" t="s">
        <v>434</v>
      </c>
      <c r="B1007" s="4" t="s">
        <v>435</v>
      </c>
      <c r="C1007" s="4" t="s">
        <v>858</v>
      </c>
      <c r="D1007" s="4" t="s">
        <v>1982</v>
      </c>
      <c r="E1007" s="6">
        <v>43994</v>
      </c>
      <c r="F1007" s="7">
        <v>-100</v>
      </c>
      <c r="G1007" s="7">
        <v>-256.68</v>
      </c>
      <c r="H1007" s="7">
        <v>0.01</v>
      </c>
    </row>
    <row r="1008" spans="1:8">
      <c r="A1008" s="4" t="s">
        <v>434</v>
      </c>
      <c r="B1008" s="4" t="s">
        <v>435</v>
      </c>
      <c r="C1008" s="4" t="s">
        <v>1628</v>
      </c>
      <c r="D1008" s="4" t="s">
        <v>1983</v>
      </c>
      <c r="E1008" s="6">
        <v>43994</v>
      </c>
      <c r="F1008" s="7">
        <v>-75</v>
      </c>
      <c r="G1008" s="7">
        <v>-56.37</v>
      </c>
      <c r="H1008" s="7">
        <v>0</v>
      </c>
    </row>
    <row r="1009" spans="1:8">
      <c r="A1009" s="4" t="s">
        <v>434</v>
      </c>
      <c r="B1009" s="4" t="s">
        <v>435</v>
      </c>
      <c r="C1009" s="4" t="s">
        <v>976</v>
      </c>
      <c r="D1009" s="4" t="s">
        <v>1984</v>
      </c>
      <c r="E1009" s="6">
        <v>43994</v>
      </c>
      <c r="F1009" s="7">
        <v>-75</v>
      </c>
      <c r="G1009" s="7">
        <v>-61.34</v>
      </c>
      <c r="H1009" s="7">
        <v>0.01</v>
      </c>
    </row>
    <row r="1010" spans="1:8">
      <c r="A1010" s="4" t="s">
        <v>434</v>
      </c>
      <c r="B1010" s="4" t="s">
        <v>435</v>
      </c>
      <c r="C1010" s="4" t="s">
        <v>1168</v>
      </c>
      <c r="D1010" s="4" t="s">
        <v>1985</v>
      </c>
      <c r="E1010" s="6">
        <v>43994</v>
      </c>
      <c r="F1010" s="7">
        <v>-75</v>
      </c>
      <c r="G1010" s="7">
        <v>-60.71</v>
      </c>
      <c r="H1010" s="7">
        <v>0</v>
      </c>
    </row>
    <row r="1011" spans="1:8">
      <c r="A1011" s="4" t="s">
        <v>434</v>
      </c>
      <c r="B1011" s="4" t="s">
        <v>435</v>
      </c>
      <c r="C1011" s="4" t="s">
        <v>867</v>
      </c>
      <c r="D1011" s="4" t="s">
        <v>1986</v>
      </c>
      <c r="E1011" s="6">
        <v>43994</v>
      </c>
      <c r="F1011" s="7">
        <v>-75</v>
      </c>
      <c r="G1011" s="7">
        <v>-80.569999999999993</v>
      </c>
      <c r="H1011" s="7">
        <v>0.01</v>
      </c>
    </row>
    <row r="1012" spans="1:8">
      <c r="A1012" s="4" t="s">
        <v>434</v>
      </c>
      <c r="B1012" s="4" t="s">
        <v>435</v>
      </c>
      <c r="C1012" s="4" t="s">
        <v>1104</v>
      </c>
      <c r="D1012" s="4" t="s">
        <v>1987</v>
      </c>
      <c r="E1012" s="6">
        <v>43994</v>
      </c>
      <c r="F1012" s="7">
        <v>-75</v>
      </c>
      <c r="G1012" s="7">
        <v>-102.74000000000001</v>
      </c>
      <c r="H1012" s="7">
        <v>0</v>
      </c>
    </row>
    <row r="1013" spans="1:8">
      <c r="A1013" s="4" t="s">
        <v>434</v>
      </c>
      <c r="B1013" s="4" t="s">
        <v>435</v>
      </c>
      <c r="C1013" s="4" t="s">
        <v>944</v>
      </c>
      <c r="D1013" s="4" t="s">
        <v>1988</v>
      </c>
      <c r="E1013" s="6">
        <v>43994</v>
      </c>
      <c r="F1013" s="7">
        <v>-75</v>
      </c>
      <c r="G1013" s="7">
        <v>-112.47999999999999</v>
      </c>
      <c r="H1013" s="7">
        <v>-0.01</v>
      </c>
    </row>
    <row r="1014" spans="1:8">
      <c r="A1014" s="4" t="s">
        <v>434</v>
      </c>
      <c r="B1014" s="4" t="s">
        <v>435</v>
      </c>
      <c r="C1014" s="4" t="s">
        <v>784</v>
      </c>
      <c r="D1014" s="4" t="s">
        <v>1989</v>
      </c>
      <c r="E1014" s="6">
        <v>43994</v>
      </c>
      <c r="F1014" s="7">
        <v>-1</v>
      </c>
      <c r="G1014" s="7">
        <v>0</v>
      </c>
      <c r="H1014" s="7">
        <v>0</v>
      </c>
    </row>
    <row r="1015" spans="1:8">
      <c r="A1015" s="4" t="s">
        <v>502</v>
      </c>
      <c r="B1015" s="4" t="s">
        <v>503</v>
      </c>
      <c r="C1015" s="4" t="s">
        <v>1471</v>
      </c>
      <c r="D1015" s="4" t="s">
        <v>1990</v>
      </c>
      <c r="E1015" s="6">
        <v>44021</v>
      </c>
      <c r="F1015" s="7">
        <v>-167</v>
      </c>
      <c r="G1015" s="7">
        <v>-770.85</v>
      </c>
      <c r="H1015" s="7">
        <v>0</v>
      </c>
    </row>
    <row r="1016" spans="1:8">
      <c r="A1016" s="4" t="s">
        <v>502</v>
      </c>
      <c r="B1016" s="4" t="s">
        <v>503</v>
      </c>
      <c r="C1016" s="4" t="s">
        <v>840</v>
      </c>
      <c r="D1016" s="4" t="s">
        <v>1991</v>
      </c>
      <c r="E1016" s="6">
        <v>44021</v>
      </c>
      <c r="F1016" s="7">
        <v>-1</v>
      </c>
      <c r="G1016" s="7">
        <v>0</v>
      </c>
      <c r="H1016" s="7">
        <v>0</v>
      </c>
    </row>
    <row r="1017" spans="1:8">
      <c r="A1017" s="4" t="s">
        <v>502</v>
      </c>
      <c r="B1017" s="4" t="s">
        <v>503</v>
      </c>
      <c r="C1017" s="4" t="s">
        <v>784</v>
      </c>
      <c r="D1017" s="4" t="s">
        <v>1992</v>
      </c>
      <c r="E1017" s="6">
        <v>44021</v>
      </c>
      <c r="F1017" s="7">
        <v>-1</v>
      </c>
      <c r="G1017" s="7">
        <v>0</v>
      </c>
      <c r="H1017" s="7">
        <v>0</v>
      </c>
    </row>
    <row r="1018" spans="1:8">
      <c r="A1018" s="4" t="s">
        <v>449</v>
      </c>
      <c r="B1018" s="4" t="s">
        <v>450</v>
      </c>
      <c r="C1018" s="4" t="s">
        <v>817</v>
      </c>
      <c r="D1018" s="4" t="s">
        <v>1993</v>
      </c>
      <c r="E1018" s="6">
        <v>44005</v>
      </c>
      <c r="F1018" s="7">
        <v>-300</v>
      </c>
      <c r="G1018" s="7">
        <v>-284.2</v>
      </c>
      <c r="H1018" s="7">
        <v>0</v>
      </c>
    </row>
    <row r="1019" spans="1:8">
      <c r="A1019" s="4" t="s">
        <v>449</v>
      </c>
      <c r="B1019" s="4" t="s">
        <v>450</v>
      </c>
      <c r="C1019" s="4" t="s">
        <v>821</v>
      </c>
      <c r="D1019" s="4" t="s">
        <v>1994</v>
      </c>
      <c r="E1019" s="6">
        <v>44005</v>
      </c>
      <c r="F1019" s="7">
        <v>-25</v>
      </c>
      <c r="G1019" s="7">
        <v>-75.010000000000005</v>
      </c>
      <c r="H1019" s="7">
        <v>0</v>
      </c>
    </row>
    <row r="1020" spans="1:8">
      <c r="A1020" s="4" t="s">
        <v>449</v>
      </c>
      <c r="B1020" s="4" t="s">
        <v>450</v>
      </c>
      <c r="C1020" s="4" t="s">
        <v>1232</v>
      </c>
      <c r="D1020" s="4" t="s">
        <v>1995</v>
      </c>
      <c r="E1020" s="6">
        <v>44005</v>
      </c>
      <c r="F1020" s="7">
        <v>-25</v>
      </c>
      <c r="G1020" s="7">
        <v>-114.42999999999999</v>
      </c>
      <c r="H1020" s="7">
        <v>0.01</v>
      </c>
    </row>
    <row r="1021" spans="1:8">
      <c r="A1021" s="4" t="s">
        <v>449</v>
      </c>
      <c r="B1021" s="4" t="s">
        <v>450</v>
      </c>
      <c r="C1021" s="4" t="s">
        <v>815</v>
      </c>
      <c r="D1021" s="4" t="s">
        <v>1996</v>
      </c>
      <c r="E1021" s="6">
        <v>44005</v>
      </c>
      <c r="F1021" s="7">
        <v>-40</v>
      </c>
      <c r="G1021" s="7">
        <v>-75.099999999999994</v>
      </c>
      <c r="H1021" s="7">
        <v>0</v>
      </c>
    </row>
    <row r="1022" spans="1:8">
      <c r="A1022" s="4" t="s">
        <v>449</v>
      </c>
      <c r="B1022" s="4" t="s">
        <v>450</v>
      </c>
      <c r="C1022" s="4" t="s">
        <v>885</v>
      </c>
      <c r="D1022" s="4" t="s">
        <v>1997</v>
      </c>
      <c r="E1022" s="6">
        <v>44005</v>
      </c>
      <c r="F1022" s="7">
        <v>-20</v>
      </c>
      <c r="G1022" s="7">
        <v>-86.69</v>
      </c>
      <c r="H1022" s="7">
        <v>0</v>
      </c>
    </row>
    <row r="1023" spans="1:8">
      <c r="A1023" s="4" t="s">
        <v>449</v>
      </c>
      <c r="B1023" s="4" t="s">
        <v>450</v>
      </c>
      <c r="C1023" s="4" t="s">
        <v>784</v>
      </c>
      <c r="D1023" s="4" t="s">
        <v>1998</v>
      </c>
      <c r="E1023" s="6">
        <v>44005</v>
      </c>
      <c r="F1023" s="7">
        <v>-1</v>
      </c>
      <c r="G1023" s="7">
        <v>0</v>
      </c>
      <c r="H1023" s="7">
        <v>0</v>
      </c>
    </row>
    <row r="1024" spans="1:8">
      <c r="A1024" s="4" t="s">
        <v>436</v>
      </c>
      <c r="B1024" s="4" t="s">
        <v>437</v>
      </c>
      <c r="C1024" s="4" t="s">
        <v>1106</v>
      </c>
      <c r="D1024" s="4" t="s">
        <v>1999</v>
      </c>
      <c r="E1024" s="6">
        <v>43998</v>
      </c>
      <c r="F1024" s="7">
        <v>-150</v>
      </c>
      <c r="G1024" s="7">
        <v>-205.3</v>
      </c>
      <c r="H1024" s="7">
        <v>0</v>
      </c>
    </row>
    <row r="1025" spans="1:8">
      <c r="A1025" s="4" t="s">
        <v>436</v>
      </c>
      <c r="B1025" s="4" t="s">
        <v>437</v>
      </c>
      <c r="C1025" s="4" t="s">
        <v>784</v>
      </c>
      <c r="D1025" s="4" t="s">
        <v>2000</v>
      </c>
      <c r="E1025" s="6">
        <v>43998</v>
      </c>
      <c r="F1025" s="7">
        <v>-1</v>
      </c>
      <c r="G1025" s="7">
        <v>0</v>
      </c>
      <c r="H1025" s="7">
        <v>0</v>
      </c>
    </row>
    <row r="1026" spans="1:8">
      <c r="A1026" s="4" t="s">
        <v>451</v>
      </c>
      <c r="B1026" s="4" t="s">
        <v>452</v>
      </c>
      <c r="C1026" s="4" t="s">
        <v>1384</v>
      </c>
      <c r="D1026" s="4" t="s">
        <v>2001</v>
      </c>
      <c r="E1026" s="6">
        <v>44005</v>
      </c>
      <c r="F1026" s="7">
        <v>-50</v>
      </c>
      <c r="G1026" s="7">
        <v>-37.17</v>
      </c>
      <c r="H1026" s="7">
        <v>0</v>
      </c>
    </row>
    <row r="1027" spans="1:8">
      <c r="A1027" s="4" t="s">
        <v>451</v>
      </c>
      <c r="B1027" s="4" t="s">
        <v>452</v>
      </c>
      <c r="C1027" s="4" t="s">
        <v>1168</v>
      </c>
      <c r="D1027" s="4" t="s">
        <v>2002</v>
      </c>
      <c r="E1027" s="6">
        <v>44005</v>
      </c>
      <c r="F1027" s="7">
        <v>-100</v>
      </c>
      <c r="G1027" s="7">
        <v>-80.95</v>
      </c>
      <c r="H1027" s="7">
        <v>0.01</v>
      </c>
    </row>
    <row r="1028" spans="1:8">
      <c r="A1028" s="4" t="s">
        <v>451</v>
      </c>
      <c r="B1028" s="4" t="s">
        <v>452</v>
      </c>
      <c r="C1028" s="4" t="s">
        <v>1222</v>
      </c>
      <c r="D1028" s="4" t="s">
        <v>2003</v>
      </c>
      <c r="E1028" s="6">
        <v>44005</v>
      </c>
      <c r="F1028" s="7">
        <v>-100</v>
      </c>
      <c r="G1028" s="7">
        <v>-167.82999999999998</v>
      </c>
      <c r="H1028" s="7">
        <v>-0.01</v>
      </c>
    </row>
    <row r="1029" spans="1:8">
      <c r="A1029" s="4" t="s">
        <v>451</v>
      </c>
      <c r="B1029" s="4" t="s">
        <v>452</v>
      </c>
      <c r="C1029" s="4" t="s">
        <v>995</v>
      </c>
      <c r="D1029" s="4" t="s">
        <v>2004</v>
      </c>
      <c r="E1029" s="6">
        <v>44005</v>
      </c>
      <c r="F1029" s="7">
        <v>-100</v>
      </c>
      <c r="G1029" s="7">
        <v>-122.58</v>
      </c>
      <c r="H1029" s="7">
        <v>0</v>
      </c>
    </row>
    <row r="1030" spans="1:8">
      <c r="A1030" s="4" t="s">
        <v>451</v>
      </c>
      <c r="B1030" s="4" t="s">
        <v>452</v>
      </c>
      <c r="C1030" s="4" t="s">
        <v>1404</v>
      </c>
      <c r="D1030" s="4" t="s">
        <v>2005</v>
      </c>
      <c r="E1030" s="6">
        <v>44005</v>
      </c>
      <c r="F1030" s="7">
        <v>-86</v>
      </c>
      <c r="G1030" s="7">
        <v>-238.3</v>
      </c>
      <c r="H1030" s="7">
        <v>0</v>
      </c>
    </row>
    <row r="1031" spans="1:8">
      <c r="A1031" s="4" t="s">
        <v>451</v>
      </c>
      <c r="B1031" s="4" t="s">
        <v>452</v>
      </c>
      <c r="C1031" s="4" t="s">
        <v>1371</v>
      </c>
      <c r="D1031" s="4" t="s">
        <v>2006</v>
      </c>
      <c r="E1031" s="6">
        <v>44005</v>
      </c>
      <c r="F1031" s="7">
        <v>-100</v>
      </c>
      <c r="G1031" s="7">
        <v>-164.18</v>
      </c>
      <c r="H1031" s="7">
        <v>-0.01</v>
      </c>
    </row>
    <row r="1032" spans="1:8">
      <c r="A1032" s="4" t="s">
        <v>451</v>
      </c>
      <c r="B1032" s="4" t="s">
        <v>452</v>
      </c>
      <c r="C1032" s="4" t="s">
        <v>784</v>
      </c>
      <c r="D1032" s="4" t="s">
        <v>2007</v>
      </c>
      <c r="E1032" s="6">
        <v>44005</v>
      </c>
      <c r="F1032" s="7">
        <v>-1</v>
      </c>
      <c r="G1032" s="7">
        <v>0</v>
      </c>
      <c r="H1032" s="7">
        <v>0</v>
      </c>
    </row>
    <row r="1033" spans="1:8">
      <c r="A1033" s="4" t="s">
        <v>472</v>
      </c>
      <c r="B1033" s="4" t="s">
        <v>473</v>
      </c>
      <c r="C1033" s="4" t="s">
        <v>1090</v>
      </c>
      <c r="D1033" s="4" t="s">
        <v>2008</v>
      </c>
      <c r="E1033" s="6">
        <v>44014</v>
      </c>
      <c r="F1033" s="7">
        <v>-1000</v>
      </c>
      <c r="G1033" s="7">
        <v>-542.12</v>
      </c>
      <c r="H1033" s="7">
        <v>0</v>
      </c>
    </row>
    <row r="1034" spans="1:8">
      <c r="A1034" s="4" t="s">
        <v>472</v>
      </c>
      <c r="B1034" s="4" t="s">
        <v>473</v>
      </c>
      <c r="C1034" s="4" t="s">
        <v>840</v>
      </c>
      <c r="D1034" s="4" t="s">
        <v>2009</v>
      </c>
      <c r="E1034" s="6">
        <v>44014</v>
      </c>
      <c r="F1034" s="7">
        <v>-1</v>
      </c>
      <c r="G1034" s="7">
        <v>0</v>
      </c>
      <c r="H1034" s="7">
        <v>0</v>
      </c>
    </row>
    <row r="1035" spans="1:8">
      <c r="A1035" s="4" t="s">
        <v>456</v>
      </c>
      <c r="B1035" s="4" t="s">
        <v>457</v>
      </c>
      <c r="C1035" s="4" t="s">
        <v>2010</v>
      </c>
      <c r="D1035" s="4" t="s">
        <v>2011</v>
      </c>
      <c r="E1035" s="6">
        <v>44005</v>
      </c>
      <c r="F1035" s="7">
        <v>-20</v>
      </c>
      <c r="G1035" s="7">
        <v>-61.37</v>
      </c>
      <c r="H1035" s="7">
        <v>-2.98</v>
      </c>
    </row>
    <row r="1036" spans="1:8">
      <c r="A1036" s="4" t="s">
        <v>456</v>
      </c>
      <c r="B1036" s="4" t="s">
        <v>457</v>
      </c>
      <c r="C1036" s="4" t="s">
        <v>2010</v>
      </c>
      <c r="D1036" s="4" t="s">
        <v>2012</v>
      </c>
      <c r="E1036" s="6">
        <v>44005</v>
      </c>
      <c r="F1036" s="7">
        <v>-30</v>
      </c>
      <c r="G1036" s="7">
        <v>-92.05</v>
      </c>
      <c r="H1036" s="7">
        <v>-4.4799999999999995</v>
      </c>
    </row>
    <row r="1037" spans="1:8">
      <c r="A1037" s="4" t="s">
        <v>456</v>
      </c>
      <c r="B1037" s="4" t="s">
        <v>457</v>
      </c>
      <c r="C1037" s="4" t="s">
        <v>2010</v>
      </c>
      <c r="D1037" s="4" t="s">
        <v>2013</v>
      </c>
      <c r="E1037" s="6">
        <v>44005</v>
      </c>
      <c r="F1037" s="7">
        <v>-30</v>
      </c>
      <c r="G1037" s="7">
        <v>-92.05</v>
      </c>
      <c r="H1037" s="7">
        <v>-4.4799999999999995</v>
      </c>
    </row>
    <row r="1038" spans="1:8">
      <c r="A1038" s="4" t="s">
        <v>453</v>
      </c>
      <c r="B1038" s="4" t="s">
        <v>454</v>
      </c>
      <c r="C1038" s="4" t="s">
        <v>1044</v>
      </c>
      <c r="D1038" s="4" t="s">
        <v>2014</v>
      </c>
      <c r="E1038" s="6">
        <v>44005</v>
      </c>
      <c r="F1038" s="7">
        <v>-50</v>
      </c>
      <c r="G1038" s="7">
        <v>-215.20999999999998</v>
      </c>
      <c r="H1038" s="7">
        <v>0</v>
      </c>
    </row>
    <row r="1039" spans="1:8">
      <c r="A1039" s="4" t="s">
        <v>453</v>
      </c>
      <c r="B1039" s="4" t="s">
        <v>454</v>
      </c>
      <c r="C1039" s="4" t="s">
        <v>1655</v>
      </c>
      <c r="D1039" s="4" t="s">
        <v>2015</v>
      </c>
      <c r="E1039" s="6">
        <v>44005</v>
      </c>
      <c r="F1039" s="7">
        <v>-50</v>
      </c>
      <c r="G1039" s="7">
        <v>-74.33</v>
      </c>
      <c r="H1039" s="7">
        <v>0</v>
      </c>
    </row>
    <row r="1040" spans="1:8">
      <c r="A1040" s="4" t="s">
        <v>453</v>
      </c>
      <c r="B1040" s="4" t="s">
        <v>454</v>
      </c>
      <c r="C1040" s="4" t="s">
        <v>1146</v>
      </c>
      <c r="D1040" s="4" t="s">
        <v>2016</v>
      </c>
      <c r="E1040" s="6">
        <v>44005</v>
      </c>
      <c r="F1040" s="7">
        <v>-50</v>
      </c>
      <c r="G1040" s="7">
        <v>-40.119999999999997</v>
      </c>
      <c r="H1040" s="7">
        <v>-0.01</v>
      </c>
    </row>
    <row r="1041" spans="1:8">
      <c r="A1041" s="4" t="s">
        <v>453</v>
      </c>
      <c r="B1041" s="4" t="s">
        <v>454</v>
      </c>
      <c r="C1041" s="4" t="s">
        <v>860</v>
      </c>
      <c r="D1041" s="4" t="s">
        <v>2017</v>
      </c>
      <c r="E1041" s="6">
        <v>44005</v>
      </c>
      <c r="F1041" s="7">
        <v>-50</v>
      </c>
      <c r="G1041" s="7">
        <v>-161.44999999999999</v>
      </c>
      <c r="H1041" s="7">
        <v>0.01</v>
      </c>
    </row>
    <row r="1042" spans="1:8">
      <c r="A1042" s="4" t="s">
        <v>453</v>
      </c>
      <c r="B1042" s="4" t="s">
        <v>454</v>
      </c>
      <c r="C1042" s="4" t="s">
        <v>976</v>
      </c>
      <c r="D1042" s="4" t="s">
        <v>2018</v>
      </c>
      <c r="E1042" s="6">
        <v>44005</v>
      </c>
      <c r="F1042" s="7">
        <v>-50</v>
      </c>
      <c r="G1042" s="7">
        <v>-40.89</v>
      </c>
      <c r="H1042" s="7">
        <v>-0.01</v>
      </c>
    </row>
    <row r="1043" spans="1:8">
      <c r="A1043" s="4" t="s">
        <v>453</v>
      </c>
      <c r="B1043" s="4" t="s">
        <v>454</v>
      </c>
      <c r="C1043" s="4" t="s">
        <v>949</v>
      </c>
      <c r="D1043" s="4" t="s">
        <v>2019</v>
      </c>
      <c r="E1043" s="6">
        <v>44005</v>
      </c>
      <c r="F1043" s="7">
        <v>-25</v>
      </c>
      <c r="G1043" s="7">
        <v>-9.01</v>
      </c>
      <c r="H1043" s="7">
        <v>0</v>
      </c>
    </row>
    <row r="1044" spans="1:8">
      <c r="A1044" s="4" t="s">
        <v>453</v>
      </c>
      <c r="B1044" s="4" t="s">
        <v>454</v>
      </c>
      <c r="C1044" s="4" t="s">
        <v>873</v>
      </c>
      <c r="D1044" s="4" t="s">
        <v>2020</v>
      </c>
      <c r="E1044" s="6">
        <v>44005</v>
      </c>
      <c r="F1044" s="7">
        <v>-50</v>
      </c>
      <c r="G1044" s="7">
        <v>-20.239999999999998</v>
      </c>
      <c r="H1044" s="7">
        <v>0</v>
      </c>
    </row>
    <row r="1045" spans="1:8">
      <c r="A1045" s="4" t="s">
        <v>453</v>
      </c>
      <c r="B1045" s="4" t="s">
        <v>454</v>
      </c>
      <c r="C1045" s="4" t="s">
        <v>1168</v>
      </c>
      <c r="D1045" s="4" t="s">
        <v>2021</v>
      </c>
      <c r="E1045" s="6">
        <v>44005</v>
      </c>
      <c r="F1045" s="7">
        <v>-50</v>
      </c>
      <c r="G1045" s="7">
        <v>-40.47</v>
      </c>
      <c r="H1045" s="7">
        <v>-0.01</v>
      </c>
    </row>
    <row r="1046" spans="1:8">
      <c r="A1046" s="4" t="s">
        <v>453</v>
      </c>
      <c r="B1046" s="4" t="s">
        <v>454</v>
      </c>
      <c r="C1046" s="4" t="s">
        <v>940</v>
      </c>
      <c r="D1046" s="4" t="s">
        <v>2022</v>
      </c>
      <c r="E1046" s="6">
        <v>44005</v>
      </c>
      <c r="F1046" s="7">
        <v>-50</v>
      </c>
      <c r="G1046" s="7">
        <v>-28.19</v>
      </c>
      <c r="H1046" s="7">
        <v>0</v>
      </c>
    </row>
    <row r="1047" spans="1:8">
      <c r="A1047" s="4" t="s">
        <v>453</v>
      </c>
      <c r="B1047" s="4" t="s">
        <v>454</v>
      </c>
      <c r="C1047" s="4" t="s">
        <v>952</v>
      </c>
      <c r="D1047" s="4" t="s">
        <v>2023</v>
      </c>
      <c r="E1047" s="6">
        <v>44005</v>
      </c>
      <c r="F1047" s="7">
        <v>-50</v>
      </c>
      <c r="G1047" s="7">
        <v>-33.07</v>
      </c>
      <c r="H1047" s="7">
        <v>0</v>
      </c>
    </row>
    <row r="1048" spans="1:8">
      <c r="A1048" s="4" t="s">
        <v>453</v>
      </c>
      <c r="B1048" s="4" t="s">
        <v>454</v>
      </c>
      <c r="C1048" s="4" t="s">
        <v>987</v>
      </c>
      <c r="D1048" s="4" t="s">
        <v>2024</v>
      </c>
      <c r="E1048" s="6">
        <v>44005</v>
      </c>
      <c r="F1048" s="7">
        <v>-50</v>
      </c>
      <c r="G1048" s="7">
        <v>-37.49</v>
      </c>
      <c r="H1048" s="7">
        <v>-0.01</v>
      </c>
    </row>
    <row r="1049" spans="1:8">
      <c r="A1049" s="4" t="s">
        <v>453</v>
      </c>
      <c r="B1049" s="4" t="s">
        <v>454</v>
      </c>
      <c r="C1049" s="4" t="s">
        <v>784</v>
      </c>
      <c r="D1049" s="4" t="s">
        <v>2025</v>
      </c>
      <c r="E1049" s="6">
        <v>44005</v>
      </c>
      <c r="F1049" s="7">
        <v>-1</v>
      </c>
      <c r="G1049" s="7">
        <v>0</v>
      </c>
      <c r="H1049" s="7">
        <v>0</v>
      </c>
    </row>
    <row r="1050" spans="1:8">
      <c r="A1050" s="4" t="s">
        <v>443</v>
      </c>
      <c r="B1050" s="4" t="s">
        <v>444</v>
      </c>
      <c r="C1050" s="4" t="s">
        <v>840</v>
      </c>
      <c r="D1050" s="4" t="s">
        <v>2026</v>
      </c>
      <c r="E1050" s="6">
        <v>44000</v>
      </c>
      <c r="F1050" s="7">
        <v>-1</v>
      </c>
      <c r="G1050" s="7">
        <v>0</v>
      </c>
      <c r="H1050" s="7">
        <v>0</v>
      </c>
    </row>
    <row r="1051" spans="1:8">
      <c r="A1051" s="4" t="s">
        <v>445</v>
      </c>
      <c r="B1051" s="4" t="s">
        <v>446</v>
      </c>
      <c r="C1051" s="4" t="s">
        <v>840</v>
      </c>
      <c r="D1051" s="4" t="s">
        <v>2027</v>
      </c>
      <c r="E1051" s="6">
        <v>44000</v>
      </c>
      <c r="F1051" s="7">
        <v>-1</v>
      </c>
      <c r="G1051" s="7">
        <v>0</v>
      </c>
      <c r="H1051" s="7">
        <v>0</v>
      </c>
    </row>
    <row r="1052" spans="1:8">
      <c r="A1052" s="4" t="s">
        <v>756</v>
      </c>
      <c r="B1052" s="4" t="s">
        <v>757</v>
      </c>
      <c r="C1052" s="4" t="s">
        <v>840</v>
      </c>
      <c r="D1052" s="4" t="s">
        <v>2028</v>
      </c>
      <c r="E1052" s="6">
        <v>44000</v>
      </c>
      <c r="F1052" s="7">
        <v>1</v>
      </c>
      <c r="G1052" s="7">
        <v>0</v>
      </c>
      <c r="H1052" s="7">
        <v>0</v>
      </c>
    </row>
    <row r="1053" spans="1:8">
      <c r="A1053" s="4" t="s">
        <v>758</v>
      </c>
      <c r="B1053" s="4" t="s">
        <v>759</v>
      </c>
      <c r="C1053" s="4" t="s">
        <v>840</v>
      </c>
      <c r="D1053" s="4" t="s">
        <v>2029</v>
      </c>
      <c r="E1053" s="6">
        <v>44000</v>
      </c>
      <c r="F1053" s="7">
        <v>1</v>
      </c>
      <c r="G1053" s="7">
        <v>0</v>
      </c>
      <c r="H1053" s="7">
        <v>0</v>
      </c>
    </row>
    <row r="1054" spans="1:8">
      <c r="A1054" s="4" t="s">
        <v>456</v>
      </c>
      <c r="B1054" s="4" t="s">
        <v>457</v>
      </c>
      <c r="C1054" s="4" t="s">
        <v>784</v>
      </c>
      <c r="D1054" s="4" t="s">
        <v>2030</v>
      </c>
      <c r="E1054" s="6">
        <v>44005</v>
      </c>
      <c r="F1054" s="7">
        <v>-1</v>
      </c>
      <c r="G1054" s="7">
        <v>0</v>
      </c>
      <c r="H1054" s="7">
        <v>0</v>
      </c>
    </row>
    <row r="1055" spans="1:8">
      <c r="A1055" s="4" t="s">
        <v>458</v>
      </c>
      <c r="B1055" s="4" t="s">
        <v>459</v>
      </c>
      <c r="C1055" s="4" t="s">
        <v>1129</v>
      </c>
      <c r="D1055" s="4" t="s">
        <v>2031</v>
      </c>
      <c r="E1055" s="6">
        <v>44006</v>
      </c>
      <c r="F1055" s="7">
        <v>-100</v>
      </c>
      <c r="G1055" s="7">
        <v>-18.02</v>
      </c>
      <c r="H1055" s="7">
        <v>0</v>
      </c>
    </row>
    <row r="1056" spans="1:8">
      <c r="A1056" s="4" t="s">
        <v>458</v>
      </c>
      <c r="B1056" s="4" t="s">
        <v>459</v>
      </c>
      <c r="C1056" s="4" t="s">
        <v>1133</v>
      </c>
      <c r="D1056" s="4" t="s">
        <v>2032</v>
      </c>
      <c r="E1056" s="6">
        <v>44006</v>
      </c>
      <c r="F1056" s="7">
        <v>-100</v>
      </c>
      <c r="G1056" s="7">
        <v>-20.239999999999998</v>
      </c>
      <c r="H1056" s="7">
        <v>0</v>
      </c>
    </row>
    <row r="1057" spans="1:8">
      <c r="A1057" s="4" t="s">
        <v>458</v>
      </c>
      <c r="B1057" s="4" t="s">
        <v>459</v>
      </c>
      <c r="C1057" s="4" t="s">
        <v>1139</v>
      </c>
      <c r="D1057" s="4" t="s">
        <v>2033</v>
      </c>
      <c r="E1057" s="6">
        <v>44006</v>
      </c>
      <c r="F1057" s="7">
        <v>-100</v>
      </c>
      <c r="G1057" s="7">
        <v>-62.39</v>
      </c>
      <c r="H1057" s="7">
        <v>0</v>
      </c>
    </row>
    <row r="1058" spans="1:8">
      <c r="A1058" s="4" t="s">
        <v>458</v>
      </c>
      <c r="B1058" s="4" t="s">
        <v>459</v>
      </c>
      <c r="C1058" s="4" t="s">
        <v>1795</v>
      </c>
      <c r="D1058" s="4" t="s">
        <v>2034</v>
      </c>
      <c r="E1058" s="6">
        <v>44006</v>
      </c>
      <c r="F1058" s="7">
        <v>-60</v>
      </c>
      <c r="G1058" s="7">
        <v>-42.13</v>
      </c>
      <c r="H1058" s="7">
        <v>0</v>
      </c>
    </row>
    <row r="1059" spans="1:8">
      <c r="A1059" s="4" t="s">
        <v>458</v>
      </c>
      <c r="B1059" s="4" t="s">
        <v>459</v>
      </c>
      <c r="C1059" s="4" t="s">
        <v>1088</v>
      </c>
      <c r="D1059" s="4" t="s">
        <v>2035</v>
      </c>
      <c r="E1059" s="6">
        <v>44006</v>
      </c>
      <c r="F1059" s="7">
        <v>-100</v>
      </c>
      <c r="G1059" s="7">
        <v>-34.25</v>
      </c>
      <c r="H1059" s="7">
        <v>0.01</v>
      </c>
    </row>
    <row r="1060" spans="1:8">
      <c r="A1060" s="4" t="s">
        <v>458</v>
      </c>
      <c r="B1060" s="4" t="s">
        <v>459</v>
      </c>
      <c r="C1060" s="4" t="s">
        <v>1026</v>
      </c>
      <c r="D1060" s="4" t="s">
        <v>2036</v>
      </c>
      <c r="E1060" s="6">
        <v>44006</v>
      </c>
      <c r="F1060" s="7">
        <v>-50</v>
      </c>
      <c r="G1060" s="7">
        <v>-34.22</v>
      </c>
      <c r="H1060" s="7">
        <v>0</v>
      </c>
    </row>
    <row r="1061" spans="1:8">
      <c r="A1061" s="4" t="s">
        <v>458</v>
      </c>
      <c r="B1061" s="4" t="s">
        <v>459</v>
      </c>
      <c r="C1061" s="4" t="s">
        <v>1600</v>
      </c>
      <c r="D1061" s="4" t="s">
        <v>2037</v>
      </c>
      <c r="E1061" s="6">
        <v>44006</v>
      </c>
      <c r="F1061" s="7">
        <v>-100</v>
      </c>
      <c r="G1061" s="7">
        <v>-76.83</v>
      </c>
      <c r="H1061" s="7">
        <v>-0.01</v>
      </c>
    </row>
    <row r="1062" spans="1:8">
      <c r="A1062" s="4" t="s">
        <v>458</v>
      </c>
      <c r="B1062" s="4" t="s">
        <v>459</v>
      </c>
      <c r="C1062" s="4" t="s">
        <v>851</v>
      </c>
      <c r="D1062" s="4" t="s">
        <v>2038</v>
      </c>
      <c r="E1062" s="6">
        <v>44006</v>
      </c>
      <c r="F1062" s="7">
        <v>-100</v>
      </c>
      <c r="G1062" s="7">
        <v>-153.67000000000002</v>
      </c>
      <c r="H1062" s="7">
        <v>0.01</v>
      </c>
    </row>
    <row r="1063" spans="1:8">
      <c r="A1063" s="4" t="s">
        <v>458</v>
      </c>
      <c r="B1063" s="4" t="s">
        <v>459</v>
      </c>
      <c r="C1063" s="4" t="s">
        <v>1149</v>
      </c>
      <c r="D1063" s="4" t="s">
        <v>2039</v>
      </c>
      <c r="E1063" s="6">
        <v>44006</v>
      </c>
      <c r="F1063" s="7">
        <v>-50</v>
      </c>
      <c r="G1063" s="7">
        <v>-43.44</v>
      </c>
      <c r="H1063" s="7">
        <v>0.01</v>
      </c>
    </row>
    <row r="1064" spans="1:8">
      <c r="A1064" s="4" t="s">
        <v>458</v>
      </c>
      <c r="B1064" s="4" t="s">
        <v>459</v>
      </c>
      <c r="C1064" s="4" t="s">
        <v>2040</v>
      </c>
      <c r="D1064" s="4" t="s">
        <v>2041</v>
      </c>
      <c r="E1064" s="6">
        <v>44006</v>
      </c>
      <c r="F1064" s="7">
        <v>-20</v>
      </c>
      <c r="G1064" s="7">
        <v>-34.75</v>
      </c>
      <c r="H1064" s="7">
        <v>0.01</v>
      </c>
    </row>
    <row r="1065" spans="1:8">
      <c r="A1065" s="4" t="s">
        <v>458</v>
      </c>
      <c r="B1065" s="4" t="s">
        <v>459</v>
      </c>
      <c r="C1065" s="4" t="s">
        <v>1151</v>
      </c>
      <c r="D1065" s="4" t="s">
        <v>2042</v>
      </c>
      <c r="E1065" s="6">
        <v>44006</v>
      </c>
      <c r="F1065" s="7">
        <v>-50</v>
      </c>
      <c r="G1065" s="7">
        <v>-44.93</v>
      </c>
      <c r="H1065" s="7">
        <v>0</v>
      </c>
    </row>
    <row r="1066" spans="1:8">
      <c r="A1066" s="4" t="s">
        <v>458</v>
      </c>
      <c r="B1066" s="4" t="s">
        <v>459</v>
      </c>
      <c r="C1066" s="4" t="s">
        <v>853</v>
      </c>
      <c r="D1066" s="4" t="s">
        <v>2043</v>
      </c>
      <c r="E1066" s="6">
        <v>44006</v>
      </c>
      <c r="F1066" s="7">
        <v>-25</v>
      </c>
      <c r="G1066" s="7">
        <v>-44.93</v>
      </c>
      <c r="H1066" s="7">
        <v>0</v>
      </c>
    </row>
    <row r="1067" spans="1:8">
      <c r="A1067" s="4" t="s">
        <v>458</v>
      </c>
      <c r="B1067" s="4" t="s">
        <v>459</v>
      </c>
      <c r="C1067" s="4" t="s">
        <v>784</v>
      </c>
      <c r="D1067" s="4" t="s">
        <v>2044</v>
      </c>
      <c r="E1067" s="6">
        <v>44006</v>
      </c>
      <c r="F1067" s="7">
        <v>-1</v>
      </c>
      <c r="G1067" s="7">
        <v>0</v>
      </c>
      <c r="H1067" s="7">
        <v>0</v>
      </c>
    </row>
    <row r="1068" spans="1:8">
      <c r="A1068" s="4" t="s">
        <v>458</v>
      </c>
      <c r="B1068" s="4" t="s">
        <v>459</v>
      </c>
      <c r="C1068" s="4" t="s">
        <v>889</v>
      </c>
      <c r="D1068" s="4" t="s">
        <v>2045</v>
      </c>
      <c r="E1068" s="6">
        <v>44006</v>
      </c>
      <c r="F1068" s="7">
        <v>-40</v>
      </c>
      <c r="G1068" s="7">
        <v>-17.87</v>
      </c>
      <c r="H1068" s="7">
        <v>0</v>
      </c>
    </row>
    <row r="1069" spans="1:8">
      <c r="A1069" s="4" t="s">
        <v>460</v>
      </c>
      <c r="B1069" s="4" t="s">
        <v>461</v>
      </c>
      <c r="C1069" s="4" t="s">
        <v>1086</v>
      </c>
      <c r="D1069" s="4" t="s">
        <v>2046</v>
      </c>
      <c r="E1069" s="6">
        <v>44006</v>
      </c>
      <c r="F1069" s="7">
        <v>-50</v>
      </c>
      <c r="G1069" s="7">
        <v>-42.28</v>
      </c>
      <c r="H1069" s="7">
        <v>0</v>
      </c>
    </row>
    <row r="1070" spans="1:8">
      <c r="A1070" s="4" t="s">
        <v>460</v>
      </c>
      <c r="B1070" s="4" t="s">
        <v>461</v>
      </c>
      <c r="C1070" s="4" t="s">
        <v>784</v>
      </c>
      <c r="D1070" s="4" t="s">
        <v>2047</v>
      </c>
      <c r="E1070" s="6">
        <v>44006</v>
      </c>
      <c r="F1070" s="7">
        <v>-1</v>
      </c>
      <c r="G1070" s="7">
        <v>0</v>
      </c>
      <c r="H1070" s="7">
        <v>0</v>
      </c>
    </row>
    <row r="1071" spans="1:8">
      <c r="A1071" s="4" t="s">
        <v>515</v>
      </c>
      <c r="B1071" s="4" t="s">
        <v>516</v>
      </c>
      <c r="C1071" s="4" t="s">
        <v>2048</v>
      </c>
      <c r="D1071" s="4" t="s">
        <v>2049</v>
      </c>
      <c r="E1071" s="6">
        <v>44026</v>
      </c>
      <c r="F1071" s="7">
        <v>-200</v>
      </c>
      <c r="G1071" s="7">
        <v>-277.64</v>
      </c>
      <c r="H1071" s="7">
        <v>0</v>
      </c>
    </row>
    <row r="1072" spans="1:8">
      <c r="A1072" s="4" t="s">
        <v>515</v>
      </c>
      <c r="B1072" s="4" t="s">
        <v>516</v>
      </c>
      <c r="C1072" s="4" t="s">
        <v>784</v>
      </c>
      <c r="D1072" s="4" t="s">
        <v>2050</v>
      </c>
      <c r="E1072" s="6">
        <v>44026</v>
      </c>
      <c r="F1072" s="7">
        <v>-1</v>
      </c>
      <c r="G1072" s="7">
        <v>0</v>
      </c>
      <c r="H1072" s="7">
        <v>0</v>
      </c>
    </row>
    <row r="1073" spans="1:8">
      <c r="A1073" s="4" t="s">
        <v>463</v>
      </c>
      <c r="B1073" s="4" t="s">
        <v>464</v>
      </c>
      <c r="C1073" s="4" t="s">
        <v>916</v>
      </c>
      <c r="D1073" s="4" t="s">
        <v>2051</v>
      </c>
      <c r="E1073" s="6">
        <v>44008</v>
      </c>
      <c r="F1073" s="7">
        <v>-50</v>
      </c>
      <c r="G1073" s="7">
        <v>-18.79</v>
      </c>
      <c r="H1073" s="7">
        <v>0</v>
      </c>
    </row>
    <row r="1074" spans="1:8">
      <c r="A1074" s="4" t="s">
        <v>463</v>
      </c>
      <c r="B1074" s="4" t="s">
        <v>464</v>
      </c>
      <c r="C1074" s="4" t="s">
        <v>784</v>
      </c>
      <c r="D1074" s="4" t="s">
        <v>2052</v>
      </c>
      <c r="E1074" s="6">
        <v>44008</v>
      </c>
      <c r="F1074" s="7">
        <v>-1</v>
      </c>
      <c r="G1074" s="7">
        <v>0</v>
      </c>
      <c r="H1074" s="7">
        <v>0</v>
      </c>
    </row>
    <row r="1075" spans="1:8">
      <c r="A1075" s="4" t="s">
        <v>468</v>
      </c>
      <c r="B1075" s="4" t="s">
        <v>469</v>
      </c>
      <c r="C1075" s="4" t="s">
        <v>2053</v>
      </c>
      <c r="D1075" s="4" t="s">
        <v>2054</v>
      </c>
      <c r="E1075" s="6">
        <v>44013</v>
      </c>
      <c r="F1075" s="7">
        <v>-15</v>
      </c>
      <c r="G1075" s="7">
        <v>-295.11</v>
      </c>
      <c r="H1075" s="7">
        <v>-0.15</v>
      </c>
    </row>
    <row r="1076" spans="1:8">
      <c r="A1076" s="4" t="s">
        <v>468</v>
      </c>
      <c r="B1076" s="4" t="s">
        <v>469</v>
      </c>
      <c r="C1076" s="4" t="s">
        <v>2053</v>
      </c>
      <c r="D1076" s="4" t="s">
        <v>2055</v>
      </c>
      <c r="E1076" s="6">
        <v>44013</v>
      </c>
      <c r="F1076" s="7">
        <v>-6</v>
      </c>
      <c r="G1076" s="7">
        <v>-118.05</v>
      </c>
      <c r="H1076" s="7">
        <v>-0.05</v>
      </c>
    </row>
    <row r="1077" spans="1:8">
      <c r="A1077" s="4" t="s">
        <v>468</v>
      </c>
      <c r="B1077" s="4" t="s">
        <v>469</v>
      </c>
      <c r="C1077" s="4" t="s">
        <v>1364</v>
      </c>
      <c r="D1077" s="4" t="s">
        <v>2056</v>
      </c>
      <c r="E1077" s="6">
        <v>44013</v>
      </c>
      <c r="F1077" s="7">
        <v>-20</v>
      </c>
      <c r="G1077" s="7">
        <v>-56.35</v>
      </c>
      <c r="H1077" s="7">
        <v>0</v>
      </c>
    </row>
    <row r="1078" spans="1:8">
      <c r="A1078" s="4" t="s">
        <v>468</v>
      </c>
      <c r="B1078" s="4" t="s">
        <v>469</v>
      </c>
      <c r="C1078" s="4" t="s">
        <v>826</v>
      </c>
      <c r="D1078" s="4" t="s">
        <v>2057</v>
      </c>
      <c r="E1078" s="6">
        <v>44013</v>
      </c>
      <c r="F1078" s="7">
        <v>-4</v>
      </c>
      <c r="G1078" s="7">
        <v>-164.82</v>
      </c>
      <c r="H1078" s="7">
        <v>-1.72</v>
      </c>
    </row>
    <row r="1079" spans="1:8">
      <c r="A1079" s="4" t="s">
        <v>468</v>
      </c>
      <c r="B1079" s="4" t="s">
        <v>469</v>
      </c>
      <c r="C1079" s="4" t="s">
        <v>826</v>
      </c>
      <c r="D1079" s="4" t="s">
        <v>2058</v>
      </c>
      <c r="E1079" s="6">
        <v>44013</v>
      </c>
      <c r="F1079" s="7">
        <v>-3</v>
      </c>
      <c r="G1079" s="7">
        <v>-123.60999999999999</v>
      </c>
      <c r="H1079" s="7">
        <v>-1.3</v>
      </c>
    </row>
    <row r="1080" spans="1:8">
      <c r="A1080" s="4" t="s">
        <v>468</v>
      </c>
      <c r="B1080" s="4" t="s">
        <v>469</v>
      </c>
      <c r="C1080" s="4" t="s">
        <v>784</v>
      </c>
      <c r="D1080" s="4" t="s">
        <v>2059</v>
      </c>
      <c r="E1080" s="6">
        <v>44013</v>
      </c>
      <c r="F1080" s="7">
        <v>-1</v>
      </c>
      <c r="G1080" s="7">
        <v>0</v>
      </c>
      <c r="H1080" s="7">
        <v>0</v>
      </c>
    </row>
    <row r="1081" spans="1:8">
      <c r="A1081" s="4" t="s">
        <v>559</v>
      </c>
      <c r="B1081" s="4" t="s">
        <v>560</v>
      </c>
      <c r="C1081" s="4" t="s">
        <v>803</v>
      </c>
      <c r="D1081" s="4" t="s">
        <v>2060</v>
      </c>
      <c r="E1081" s="6">
        <v>44048</v>
      </c>
      <c r="F1081" s="7">
        <v>-1000</v>
      </c>
      <c r="G1081" s="7">
        <v>-956.3</v>
      </c>
      <c r="H1081" s="7">
        <v>0</v>
      </c>
    </row>
    <row r="1082" spans="1:8">
      <c r="A1082" s="4" t="s">
        <v>559</v>
      </c>
      <c r="B1082" s="4" t="s">
        <v>560</v>
      </c>
      <c r="C1082" s="4" t="s">
        <v>786</v>
      </c>
      <c r="D1082" s="4" t="s">
        <v>2061</v>
      </c>
      <c r="E1082" s="6">
        <v>44048</v>
      </c>
      <c r="F1082" s="7">
        <v>-1700</v>
      </c>
      <c r="G1082" s="7">
        <v>-1138</v>
      </c>
      <c r="H1082" s="7">
        <v>0</v>
      </c>
    </row>
    <row r="1083" spans="1:8">
      <c r="A1083" s="4" t="s">
        <v>559</v>
      </c>
      <c r="B1083" s="4" t="s">
        <v>560</v>
      </c>
      <c r="C1083" s="4" t="s">
        <v>801</v>
      </c>
      <c r="D1083" s="4" t="s">
        <v>2062</v>
      </c>
      <c r="E1083" s="6">
        <v>44048</v>
      </c>
      <c r="F1083" s="7">
        <v>-750</v>
      </c>
      <c r="G1083" s="7">
        <v>-645.5</v>
      </c>
      <c r="H1083" s="7">
        <v>0</v>
      </c>
    </row>
    <row r="1084" spans="1:8">
      <c r="A1084" s="4" t="s">
        <v>559</v>
      </c>
      <c r="B1084" s="4" t="s">
        <v>560</v>
      </c>
      <c r="C1084" s="4" t="s">
        <v>799</v>
      </c>
      <c r="D1084" s="4" t="s">
        <v>2063</v>
      </c>
      <c r="E1084" s="6">
        <v>44048</v>
      </c>
      <c r="F1084" s="7">
        <v>-750</v>
      </c>
      <c r="G1084" s="7">
        <v>-573.78</v>
      </c>
      <c r="H1084" s="7">
        <v>0</v>
      </c>
    </row>
    <row r="1085" spans="1:8">
      <c r="A1085" s="4" t="s">
        <v>559</v>
      </c>
      <c r="B1085" s="4" t="s">
        <v>560</v>
      </c>
      <c r="C1085" s="4" t="s">
        <v>784</v>
      </c>
      <c r="D1085" s="4" t="s">
        <v>2064</v>
      </c>
      <c r="E1085" s="6">
        <v>44048</v>
      </c>
      <c r="F1085" s="7">
        <v>-1</v>
      </c>
      <c r="G1085" s="7">
        <v>0</v>
      </c>
      <c r="H1085" s="7">
        <v>0</v>
      </c>
    </row>
    <row r="1086" spans="1:8">
      <c r="A1086" s="4" t="s">
        <v>596</v>
      </c>
      <c r="B1086" s="4" t="s">
        <v>597</v>
      </c>
      <c r="C1086" s="4" t="s">
        <v>786</v>
      </c>
      <c r="D1086" s="4" t="s">
        <v>2065</v>
      </c>
      <c r="E1086" s="6">
        <v>44063</v>
      </c>
      <c r="F1086" s="7">
        <v>-1700</v>
      </c>
      <c r="G1086" s="7">
        <v>-1138</v>
      </c>
      <c r="H1086" s="7">
        <v>0</v>
      </c>
    </row>
    <row r="1087" spans="1:8">
      <c r="A1087" s="4" t="s">
        <v>596</v>
      </c>
      <c r="B1087" s="4" t="s">
        <v>597</v>
      </c>
      <c r="C1087" s="4" t="s">
        <v>801</v>
      </c>
      <c r="D1087" s="4" t="s">
        <v>2066</v>
      </c>
      <c r="E1087" s="6">
        <v>44063</v>
      </c>
      <c r="F1087" s="7">
        <v>-750</v>
      </c>
      <c r="G1087" s="7">
        <v>-645.5</v>
      </c>
      <c r="H1087" s="7">
        <v>-0.01</v>
      </c>
    </row>
    <row r="1088" spans="1:8">
      <c r="A1088" s="4" t="s">
        <v>596</v>
      </c>
      <c r="B1088" s="4" t="s">
        <v>597</v>
      </c>
      <c r="C1088" s="4" t="s">
        <v>799</v>
      </c>
      <c r="D1088" s="4" t="s">
        <v>2067</v>
      </c>
      <c r="E1088" s="6">
        <v>44063</v>
      </c>
      <c r="F1088" s="7">
        <v>-750</v>
      </c>
      <c r="G1088" s="7">
        <v>-573.78</v>
      </c>
      <c r="H1088" s="7">
        <v>0</v>
      </c>
    </row>
    <row r="1089" spans="1:8">
      <c r="A1089" s="4" t="s">
        <v>596</v>
      </c>
      <c r="B1089" s="4" t="s">
        <v>597</v>
      </c>
      <c r="C1089" s="4" t="s">
        <v>784</v>
      </c>
      <c r="D1089" s="4" t="s">
        <v>2068</v>
      </c>
      <c r="E1089" s="6">
        <v>44063</v>
      </c>
      <c r="F1089" s="7">
        <v>-1</v>
      </c>
      <c r="G1089" s="7">
        <v>0</v>
      </c>
      <c r="H1089" s="7">
        <v>0</v>
      </c>
    </row>
    <row r="1090" spans="1:8">
      <c r="A1090" s="4" t="s">
        <v>470</v>
      </c>
      <c r="B1090" s="4" t="s">
        <v>471</v>
      </c>
      <c r="C1090" s="4" t="s">
        <v>1005</v>
      </c>
      <c r="D1090" s="4" t="s">
        <v>2069</v>
      </c>
      <c r="E1090" s="6">
        <v>44013</v>
      </c>
      <c r="F1090" s="7">
        <v>-10</v>
      </c>
      <c r="G1090" s="7">
        <v>-7.45</v>
      </c>
      <c r="H1090" s="7">
        <v>0</v>
      </c>
    </row>
    <row r="1091" spans="1:8">
      <c r="A1091" s="4" t="s">
        <v>470</v>
      </c>
      <c r="B1091" s="4" t="s">
        <v>471</v>
      </c>
      <c r="C1091" s="4" t="s">
        <v>883</v>
      </c>
      <c r="D1091" s="4" t="s">
        <v>2070</v>
      </c>
      <c r="E1091" s="6">
        <v>44013</v>
      </c>
      <c r="F1091" s="7">
        <v>-10</v>
      </c>
      <c r="G1091" s="7">
        <v>-7.9799999999999995</v>
      </c>
      <c r="H1091" s="7">
        <v>0</v>
      </c>
    </row>
    <row r="1092" spans="1:8">
      <c r="A1092" s="4" t="s">
        <v>470</v>
      </c>
      <c r="B1092" s="4" t="s">
        <v>471</v>
      </c>
      <c r="C1092" s="4" t="s">
        <v>1341</v>
      </c>
      <c r="D1092" s="4" t="s">
        <v>2071</v>
      </c>
      <c r="E1092" s="6">
        <v>44013</v>
      </c>
      <c r="F1092" s="7">
        <v>-3000</v>
      </c>
      <c r="G1092" s="7">
        <v>-7.2900000000000009</v>
      </c>
      <c r="H1092" s="7">
        <v>0</v>
      </c>
    </row>
    <row r="1093" spans="1:8">
      <c r="A1093" s="4" t="s">
        <v>470</v>
      </c>
      <c r="B1093" s="4" t="s">
        <v>471</v>
      </c>
      <c r="C1093" s="4" t="s">
        <v>1339</v>
      </c>
      <c r="D1093" s="4" t="s">
        <v>2072</v>
      </c>
      <c r="E1093" s="6">
        <v>44013</v>
      </c>
      <c r="F1093" s="7">
        <v>-2000</v>
      </c>
      <c r="G1093" s="7">
        <v>-2.4300000000000002</v>
      </c>
      <c r="H1093" s="7">
        <v>0</v>
      </c>
    </row>
    <row r="1094" spans="1:8">
      <c r="A1094" s="4" t="s">
        <v>470</v>
      </c>
      <c r="B1094" s="4" t="s">
        <v>471</v>
      </c>
      <c r="C1094" s="4" t="s">
        <v>1349</v>
      </c>
      <c r="D1094" s="4" t="s">
        <v>2073</v>
      </c>
      <c r="E1094" s="6">
        <v>44013</v>
      </c>
      <c r="F1094" s="7">
        <v>-5000</v>
      </c>
      <c r="G1094" s="7">
        <v>-98.47</v>
      </c>
      <c r="H1094" s="7">
        <v>0</v>
      </c>
    </row>
    <row r="1095" spans="1:8">
      <c r="A1095" s="4" t="s">
        <v>470</v>
      </c>
      <c r="B1095" s="4" t="s">
        <v>471</v>
      </c>
      <c r="C1095" s="4" t="s">
        <v>1351</v>
      </c>
      <c r="D1095" s="4" t="s">
        <v>2074</v>
      </c>
      <c r="E1095" s="6">
        <v>44013</v>
      </c>
      <c r="F1095" s="7">
        <v>-1000</v>
      </c>
      <c r="G1095" s="7">
        <v>-4.4700000000000006</v>
      </c>
      <c r="H1095" s="7">
        <v>0</v>
      </c>
    </row>
    <row r="1096" spans="1:8">
      <c r="A1096" s="4" t="s">
        <v>470</v>
      </c>
      <c r="B1096" s="4" t="s">
        <v>471</v>
      </c>
      <c r="C1096" s="4" t="s">
        <v>784</v>
      </c>
      <c r="D1096" s="4" t="s">
        <v>2075</v>
      </c>
      <c r="E1096" s="6">
        <v>44013</v>
      </c>
      <c r="F1096" s="7">
        <v>-1</v>
      </c>
      <c r="G1096" s="7">
        <v>0</v>
      </c>
      <c r="H1096" s="7">
        <v>0</v>
      </c>
    </row>
    <row r="1097" spans="1:8">
      <c r="A1097" s="4" t="s">
        <v>495</v>
      </c>
      <c r="B1097" s="4" t="s">
        <v>496</v>
      </c>
      <c r="C1097" s="4" t="s">
        <v>2076</v>
      </c>
      <c r="D1097" s="4" t="s">
        <v>2077</v>
      </c>
      <c r="E1097" s="6">
        <v>44021</v>
      </c>
      <c r="F1097" s="7">
        <v>-100</v>
      </c>
      <c r="G1097" s="7">
        <v>-2137.12</v>
      </c>
      <c r="H1097" s="7">
        <v>0</v>
      </c>
    </row>
    <row r="1098" spans="1:8">
      <c r="A1098" s="4" t="s">
        <v>495</v>
      </c>
      <c r="B1098" s="4" t="s">
        <v>496</v>
      </c>
      <c r="C1098" s="4" t="s">
        <v>784</v>
      </c>
      <c r="D1098" s="4" t="s">
        <v>2078</v>
      </c>
      <c r="E1098" s="6">
        <v>44021</v>
      </c>
      <c r="F1098" s="7">
        <v>-1</v>
      </c>
      <c r="G1098" s="7">
        <v>0</v>
      </c>
      <c r="H1098" s="7">
        <v>0</v>
      </c>
    </row>
    <row r="1099" spans="1:8">
      <c r="A1099" s="4" t="s">
        <v>536</v>
      </c>
      <c r="B1099" s="4" t="s">
        <v>537</v>
      </c>
      <c r="C1099" s="4" t="s">
        <v>2079</v>
      </c>
      <c r="D1099" s="4" t="s">
        <v>2080</v>
      </c>
      <c r="E1099" s="6">
        <v>44035</v>
      </c>
      <c r="F1099" s="7">
        <v>-2770</v>
      </c>
      <c r="G1099" s="7">
        <v>-423.53000000000003</v>
      </c>
      <c r="H1099" s="7">
        <v>0</v>
      </c>
    </row>
    <row r="1100" spans="1:8">
      <c r="A1100" s="4" t="s">
        <v>536</v>
      </c>
      <c r="B1100" s="4" t="s">
        <v>537</v>
      </c>
      <c r="C1100" s="4" t="s">
        <v>784</v>
      </c>
      <c r="D1100" s="4" t="s">
        <v>2081</v>
      </c>
      <c r="E1100" s="6">
        <v>44035</v>
      </c>
      <c r="F1100" s="7">
        <v>-1</v>
      </c>
      <c r="G1100" s="7">
        <v>0</v>
      </c>
      <c r="H1100" s="7">
        <v>0</v>
      </c>
    </row>
    <row r="1101" spans="1:8">
      <c r="A1101" s="4" t="s">
        <v>490</v>
      </c>
      <c r="B1101" s="4" t="s">
        <v>491</v>
      </c>
      <c r="C1101" s="4" t="s">
        <v>1005</v>
      </c>
      <c r="D1101" s="4" t="s">
        <v>2082</v>
      </c>
      <c r="E1101" s="6">
        <v>44019</v>
      </c>
      <c r="F1101" s="7">
        <v>-50</v>
      </c>
      <c r="G1101" s="7">
        <v>-37.25</v>
      </c>
      <c r="H1101" s="7">
        <v>0</v>
      </c>
    </row>
    <row r="1102" spans="1:8">
      <c r="A1102" s="4" t="s">
        <v>490</v>
      </c>
      <c r="B1102" s="4" t="s">
        <v>491</v>
      </c>
      <c r="C1102" s="4" t="s">
        <v>1026</v>
      </c>
      <c r="D1102" s="4" t="s">
        <v>2083</v>
      </c>
      <c r="E1102" s="6">
        <v>44019</v>
      </c>
      <c r="F1102" s="7">
        <v>-100</v>
      </c>
      <c r="G1102" s="7">
        <v>-68.48</v>
      </c>
      <c r="H1102" s="7">
        <v>0</v>
      </c>
    </row>
    <row r="1103" spans="1:8">
      <c r="A1103" s="4" t="s">
        <v>490</v>
      </c>
      <c r="B1103" s="4" t="s">
        <v>491</v>
      </c>
      <c r="C1103" s="4" t="s">
        <v>964</v>
      </c>
      <c r="D1103" s="4" t="s">
        <v>2084</v>
      </c>
      <c r="E1103" s="6">
        <v>44019</v>
      </c>
      <c r="F1103" s="7">
        <v>-50</v>
      </c>
      <c r="G1103" s="7">
        <v>-41.09</v>
      </c>
      <c r="H1103" s="7">
        <v>0.01</v>
      </c>
    </row>
    <row r="1104" spans="1:8">
      <c r="A1104" s="4" t="s">
        <v>490</v>
      </c>
      <c r="B1104" s="4" t="s">
        <v>491</v>
      </c>
      <c r="C1104" s="4" t="s">
        <v>1146</v>
      </c>
      <c r="D1104" s="4" t="s">
        <v>2085</v>
      </c>
      <c r="E1104" s="6">
        <v>44019</v>
      </c>
      <c r="F1104" s="7">
        <v>-50</v>
      </c>
      <c r="G1104" s="7">
        <v>-40.15</v>
      </c>
      <c r="H1104" s="7">
        <v>0</v>
      </c>
    </row>
    <row r="1105" spans="1:8">
      <c r="A1105" s="4" t="s">
        <v>490</v>
      </c>
      <c r="B1105" s="4" t="s">
        <v>491</v>
      </c>
      <c r="C1105" s="4" t="s">
        <v>1028</v>
      </c>
      <c r="D1105" s="4" t="s">
        <v>2086</v>
      </c>
      <c r="E1105" s="6">
        <v>44019</v>
      </c>
      <c r="F1105" s="7">
        <v>-50</v>
      </c>
      <c r="G1105" s="7">
        <v>-47.82</v>
      </c>
      <c r="H1105" s="7">
        <v>0.01</v>
      </c>
    </row>
    <row r="1106" spans="1:8">
      <c r="A1106" s="4" t="s">
        <v>490</v>
      </c>
      <c r="B1106" s="4" t="s">
        <v>491</v>
      </c>
      <c r="C1106" s="4" t="s">
        <v>1165</v>
      </c>
      <c r="D1106" s="4" t="s">
        <v>2087</v>
      </c>
      <c r="E1106" s="6">
        <v>44019</v>
      </c>
      <c r="F1106" s="7">
        <v>-50</v>
      </c>
      <c r="G1106" s="7">
        <v>-45.32</v>
      </c>
      <c r="H1106" s="7">
        <v>0</v>
      </c>
    </row>
    <row r="1107" spans="1:8">
      <c r="A1107" s="4" t="s">
        <v>490</v>
      </c>
      <c r="B1107" s="4" t="s">
        <v>491</v>
      </c>
      <c r="C1107" s="4" t="s">
        <v>989</v>
      </c>
      <c r="D1107" s="4" t="s">
        <v>2088</v>
      </c>
      <c r="E1107" s="6">
        <v>44019</v>
      </c>
      <c r="F1107" s="7">
        <v>-50</v>
      </c>
      <c r="G1107" s="7">
        <v>-78.19</v>
      </c>
      <c r="H1107" s="7">
        <v>0</v>
      </c>
    </row>
    <row r="1108" spans="1:8">
      <c r="A1108" s="4" t="s">
        <v>490</v>
      </c>
      <c r="B1108" s="4" t="s">
        <v>491</v>
      </c>
      <c r="C1108" s="4" t="s">
        <v>853</v>
      </c>
      <c r="D1108" s="4" t="s">
        <v>2089</v>
      </c>
      <c r="E1108" s="6">
        <v>44019</v>
      </c>
      <c r="F1108" s="7">
        <v>-50</v>
      </c>
      <c r="G1108" s="7">
        <v>-90</v>
      </c>
      <c r="H1108" s="7">
        <v>-0.01</v>
      </c>
    </row>
    <row r="1109" spans="1:8">
      <c r="A1109" s="4" t="s">
        <v>490</v>
      </c>
      <c r="B1109" s="4" t="s">
        <v>491</v>
      </c>
      <c r="C1109" s="4" t="s">
        <v>1208</v>
      </c>
      <c r="D1109" s="4" t="s">
        <v>2090</v>
      </c>
      <c r="E1109" s="6">
        <v>44019</v>
      </c>
      <c r="F1109" s="7">
        <v>-41</v>
      </c>
      <c r="G1109" s="7">
        <v>-60.66</v>
      </c>
      <c r="H1109" s="7">
        <v>-0.01</v>
      </c>
    </row>
    <row r="1110" spans="1:8">
      <c r="A1110" s="4" t="s">
        <v>490</v>
      </c>
      <c r="B1110" s="4" t="s">
        <v>491</v>
      </c>
      <c r="C1110" s="4" t="s">
        <v>1030</v>
      </c>
      <c r="D1110" s="4" t="s">
        <v>2091</v>
      </c>
      <c r="E1110" s="6">
        <v>44019</v>
      </c>
      <c r="F1110" s="7">
        <v>-50</v>
      </c>
      <c r="G1110" s="7">
        <v>-108.54</v>
      </c>
      <c r="H1110" s="7">
        <v>0</v>
      </c>
    </row>
    <row r="1111" spans="1:8">
      <c r="A1111" s="4" t="s">
        <v>490</v>
      </c>
      <c r="B1111" s="4" t="s">
        <v>491</v>
      </c>
      <c r="C1111" s="4" t="s">
        <v>1032</v>
      </c>
      <c r="D1111" s="4" t="s">
        <v>2092</v>
      </c>
      <c r="E1111" s="6">
        <v>44019</v>
      </c>
      <c r="F1111" s="7">
        <v>-25</v>
      </c>
      <c r="G1111" s="7">
        <v>-55.61</v>
      </c>
      <c r="H1111" s="7">
        <v>-0.01</v>
      </c>
    </row>
    <row r="1112" spans="1:8">
      <c r="A1112" s="4" t="s">
        <v>490</v>
      </c>
      <c r="B1112" s="4" t="s">
        <v>491</v>
      </c>
      <c r="C1112" s="4" t="s">
        <v>1040</v>
      </c>
      <c r="D1112" s="4" t="s">
        <v>2093</v>
      </c>
      <c r="E1112" s="6">
        <v>44019</v>
      </c>
      <c r="F1112" s="7">
        <v>-50</v>
      </c>
      <c r="G1112" s="7">
        <v>-80.849999999999994</v>
      </c>
      <c r="H1112" s="7">
        <v>0</v>
      </c>
    </row>
    <row r="1113" spans="1:8">
      <c r="A1113" s="4" t="s">
        <v>490</v>
      </c>
      <c r="B1113" s="4" t="s">
        <v>491</v>
      </c>
      <c r="C1113" s="4" t="s">
        <v>881</v>
      </c>
      <c r="D1113" s="4" t="s">
        <v>2094</v>
      </c>
      <c r="E1113" s="6">
        <v>44019</v>
      </c>
      <c r="F1113" s="7">
        <v>-50</v>
      </c>
      <c r="G1113" s="7">
        <v>-87.9</v>
      </c>
      <c r="H1113" s="7">
        <v>0.01</v>
      </c>
    </row>
    <row r="1114" spans="1:8">
      <c r="A1114" s="4" t="s">
        <v>490</v>
      </c>
      <c r="B1114" s="4" t="s">
        <v>491</v>
      </c>
      <c r="C1114" s="4" t="s">
        <v>873</v>
      </c>
      <c r="D1114" s="4" t="s">
        <v>2095</v>
      </c>
      <c r="E1114" s="6">
        <v>44019</v>
      </c>
      <c r="F1114" s="7">
        <v>-50</v>
      </c>
      <c r="G1114" s="7">
        <v>-20.25</v>
      </c>
      <c r="H1114" s="7">
        <v>0</v>
      </c>
    </row>
    <row r="1115" spans="1:8">
      <c r="A1115" s="4" t="s">
        <v>490</v>
      </c>
      <c r="B1115" s="4" t="s">
        <v>491</v>
      </c>
      <c r="C1115" s="4" t="s">
        <v>936</v>
      </c>
      <c r="D1115" s="4" t="s">
        <v>2096</v>
      </c>
      <c r="E1115" s="6">
        <v>44019</v>
      </c>
      <c r="F1115" s="7">
        <v>-50</v>
      </c>
      <c r="G1115" s="7">
        <v>-23.7</v>
      </c>
      <c r="H1115" s="7">
        <v>0</v>
      </c>
    </row>
    <row r="1116" spans="1:8">
      <c r="A1116" s="4" t="s">
        <v>490</v>
      </c>
      <c r="B1116" s="4" t="s">
        <v>491</v>
      </c>
      <c r="C1116" s="4" t="s">
        <v>940</v>
      </c>
      <c r="D1116" s="4" t="s">
        <v>2097</v>
      </c>
      <c r="E1116" s="6">
        <v>44019</v>
      </c>
      <c r="F1116" s="7">
        <v>-50</v>
      </c>
      <c r="G1116" s="7">
        <v>-28.22</v>
      </c>
      <c r="H1116" s="7">
        <v>0</v>
      </c>
    </row>
    <row r="1117" spans="1:8">
      <c r="A1117" s="4" t="s">
        <v>490</v>
      </c>
      <c r="B1117" s="4" t="s">
        <v>491</v>
      </c>
      <c r="C1117" s="4" t="s">
        <v>1669</v>
      </c>
      <c r="D1117" s="4" t="s">
        <v>2098</v>
      </c>
      <c r="E1117" s="6">
        <v>44019</v>
      </c>
      <c r="F1117" s="7">
        <v>-50</v>
      </c>
      <c r="G1117" s="7">
        <v>-114.66</v>
      </c>
      <c r="H1117" s="7">
        <v>0</v>
      </c>
    </row>
    <row r="1118" spans="1:8">
      <c r="A1118" s="4" t="s">
        <v>490</v>
      </c>
      <c r="B1118" s="4" t="s">
        <v>491</v>
      </c>
      <c r="C1118" s="4" t="s">
        <v>784</v>
      </c>
      <c r="D1118" s="4" t="s">
        <v>2099</v>
      </c>
      <c r="E1118" s="6">
        <v>44019</v>
      </c>
      <c r="F1118" s="7">
        <v>-1</v>
      </c>
      <c r="G1118" s="7">
        <v>0</v>
      </c>
      <c r="H1118" s="7">
        <v>0</v>
      </c>
    </row>
    <row r="1119" spans="1:8">
      <c r="A1119" s="4" t="s">
        <v>484</v>
      </c>
      <c r="B1119" s="4" t="s">
        <v>485</v>
      </c>
      <c r="C1119" s="4" t="s">
        <v>1005</v>
      </c>
      <c r="D1119" s="4" t="s">
        <v>2100</v>
      </c>
      <c r="E1119" s="6">
        <v>44019</v>
      </c>
      <c r="F1119" s="7">
        <v>-150</v>
      </c>
      <c r="G1119" s="7">
        <v>-111.75999999999999</v>
      </c>
      <c r="H1119" s="7">
        <v>0</v>
      </c>
    </row>
    <row r="1120" spans="1:8">
      <c r="A1120" s="4" t="s">
        <v>484</v>
      </c>
      <c r="B1120" s="4" t="s">
        <v>485</v>
      </c>
      <c r="C1120" s="4" t="s">
        <v>784</v>
      </c>
      <c r="D1120" s="4" t="s">
        <v>2101</v>
      </c>
      <c r="E1120" s="6">
        <v>44019</v>
      </c>
      <c r="F1120" s="7">
        <v>-1</v>
      </c>
      <c r="G1120" s="7">
        <v>0</v>
      </c>
      <c r="H1120" s="7">
        <v>0</v>
      </c>
    </row>
    <row r="1121" spans="1:8">
      <c r="A1121" s="4" t="s">
        <v>478</v>
      </c>
      <c r="B1121" s="4" t="s">
        <v>479</v>
      </c>
      <c r="C1121" s="4" t="s">
        <v>2102</v>
      </c>
      <c r="D1121" s="4" t="s">
        <v>2103</v>
      </c>
      <c r="E1121" s="6">
        <v>44014</v>
      </c>
      <c r="F1121" s="7">
        <v>-600</v>
      </c>
      <c r="G1121" s="7">
        <v>-223.15</v>
      </c>
      <c r="H1121" s="7">
        <v>0</v>
      </c>
    </row>
    <row r="1122" spans="1:8">
      <c r="A1122" s="4" t="s">
        <v>478</v>
      </c>
      <c r="B1122" s="4" t="s">
        <v>479</v>
      </c>
      <c r="C1122" s="4" t="s">
        <v>784</v>
      </c>
      <c r="D1122" s="4" t="s">
        <v>2104</v>
      </c>
      <c r="E1122" s="6">
        <v>44014</v>
      </c>
      <c r="F1122" s="7">
        <v>-1</v>
      </c>
      <c r="G1122" s="7">
        <v>0</v>
      </c>
      <c r="H1122" s="7">
        <v>0</v>
      </c>
    </row>
    <row r="1123" spans="1:8">
      <c r="A1123" s="4" t="s">
        <v>488</v>
      </c>
      <c r="B1123" s="4" t="s">
        <v>489</v>
      </c>
      <c r="C1123" s="4" t="s">
        <v>964</v>
      </c>
      <c r="D1123" s="4" t="s">
        <v>2105</v>
      </c>
      <c r="E1123" s="6">
        <v>44019</v>
      </c>
      <c r="F1123" s="7">
        <v>-100</v>
      </c>
      <c r="G1123" s="7">
        <v>-82.18</v>
      </c>
      <c r="H1123" s="7">
        <v>0</v>
      </c>
    </row>
    <row r="1124" spans="1:8">
      <c r="A1124" s="4" t="s">
        <v>488</v>
      </c>
      <c r="B1124" s="4" t="s">
        <v>489</v>
      </c>
      <c r="C1124" s="4" t="s">
        <v>1030</v>
      </c>
      <c r="D1124" s="4" t="s">
        <v>2106</v>
      </c>
      <c r="E1124" s="6">
        <v>44019</v>
      </c>
      <c r="F1124" s="7">
        <v>-75</v>
      </c>
      <c r="G1124" s="7">
        <v>-162.81</v>
      </c>
      <c r="H1124" s="7">
        <v>0</v>
      </c>
    </row>
    <row r="1125" spans="1:8">
      <c r="A1125" s="4" t="s">
        <v>472</v>
      </c>
      <c r="B1125" s="4" t="s">
        <v>473</v>
      </c>
      <c r="C1125" s="4" t="s">
        <v>784</v>
      </c>
      <c r="D1125" s="4" t="s">
        <v>2107</v>
      </c>
      <c r="E1125" s="6">
        <v>44014</v>
      </c>
      <c r="F1125" s="7">
        <v>-1</v>
      </c>
      <c r="G1125" s="7">
        <v>0</v>
      </c>
      <c r="H1125" s="7">
        <v>0</v>
      </c>
    </row>
    <row r="1126" spans="1:8">
      <c r="A1126" s="4" t="s">
        <v>760</v>
      </c>
      <c r="B1126" s="4" t="s">
        <v>761</v>
      </c>
      <c r="C1126" s="4" t="s">
        <v>789</v>
      </c>
      <c r="D1126" s="4" t="s">
        <v>2108</v>
      </c>
      <c r="E1126" s="6">
        <v>44014</v>
      </c>
      <c r="F1126" s="7">
        <v>1933</v>
      </c>
      <c r="G1126" s="7">
        <v>9580.08</v>
      </c>
      <c r="H1126" s="7">
        <v>0</v>
      </c>
    </row>
    <row r="1127" spans="1:8">
      <c r="A1127" s="4" t="s">
        <v>476</v>
      </c>
      <c r="B1127" s="4" t="s">
        <v>477</v>
      </c>
      <c r="C1127" s="4" t="s">
        <v>789</v>
      </c>
      <c r="D1127" s="4" t="s">
        <v>2109</v>
      </c>
      <c r="E1127" s="6">
        <v>44014</v>
      </c>
      <c r="F1127" s="7">
        <v>-1933</v>
      </c>
      <c r="G1127" s="7">
        <v>-9580.08</v>
      </c>
      <c r="H1127" s="7">
        <v>0</v>
      </c>
    </row>
    <row r="1128" spans="1:8">
      <c r="A1128" s="4" t="s">
        <v>497</v>
      </c>
      <c r="B1128" s="4" t="s">
        <v>498</v>
      </c>
      <c r="C1128" s="4" t="s">
        <v>2110</v>
      </c>
      <c r="D1128" s="4" t="s">
        <v>2111</v>
      </c>
      <c r="E1128" s="6">
        <v>44021</v>
      </c>
      <c r="F1128" s="7">
        <v>-159</v>
      </c>
      <c r="G1128" s="7">
        <v>-451.93</v>
      </c>
      <c r="H1128" s="7">
        <v>0</v>
      </c>
    </row>
    <row r="1129" spans="1:8">
      <c r="A1129" s="4" t="s">
        <v>497</v>
      </c>
      <c r="B1129" s="4" t="s">
        <v>498</v>
      </c>
      <c r="C1129" s="4" t="s">
        <v>2110</v>
      </c>
      <c r="D1129" s="4" t="s">
        <v>2111</v>
      </c>
      <c r="E1129" s="6">
        <v>44021</v>
      </c>
      <c r="F1129" s="7">
        <v>-266</v>
      </c>
      <c r="G1129" s="7">
        <v>-756.06000000000006</v>
      </c>
      <c r="H1129" s="7">
        <v>-0.01</v>
      </c>
    </row>
    <row r="1130" spans="1:8">
      <c r="A1130" s="4" t="s">
        <v>497</v>
      </c>
      <c r="B1130" s="4" t="s">
        <v>498</v>
      </c>
      <c r="C1130" s="4" t="s">
        <v>784</v>
      </c>
      <c r="D1130" s="4" t="s">
        <v>2112</v>
      </c>
      <c r="E1130" s="6">
        <v>44021</v>
      </c>
      <c r="F1130" s="7">
        <v>-1</v>
      </c>
      <c r="G1130" s="7">
        <v>0</v>
      </c>
      <c r="H1130" s="7">
        <v>0</v>
      </c>
    </row>
    <row r="1131" spans="1:8">
      <c r="A1131" s="4" t="s">
        <v>493</v>
      </c>
      <c r="B1131" s="4" t="s">
        <v>494</v>
      </c>
      <c r="C1131" s="4" t="s">
        <v>2113</v>
      </c>
      <c r="D1131" s="4" t="s">
        <v>2114</v>
      </c>
      <c r="E1131" s="6">
        <v>44021</v>
      </c>
      <c r="F1131" s="7">
        <v>-252</v>
      </c>
      <c r="G1131" s="7">
        <v>-295.33000000000004</v>
      </c>
      <c r="H1131" s="7">
        <v>0</v>
      </c>
    </row>
    <row r="1132" spans="1:8">
      <c r="A1132" s="4" t="s">
        <v>493</v>
      </c>
      <c r="B1132" s="4" t="s">
        <v>494</v>
      </c>
      <c r="C1132" s="4" t="s">
        <v>784</v>
      </c>
      <c r="D1132" s="4" t="s">
        <v>2115</v>
      </c>
      <c r="E1132" s="6">
        <v>44021</v>
      </c>
      <c r="F1132" s="7">
        <v>-1</v>
      </c>
      <c r="G1132" s="7">
        <v>0</v>
      </c>
      <c r="H1132" s="7">
        <v>0</v>
      </c>
    </row>
    <row r="1133" spans="1:8">
      <c r="A1133" s="4" t="s">
        <v>488</v>
      </c>
      <c r="B1133" s="4" t="s">
        <v>489</v>
      </c>
      <c r="C1133" s="4" t="s">
        <v>784</v>
      </c>
      <c r="D1133" s="4" t="s">
        <v>2116</v>
      </c>
      <c r="E1133" s="6">
        <v>44019</v>
      </c>
      <c r="F1133" s="7">
        <v>-1</v>
      </c>
      <c r="G1133" s="7">
        <v>0</v>
      </c>
      <c r="H1133" s="7">
        <v>0</v>
      </c>
    </row>
    <row r="1134" spans="1:8">
      <c r="A1134" s="4" t="s">
        <v>517</v>
      </c>
      <c r="B1134" s="4" t="s">
        <v>518</v>
      </c>
      <c r="C1134" s="4" t="s">
        <v>887</v>
      </c>
      <c r="D1134" s="4" t="s">
        <v>2117</v>
      </c>
      <c r="E1134" s="6">
        <v>44026</v>
      </c>
      <c r="F1134" s="7">
        <v>-50</v>
      </c>
      <c r="G1134" s="7">
        <v>-20.45</v>
      </c>
      <c r="H1134" s="7">
        <v>0</v>
      </c>
    </row>
    <row r="1135" spans="1:8">
      <c r="A1135" s="4" t="s">
        <v>517</v>
      </c>
      <c r="B1135" s="4" t="s">
        <v>518</v>
      </c>
      <c r="C1135" s="4" t="s">
        <v>993</v>
      </c>
      <c r="D1135" s="4" t="s">
        <v>2118</v>
      </c>
      <c r="E1135" s="6">
        <v>44026</v>
      </c>
      <c r="F1135" s="7">
        <v>-50</v>
      </c>
      <c r="G1135" s="7">
        <v>-17.649999999999999</v>
      </c>
      <c r="H1135" s="7">
        <v>0</v>
      </c>
    </row>
    <row r="1136" spans="1:8">
      <c r="A1136" s="4" t="s">
        <v>517</v>
      </c>
      <c r="B1136" s="4" t="s">
        <v>518</v>
      </c>
      <c r="C1136" s="4" t="s">
        <v>936</v>
      </c>
      <c r="D1136" s="4" t="s">
        <v>2119</v>
      </c>
      <c r="E1136" s="6">
        <v>44026</v>
      </c>
      <c r="F1136" s="7">
        <v>-50</v>
      </c>
      <c r="G1136" s="7">
        <v>-23.7</v>
      </c>
      <c r="H1136" s="7">
        <v>0</v>
      </c>
    </row>
    <row r="1137" spans="1:8">
      <c r="A1137" s="4" t="s">
        <v>517</v>
      </c>
      <c r="B1137" s="4" t="s">
        <v>518</v>
      </c>
      <c r="C1137" s="4" t="s">
        <v>889</v>
      </c>
      <c r="D1137" s="4" t="s">
        <v>2120</v>
      </c>
      <c r="E1137" s="6">
        <v>44026</v>
      </c>
      <c r="F1137" s="7">
        <v>-50</v>
      </c>
      <c r="G1137" s="7">
        <v>-22.34</v>
      </c>
      <c r="H1137" s="7">
        <v>0.01</v>
      </c>
    </row>
    <row r="1138" spans="1:8">
      <c r="A1138" s="4" t="s">
        <v>517</v>
      </c>
      <c r="B1138" s="4" t="s">
        <v>518</v>
      </c>
      <c r="C1138" s="4" t="s">
        <v>1810</v>
      </c>
      <c r="D1138" s="4" t="s">
        <v>2121</v>
      </c>
      <c r="E1138" s="6">
        <v>44026</v>
      </c>
      <c r="F1138" s="7">
        <v>-20</v>
      </c>
      <c r="G1138" s="7">
        <v>-25.69</v>
      </c>
      <c r="H1138" s="7">
        <v>0</v>
      </c>
    </row>
    <row r="1139" spans="1:8">
      <c r="A1139" s="4" t="s">
        <v>517</v>
      </c>
      <c r="B1139" s="4" t="s">
        <v>518</v>
      </c>
      <c r="C1139" s="4" t="s">
        <v>1165</v>
      </c>
      <c r="D1139" s="4" t="s">
        <v>2122</v>
      </c>
      <c r="E1139" s="6">
        <v>44026</v>
      </c>
      <c r="F1139" s="7">
        <v>-50</v>
      </c>
      <c r="G1139" s="7">
        <v>-45.32</v>
      </c>
      <c r="H1139" s="7">
        <v>0</v>
      </c>
    </row>
    <row r="1140" spans="1:8">
      <c r="A1140" s="4" t="s">
        <v>517</v>
      </c>
      <c r="B1140" s="4" t="s">
        <v>518</v>
      </c>
      <c r="C1140" s="4" t="s">
        <v>989</v>
      </c>
      <c r="D1140" s="4" t="s">
        <v>2123</v>
      </c>
      <c r="E1140" s="6">
        <v>44026</v>
      </c>
      <c r="F1140" s="7">
        <v>-50</v>
      </c>
      <c r="G1140" s="7">
        <v>-78.19</v>
      </c>
      <c r="H1140" s="7">
        <v>0.01</v>
      </c>
    </row>
    <row r="1141" spans="1:8">
      <c r="A1141" s="4" t="s">
        <v>517</v>
      </c>
      <c r="B1141" s="4" t="s">
        <v>518</v>
      </c>
      <c r="C1141" s="4" t="s">
        <v>1126</v>
      </c>
      <c r="D1141" s="4" t="s">
        <v>2124</v>
      </c>
      <c r="E1141" s="6">
        <v>44026</v>
      </c>
      <c r="F1141" s="7">
        <v>-20</v>
      </c>
      <c r="G1141" s="7">
        <v>-28.17</v>
      </c>
      <c r="H1141" s="7">
        <v>0</v>
      </c>
    </row>
    <row r="1142" spans="1:8">
      <c r="A1142" s="4" t="s">
        <v>517</v>
      </c>
      <c r="B1142" s="4" t="s">
        <v>518</v>
      </c>
      <c r="C1142" s="4" t="s">
        <v>2125</v>
      </c>
      <c r="D1142" s="4" t="s">
        <v>2126</v>
      </c>
      <c r="E1142" s="6">
        <v>44026</v>
      </c>
      <c r="F1142" s="7">
        <v>-50</v>
      </c>
      <c r="G1142" s="7">
        <v>-35.22</v>
      </c>
      <c r="H1142" s="7">
        <v>0</v>
      </c>
    </row>
    <row r="1143" spans="1:8">
      <c r="A1143" s="4" t="s">
        <v>517</v>
      </c>
      <c r="B1143" s="4" t="s">
        <v>518</v>
      </c>
      <c r="C1143" s="4" t="s">
        <v>784</v>
      </c>
      <c r="D1143" s="4" t="s">
        <v>2127</v>
      </c>
      <c r="E1143" s="6">
        <v>44026</v>
      </c>
      <c r="F1143" s="7">
        <v>-1</v>
      </c>
      <c r="G1143" s="7">
        <v>0</v>
      </c>
      <c r="H1143" s="7">
        <v>0</v>
      </c>
    </row>
    <row r="1144" spans="1:8">
      <c r="A1144" s="4" t="s">
        <v>507</v>
      </c>
      <c r="B1144" s="4" t="s">
        <v>508</v>
      </c>
      <c r="C1144" s="4" t="s">
        <v>1005</v>
      </c>
      <c r="D1144" s="4" t="s">
        <v>2128</v>
      </c>
      <c r="E1144" s="6">
        <v>44022</v>
      </c>
      <c r="F1144" s="7">
        <v>-200</v>
      </c>
      <c r="G1144" s="7">
        <v>-149.01</v>
      </c>
      <c r="H1144" s="7">
        <v>0</v>
      </c>
    </row>
    <row r="1145" spans="1:8">
      <c r="A1145" s="4" t="s">
        <v>507</v>
      </c>
      <c r="B1145" s="4" t="s">
        <v>508</v>
      </c>
      <c r="C1145" s="4" t="s">
        <v>1492</v>
      </c>
      <c r="D1145" s="4" t="s">
        <v>2129</v>
      </c>
      <c r="E1145" s="6">
        <v>44022</v>
      </c>
      <c r="F1145" s="7">
        <v>-2</v>
      </c>
      <c r="G1145" s="7">
        <v>-218.23000000000002</v>
      </c>
      <c r="H1145" s="7">
        <v>0.01</v>
      </c>
    </row>
    <row r="1146" spans="1:8">
      <c r="A1146" s="4" t="s">
        <v>507</v>
      </c>
      <c r="B1146" s="4" t="s">
        <v>508</v>
      </c>
      <c r="C1146" s="4" t="s">
        <v>944</v>
      </c>
      <c r="D1146" s="4" t="s">
        <v>2130</v>
      </c>
      <c r="E1146" s="6">
        <v>44022</v>
      </c>
      <c r="F1146" s="7">
        <v>-100</v>
      </c>
      <c r="G1146" s="7">
        <v>-150.04000000000002</v>
      </c>
      <c r="H1146" s="7">
        <v>-0.01</v>
      </c>
    </row>
    <row r="1147" spans="1:8">
      <c r="A1147" s="4" t="s">
        <v>507</v>
      </c>
      <c r="B1147" s="4" t="s">
        <v>508</v>
      </c>
      <c r="C1147" s="4" t="s">
        <v>784</v>
      </c>
      <c r="D1147" s="4" t="s">
        <v>2131</v>
      </c>
      <c r="E1147" s="6">
        <v>44022</v>
      </c>
      <c r="F1147" s="7">
        <v>-1</v>
      </c>
      <c r="G1147" s="7">
        <v>0</v>
      </c>
      <c r="H1147" s="7">
        <v>0</v>
      </c>
    </row>
    <row r="1148" spans="1:8">
      <c r="A1148" s="4" t="s">
        <v>499</v>
      </c>
      <c r="B1148" s="4" t="s">
        <v>500</v>
      </c>
      <c r="C1148" s="4" t="s">
        <v>2132</v>
      </c>
      <c r="D1148" s="4" t="s">
        <v>2133</v>
      </c>
      <c r="E1148" s="6">
        <v>44021</v>
      </c>
      <c r="F1148" s="7">
        <v>-68.2</v>
      </c>
      <c r="G1148" s="7">
        <v>-156.4</v>
      </c>
      <c r="H1148" s="7">
        <v>0</v>
      </c>
    </row>
    <row r="1149" spans="1:8">
      <c r="A1149" s="4" t="s">
        <v>499</v>
      </c>
      <c r="B1149" s="4" t="s">
        <v>500</v>
      </c>
      <c r="C1149" s="4" t="s">
        <v>840</v>
      </c>
      <c r="D1149" s="4" t="s">
        <v>2134</v>
      </c>
      <c r="E1149" s="6">
        <v>44021</v>
      </c>
      <c r="F1149" s="7">
        <v>-1</v>
      </c>
      <c r="G1149" s="7">
        <v>0</v>
      </c>
      <c r="H1149" s="7">
        <v>0</v>
      </c>
    </row>
    <row r="1150" spans="1:8">
      <c r="A1150" s="4" t="s">
        <v>499</v>
      </c>
      <c r="B1150" s="4" t="s">
        <v>500</v>
      </c>
      <c r="C1150" s="4" t="s">
        <v>784</v>
      </c>
      <c r="D1150" s="4" t="s">
        <v>2135</v>
      </c>
      <c r="E1150" s="6">
        <v>44021</v>
      </c>
      <c r="F1150" s="7">
        <v>-1</v>
      </c>
      <c r="G1150" s="7">
        <v>0</v>
      </c>
      <c r="H1150" s="7">
        <v>0</v>
      </c>
    </row>
    <row r="1151" spans="1:8">
      <c r="A1151" s="4" t="s">
        <v>488</v>
      </c>
      <c r="B1151" s="4" t="s">
        <v>489</v>
      </c>
      <c r="C1151" s="4" t="s">
        <v>1135</v>
      </c>
      <c r="D1151" s="4" t="s">
        <v>2136</v>
      </c>
      <c r="E1151" s="6">
        <v>44019</v>
      </c>
      <c r="F1151" s="7">
        <v>-200</v>
      </c>
      <c r="G1151" s="7">
        <v>-47.4</v>
      </c>
      <c r="H1151" s="7">
        <v>0</v>
      </c>
    </row>
    <row r="1152" spans="1:8">
      <c r="A1152" s="4" t="s">
        <v>486</v>
      </c>
      <c r="B1152" s="4" t="s">
        <v>487</v>
      </c>
      <c r="C1152" s="4" t="s">
        <v>1222</v>
      </c>
      <c r="D1152" s="4" t="s">
        <v>2137</v>
      </c>
      <c r="E1152" s="6">
        <v>44019</v>
      </c>
      <c r="F1152" s="7">
        <v>-25</v>
      </c>
      <c r="G1152" s="7">
        <v>-41.97</v>
      </c>
      <c r="H1152" s="7">
        <v>0</v>
      </c>
    </row>
    <row r="1153" spans="1:8">
      <c r="A1153" s="4" t="s">
        <v>486</v>
      </c>
      <c r="B1153" s="4" t="s">
        <v>487</v>
      </c>
      <c r="C1153" s="4" t="s">
        <v>784</v>
      </c>
      <c r="D1153" s="4" t="s">
        <v>2138</v>
      </c>
      <c r="E1153" s="6">
        <v>44019</v>
      </c>
      <c r="F1153" s="7">
        <v>-1</v>
      </c>
      <c r="G1153" s="7">
        <v>0</v>
      </c>
      <c r="H1153" s="7">
        <v>0</v>
      </c>
    </row>
    <row r="1154" spans="1:8">
      <c r="A1154" s="4" t="s">
        <v>509</v>
      </c>
      <c r="B1154" s="4" t="s">
        <v>510</v>
      </c>
      <c r="C1154" s="4" t="s">
        <v>813</v>
      </c>
      <c r="D1154" s="4" t="s">
        <v>2139</v>
      </c>
      <c r="E1154" s="6">
        <v>44022</v>
      </c>
      <c r="F1154" s="7">
        <v>-100</v>
      </c>
      <c r="G1154" s="7">
        <v>-112.9</v>
      </c>
      <c r="H1154" s="7">
        <v>0</v>
      </c>
    </row>
    <row r="1155" spans="1:8">
      <c r="A1155" s="4" t="s">
        <v>509</v>
      </c>
      <c r="B1155" s="4" t="s">
        <v>510</v>
      </c>
      <c r="C1155" s="4" t="s">
        <v>784</v>
      </c>
      <c r="D1155" s="4" t="s">
        <v>2140</v>
      </c>
      <c r="E1155" s="6">
        <v>44022</v>
      </c>
      <c r="F1155" s="7">
        <v>-1</v>
      </c>
      <c r="G1155" s="7">
        <v>0</v>
      </c>
      <c r="H1155" s="7">
        <v>0</v>
      </c>
    </row>
    <row r="1156" spans="1:8">
      <c r="A1156" s="4" t="s">
        <v>520</v>
      </c>
      <c r="B1156" s="4" t="s">
        <v>521</v>
      </c>
      <c r="C1156" s="4" t="s">
        <v>2141</v>
      </c>
      <c r="D1156" s="4" t="s">
        <v>2142</v>
      </c>
      <c r="E1156" s="6">
        <v>44026</v>
      </c>
      <c r="F1156" s="7">
        <v>-7570</v>
      </c>
      <c r="G1156" s="7">
        <v>-3503.67</v>
      </c>
      <c r="H1156" s="7">
        <v>-0.01</v>
      </c>
    </row>
    <row r="1157" spans="1:8">
      <c r="A1157" s="4" t="s">
        <v>520</v>
      </c>
      <c r="B1157" s="4" t="s">
        <v>521</v>
      </c>
      <c r="C1157" s="4" t="s">
        <v>2141</v>
      </c>
      <c r="D1157" s="4" t="s">
        <v>2142</v>
      </c>
      <c r="E1157" s="6">
        <v>44026</v>
      </c>
      <c r="F1157" s="7">
        <v>-400</v>
      </c>
      <c r="G1157" s="7">
        <v>-185.13</v>
      </c>
      <c r="H1157" s="7">
        <v>0</v>
      </c>
    </row>
    <row r="1158" spans="1:8">
      <c r="A1158" s="4" t="s">
        <v>520</v>
      </c>
      <c r="B1158" s="4" t="s">
        <v>521</v>
      </c>
      <c r="C1158" s="4" t="s">
        <v>784</v>
      </c>
      <c r="D1158" s="4" t="s">
        <v>2143</v>
      </c>
      <c r="E1158" s="6">
        <v>44026</v>
      </c>
      <c r="F1158" s="7">
        <v>-1</v>
      </c>
      <c r="G1158" s="7">
        <v>0</v>
      </c>
      <c r="H1158" s="7">
        <v>0</v>
      </c>
    </row>
    <row r="1159" spans="1:8">
      <c r="A1159" s="4" t="s">
        <v>522</v>
      </c>
      <c r="B1159" s="4" t="s">
        <v>523</v>
      </c>
      <c r="C1159" s="4" t="s">
        <v>847</v>
      </c>
      <c r="D1159" s="4" t="s">
        <v>2144</v>
      </c>
      <c r="E1159" s="6">
        <v>44026</v>
      </c>
      <c r="F1159" s="7">
        <v>-100</v>
      </c>
      <c r="G1159" s="7">
        <v>-216.20999999999998</v>
      </c>
      <c r="H1159" s="7">
        <v>0</v>
      </c>
    </row>
    <row r="1160" spans="1:8">
      <c r="A1160" s="4" t="s">
        <v>522</v>
      </c>
      <c r="B1160" s="4" t="s">
        <v>523</v>
      </c>
      <c r="C1160" s="4" t="s">
        <v>1015</v>
      </c>
      <c r="D1160" s="4" t="s">
        <v>2145</v>
      </c>
      <c r="E1160" s="6">
        <v>44026</v>
      </c>
      <c r="F1160" s="7">
        <v>-100</v>
      </c>
      <c r="G1160" s="7">
        <v>-92.61</v>
      </c>
      <c r="H1160" s="7">
        <v>0</v>
      </c>
    </row>
    <row r="1161" spans="1:8">
      <c r="A1161" s="4" t="s">
        <v>522</v>
      </c>
      <c r="B1161" s="4" t="s">
        <v>523</v>
      </c>
      <c r="C1161" s="4" t="s">
        <v>985</v>
      </c>
      <c r="D1161" s="4" t="s">
        <v>2146</v>
      </c>
      <c r="E1161" s="6">
        <v>44026</v>
      </c>
      <c r="F1161" s="7">
        <v>-50</v>
      </c>
      <c r="G1161" s="7">
        <v>-92.61</v>
      </c>
      <c r="H1161" s="7">
        <v>0</v>
      </c>
    </row>
    <row r="1162" spans="1:8">
      <c r="A1162" s="4" t="s">
        <v>522</v>
      </c>
      <c r="B1162" s="4" t="s">
        <v>523</v>
      </c>
      <c r="C1162" s="4" t="s">
        <v>1369</v>
      </c>
      <c r="D1162" s="4" t="s">
        <v>2147</v>
      </c>
      <c r="E1162" s="6">
        <v>44026</v>
      </c>
      <c r="F1162" s="7">
        <v>-50</v>
      </c>
      <c r="G1162" s="7">
        <v>-69.41</v>
      </c>
      <c r="H1162" s="7">
        <v>0</v>
      </c>
    </row>
    <row r="1163" spans="1:8">
      <c r="A1163" s="4" t="s">
        <v>522</v>
      </c>
      <c r="B1163" s="4" t="s">
        <v>523</v>
      </c>
      <c r="C1163" s="4" t="s">
        <v>1026</v>
      </c>
      <c r="D1163" s="4" t="s">
        <v>2148</v>
      </c>
      <c r="E1163" s="6">
        <v>44026</v>
      </c>
      <c r="F1163" s="7">
        <v>-150</v>
      </c>
      <c r="G1163" s="7">
        <v>-102.72</v>
      </c>
      <c r="H1163" s="7">
        <v>0.01</v>
      </c>
    </row>
    <row r="1164" spans="1:8">
      <c r="A1164" s="4" t="s">
        <v>522</v>
      </c>
      <c r="B1164" s="4" t="s">
        <v>523</v>
      </c>
      <c r="C1164" s="4" t="s">
        <v>893</v>
      </c>
      <c r="D1164" s="4" t="s">
        <v>2149</v>
      </c>
      <c r="E1164" s="6">
        <v>44026</v>
      </c>
      <c r="F1164" s="7">
        <v>-50</v>
      </c>
      <c r="G1164" s="7">
        <v>-153.85999999999999</v>
      </c>
      <c r="H1164" s="7">
        <v>0</v>
      </c>
    </row>
    <row r="1165" spans="1:8">
      <c r="A1165" s="4" t="s">
        <v>522</v>
      </c>
      <c r="B1165" s="4" t="s">
        <v>523</v>
      </c>
      <c r="C1165" s="4" t="s">
        <v>784</v>
      </c>
      <c r="D1165" s="4" t="s">
        <v>2150</v>
      </c>
      <c r="E1165" s="6">
        <v>44026</v>
      </c>
      <c r="F1165" s="7">
        <v>-1</v>
      </c>
      <c r="G1165" s="7">
        <v>0</v>
      </c>
      <c r="H1165" s="7">
        <v>0</v>
      </c>
    </row>
    <row r="1166" spans="1:8">
      <c r="A1166" s="4" t="s">
        <v>527</v>
      </c>
      <c r="B1166" s="4" t="s">
        <v>528</v>
      </c>
      <c r="C1166" s="4" t="s">
        <v>826</v>
      </c>
      <c r="D1166" s="4" t="s">
        <v>2151</v>
      </c>
      <c r="E1166" s="6">
        <v>44027</v>
      </c>
      <c r="F1166" s="7">
        <v>-1</v>
      </c>
      <c r="G1166" s="7">
        <v>-32.54</v>
      </c>
      <c r="H1166" s="7">
        <v>-0.2</v>
      </c>
    </row>
    <row r="1167" spans="1:8">
      <c r="A1167" s="4" t="s">
        <v>527</v>
      </c>
      <c r="B1167" s="4" t="s">
        <v>528</v>
      </c>
      <c r="C1167" s="4" t="s">
        <v>904</v>
      </c>
      <c r="D1167" s="4" t="s">
        <v>2152</v>
      </c>
      <c r="E1167" s="6">
        <v>44027</v>
      </c>
      <c r="F1167" s="7">
        <v>-10</v>
      </c>
      <c r="G1167" s="7">
        <v>-67.38</v>
      </c>
      <c r="H1167" s="7">
        <v>0</v>
      </c>
    </row>
    <row r="1168" spans="1:8">
      <c r="A1168" s="4" t="s">
        <v>527</v>
      </c>
      <c r="B1168" s="4" t="s">
        <v>528</v>
      </c>
      <c r="C1168" s="4" t="s">
        <v>893</v>
      </c>
      <c r="D1168" s="4" t="s">
        <v>2153</v>
      </c>
      <c r="E1168" s="6">
        <v>44027</v>
      </c>
      <c r="F1168" s="7">
        <v>-100</v>
      </c>
      <c r="G1168" s="7">
        <v>-307.71999999999997</v>
      </c>
      <c r="H1168" s="7">
        <v>-0.01</v>
      </c>
    </row>
    <row r="1169" spans="1:8">
      <c r="A1169" s="4" t="s">
        <v>527</v>
      </c>
      <c r="B1169" s="4" t="s">
        <v>528</v>
      </c>
      <c r="C1169" s="4" t="s">
        <v>784</v>
      </c>
      <c r="D1169" s="4" t="s">
        <v>2154</v>
      </c>
      <c r="E1169" s="6">
        <v>44027</v>
      </c>
      <c r="F1169" s="7">
        <v>-1</v>
      </c>
      <c r="G1169" s="7">
        <v>0</v>
      </c>
      <c r="H1169" s="7">
        <v>0</v>
      </c>
    </row>
    <row r="1170" spans="1:8">
      <c r="A1170" s="4" t="s">
        <v>525</v>
      </c>
      <c r="B1170" s="4" t="s">
        <v>526</v>
      </c>
      <c r="C1170" s="4" t="s">
        <v>2155</v>
      </c>
      <c r="D1170" s="4" t="s">
        <v>2156</v>
      </c>
      <c r="E1170" s="6">
        <v>44027</v>
      </c>
      <c r="F1170" s="7">
        <v>-60</v>
      </c>
      <c r="G1170" s="7">
        <v>-173.69</v>
      </c>
      <c r="H1170" s="7">
        <v>0</v>
      </c>
    </row>
    <row r="1171" spans="1:8">
      <c r="A1171" s="4" t="s">
        <v>525</v>
      </c>
      <c r="B1171" s="4" t="s">
        <v>526</v>
      </c>
      <c r="C1171" s="4" t="s">
        <v>908</v>
      </c>
      <c r="D1171" s="4" t="s">
        <v>2157</v>
      </c>
      <c r="E1171" s="6">
        <v>44027</v>
      </c>
      <c r="F1171" s="7">
        <v>-60</v>
      </c>
      <c r="G1171" s="7">
        <v>-28.44</v>
      </c>
      <c r="H1171" s="7">
        <v>0</v>
      </c>
    </row>
    <row r="1172" spans="1:8">
      <c r="A1172" s="4" t="s">
        <v>525</v>
      </c>
      <c r="B1172" s="4" t="s">
        <v>526</v>
      </c>
      <c r="C1172" s="4" t="s">
        <v>2158</v>
      </c>
      <c r="D1172" s="4" t="s">
        <v>2159</v>
      </c>
      <c r="E1172" s="6">
        <v>44027</v>
      </c>
      <c r="F1172" s="7">
        <v>-8</v>
      </c>
      <c r="G1172" s="7">
        <v>-31.83</v>
      </c>
      <c r="H1172" s="7">
        <v>-0.01</v>
      </c>
    </row>
    <row r="1173" spans="1:8">
      <c r="A1173" s="4" t="s">
        <v>525</v>
      </c>
      <c r="B1173" s="4" t="s">
        <v>526</v>
      </c>
      <c r="C1173" s="4" t="s">
        <v>784</v>
      </c>
      <c r="D1173" s="4" t="s">
        <v>2160</v>
      </c>
      <c r="E1173" s="6">
        <v>44027</v>
      </c>
      <c r="F1173" s="7">
        <v>-1</v>
      </c>
      <c r="G1173" s="7">
        <v>0</v>
      </c>
      <c r="H1173" s="7">
        <v>0</v>
      </c>
    </row>
    <row r="1174" spans="1:8">
      <c r="A1174" s="4" t="s">
        <v>549</v>
      </c>
      <c r="B1174" s="4" t="s">
        <v>550</v>
      </c>
      <c r="C1174" s="4" t="s">
        <v>1086</v>
      </c>
      <c r="D1174" s="4" t="s">
        <v>2161</v>
      </c>
      <c r="E1174" s="6">
        <v>44041</v>
      </c>
      <c r="F1174" s="7">
        <v>-3</v>
      </c>
      <c r="G1174" s="7">
        <v>-567.31000000000006</v>
      </c>
      <c r="H1174" s="7">
        <v>0</v>
      </c>
    </row>
    <row r="1175" spans="1:8">
      <c r="A1175" s="4" t="s">
        <v>549</v>
      </c>
      <c r="B1175" s="4" t="s">
        <v>550</v>
      </c>
      <c r="C1175" s="4" t="s">
        <v>840</v>
      </c>
      <c r="D1175" s="4" t="s">
        <v>2162</v>
      </c>
      <c r="E1175" s="6">
        <v>44041</v>
      </c>
      <c r="F1175" s="7">
        <v>-1</v>
      </c>
      <c r="G1175" s="7">
        <v>0</v>
      </c>
      <c r="H1175" s="7">
        <v>0</v>
      </c>
    </row>
    <row r="1176" spans="1:8">
      <c r="A1176" s="4" t="s">
        <v>549</v>
      </c>
      <c r="B1176" s="4" t="s">
        <v>550</v>
      </c>
      <c r="C1176" s="4" t="s">
        <v>784</v>
      </c>
      <c r="D1176" s="4" t="s">
        <v>2163</v>
      </c>
      <c r="E1176" s="6">
        <v>44041</v>
      </c>
      <c r="F1176" s="7">
        <v>-1</v>
      </c>
      <c r="G1176" s="7">
        <v>0</v>
      </c>
      <c r="H1176" s="7">
        <v>0</v>
      </c>
    </row>
    <row r="1177" spans="1:8">
      <c r="A1177" s="4" t="s">
        <v>569</v>
      </c>
      <c r="B1177" s="4" t="s">
        <v>570</v>
      </c>
      <c r="C1177" s="4" t="s">
        <v>920</v>
      </c>
      <c r="D1177" s="4" t="s">
        <v>2164</v>
      </c>
      <c r="E1177" s="6">
        <v>44054</v>
      </c>
      <c r="F1177" s="7">
        <v>-2520</v>
      </c>
      <c r="G1177" s="7">
        <v>-1787.94</v>
      </c>
      <c r="H1177" s="7">
        <v>0</v>
      </c>
    </row>
    <row r="1178" spans="1:8">
      <c r="A1178" s="4" t="s">
        <v>569</v>
      </c>
      <c r="B1178" s="4" t="s">
        <v>570</v>
      </c>
      <c r="C1178" s="4" t="s">
        <v>920</v>
      </c>
      <c r="D1178" s="4" t="s">
        <v>2164</v>
      </c>
      <c r="E1178" s="6">
        <v>44054</v>
      </c>
      <c r="F1178" s="7">
        <v>-2640</v>
      </c>
      <c r="G1178" s="7">
        <v>-1873.08</v>
      </c>
      <c r="H1178" s="7">
        <v>-0.01</v>
      </c>
    </row>
    <row r="1179" spans="1:8">
      <c r="A1179" s="4" t="s">
        <v>569</v>
      </c>
      <c r="B1179" s="4" t="s">
        <v>570</v>
      </c>
      <c r="C1179" s="4" t="s">
        <v>920</v>
      </c>
      <c r="D1179" s="4" t="s">
        <v>2164</v>
      </c>
      <c r="E1179" s="6">
        <v>44054</v>
      </c>
      <c r="F1179" s="7">
        <v>-1040</v>
      </c>
      <c r="G1179" s="7">
        <v>-737.88</v>
      </c>
      <c r="H1179" s="7">
        <v>0</v>
      </c>
    </row>
    <row r="1180" spans="1:8">
      <c r="A1180" s="4" t="s">
        <v>531</v>
      </c>
      <c r="B1180" s="4" t="s">
        <v>532</v>
      </c>
      <c r="C1180" s="4" t="s">
        <v>1600</v>
      </c>
      <c r="D1180" s="4" t="s">
        <v>2165</v>
      </c>
      <c r="E1180" s="6">
        <v>44032</v>
      </c>
      <c r="F1180" s="7">
        <v>-100</v>
      </c>
      <c r="G1180" s="7">
        <v>-76.930000000000007</v>
      </c>
      <c r="H1180" s="7">
        <v>0</v>
      </c>
    </row>
    <row r="1181" spans="1:8">
      <c r="A1181" s="4" t="s">
        <v>531</v>
      </c>
      <c r="B1181" s="4" t="s">
        <v>532</v>
      </c>
      <c r="C1181" s="4" t="s">
        <v>784</v>
      </c>
      <c r="D1181" s="4" t="s">
        <v>2166</v>
      </c>
      <c r="E1181" s="6">
        <v>44032</v>
      </c>
      <c r="F1181" s="7">
        <v>-1</v>
      </c>
      <c r="G1181" s="7">
        <v>0</v>
      </c>
      <c r="H1181" s="7">
        <v>0</v>
      </c>
    </row>
    <row r="1182" spans="1:8">
      <c r="A1182" s="4" t="s">
        <v>630</v>
      </c>
      <c r="B1182" s="4" t="s">
        <v>631</v>
      </c>
      <c r="C1182" s="4" t="s">
        <v>789</v>
      </c>
      <c r="D1182" s="4" t="s">
        <v>2167</v>
      </c>
      <c r="E1182" s="6">
        <v>44085</v>
      </c>
      <c r="F1182" s="7">
        <v>-1005</v>
      </c>
      <c r="G1182" s="7">
        <v>-4980.8500000000004</v>
      </c>
      <c r="H1182" s="7">
        <v>0</v>
      </c>
    </row>
    <row r="1183" spans="1:8">
      <c r="A1183" s="4" t="s">
        <v>630</v>
      </c>
      <c r="B1183" s="4" t="s">
        <v>631</v>
      </c>
      <c r="C1183" s="4" t="s">
        <v>795</v>
      </c>
      <c r="D1183" s="4" t="s">
        <v>2168</v>
      </c>
      <c r="E1183" s="6">
        <v>44085</v>
      </c>
      <c r="F1183" s="7">
        <v>-802</v>
      </c>
      <c r="G1183" s="7">
        <v>-4615.03</v>
      </c>
      <c r="H1183" s="7">
        <v>0</v>
      </c>
    </row>
    <row r="1184" spans="1:8">
      <c r="A1184" s="4" t="s">
        <v>529</v>
      </c>
      <c r="B1184" s="4" t="s">
        <v>530</v>
      </c>
      <c r="C1184" s="4" t="s">
        <v>881</v>
      </c>
      <c r="D1184" s="4" t="s">
        <v>2169</v>
      </c>
      <c r="E1184" s="6">
        <v>44028</v>
      </c>
      <c r="F1184" s="7">
        <v>-425</v>
      </c>
      <c r="G1184" s="7">
        <v>-747.13</v>
      </c>
      <c r="H1184" s="7">
        <v>0</v>
      </c>
    </row>
    <row r="1185" spans="1:8">
      <c r="A1185" s="4" t="s">
        <v>529</v>
      </c>
      <c r="B1185" s="4" t="s">
        <v>530</v>
      </c>
      <c r="C1185" s="4" t="s">
        <v>784</v>
      </c>
      <c r="D1185" s="4" t="s">
        <v>2170</v>
      </c>
      <c r="E1185" s="6">
        <v>44028</v>
      </c>
      <c r="F1185" s="7">
        <v>-1</v>
      </c>
      <c r="G1185" s="7">
        <v>0</v>
      </c>
      <c r="H1185" s="7">
        <v>0</v>
      </c>
    </row>
    <row r="1186" spans="1:8">
      <c r="A1186" s="4" t="s">
        <v>594</v>
      </c>
      <c r="B1186" s="4" t="s">
        <v>595</v>
      </c>
      <c r="C1186" s="4" t="s">
        <v>803</v>
      </c>
      <c r="D1186" s="4" t="s">
        <v>2171</v>
      </c>
      <c r="E1186" s="6">
        <v>44063</v>
      </c>
      <c r="F1186" s="7">
        <v>-1000</v>
      </c>
      <c r="G1186" s="7">
        <v>-956.3</v>
      </c>
      <c r="H1186" s="7">
        <v>0</v>
      </c>
    </row>
    <row r="1187" spans="1:8">
      <c r="A1187" s="4" t="s">
        <v>594</v>
      </c>
      <c r="B1187" s="4" t="s">
        <v>595</v>
      </c>
      <c r="C1187" s="4" t="s">
        <v>786</v>
      </c>
      <c r="D1187" s="4" t="s">
        <v>2172</v>
      </c>
      <c r="E1187" s="6">
        <v>44063</v>
      </c>
      <c r="F1187" s="7">
        <v>-2000</v>
      </c>
      <c r="G1187" s="7">
        <v>-1338.82</v>
      </c>
      <c r="H1187" s="7">
        <v>0</v>
      </c>
    </row>
    <row r="1188" spans="1:8">
      <c r="A1188" s="4" t="s">
        <v>594</v>
      </c>
      <c r="B1188" s="4" t="s">
        <v>595</v>
      </c>
      <c r="C1188" s="4" t="s">
        <v>801</v>
      </c>
      <c r="D1188" s="4" t="s">
        <v>2173</v>
      </c>
      <c r="E1188" s="6">
        <v>44063</v>
      </c>
      <c r="F1188" s="7">
        <v>-1500</v>
      </c>
      <c r="G1188" s="7">
        <v>-1291.01</v>
      </c>
      <c r="H1188" s="7">
        <v>0</v>
      </c>
    </row>
    <row r="1189" spans="1:8">
      <c r="A1189" s="4" t="s">
        <v>594</v>
      </c>
      <c r="B1189" s="4" t="s">
        <v>595</v>
      </c>
      <c r="C1189" s="4" t="s">
        <v>799</v>
      </c>
      <c r="D1189" s="4" t="s">
        <v>2174</v>
      </c>
      <c r="E1189" s="6">
        <v>44063</v>
      </c>
      <c r="F1189" s="7">
        <v>-1500</v>
      </c>
      <c r="G1189" s="7">
        <v>-1147.56</v>
      </c>
      <c r="H1189" s="7">
        <v>-0.01</v>
      </c>
    </row>
    <row r="1190" spans="1:8">
      <c r="A1190" s="4" t="s">
        <v>594</v>
      </c>
      <c r="B1190" s="4" t="s">
        <v>595</v>
      </c>
      <c r="C1190" s="4" t="s">
        <v>784</v>
      </c>
      <c r="D1190" s="4" t="s">
        <v>2175</v>
      </c>
      <c r="E1190" s="6">
        <v>44063</v>
      </c>
      <c r="F1190" s="7">
        <v>-1</v>
      </c>
      <c r="G1190" s="7">
        <v>0</v>
      </c>
      <c r="H1190" s="7">
        <v>0</v>
      </c>
    </row>
    <row r="1191" spans="1:8">
      <c r="A1191" s="4" t="s">
        <v>553</v>
      </c>
      <c r="B1191" s="4" t="s">
        <v>554</v>
      </c>
      <c r="C1191" s="4" t="s">
        <v>2176</v>
      </c>
      <c r="D1191" s="4" t="s">
        <v>2177</v>
      </c>
      <c r="E1191" s="6">
        <v>44042</v>
      </c>
      <c r="F1191" s="7">
        <v>-110</v>
      </c>
      <c r="G1191" s="7">
        <v>-361.62</v>
      </c>
      <c r="H1191" s="7">
        <v>0</v>
      </c>
    </row>
    <row r="1192" spans="1:8">
      <c r="A1192" s="4" t="s">
        <v>553</v>
      </c>
      <c r="B1192" s="4" t="s">
        <v>554</v>
      </c>
      <c r="C1192" s="4" t="s">
        <v>1904</v>
      </c>
      <c r="D1192" s="4" t="s">
        <v>2178</v>
      </c>
      <c r="E1192" s="6">
        <v>44042</v>
      </c>
      <c r="F1192" s="7">
        <v>-34</v>
      </c>
      <c r="G1192" s="7">
        <v>-111.77000000000001</v>
      </c>
      <c r="H1192" s="7">
        <v>-0.01</v>
      </c>
    </row>
    <row r="1193" spans="1:8">
      <c r="A1193" s="4" t="s">
        <v>553</v>
      </c>
      <c r="B1193" s="4" t="s">
        <v>554</v>
      </c>
      <c r="C1193" s="4" t="s">
        <v>2158</v>
      </c>
      <c r="D1193" s="4" t="s">
        <v>2179</v>
      </c>
      <c r="E1193" s="6">
        <v>44042</v>
      </c>
      <c r="F1193" s="7">
        <v>-12</v>
      </c>
      <c r="G1193" s="7">
        <v>-47.75</v>
      </c>
      <c r="H1193" s="7">
        <v>0</v>
      </c>
    </row>
    <row r="1194" spans="1:8">
      <c r="A1194" s="4" t="s">
        <v>553</v>
      </c>
      <c r="B1194" s="4" t="s">
        <v>554</v>
      </c>
      <c r="C1194" s="4" t="s">
        <v>784</v>
      </c>
      <c r="D1194" s="4" t="s">
        <v>2180</v>
      </c>
      <c r="E1194" s="6">
        <v>44042</v>
      </c>
      <c r="F1194" s="7">
        <v>-1</v>
      </c>
      <c r="G1194" s="7">
        <v>0</v>
      </c>
      <c r="H1194" s="7">
        <v>0</v>
      </c>
    </row>
    <row r="1195" spans="1:8">
      <c r="A1195" s="4" t="s">
        <v>762</v>
      </c>
      <c r="B1195" s="4" t="s">
        <v>763</v>
      </c>
      <c r="C1195" s="4" t="s">
        <v>2113</v>
      </c>
      <c r="D1195" s="4" t="s">
        <v>2181</v>
      </c>
      <c r="E1195" s="6">
        <v>44021</v>
      </c>
      <c r="F1195" s="7">
        <v>252</v>
      </c>
      <c r="G1195" s="7">
        <v>295.33000000000004</v>
      </c>
      <c r="H1195" s="7">
        <v>0</v>
      </c>
    </row>
    <row r="1196" spans="1:8">
      <c r="A1196" s="4" t="s">
        <v>762</v>
      </c>
      <c r="B1196" s="4" t="s">
        <v>763</v>
      </c>
      <c r="C1196" s="4" t="s">
        <v>784</v>
      </c>
      <c r="D1196" s="4" t="s">
        <v>2182</v>
      </c>
      <c r="E1196" s="6">
        <v>44021</v>
      </c>
      <c r="F1196" s="7">
        <v>1</v>
      </c>
      <c r="G1196" s="7">
        <v>0</v>
      </c>
      <c r="H1196" s="7">
        <v>0</v>
      </c>
    </row>
    <row r="1197" spans="1:8">
      <c r="A1197" s="4" t="s">
        <v>538</v>
      </c>
      <c r="B1197" s="4" t="s">
        <v>539</v>
      </c>
      <c r="C1197" s="4" t="s">
        <v>916</v>
      </c>
      <c r="D1197" s="4" t="s">
        <v>2183</v>
      </c>
      <c r="E1197" s="6">
        <v>44035</v>
      </c>
      <c r="F1197" s="7">
        <v>-400</v>
      </c>
      <c r="G1197" s="7">
        <v>-150.32999999999998</v>
      </c>
      <c r="H1197" s="7">
        <v>0</v>
      </c>
    </row>
    <row r="1198" spans="1:8">
      <c r="A1198" s="4" t="s">
        <v>538</v>
      </c>
      <c r="B1198" s="4" t="s">
        <v>539</v>
      </c>
      <c r="C1198" s="4" t="s">
        <v>887</v>
      </c>
      <c r="D1198" s="4" t="s">
        <v>2184</v>
      </c>
      <c r="E1198" s="6">
        <v>44035</v>
      </c>
      <c r="F1198" s="7">
        <v>-500</v>
      </c>
      <c r="G1198" s="7">
        <v>-204.47</v>
      </c>
      <c r="H1198" s="7">
        <v>0</v>
      </c>
    </row>
    <row r="1199" spans="1:8">
      <c r="A1199" s="4" t="s">
        <v>538</v>
      </c>
      <c r="B1199" s="4" t="s">
        <v>539</v>
      </c>
      <c r="C1199" s="4" t="s">
        <v>949</v>
      </c>
      <c r="D1199" s="4" t="s">
        <v>2185</v>
      </c>
      <c r="E1199" s="6">
        <v>44035</v>
      </c>
      <c r="F1199" s="7">
        <v>-100</v>
      </c>
      <c r="G1199" s="7">
        <v>-36.049999999999997</v>
      </c>
      <c r="H1199" s="7">
        <v>0</v>
      </c>
    </row>
    <row r="1200" spans="1:8">
      <c r="A1200" s="4" t="s">
        <v>538</v>
      </c>
      <c r="B1200" s="4" t="s">
        <v>539</v>
      </c>
      <c r="C1200" s="4" t="s">
        <v>955</v>
      </c>
      <c r="D1200" s="4" t="s">
        <v>2186</v>
      </c>
      <c r="E1200" s="6">
        <v>44035</v>
      </c>
      <c r="F1200" s="7">
        <v>-50</v>
      </c>
      <c r="G1200" s="7">
        <v>-23.26</v>
      </c>
      <c r="H1200" s="7">
        <v>0</v>
      </c>
    </row>
    <row r="1201" spans="1:8">
      <c r="A1201" s="4" t="s">
        <v>538</v>
      </c>
      <c r="B1201" s="4" t="s">
        <v>539</v>
      </c>
      <c r="C1201" s="4" t="s">
        <v>883</v>
      </c>
      <c r="D1201" s="4" t="s">
        <v>2187</v>
      </c>
      <c r="E1201" s="6">
        <v>44035</v>
      </c>
      <c r="F1201" s="7">
        <v>-20</v>
      </c>
      <c r="G1201" s="7">
        <v>-15.96</v>
      </c>
      <c r="H1201" s="7">
        <v>0.01</v>
      </c>
    </row>
    <row r="1202" spans="1:8">
      <c r="A1202" s="4" t="s">
        <v>538</v>
      </c>
      <c r="B1202" s="4" t="s">
        <v>539</v>
      </c>
      <c r="C1202" s="4" t="s">
        <v>891</v>
      </c>
      <c r="D1202" s="4" t="s">
        <v>2188</v>
      </c>
      <c r="E1202" s="6">
        <v>44035</v>
      </c>
      <c r="F1202" s="7">
        <v>-20</v>
      </c>
      <c r="G1202" s="7">
        <v>-14.63</v>
      </c>
      <c r="H1202" s="7">
        <v>0</v>
      </c>
    </row>
    <row r="1203" spans="1:8">
      <c r="A1203" s="4" t="s">
        <v>538</v>
      </c>
      <c r="B1203" s="4" t="s">
        <v>539</v>
      </c>
      <c r="C1203" s="4" t="s">
        <v>908</v>
      </c>
      <c r="D1203" s="4" t="s">
        <v>2189</v>
      </c>
      <c r="E1203" s="6">
        <v>44035</v>
      </c>
      <c r="F1203" s="7">
        <v>-30</v>
      </c>
      <c r="G1203" s="7">
        <v>-14.22</v>
      </c>
      <c r="H1203" s="7">
        <v>0</v>
      </c>
    </row>
    <row r="1204" spans="1:8">
      <c r="A1204" s="4" t="s">
        <v>538</v>
      </c>
      <c r="B1204" s="4" t="s">
        <v>539</v>
      </c>
      <c r="C1204" s="4" t="s">
        <v>877</v>
      </c>
      <c r="D1204" s="4" t="s">
        <v>2190</v>
      </c>
      <c r="E1204" s="6">
        <v>44035</v>
      </c>
      <c r="F1204" s="7">
        <v>-30</v>
      </c>
      <c r="G1204" s="7">
        <v>-21.23</v>
      </c>
      <c r="H1204" s="7">
        <v>0</v>
      </c>
    </row>
    <row r="1205" spans="1:8">
      <c r="A1205" s="4" t="s">
        <v>538</v>
      </c>
      <c r="B1205" s="4" t="s">
        <v>539</v>
      </c>
      <c r="C1205" s="4" t="s">
        <v>784</v>
      </c>
      <c r="D1205" s="4" t="s">
        <v>2191</v>
      </c>
      <c r="E1205" s="6">
        <v>44035</v>
      </c>
      <c r="F1205" s="7">
        <v>-1</v>
      </c>
      <c r="G1205" s="7">
        <v>0</v>
      </c>
      <c r="H1205" s="7">
        <v>0</v>
      </c>
    </row>
    <row r="1206" spans="1:8">
      <c r="A1206" s="4" t="s">
        <v>533</v>
      </c>
      <c r="B1206" s="4" t="s">
        <v>534</v>
      </c>
      <c r="C1206" s="4" t="s">
        <v>2113</v>
      </c>
      <c r="D1206" s="4" t="s">
        <v>2192</v>
      </c>
      <c r="E1206" s="6">
        <v>44021</v>
      </c>
      <c r="F1206" s="7">
        <v>-252</v>
      </c>
      <c r="G1206" s="7">
        <v>-295.33000000000004</v>
      </c>
      <c r="H1206" s="7">
        <v>0</v>
      </c>
    </row>
    <row r="1207" spans="1:8">
      <c r="A1207" s="4" t="s">
        <v>533</v>
      </c>
      <c r="B1207" s="4" t="s">
        <v>534</v>
      </c>
      <c r="C1207" s="4" t="s">
        <v>784</v>
      </c>
      <c r="D1207" s="4" t="s">
        <v>2193</v>
      </c>
      <c r="E1207" s="6">
        <v>44021</v>
      </c>
      <c r="F1207" s="7">
        <v>-1</v>
      </c>
      <c r="G1207" s="7">
        <v>0</v>
      </c>
      <c r="H1207" s="7">
        <v>0</v>
      </c>
    </row>
    <row r="1208" spans="1:8">
      <c r="A1208" s="4" t="s">
        <v>538</v>
      </c>
      <c r="B1208" s="4" t="s">
        <v>539</v>
      </c>
      <c r="C1208" s="4" t="s">
        <v>1904</v>
      </c>
      <c r="D1208" s="4" t="s">
        <v>2194</v>
      </c>
      <c r="E1208" s="6">
        <v>44035</v>
      </c>
      <c r="F1208" s="7">
        <v>-20</v>
      </c>
      <c r="G1208" s="7">
        <v>-65.75</v>
      </c>
      <c r="H1208" s="7">
        <v>0</v>
      </c>
    </row>
    <row r="1209" spans="1:8">
      <c r="A1209" s="4" t="s">
        <v>540</v>
      </c>
      <c r="B1209" s="4" t="s">
        <v>541</v>
      </c>
      <c r="C1209" s="4" t="s">
        <v>942</v>
      </c>
      <c r="D1209" s="4" t="s">
        <v>2195</v>
      </c>
      <c r="E1209" s="6">
        <v>44035</v>
      </c>
      <c r="F1209" s="7">
        <v>-100</v>
      </c>
      <c r="G1209" s="7">
        <v>-100.42999999999999</v>
      </c>
      <c r="H1209" s="7">
        <v>-0.01</v>
      </c>
    </row>
    <row r="1210" spans="1:8">
      <c r="A1210" s="4" t="s">
        <v>540</v>
      </c>
      <c r="B1210" s="4" t="s">
        <v>541</v>
      </c>
      <c r="C1210" s="4" t="s">
        <v>979</v>
      </c>
      <c r="D1210" s="4" t="s">
        <v>2196</v>
      </c>
      <c r="E1210" s="6">
        <v>44035</v>
      </c>
      <c r="F1210" s="7">
        <v>-50</v>
      </c>
      <c r="G1210" s="7">
        <v>-62.53</v>
      </c>
      <c r="H1210" s="7">
        <v>0</v>
      </c>
    </row>
    <row r="1211" spans="1:8">
      <c r="A1211" s="4" t="s">
        <v>540</v>
      </c>
      <c r="B1211" s="4" t="s">
        <v>541</v>
      </c>
      <c r="C1211" s="4" t="s">
        <v>1126</v>
      </c>
      <c r="D1211" s="4" t="s">
        <v>2197</v>
      </c>
      <c r="E1211" s="6">
        <v>44035</v>
      </c>
      <c r="F1211" s="7">
        <v>-50</v>
      </c>
      <c r="G1211" s="7">
        <v>-70.430000000000007</v>
      </c>
      <c r="H1211" s="7">
        <v>0</v>
      </c>
    </row>
    <row r="1212" spans="1:8">
      <c r="A1212" s="4" t="s">
        <v>540</v>
      </c>
      <c r="B1212" s="4" t="s">
        <v>541</v>
      </c>
      <c r="C1212" s="4" t="s">
        <v>849</v>
      </c>
      <c r="D1212" s="4" t="s">
        <v>2198</v>
      </c>
      <c r="E1212" s="6">
        <v>44035</v>
      </c>
      <c r="F1212" s="7">
        <v>-50</v>
      </c>
      <c r="G1212" s="7">
        <v>-216.20999999999998</v>
      </c>
      <c r="H1212" s="7">
        <v>0.01</v>
      </c>
    </row>
    <row r="1213" spans="1:8">
      <c r="A1213" s="4" t="s">
        <v>540</v>
      </c>
      <c r="B1213" s="4" t="s">
        <v>541</v>
      </c>
      <c r="C1213" s="4" t="s">
        <v>1371</v>
      </c>
      <c r="D1213" s="4" t="s">
        <v>2199</v>
      </c>
      <c r="E1213" s="6">
        <v>44035</v>
      </c>
      <c r="F1213" s="7">
        <v>-100</v>
      </c>
      <c r="G1213" s="7">
        <v>-164.35999999999999</v>
      </c>
      <c r="H1213" s="7">
        <v>0</v>
      </c>
    </row>
    <row r="1214" spans="1:8">
      <c r="A1214" s="4" t="s">
        <v>540</v>
      </c>
      <c r="B1214" s="4" t="s">
        <v>541</v>
      </c>
      <c r="C1214" s="4" t="s">
        <v>784</v>
      </c>
      <c r="D1214" s="4" t="s">
        <v>2200</v>
      </c>
      <c r="E1214" s="6">
        <v>44035</v>
      </c>
      <c r="F1214" s="7">
        <v>-1</v>
      </c>
      <c r="G1214" s="7">
        <v>0</v>
      </c>
      <c r="H1214" s="7">
        <v>0</v>
      </c>
    </row>
    <row r="1215" spans="1:8">
      <c r="A1215" s="4" t="s">
        <v>542</v>
      </c>
      <c r="B1215" s="4" t="s">
        <v>543</v>
      </c>
      <c r="C1215" s="4" t="s">
        <v>821</v>
      </c>
      <c r="D1215" s="4" t="s">
        <v>2201</v>
      </c>
      <c r="E1215" s="6">
        <v>44039</v>
      </c>
      <c r="F1215" s="7">
        <v>-300</v>
      </c>
      <c r="G1215" s="7">
        <v>-901.31000000000006</v>
      </c>
      <c r="H1215" s="7">
        <v>0</v>
      </c>
    </row>
    <row r="1216" spans="1:8">
      <c r="A1216" s="4" t="s">
        <v>542</v>
      </c>
      <c r="B1216" s="4" t="s">
        <v>543</v>
      </c>
      <c r="C1216" s="4" t="s">
        <v>1232</v>
      </c>
      <c r="D1216" s="4" t="s">
        <v>2202</v>
      </c>
      <c r="E1216" s="6">
        <v>44039</v>
      </c>
      <c r="F1216" s="7">
        <v>-30</v>
      </c>
      <c r="G1216" s="7">
        <v>-137.59</v>
      </c>
      <c r="H1216" s="7">
        <v>-0.01</v>
      </c>
    </row>
    <row r="1217" spans="1:8">
      <c r="A1217" s="4" t="s">
        <v>542</v>
      </c>
      <c r="B1217" s="4" t="s">
        <v>543</v>
      </c>
      <c r="C1217" s="4" t="s">
        <v>1810</v>
      </c>
      <c r="D1217" s="4" t="s">
        <v>2203</v>
      </c>
      <c r="E1217" s="6">
        <v>44039</v>
      </c>
      <c r="F1217" s="7">
        <v>-10</v>
      </c>
      <c r="G1217" s="7">
        <v>-12.84</v>
      </c>
      <c r="H1217" s="7">
        <v>0</v>
      </c>
    </row>
    <row r="1218" spans="1:8">
      <c r="A1218" s="4" t="s">
        <v>542</v>
      </c>
      <c r="B1218" s="4" t="s">
        <v>543</v>
      </c>
      <c r="C1218" s="4" t="s">
        <v>881</v>
      </c>
      <c r="D1218" s="4" t="s">
        <v>2204</v>
      </c>
      <c r="E1218" s="6">
        <v>44039</v>
      </c>
      <c r="F1218" s="7">
        <v>-20</v>
      </c>
      <c r="G1218" s="7">
        <v>-35.159999999999997</v>
      </c>
      <c r="H1218" s="7">
        <v>0</v>
      </c>
    </row>
    <row r="1219" spans="1:8">
      <c r="A1219" s="4" t="s">
        <v>542</v>
      </c>
      <c r="B1219" s="4" t="s">
        <v>543</v>
      </c>
      <c r="C1219" s="4" t="s">
        <v>862</v>
      </c>
      <c r="D1219" s="4" t="s">
        <v>2205</v>
      </c>
      <c r="E1219" s="6">
        <v>44039</v>
      </c>
      <c r="F1219" s="7">
        <v>-40</v>
      </c>
      <c r="G1219" s="7">
        <v>-140.64000000000001</v>
      </c>
      <c r="H1219" s="7">
        <v>0.01</v>
      </c>
    </row>
    <row r="1220" spans="1:8">
      <c r="A1220" s="4" t="s">
        <v>542</v>
      </c>
      <c r="B1220" s="4" t="s">
        <v>543</v>
      </c>
      <c r="C1220" s="4" t="s">
        <v>1530</v>
      </c>
      <c r="D1220" s="4" t="s">
        <v>2206</v>
      </c>
      <c r="E1220" s="6">
        <v>44039</v>
      </c>
      <c r="F1220" s="7">
        <v>-30</v>
      </c>
      <c r="G1220" s="7">
        <v>-43.72</v>
      </c>
      <c r="H1220" s="7">
        <v>0</v>
      </c>
    </row>
    <row r="1221" spans="1:8">
      <c r="A1221" s="4" t="s">
        <v>542</v>
      </c>
      <c r="B1221" s="4" t="s">
        <v>543</v>
      </c>
      <c r="C1221" s="4" t="s">
        <v>784</v>
      </c>
      <c r="D1221" s="4" t="s">
        <v>2207</v>
      </c>
      <c r="E1221" s="6">
        <v>44039</v>
      </c>
      <c r="F1221" s="7">
        <v>-1</v>
      </c>
      <c r="G1221" s="7">
        <v>0</v>
      </c>
      <c r="H1221" s="7">
        <v>0</v>
      </c>
    </row>
    <row r="1222" spans="1:8">
      <c r="A1222" s="4" t="s">
        <v>551</v>
      </c>
      <c r="B1222" s="4" t="s">
        <v>552</v>
      </c>
      <c r="C1222" s="4" t="s">
        <v>1345</v>
      </c>
      <c r="D1222" s="4" t="s">
        <v>2208</v>
      </c>
      <c r="E1222" s="6">
        <v>44041</v>
      </c>
      <c r="F1222" s="7">
        <v>-2000</v>
      </c>
      <c r="G1222" s="7">
        <v>-4.4700000000000006</v>
      </c>
      <c r="H1222" s="7">
        <v>0</v>
      </c>
    </row>
    <row r="1223" spans="1:8">
      <c r="A1223" s="4" t="s">
        <v>551</v>
      </c>
      <c r="B1223" s="4" t="s">
        <v>552</v>
      </c>
      <c r="C1223" s="4" t="s">
        <v>1347</v>
      </c>
      <c r="D1223" s="4" t="s">
        <v>2209</v>
      </c>
      <c r="E1223" s="6">
        <v>44041</v>
      </c>
      <c r="F1223" s="7">
        <v>-5000</v>
      </c>
      <c r="G1223" s="7">
        <v>-49.24</v>
      </c>
      <c r="H1223" s="7">
        <v>0</v>
      </c>
    </row>
    <row r="1224" spans="1:8">
      <c r="A1224" s="4" t="s">
        <v>551</v>
      </c>
      <c r="B1224" s="4" t="s">
        <v>552</v>
      </c>
      <c r="C1224" s="4" t="s">
        <v>1349</v>
      </c>
      <c r="D1224" s="4" t="s">
        <v>2210</v>
      </c>
      <c r="E1224" s="6">
        <v>44041</v>
      </c>
      <c r="F1224" s="7">
        <v>-5000</v>
      </c>
      <c r="G1224" s="7">
        <v>-98.47</v>
      </c>
      <c r="H1224" s="7">
        <v>-0.01</v>
      </c>
    </row>
    <row r="1225" spans="1:8">
      <c r="A1225" s="4" t="s">
        <v>551</v>
      </c>
      <c r="B1225" s="4" t="s">
        <v>552</v>
      </c>
      <c r="C1225" s="4" t="s">
        <v>784</v>
      </c>
      <c r="D1225" s="4" t="s">
        <v>2211</v>
      </c>
      <c r="E1225" s="6">
        <v>44041</v>
      </c>
      <c r="F1225" s="7">
        <v>-1</v>
      </c>
      <c r="G1225" s="7">
        <v>0</v>
      </c>
      <c r="H1225" s="7">
        <v>0</v>
      </c>
    </row>
    <row r="1226" spans="1:8">
      <c r="A1226" s="4" t="s">
        <v>546</v>
      </c>
      <c r="B1226" s="4" t="s">
        <v>547</v>
      </c>
      <c r="C1226" s="4" t="s">
        <v>817</v>
      </c>
      <c r="D1226" s="4" t="s">
        <v>2212</v>
      </c>
      <c r="E1226" s="6">
        <v>44041</v>
      </c>
      <c r="F1226" s="7">
        <v>-600</v>
      </c>
      <c r="G1226" s="7">
        <v>-568.81999999999994</v>
      </c>
      <c r="H1226" s="7">
        <v>0</v>
      </c>
    </row>
    <row r="1227" spans="1:8">
      <c r="A1227" s="4" t="s">
        <v>546</v>
      </c>
      <c r="B1227" s="4" t="s">
        <v>547</v>
      </c>
      <c r="C1227" s="4" t="s">
        <v>1628</v>
      </c>
      <c r="D1227" s="4" t="s">
        <v>2213</v>
      </c>
      <c r="E1227" s="6">
        <v>44041</v>
      </c>
      <c r="F1227" s="7">
        <v>-40</v>
      </c>
      <c r="G1227" s="7">
        <v>-30.07</v>
      </c>
      <c r="H1227" s="7">
        <v>0</v>
      </c>
    </row>
    <row r="1228" spans="1:8">
      <c r="A1228" s="4" t="s">
        <v>546</v>
      </c>
      <c r="B1228" s="4" t="s">
        <v>547</v>
      </c>
      <c r="C1228" s="4" t="s">
        <v>1104</v>
      </c>
      <c r="D1228" s="4" t="s">
        <v>2214</v>
      </c>
      <c r="E1228" s="6">
        <v>44041</v>
      </c>
      <c r="F1228" s="7">
        <v>-20</v>
      </c>
      <c r="G1228" s="7">
        <v>-27.41</v>
      </c>
      <c r="H1228" s="7">
        <v>0.01</v>
      </c>
    </row>
    <row r="1229" spans="1:8">
      <c r="A1229" s="4" t="s">
        <v>546</v>
      </c>
      <c r="B1229" s="4" t="s">
        <v>547</v>
      </c>
      <c r="C1229" s="4" t="s">
        <v>815</v>
      </c>
      <c r="D1229" s="4" t="s">
        <v>2215</v>
      </c>
      <c r="E1229" s="6">
        <v>44041</v>
      </c>
      <c r="F1229" s="7">
        <v>-50</v>
      </c>
      <c r="G1229" s="7">
        <v>-95.63</v>
      </c>
      <c r="H1229" s="7">
        <v>0</v>
      </c>
    </row>
    <row r="1230" spans="1:8">
      <c r="A1230" s="4" t="s">
        <v>546</v>
      </c>
      <c r="B1230" s="4" t="s">
        <v>547</v>
      </c>
      <c r="C1230" s="4" t="s">
        <v>821</v>
      </c>
      <c r="D1230" s="4" t="s">
        <v>2216</v>
      </c>
      <c r="E1230" s="6">
        <v>44041</v>
      </c>
      <c r="F1230" s="7">
        <v>-20</v>
      </c>
      <c r="G1230" s="7">
        <v>-60.09</v>
      </c>
      <c r="H1230" s="7">
        <v>0</v>
      </c>
    </row>
    <row r="1231" spans="1:8">
      <c r="A1231" s="4" t="s">
        <v>546</v>
      </c>
      <c r="B1231" s="4" t="s">
        <v>547</v>
      </c>
      <c r="C1231" s="4" t="s">
        <v>1232</v>
      </c>
      <c r="D1231" s="4" t="s">
        <v>2217</v>
      </c>
      <c r="E1231" s="6">
        <v>44041</v>
      </c>
      <c r="F1231" s="7">
        <v>-20</v>
      </c>
      <c r="G1231" s="7">
        <v>-91.73</v>
      </c>
      <c r="H1231" s="7">
        <v>0</v>
      </c>
    </row>
    <row r="1232" spans="1:8">
      <c r="A1232" s="4" t="s">
        <v>546</v>
      </c>
      <c r="B1232" s="4" t="s">
        <v>547</v>
      </c>
      <c r="C1232" s="4" t="s">
        <v>823</v>
      </c>
      <c r="D1232" s="4" t="s">
        <v>2218</v>
      </c>
      <c r="E1232" s="6">
        <v>44041</v>
      </c>
      <c r="F1232" s="7">
        <v>-30</v>
      </c>
      <c r="G1232" s="7">
        <v>-108.00999999999999</v>
      </c>
      <c r="H1232" s="7">
        <v>0</v>
      </c>
    </row>
    <row r="1233" spans="1:8">
      <c r="A1233" s="4" t="s">
        <v>546</v>
      </c>
      <c r="B1233" s="4" t="s">
        <v>547</v>
      </c>
      <c r="C1233" s="4" t="s">
        <v>885</v>
      </c>
      <c r="D1233" s="4" t="s">
        <v>2219</v>
      </c>
      <c r="E1233" s="6">
        <v>44041</v>
      </c>
      <c r="F1233" s="7">
        <v>-20</v>
      </c>
      <c r="G1233" s="7">
        <v>-86.83</v>
      </c>
      <c r="H1233" s="7">
        <v>0</v>
      </c>
    </row>
    <row r="1234" spans="1:8">
      <c r="A1234" s="4" t="s">
        <v>546</v>
      </c>
      <c r="B1234" s="4" t="s">
        <v>547</v>
      </c>
      <c r="C1234" s="4" t="s">
        <v>784</v>
      </c>
      <c r="D1234" s="4" t="s">
        <v>2220</v>
      </c>
      <c r="E1234" s="6">
        <v>44041</v>
      </c>
      <c r="F1234" s="7">
        <v>-1</v>
      </c>
      <c r="G1234" s="7">
        <v>0</v>
      </c>
      <c r="H1234" s="7">
        <v>0</v>
      </c>
    </row>
    <row r="1235" spans="1:8">
      <c r="A1235" s="4" t="s">
        <v>565</v>
      </c>
      <c r="B1235" s="4" t="s">
        <v>566</v>
      </c>
      <c r="C1235" s="4" t="s">
        <v>916</v>
      </c>
      <c r="D1235" s="4" t="s">
        <v>2221</v>
      </c>
      <c r="E1235" s="6">
        <v>44050</v>
      </c>
      <c r="F1235" s="7">
        <v>-200</v>
      </c>
      <c r="G1235" s="7">
        <v>-75.16</v>
      </c>
      <c r="H1235" s="7">
        <v>0</v>
      </c>
    </row>
    <row r="1236" spans="1:8">
      <c r="A1236" s="4" t="s">
        <v>565</v>
      </c>
      <c r="B1236" s="4" t="s">
        <v>566</v>
      </c>
      <c r="C1236" s="4" t="s">
        <v>1628</v>
      </c>
      <c r="D1236" s="4" t="s">
        <v>2222</v>
      </c>
      <c r="E1236" s="6">
        <v>44050</v>
      </c>
      <c r="F1236" s="7">
        <v>-50</v>
      </c>
      <c r="G1236" s="7">
        <v>-37.58</v>
      </c>
      <c r="H1236" s="7">
        <v>0</v>
      </c>
    </row>
    <row r="1237" spans="1:8">
      <c r="A1237" s="4" t="s">
        <v>565</v>
      </c>
      <c r="B1237" s="4" t="s">
        <v>566</v>
      </c>
      <c r="C1237" s="4" t="s">
        <v>784</v>
      </c>
      <c r="D1237" s="4" t="s">
        <v>2223</v>
      </c>
      <c r="E1237" s="6">
        <v>44050</v>
      </c>
      <c r="F1237" s="7">
        <v>-1</v>
      </c>
      <c r="G1237" s="7">
        <v>0</v>
      </c>
      <c r="H1237" s="7">
        <v>0</v>
      </c>
    </row>
    <row r="1238" spans="1:8">
      <c r="A1238" s="4" t="s">
        <v>567</v>
      </c>
      <c r="B1238" s="4" t="s">
        <v>568</v>
      </c>
      <c r="C1238" s="4" t="s">
        <v>887</v>
      </c>
      <c r="D1238" s="4" t="s">
        <v>2224</v>
      </c>
      <c r="E1238" s="6">
        <v>44050</v>
      </c>
      <c r="F1238" s="7">
        <v>-150</v>
      </c>
      <c r="G1238" s="7">
        <v>-61.34</v>
      </c>
      <c r="H1238" s="7">
        <v>0</v>
      </c>
    </row>
    <row r="1239" spans="1:8">
      <c r="A1239" s="4" t="s">
        <v>567</v>
      </c>
      <c r="B1239" s="4" t="s">
        <v>568</v>
      </c>
      <c r="C1239" s="4" t="s">
        <v>976</v>
      </c>
      <c r="D1239" s="4" t="s">
        <v>2225</v>
      </c>
      <c r="E1239" s="6">
        <v>44050</v>
      </c>
      <c r="F1239" s="7">
        <v>-50</v>
      </c>
      <c r="G1239" s="7">
        <v>-40.89</v>
      </c>
      <c r="H1239" s="7">
        <v>0</v>
      </c>
    </row>
    <row r="1240" spans="1:8">
      <c r="A1240" s="4" t="s">
        <v>567</v>
      </c>
      <c r="B1240" s="4" t="s">
        <v>568</v>
      </c>
      <c r="C1240" s="4" t="s">
        <v>784</v>
      </c>
      <c r="D1240" s="4" t="s">
        <v>2226</v>
      </c>
      <c r="E1240" s="6">
        <v>44050</v>
      </c>
      <c r="F1240" s="7">
        <v>-1</v>
      </c>
      <c r="G1240" s="7">
        <v>0</v>
      </c>
      <c r="H1240" s="7">
        <v>0</v>
      </c>
    </row>
    <row r="1241" spans="1:8">
      <c r="A1241" s="4" t="s">
        <v>544</v>
      </c>
      <c r="B1241" s="4" t="s">
        <v>545</v>
      </c>
      <c r="C1241" s="4" t="s">
        <v>940</v>
      </c>
      <c r="D1241" s="4" t="s">
        <v>2227</v>
      </c>
      <c r="E1241" s="6">
        <v>44040</v>
      </c>
      <c r="F1241" s="7">
        <v>-3</v>
      </c>
      <c r="G1241" s="7">
        <v>-1.69</v>
      </c>
      <c r="H1241" s="7">
        <v>-0.01</v>
      </c>
    </row>
    <row r="1242" spans="1:8">
      <c r="A1242" s="4" t="s">
        <v>590</v>
      </c>
      <c r="B1242" s="4" t="s">
        <v>591</v>
      </c>
      <c r="C1242" s="4" t="s">
        <v>936</v>
      </c>
      <c r="D1242" s="4" t="s">
        <v>2228</v>
      </c>
      <c r="E1242" s="6">
        <v>44062</v>
      </c>
      <c r="F1242" s="7">
        <v>-100</v>
      </c>
      <c r="G1242" s="7">
        <v>-47.4</v>
      </c>
      <c r="H1242" s="7">
        <v>0</v>
      </c>
    </row>
    <row r="1243" spans="1:8">
      <c r="A1243" s="4" t="s">
        <v>590</v>
      </c>
      <c r="B1243" s="4" t="s">
        <v>591</v>
      </c>
      <c r="C1243" s="4" t="s">
        <v>942</v>
      </c>
      <c r="D1243" s="4" t="s">
        <v>2229</v>
      </c>
      <c r="E1243" s="6">
        <v>44062</v>
      </c>
      <c r="F1243" s="7">
        <v>-100</v>
      </c>
      <c r="G1243" s="7">
        <v>-100.42999999999999</v>
      </c>
      <c r="H1243" s="7">
        <v>0</v>
      </c>
    </row>
    <row r="1244" spans="1:8">
      <c r="A1244" s="4" t="s">
        <v>590</v>
      </c>
      <c r="B1244" s="4" t="s">
        <v>591</v>
      </c>
      <c r="C1244" s="4" t="s">
        <v>1969</v>
      </c>
      <c r="D1244" s="4" t="s">
        <v>2230</v>
      </c>
      <c r="E1244" s="6">
        <v>44062</v>
      </c>
      <c r="F1244" s="7">
        <v>-50</v>
      </c>
      <c r="G1244" s="7">
        <v>-52.38</v>
      </c>
      <c r="H1244" s="7">
        <v>0</v>
      </c>
    </row>
    <row r="1245" spans="1:8">
      <c r="A1245" s="4" t="s">
        <v>590</v>
      </c>
      <c r="B1245" s="4" t="s">
        <v>591</v>
      </c>
      <c r="C1245" s="4" t="s">
        <v>1143</v>
      </c>
      <c r="D1245" s="4" t="s">
        <v>2231</v>
      </c>
      <c r="E1245" s="6">
        <v>44062</v>
      </c>
      <c r="F1245" s="7">
        <v>-100</v>
      </c>
      <c r="G1245" s="7">
        <v>-41.09</v>
      </c>
      <c r="H1245" s="7">
        <v>0</v>
      </c>
    </row>
    <row r="1246" spans="1:8">
      <c r="A1246" s="4" t="s">
        <v>590</v>
      </c>
      <c r="B1246" s="4" t="s">
        <v>591</v>
      </c>
      <c r="C1246" s="4" t="s">
        <v>1149</v>
      </c>
      <c r="D1246" s="4" t="s">
        <v>2232</v>
      </c>
      <c r="E1246" s="6">
        <v>44062</v>
      </c>
      <c r="F1246" s="7">
        <v>-50</v>
      </c>
      <c r="G1246" s="7">
        <v>-43.5</v>
      </c>
      <c r="H1246" s="7">
        <v>0</v>
      </c>
    </row>
    <row r="1247" spans="1:8">
      <c r="A1247" s="4" t="s">
        <v>590</v>
      </c>
      <c r="B1247" s="4" t="s">
        <v>591</v>
      </c>
      <c r="C1247" s="4" t="s">
        <v>1516</v>
      </c>
      <c r="D1247" s="4" t="s">
        <v>2233</v>
      </c>
      <c r="E1247" s="6">
        <v>44062</v>
      </c>
      <c r="F1247" s="7">
        <v>-100</v>
      </c>
      <c r="G1247" s="7">
        <v>-111.22</v>
      </c>
      <c r="H1247" s="7">
        <v>-0.01</v>
      </c>
    </row>
    <row r="1248" spans="1:8">
      <c r="A1248" s="4" t="s">
        <v>590</v>
      </c>
      <c r="B1248" s="4" t="s">
        <v>591</v>
      </c>
      <c r="C1248" s="4" t="s">
        <v>2234</v>
      </c>
      <c r="D1248" s="4" t="s">
        <v>2235</v>
      </c>
      <c r="E1248" s="6">
        <v>44062</v>
      </c>
      <c r="F1248" s="7">
        <v>-41</v>
      </c>
      <c r="G1248" s="7">
        <v>-14.51</v>
      </c>
      <c r="H1248" s="7">
        <v>0.01</v>
      </c>
    </row>
    <row r="1249" spans="1:8">
      <c r="A1249" s="4" t="s">
        <v>590</v>
      </c>
      <c r="B1249" s="4" t="s">
        <v>591</v>
      </c>
      <c r="C1249" s="4" t="s">
        <v>1739</v>
      </c>
      <c r="D1249" s="4" t="s">
        <v>2236</v>
      </c>
      <c r="E1249" s="6">
        <v>44062</v>
      </c>
      <c r="F1249" s="7">
        <v>-68</v>
      </c>
      <c r="G1249" s="7">
        <v>-25.29</v>
      </c>
      <c r="H1249" s="7">
        <v>0</v>
      </c>
    </row>
    <row r="1250" spans="1:8">
      <c r="A1250" s="4" t="s">
        <v>590</v>
      </c>
      <c r="B1250" s="4" t="s">
        <v>591</v>
      </c>
      <c r="C1250" s="4" t="s">
        <v>784</v>
      </c>
      <c r="D1250" s="4" t="s">
        <v>2237</v>
      </c>
      <c r="E1250" s="6">
        <v>44062</v>
      </c>
      <c r="F1250" s="7">
        <v>-1</v>
      </c>
      <c r="G1250" s="7">
        <v>0</v>
      </c>
      <c r="H1250" s="7">
        <v>0</v>
      </c>
    </row>
    <row r="1251" spans="1:8">
      <c r="A1251" s="4" t="s">
        <v>590</v>
      </c>
      <c r="B1251" s="4" t="s">
        <v>591</v>
      </c>
      <c r="C1251" s="4" t="s">
        <v>1151</v>
      </c>
      <c r="D1251" s="4" t="s">
        <v>2238</v>
      </c>
      <c r="E1251" s="6">
        <v>44062</v>
      </c>
      <c r="F1251" s="7">
        <v>-50</v>
      </c>
      <c r="G1251" s="7">
        <v>-45</v>
      </c>
      <c r="H1251" s="7">
        <v>0</v>
      </c>
    </row>
    <row r="1252" spans="1:8">
      <c r="A1252" s="4" t="s">
        <v>555</v>
      </c>
      <c r="B1252" s="4" t="s">
        <v>556</v>
      </c>
      <c r="C1252" s="4" t="s">
        <v>875</v>
      </c>
      <c r="D1252" s="4" t="s">
        <v>2239</v>
      </c>
      <c r="E1252" s="6">
        <v>44046</v>
      </c>
      <c r="F1252" s="7">
        <v>-50</v>
      </c>
      <c r="G1252" s="7">
        <v>-22.81</v>
      </c>
      <c r="H1252" s="7">
        <v>0.01</v>
      </c>
    </row>
    <row r="1253" spans="1:8">
      <c r="A1253" s="4" t="s">
        <v>555</v>
      </c>
      <c r="B1253" s="4" t="s">
        <v>556</v>
      </c>
      <c r="C1253" s="4" t="s">
        <v>1028</v>
      </c>
      <c r="D1253" s="4" t="s">
        <v>2240</v>
      </c>
      <c r="E1253" s="6">
        <v>44046</v>
      </c>
      <c r="F1253" s="7">
        <v>-550</v>
      </c>
      <c r="G1253" s="7">
        <v>-525.97</v>
      </c>
      <c r="H1253" s="7">
        <v>0</v>
      </c>
    </row>
    <row r="1254" spans="1:8">
      <c r="A1254" s="4" t="s">
        <v>555</v>
      </c>
      <c r="B1254" s="4" t="s">
        <v>556</v>
      </c>
      <c r="C1254" s="4" t="s">
        <v>1165</v>
      </c>
      <c r="D1254" s="4" t="s">
        <v>2241</v>
      </c>
      <c r="E1254" s="6">
        <v>44046</v>
      </c>
      <c r="F1254" s="7">
        <v>-50</v>
      </c>
      <c r="G1254" s="7">
        <v>-45.32</v>
      </c>
      <c r="H1254" s="7">
        <v>0</v>
      </c>
    </row>
    <row r="1255" spans="1:8">
      <c r="A1255" s="4" t="s">
        <v>555</v>
      </c>
      <c r="B1255" s="4" t="s">
        <v>556</v>
      </c>
      <c r="C1255" s="4" t="s">
        <v>784</v>
      </c>
      <c r="D1255" s="4" t="s">
        <v>2242</v>
      </c>
      <c r="E1255" s="6">
        <v>44046</v>
      </c>
      <c r="F1255" s="7">
        <v>-1</v>
      </c>
      <c r="G1255" s="7">
        <v>0</v>
      </c>
      <c r="H1255" s="7">
        <v>0</v>
      </c>
    </row>
    <row r="1256" spans="1:8">
      <c r="A1256" s="4" t="s">
        <v>590</v>
      </c>
      <c r="B1256" s="4" t="s">
        <v>591</v>
      </c>
      <c r="C1256" s="4" t="s">
        <v>1129</v>
      </c>
      <c r="D1256" s="4" t="s">
        <v>2243</v>
      </c>
      <c r="E1256" s="6">
        <v>44062</v>
      </c>
      <c r="F1256" s="7">
        <v>-400</v>
      </c>
      <c r="G1256" s="7">
        <v>-72.09</v>
      </c>
      <c r="H1256" s="7">
        <v>0</v>
      </c>
    </row>
    <row r="1257" spans="1:8">
      <c r="A1257" s="4" t="s">
        <v>600</v>
      </c>
      <c r="B1257" s="4" t="s">
        <v>601</v>
      </c>
      <c r="C1257" s="4" t="s">
        <v>1628</v>
      </c>
      <c r="D1257" s="4" t="s">
        <v>2244</v>
      </c>
      <c r="E1257" s="6">
        <v>44068</v>
      </c>
      <c r="F1257" s="7">
        <v>-200</v>
      </c>
      <c r="G1257" s="7">
        <v>-150.32999999999998</v>
      </c>
      <c r="H1257" s="7">
        <v>0</v>
      </c>
    </row>
    <row r="1258" spans="1:8">
      <c r="A1258" s="4" t="s">
        <v>600</v>
      </c>
      <c r="B1258" s="4" t="s">
        <v>601</v>
      </c>
      <c r="C1258" s="4" t="s">
        <v>976</v>
      </c>
      <c r="D1258" s="4" t="s">
        <v>2245</v>
      </c>
      <c r="E1258" s="6">
        <v>44068</v>
      </c>
      <c r="F1258" s="7">
        <v>-400</v>
      </c>
      <c r="G1258" s="7">
        <v>-327.15999999999997</v>
      </c>
      <c r="H1258" s="7">
        <v>0</v>
      </c>
    </row>
    <row r="1259" spans="1:8">
      <c r="A1259" s="4" t="s">
        <v>600</v>
      </c>
      <c r="B1259" s="4" t="s">
        <v>601</v>
      </c>
      <c r="C1259" s="4" t="s">
        <v>813</v>
      </c>
      <c r="D1259" s="4" t="s">
        <v>2246</v>
      </c>
      <c r="E1259" s="6">
        <v>44068</v>
      </c>
      <c r="F1259" s="7">
        <v>-50</v>
      </c>
      <c r="G1259" s="7">
        <v>-56.45</v>
      </c>
      <c r="H1259" s="7">
        <v>0</v>
      </c>
    </row>
    <row r="1260" spans="1:8">
      <c r="A1260" s="4" t="s">
        <v>600</v>
      </c>
      <c r="B1260" s="4" t="s">
        <v>601</v>
      </c>
      <c r="C1260" s="4" t="s">
        <v>1298</v>
      </c>
      <c r="D1260" s="4" t="s">
        <v>2247</v>
      </c>
      <c r="E1260" s="6">
        <v>44068</v>
      </c>
      <c r="F1260" s="7">
        <v>-200</v>
      </c>
      <c r="G1260" s="7">
        <v>-292.52</v>
      </c>
      <c r="H1260" s="7">
        <v>0</v>
      </c>
    </row>
    <row r="1261" spans="1:8">
      <c r="A1261" s="4" t="s">
        <v>600</v>
      </c>
      <c r="B1261" s="4" t="s">
        <v>601</v>
      </c>
      <c r="C1261" s="4" t="s">
        <v>2248</v>
      </c>
      <c r="D1261" s="4" t="s">
        <v>2249</v>
      </c>
      <c r="E1261" s="6">
        <v>44068</v>
      </c>
      <c r="F1261" s="7">
        <v>-150</v>
      </c>
      <c r="G1261" s="7">
        <v>-223.51999999999998</v>
      </c>
      <c r="H1261" s="7">
        <v>0</v>
      </c>
    </row>
    <row r="1262" spans="1:8">
      <c r="A1262" s="4" t="s">
        <v>600</v>
      </c>
      <c r="B1262" s="4" t="s">
        <v>601</v>
      </c>
      <c r="C1262" s="4" t="s">
        <v>1104</v>
      </c>
      <c r="D1262" s="4" t="s">
        <v>2250</v>
      </c>
      <c r="E1262" s="6">
        <v>44068</v>
      </c>
      <c r="F1262" s="7">
        <v>-200</v>
      </c>
      <c r="G1262" s="7">
        <v>-274.08000000000004</v>
      </c>
      <c r="H1262" s="7">
        <v>0</v>
      </c>
    </row>
    <row r="1263" spans="1:8">
      <c r="A1263" s="4" t="s">
        <v>600</v>
      </c>
      <c r="B1263" s="4" t="s">
        <v>601</v>
      </c>
      <c r="C1263" s="4" t="s">
        <v>1106</v>
      </c>
      <c r="D1263" s="4" t="s">
        <v>2251</v>
      </c>
      <c r="E1263" s="6">
        <v>44068</v>
      </c>
      <c r="F1263" s="7">
        <v>-300</v>
      </c>
      <c r="G1263" s="7">
        <v>-410.86</v>
      </c>
      <c r="H1263" s="7">
        <v>0</v>
      </c>
    </row>
    <row r="1264" spans="1:8">
      <c r="A1264" s="4" t="s">
        <v>600</v>
      </c>
      <c r="B1264" s="4" t="s">
        <v>601</v>
      </c>
      <c r="C1264" s="4" t="s">
        <v>2252</v>
      </c>
      <c r="D1264" s="4" t="s">
        <v>2253</v>
      </c>
      <c r="E1264" s="6">
        <v>44068</v>
      </c>
      <c r="F1264" s="7">
        <v>-50</v>
      </c>
      <c r="G1264" s="7">
        <v>-127.05</v>
      </c>
      <c r="H1264" s="7">
        <v>0</v>
      </c>
    </row>
    <row r="1265" spans="1:8">
      <c r="A1265" s="4" t="s">
        <v>600</v>
      </c>
      <c r="B1265" s="4" t="s">
        <v>601</v>
      </c>
      <c r="C1265" s="4" t="s">
        <v>2254</v>
      </c>
      <c r="D1265" s="4" t="s">
        <v>2255</v>
      </c>
      <c r="E1265" s="6">
        <v>44068</v>
      </c>
      <c r="F1265" s="7">
        <v>-75</v>
      </c>
      <c r="G1265" s="7">
        <v>-103.39000000000001</v>
      </c>
      <c r="H1265" s="7">
        <v>0</v>
      </c>
    </row>
    <row r="1266" spans="1:8">
      <c r="A1266" s="4" t="s">
        <v>600</v>
      </c>
      <c r="B1266" s="4" t="s">
        <v>601</v>
      </c>
      <c r="C1266" s="4" t="s">
        <v>1640</v>
      </c>
      <c r="D1266" s="4" t="s">
        <v>2256</v>
      </c>
      <c r="E1266" s="6">
        <v>44068</v>
      </c>
      <c r="F1266" s="7">
        <v>-75</v>
      </c>
      <c r="G1266" s="7">
        <v>-170.75</v>
      </c>
      <c r="H1266" s="7">
        <v>0</v>
      </c>
    </row>
    <row r="1267" spans="1:8">
      <c r="A1267" s="4" t="s">
        <v>600</v>
      </c>
      <c r="B1267" s="4" t="s">
        <v>601</v>
      </c>
      <c r="C1267" s="4" t="s">
        <v>784</v>
      </c>
      <c r="D1267" s="4" t="s">
        <v>2257</v>
      </c>
      <c r="E1267" s="6">
        <v>44068</v>
      </c>
      <c r="F1267" s="7">
        <v>-1</v>
      </c>
      <c r="G1267" s="7">
        <v>0</v>
      </c>
      <c r="H1267" s="7">
        <v>0</v>
      </c>
    </row>
    <row r="1268" spans="1:8">
      <c r="A1268" s="4" t="s">
        <v>576</v>
      </c>
      <c r="B1268" s="4" t="s">
        <v>577</v>
      </c>
      <c r="C1268" s="4" t="s">
        <v>1537</v>
      </c>
      <c r="D1268" s="4" t="s">
        <v>2258</v>
      </c>
      <c r="E1268" s="6">
        <v>44056</v>
      </c>
      <c r="F1268" s="7">
        <v>-1</v>
      </c>
      <c r="G1268" s="7">
        <v>-7.07</v>
      </c>
      <c r="H1268" s="7">
        <v>0</v>
      </c>
    </row>
    <row r="1269" spans="1:8">
      <c r="A1269" s="4" t="s">
        <v>576</v>
      </c>
      <c r="B1269" s="4" t="s">
        <v>577</v>
      </c>
      <c r="C1269" s="4" t="s">
        <v>840</v>
      </c>
      <c r="D1269" s="4" t="s">
        <v>2259</v>
      </c>
      <c r="E1269" s="6">
        <v>44056</v>
      </c>
      <c r="F1269" s="7">
        <v>-1</v>
      </c>
      <c r="G1269" s="7">
        <v>0</v>
      </c>
      <c r="H1269" s="7">
        <v>0</v>
      </c>
    </row>
    <row r="1270" spans="1:8">
      <c r="A1270" s="4" t="s">
        <v>576</v>
      </c>
      <c r="B1270" s="4" t="s">
        <v>577</v>
      </c>
      <c r="C1270" s="4" t="s">
        <v>784</v>
      </c>
      <c r="D1270" s="4" t="s">
        <v>2260</v>
      </c>
      <c r="E1270" s="6">
        <v>44056</v>
      </c>
      <c r="F1270" s="7">
        <v>-1</v>
      </c>
      <c r="G1270" s="7">
        <v>0</v>
      </c>
      <c r="H1270" s="7">
        <v>0</v>
      </c>
    </row>
    <row r="1271" spans="1:8">
      <c r="A1271" s="4" t="s">
        <v>562</v>
      </c>
      <c r="B1271" s="4" t="s">
        <v>563</v>
      </c>
      <c r="C1271" s="4" t="s">
        <v>979</v>
      </c>
      <c r="D1271" s="4" t="s">
        <v>2261</v>
      </c>
      <c r="E1271" s="6">
        <v>44050</v>
      </c>
      <c r="F1271" s="7">
        <v>-20</v>
      </c>
      <c r="G1271" s="7">
        <v>-25.01</v>
      </c>
      <c r="H1271" s="7">
        <v>0</v>
      </c>
    </row>
    <row r="1272" spans="1:8">
      <c r="A1272" s="4" t="s">
        <v>562</v>
      </c>
      <c r="B1272" s="4" t="s">
        <v>563</v>
      </c>
      <c r="C1272" s="4" t="s">
        <v>784</v>
      </c>
      <c r="D1272" s="4" t="s">
        <v>2262</v>
      </c>
      <c r="E1272" s="6">
        <v>44050</v>
      </c>
      <c r="F1272" s="7">
        <v>-1</v>
      </c>
      <c r="G1272" s="7">
        <v>0</v>
      </c>
      <c r="H1272" s="7">
        <v>0</v>
      </c>
    </row>
    <row r="1273" spans="1:8">
      <c r="A1273" s="4" t="s">
        <v>574</v>
      </c>
      <c r="B1273" s="4" t="s">
        <v>575</v>
      </c>
      <c r="C1273" s="4" t="s">
        <v>949</v>
      </c>
      <c r="D1273" s="4" t="s">
        <v>2263</v>
      </c>
      <c r="E1273" s="6">
        <v>44056</v>
      </c>
      <c r="F1273" s="7">
        <v>-150</v>
      </c>
      <c r="G1273" s="7">
        <v>-54.07</v>
      </c>
      <c r="H1273" s="7">
        <v>0</v>
      </c>
    </row>
    <row r="1274" spans="1:8">
      <c r="A1274" s="4" t="s">
        <v>574</v>
      </c>
      <c r="B1274" s="4" t="s">
        <v>575</v>
      </c>
      <c r="C1274" s="4" t="s">
        <v>1168</v>
      </c>
      <c r="D1274" s="4" t="s">
        <v>2264</v>
      </c>
      <c r="E1274" s="6">
        <v>44056</v>
      </c>
      <c r="F1274" s="7">
        <v>-150</v>
      </c>
      <c r="G1274" s="7">
        <v>-121.47999999999999</v>
      </c>
      <c r="H1274" s="7">
        <v>0</v>
      </c>
    </row>
    <row r="1275" spans="1:8">
      <c r="A1275" s="4" t="s">
        <v>574</v>
      </c>
      <c r="B1275" s="4" t="s">
        <v>575</v>
      </c>
      <c r="C1275" s="4" t="s">
        <v>1581</v>
      </c>
      <c r="D1275" s="4" t="s">
        <v>2265</v>
      </c>
      <c r="E1275" s="6">
        <v>44056</v>
      </c>
      <c r="F1275" s="7">
        <v>-50</v>
      </c>
      <c r="G1275" s="7">
        <v>-65.53</v>
      </c>
      <c r="H1275" s="7">
        <v>0</v>
      </c>
    </row>
    <row r="1276" spans="1:8">
      <c r="A1276" s="4" t="s">
        <v>574</v>
      </c>
      <c r="B1276" s="4" t="s">
        <v>575</v>
      </c>
      <c r="C1276" s="4" t="s">
        <v>966</v>
      </c>
      <c r="D1276" s="4" t="s">
        <v>2266</v>
      </c>
      <c r="E1276" s="6">
        <v>44056</v>
      </c>
      <c r="F1276" s="7">
        <v>-100</v>
      </c>
      <c r="G1276" s="7">
        <v>-53.77</v>
      </c>
      <c r="H1276" s="7">
        <v>0</v>
      </c>
    </row>
    <row r="1277" spans="1:8">
      <c r="A1277" s="4" t="s">
        <v>574</v>
      </c>
      <c r="B1277" s="4" t="s">
        <v>575</v>
      </c>
      <c r="C1277" s="4" t="s">
        <v>1232</v>
      </c>
      <c r="D1277" s="4" t="s">
        <v>2267</v>
      </c>
      <c r="E1277" s="6">
        <v>44056</v>
      </c>
      <c r="F1277" s="7">
        <v>-100</v>
      </c>
      <c r="G1277" s="7">
        <v>-458.65</v>
      </c>
      <c r="H1277" s="7">
        <v>0.01</v>
      </c>
    </row>
    <row r="1278" spans="1:8">
      <c r="A1278" s="4" t="s">
        <v>574</v>
      </c>
      <c r="B1278" s="4" t="s">
        <v>575</v>
      </c>
      <c r="C1278" s="4" t="s">
        <v>1146</v>
      </c>
      <c r="D1278" s="4" t="s">
        <v>2268</v>
      </c>
      <c r="E1278" s="6">
        <v>44056</v>
      </c>
      <c r="F1278" s="7">
        <v>-100</v>
      </c>
      <c r="G1278" s="7">
        <v>-80.3</v>
      </c>
      <c r="H1278" s="7">
        <v>-0.01</v>
      </c>
    </row>
    <row r="1279" spans="1:8">
      <c r="A1279" s="4" t="s">
        <v>574</v>
      </c>
      <c r="B1279" s="4" t="s">
        <v>575</v>
      </c>
      <c r="C1279" s="4" t="s">
        <v>784</v>
      </c>
      <c r="D1279" s="4" t="s">
        <v>2269</v>
      </c>
      <c r="E1279" s="6">
        <v>44056</v>
      </c>
      <c r="F1279" s="7">
        <v>-1</v>
      </c>
      <c r="G1279" s="7">
        <v>0</v>
      </c>
      <c r="H1279" s="7">
        <v>0</v>
      </c>
    </row>
    <row r="1280" spans="1:8">
      <c r="A1280" s="4" t="s">
        <v>588</v>
      </c>
      <c r="B1280" s="4" t="s">
        <v>589</v>
      </c>
      <c r="C1280" s="4" t="s">
        <v>970</v>
      </c>
      <c r="D1280" s="4" t="s">
        <v>2270</v>
      </c>
      <c r="E1280" s="6">
        <v>44060</v>
      </c>
      <c r="F1280" s="7">
        <v>-750</v>
      </c>
      <c r="G1280" s="7">
        <v>-2148.4899999999998</v>
      </c>
      <c r="H1280" s="7">
        <v>0</v>
      </c>
    </row>
    <row r="1281" spans="1:8">
      <c r="A1281" s="4" t="s">
        <v>588</v>
      </c>
      <c r="B1281" s="4" t="s">
        <v>589</v>
      </c>
      <c r="C1281" s="4" t="s">
        <v>968</v>
      </c>
      <c r="D1281" s="4" t="s">
        <v>2271</v>
      </c>
      <c r="E1281" s="6">
        <v>44060</v>
      </c>
      <c r="F1281" s="7">
        <v>-50</v>
      </c>
      <c r="G1281" s="7">
        <v>-446.46999999999997</v>
      </c>
      <c r="H1281" s="7">
        <v>0</v>
      </c>
    </row>
    <row r="1282" spans="1:8">
      <c r="A1282" s="4" t="s">
        <v>588</v>
      </c>
      <c r="B1282" s="4" t="s">
        <v>589</v>
      </c>
      <c r="C1282" s="4" t="s">
        <v>2272</v>
      </c>
      <c r="D1282" s="4" t="s">
        <v>2273</v>
      </c>
      <c r="E1282" s="6">
        <v>44060</v>
      </c>
      <c r="F1282" s="7">
        <v>-290</v>
      </c>
      <c r="G1282" s="7">
        <v>-2411.64</v>
      </c>
      <c r="H1282" s="7">
        <v>0</v>
      </c>
    </row>
    <row r="1283" spans="1:8">
      <c r="A1283" s="4" t="s">
        <v>588</v>
      </c>
      <c r="B1283" s="4" t="s">
        <v>589</v>
      </c>
      <c r="C1283" s="4" t="s">
        <v>968</v>
      </c>
      <c r="D1283" s="4" t="s">
        <v>2274</v>
      </c>
      <c r="E1283" s="6">
        <v>44060</v>
      </c>
      <c r="F1283" s="7">
        <v>-150</v>
      </c>
      <c r="G1283" s="7">
        <v>-1339.42</v>
      </c>
      <c r="H1283" s="7">
        <v>0</v>
      </c>
    </row>
    <row r="1284" spans="1:8">
      <c r="A1284" s="4" t="s">
        <v>588</v>
      </c>
      <c r="B1284" s="4" t="s">
        <v>589</v>
      </c>
      <c r="C1284" s="4" t="s">
        <v>968</v>
      </c>
      <c r="D1284" s="4" t="s">
        <v>2275</v>
      </c>
      <c r="E1284" s="6">
        <v>44060</v>
      </c>
      <c r="F1284" s="7">
        <v>-250</v>
      </c>
      <c r="G1284" s="7">
        <v>-2232.37</v>
      </c>
      <c r="H1284" s="7">
        <v>0</v>
      </c>
    </row>
    <row r="1285" spans="1:8">
      <c r="A1285" s="4" t="s">
        <v>588</v>
      </c>
      <c r="B1285" s="4" t="s">
        <v>589</v>
      </c>
      <c r="C1285" s="4" t="s">
        <v>968</v>
      </c>
      <c r="D1285" s="4" t="s">
        <v>2276</v>
      </c>
      <c r="E1285" s="6">
        <v>44060</v>
      </c>
      <c r="F1285" s="7">
        <v>-200</v>
      </c>
      <c r="G1285" s="7">
        <v>-1785.89</v>
      </c>
      <c r="H1285" s="7">
        <v>0</v>
      </c>
    </row>
    <row r="1286" spans="1:8">
      <c r="A1286" s="4" t="s">
        <v>588</v>
      </c>
      <c r="B1286" s="4" t="s">
        <v>589</v>
      </c>
      <c r="C1286" s="4" t="s">
        <v>968</v>
      </c>
      <c r="D1286" s="4" t="s">
        <v>2277</v>
      </c>
      <c r="E1286" s="6">
        <v>44060</v>
      </c>
      <c r="F1286" s="7">
        <v>-80</v>
      </c>
      <c r="G1286" s="7">
        <v>-714.36</v>
      </c>
      <c r="H1286" s="7">
        <v>0</v>
      </c>
    </row>
    <row r="1287" spans="1:8">
      <c r="A1287" s="4" t="s">
        <v>588</v>
      </c>
      <c r="B1287" s="4" t="s">
        <v>589</v>
      </c>
      <c r="C1287" s="4" t="s">
        <v>784</v>
      </c>
      <c r="D1287" s="4" t="s">
        <v>2278</v>
      </c>
      <c r="E1287" s="6">
        <v>44060</v>
      </c>
      <c r="F1287" s="7">
        <v>-1</v>
      </c>
      <c r="G1287" s="7">
        <v>0</v>
      </c>
      <c r="H1287" s="7">
        <v>0</v>
      </c>
    </row>
    <row r="1288" spans="1:8">
      <c r="A1288" s="4" t="s">
        <v>586</v>
      </c>
      <c r="B1288" s="4" t="s">
        <v>587</v>
      </c>
      <c r="C1288" s="4" t="s">
        <v>889</v>
      </c>
      <c r="D1288" s="4" t="s">
        <v>2279</v>
      </c>
      <c r="E1288" s="6">
        <v>44060</v>
      </c>
      <c r="F1288" s="7">
        <v>-10</v>
      </c>
      <c r="G1288" s="7">
        <v>-4.4700000000000006</v>
      </c>
      <c r="H1288" s="7">
        <v>0</v>
      </c>
    </row>
    <row r="1289" spans="1:8">
      <c r="A1289" s="4" t="s">
        <v>586</v>
      </c>
      <c r="B1289" s="4" t="s">
        <v>587</v>
      </c>
      <c r="C1289" s="4" t="s">
        <v>952</v>
      </c>
      <c r="D1289" s="4" t="s">
        <v>2280</v>
      </c>
      <c r="E1289" s="6">
        <v>44060</v>
      </c>
      <c r="F1289" s="7">
        <v>-20</v>
      </c>
      <c r="G1289" s="7">
        <v>-13.23</v>
      </c>
      <c r="H1289" s="7">
        <v>0</v>
      </c>
    </row>
    <row r="1290" spans="1:8">
      <c r="A1290" s="4" t="s">
        <v>586</v>
      </c>
      <c r="B1290" s="4" t="s">
        <v>587</v>
      </c>
      <c r="C1290" s="4" t="s">
        <v>1011</v>
      </c>
      <c r="D1290" s="4" t="s">
        <v>2281</v>
      </c>
      <c r="E1290" s="6">
        <v>44060</v>
      </c>
      <c r="F1290" s="7">
        <v>-10</v>
      </c>
      <c r="G1290" s="7">
        <v>-6.13</v>
      </c>
      <c r="H1290" s="7">
        <v>0</v>
      </c>
    </row>
    <row r="1291" spans="1:8">
      <c r="A1291" s="4" t="s">
        <v>586</v>
      </c>
      <c r="B1291" s="4" t="s">
        <v>587</v>
      </c>
      <c r="C1291" s="4" t="s">
        <v>877</v>
      </c>
      <c r="D1291" s="4" t="s">
        <v>2282</v>
      </c>
      <c r="E1291" s="6">
        <v>44060</v>
      </c>
      <c r="F1291" s="7">
        <v>-5</v>
      </c>
      <c r="G1291" s="7">
        <v>-3.54</v>
      </c>
      <c r="H1291" s="7">
        <v>0</v>
      </c>
    </row>
    <row r="1292" spans="1:8">
      <c r="A1292" s="4" t="s">
        <v>586</v>
      </c>
      <c r="B1292" s="4" t="s">
        <v>587</v>
      </c>
      <c r="C1292" s="4" t="s">
        <v>1015</v>
      </c>
      <c r="D1292" s="4" t="s">
        <v>2283</v>
      </c>
      <c r="E1292" s="6">
        <v>44060</v>
      </c>
      <c r="F1292" s="7">
        <v>-5</v>
      </c>
      <c r="G1292" s="7">
        <v>-4.63</v>
      </c>
      <c r="H1292" s="7">
        <v>0</v>
      </c>
    </row>
    <row r="1293" spans="1:8">
      <c r="A1293" s="4" t="s">
        <v>586</v>
      </c>
      <c r="B1293" s="4" t="s">
        <v>587</v>
      </c>
      <c r="C1293" s="4" t="s">
        <v>993</v>
      </c>
      <c r="D1293" s="4" t="s">
        <v>2284</v>
      </c>
      <c r="E1293" s="6">
        <v>44060</v>
      </c>
      <c r="F1293" s="7">
        <v>-20</v>
      </c>
      <c r="G1293" s="7">
        <v>-7.06</v>
      </c>
      <c r="H1293" s="7">
        <v>0</v>
      </c>
    </row>
    <row r="1294" spans="1:8">
      <c r="A1294" s="4" t="s">
        <v>586</v>
      </c>
      <c r="B1294" s="4" t="s">
        <v>587</v>
      </c>
      <c r="C1294" s="4" t="s">
        <v>873</v>
      </c>
      <c r="D1294" s="4" t="s">
        <v>2285</v>
      </c>
      <c r="E1294" s="6">
        <v>44060</v>
      </c>
      <c r="F1294" s="7">
        <v>-25</v>
      </c>
      <c r="G1294" s="7">
        <v>-10.119999999999999</v>
      </c>
      <c r="H1294" s="7">
        <v>0</v>
      </c>
    </row>
    <row r="1295" spans="1:8">
      <c r="A1295" s="4" t="s">
        <v>586</v>
      </c>
      <c r="B1295" s="4" t="s">
        <v>587</v>
      </c>
      <c r="C1295" s="4" t="s">
        <v>936</v>
      </c>
      <c r="D1295" s="4" t="s">
        <v>2286</v>
      </c>
      <c r="E1295" s="6">
        <v>44060</v>
      </c>
      <c r="F1295" s="7">
        <v>-15</v>
      </c>
      <c r="G1295" s="7">
        <v>-7.1099999999999994</v>
      </c>
      <c r="H1295" s="7">
        <v>0</v>
      </c>
    </row>
    <row r="1296" spans="1:8">
      <c r="A1296" s="4" t="s">
        <v>586</v>
      </c>
      <c r="B1296" s="4" t="s">
        <v>587</v>
      </c>
      <c r="C1296" s="4" t="s">
        <v>940</v>
      </c>
      <c r="D1296" s="4" t="s">
        <v>2287</v>
      </c>
      <c r="E1296" s="6">
        <v>44060</v>
      </c>
      <c r="F1296" s="7">
        <v>-10</v>
      </c>
      <c r="G1296" s="7">
        <v>-5.64</v>
      </c>
      <c r="H1296" s="7">
        <v>-0.01</v>
      </c>
    </row>
    <row r="1297" spans="1:8">
      <c r="A1297" s="4" t="s">
        <v>586</v>
      </c>
      <c r="B1297" s="4" t="s">
        <v>587</v>
      </c>
      <c r="C1297" s="4" t="s">
        <v>942</v>
      </c>
      <c r="D1297" s="4" t="s">
        <v>2288</v>
      </c>
      <c r="E1297" s="6">
        <v>44060</v>
      </c>
      <c r="F1297" s="7">
        <v>-10</v>
      </c>
      <c r="G1297" s="7">
        <v>-10.039999999999999</v>
      </c>
      <c r="H1297" s="7">
        <v>0</v>
      </c>
    </row>
    <row r="1298" spans="1:8">
      <c r="A1298" s="4" t="s">
        <v>586</v>
      </c>
      <c r="B1298" s="4" t="s">
        <v>587</v>
      </c>
      <c r="C1298" s="4" t="s">
        <v>979</v>
      </c>
      <c r="D1298" s="4" t="s">
        <v>2289</v>
      </c>
      <c r="E1298" s="6">
        <v>44060</v>
      </c>
      <c r="F1298" s="7">
        <v>-10</v>
      </c>
      <c r="G1298" s="7">
        <v>-12.51</v>
      </c>
      <c r="H1298" s="7">
        <v>0</v>
      </c>
    </row>
    <row r="1299" spans="1:8">
      <c r="A1299" s="4" t="s">
        <v>586</v>
      </c>
      <c r="B1299" s="4" t="s">
        <v>587</v>
      </c>
      <c r="C1299" s="4" t="s">
        <v>1126</v>
      </c>
      <c r="D1299" s="4" t="s">
        <v>2290</v>
      </c>
      <c r="E1299" s="6">
        <v>44060</v>
      </c>
      <c r="F1299" s="7">
        <v>-5</v>
      </c>
      <c r="G1299" s="7">
        <v>-7.0400000000000009</v>
      </c>
      <c r="H1299" s="7">
        <v>-0.01</v>
      </c>
    </row>
    <row r="1300" spans="1:8">
      <c r="A1300" s="4" t="s">
        <v>586</v>
      </c>
      <c r="B1300" s="4" t="s">
        <v>587</v>
      </c>
      <c r="C1300" s="4" t="s">
        <v>1063</v>
      </c>
      <c r="D1300" s="4" t="s">
        <v>2291</v>
      </c>
      <c r="E1300" s="6">
        <v>44060</v>
      </c>
      <c r="F1300" s="7">
        <v>-25</v>
      </c>
      <c r="G1300" s="7">
        <v>-17.13</v>
      </c>
      <c r="H1300" s="7">
        <v>0</v>
      </c>
    </row>
    <row r="1301" spans="1:8">
      <c r="A1301" s="4" t="s">
        <v>586</v>
      </c>
      <c r="B1301" s="4" t="s">
        <v>587</v>
      </c>
      <c r="C1301" s="4" t="s">
        <v>1026</v>
      </c>
      <c r="D1301" s="4" t="s">
        <v>2292</v>
      </c>
      <c r="E1301" s="6">
        <v>44060</v>
      </c>
      <c r="F1301" s="7">
        <v>-25</v>
      </c>
      <c r="G1301" s="7">
        <v>-17.12</v>
      </c>
      <c r="H1301" s="7">
        <v>0</v>
      </c>
    </row>
    <row r="1302" spans="1:8">
      <c r="A1302" s="4" t="s">
        <v>586</v>
      </c>
      <c r="B1302" s="4" t="s">
        <v>587</v>
      </c>
      <c r="C1302" s="4" t="s">
        <v>1146</v>
      </c>
      <c r="D1302" s="4" t="s">
        <v>2293</v>
      </c>
      <c r="E1302" s="6">
        <v>44060</v>
      </c>
      <c r="F1302" s="7">
        <v>-15</v>
      </c>
      <c r="G1302" s="7">
        <v>-12.05</v>
      </c>
      <c r="H1302" s="7">
        <v>0.01</v>
      </c>
    </row>
    <row r="1303" spans="1:8">
      <c r="A1303" s="4" t="s">
        <v>586</v>
      </c>
      <c r="B1303" s="4" t="s">
        <v>587</v>
      </c>
      <c r="C1303" s="4" t="s">
        <v>1028</v>
      </c>
      <c r="D1303" s="4" t="s">
        <v>2294</v>
      </c>
      <c r="E1303" s="6">
        <v>44060</v>
      </c>
      <c r="F1303" s="7">
        <v>-20</v>
      </c>
      <c r="G1303" s="7">
        <v>-19.13</v>
      </c>
      <c r="H1303" s="7">
        <v>0.01</v>
      </c>
    </row>
    <row r="1304" spans="1:8">
      <c r="A1304" s="4" t="s">
        <v>586</v>
      </c>
      <c r="B1304" s="4" t="s">
        <v>587</v>
      </c>
      <c r="C1304" s="4" t="s">
        <v>851</v>
      </c>
      <c r="D1304" s="4" t="s">
        <v>2295</v>
      </c>
      <c r="E1304" s="6">
        <v>44060</v>
      </c>
      <c r="F1304" s="7">
        <v>-20</v>
      </c>
      <c r="G1304" s="7">
        <v>-30.77</v>
      </c>
      <c r="H1304" s="7">
        <v>-0.01</v>
      </c>
    </row>
    <row r="1305" spans="1:8">
      <c r="A1305" s="4" t="s">
        <v>586</v>
      </c>
      <c r="B1305" s="4" t="s">
        <v>587</v>
      </c>
      <c r="C1305" s="4" t="s">
        <v>2040</v>
      </c>
      <c r="D1305" s="4" t="s">
        <v>2296</v>
      </c>
      <c r="E1305" s="6">
        <v>44060</v>
      </c>
      <c r="F1305" s="7">
        <v>-2</v>
      </c>
      <c r="G1305" s="7">
        <v>-3.4799999999999995</v>
      </c>
      <c r="H1305" s="7">
        <v>0</v>
      </c>
    </row>
    <row r="1306" spans="1:8">
      <c r="A1306" s="4" t="s">
        <v>586</v>
      </c>
      <c r="B1306" s="4" t="s">
        <v>587</v>
      </c>
      <c r="C1306" s="4" t="s">
        <v>853</v>
      </c>
      <c r="D1306" s="4" t="s">
        <v>2297</v>
      </c>
      <c r="E1306" s="6">
        <v>44060</v>
      </c>
      <c r="F1306" s="7">
        <v>-10</v>
      </c>
      <c r="G1306" s="7">
        <v>-18</v>
      </c>
      <c r="H1306" s="7">
        <v>0</v>
      </c>
    </row>
    <row r="1307" spans="1:8">
      <c r="A1307" s="4" t="s">
        <v>586</v>
      </c>
      <c r="B1307" s="4" t="s">
        <v>587</v>
      </c>
      <c r="C1307" s="4" t="s">
        <v>1030</v>
      </c>
      <c r="D1307" s="4" t="s">
        <v>2298</v>
      </c>
      <c r="E1307" s="6">
        <v>44060</v>
      </c>
      <c r="F1307" s="7">
        <v>-10</v>
      </c>
      <c r="G1307" s="7">
        <v>-21.71</v>
      </c>
      <c r="H1307" s="7">
        <v>0.01</v>
      </c>
    </row>
    <row r="1308" spans="1:8">
      <c r="A1308" s="4" t="s">
        <v>586</v>
      </c>
      <c r="B1308" s="4" t="s">
        <v>587</v>
      </c>
      <c r="C1308" s="4" t="s">
        <v>1032</v>
      </c>
      <c r="D1308" s="4" t="s">
        <v>2299</v>
      </c>
      <c r="E1308" s="6">
        <v>44060</v>
      </c>
      <c r="F1308" s="7">
        <v>-5</v>
      </c>
      <c r="G1308" s="7">
        <v>-11.12</v>
      </c>
      <c r="H1308" s="7">
        <v>0</v>
      </c>
    </row>
    <row r="1309" spans="1:8">
      <c r="A1309" s="4" t="s">
        <v>586</v>
      </c>
      <c r="B1309" s="4" t="s">
        <v>587</v>
      </c>
      <c r="C1309" s="4" t="s">
        <v>784</v>
      </c>
      <c r="D1309" s="4" t="s">
        <v>2300</v>
      </c>
      <c r="E1309" s="6">
        <v>44060</v>
      </c>
      <c r="F1309" s="7">
        <v>-1</v>
      </c>
      <c r="G1309" s="7">
        <v>0</v>
      </c>
      <c r="H1309" s="7">
        <v>0</v>
      </c>
    </row>
    <row r="1310" spans="1:8">
      <c r="A1310" s="4" t="s">
        <v>584</v>
      </c>
      <c r="B1310" s="4" t="s">
        <v>585</v>
      </c>
      <c r="C1310" s="4" t="s">
        <v>912</v>
      </c>
      <c r="D1310" s="4" t="s">
        <v>2301</v>
      </c>
      <c r="E1310" s="6">
        <v>44060</v>
      </c>
      <c r="F1310" s="7">
        <v>-200</v>
      </c>
      <c r="G1310" s="7">
        <v>-238.29000000000002</v>
      </c>
      <c r="H1310" s="7">
        <v>0</v>
      </c>
    </row>
    <row r="1311" spans="1:8">
      <c r="A1311" s="4" t="s">
        <v>584</v>
      </c>
      <c r="B1311" s="4" t="s">
        <v>585</v>
      </c>
      <c r="C1311" s="4" t="s">
        <v>784</v>
      </c>
      <c r="D1311" s="4" t="s">
        <v>2302</v>
      </c>
      <c r="E1311" s="6">
        <v>44060</v>
      </c>
      <c r="F1311" s="7">
        <v>-1</v>
      </c>
      <c r="G1311" s="7">
        <v>0</v>
      </c>
      <c r="H1311" s="7">
        <v>0</v>
      </c>
    </row>
    <row r="1312" spans="1:8">
      <c r="A1312" s="4" t="s">
        <v>592</v>
      </c>
      <c r="B1312" s="4" t="s">
        <v>593</v>
      </c>
      <c r="C1312" s="4" t="s">
        <v>873</v>
      </c>
      <c r="D1312" s="4" t="s">
        <v>2303</v>
      </c>
      <c r="E1312" s="6">
        <v>44063</v>
      </c>
      <c r="F1312" s="7">
        <v>-50</v>
      </c>
      <c r="G1312" s="7">
        <v>-20.25</v>
      </c>
      <c r="H1312" s="7">
        <v>0</v>
      </c>
    </row>
    <row r="1313" spans="1:8">
      <c r="A1313" s="4" t="s">
        <v>592</v>
      </c>
      <c r="B1313" s="4" t="s">
        <v>593</v>
      </c>
      <c r="C1313" s="4" t="s">
        <v>1349</v>
      </c>
      <c r="D1313" s="4" t="s">
        <v>2304</v>
      </c>
      <c r="E1313" s="6">
        <v>44063</v>
      </c>
      <c r="F1313" s="7">
        <v>-1000</v>
      </c>
      <c r="G1313" s="7">
        <v>-19.690000000000001</v>
      </c>
      <c r="H1313" s="7">
        <v>0</v>
      </c>
    </row>
    <row r="1314" spans="1:8">
      <c r="A1314" s="4" t="s">
        <v>592</v>
      </c>
      <c r="B1314" s="4" t="s">
        <v>593</v>
      </c>
      <c r="C1314" s="4" t="s">
        <v>1341</v>
      </c>
      <c r="D1314" s="4" t="s">
        <v>2305</v>
      </c>
      <c r="E1314" s="6">
        <v>44063</v>
      </c>
      <c r="F1314" s="7">
        <v>-1000</v>
      </c>
      <c r="G1314" s="7">
        <v>-2.4300000000000002</v>
      </c>
      <c r="H1314" s="7">
        <v>0</v>
      </c>
    </row>
    <row r="1315" spans="1:8">
      <c r="A1315" s="4" t="s">
        <v>592</v>
      </c>
      <c r="B1315" s="4" t="s">
        <v>593</v>
      </c>
      <c r="C1315" s="4" t="s">
        <v>784</v>
      </c>
      <c r="D1315" s="4" t="s">
        <v>2306</v>
      </c>
      <c r="E1315" s="6">
        <v>44063</v>
      </c>
      <c r="F1315" s="7">
        <v>-1</v>
      </c>
      <c r="G1315" s="7">
        <v>0</v>
      </c>
      <c r="H1315" s="7">
        <v>0</v>
      </c>
    </row>
    <row r="1316" spans="1:8">
      <c r="A1316" s="4" t="s">
        <v>581</v>
      </c>
      <c r="B1316" s="4" t="s">
        <v>582</v>
      </c>
      <c r="C1316" s="4" t="s">
        <v>979</v>
      </c>
      <c r="D1316" s="4" t="s">
        <v>2307</v>
      </c>
      <c r="E1316" s="6">
        <v>44060</v>
      </c>
      <c r="F1316" s="7">
        <v>-20</v>
      </c>
      <c r="G1316" s="7">
        <v>-25.01</v>
      </c>
      <c r="H1316" s="7">
        <v>0</v>
      </c>
    </row>
    <row r="1317" spans="1:8">
      <c r="A1317" s="4" t="s">
        <v>581</v>
      </c>
      <c r="B1317" s="4" t="s">
        <v>582</v>
      </c>
      <c r="C1317" s="4" t="s">
        <v>942</v>
      </c>
      <c r="D1317" s="4" t="s">
        <v>2308</v>
      </c>
      <c r="E1317" s="6">
        <v>44060</v>
      </c>
      <c r="F1317" s="7">
        <v>-20</v>
      </c>
      <c r="G1317" s="7">
        <v>-20.09</v>
      </c>
      <c r="H1317" s="7">
        <v>0</v>
      </c>
    </row>
    <row r="1318" spans="1:8">
      <c r="A1318" s="4" t="s">
        <v>581</v>
      </c>
      <c r="B1318" s="4" t="s">
        <v>582</v>
      </c>
      <c r="C1318" s="4" t="s">
        <v>1369</v>
      </c>
      <c r="D1318" s="4" t="s">
        <v>2309</v>
      </c>
      <c r="E1318" s="6">
        <v>44060</v>
      </c>
      <c r="F1318" s="7">
        <v>-10</v>
      </c>
      <c r="G1318" s="7">
        <v>-13.88</v>
      </c>
      <c r="H1318" s="7">
        <v>0</v>
      </c>
    </row>
    <row r="1319" spans="1:8">
      <c r="A1319" s="4" t="s">
        <v>581</v>
      </c>
      <c r="B1319" s="4" t="s">
        <v>582</v>
      </c>
      <c r="C1319" s="4" t="s">
        <v>784</v>
      </c>
      <c r="D1319" s="4" t="s">
        <v>2310</v>
      </c>
      <c r="E1319" s="6">
        <v>44060</v>
      </c>
      <c r="F1319" s="7">
        <v>-1</v>
      </c>
      <c r="G1319" s="7">
        <v>0</v>
      </c>
      <c r="H1319" s="7">
        <v>0</v>
      </c>
    </row>
    <row r="1320" spans="1:8">
      <c r="A1320" s="4" t="s">
        <v>572</v>
      </c>
      <c r="B1320" s="4" t="s">
        <v>573</v>
      </c>
      <c r="C1320" s="4" t="s">
        <v>815</v>
      </c>
      <c r="D1320" s="4" t="s">
        <v>2311</v>
      </c>
      <c r="E1320" s="6">
        <v>44055</v>
      </c>
      <c r="F1320" s="7">
        <v>-47</v>
      </c>
      <c r="G1320" s="7">
        <v>-89.89</v>
      </c>
      <c r="H1320" s="7">
        <v>0</v>
      </c>
    </row>
    <row r="1321" spans="1:8">
      <c r="A1321" s="4" t="s">
        <v>572</v>
      </c>
      <c r="B1321" s="4" t="s">
        <v>573</v>
      </c>
      <c r="C1321" s="4" t="s">
        <v>784</v>
      </c>
      <c r="D1321" s="4" t="s">
        <v>2312</v>
      </c>
      <c r="E1321" s="6">
        <v>44055</v>
      </c>
      <c r="F1321" s="7">
        <v>-1</v>
      </c>
      <c r="G1321" s="7">
        <v>0</v>
      </c>
      <c r="H1321" s="7">
        <v>0</v>
      </c>
    </row>
    <row r="1322" spans="1:8">
      <c r="A1322" s="4" t="s">
        <v>590</v>
      </c>
      <c r="B1322" s="4" t="s">
        <v>591</v>
      </c>
      <c r="C1322" s="4" t="s">
        <v>1598</v>
      </c>
      <c r="D1322" s="4" t="s">
        <v>2313</v>
      </c>
      <c r="E1322" s="6">
        <v>44062</v>
      </c>
      <c r="F1322" s="7">
        <v>-50</v>
      </c>
      <c r="G1322" s="7">
        <v>-23.91</v>
      </c>
      <c r="H1322" s="7">
        <v>0</v>
      </c>
    </row>
    <row r="1323" spans="1:8">
      <c r="A1323" s="4" t="s">
        <v>590</v>
      </c>
      <c r="B1323" s="4" t="s">
        <v>591</v>
      </c>
      <c r="C1323" s="4" t="s">
        <v>1737</v>
      </c>
      <c r="D1323" s="4" t="s">
        <v>2314</v>
      </c>
      <c r="E1323" s="6">
        <v>44062</v>
      </c>
      <c r="F1323" s="7">
        <v>-50</v>
      </c>
      <c r="G1323" s="7">
        <v>-15.33</v>
      </c>
      <c r="H1323" s="7">
        <v>0</v>
      </c>
    </row>
    <row r="1324" spans="1:8">
      <c r="A1324" s="4" t="s">
        <v>590</v>
      </c>
      <c r="B1324" s="4" t="s">
        <v>591</v>
      </c>
      <c r="C1324" s="4" t="s">
        <v>1323</v>
      </c>
      <c r="D1324" s="4" t="s">
        <v>2315</v>
      </c>
      <c r="E1324" s="6">
        <v>44062</v>
      </c>
      <c r="F1324" s="7">
        <v>-50</v>
      </c>
      <c r="G1324" s="7">
        <v>-13.44</v>
      </c>
      <c r="H1324" s="7">
        <v>0</v>
      </c>
    </row>
    <row r="1325" spans="1:8">
      <c r="A1325" s="4" t="s">
        <v>590</v>
      </c>
      <c r="B1325" s="4" t="s">
        <v>591</v>
      </c>
      <c r="C1325" s="4" t="s">
        <v>1131</v>
      </c>
      <c r="D1325" s="4" t="s">
        <v>2316</v>
      </c>
      <c r="E1325" s="6">
        <v>44062</v>
      </c>
      <c r="F1325" s="7">
        <v>-250</v>
      </c>
      <c r="G1325" s="7">
        <v>-44.14</v>
      </c>
      <c r="H1325" s="7">
        <v>0.01</v>
      </c>
    </row>
    <row r="1326" spans="1:8">
      <c r="A1326" s="4" t="s">
        <v>590</v>
      </c>
      <c r="B1326" s="4" t="s">
        <v>591</v>
      </c>
      <c r="C1326" s="4" t="s">
        <v>1129</v>
      </c>
      <c r="D1326" s="4" t="s">
        <v>2317</v>
      </c>
      <c r="E1326" s="6">
        <v>44062</v>
      </c>
      <c r="F1326" s="7">
        <v>-150</v>
      </c>
      <c r="G1326" s="7">
        <v>-27.04</v>
      </c>
      <c r="H1326" s="7">
        <v>0</v>
      </c>
    </row>
    <row r="1327" spans="1:8">
      <c r="A1327" s="4" t="s">
        <v>603</v>
      </c>
      <c r="B1327" s="4" t="s">
        <v>604</v>
      </c>
      <c r="C1327" s="4" t="s">
        <v>2318</v>
      </c>
      <c r="D1327" s="4" t="s">
        <v>2319</v>
      </c>
      <c r="E1327" s="6">
        <v>44068</v>
      </c>
      <c r="F1327" s="7">
        <v>-27</v>
      </c>
      <c r="G1327" s="7">
        <v>-147.56</v>
      </c>
      <c r="H1327" s="7">
        <v>0</v>
      </c>
    </row>
    <row r="1328" spans="1:8">
      <c r="A1328" s="4" t="s">
        <v>603</v>
      </c>
      <c r="B1328" s="4" t="s">
        <v>604</v>
      </c>
      <c r="C1328" s="4" t="s">
        <v>784</v>
      </c>
      <c r="D1328" s="4" t="s">
        <v>2320</v>
      </c>
      <c r="E1328" s="6">
        <v>44068</v>
      </c>
      <c r="F1328" s="7">
        <v>-1</v>
      </c>
      <c r="G1328" s="7">
        <v>0</v>
      </c>
      <c r="H1328" s="7">
        <v>0</v>
      </c>
    </row>
    <row r="1329" spans="1:8">
      <c r="A1329" s="4" t="s">
        <v>579</v>
      </c>
      <c r="B1329" s="4" t="s">
        <v>580</v>
      </c>
      <c r="C1329" s="4" t="s">
        <v>2321</v>
      </c>
      <c r="D1329" s="4" t="s">
        <v>2322</v>
      </c>
      <c r="E1329" s="6">
        <v>44056</v>
      </c>
      <c r="F1329" s="7">
        <v>-24</v>
      </c>
      <c r="G1329" s="7">
        <v>-61.98</v>
      </c>
      <c r="H1329" s="7">
        <v>0</v>
      </c>
    </row>
    <row r="1330" spans="1:8">
      <c r="A1330" s="4" t="s">
        <v>579</v>
      </c>
      <c r="B1330" s="4" t="s">
        <v>580</v>
      </c>
      <c r="C1330" s="4" t="s">
        <v>928</v>
      </c>
      <c r="D1330" s="4" t="s">
        <v>2323</v>
      </c>
      <c r="E1330" s="6">
        <v>44056</v>
      </c>
      <c r="F1330" s="7">
        <v>-8</v>
      </c>
      <c r="G1330" s="7">
        <v>-41.32</v>
      </c>
      <c r="H1330" s="7">
        <v>0.01</v>
      </c>
    </row>
    <row r="1331" spans="1:8">
      <c r="A1331" s="4" t="s">
        <v>579</v>
      </c>
      <c r="B1331" s="4" t="s">
        <v>580</v>
      </c>
      <c r="C1331" s="4" t="s">
        <v>784</v>
      </c>
      <c r="D1331" s="4" t="s">
        <v>2324</v>
      </c>
      <c r="E1331" s="6">
        <v>44056</v>
      </c>
      <c r="F1331" s="7">
        <v>-1</v>
      </c>
      <c r="G1331" s="7">
        <v>0</v>
      </c>
      <c r="H1331" s="7">
        <v>0</v>
      </c>
    </row>
    <row r="1332" spans="1:8">
      <c r="A1332" s="4" t="s">
        <v>598</v>
      </c>
      <c r="B1332" s="4" t="s">
        <v>599</v>
      </c>
      <c r="C1332" s="4" t="s">
        <v>887</v>
      </c>
      <c r="D1332" s="4" t="s">
        <v>2325</v>
      </c>
      <c r="E1332" s="6">
        <v>44063</v>
      </c>
      <c r="F1332" s="7">
        <v>-150</v>
      </c>
      <c r="G1332" s="7">
        <v>-61.34</v>
      </c>
      <c r="H1332" s="7">
        <v>-0.01</v>
      </c>
    </row>
    <row r="1333" spans="1:8">
      <c r="A1333" s="4" t="s">
        <v>598</v>
      </c>
      <c r="B1333" s="4" t="s">
        <v>599</v>
      </c>
      <c r="C1333" s="4" t="s">
        <v>2326</v>
      </c>
      <c r="D1333" s="4" t="s">
        <v>2327</v>
      </c>
      <c r="E1333" s="6">
        <v>44063</v>
      </c>
      <c r="F1333" s="7">
        <v>-50</v>
      </c>
      <c r="G1333" s="7">
        <v>-248.46999999999997</v>
      </c>
      <c r="H1333" s="7">
        <v>0</v>
      </c>
    </row>
    <row r="1334" spans="1:8">
      <c r="A1334" s="4" t="s">
        <v>598</v>
      </c>
      <c r="B1334" s="4" t="s">
        <v>599</v>
      </c>
      <c r="C1334" s="4" t="s">
        <v>782</v>
      </c>
      <c r="D1334" s="4" t="s">
        <v>2328</v>
      </c>
      <c r="E1334" s="6">
        <v>44063</v>
      </c>
      <c r="F1334" s="7">
        <v>-50</v>
      </c>
      <c r="G1334" s="7">
        <v>-496.93999999999994</v>
      </c>
      <c r="H1334" s="7">
        <v>0.01</v>
      </c>
    </row>
    <row r="1335" spans="1:8">
      <c r="A1335" s="4" t="s">
        <v>598</v>
      </c>
      <c r="B1335" s="4" t="s">
        <v>599</v>
      </c>
      <c r="C1335" s="4" t="s">
        <v>1042</v>
      </c>
      <c r="D1335" s="4" t="s">
        <v>2329</v>
      </c>
      <c r="E1335" s="6">
        <v>44063</v>
      </c>
      <c r="F1335" s="7">
        <v>-50</v>
      </c>
      <c r="G1335" s="7">
        <v>-31.87</v>
      </c>
      <c r="H1335" s="7">
        <v>0</v>
      </c>
    </row>
    <row r="1336" spans="1:8">
      <c r="A1336" s="4" t="s">
        <v>598</v>
      </c>
      <c r="B1336" s="4" t="s">
        <v>599</v>
      </c>
      <c r="C1336" s="4" t="s">
        <v>862</v>
      </c>
      <c r="D1336" s="4" t="s">
        <v>2330</v>
      </c>
      <c r="E1336" s="6">
        <v>44063</v>
      </c>
      <c r="F1336" s="7">
        <v>-50</v>
      </c>
      <c r="G1336" s="7">
        <v>-175.79000000000002</v>
      </c>
      <c r="H1336" s="7">
        <v>0</v>
      </c>
    </row>
    <row r="1337" spans="1:8">
      <c r="A1337" s="4" t="s">
        <v>598</v>
      </c>
      <c r="B1337" s="4" t="s">
        <v>599</v>
      </c>
      <c r="C1337" s="4" t="s">
        <v>2331</v>
      </c>
      <c r="D1337" s="4" t="s">
        <v>2332</v>
      </c>
      <c r="E1337" s="6">
        <v>44063</v>
      </c>
      <c r="F1337" s="7">
        <v>-50</v>
      </c>
      <c r="G1337" s="7">
        <v>-86.48</v>
      </c>
      <c r="H1337" s="7">
        <v>0</v>
      </c>
    </row>
    <row r="1338" spans="1:8">
      <c r="A1338" s="4" t="s">
        <v>598</v>
      </c>
      <c r="B1338" s="4" t="s">
        <v>599</v>
      </c>
      <c r="C1338" s="4" t="s">
        <v>2333</v>
      </c>
      <c r="D1338" s="4" t="s">
        <v>2334</v>
      </c>
      <c r="E1338" s="6">
        <v>44063</v>
      </c>
      <c r="F1338" s="7">
        <v>-50</v>
      </c>
      <c r="G1338" s="7">
        <v>-383.78000000000003</v>
      </c>
      <c r="H1338" s="7">
        <v>0</v>
      </c>
    </row>
    <row r="1339" spans="1:8">
      <c r="A1339" s="4" t="s">
        <v>598</v>
      </c>
      <c r="B1339" s="4" t="s">
        <v>599</v>
      </c>
      <c r="C1339" s="4" t="s">
        <v>2335</v>
      </c>
      <c r="D1339" s="4" t="s">
        <v>2336</v>
      </c>
      <c r="E1339" s="6">
        <v>44063</v>
      </c>
      <c r="F1339" s="7">
        <v>-50</v>
      </c>
      <c r="G1339" s="7">
        <v>-172.95</v>
      </c>
      <c r="H1339" s="7">
        <v>0</v>
      </c>
    </row>
    <row r="1340" spans="1:8">
      <c r="A1340" s="4" t="s">
        <v>598</v>
      </c>
      <c r="B1340" s="4" t="s">
        <v>599</v>
      </c>
      <c r="C1340" s="4" t="s">
        <v>2321</v>
      </c>
      <c r="D1340" s="4" t="s">
        <v>2337</v>
      </c>
      <c r="E1340" s="6">
        <v>44063</v>
      </c>
      <c r="F1340" s="7">
        <v>-50</v>
      </c>
      <c r="G1340" s="7">
        <v>-129.12</v>
      </c>
      <c r="H1340" s="7">
        <v>0</v>
      </c>
    </row>
    <row r="1341" spans="1:8">
      <c r="A1341" s="4" t="s">
        <v>598</v>
      </c>
      <c r="B1341" s="4" t="s">
        <v>599</v>
      </c>
      <c r="C1341" s="4" t="s">
        <v>2158</v>
      </c>
      <c r="D1341" s="4" t="s">
        <v>2338</v>
      </c>
      <c r="E1341" s="6">
        <v>44063</v>
      </c>
      <c r="F1341" s="7">
        <v>-50</v>
      </c>
      <c r="G1341" s="7">
        <v>-198.97</v>
      </c>
      <c r="H1341" s="7">
        <v>0</v>
      </c>
    </row>
    <row r="1342" spans="1:8">
      <c r="A1342" s="4" t="s">
        <v>598</v>
      </c>
      <c r="B1342" s="4" t="s">
        <v>599</v>
      </c>
      <c r="C1342" s="4" t="s">
        <v>1669</v>
      </c>
      <c r="D1342" s="4" t="s">
        <v>2339</v>
      </c>
      <c r="E1342" s="6">
        <v>44063</v>
      </c>
      <c r="F1342" s="7">
        <v>-50</v>
      </c>
      <c r="G1342" s="7">
        <v>-114.66</v>
      </c>
      <c r="H1342" s="7">
        <v>0</v>
      </c>
    </row>
    <row r="1343" spans="1:8">
      <c r="A1343" s="4" t="s">
        <v>598</v>
      </c>
      <c r="B1343" s="4" t="s">
        <v>599</v>
      </c>
      <c r="C1343" s="4" t="s">
        <v>1102</v>
      </c>
      <c r="D1343" s="4" t="s">
        <v>2340</v>
      </c>
      <c r="E1343" s="6">
        <v>44063</v>
      </c>
      <c r="F1343" s="7">
        <v>-50</v>
      </c>
      <c r="G1343" s="7">
        <v>-302.43</v>
      </c>
      <c r="H1343" s="7">
        <v>0</v>
      </c>
    </row>
    <row r="1344" spans="1:8">
      <c r="A1344" s="4" t="s">
        <v>598</v>
      </c>
      <c r="B1344" s="4" t="s">
        <v>599</v>
      </c>
      <c r="C1344" s="4" t="s">
        <v>1028</v>
      </c>
      <c r="D1344" s="4" t="s">
        <v>2341</v>
      </c>
      <c r="E1344" s="6">
        <v>44063</v>
      </c>
      <c r="F1344" s="7">
        <v>-250</v>
      </c>
      <c r="G1344" s="7">
        <v>-239.08</v>
      </c>
      <c r="H1344" s="7">
        <v>0.01</v>
      </c>
    </row>
    <row r="1345" spans="1:8">
      <c r="A1345" s="4" t="s">
        <v>598</v>
      </c>
      <c r="B1345" s="4" t="s">
        <v>599</v>
      </c>
      <c r="C1345" s="4" t="s">
        <v>1113</v>
      </c>
      <c r="D1345" s="4" t="s">
        <v>2342</v>
      </c>
      <c r="E1345" s="6">
        <v>44063</v>
      </c>
      <c r="F1345" s="7">
        <v>-50</v>
      </c>
      <c r="G1345" s="7">
        <v>-222.45</v>
      </c>
      <c r="H1345" s="7">
        <v>0</v>
      </c>
    </row>
    <row r="1346" spans="1:8">
      <c r="A1346" s="4" t="s">
        <v>598</v>
      </c>
      <c r="B1346" s="4" t="s">
        <v>599</v>
      </c>
      <c r="C1346" s="4" t="s">
        <v>784</v>
      </c>
      <c r="D1346" s="4" t="s">
        <v>2343</v>
      </c>
      <c r="E1346" s="6">
        <v>44063</v>
      </c>
      <c r="F1346" s="7">
        <v>-1</v>
      </c>
      <c r="G1346" s="7">
        <v>0</v>
      </c>
      <c r="H1346" s="7">
        <v>0</v>
      </c>
    </row>
    <row r="1347" spans="1:8">
      <c r="A1347" s="4" t="s">
        <v>655</v>
      </c>
      <c r="B1347" s="4" t="s">
        <v>656</v>
      </c>
      <c r="C1347" s="4" t="s">
        <v>1283</v>
      </c>
      <c r="D1347" s="4" t="s">
        <v>2344</v>
      </c>
      <c r="E1347" s="6">
        <v>44103</v>
      </c>
      <c r="F1347" s="7">
        <v>-10000</v>
      </c>
      <c r="G1347" s="7">
        <v>-1188.99</v>
      </c>
      <c r="H1347" s="7">
        <v>0</v>
      </c>
    </row>
    <row r="1348" spans="1:8">
      <c r="A1348" s="4" t="s">
        <v>655</v>
      </c>
      <c r="B1348" s="4" t="s">
        <v>656</v>
      </c>
      <c r="C1348" s="4" t="s">
        <v>784</v>
      </c>
      <c r="D1348" s="4" t="s">
        <v>2345</v>
      </c>
      <c r="E1348" s="6">
        <v>44103</v>
      </c>
      <c r="F1348" s="7">
        <v>-1</v>
      </c>
      <c r="G1348" s="7">
        <v>0</v>
      </c>
      <c r="H1348" s="7">
        <v>0</v>
      </c>
    </row>
    <row r="1349" spans="1:8">
      <c r="A1349" s="4" t="s">
        <v>613</v>
      </c>
      <c r="B1349" s="4" t="s">
        <v>614</v>
      </c>
      <c r="C1349" s="4" t="s">
        <v>786</v>
      </c>
      <c r="D1349" s="4" t="s">
        <v>2346</v>
      </c>
      <c r="E1349" s="6">
        <v>44082</v>
      </c>
      <c r="F1349" s="7">
        <v>-1000</v>
      </c>
      <c r="G1349" s="7">
        <v>-669.41000000000008</v>
      </c>
      <c r="H1349" s="7">
        <v>0</v>
      </c>
    </row>
    <row r="1350" spans="1:8">
      <c r="A1350" s="4" t="s">
        <v>613</v>
      </c>
      <c r="B1350" s="4" t="s">
        <v>614</v>
      </c>
      <c r="C1350" s="4" t="s">
        <v>801</v>
      </c>
      <c r="D1350" s="4" t="s">
        <v>2347</v>
      </c>
      <c r="E1350" s="6">
        <v>44082</v>
      </c>
      <c r="F1350" s="7">
        <v>-1000</v>
      </c>
      <c r="G1350" s="7">
        <v>-860.67000000000007</v>
      </c>
      <c r="H1350" s="7">
        <v>0</v>
      </c>
    </row>
    <row r="1351" spans="1:8">
      <c r="A1351" s="4" t="s">
        <v>613</v>
      </c>
      <c r="B1351" s="4" t="s">
        <v>614</v>
      </c>
      <c r="C1351" s="4" t="s">
        <v>799</v>
      </c>
      <c r="D1351" s="4" t="s">
        <v>2348</v>
      </c>
      <c r="E1351" s="6">
        <v>44082</v>
      </c>
      <c r="F1351" s="7">
        <v>-1500</v>
      </c>
      <c r="G1351" s="7">
        <v>-1147.56</v>
      </c>
      <c r="H1351" s="7">
        <v>0</v>
      </c>
    </row>
    <row r="1352" spans="1:8">
      <c r="A1352" s="4" t="s">
        <v>613</v>
      </c>
      <c r="B1352" s="4" t="s">
        <v>614</v>
      </c>
      <c r="C1352" s="4" t="s">
        <v>784</v>
      </c>
      <c r="D1352" s="4" t="s">
        <v>2349</v>
      </c>
      <c r="E1352" s="6">
        <v>44082</v>
      </c>
      <c r="F1352" s="7">
        <v>-1</v>
      </c>
      <c r="G1352" s="7">
        <v>0</v>
      </c>
      <c r="H1352" s="7">
        <v>0</v>
      </c>
    </row>
    <row r="1353" spans="1:8">
      <c r="A1353" s="4" t="s">
        <v>615</v>
      </c>
      <c r="B1353" s="4" t="s">
        <v>616</v>
      </c>
      <c r="C1353" s="4" t="s">
        <v>786</v>
      </c>
      <c r="D1353" s="4" t="s">
        <v>2350</v>
      </c>
      <c r="E1353" s="6">
        <v>44082</v>
      </c>
      <c r="F1353" s="7">
        <v>-1000</v>
      </c>
      <c r="G1353" s="7">
        <v>-669.41000000000008</v>
      </c>
      <c r="H1353" s="7">
        <v>0</v>
      </c>
    </row>
    <row r="1354" spans="1:8">
      <c r="A1354" s="4" t="s">
        <v>615</v>
      </c>
      <c r="B1354" s="4" t="s">
        <v>616</v>
      </c>
      <c r="C1354" s="4" t="s">
        <v>801</v>
      </c>
      <c r="D1354" s="4" t="s">
        <v>2351</v>
      </c>
      <c r="E1354" s="6">
        <v>44082</v>
      </c>
      <c r="F1354" s="7">
        <v>-1000</v>
      </c>
      <c r="G1354" s="7">
        <v>-860.67000000000007</v>
      </c>
      <c r="H1354" s="7">
        <v>-0.01</v>
      </c>
    </row>
    <row r="1355" spans="1:8">
      <c r="A1355" s="4" t="s">
        <v>615</v>
      </c>
      <c r="B1355" s="4" t="s">
        <v>616</v>
      </c>
      <c r="C1355" s="4" t="s">
        <v>799</v>
      </c>
      <c r="D1355" s="4" t="s">
        <v>2352</v>
      </c>
      <c r="E1355" s="6">
        <v>44082</v>
      </c>
      <c r="F1355" s="7">
        <v>-1500</v>
      </c>
      <c r="G1355" s="7">
        <v>-1147.56</v>
      </c>
      <c r="H1355" s="7">
        <v>-0.01</v>
      </c>
    </row>
    <row r="1356" spans="1:8">
      <c r="A1356" s="4" t="s">
        <v>615</v>
      </c>
      <c r="B1356" s="4" t="s">
        <v>616</v>
      </c>
      <c r="C1356" s="4" t="s">
        <v>784</v>
      </c>
      <c r="D1356" s="4" t="s">
        <v>2353</v>
      </c>
      <c r="E1356" s="6">
        <v>44082</v>
      </c>
      <c r="F1356" s="7">
        <v>-1</v>
      </c>
      <c r="G1356" s="7">
        <v>0</v>
      </c>
      <c r="H1356" s="7">
        <v>0</v>
      </c>
    </row>
    <row r="1357" spans="1:8">
      <c r="A1357" s="4" t="s">
        <v>640</v>
      </c>
      <c r="B1357" s="4" t="s">
        <v>641</v>
      </c>
      <c r="C1357" s="4" t="s">
        <v>786</v>
      </c>
      <c r="D1357" s="4" t="s">
        <v>2354</v>
      </c>
      <c r="E1357" s="6">
        <v>44090</v>
      </c>
      <c r="F1357" s="7">
        <v>-1000</v>
      </c>
      <c r="G1357" s="7">
        <v>-669.41000000000008</v>
      </c>
      <c r="H1357" s="7">
        <v>-0.01</v>
      </c>
    </row>
    <row r="1358" spans="1:8">
      <c r="A1358" s="4" t="s">
        <v>640</v>
      </c>
      <c r="B1358" s="4" t="s">
        <v>641</v>
      </c>
      <c r="C1358" s="4" t="s">
        <v>801</v>
      </c>
      <c r="D1358" s="4" t="s">
        <v>2355</v>
      </c>
      <c r="E1358" s="6">
        <v>44090</v>
      </c>
      <c r="F1358" s="7">
        <v>-1000</v>
      </c>
      <c r="G1358" s="7">
        <v>-860.67000000000007</v>
      </c>
      <c r="H1358" s="7">
        <v>0</v>
      </c>
    </row>
    <row r="1359" spans="1:8">
      <c r="A1359" s="4" t="s">
        <v>640</v>
      </c>
      <c r="B1359" s="4" t="s">
        <v>641</v>
      </c>
      <c r="C1359" s="4" t="s">
        <v>799</v>
      </c>
      <c r="D1359" s="4" t="s">
        <v>2356</v>
      </c>
      <c r="E1359" s="6">
        <v>44090</v>
      </c>
      <c r="F1359" s="7">
        <v>-1500</v>
      </c>
      <c r="G1359" s="7">
        <v>-1147.56</v>
      </c>
      <c r="H1359" s="7">
        <v>0</v>
      </c>
    </row>
    <row r="1360" spans="1:8">
      <c r="A1360" s="4" t="s">
        <v>640</v>
      </c>
      <c r="B1360" s="4" t="s">
        <v>641</v>
      </c>
      <c r="C1360" s="4" t="s">
        <v>784</v>
      </c>
      <c r="D1360" s="4" t="s">
        <v>2357</v>
      </c>
      <c r="E1360" s="6">
        <v>44090</v>
      </c>
      <c r="F1360" s="7">
        <v>-1</v>
      </c>
      <c r="G1360" s="7">
        <v>0</v>
      </c>
      <c r="H1360" s="7">
        <v>0</v>
      </c>
    </row>
    <row r="1361" spans="1:8">
      <c r="A1361" s="4" t="s">
        <v>661</v>
      </c>
      <c r="B1361" s="4" t="s">
        <v>662</v>
      </c>
      <c r="C1361" s="4" t="s">
        <v>795</v>
      </c>
      <c r="D1361" s="4" t="s">
        <v>2358</v>
      </c>
      <c r="E1361" s="6">
        <v>44110</v>
      </c>
      <c r="F1361" s="7">
        <v>-909</v>
      </c>
      <c r="G1361" s="7">
        <v>-5230.75</v>
      </c>
      <c r="H1361" s="7">
        <v>0</v>
      </c>
    </row>
    <row r="1362" spans="1:8">
      <c r="A1362" s="4" t="s">
        <v>661</v>
      </c>
      <c r="B1362" s="4" t="s">
        <v>662</v>
      </c>
      <c r="C1362" s="4" t="s">
        <v>834</v>
      </c>
      <c r="D1362" s="4" t="s">
        <v>2359</v>
      </c>
      <c r="E1362" s="6">
        <v>44110</v>
      </c>
      <c r="F1362" s="7">
        <v>-600</v>
      </c>
      <c r="G1362" s="7">
        <v>-3612.31</v>
      </c>
      <c r="H1362" s="7">
        <v>0</v>
      </c>
    </row>
    <row r="1363" spans="1:8">
      <c r="A1363" s="4" t="s">
        <v>661</v>
      </c>
      <c r="B1363" s="4" t="s">
        <v>662</v>
      </c>
      <c r="C1363" s="4" t="s">
        <v>2360</v>
      </c>
      <c r="D1363" s="4" t="s">
        <v>2361</v>
      </c>
      <c r="E1363" s="6">
        <v>44110</v>
      </c>
      <c r="F1363" s="7">
        <v>-100</v>
      </c>
      <c r="G1363" s="7">
        <v>-655.27</v>
      </c>
      <c r="H1363" s="7">
        <v>0</v>
      </c>
    </row>
    <row r="1364" spans="1:8">
      <c r="A1364" s="4" t="s">
        <v>661</v>
      </c>
      <c r="B1364" s="4" t="s">
        <v>662</v>
      </c>
      <c r="C1364" s="4" t="s">
        <v>1431</v>
      </c>
      <c r="D1364" s="4" t="s">
        <v>2362</v>
      </c>
      <c r="E1364" s="6">
        <v>44110</v>
      </c>
      <c r="F1364" s="7">
        <v>-15</v>
      </c>
      <c r="G1364" s="7">
        <v>-118.25</v>
      </c>
      <c r="H1364" s="7">
        <v>0</v>
      </c>
    </row>
    <row r="1365" spans="1:8">
      <c r="A1365" s="4" t="s">
        <v>607</v>
      </c>
      <c r="B1365" s="4" t="s">
        <v>608</v>
      </c>
      <c r="C1365" s="4" t="s">
        <v>819</v>
      </c>
      <c r="D1365" s="4" t="s">
        <v>2363</v>
      </c>
      <c r="E1365" s="6">
        <v>44070</v>
      </c>
      <c r="F1365" s="7">
        <v>-10</v>
      </c>
      <c r="G1365" s="7">
        <v>-85.52</v>
      </c>
      <c r="H1365" s="7">
        <v>0</v>
      </c>
    </row>
    <row r="1366" spans="1:8">
      <c r="A1366" s="4" t="s">
        <v>607</v>
      </c>
      <c r="B1366" s="4" t="s">
        <v>608</v>
      </c>
      <c r="C1366" s="4" t="s">
        <v>1721</v>
      </c>
      <c r="D1366" s="4" t="s">
        <v>2364</v>
      </c>
      <c r="E1366" s="6">
        <v>44070</v>
      </c>
      <c r="F1366" s="7">
        <v>-50</v>
      </c>
      <c r="G1366" s="7">
        <v>-30.31</v>
      </c>
      <c r="H1366" s="7">
        <v>0.01</v>
      </c>
    </row>
    <row r="1367" spans="1:8">
      <c r="A1367" s="4" t="s">
        <v>607</v>
      </c>
      <c r="B1367" s="4" t="s">
        <v>608</v>
      </c>
      <c r="C1367" s="4" t="s">
        <v>1325</v>
      </c>
      <c r="D1367" s="4" t="s">
        <v>2365</v>
      </c>
      <c r="E1367" s="6">
        <v>44070</v>
      </c>
      <c r="F1367" s="7">
        <v>-50</v>
      </c>
      <c r="G1367" s="7">
        <v>-25.11</v>
      </c>
      <c r="H1367" s="7">
        <v>0</v>
      </c>
    </row>
    <row r="1368" spans="1:8">
      <c r="A1368" s="4" t="s">
        <v>607</v>
      </c>
      <c r="B1368" s="4" t="s">
        <v>608</v>
      </c>
      <c r="C1368" s="4" t="s">
        <v>942</v>
      </c>
      <c r="D1368" s="4" t="s">
        <v>2366</v>
      </c>
      <c r="E1368" s="6">
        <v>44070</v>
      </c>
      <c r="F1368" s="7">
        <v>-50</v>
      </c>
      <c r="G1368" s="7">
        <v>-50.22</v>
      </c>
      <c r="H1368" s="7">
        <v>0.01</v>
      </c>
    </row>
    <row r="1369" spans="1:8">
      <c r="A1369" s="4" t="s">
        <v>607</v>
      </c>
      <c r="B1369" s="4" t="s">
        <v>608</v>
      </c>
      <c r="C1369" s="4" t="s">
        <v>784</v>
      </c>
      <c r="D1369" s="4" t="s">
        <v>2367</v>
      </c>
      <c r="E1369" s="6">
        <v>44070</v>
      </c>
      <c r="F1369" s="7">
        <v>-1</v>
      </c>
      <c r="G1369" s="7">
        <v>0</v>
      </c>
      <c r="H1369" s="7">
        <v>0</v>
      </c>
    </row>
    <row r="1370" spans="1:8">
      <c r="A1370" s="4" t="s">
        <v>605</v>
      </c>
      <c r="B1370" s="4" t="s">
        <v>606</v>
      </c>
      <c r="C1370" s="4" t="s">
        <v>1005</v>
      </c>
      <c r="D1370" s="4" t="s">
        <v>2368</v>
      </c>
      <c r="E1370" s="6">
        <v>44070</v>
      </c>
      <c r="F1370" s="7">
        <v>-300</v>
      </c>
      <c r="G1370" s="7">
        <v>-223.51999999999998</v>
      </c>
      <c r="H1370" s="7">
        <v>0</v>
      </c>
    </row>
    <row r="1371" spans="1:8">
      <c r="A1371" s="4" t="s">
        <v>605</v>
      </c>
      <c r="B1371" s="4" t="s">
        <v>606</v>
      </c>
      <c r="C1371" s="4" t="s">
        <v>784</v>
      </c>
      <c r="D1371" s="4" t="s">
        <v>2369</v>
      </c>
      <c r="E1371" s="6">
        <v>44070</v>
      </c>
      <c r="F1371" s="7">
        <v>-1</v>
      </c>
      <c r="G1371" s="7">
        <v>0</v>
      </c>
      <c r="H1371" s="7">
        <v>0</v>
      </c>
    </row>
    <row r="1372" spans="1:8">
      <c r="A1372" s="4" t="s">
        <v>611</v>
      </c>
      <c r="B1372" s="4" t="s">
        <v>612</v>
      </c>
      <c r="C1372" s="4" t="s">
        <v>1283</v>
      </c>
      <c r="D1372" s="4" t="s">
        <v>2370</v>
      </c>
      <c r="E1372" s="6">
        <v>44077</v>
      </c>
      <c r="F1372" s="7">
        <v>-300</v>
      </c>
      <c r="G1372" s="7">
        <v>-35.67</v>
      </c>
      <c r="H1372" s="7">
        <v>0</v>
      </c>
    </row>
    <row r="1373" spans="1:8">
      <c r="A1373" s="4" t="s">
        <v>611</v>
      </c>
      <c r="B1373" s="4" t="s">
        <v>612</v>
      </c>
      <c r="C1373" s="4" t="s">
        <v>1283</v>
      </c>
      <c r="D1373" s="4" t="s">
        <v>2371</v>
      </c>
      <c r="E1373" s="6">
        <v>44077</v>
      </c>
      <c r="F1373" s="7">
        <v>-300</v>
      </c>
      <c r="G1373" s="7">
        <v>-35.67</v>
      </c>
      <c r="H1373" s="7">
        <v>0</v>
      </c>
    </row>
    <row r="1374" spans="1:8">
      <c r="A1374" s="4" t="s">
        <v>611</v>
      </c>
      <c r="B1374" s="4" t="s">
        <v>612</v>
      </c>
      <c r="C1374" s="4" t="s">
        <v>784</v>
      </c>
      <c r="D1374" s="4" t="s">
        <v>2372</v>
      </c>
      <c r="E1374" s="6">
        <v>44077</v>
      </c>
      <c r="F1374" s="7">
        <v>-1</v>
      </c>
      <c r="G1374" s="7">
        <v>0</v>
      </c>
      <c r="H1374" s="7">
        <v>0</v>
      </c>
    </row>
    <row r="1375" spans="1:8">
      <c r="A1375" s="4" t="s">
        <v>764</v>
      </c>
      <c r="B1375" s="4" t="s">
        <v>765</v>
      </c>
      <c r="C1375" s="4" t="s">
        <v>2234</v>
      </c>
      <c r="D1375" s="4" t="s">
        <v>2373</v>
      </c>
      <c r="E1375" s="6">
        <v>44070</v>
      </c>
      <c r="F1375" s="7">
        <v>41</v>
      </c>
      <c r="G1375" s="7">
        <v>14.51</v>
      </c>
      <c r="H1375" s="7">
        <v>-0.01</v>
      </c>
    </row>
    <row r="1376" spans="1:8">
      <c r="A1376" s="4" t="s">
        <v>764</v>
      </c>
      <c r="B1376" s="4" t="s">
        <v>765</v>
      </c>
      <c r="C1376" s="4" t="s">
        <v>2234</v>
      </c>
      <c r="D1376" s="4" t="s">
        <v>2374</v>
      </c>
      <c r="E1376" s="6">
        <v>44070</v>
      </c>
      <c r="F1376" s="7">
        <v>-41</v>
      </c>
      <c r="G1376" s="7">
        <v>-14.51</v>
      </c>
      <c r="H1376" s="7">
        <v>0.01</v>
      </c>
    </row>
    <row r="1377" spans="1:8">
      <c r="A1377" s="4" t="s">
        <v>626</v>
      </c>
      <c r="B1377" s="4" t="s">
        <v>627</v>
      </c>
      <c r="C1377" s="4" t="s">
        <v>2010</v>
      </c>
      <c r="D1377" s="4" t="s">
        <v>2375</v>
      </c>
      <c r="E1377" s="6">
        <v>44085</v>
      </c>
      <c r="F1377" s="7">
        <v>-40</v>
      </c>
      <c r="G1377" s="7">
        <v>-183.93</v>
      </c>
      <c r="H1377" s="7">
        <v>0</v>
      </c>
    </row>
    <row r="1378" spans="1:8">
      <c r="A1378" s="4" t="s">
        <v>626</v>
      </c>
      <c r="B1378" s="4" t="s">
        <v>627</v>
      </c>
      <c r="C1378" s="4" t="s">
        <v>2010</v>
      </c>
      <c r="D1378" s="4" t="s">
        <v>2376</v>
      </c>
      <c r="E1378" s="6">
        <v>44085</v>
      </c>
      <c r="F1378" s="7">
        <v>-30</v>
      </c>
      <c r="G1378" s="7">
        <v>-137.94</v>
      </c>
      <c r="H1378" s="7">
        <v>0</v>
      </c>
    </row>
    <row r="1379" spans="1:8">
      <c r="A1379" s="4" t="s">
        <v>626</v>
      </c>
      <c r="B1379" s="4" t="s">
        <v>627</v>
      </c>
      <c r="C1379" s="4" t="s">
        <v>2010</v>
      </c>
      <c r="D1379" s="4" t="s">
        <v>2377</v>
      </c>
      <c r="E1379" s="6">
        <v>44085</v>
      </c>
      <c r="F1379" s="7">
        <v>-30</v>
      </c>
      <c r="G1379" s="7">
        <v>-137.94</v>
      </c>
      <c r="H1379" s="7">
        <v>0</v>
      </c>
    </row>
    <row r="1380" spans="1:8">
      <c r="A1380" s="4" t="s">
        <v>626</v>
      </c>
      <c r="B1380" s="4" t="s">
        <v>627</v>
      </c>
      <c r="C1380" s="4" t="s">
        <v>784</v>
      </c>
      <c r="D1380" s="4" t="s">
        <v>2378</v>
      </c>
      <c r="E1380" s="6">
        <v>44085</v>
      </c>
      <c r="F1380" s="7">
        <v>-1</v>
      </c>
      <c r="G1380" s="7">
        <v>0</v>
      </c>
      <c r="H1380" s="7">
        <v>0</v>
      </c>
    </row>
    <row r="1381" spans="1:8">
      <c r="A1381" s="4" t="s">
        <v>617</v>
      </c>
      <c r="B1381" s="4" t="s">
        <v>618</v>
      </c>
      <c r="C1381" s="4" t="s">
        <v>1325</v>
      </c>
      <c r="D1381" s="4" t="s">
        <v>2379</v>
      </c>
      <c r="E1381" s="6">
        <v>44082</v>
      </c>
      <c r="F1381" s="7">
        <v>-100</v>
      </c>
      <c r="G1381" s="7">
        <v>-50.22</v>
      </c>
      <c r="H1381" s="7">
        <v>0</v>
      </c>
    </row>
    <row r="1382" spans="1:8">
      <c r="A1382" s="4" t="s">
        <v>617</v>
      </c>
      <c r="B1382" s="4" t="s">
        <v>618</v>
      </c>
      <c r="C1382" s="4" t="s">
        <v>2380</v>
      </c>
      <c r="D1382" s="4" t="s">
        <v>2381</v>
      </c>
      <c r="E1382" s="6">
        <v>44082</v>
      </c>
      <c r="F1382" s="7">
        <v>-50</v>
      </c>
      <c r="G1382" s="7">
        <v>-85.15</v>
      </c>
      <c r="H1382" s="7">
        <v>0</v>
      </c>
    </row>
    <row r="1383" spans="1:8">
      <c r="A1383" s="4" t="s">
        <v>617</v>
      </c>
      <c r="B1383" s="4" t="s">
        <v>618</v>
      </c>
      <c r="C1383" s="4" t="s">
        <v>1146</v>
      </c>
      <c r="D1383" s="4" t="s">
        <v>2382</v>
      </c>
      <c r="E1383" s="6">
        <v>44082</v>
      </c>
      <c r="F1383" s="7">
        <v>-25</v>
      </c>
      <c r="G1383" s="7">
        <v>-20.079999999999998</v>
      </c>
      <c r="H1383" s="7">
        <v>0</v>
      </c>
    </row>
    <row r="1384" spans="1:8">
      <c r="A1384" s="4" t="s">
        <v>617</v>
      </c>
      <c r="B1384" s="4" t="s">
        <v>618</v>
      </c>
      <c r="C1384" s="4" t="s">
        <v>1028</v>
      </c>
      <c r="D1384" s="4" t="s">
        <v>2383</v>
      </c>
      <c r="E1384" s="6">
        <v>44082</v>
      </c>
      <c r="F1384" s="7">
        <v>-50</v>
      </c>
      <c r="G1384" s="7">
        <v>-47.82</v>
      </c>
      <c r="H1384" s="7">
        <v>0</v>
      </c>
    </row>
    <row r="1385" spans="1:8">
      <c r="A1385" s="4" t="s">
        <v>617</v>
      </c>
      <c r="B1385" s="4" t="s">
        <v>618</v>
      </c>
      <c r="C1385" s="4" t="s">
        <v>851</v>
      </c>
      <c r="D1385" s="4" t="s">
        <v>2384</v>
      </c>
      <c r="E1385" s="6">
        <v>44082</v>
      </c>
      <c r="F1385" s="7">
        <v>-100</v>
      </c>
      <c r="G1385" s="7">
        <v>-153.85999999999999</v>
      </c>
      <c r="H1385" s="7">
        <v>0</v>
      </c>
    </row>
    <row r="1386" spans="1:8">
      <c r="A1386" s="4" t="s">
        <v>617</v>
      </c>
      <c r="B1386" s="4" t="s">
        <v>618</v>
      </c>
      <c r="C1386" s="4" t="s">
        <v>853</v>
      </c>
      <c r="D1386" s="4" t="s">
        <v>2385</v>
      </c>
      <c r="E1386" s="6">
        <v>44082</v>
      </c>
      <c r="F1386" s="7">
        <v>-25</v>
      </c>
      <c r="G1386" s="7">
        <v>-45</v>
      </c>
      <c r="H1386" s="7">
        <v>0</v>
      </c>
    </row>
    <row r="1387" spans="1:8">
      <c r="A1387" s="4" t="s">
        <v>617</v>
      </c>
      <c r="B1387" s="4" t="s">
        <v>618</v>
      </c>
      <c r="C1387" s="4" t="s">
        <v>784</v>
      </c>
      <c r="D1387" s="4" t="s">
        <v>2386</v>
      </c>
      <c r="E1387" s="6">
        <v>44082</v>
      </c>
      <c r="F1387" s="7">
        <v>-1</v>
      </c>
      <c r="G1387" s="7">
        <v>0</v>
      </c>
      <c r="H1387" s="7">
        <v>0</v>
      </c>
    </row>
    <row r="1388" spans="1:8">
      <c r="A1388" s="4" t="s">
        <v>609</v>
      </c>
      <c r="B1388" s="4" t="s">
        <v>610</v>
      </c>
      <c r="C1388" s="4" t="s">
        <v>2387</v>
      </c>
      <c r="D1388" s="4" t="s">
        <v>2388</v>
      </c>
      <c r="E1388" s="6">
        <v>44074</v>
      </c>
      <c r="F1388" s="7">
        <v>-100</v>
      </c>
      <c r="G1388" s="7">
        <v>-125.91</v>
      </c>
      <c r="H1388" s="7">
        <v>0</v>
      </c>
    </row>
    <row r="1389" spans="1:8">
      <c r="A1389" s="4" t="s">
        <v>609</v>
      </c>
      <c r="B1389" s="4" t="s">
        <v>610</v>
      </c>
      <c r="C1389" s="4" t="s">
        <v>1165</v>
      </c>
      <c r="D1389" s="4" t="s">
        <v>2389</v>
      </c>
      <c r="E1389" s="6">
        <v>44074</v>
      </c>
      <c r="F1389" s="7">
        <v>-20</v>
      </c>
      <c r="G1389" s="7">
        <v>-18.13</v>
      </c>
      <c r="H1389" s="7">
        <v>0</v>
      </c>
    </row>
    <row r="1390" spans="1:8">
      <c r="A1390" s="4" t="s">
        <v>609</v>
      </c>
      <c r="B1390" s="4" t="s">
        <v>610</v>
      </c>
      <c r="C1390" s="4" t="s">
        <v>1030</v>
      </c>
      <c r="D1390" s="4" t="s">
        <v>2390</v>
      </c>
      <c r="E1390" s="6">
        <v>44074</v>
      </c>
      <c r="F1390" s="7">
        <v>-20</v>
      </c>
      <c r="G1390" s="7">
        <v>-43.42</v>
      </c>
      <c r="H1390" s="7">
        <v>0</v>
      </c>
    </row>
    <row r="1391" spans="1:8">
      <c r="A1391" s="4" t="s">
        <v>609</v>
      </c>
      <c r="B1391" s="4" t="s">
        <v>610</v>
      </c>
      <c r="C1391" s="4" t="s">
        <v>2391</v>
      </c>
      <c r="D1391" s="4" t="s">
        <v>2392</v>
      </c>
      <c r="E1391" s="6">
        <v>44074</v>
      </c>
      <c r="F1391" s="7">
        <v>-100</v>
      </c>
      <c r="G1391" s="7">
        <v>-102.71</v>
      </c>
      <c r="H1391" s="7">
        <v>0</v>
      </c>
    </row>
    <row r="1392" spans="1:8">
      <c r="A1392" s="4" t="s">
        <v>609</v>
      </c>
      <c r="B1392" s="4" t="s">
        <v>610</v>
      </c>
      <c r="C1392" s="4" t="s">
        <v>784</v>
      </c>
      <c r="D1392" s="4" t="s">
        <v>2393</v>
      </c>
      <c r="E1392" s="6">
        <v>44074</v>
      </c>
      <c r="F1392" s="7">
        <v>-1</v>
      </c>
      <c r="G1392" s="7">
        <v>0</v>
      </c>
      <c r="H1392" s="7">
        <v>0</v>
      </c>
    </row>
    <row r="1393" spans="1:8">
      <c r="A1393" s="4" t="s">
        <v>634</v>
      </c>
      <c r="B1393" s="4" t="s">
        <v>635</v>
      </c>
      <c r="C1393" s="4" t="s">
        <v>826</v>
      </c>
      <c r="D1393" s="4" t="s">
        <v>2394</v>
      </c>
      <c r="E1393" s="6">
        <v>44089</v>
      </c>
      <c r="F1393" s="7">
        <v>-1</v>
      </c>
      <c r="G1393" s="7">
        <v>-37.44</v>
      </c>
      <c r="H1393" s="7">
        <v>0</v>
      </c>
    </row>
    <row r="1394" spans="1:8">
      <c r="A1394" s="4" t="s">
        <v>634</v>
      </c>
      <c r="B1394" s="4" t="s">
        <v>635</v>
      </c>
      <c r="C1394" s="4" t="s">
        <v>784</v>
      </c>
      <c r="D1394" s="4" t="s">
        <v>2395</v>
      </c>
      <c r="E1394" s="6">
        <v>44089</v>
      </c>
      <c r="F1394" s="7">
        <v>-1</v>
      </c>
      <c r="G1394" s="7">
        <v>0</v>
      </c>
      <c r="H1394" s="7">
        <v>0</v>
      </c>
    </row>
    <row r="1395" spans="1:8">
      <c r="A1395" s="4" t="s">
        <v>707</v>
      </c>
      <c r="B1395" s="4" t="s">
        <v>708</v>
      </c>
      <c r="C1395" s="4" t="s">
        <v>1157</v>
      </c>
      <c r="D1395" s="4" t="s">
        <v>2396</v>
      </c>
      <c r="E1395" s="6">
        <v>44131</v>
      </c>
      <c r="F1395" s="7">
        <v>-315</v>
      </c>
      <c r="G1395" s="7">
        <v>-44.21</v>
      </c>
      <c r="H1395" s="7">
        <v>0.01</v>
      </c>
    </row>
    <row r="1396" spans="1:8">
      <c r="A1396" s="4" t="s">
        <v>707</v>
      </c>
      <c r="B1396" s="4" t="s">
        <v>708</v>
      </c>
      <c r="C1396" s="4" t="s">
        <v>1157</v>
      </c>
      <c r="D1396" s="4" t="s">
        <v>2396</v>
      </c>
      <c r="E1396" s="6">
        <v>44131</v>
      </c>
      <c r="F1396" s="7">
        <v>-7630</v>
      </c>
      <c r="G1396" s="7">
        <v>-1070.8</v>
      </c>
      <c r="H1396" s="7">
        <v>-0.01</v>
      </c>
    </row>
    <row r="1397" spans="1:8">
      <c r="A1397" s="4" t="s">
        <v>707</v>
      </c>
      <c r="B1397" s="4" t="s">
        <v>708</v>
      </c>
      <c r="C1397" s="4" t="s">
        <v>1157</v>
      </c>
      <c r="D1397" s="4" t="s">
        <v>2396</v>
      </c>
      <c r="E1397" s="6">
        <v>44131</v>
      </c>
      <c r="F1397" s="7">
        <v>-2055</v>
      </c>
      <c r="G1397" s="7">
        <v>-288.39999999999998</v>
      </c>
      <c r="H1397" s="7">
        <v>0</v>
      </c>
    </row>
    <row r="1398" spans="1:8">
      <c r="A1398" s="4" t="s">
        <v>707</v>
      </c>
      <c r="B1398" s="4" t="s">
        <v>708</v>
      </c>
      <c r="C1398" s="4" t="s">
        <v>784</v>
      </c>
      <c r="D1398" s="4" t="s">
        <v>2397</v>
      </c>
      <c r="E1398" s="6">
        <v>44131</v>
      </c>
      <c r="F1398" s="7">
        <v>-1</v>
      </c>
      <c r="G1398" s="7">
        <v>0</v>
      </c>
      <c r="H1398" s="7">
        <v>0</v>
      </c>
    </row>
    <row r="1399" spans="1:8">
      <c r="A1399" s="4" t="s">
        <v>619</v>
      </c>
      <c r="B1399" s="4" t="s">
        <v>620</v>
      </c>
      <c r="C1399" s="4" t="s">
        <v>2125</v>
      </c>
      <c r="D1399" s="4" t="s">
        <v>2398</v>
      </c>
      <c r="E1399" s="6">
        <v>44083</v>
      </c>
      <c r="F1399" s="7">
        <v>-50</v>
      </c>
      <c r="G1399" s="7">
        <v>-35.22</v>
      </c>
      <c r="H1399" s="7">
        <v>0</v>
      </c>
    </row>
    <row r="1400" spans="1:8">
      <c r="A1400" s="4" t="s">
        <v>619</v>
      </c>
      <c r="B1400" s="4" t="s">
        <v>620</v>
      </c>
      <c r="C1400" s="4" t="s">
        <v>982</v>
      </c>
      <c r="D1400" s="4" t="s">
        <v>2399</v>
      </c>
      <c r="E1400" s="6">
        <v>44083</v>
      </c>
      <c r="F1400" s="7">
        <v>-25</v>
      </c>
      <c r="G1400" s="7">
        <v>-84.23</v>
      </c>
      <c r="H1400" s="7">
        <v>0</v>
      </c>
    </row>
    <row r="1401" spans="1:8">
      <c r="A1401" s="4" t="s">
        <v>619</v>
      </c>
      <c r="B1401" s="4" t="s">
        <v>620</v>
      </c>
      <c r="C1401" s="4" t="s">
        <v>1044</v>
      </c>
      <c r="D1401" s="4" t="s">
        <v>2400</v>
      </c>
      <c r="E1401" s="6">
        <v>44083</v>
      </c>
      <c r="F1401" s="7">
        <v>-10</v>
      </c>
      <c r="G1401" s="7">
        <v>-42.76</v>
      </c>
      <c r="H1401" s="7">
        <v>0</v>
      </c>
    </row>
    <row r="1402" spans="1:8">
      <c r="A1402" s="4" t="s">
        <v>619</v>
      </c>
      <c r="B1402" s="4" t="s">
        <v>620</v>
      </c>
      <c r="C1402" s="4" t="s">
        <v>873</v>
      </c>
      <c r="D1402" s="4" t="s">
        <v>2401</v>
      </c>
      <c r="E1402" s="6">
        <v>44083</v>
      </c>
      <c r="F1402" s="7">
        <v>-50</v>
      </c>
      <c r="G1402" s="7">
        <v>-20.25</v>
      </c>
      <c r="H1402" s="7">
        <v>0</v>
      </c>
    </row>
    <row r="1403" spans="1:8">
      <c r="A1403" s="4" t="s">
        <v>619</v>
      </c>
      <c r="B1403" s="4" t="s">
        <v>620</v>
      </c>
      <c r="C1403" s="4" t="s">
        <v>936</v>
      </c>
      <c r="D1403" s="4" t="s">
        <v>2402</v>
      </c>
      <c r="E1403" s="6">
        <v>44083</v>
      </c>
      <c r="F1403" s="7">
        <v>-50</v>
      </c>
      <c r="G1403" s="7">
        <v>-23.7</v>
      </c>
      <c r="H1403" s="7">
        <v>0</v>
      </c>
    </row>
    <row r="1404" spans="1:8">
      <c r="A1404" s="4" t="s">
        <v>619</v>
      </c>
      <c r="B1404" s="4" t="s">
        <v>620</v>
      </c>
      <c r="C1404" s="4" t="s">
        <v>942</v>
      </c>
      <c r="D1404" s="4" t="s">
        <v>2403</v>
      </c>
      <c r="E1404" s="6">
        <v>44083</v>
      </c>
      <c r="F1404" s="7">
        <v>-30</v>
      </c>
      <c r="G1404" s="7">
        <v>-30.13</v>
      </c>
      <c r="H1404" s="7">
        <v>0</v>
      </c>
    </row>
    <row r="1405" spans="1:8">
      <c r="A1405" s="4" t="s">
        <v>619</v>
      </c>
      <c r="B1405" s="4" t="s">
        <v>620</v>
      </c>
      <c r="C1405" s="4" t="s">
        <v>1126</v>
      </c>
      <c r="D1405" s="4" t="s">
        <v>2404</v>
      </c>
      <c r="E1405" s="6">
        <v>44083</v>
      </c>
      <c r="F1405" s="7">
        <v>-30</v>
      </c>
      <c r="G1405" s="7">
        <v>-42.26</v>
      </c>
      <c r="H1405" s="7">
        <v>0</v>
      </c>
    </row>
    <row r="1406" spans="1:8">
      <c r="A1406" s="4" t="s">
        <v>619</v>
      </c>
      <c r="B1406" s="4" t="s">
        <v>620</v>
      </c>
      <c r="C1406" s="4" t="s">
        <v>1213</v>
      </c>
      <c r="D1406" s="4" t="s">
        <v>2405</v>
      </c>
      <c r="E1406" s="6">
        <v>44083</v>
      </c>
      <c r="F1406" s="7">
        <v>-50</v>
      </c>
      <c r="G1406" s="7">
        <v>-31.68</v>
      </c>
      <c r="H1406" s="7">
        <v>-0.01</v>
      </c>
    </row>
    <row r="1407" spans="1:8">
      <c r="A1407" s="4" t="s">
        <v>619</v>
      </c>
      <c r="B1407" s="4" t="s">
        <v>620</v>
      </c>
      <c r="C1407" s="4" t="s">
        <v>979</v>
      </c>
      <c r="D1407" s="4" t="s">
        <v>2406</v>
      </c>
      <c r="E1407" s="6">
        <v>44083</v>
      </c>
      <c r="F1407" s="7">
        <v>-25</v>
      </c>
      <c r="G1407" s="7">
        <v>-31.26</v>
      </c>
      <c r="H1407" s="7">
        <v>0</v>
      </c>
    </row>
    <row r="1408" spans="1:8">
      <c r="A1408" s="4" t="s">
        <v>619</v>
      </c>
      <c r="B1408" s="4" t="s">
        <v>620</v>
      </c>
      <c r="C1408" s="4" t="s">
        <v>1018</v>
      </c>
      <c r="D1408" s="4" t="s">
        <v>2407</v>
      </c>
      <c r="E1408" s="6">
        <v>44083</v>
      </c>
      <c r="F1408" s="7">
        <v>-50</v>
      </c>
      <c r="G1408" s="7">
        <v>-29.79</v>
      </c>
      <c r="H1408" s="7">
        <v>0</v>
      </c>
    </row>
    <row r="1409" spans="1:8">
      <c r="A1409" s="4" t="s">
        <v>619</v>
      </c>
      <c r="B1409" s="4" t="s">
        <v>620</v>
      </c>
      <c r="C1409" s="4" t="s">
        <v>853</v>
      </c>
      <c r="D1409" s="4" t="s">
        <v>2408</v>
      </c>
      <c r="E1409" s="6">
        <v>44083</v>
      </c>
      <c r="F1409" s="7">
        <v>-20</v>
      </c>
      <c r="G1409" s="7">
        <v>-36</v>
      </c>
      <c r="H1409" s="7">
        <v>0</v>
      </c>
    </row>
    <row r="1410" spans="1:8">
      <c r="A1410" s="4" t="s">
        <v>619</v>
      </c>
      <c r="B1410" s="4" t="s">
        <v>620</v>
      </c>
      <c r="C1410" s="4" t="s">
        <v>1030</v>
      </c>
      <c r="D1410" s="4" t="s">
        <v>2409</v>
      </c>
      <c r="E1410" s="6">
        <v>44083</v>
      </c>
      <c r="F1410" s="7">
        <v>-20</v>
      </c>
      <c r="G1410" s="7">
        <v>-43.42</v>
      </c>
      <c r="H1410" s="7">
        <v>0</v>
      </c>
    </row>
    <row r="1411" spans="1:8">
      <c r="A1411" s="4" t="s">
        <v>619</v>
      </c>
      <c r="B1411" s="4" t="s">
        <v>620</v>
      </c>
      <c r="C1411" s="4" t="s">
        <v>1060</v>
      </c>
      <c r="D1411" s="4" t="s">
        <v>2410</v>
      </c>
      <c r="E1411" s="6">
        <v>44083</v>
      </c>
      <c r="F1411" s="7">
        <v>-20</v>
      </c>
      <c r="G1411" s="7">
        <v>-14.88</v>
      </c>
      <c r="H1411" s="7">
        <v>0</v>
      </c>
    </row>
    <row r="1412" spans="1:8">
      <c r="A1412" s="4" t="s">
        <v>619</v>
      </c>
      <c r="B1412" s="4" t="s">
        <v>620</v>
      </c>
      <c r="C1412" s="4" t="s">
        <v>1652</v>
      </c>
      <c r="D1412" s="4" t="s">
        <v>2411</v>
      </c>
      <c r="E1412" s="6">
        <v>44083</v>
      </c>
      <c r="F1412" s="7">
        <v>-50</v>
      </c>
      <c r="G1412" s="7">
        <v>-21.84</v>
      </c>
      <c r="H1412" s="7">
        <v>-0.01</v>
      </c>
    </row>
    <row r="1413" spans="1:8">
      <c r="A1413" s="4" t="s">
        <v>619</v>
      </c>
      <c r="B1413" s="4" t="s">
        <v>620</v>
      </c>
      <c r="C1413" s="4" t="s">
        <v>784</v>
      </c>
      <c r="D1413" s="4" t="s">
        <v>2412</v>
      </c>
      <c r="E1413" s="6">
        <v>44083</v>
      </c>
      <c r="F1413" s="7">
        <v>-1</v>
      </c>
      <c r="G1413" s="7">
        <v>0</v>
      </c>
      <c r="H1413" s="7">
        <v>0</v>
      </c>
    </row>
    <row r="1414" spans="1:8">
      <c r="A1414" s="4" t="s">
        <v>622</v>
      </c>
      <c r="B1414" s="4" t="s">
        <v>623</v>
      </c>
      <c r="C1414" s="4" t="s">
        <v>851</v>
      </c>
      <c r="D1414" s="4" t="s">
        <v>2413</v>
      </c>
      <c r="E1414" s="6">
        <v>44083</v>
      </c>
      <c r="F1414" s="7">
        <v>-50</v>
      </c>
      <c r="G1414" s="7">
        <v>-76.930000000000007</v>
      </c>
      <c r="H1414" s="7">
        <v>0</v>
      </c>
    </row>
    <row r="1415" spans="1:8">
      <c r="A1415" s="4" t="s">
        <v>622</v>
      </c>
      <c r="B1415" s="4" t="s">
        <v>623</v>
      </c>
      <c r="C1415" s="4" t="s">
        <v>1146</v>
      </c>
      <c r="D1415" s="4" t="s">
        <v>2414</v>
      </c>
      <c r="E1415" s="6">
        <v>44083</v>
      </c>
      <c r="F1415" s="7">
        <v>-50</v>
      </c>
      <c r="G1415" s="7">
        <v>-40.15</v>
      </c>
      <c r="H1415" s="7">
        <v>0</v>
      </c>
    </row>
    <row r="1416" spans="1:8">
      <c r="A1416" s="4" t="s">
        <v>622</v>
      </c>
      <c r="B1416" s="4" t="s">
        <v>623</v>
      </c>
      <c r="C1416" s="4" t="s">
        <v>940</v>
      </c>
      <c r="D1416" s="4" t="s">
        <v>2415</v>
      </c>
      <c r="E1416" s="6">
        <v>44083</v>
      </c>
      <c r="F1416" s="7">
        <v>-200</v>
      </c>
      <c r="G1416" s="7">
        <v>-112.9</v>
      </c>
      <c r="H1416" s="7">
        <v>0</v>
      </c>
    </row>
    <row r="1417" spans="1:8">
      <c r="A1417" s="4" t="s">
        <v>622</v>
      </c>
      <c r="B1417" s="4" t="s">
        <v>623</v>
      </c>
      <c r="C1417" s="4" t="s">
        <v>784</v>
      </c>
      <c r="D1417" s="4" t="s">
        <v>2416</v>
      </c>
      <c r="E1417" s="6">
        <v>44083</v>
      </c>
      <c r="F1417" s="7">
        <v>-1</v>
      </c>
      <c r="G1417" s="7">
        <v>0</v>
      </c>
      <c r="H1417" s="7">
        <v>0</v>
      </c>
    </row>
    <row r="1418" spans="1:8">
      <c r="A1418" s="4" t="s">
        <v>617</v>
      </c>
      <c r="B1418" s="4" t="s">
        <v>618</v>
      </c>
      <c r="C1418" s="4" t="s">
        <v>1026</v>
      </c>
      <c r="D1418" s="4" t="s">
        <v>2417</v>
      </c>
      <c r="E1418" s="6">
        <v>44082</v>
      </c>
      <c r="F1418" s="7">
        <v>-50</v>
      </c>
      <c r="G1418" s="7">
        <v>-34.24</v>
      </c>
      <c r="H1418" s="7">
        <v>0</v>
      </c>
    </row>
    <row r="1419" spans="1:8">
      <c r="A1419" s="4" t="s">
        <v>617</v>
      </c>
      <c r="B1419" s="4" t="s">
        <v>618</v>
      </c>
      <c r="C1419" s="4" t="s">
        <v>1137</v>
      </c>
      <c r="D1419" s="4" t="s">
        <v>2418</v>
      </c>
      <c r="E1419" s="6">
        <v>44082</v>
      </c>
      <c r="F1419" s="7">
        <v>-200</v>
      </c>
      <c r="G1419" s="7">
        <v>-56.45</v>
      </c>
      <c r="H1419" s="7">
        <v>0</v>
      </c>
    </row>
    <row r="1420" spans="1:8">
      <c r="A1420" s="4" t="s">
        <v>617</v>
      </c>
      <c r="B1420" s="4" t="s">
        <v>618</v>
      </c>
      <c r="C1420" s="4" t="s">
        <v>1151</v>
      </c>
      <c r="D1420" s="4" t="s">
        <v>2419</v>
      </c>
      <c r="E1420" s="6">
        <v>44082</v>
      </c>
      <c r="F1420" s="7">
        <v>-50</v>
      </c>
      <c r="G1420" s="7">
        <v>-45</v>
      </c>
      <c r="H1420" s="7">
        <v>0</v>
      </c>
    </row>
    <row r="1421" spans="1:8">
      <c r="A1421" s="4" t="s">
        <v>648</v>
      </c>
      <c r="B1421" s="4" t="s">
        <v>649</v>
      </c>
      <c r="C1421" s="4" t="s">
        <v>1640</v>
      </c>
      <c r="D1421" s="4" t="s">
        <v>2420</v>
      </c>
      <c r="E1421" s="6">
        <v>44097</v>
      </c>
      <c r="F1421" s="7">
        <v>-500</v>
      </c>
      <c r="G1421" s="7">
        <v>-1138.33</v>
      </c>
      <c r="H1421" s="7">
        <v>0</v>
      </c>
    </row>
    <row r="1422" spans="1:8">
      <c r="A1422" s="4" t="s">
        <v>648</v>
      </c>
      <c r="B1422" s="4" t="s">
        <v>649</v>
      </c>
      <c r="C1422" s="4" t="s">
        <v>784</v>
      </c>
      <c r="D1422" s="4" t="s">
        <v>2421</v>
      </c>
      <c r="E1422" s="6">
        <v>44097</v>
      </c>
      <c r="F1422" s="7">
        <v>-1</v>
      </c>
      <c r="G1422" s="7">
        <v>0</v>
      </c>
      <c r="H1422" s="7">
        <v>0</v>
      </c>
    </row>
    <row r="1423" spans="1:8">
      <c r="A1423" s="4" t="s">
        <v>624</v>
      </c>
      <c r="B1423" s="4" t="s">
        <v>625</v>
      </c>
      <c r="C1423" s="4" t="s">
        <v>1384</v>
      </c>
      <c r="D1423" s="4" t="s">
        <v>2422</v>
      </c>
      <c r="E1423" s="6">
        <v>44083</v>
      </c>
      <c r="F1423" s="7">
        <v>-50</v>
      </c>
      <c r="G1423" s="7">
        <v>-37.19</v>
      </c>
      <c r="H1423" s="7">
        <v>0</v>
      </c>
    </row>
    <row r="1424" spans="1:8">
      <c r="A1424" s="4" t="s">
        <v>624</v>
      </c>
      <c r="B1424" s="4" t="s">
        <v>625</v>
      </c>
      <c r="C1424" s="4" t="s">
        <v>1042</v>
      </c>
      <c r="D1424" s="4" t="s">
        <v>2423</v>
      </c>
      <c r="E1424" s="6">
        <v>44083</v>
      </c>
      <c r="F1424" s="7">
        <v>-50</v>
      </c>
      <c r="G1424" s="7">
        <v>-31.87</v>
      </c>
      <c r="H1424" s="7">
        <v>0.01</v>
      </c>
    </row>
    <row r="1425" spans="1:8">
      <c r="A1425" s="4" t="s">
        <v>624</v>
      </c>
      <c r="B1425" s="4" t="s">
        <v>625</v>
      </c>
      <c r="C1425" s="4" t="s">
        <v>2424</v>
      </c>
      <c r="D1425" s="4" t="s">
        <v>2425</v>
      </c>
      <c r="E1425" s="6">
        <v>44083</v>
      </c>
      <c r="F1425" s="7">
        <v>-50</v>
      </c>
      <c r="G1425" s="7">
        <v>-59.83</v>
      </c>
      <c r="H1425" s="7">
        <v>0</v>
      </c>
    </row>
    <row r="1426" spans="1:8">
      <c r="A1426" s="4" t="s">
        <v>624</v>
      </c>
      <c r="B1426" s="4" t="s">
        <v>625</v>
      </c>
      <c r="C1426" s="4" t="s">
        <v>784</v>
      </c>
      <c r="D1426" s="4" t="s">
        <v>2426</v>
      </c>
      <c r="E1426" s="6">
        <v>44083</v>
      </c>
      <c r="F1426" s="7">
        <v>-1</v>
      </c>
      <c r="G1426" s="7">
        <v>0</v>
      </c>
      <c r="H1426" s="7">
        <v>0</v>
      </c>
    </row>
    <row r="1427" spans="1:8">
      <c r="A1427" s="4" t="s">
        <v>651</v>
      </c>
      <c r="B1427" s="4" t="s">
        <v>652</v>
      </c>
      <c r="C1427" s="4" t="s">
        <v>887</v>
      </c>
      <c r="D1427" s="4" t="s">
        <v>2427</v>
      </c>
      <c r="E1427" s="6">
        <v>44097</v>
      </c>
      <c r="F1427" s="7">
        <v>-50</v>
      </c>
      <c r="G1427" s="7">
        <v>-20.45</v>
      </c>
      <c r="H1427" s="7">
        <v>0</v>
      </c>
    </row>
    <row r="1428" spans="1:8">
      <c r="A1428" s="4" t="s">
        <v>651</v>
      </c>
      <c r="B1428" s="4" t="s">
        <v>652</v>
      </c>
      <c r="C1428" s="4" t="s">
        <v>949</v>
      </c>
      <c r="D1428" s="4" t="s">
        <v>2428</v>
      </c>
      <c r="E1428" s="6">
        <v>44097</v>
      </c>
      <c r="F1428" s="7">
        <v>-50</v>
      </c>
      <c r="G1428" s="7">
        <v>-18.02</v>
      </c>
      <c r="H1428" s="7">
        <v>0</v>
      </c>
    </row>
    <row r="1429" spans="1:8">
      <c r="A1429" s="4" t="s">
        <v>651</v>
      </c>
      <c r="B1429" s="4" t="s">
        <v>652</v>
      </c>
      <c r="C1429" s="4" t="s">
        <v>873</v>
      </c>
      <c r="D1429" s="4" t="s">
        <v>2429</v>
      </c>
      <c r="E1429" s="6">
        <v>44097</v>
      </c>
      <c r="F1429" s="7">
        <v>-50</v>
      </c>
      <c r="G1429" s="7">
        <v>-20.25</v>
      </c>
      <c r="H1429" s="7">
        <v>0.01</v>
      </c>
    </row>
    <row r="1430" spans="1:8">
      <c r="A1430" s="4" t="s">
        <v>651</v>
      </c>
      <c r="B1430" s="4" t="s">
        <v>652</v>
      </c>
      <c r="C1430" s="4" t="s">
        <v>936</v>
      </c>
      <c r="D1430" s="4" t="s">
        <v>2430</v>
      </c>
      <c r="E1430" s="6">
        <v>44097</v>
      </c>
      <c r="F1430" s="7">
        <v>-100</v>
      </c>
      <c r="G1430" s="7">
        <v>-47.4</v>
      </c>
      <c r="H1430" s="7">
        <v>0</v>
      </c>
    </row>
    <row r="1431" spans="1:8">
      <c r="A1431" s="4" t="s">
        <v>651</v>
      </c>
      <c r="B1431" s="4" t="s">
        <v>652</v>
      </c>
      <c r="C1431" s="4" t="s">
        <v>855</v>
      </c>
      <c r="D1431" s="4" t="s">
        <v>2431</v>
      </c>
      <c r="E1431" s="6">
        <v>44097</v>
      </c>
      <c r="F1431" s="7">
        <v>-20</v>
      </c>
      <c r="G1431" s="7">
        <v>-30.04</v>
      </c>
      <c r="H1431" s="7">
        <v>0</v>
      </c>
    </row>
    <row r="1432" spans="1:8">
      <c r="A1432" s="4" t="s">
        <v>651</v>
      </c>
      <c r="B1432" s="4" t="s">
        <v>652</v>
      </c>
      <c r="C1432" s="4" t="s">
        <v>1669</v>
      </c>
      <c r="D1432" s="4" t="s">
        <v>2432</v>
      </c>
      <c r="E1432" s="6">
        <v>44097</v>
      </c>
      <c r="F1432" s="7">
        <v>-20</v>
      </c>
      <c r="G1432" s="7">
        <v>-45.86</v>
      </c>
      <c r="H1432" s="7">
        <v>-0.01</v>
      </c>
    </row>
    <row r="1433" spans="1:8">
      <c r="A1433" s="4" t="s">
        <v>651</v>
      </c>
      <c r="B1433" s="4" t="s">
        <v>652</v>
      </c>
      <c r="C1433" s="4" t="s">
        <v>1063</v>
      </c>
      <c r="D1433" s="4" t="s">
        <v>2433</v>
      </c>
      <c r="E1433" s="6">
        <v>44097</v>
      </c>
      <c r="F1433" s="7">
        <v>-50</v>
      </c>
      <c r="G1433" s="7">
        <v>-34.26</v>
      </c>
      <c r="H1433" s="7">
        <v>0</v>
      </c>
    </row>
    <row r="1434" spans="1:8">
      <c r="A1434" s="4" t="s">
        <v>651</v>
      </c>
      <c r="B1434" s="4" t="s">
        <v>652</v>
      </c>
      <c r="C1434" s="4" t="s">
        <v>1165</v>
      </c>
      <c r="D1434" s="4" t="s">
        <v>2434</v>
      </c>
      <c r="E1434" s="6">
        <v>44097</v>
      </c>
      <c r="F1434" s="7">
        <v>-10</v>
      </c>
      <c r="G1434" s="7">
        <v>-9.0599999999999987</v>
      </c>
      <c r="H1434" s="7">
        <v>0</v>
      </c>
    </row>
    <row r="1435" spans="1:8">
      <c r="A1435" s="4" t="s">
        <v>651</v>
      </c>
      <c r="B1435" s="4" t="s">
        <v>652</v>
      </c>
      <c r="C1435" s="4" t="s">
        <v>989</v>
      </c>
      <c r="D1435" s="4" t="s">
        <v>2435</v>
      </c>
      <c r="E1435" s="6">
        <v>44097</v>
      </c>
      <c r="F1435" s="7">
        <v>-10</v>
      </c>
      <c r="G1435" s="7">
        <v>-15.64</v>
      </c>
      <c r="H1435" s="7">
        <v>0</v>
      </c>
    </row>
    <row r="1436" spans="1:8">
      <c r="A1436" s="4" t="s">
        <v>651</v>
      </c>
      <c r="B1436" s="4" t="s">
        <v>652</v>
      </c>
      <c r="C1436" s="4" t="s">
        <v>1371</v>
      </c>
      <c r="D1436" s="4" t="s">
        <v>2436</v>
      </c>
      <c r="E1436" s="6">
        <v>44097</v>
      </c>
      <c r="F1436" s="7">
        <v>-50</v>
      </c>
      <c r="G1436" s="7">
        <v>-82.18</v>
      </c>
      <c r="H1436" s="7">
        <v>0</v>
      </c>
    </row>
    <row r="1437" spans="1:8">
      <c r="A1437" s="4" t="s">
        <v>651</v>
      </c>
      <c r="B1437" s="4" t="s">
        <v>652</v>
      </c>
      <c r="C1437" s="4" t="s">
        <v>815</v>
      </c>
      <c r="D1437" s="4" t="s">
        <v>2437</v>
      </c>
      <c r="E1437" s="6">
        <v>44097</v>
      </c>
      <c r="F1437" s="7">
        <v>-50</v>
      </c>
      <c r="G1437" s="7">
        <v>-95.63</v>
      </c>
      <c r="H1437" s="7">
        <v>0</v>
      </c>
    </row>
    <row r="1438" spans="1:8">
      <c r="A1438" s="4" t="s">
        <v>651</v>
      </c>
      <c r="B1438" s="4" t="s">
        <v>652</v>
      </c>
      <c r="C1438" s="4" t="s">
        <v>893</v>
      </c>
      <c r="D1438" s="4" t="s">
        <v>2438</v>
      </c>
      <c r="E1438" s="6">
        <v>44097</v>
      </c>
      <c r="F1438" s="7">
        <v>-100</v>
      </c>
      <c r="G1438" s="7">
        <v>-307.71999999999997</v>
      </c>
      <c r="H1438" s="7">
        <v>0</v>
      </c>
    </row>
    <row r="1439" spans="1:8">
      <c r="A1439" s="4" t="s">
        <v>651</v>
      </c>
      <c r="B1439" s="4" t="s">
        <v>652</v>
      </c>
      <c r="C1439" s="4" t="s">
        <v>952</v>
      </c>
      <c r="D1439" s="4" t="s">
        <v>2439</v>
      </c>
      <c r="E1439" s="6">
        <v>44097</v>
      </c>
      <c r="F1439" s="7">
        <v>-50</v>
      </c>
      <c r="G1439" s="7">
        <v>-33.08</v>
      </c>
      <c r="H1439" s="7">
        <v>0</v>
      </c>
    </row>
    <row r="1440" spans="1:8">
      <c r="A1440" s="4" t="s">
        <v>651</v>
      </c>
      <c r="B1440" s="4" t="s">
        <v>652</v>
      </c>
      <c r="C1440" s="4" t="s">
        <v>1213</v>
      </c>
      <c r="D1440" s="4" t="s">
        <v>2440</v>
      </c>
      <c r="E1440" s="6">
        <v>44097</v>
      </c>
      <c r="F1440" s="7">
        <v>-50</v>
      </c>
      <c r="G1440" s="7">
        <v>-31.68</v>
      </c>
      <c r="H1440" s="7">
        <v>0</v>
      </c>
    </row>
    <row r="1441" spans="1:8">
      <c r="A1441" s="4" t="s">
        <v>651</v>
      </c>
      <c r="B1441" s="4" t="s">
        <v>652</v>
      </c>
      <c r="C1441" s="4" t="s">
        <v>875</v>
      </c>
      <c r="D1441" s="4" t="s">
        <v>2441</v>
      </c>
      <c r="E1441" s="6">
        <v>44097</v>
      </c>
      <c r="F1441" s="7">
        <v>-50</v>
      </c>
      <c r="G1441" s="7">
        <v>-22.81</v>
      </c>
      <c r="H1441" s="7">
        <v>0</v>
      </c>
    </row>
    <row r="1442" spans="1:8">
      <c r="A1442" s="4" t="s">
        <v>651</v>
      </c>
      <c r="B1442" s="4" t="s">
        <v>652</v>
      </c>
      <c r="C1442" s="4" t="s">
        <v>889</v>
      </c>
      <c r="D1442" s="4" t="s">
        <v>2442</v>
      </c>
      <c r="E1442" s="6">
        <v>44097</v>
      </c>
      <c r="F1442" s="7">
        <v>-50</v>
      </c>
      <c r="G1442" s="7">
        <v>-22.34</v>
      </c>
      <c r="H1442" s="7">
        <v>0.01</v>
      </c>
    </row>
    <row r="1443" spans="1:8">
      <c r="A1443" s="4" t="s">
        <v>651</v>
      </c>
      <c r="B1443" s="4" t="s">
        <v>652</v>
      </c>
      <c r="C1443" s="4" t="s">
        <v>784</v>
      </c>
      <c r="D1443" s="4" t="s">
        <v>2443</v>
      </c>
      <c r="E1443" s="6">
        <v>44097</v>
      </c>
      <c r="F1443" s="7">
        <v>-1</v>
      </c>
      <c r="G1443" s="7">
        <v>0</v>
      </c>
      <c r="H1443" s="7">
        <v>0</v>
      </c>
    </row>
    <row r="1444" spans="1:8">
      <c r="A1444" s="4" t="s">
        <v>628</v>
      </c>
      <c r="B1444" s="4" t="s">
        <v>629</v>
      </c>
      <c r="C1444" s="4" t="s">
        <v>813</v>
      </c>
      <c r="D1444" s="4" t="s">
        <v>2444</v>
      </c>
      <c r="E1444" s="6">
        <v>44085</v>
      </c>
      <c r="F1444" s="7">
        <v>-500</v>
      </c>
      <c r="G1444" s="7">
        <v>-564.49</v>
      </c>
      <c r="H1444" s="7">
        <v>0</v>
      </c>
    </row>
    <row r="1445" spans="1:8">
      <c r="A1445" s="4" t="s">
        <v>673</v>
      </c>
      <c r="B1445" s="4" t="s">
        <v>674</v>
      </c>
      <c r="C1445" s="4" t="s">
        <v>1236</v>
      </c>
      <c r="D1445" s="4" t="s">
        <v>2445</v>
      </c>
      <c r="E1445" s="6">
        <v>44111</v>
      </c>
      <c r="F1445" s="7">
        <v>-1</v>
      </c>
      <c r="G1445" s="7">
        <v>0</v>
      </c>
      <c r="H1445" s="7">
        <v>0</v>
      </c>
    </row>
    <row r="1446" spans="1:8">
      <c r="A1446" s="4" t="s">
        <v>648</v>
      </c>
      <c r="B1446" s="4" t="s">
        <v>649</v>
      </c>
      <c r="C1446" s="4" t="s">
        <v>889</v>
      </c>
      <c r="D1446" s="4" t="s">
        <v>2446</v>
      </c>
      <c r="E1446" s="6">
        <v>44097</v>
      </c>
      <c r="F1446" s="7">
        <v>-200</v>
      </c>
      <c r="G1446" s="7">
        <v>-89.35</v>
      </c>
      <c r="H1446" s="7">
        <v>-0.01</v>
      </c>
    </row>
    <row r="1447" spans="1:8">
      <c r="A1447" s="4" t="s">
        <v>659</v>
      </c>
      <c r="B1447" s="4" t="s">
        <v>660</v>
      </c>
      <c r="C1447" s="4" t="s">
        <v>786</v>
      </c>
      <c r="D1447" s="4" t="s">
        <v>2447</v>
      </c>
      <c r="E1447" s="6">
        <v>44106</v>
      </c>
      <c r="F1447" s="7">
        <v>-1000</v>
      </c>
      <c r="G1447" s="7">
        <v>-669.41000000000008</v>
      </c>
      <c r="H1447" s="7">
        <v>0</v>
      </c>
    </row>
    <row r="1448" spans="1:8">
      <c r="A1448" s="4" t="s">
        <v>659</v>
      </c>
      <c r="B1448" s="4" t="s">
        <v>660</v>
      </c>
      <c r="C1448" s="4" t="s">
        <v>801</v>
      </c>
      <c r="D1448" s="4" t="s">
        <v>2448</v>
      </c>
      <c r="E1448" s="6">
        <v>44106</v>
      </c>
      <c r="F1448" s="7">
        <v>-2000</v>
      </c>
      <c r="G1448" s="7">
        <v>-1721.35</v>
      </c>
      <c r="H1448" s="7">
        <v>0</v>
      </c>
    </row>
    <row r="1449" spans="1:8">
      <c r="A1449" s="4" t="s">
        <v>659</v>
      </c>
      <c r="B1449" s="4" t="s">
        <v>660</v>
      </c>
      <c r="C1449" s="4" t="s">
        <v>799</v>
      </c>
      <c r="D1449" s="4" t="s">
        <v>2449</v>
      </c>
      <c r="E1449" s="6">
        <v>44106</v>
      </c>
      <c r="F1449" s="7">
        <v>-1500</v>
      </c>
      <c r="G1449" s="7">
        <v>-1147.56</v>
      </c>
      <c r="H1449" s="7">
        <v>-0.01</v>
      </c>
    </row>
    <row r="1450" spans="1:8">
      <c r="A1450" s="4" t="s">
        <v>659</v>
      </c>
      <c r="B1450" s="4" t="s">
        <v>660</v>
      </c>
      <c r="C1450" s="4" t="s">
        <v>1086</v>
      </c>
      <c r="D1450" s="4" t="s">
        <v>2450</v>
      </c>
      <c r="E1450" s="6">
        <v>44106</v>
      </c>
      <c r="F1450" s="7">
        <v>-100</v>
      </c>
      <c r="G1450" s="7">
        <v>-85.8</v>
      </c>
      <c r="H1450" s="7">
        <v>0</v>
      </c>
    </row>
    <row r="1451" spans="1:8">
      <c r="A1451" s="4" t="s">
        <v>659</v>
      </c>
      <c r="B1451" s="4" t="s">
        <v>660</v>
      </c>
      <c r="C1451" s="4" t="s">
        <v>784</v>
      </c>
      <c r="D1451" s="4" t="s">
        <v>2451</v>
      </c>
      <c r="E1451" s="6">
        <v>44106</v>
      </c>
      <c r="F1451" s="7">
        <v>-1</v>
      </c>
      <c r="G1451" s="7">
        <v>0</v>
      </c>
      <c r="H1451" s="7">
        <v>0</v>
      </c>
    </row>
    <row r="1452" spans="1:8">
      <c r="A1452" s="4" t="s">
        <v>638</v>
      </c>
      <c r="B1452" s="4" t="s">
        <v>639</v>
      </c>
      <c r="C1452" s="4" t="s">
        <v>993</v>
      </c>
      <c r="D1452" s="4" t="s">
        <v>2452</v>
      </c>
      <c r="E1452" s="6">
        <v>44089</v>
      </c>
      <c r="F1452" s="7">
        <v>-100</v>
      </c>
      <c r="G1452" s="7">
        <v>-35.31</v>
      </c>
      <c r="H1452" s="7">
        <v>0</v>
      </c>
    </row>
    <row r="1453" spans="1:8">
      <c r="A1453" s="4" t="s">
        <v>638</v>
      </c>
      <c r="B1453" s="4" t="s">
        <v>639</v>
      </c>
      <c r="C1453" s="4" t="s">
        <v>936</v>
      </c>
      <c r="D1453" s="4" t="s">
        <v>2453</v>
      </c>
      <c r="E1453" s="6">
        <v>44089</v>
      </c>
      <c r="F1453" s="7">
        <v>-100</v>
      </c>
      <c r="G1453" s="7">
        <v>-47.4</v>
      </c>
      <c r="H1453" s="7">
        <v>0</v>
      </c>
    </row>
    <row r="1454" spans="1:8">
      <c r="A1454" s="4" t="s">
        <v>638</v>
      </c>
      <c r="B1454" s="4" t="s">
        <v>639</v>
      </c>
      <c r="C1454" s="4" t="s">
        <v>1439</v>
      </c>
      <c r="D1454" s="4" t="s">
        <v>2454</v>
      </c>
      <c r="E1454" s="6">
        <v>44089</v>
      </c>
      <c r="F1454" s="7">
        <v>-100</v>
      </c>
      <c r="G1454" s="7">
        <v>-200.85999999999999</v>
      </c>
      <c r="H1454" s="7">
        <v>0</v>
      </c>
    </row>
    <row r="1455" spans="1:8">
      <c r="A1455" s="4" t="s">
        <v>638</v>
      </c>
      <c r="B1455" s="4" t="s">
        <v>639</v>
      </c>
      <c r="C1455" s="4" t="s">
        <v>1364</v>
      </c>
      <c r="D1455" s="4" t="s">
        <v>2455</v>
      </c>
      <c r="E1455" s="6">
        <v>44089</v>
      </c>
      <c r="F1455" s="7">
        <v>-50</v>
      </c>
      <c r="G1455" s="7">
        <v>-140.87</v>
      </c>
      <c r="H1455" s="7">
        <v>0</v>
      </c>
    </row>
    <row r="1456" spans="1:8">
      <c r="A1456" s="4" t="s">
        <v>638</v>
      </c>
      <c r="B1456" s="4" t="s">
        <v>639</v>
      </c>
      <c r="C1456" s="4" t="s">
        <v>889</v>
      </c>
      <c r="D1456" s="4" t="s">
        <v>2456</v>
      </c>
      <c r="E1456" s="6">
        <v>44089</v>
      </c>
      <c r="F1456" s="7">
        <v>-150</v>
      </c>
      <c r="G1456" s="7">
        <v>-67.010000000000005</v>
      </c>
      <c r="H1456" s="7">
        <v>0</v>
      </c>
    </row>
    <row r="1457" spans="1:8">
      <c r="A1457" s="4" t="s">
        <v>638</v>
      </c>
      <c r="B1457" s="4" t="s">
        <v>639</v>
      </c>
      <c r="C1457" s="4" t="s">
        <v>879</v>
      </c>
      <c r="D1457" s="4" t="s">
        <v>2457</v>
      </c>
      <c r="E1457" s="6">
        <v>44089</v>
      </c>
      <c r="F1457" s="7">
        <v>-50</v>
      </c>
      <c r="G1457" s="7">
        <v>-41.11</v>
      </c>
      <c r="H1457" s="7">
        <v>0</v>
      </c>
    </row>
    <row r="1458" spans="1:8">
      <c r="A1458" s="4" t="s">
        <v>638</v>
      </c>
      <c r="B1458" s="4" t="s">
        <v>639</v>
      </c>
      <c r="C1458" s="4" t="s">
        <v>1015</v>
      </c>
      <c r="D1458" s="4" t="s">
        <v>2458</v>
      </c>
      <c r="E1458" s="6">
        <v>44089</v>
      </c>
      <c r="F1458" s="7">
        <v>-100</v>
      </c>
      <c r="G1458" s="7">
        <v>-92.61</v>
      </c>
      <c r="H1458" s="7">
        <v>0</v>
      </c>
    </row>
    <row r="1459" spans="1:8">
      <c r="A1459" s="4" t="s">
        <v>638</v>
      </c>
      <c r="B1459" s="4" t="s">
        <v>639</v>
      </c>
      <c r="C1459" s="4" t="s">
        <v>891</v>
      </c>
      <c r="D1459" s="4" t="s">
        <v>2459</v>
      </c>
      <c r="E1459" s="6">
        <v>44089</v>
      </c>
      <c r="F1459" s="7">
        <v>-50</v>
      </c>
      <c r="G1459" s="7">
        <v>-36.57</v>
      </c>
      <c r="H1459" s="7">
        <v>0.01</v>
      </c>
    </row>
    <row r="1460" spans="1:8">
      <c r="A1460" s="4" t="s">
        <v>638</v>
      </c>
      <c r="B1460" s="4" t="s">
        <v>639</v>
      </c>
      <c r="C1460" s="4" t="s">
        <v>784</v>
      </c>
      <c r="D1460" s="4" t="s">
        <v>2460</v>
      </c>
      <c r="E1460" s="6">
        <v>44089</v>
      </c>
      <c r="F1460" s="7">
        <v>-1</v>
      </c>
      <c r="G1460" s="7">
        <v>0</v>
      </c>
      <c r="H1460" s="7">
        <v>0</v>
      </c>
    </row>
    <row r="1461" spans="1:8">
      <c r="A1461" s="4" t="s">
        <v>636</v>
      </c>
      <c r="B1461" s="4" t="s">
        <v>637</v>
      </c>
      <c r="C1461" s="4" t="s">
        <v>817</v>
      </c>
      <c r="D1461" s="4" t="s">
        <v>2461</v>
      </c>
      <c r="E1461" s="6">
        <v>44089</v>
      </c>
      <c r="F1461" s="7">
        <v>-200</v>
      </c>
      <c r="G1461" s="7">
        <v>-189.60999999999999</v>
      </c>
      <c r="H1461" s="7">
        <v>0.01</v>
      </c>
    </row>
    <row r="1462" spans="1:8">
      <c r="A1462" s="4" t="s">
        <v>636</v>
      </c>
      <c r="B1462" s="4" t="s">
        <v>637</v>
      </c>
      <c r="C1462" s="4" t="s">
        <v>1628</v>
      </c>
      <c r="D1462" s="4" t="s">
        <v>2462</v>
      </c>
      <c r="E1462" s="6">
        <v>44089</v>
      </c>
      <c r="F1462" s="7">
        <v>-40</v>
      </c>
      <c r="G1462" s="7">
        <v>-30.07</v>
      </c>
      <c r="H1462" s="7">
        <v>0.01</v>
      </c>
    </row>
    <row r="1463" spans="1:8">
      <c r="A1463" s="4" t="s">
        <v>636</v>
      </c>
      <c r="B1463" s="4" t="s">
        <v>637</v>
      </c>
      <c r="C1463" s="4" t="s">
        <v>813</v>
      </c>
      <c r="D1463" s="4" t="s">
        <v>2463</v>
      </c>
      <c r="E1463" s="6">
        <v>44089</v>
      </c>
      <c r="F1463" s="7">
        <v>-10</v>
      </c>
      <c r="G1463" s="7">
        <v>-11.29</v>
      </c>
      <c r="H1463" s="7">
        <v>0</v>
      </c>
    </row>
    <row r="1464" spans="1:8">
      <c r="A1464" s="4" t="s">
        <v>636</v>
      </c>
      <c r="B1464" s="4" t="s">
        <v>637</v>
      </c>
      <c r="C1464" s="4" t="s">
        <v>815</v>
      </c>
      <c r="D1464" s="4" t="s">
        <v>2464</v>
      </c>
      <c r="E1464" s="6">
        <v>44089</v>
      </c>
      <c r="F1464" s="7">
        <v>-125</v>
      </c>
      <c r="G1464" s="7">
        <v>-239.08</v>
      </c>
      <c r="H1464" s="7">
        <v>0</v>
      </c>
    </row>
    <row r="1465" spans="1:8">
      <c r="A1465" s="4" t="s">
        <v>636</v>
      </c>
      <c r="B1465" s="4" t="s">
        <v>637</v>
      </c>
      <c r="C1465" s="4" t="s">
        <v>784</v>
      </c>
      <c r="D1465" s="4" t="s">
        <v>2465</v>
      </c>
      <c r="E1465" s="6">
        <v>44089</v>
      </c>
      <c r="F1465" s="7">
        <v>-1</v>
      </c>
      <c r="G1465" s="7">
        <v>0</v>
      </c>
      <c r="H1465" s="7">
        <v>0</v>
      </c>
    </row>
    <row r="1466" spans="1:8">
      <c r="A1466" s="4" t="s">
        <v>628</v>
      </c>
      <c r="B1466" s="4" t="s">
        <v>629</v>
      </c>
      <c r="C1466" s="4" t="s">
        <v>784</v>
      </c>
      <c r="D1466" s="4" t="s">
        <v>2466</v>
      </c>
      <c r="E1466" s="6">
        <v>44085</v>
      </c>
      <c r="F1466" s="7">
        <v>-1</v>
      </c>
      <c r="G1466" s="7">
        <v>0</v>
      </c>
      <c r="H1466" s="7">
        <v>0</v>
      </c>
    </row>
    <row r="1467" spans="1:8">
      <c r="A1467" s="4" t="s">
        <v>632</v>
      </c>
      <c r="B1467" s="4" t="s">
        <v>633</v>
      </c>
      <c r="C1467" s="4" t="s">
        <v>940</v>
      </c>
      <c r="D1467" s="4" t="s">
        <v>2467</v>
      </c>
      <c r="E1467" s="6">
        <v>44089</v>
      </c>
      <c r="F1467" s="7">
        <v>-100</v>
      </c>
      <c r="G1467" s="7">
        <v>-56.45</v>
      </c>
      <c r="H1467" s="7">
        <v>0</v>
      </c>
    </row>
    <row r="1468" spans="1:8">
      <c r="A1468" s="4" t="s">
        <v>632</v>
      </c>
      <c r="B1468" s="4" t="s">
        <v>633</v>
      </c>
      <c r="C1468" s="4" t="s">
        <v>987</v>
      </c>
      <c r="D1468" s="4" t="s">
        <v>2468</v>
      </c>
      <c r="E1468" s="6">
        <v>44089</v>
      </c>
      <c r="F1468" s="7">
        <v>-50</v>
      </c>
      <c r="G1468" s="7">
        <v>-37.51</v>
      </c>
      <c r="H1468" s="7">
        <v>0</v>
      </c>
    </row>
    <row r="1469" spans="1:8">
      <c r="A1469" s="4" t="s">
        <v>632</v>
      </c>
      <c r="B1469" s="4" t="s">
        <v>633</v>
      </c>
      <c r="C1469" s="4" t="s">
        <v>1600</v>
      </c>
      <c r="D1469" s="4" t="s">
        <v>2469</v>
      </c>
      <c r="E1469" s="6">
        <v>44089</v>
      </c>
      <c r="F1469" s="7">
        <v>-52</v>
      </c>
      <c r="G1469" s="7">
        <v>-40</v>
      </c>
      <c r="H1469" s="7">
        <v>0</v>
      </c>
    </row>
    <row r="1470" spans="1:8">
      <c r="A1470" s="4" t="s">
        <v>632</v>
      </c>
      <c r="B1470" s="4" t="s">
        <v>633</v>
      </c>
      <c r="C1470" s="4" t="s">
        <v>1149</v>
      </c>
      <c r="D1470" s="4" t="s">
        <v>2470</v>
      </c>
      <c r="E1470" s="6">
        <v>44089</v>
      </c>
      <c r="F1470" s="7">
        <v>-50</v>
      </c>
      <c r="G1470" s="7">
        <v>-43.5</v>
      </c>
      <c r="H1470" s="7">
        <v>0</v>
      </c>
    </row>
    <row r="1471" spans="1:8">
      <c r="A1471" s="4" t="s">
        <v>632</v>
      </c>
      <c r="B1471" s="4" t="s">
        <v>633</v>
      </c>
      <c r="C1471" s="4" t="s">
        <v>2471</v>
      </c>
      <c r="D1471" s="4" t="s">
        <v>2472</v>
      </c>
      <c r="E1471" s="6">
        <v>44089</v>
      </c>
      <c r="F1471" s="7">
        <v>-280</v>
      </c>
      <c r="G1471" s="7">
        <v>-115.10999999999999</v>
      </c>
      <c r="H1471" s="7">
        <v>0</v>
      </c>
    </row>
    <row r="1472" spans="1:8">
      <c r="A1472" s="4" t="s">
        <v>632</v>
      </c>
      <c r="B1472" s="4" t="s">
        <v>633</v>
      </c>
      <c r="C1472" s="4" t="s">
        <v>784</v>
      </c>
      <c r="D1472" s="4" t="s">
        <v>2473</v>
      </c>
      <c r="E1472" s="6">
        <v>44089</v>
      </c>
      <c r="F1472" s="7">
        <v>-1</v>
      </c>
      <c r="G1472" s="7">
        <v>0</v>
      </c>
      <c r="H1472" s="7">
        <v>0</v>
      </c>
    </row>
    <row r="1473" spans="1:8">
      <c r="A1473" s="4" t="s">
        <v>675</v>
      </c>
      <c r="B1473" s="4" t="s">
        <v>676</v>
      </c>
      <c r="C1473" s="4" t="s">
        <v>2076</v>
      </c>
      <c r="D1473" s="4" t="s">
        <v>2474</v>
      </c>
      <c r="E1473" s="6">
        <v>44113</v>
      </c>
      <c r="F1473" s="7">
        <v>-50</v>
      </c>
      <c r="G1473" s="7">
        <v>-1172.58</v>
      </c>
      <c r="H1473" s="7">
        <v>252.71999999999997</v>
      </c>
    </row>
    <row r="1474" spans="1:8">
      <c r="A1474" s="4" t="s">
        <v>675</v>
      </c>
      <c r="B1474" s="4" t="s">
        <v>676</v>
      </c>
      <c r="C1474" s="4" t="s">
        <v>784</v>
      </c>
      <c r="D1474" s="4" t="s">
        <v>2475</v>
      </c>
      <c r="E1474" s="6">
        <v>44113</v>
      </c>
      <c r="F1474" s="7">
        <v>-1</v>
      </c>
      <c r="G1474" s="7">
        <v>0</v>
      </c>
      <c r="H1474" s="7">
        <v>0</v>
      </c>
    </row>
    <row r="1475" spans="1:8">
      <c r="A1475" s="4" t="s">
        <v>646</v>
      </c>
      <c r="B1475" s="4" t="s">
        <v>647</v>
      </c>
      <c r="C1475" s="4" t="s">
        <v>966</v>
      </c>
      <c r="D1475" s="4" t="s">
        <v>2476</v>
      </c>
      <c r="E1475" s="6">
        <v>44097</v>
      </c>
      <c r="F1475" s="7">
        <v>-100</v>
      </c>
      <c r="G1475" s="7">
        <v>-53.77</v>
      </c>
      <c r="H1475" s="7">
        <v>0</v>
      </c>
    </row>
    <row r="1476" spans="1:8">
      <c r="A1476" s="4" t="s">
        <v>646</v>
      </c>
      <c r="B1476" s="4" t="s">
        <v>647</v>
      </c>
      <c r="C1476" s="4" t="s">
        <v>940</v>
      </c>
      <c r="D1476" s="4" t="s">
        <v>2477</v>
      </c>
      <c r="E1476" s="6">
        <v>44097</v>
      </c>
      <c r="F1476" s="7">
        <v>-100</v>
      </c>
      <c r="G1476" s="7">
        <v>-56.45</v>
      </c>
      <c r="H1476" s="7">
        <v>0</v>
      </c>
    </row>
    <row r="1477" spans="1:8">
      <c r="A1477" s="4" t="s">
        <v>646</v>
      </c>
      <c r="B1477" s="4" t="s">
        <v>647</v>
      </c>
      <c r="C1477" s="4" t="s">
        <v>877</v>
      </c>
      <c r="D1477" s="4" t="s">
        <v>2478</v>
      </c>
      <c r="E1477" s="6">
        <v>44097</v>
      </c>
      <c r="F1477" s="7">
        <v>-100</v>
      </c>
      <c r="G1477" s="7">
        <v>-70.760000000000005</v>
      </c>
      <c r="H1477" s="7">
        <v>0</v>
      </c>
    </row>
    <row r="1478" spans="1:8">
      <c r="A1478" s="4" t="s">
        <v>646</v>
      </c>
      <c r="B1478" s="4" t="s">
        <v>647</v>
      </c>
      <c r="C1478" s="4" t="s">
        <v>1030</v>
      </c>
      <c r="D1478" s="4" t="s">
        <v>2479</v>
      </c>
      <c r="E1478" s="6">
        <v>44097</v>
      </c>
      <c r="F1478" s="7">
        <v>-50</v>
      </c>
      <c r="G1478" s="7">
        <v>-108.54</v>
      </c>
      <c r="H1478" s="7">
        <v>0</v>
      </c>
    </row>
    <row r="1479" spans="1:8">
      <c r="A1479" s="4" t="s">
        <v>646</v>
      </c>
      <c r="B1479" s="4" t="s">
        <v>647</v>
      </c>
      <c r="C1479" s="4" t="s">
        <v>1032</v>
      </c>
      <c r="D1479" s="4" t="s">
        <v>2480</v>
      </c>
      <c r="E1479" s="6">
        <v>44097</v>
      </c>
      <c r="F1479" s="7">
        <v>-50</v>
      </c>
      <c r="G1479" s="7">
        <v>-111.22</v>
      </c>
      <c r="H1479" s="7">
        <v>-0.01</v>
      </c>
    </row>
    <row r="1480" spans="1:8">
      <c r="A1480" s="4" t="s">
        <v>646</v>
      </c>
      <c r="B1480" s="4" t="s">
        <v>647</v>
      </c>
      <c r="C1480" s="4" t="s">
        <v>1040</v>
      </c>
      <c r="D1480" s="4" t="s">
        <v>2481</v>
      </c>
      <c r="E1480" s="6">
        <v>44097</v>
      </c>
      <c r="F1480" s="7">
        <v>-50</v>
      </c>
      <c r="G1480" s="7">
        <v>-80.849999999999994</v>
      </c>
      <c r="H1480" s="7">
        <v>0</v>
      </c>
    </row>
    <row r="1481" spans="1:8">
      <c r="A1481" s="4" t="s">
        <v>646</v>
      </c>
      <c r="B1481" s="4" t="s">
        <v>647</v>
      </c>
      <c r="C1481" s="4" t="s">
        <v>887</v>
      </c>
      <c r="D1481" s="4" t="s">
        <v>2482</v>
      </c>
      <c r="E1481" s="6">
        <v>44097</v>
      </c>
      <c r="F1481" s="7">
        <v>-50</v>
      </c>
      <c r="G1481" s="7">
        <v>-20.45</v>
      </c>
      <c r="H1481" s="7">
        <v>0</v>
      </c>
    </row>
    <row r="1482" spans="1:8">
      <c r="A1482" s="4" t="s">
        <v>646</v>
      </c>
      <c r="B1482" s="4" t="s">
        <v>647</v>
      </c>
      <c r="C1482" s="4" t="s">
        <v>942</v>
      </c>
      <c r="D1482" s="4" t="s">
        <v>2483</v>
      </c>
      <c r="E1482" s="6">
        <v>44097</v>
      </c>
      <c r="F1482" s="7">
        <v>-50</v>
      </c>
      <c r="G1482" s="7">
        <v>-50.22</v>
      </c>
      <c r="H1482" s="7">
        <v>0</v>
      </c>
    </row>
    <row r="1483" spans="1:8">
      <c r="A1483" s="4" t="s">
        <v>646</v>
      </c>
      <c r="B1483" s="4" t="s">
        <v>647</v>
      </c>
      <c r="C1483" s="4" t="s">
        <v>784</v>
      </c>
      <c r="D1483" s="4" t="s">
        <v>2484</v>
      </c>
      <c r="E1483" s="6">
        <v>44097</v>
      </c>
      <c r="F1483" s="7">
        <v>-1</v>
      </c>
      <c r="G1483" s="7">
        <v>0</v>
      </c>
      <c r="H1483" s="7">
        <v>0</v>
      </c>
    </row>
    <row r="1484" spans="1:8">
      <c r="A1484" s="4" t="s">
        <v>766</v>
      </c>
      <c r="B1484" s="4" t="s">
        <v>767</v>
      </c>
      <c r="C1484" s="4" t="s">
        <v>1384</v>
      </c>
      <c r="D1484" s="4" t="s">
        <v>2485</v>
      </c>
      <c r="E1484" s="6">
        <v>44095</v>
      </c>
      <c r="F1484" s="7">
        <v>50</v>
      </c>
      <c r="G1484" s="7">
        <v>37.19</v>
      </c>
      <c r="H1484" s="7">
        <v>0</v>
      </c>
    </row>
    <row r="1485" spans="1:8">
      <c r="A1485" s="4" t="s">
        <v>766</v>
      </c>
      <c r="B1485" s="4" t="s">
        <v>767</v>
      </c>
      <c r="C1485" s="4" t="s">
        <v>1042</v>
      </c>
      <c r="D1485" s="4" t="s">
        <v>2486</v>
      </c>
      <c r="E1485" s="6">
        <v>44095</v>
      </c>
      <c r="F1485" s="7">
        <v>50</v>
      </c>
      <c r="G1485" s="7">
        <v>31.87</v>
      </c>
      <c r="H1485" s="7">
        <v>-0.01</v>
      </c>
    </row>
    <row r="1486" spans="1:8">
      <c r="A1486" s="4" t="s">
        <v>766</v>
      </c>
      <c r="B1486" s="4" t="s">
        <v>767</v>
      </c>
      <c r="C1486" s="4" t="s">
        <v>2424</v>
      </c>
      <c r="D1486" s="4" t="s">
        <v>2487</v>
      </c>
      <c r="E1486" s="6">
        <v>44095</v>
      </c>
      <c r="F1486" s="7">
        <v>50</v>
      </c>
      <c r="G1486" s="7">
        <v>59.83</v>
      </c>
      <c r="H1486" s="7">
        <v>0</v>
      </c>
    </row>
    <row r="1487" spans="1:8">
      <c r="A1487" s="4" t="s">
        <v>766</v>
      </c>
      <c r="B1487" s="4" t="s">
        <v>767</v>
      </c>
      <c r="C1487" s="4" t="s">
        <v>784</v>
      </c>
      <c r="D1487" s="4" t="s">
        <v>2488</v>
      </c>
      <c r="E1487" s="6">
        <v>44095</v>
      </c>
      <c r="F1487" s="7">
        <v>1</v>
      </c>
      <c r="G1487" s="7">
        <v>0</v>
      </c>
      <c r="H1487" s="7">
        <v>0</v>
      </c>
    </row>
    <row r="1488" spans="1:8">
      <c r="A1488" s="4" t="s">
        <v>642</v>
      </c>
      <c r="B1488" s="4" t="s">
        <v>643</v>
      </c>
      <c r="C1488" s="4" t="s">
        <v>1384</v>
      </c>
      <c r="D1488" s="4" t="s">
        <v>2489</v>
      </c>
      <c r="E1488" s="6">
        <v>44095</v>
      </c>
      <c r="F1488" s="7">
        <v>-50</v>
      </c>
      <c r="G1488" s="7">
        <v>-37.19</v>
      </c>
      <c r="H1488" s="7">
        <v>0</v>
      </c>
    </row>
    <row r="1489" spans="1:8">
      <c r="A1489" s="4" t="s">
        <v>642</v>
      </c>
      <c r="B1489" s="4" t="s">
        <v>643</v>
      </c>
      <c r="C1489" s="4" t="s">
        <v>1042</v>
      </c>
      <c r="D1489" s="4" t="s">
        <v>2490</v>
      </c>
      <c r="E1489" s="6">
        <v>44095</v>
      </c>
      <c r="F1489" s="7">
        <v>-50</v>
      </c>
      <c r="G1489" s="7">
        <v>-31.87</v>
      </c>
      <c r="H1489" s="7">
        <v>0.01</v>
      </c>
    </row>
    <row r="1490" spans="1:8">
      <c r="A1490" s="4" t="s">
        <v>642</v>
      </c>
      <c r="B1490" s="4" t="s">
        <v>643</v>
      </c>
      <c r="C1490" s="4" t="s">
        <v>784</v>
      </c>
      <c r="D1490" s="4" t="s">
        <v>2491</v>
      </c>
      <c r="E1490" s="6">
        <v>44095</v>
      </c>
      <c r="F1490" s="7">
        <v>-1</v>
      </c>
      <c r="G1490" s="7">
        <v>0</v>
      </c>
      <c r="H1490" s="7">
        <v>0</v>
      </c>
    </row>
    <row r="1491" spans="1:8">
      <c r="A1491" s="4" t="s">
        <v>642</v>
      </c>
      <c r="B1491" s="4" t="s">
        <v>643</v>
      </c>
      <c r="C1491" s="4" t="s">
        <v>883</v>
      </c>
      <c r="D1491" s="4" t="s">
        <v>2492</v>
      </c>
      <c r="E1491" s="6">
        <v>44095</v>
      </c>
      <c r="F1491" s="7">
        <v>-50</v>
      </c>
      <c r="G1491" s="7">
        <v>-39.89</v>
      </c>
      <c r="H1491" s="7">
        <v>-0.01</v>
      </c>
    </row>
    <row r="1492" spans="1:8">
      <c r="A1492" s="4" t="s">
        <v>675</v>
      </c>
      <c r="B1492" s="4" t="s">
        <v>676</v>
      </c>
      <c r="C1492" s="4" t="s">
        <v>1965</v>
      </c>
      <c r="D1492" s="4" t="s">
        <v>2493</v>
      </c>
      <c r="E1492" s="6">
        <v>44113</v>
      </c>
      <c r="F1492" s="7">
        <v>-1</v>
      </c>
      <c r="G1492" s="7">
        <v>0</v>
      </c>
      <c r="H1492" s="7">
        <v>0</v>
      </c>
    </row>
    <row r="1493" spans="1:8">
      <c r="A1493" s="4" t="s">
        <v>644</v>
      </c>
      <c r="B1493" s="4" t="s">
        <v>645</v>
      </c>
      <c r="C1493" s="4" t="s">
        <v>1904</v>
      </c>
      <c r="D1493" s="4" t="s">
        <v>2494</v>
      </c>
      <c r="E1493" s="6">
        <v>44097</v>
      </c>
      <c r="F1493" s="7">
        <v>-10</v>
      </c>
      <c r="G1493" s="7">
        <v>-32.869999999999997</v>
      </c>
      <c r="H1493" s="7">
        <v>0</v>
      </c>
    </row>
    <row r="1494" spans="1:8">
      <c r="A1494" s="4" t="s">
        <v>644</v>
      </c>
      <c r="B1494" s="4" t="s">
        <v>645</v>
      </c>
      <c r="C1494" s="4" t="s">
        <v>784</v>
      </c>
      <c r="D1494" s="4" t="s">
        <v>2495</v>
      </c>
      <c r="E1494" s="6">
        <v>44097</v>
      </c>
      <c r="F1494" s="7">
        <v>-1</v>
      </c>
      <c r="G1494" s="7">
        <v>0</v>
      </c>
      <c r="H1494" s="7">
        <v>0</v>
      </c>
    </row>
    <row r="1495" spans="1:8">
      <c r="A1495" s="4" t="s">
        <v>657</v>
      </c>
      <c r="B1495" s="4" t="s">
        <v>658</v>
      </c>
      <c r="C1495" s="4" t="s">
        <v>1810</v>
      </c>
      <c r="D1495" s="4" t="s">
        <v>2496</v>
      </c>
      <c r="E1495" s="6">
        <v>44106</v>
      </c>
      <c r="F1495" s="7">
        <v>-200</v>
      </c>
      <c r="G1495" s="7">
        <v>-256.89</v>
      </c>
      <c r="H1495" s="7">
        <v>0</v>
      </c>
    </row>
    <row r="1496" spans="1:8">
      <c r="A1496" s="4" t="s">
        <v>657</v>
      </c>
      <c r="B1496" s="4" t="s">
        <v>658</v>
      </c>
      <c r="C1496" s="4" t="s">
        <v>1040</v>
      </c>
      <c r="D1496" s="4" t="s">
        <v>2497</v>
      </c>
      <c r="E1496" s="6">
        <v>44106</v>
      </c>
      <c r="F1496" s="7">
        <v>-100</v>
      </c>
      <c r="G1496" s="7">
        <v>-161.69999999999999</v>
      </c>
      <c r="H1496" s="7">
        <v>0.01</v>
      </c>
    </row>
    <row r="1497" spans="1:8">
      <c r="A1497" s="4" t="s">
        <v>657</v>
      </c>
      <c r="B1497" s="4" t="s">
        <v>658</v>
      </c>
      <c r="C1497" s="4" t="s">
        <v>891</v>
      </c>
      <c r="D1497" s="4" t="s">
        <v>2498</v>
      </c>
      <c r="E1497" s="6">
        <v>44106</v>
      </c>
      <c r="F1497" s="7">
        <v>-100</v>
      </c>
      <c r="G1497" s="7">
        <v>-73.13</v>
      </c>
      <c r="H1497" s="7">
        <v>0</v>
      </c>
    </row>
    <row r="1498" spans="1:8">
      <c r="A1498" s="4" t="s">
        <v>657</v>
      </c>
      <c r="B1498" s="4" t="s">
        <v>658</v>
      </c>
      <c r="C1498" s="4" t="s">
        <v>1005</v>
      </c>
      <c r="D1498" s="4" t="s">
        <v>2499</v>
      </c>
      <c r="E1498" s="6">
        <v>44106</v>
      </c>
      <c r="F1498" s="7">
        <v>-50</v>
      </c>
      <c r="G1498" s="7">
        <v>-37.25</v>
      </c>
      <c r="H1498" s="7">
        <v>0</v>
      </c>
    </row>
    <row r="1499" spans="1:8">
      <c r="A1499" s="4" t="s">
        <v>657</v>
      </c>
      <c r="B1499" s="4" t="s">
        <v>658</v>
      </c>
      <c r="C1499" s="4" t="s">
        <v>916</v>
      </c>
      <c r="D1499" s="4" t="s">
        <v>2500</v>
      </c>
      <c r="E1499" s="6">
        <v>44106</v>
      </c>
      <c r="F1499" s="7">
        <v>-100</v>
      </c>
      <c r="G1499" s="7">
        <v>-37.58</v>
      </c>
      <c r="H1499" s="7">
        <v>-0.01</v>
      </c>
    </row>
    <row r="1500" spans="1:8">
      <c r="A1500" s="4" t="s">
        <v>657</v>
      </c>
      <c r="B1500" s="4" t="s">
        <v>658</v>
      </c>
      <c r="C1500" s="4" t="s">
        <v>784</v>
      </c>
      <c r="D1500" s="4" t="s">
        <v>2501</v>
      </c>
      <c r="E1500" s="6">
        <v>44106</v>
      </c>
      <c r="F1500" s="7">
        <v>-1</v>
      </c>
      <c r="G1500" s="7">
        <v>0</v>
      </c>
      <c r="H1500" s="7">
        <v>0</v>
      </c>
    </row>
    <row r="1501" spans="1:8">
      <c r="A1501" s="4" t="s">
        <v>681</v>
      </c>
      <c r="B1501" s="4" t="s">
        <v>682</v>
      </c>
      <c r="C1501" s="4" t="s">
        <v>803</v>
      </c>
      <c r="D1501" s="4" t="s">
        <v>2502</v>
      </c>
      <c r="E1501" s="6">
        <v>44118</v>
      </c>
      <c r="F1501" s="7">
        <v>-500</v>
      </c>
      <c r="G1501" s="7">
        <v>-478.15</v>
      </c>
      <c r="H1501" s="7">
        <v>0</v>
      </c>
    </row>
    <row r="1502" spans="1:8">
      <c r="A1502" s="4" t="s">
        <v>681</v>
      </c>
      <c r="B1502" s="4" t="s">
        <v>682</v>
      </c>
      <c r="C1502" s="4" t="s">
        <v>786</v>
      </c>
      <c r="D1502" s="4" t="s">
        <v>2503</v>
      </c>
      <c r="E1502" s="6">
        <v>44118</v>
      </c>
      <c r="F1502" s="7">
        <v>-1500</v>
      </c>
      <c r="G1502" s="7">
        <v>-1004.12</v>
      </c>
      <c r="H1502" s="7">
        <v>0</v>
      </c>
    </row>
    <row r="1503" spans="1:8">
      <c r="A1503" s="4" t="s">
        <v>681</v>
      </c>
      <c r="B1503" s="4" t="s">
        <v>682</v>
      </c>
      <c r="C1503" s="4" t="s">
        <v>801</v>
      </c>
      <c r="D1503" s="4" t="s">
        <v>2504</v>
      </c>
      <c r="E1503" s="6">
        <v>44118</v>
      </c>
      <c r="F1503" s="7">
        <v>-500</v>
      </c>
      <c r="G1503" s="7">
        <v>-430.34</v>
      </c>
      <c r="H1503" s="7">
        <v>0</v>
      </c>
    </row>
    <row r="1504" spans="1:8">
      <c r="A1504" s="4" t="s">
        <v>681</v>
      </c>
      <c r="B1504" s="4" t="s">
        <v>682</v>
      </c>
      <c r="C1504" s="4" t="s">
        <v>799</v>
      </c>
      <c r="D1504" s="4" t="s">
        <v>2505</v>
      </c>
      <c r="E1504" s="6">
        <v>44118</v>
      </c>
      <c r="F1504" s="7">
        <v>-500</v>
      </c>
      <c r="G1504" s="7">
        <v>-382.52</v>
      </c>
      <c r="H1504" s="7">
        <v>0</v>
      </c>
    </row>
    <row r="1505" spans="1:8">
      <c r="A1505" s="4" t="s">
        <v>681</v>
      </c>
      <c r="B1505" s="4" t="s">
        <v>682</v>
      </c>
      <c r="C1505" s="4" t="s">
        <v>784</v>
      </c>
      <c r="D1505" s="4" t="s">
        <v>2506</v>
      </c>
      <c r="E1505" s="6">
        <v>44118</v>
      </c>
      <c r="F1505" s="7">
        <v>-1</v>
      </c>
      <c r="G1505" s="7">
        <v>0</v>
      </c>
      <c r="H1505" s="7">
        <v>0</v>
      </c>
    </row>
    <row r="1506" spans="1:8">
      <c r="A1506" s="4" t="s">
        <v>683</v>
      </c>
      <c r="B1506" s="4" t="s">
        <v>684</v>
      </c>
      <c r="C1506" s="4" t="s">
        <v>803</v>
      </c>
      <c r="D1506" s="4" t="s">
        <v>2507</v>
      </c>
      <c r="E1506" s="6">
        <v>44118</v>
      </c>
      <c r="F1506" s="7">
        <v>-500</v>
      </c>
      <c r="G1506" s="7">
        <v>-478.15</v>
      </c>
      <c r="H1506" s="7">
        <v>0</v>
      </c>
    </row>
    <row r="1507" spans="1:8">
      <c r="A1507" s="4" t="s">
        <v>683</v>
      </c>
      <c r="B1507" s="4" t="s">
        <v>684</v>
      </c>
      <c r="C1507" s="4" t="s">
        <v>786</v>
      </c>
      <c r="D1507" s="4" t="s">
        <v>2508</v>
      </c>
      <c r="E1507" s="6">
        <v>44118</v>
      </c>
      <c r="F1507" s="7">
        <v>-1500</v>
      </c>
      <c r="G1507" s="7">
        <v>-1004.12</v>
      </c>
      <c r="H1507" s="7">
        <v>0</v>
      </c>
    </row>
    <row r="1508" spans="1:8">
      <c r="A1508" s="4" t="s">
        <v>683</v>
      </c>
      <c r="B1508" s="4" t="s">
        <v>684</v>
      </c>
      <c r="C1508" s="4" t="s">
        <v>801</v>
      </c>
      <c r="D1508" s="4" t="s">
        <v>2509</v>
      </c>
      <c r="E1508" s="6">
        <v>44118</v>
      </c>
      <c r="F1508" s="7">
        <v>-500</v>
      </c>
      <c r="G1508" s="7">
        <v>-430.34</v>
      </c>
      <c r="H1508" s="7">
        <v>0.01</v>
      </c>
    </row>
    <row r="1509" spans="1:8">
      <c r="A1509" s="4" t="s">
        <v>683</v>
      </c>
      <c r="B1509" s="4" t="s">
        <v>684</v>
      </c>
      <c r="C1509" s="4" t="s">
        <v>799</v>
      </c>
      <c r="D1509" s="4" t="s">
        <v>2510</v>
      </c>
      <c r="E1509" s="6">
        <v>44118</v>
      </c>
      <c r="F1509" s="7">
        <v>-500</v>
      </c>
      <c r="G1509" s="7">
        <v>-382.52</v>
      </c>
      <c r="H1509" s="7">
        <v>0</v>
      </c>
    </row>
    <row r="1510" spans="1:8">
      <c r="A1510" s="4" t="s">
        <v>683</v>
      </c>
      <c r="B1510" s="4" t="s">
        <v>684</v>
      </c>
      <c r="C1510" s="4" t="s">
        <v>784</v>
      </c>
      <c r="D1510" s="4" t="s">
        <v>2511</v>
      </c>
      <c r="E1510" s="6">
        <v>44118</v>
      </c>
      <c r="F1510" s="7">
        <v>-1</v>
      </c>
      <c r="G1510" s="7">
        <v>0</v>
      </c>
      <c r="H1510" s="7">
        <v>0</v>
      </c>
    </row>
    <row r="1511" spans="1:8">
      <c r="A1511" s="4" t="s">
        <v>720</v>
      </c>
      <c r="B1511" s="4" t="s">
        <v>721</v>
      </c>
      <c r="C1511" s="4" t="s">
        <v>803</v>
      </c>
      <c r="D1511" s="4" t="s">
        <v>2512</v>
      </c>
      <c r="E1511" s="6">
        <v>44132</v>
      </c>
      <c r="F1511" s="7">
        <v>-500</v>
      </c>
      <c r="G1511" s="7">
        <v>-478.15</v>
      </c>
      <c r="H1511" s="7">
        <v>-0.01</v>
      </c>
    </row>
    <row r="1512" spans="1:8">
      <c r="A1512" s="4" t="s">
        <v>720</v>
      </c>
      <c r="B1512" s="4" t="s">
        <v>721</v>
      </c>
      <c r="C1512" s="4" t="s">
        <v>786</v>
      </c>
      <c r="D1512" s="4" t="s">
        <v>2513</v>
      </c>
      <c r="E1512" s="6">
        <v>44132</v>
      </c>
      <c r="F1512" s="7">
        <v>-1500</v>
      </c>
      <c r="G1512" s="7">
        <v>-1004.12</v>
      </c>
      <c r="H1512" s="7">
        <v>0</v>
      </c>
    </row>
    <row r="1513" spans="1:8">
      <c r="A1513" s="4" t="s">
        <v>720</v>
      </c>
      <c r="B1513" s="4" t="s">
        <v>721</v>
      </c>
      <c r="C1513" s="4" t="s">
        <v>801</v>
      </c>
      <c r="D1513" s="4" t="s">
        <v>2514</v>
      </c>
      <c r="E1513" s="6">
        <v>44132</v>
      </c>
      <c r="F1513" s="7">
        <v>-500</v>
      </c>
      <c r="G1513" s="7">
        <v>-430.34</v>
      </c>
      <c r="H1513" s="7">
        <v>0</v>
      </c>
    </row>
    <row r="1514" spans="1:8">
      <c r="A1514" s="4" t="s">
        <v>720</v>
      </c>
      <c r="B1514" s="4" t="s">
        <v>721</v>
      </c>
      <c r="C1514" s="4" t="s">
        <v>799</v>
      </c>
      <c r="D1514" s="4" t="s">
        <v>2515</v>
      </c>
      <c r="E1514" s="6">
        <v>44132</v>
      </c>
      <c r="F1514" s="7">
        <v>-500</v>
      </c>
      <c r="G1514" s="7">
        <v>-382.52</v>
      </c>
      <c r="H1514" s="7">
        <v>0</v>
      </c>
    </row>
    <row r="1515" spans="1:8">
      <c r="A1515" s="4" t="s">
        <v>720</v>
      </c>
      <c r="B1515" s="4" t="s">
        <v>721</v>
      </c>
      <c r="C1515" s="4" t="s">
        <v>784</v>
      </c>
      <c r="D1515" s="4" t="s">
        <v>2516</v>
      </c>
      <c r="E1515" s="6">
        <v>44132</v>
      </c>
      <c r="F1515" s="7">
        <v>-1</v>
      </c>
      <c r="G1515" s="7">
        <v>0</v>
      </c>
      <c r="H1515" s="7">
        <v>0</v>
      </c>
    </row>
    <row r="1516" spans="1:8">
      <c r="A1516" s="4" t="s">
        <v>768</v>
      </c>
      <c r="B1516" s="4" t="s">
        <v>769</v>
      </c>
      <c r="C1516" s="4" t="s">
        <v>887</v>
      </c>
      <c r="D1516" s="4" t="s">
        <v>2517</v>
      </c>
      <c r="E1516" s="6">
        <v>44099</v>
      </c>
      <c r="F1516" s="7">
        <v>50</v>
      </c>
      <c r="G1516" s="7">
        <v>20.45</v>
      </c>
      <c r="H1516" s="7">
        <v>0</v>
      </c>
    </row>
    <row r="1517" spans="1:8">
      <c r="A1517" s="4" t="s">
        <v>768</v>
      </c>
      <c r="B1517" s="4" t="s">
        <v>769</v>
      </c>
      <c r="C1517" s="4" t="s">
        <v>949</v>
      </c>
      <c r="D1517" s="4" t="s">
        <v>2518</v>
      </c>
      <c r="E1517" s="6">
        <v>44099</v>
      </c>
      <c r="F1517" s="7">
        <v>50</v>
      </c>
      <c r="G1517" s="7">
        <v>18.02</v>
      </c>
      <c r="H1517" s="7">
        <v>0</v>
      </c>
    </row>
    <row r="1518" spans="1:8">
      <c r="A1518" s="4" t="s">
        <v>768</v>
      </c>
      <c r="B1518" s="4" t="s">
        <v>769</v>
      </c>
      <c r="C1518" s="4" t="s">
        <v>873</v>
      </c>
      <c r="D1518" s="4" t="s">
        <v>2519</v>
      </c>
      <c r="E1518" s="6">
        <v>44099</v>
      </c>
      <c r="F1518" s="7">
        <v>50</v>
      </c>
      <c r="G1518" s="7">
        <v>20.25</v>
      </c>
      <c r="H1518" s="7">
        <v>-0.01</v>
      </c>
    </row>
    <row r="1519" spans="1:8">
      <c r="A1519" s="4" t="s">
        <v>768</v>
      </c>
      <c r="B1519" s="4" t="s">
        <v>769</v>
      </c>
      <c r="C1519" s="4" t="s">
        <v>936</v>
      </c>
      <c r="D1519" s="4" t="s">
        <v>2520</v>
      </c>
      <c r="E1519" s="6">
        <v>44099</v>
      </c>
      <c r="F1519" s="7">
        <v>100</v>
      </c>
      <c r="G1519" s="7">
        <v>47.4</v>
      </c>
      <c r="H1519" s="7">
        <v>0</v>
      </c>
    </row>
    <row r="1520" spans="1:8">
      <c r="A1520" s="4" t="s">
        <v>768</v>
      </c>
      <c r="B1520" s="4" t="s">
        <v>769</v>
      </c>
      <c r="C1520" s="4" t="s">
        <v>855</v>
      </c>
      <c r="D1520" s="4" t="s">
        <v>2521</v>
      </c>
      <c r="E1520" s="6">
        <v>44099</v>
      </c>
      <c r="F1520" s="7">
        <v>20</v>
      </c>
      <c r="G1520" s="7">
        <v>30.04</v>
      </c>
      <c r="H1520" s="7">
        <v>0</v>
      </c>
    </row>
    <row r="1521" spans="1:8">
      <c r="A1521" s="4" t="s">
        <v>768</v>
      </c>
      <c r="B1521" s="4" t="s">
        <v>769</v>
      </c>
      <c r="C1521" s="4" t="s">
        <v>1669</v>
      </c>
      <c r="D1521" s="4" t="s">
        <v>2522</v>
      </c>
      <c r="E1521" s="6">
        <v>44099</v>
      </c>
      <c r="F1521" s="7">
        <v>20</v>
      </c>
      <c r="G1521" s="7">
        <v>45.86</v>
      </c>
      <c r="H1521" s="7">
        <v>0.01</v>
      </c>
    </row>
    <row r="1522" spans="1:8">
      <c r="A1522" s="4" t="s">
        <v>768</v>
      </c>
      <c r="B1522" s="4" t="s">
        <v>769</v>
      </c>
      <c r="C1522" s="4" t="s">
        <v>1063</v>
      </c>
      <c r="D1522" s="4" t="s">
        <v>2523</v>
      </c>
      <c r="E1522" s="6">
        <v>44099</v>
      </c>
      <c r="F1522" s="7">
        <v>50</v>
      </c>
      <c r="G1522" s="7">
        <v>34.26</v>
      </c>
      <c r="H1522" s="7">
        <v>0</v>
      </c>
    </row>
    <row r="1523" spans="1:8">
      <c r="A1523" s="4" t="s">
        <v>768</v>
      </c>
      <c r="B1523" s="4" t="s">
        <v>769</v>
      </c>
      <c r="C1523" s="4" t="s">
        <v>1165</v>
      </c>
      <c r="D1523" s="4" t="s">
        <v>2524</v>
      </c>
      <c r="E1523" s="6">
        <v>44099</v>
      </c>
      <c r="F1523" s="7">
        <v>10</v>
      </c>
      <c r="G1523" s="7">
        <v>9.0599999999999987</v>
      </c>
      <c r="H1523" s="7">
        <v>0</v>
      </c>
    </row>
    <row r="1524" spans="1:8">
      <c r="A1524" s="4" t="s">
        <v>768</v>
      </c>
      <c r="B1524" s="4" t="s">
        <v>769</v>
      </c>
      <c r="C1524" s="4" t="s">
        <v>989</v>
      </c>
      <c r="D1524" s="4" t="s">
        <v>2525</v>
      </c>
      <c r="E1524" s="6">
        <v>44099</v>
      </c>
      <c r="F1524" s="7">
        <v>10</v>
      </c>
      <c r="G1524" s="7">
        <v>15.64</v>
      </c>
      <c r="H1524" s="7">
        <v>0</v>
      </c>
    </row>
    <row r="1525" spans="1:8">
      <c r="A1525" s="4" t="s">
        <v>768</v>
      </c>
      <c r="B1525" s="4" t="s">
        <v>769</v>
      </c>
      <c r="C1525" s="4" t="s">
        <v>1371</v>
      </c>
      <c r="D1525" s="4" t="s">
        <v>2526</v>
      </c>
      <c r="E1525" s="6">
        <v>44099</v>
      </c>
      <c r="F1525" s="7">
        <v>50</v>
      </c>
      <c r="G1525" s="7">
        <v>82.18</v>
      </c>
      <c r="H1525" s="7">
        <v>-0.01</v>
      </c>
    </row>
    <row r="1526" spans="1:8">
      <c r="A1526" s="4" t="s">
        <v>768</v>
      </c>
      <c r="B1526" s="4" t="s">
        <v>769</v>
      </c>
      <c r="C1526" s="4" t="s">
        <v>815</v>
      </c>
      <c r="D1526" s="4" t="s">
        <v>2527</v>
      </c>
      <c r="E1526" s="6">
        <v>44099</v>
      </c>
      <c r="F1526" s="7">
        <v>50</v>
      </c>
      <c r="G1526" s="7">
        <v>95.63</v>
      </c>
      <c r="H1526" s="7">
        <v>0</v>
      </c>
    </row>
    <row r="1527" spans="1:8">
      <c r="A1527" s="4" t="s">
        <v>768</v>
      </c>
      <c r="B1527" s="4" t="s">
        <v>769</v>
      </c>
      <c r="C1527" s="4" t="s">
        <v>893</v>
      </c>
      <c r="D1527" s="4" t="s">
        <v>2528</v>
      </c>
      <c r="E1527" s="6">
        <v>44099</v>
      </c>
      <c r="F1527" s="7">
        <v>100</v>
      </c>
      <c r="G1527" s="7">
        <v>307.71999999999997</v>
      </c>
      <c r="H1527" s="7">
        <v>0.01</v>
      </c>
    </row>
    <row r="1528" spans="1:8">
      <c r="A1528" s="4" t="s">
        <v>768</v>
      </c>
      <c r="B1528" s="4" t="s">
        <v>769</v>
      </c>
      <c r="C1528" s="4" t="s">
        <v>952</v>
      </c>
      <c r="D1528" s="4" t="s">
        <v>2529</v>
      </c>
      <c r="E1528" s="6">
        <v>44099</v>
      </c>
      <c r="F1528" s="7">
        <v>50</v>
      </c>
      <c r="G1528" s="7">
        <v>33.08</v>
      </c>
      <c r="H1528" s="7">
        <v>0</v>
      </c>
    </row>
    <row r="1529" spans="1:8">
      <c r="A1529" s="4" t="s">
        <v>768</v>
      </c>
      <c r="B1529" s="4" t="s">
        <v>769</v>
      </c>
      <c r="C1529" s="4" t="s">
        <v>1213</v>
      </c>
      <c r="D1529" s="4" t="s">
        <v>2530</v>
      </c>
      <c r="E1529" s="6">
        <v>44099</v>
      </c>
      <c r="F1529" s="7">
        <v>50</v>
      </c>
      <c r="G1529" s="7">
        <v>31.68</v>
      </c>
      <c r="H1529" s="7">
        <v>0</v>
      </c>
    </row>
    <row r="1530" spans="1:8">
      <c r="A1530" s="4" t="s">
        <v>768</v>
      </c>
      <c r="B1530" s="4" t="s">
        <v>769</v>
      </c>
      <c r="C1530" s="4" t="s">
        <v>875</v>
      </c>
      <c r="D1530" s="4" t="s">
        <v>2531</v>
      </c>
      <c r="E1530" s="6">
        <v>44099</v>
      </c>
      <c r="F1530" s="7">
        <v>50</v>
      </c>
      <c r="G1530" s="7">
        <v>22.81</v>
      </c>
      <c r="H1530" s="7">
        <v>-0.01</v>
      </c>
    </row>
    <row r="1531" spans="1:8">
      <c r="A1531" s="4" t="s">
        <v>768</v>
      </c>
      <c r="B1531" s="4" t="s">
        <v>769</v>
      </c>
      <c r="C1531" s="4" t="s">
        <v>889</v>
      </c>
      <c r="D1531" s="4" t="s">
        <v>2532</v>
      </c>
      <c r="E1531" s="6">
        <v>44099</v>
      </c>
      <c r="F1531" s="7">
        <v>50</v>
      </c>
      <c r="G1531" s="7">
        <v>22.34</v>
      </c>
      <c r="H1531" s="7">
        <v>0</v>
      </c>
    </row>
    <row r="1532" spans="1:8">
      <c r="A1532" s="4" t="s">
        <v>768</v>
      </c>
      <c r="B1532" s="4" t="s">
        <v>769</v>
      </c>
      <c r="C1532" s="4" t="s">
        <v>784</v>
      </c>
      <c r="D1532" s="4" t="s">
        <v>2533</v>
      </c>
      <c r="E1532" s="6">
        <v>44099</v>
      </c>
      <c r="F1532" s="7">
        <v>1</v>
      </c>
      <c r="G1532" s="7">
        <v>0</v>
      </c>
      <c r="H1532" s="7">
        <v>0</v>
      </c>
    </row>
    <row r="1533" spans="1:8">
      <c r="A1533" s="4" t="s">
        <v>653</v>
      </c>
      <c r="B1533" s="4" t="s">
        <v>654</v>
      </c>
      <c r="C1533" s="4" t="s">
        <v>887</v>
      </c>
      <c r="D1533" s="4" t="s">
        <v>2534</v>
      </c>
      <c r="E1533" s="6">
        <v>44099</v>
      </c>
      <c r="F1533" s="7">
        <v>-50</v>
      </c>
      <c r="G1533" s="7">
        <v>-20.45</v>
      </c>
      <c r="H1533" s="7">
        <v>0</v>
      </c>
    </row>
    <row r="1534" spans="1:8">
      <c r="A1534" s="4" t="s">
        <v>653</v>
      </c>
      <c r="B1534" s="4" t="s">
        <v>654</v>
      </c>
      <c r="C1534" s="4" t="s">
        <v>949</v>
      </c>
      <c r="D1534" s="4" t="s">
        <v>2535</v>
      </c>
      <c r="E1534" s="6">
        <v>44099</v>
      </c>
      <c r="F1534" s="7">
        <v>-50</v>
      </c>
      <c r="G1534" s="7">
        <v>-18.02</v>
      </c>
      <c r="H1534" s="7">
        <v>0</v>
      </c>
    </row>
    <row r="1535" spans="1:8">
      <c r="A1535" s="4" t="s">
        <v>653</v>
      </c>
      <c r="B1535" s="4" t="s">
        <v>654</v>
      </c>
      <c r="C1535" s="4" t="s">
        <v>873</v>
      </c>
      <c r="D1535" s="4" t="s">
        <v>2536</v>
      </c>
      <c r="E1535" s="6">
        <v>44099</v>
      </c>
      <c r="F1535" s="7">
        <v>-50</v>
      </c>
      <c r="G1535" s="7">
        <v>-20.25</v>
      </c>
      <c r="H1535" s="7">
        <v>0.01</v>
      </c>
    </row>
    <row r="1536" spans="1:8">
      <c r="A1536" s="4" t="s">
        <v>653</v>
      </c>
      <c r="B1536" s="4" t="s">
        <v>654</v>
      </c>
      <c r="C1536" s="4" t="s">
        <v>936</v>
      </c>
      <c r="D1536" s="4" t="s">
        <v>2537</v>
      </c>
      <c r="E1536" s="6">
        <v>44099</v>
      </c>
      <c r="F1536" s="7">
        <v>-100</v>
      </c>
      <c r="G1536" s="7">
        <v>-47.4</v>
      </c>
      <c r="H1536" s="7">
        <v>0</v>
      </c>
    </row>
    <row r="1537" spans="1:8">
      <c r="A1537" s="4" t="s">
        <v>653</v>
      </c>
      <c r="B1537" s="4" t="s">
        <v>654</v>
      </c>
      <c r="C1537" s="4" t="s">
        <v>855</v>
      </c>
      <c r="D1537" s="4" t="s">
        <v>2538</v>
      </c>
      <c r="E1537" s="6">
        <v>44099</v>
      </c>
      <c r="F1537" s="7">
        <v>-20</v>
      </c>
      <c r="G1537" s="7">
        <v>-30.04</v>
      </c>
      <c r="H1537" s="7">
        <v>0</v>
      </c>
    </row>
    <row r="1538" spans="1:8">
      <c r="A1538" s="4" t="s">
        <v>653</v>
      </c>
      <c r="B1538" s="4" t="s">
        <v>654</v>
      </c>
      <c r="C1538" s="4" t="s">
        <v>1669</v>
      </c>
      <c r="D1538" s="4" t="s">
        <v>2539</v>
      </c>
      <c r="E1538" s="6">
        <v>44099</v>
      </c>
      <c r="F1538" s="7">
        <v>-20</v>
      </c>
      <c r="G1538" s="7">
        <v>-45.86</v>
      </c>
      <c r="H1538" s="7">
        <v>-0.01</v>
      </c>
    </row>
    <row r="1539" spans="1:8">
      <c r="A1539" s="4" t="s">
        <v>653</v>
      </c>
      <c r="B1539" s="4" t="s">
        <v>654</v>
      </c>
      <c r="C1539" s="4" t="s">
        <v>1063</v>
      </c>
      <c r="D1539" s="4" t="s">
        <v>2540</v>
      </c>
      <c r="E1539" s="6">
        <v>44099</v>
      </c>
      <c r="F1539" s="7">
        <v>-50</v>
      </c>
      <c r="G1539" s="7">
        <v>-34.26</v>
      </c>
      <c r="H1539" s="7">
        <v>0</v>
      </c>
    </row>
    <row r="1540" spans="1:8">
      <c r="A1540" s="4" t="s">
        <v>653</v>
      </c>
      <c r="B1540" s="4" t="s">
        <v>654</v>
      </c>
      <c r="C1540" s="4" t="s">
        <v>1165</v>
      </c>
      <c r="D1540" s="4" t="s">
        <v>2541</v>
      </c>
      <c r="E1540" s="6">
        <v>44099</v>
      </c>
      <c r="F1540" s="7">
        <v>-10</v>
      </c>
      <c r="G1540" s="7">
        <v>-9.0599999999999987</v>
      </c>
      <c r="H1540" s="7">
        <v>0</v>
      </c>
    </row>
    <row r="1541" spans="1:8">
      <c r="A1541" s="4" t="s">
        <v>653</v>
      </c>
      <c r="B1541" s="4" t="s">
        <v>654</v>
      </c>
      <c r="C1541" s="4" t="s">
        <v>989</v>
      </c>
      <c r="D1541" s="4" t="s">
        <v>2542</v>
      </c>
      <c r="E1541" s="6">
        <v>44099</v>
      </c>
      <c r="F1541" s="7">
        <v>-10</v>
      </c>
      <c r="G1541" s="7">
        <v>-15.64</v>
      </c>
      <c r="H1541" s="7">
        <v>0</v>
      </c>
    </row>
    <row r="1542" spans="1:8">
      <c r="A1542" s="4" t="s">
        <v>653</v>
      </c>
      <c r="B1542" s="4" t="s">
        <v>654</v>
      </c>
      <c r="C1542" s="4" t="s">
        <v>1371</v>
      </c>
      <c r="D1542" s="4" t="s">
        <v>2543</v>
      </c>
      <c r="E1542" s="6">
        <v>44099</v>
      </c>
      <c r="F1542" s="7">
        <v>-50</v>
      </c>
      <c r="G1542" s="7">
        <v>-82.18</v>
      </c>
      <c r="H1542" s="7">
        <v>0.01</v>
      </c>
    </row>
    <row r="1543" spans="1:8">
      <c r="A1543" s="4" t="s">
        <v>653</v>
      </c>
      <c r="B1543" s="4" t="s">
        <v>654</v>
      </c>
      <c r="C1543" s="4" t="s">
        <v>815</v>
      </c>
      <c r="D1543" s="4" t="s">
        <v>2544</v>
      </c>
      <c r="E1543" s="6">
        <v>44099</v>
      </c>
      <c r="F1543" s="7">
        <v>-50</v>
      </c>
      <c r="G1543" s="7">
        <v>-95.63</v>
      </c>
      <c r="H1543" s="7">
        <v>0</v>
      </c>
    </row>
    <row r="1544" spans="1:8">
      <c r="A1544" s="4" t="s">
        <v>653</v>
      </c>
      <c r="B1544" s="4" t="s">
        <v>654</v>
      </c>
      <c r="C1544" s="4" t="s">
        <v>893</v>
      </c>
      <c r="D1544" s="4" t="s">
        <v>2545</v>
      </c>
      <c r="E1544" s="6">
        <v>44099</v>
      </c>
      <c r="F1544" s="7">
        <v>-100</v>
      </c>
      <c r="G1544" s="7">
        <v>-307.71999999999997</v>
      </c>
      <c r="H1544" s="7">
        <v>-0.01</v>
      </c>
    </row>
    <row r="1545" spans="1:8">
      <c r="A1545" s="4" t="s">
        <v>653</v>
      </c>
      <c r="B1545" s="4" t="s">
        <v>654</v>
      </c>
      <c r="C1545" s="4" t="s">
        <v>952</v>
      </c>
      <c r="D1545" s="4" t="s">
        <v>2546</v>
      </c>
      <c r="E1545" s="6">
        <v>44099</v>
      </c>
      <c r="F1545" s="7">
        <v>-50</v>
      </c>
      <c r="G1545" s="7">
        <v>-33.08</v>
      </c>
      <c r="H1545" s="7">
        <v>0</v>
      </c>
    </row>
    <row r="1546" spans="1:8">
      <c r="A1546" s="4" t="s">
        <v>653</v>
      </c>
      <c r="B1546" s="4" t="s">
        <v>654</v>
      </c>
      <c r="C1546" s="4" t="s">
        <v>1213</v>
      </c>
      <c r="D1546" s="4" t="s">
        <v>2547</v>
      </c>
      <c r="E1546" s="6">
        <v>44099</v>
      </c>
      <c r="F1546" s="7">
        <v>-50</v>
      </c>
      <c r="G1546" s="7">
        <v>-31.68</v>
      </c>
      <c r="H1546" s="7">
        <v>0</v>
      </c>
    </row>
    <row r="1547" spans="1:8">
      <c r="A1547" s="4" t="s">
        <v>653</v>
      </c>
      <c r="B1547" s="4" t="s">
        <v>654</v>
      </c>
      <c r="C1547" s="4" t="s">
        <v>875</v>
      </c>
      <c r="D1547" s="4" t="s">
        <v>2548</v>
      </c>
      <c r="E1547" s="6">
        <v>44099</v>
      </c>
      <c r="F1547" s="7">
        <v>-50</v>
      </c>
      <c r="G1547" s="7">
        <v>-22.81</v>
      </c>
      <c r="H1547" s="7">
        <v>0.01</v>
      </c>
    </row>
    <row r="1548" spans="1:8">
      <c r="A1548" s="4" t="s">
        <v>653</v>
      </c>
      <c r="B1548" s="4" t="s">
        <v>654</v>
      </c>
      <c r="C1548" s="4" t="s">
        <v>889</v>
      </c>
      <c r="D1548" s="4" t="s">
        <v>2549</v>
      </c>
      <c r="E1548" s="6">
        <v>44099</v>
      </c>
      <c r="F1548" s="7">
        <v>-50</v>
      </c>
      <c r="G1548" s="7">
        <v>-22.34</v>
      </c>
      <c r="H1548" s="7">
        <v>0</v>
      </c>
    </row>
    <row r="1549" spans="1:8">
      <c r="A1549" s="4" t="s">
        <v>653</v>
      </c>
      <c r="B1549" s="4" t="s">
        <v>654</v>
      </c>
      <c r="C1549" s="4" t="s">
        <v>784</v>
      </c>
      <c r="D1549" s="4" t="s">
        <v>2550</v>
      </c>
      <c r="E1549" s="6">
        <v>44099</v>
      </c>
      <c r="F1549" s="7">
        <v>-1</v>
      </c>
      <c r="G1549" s="7">
        <v>0</v>
      </c>
      <c r="H1549" s="7">
        <v>0</v>
      </c>
    </row>
    <row r="1550" spans="1:8">
      <c r="A1550" s="4" t="s">
        <v>701</v>
      </c>
      <c r="B1550" s="4" t="s">
        <v>702</v>
      </c>
      <c r="C1550" s="4" t="s">
        <v>2551</v>
      </c>
      <c r="D1550" s="4" t="s">
        <v>2552</v>
      </c>
      <c r="E1550" s="6">
        <v>44125</v>
      </c>
      <c r="F1550" s="7">
        <v>-609</v>
      </c>
      <c r="G1550" s="7">
        <v>-357.99</v>
      </c>
      <c r="H1550" s="7">
        <v>0</v>
      </c>
    </row>
    <row r="1551" spans="1:8">
      <c r="A1551" s="4" t="s">
        <v>701</v>
      </c>
      <c r="B1551" s="4" t="s">
        <v>702</v>
      </c>
      <c r="C1551" s="4" t="s">
        <v>2551</v>
      </c>
      <c r="D1551" s="4" t="s">
        <v>2553</v>
      </c>
      <c r="E1551" s="6">
        <v>44125</v>
      </c>
      <c r="F1551" s="7">
        <v>-636</v>
      </c>
      <c r="G1551" s="7">
        <v>-373.87</v>
      </c>
      <c r="H1551" s="7">
        <v>0</v>
      </c>
    </row>
    <row r="1552" spans="1:8">
      <c r="A1552" s="4" t="s">
        <v>701</v>
      </c>
      <c r="B1552" s="4" t="s">
        <v>702</v>
      </c>
      <c r="C1552" s="4" t="s">
        <v>2551</v>
      </c>
      <c r="D1552" s="4" t="s">
        <v>2554</v>
      </c>
      <c r="E1552" s="6">
        <v>44125</v>
      </c>
      <c r="F1552" s="7">
        <v>-615</v>
      </c>
      <c r="G1552" s="7">
        <v>-361.52</v>
      </c>
      <c r="H1552" s="7">
        <v>0</v>
      </c>
    </row>
    <row r="1553" spans="1:8">
      <c r="A1553" s="4" t="s">
        <v>701</v>
      </c>
      <c r="B1553" s="4" t="s">
        <v>702</v>
      </c>
      <c r="C1553" s="4" t="s">
        <v>2551</v>
      </c>
      <c r="D1553" s="4" t="s">
        <v>2555</v>
      </c>
      <c r="E1553" s="6">
        <v>44125</v>
      </c>
      <c r="F1553" s="7">
        <v>-617</v>
      </c>
      <c r="G1553" s="7">
        <v>-362.7</v>
      </c>
      <c r="H1553" s="7">
        <v>0</v>
      </c>
    </row>
    <row r="1554" spans="1:8">
      <c r="A1554" s="4" t="s">
        <v>701</v>
      </c>
      <c r="B1554" s="4" t="s">
        <v>702</v>
      </c>
      <c r="C1554" s="4" t="s">
        <v>784</v>
      </c>
      <c r="D1554" s="4" t="s">
        <v>2556</v>
      </c>
      <c r="E1554" s="6">
        <v>44125</v>
      </c>
      <c r="F1554" s="7">
        <v>-1</v>
      </c>
      <c r="G1554" s="7">
        <v>0</v>
      </c>
      <c r="H1554" s="7">
        <v>0</v>
      </c>
    </row>
    <row r="1555" spans="1:8">
      <c r="A1555" s="4" t="s">
        <v>703</v>
      </c>
      <c r="B1555" s="4" t="s">
        <v>704</v>
      </c>
      <c r="C1555" s="4" t="s">
        <v>2551</v>
      </c>
      <c r="D1555" s="4" t="s">
        <v>2557</v>
      </c>
      <c r="E1555" s="6">
        <v>44125</v>
      </c>
      <c r="F1555" s="7">
        <v>-380</v>
      </c>
      <c r="G1555" s="7">
        <v>-223.38000000000002</v>
      </c>
      <c r="H1555" s="7">
        <v>0</v>
      </c>
    </row>
    <row r="1556" spans="1:8">
      <c r="A1556" s="4" t="s">
        <v>703</v>
      </c>
      <c r="B1556" s="4" t="s">
        <v>704</v>
      </c>
      <c r="C1556" s="4" t="s">
        <v>2551</v>
      </c>
      <c r="D1556" s="4" t="s">
        <v>2558</v>
      </c>
      <c r="E1556" s="6">
        <v>44125</v>
      </c>
      <c r="F1556" s="7">
        <v>-387</v>
      </c>
      <c r="G1556" s="7">
        <v>-227.49</v>
      </c>
      <c r="H1556" s="7">
        <v>0</v>
      </c>
    </row>
    <row r="1557" spans="1:8">
      <c r="A1557" s="4" t="s">
        <v>703</v>
      </c>
      <c r="B1557" s="4" t="s">
        <v>704</v>
      </c>
      <c r="C1557" s="4" t="s">
        <v>2551</v>
      </c>
      <c r="D1557" s="4" t="s">
        <v>2559</v>
      </c>
      <c r="E1557" s="6">
        <v>44125</v>
      </c>
      <c r="F1557" s="7">
        <v>-370</v>
      </c>
      <c r="G1557" s="7">
        <v>-217.5</v>
      </c>
      <c r="H1557" s="7">
        <v>0</v>
      </c>
    </row>
    <row r="1558" spans="1:8">
      <c r="A1558" s="4" t="s">
        <v>703</v>
      </c>
      <c r="B1558" s="4" t="s">
        <v>704</v>
      </c>
      <c r="C1558" s="4" t="s">
        <v>2551</v>
      </c>
      <c r="D1558" s="4" t="s">
        <v>2560</v>
      </c>
      <c r="E1558" s="6">
        <v>44125</v>
      </c>
      <c r="F1558" s="7">
        <v>-384</v>
      </c>
      <c r="G1558" s="7">
        <v>-225.73000000000002</v>
      </c>
      <c r="H1558" s="7">
        <v>0</v>
      </c>
    </row>
    <row r="1559" spans="1:8">
      <c r="A1559" s="4" t="s">
        <v>703</v>
      </c>
      <c r="B1559" s="4" t="s">
        <v>704</v>
      </c>
      <c r="C1559" s="4" t="s">
        <v>784</v>
      </c>
      <c r="D1559" s="4" t="s">
        <v>2561</v>
      </c>
      <c r="E1559" s="6">
        <v>44125</v>
      </c>
      <c r="F1559" s="7">
        <v>-1</v>
      </c>
      <c r="G1559" s="7">
        <v>0</v>
      </c>
      <c r="H1559" s="7">
        <v>0</v>
      </c>
    </row>
    <row r="1560" spans="1:8">
      <c r="A1560" s="4" t="s">
        <v>663</v>
      </c>
      <c r="B1560" s="4" t="s">
        <v>664</v>
      </c>
      <c r="C1560" s="4" t="s">
        <v>1476</v>
      </c>
      <c r="D1560" s="4" t="s">
        <v>2562</v>
      </c>
      <c r="E1560" s="6">
        <v>44110</v>
      </c>
      <c r="F1560" s="7">
        <v>-50</v>
      </c>
      <c r="G1560" s="7">
        <v>-125.05999999999999</v>
      </c>
      <c r="H1560" s="7">
        <v>0</v>
      </c>
    </row>
    <row r="1561" spans="1:8">
      <c r="A1561" s="4" t="s">
        <v>663</v>
      </c>
      <c r="B1561" s="4" t="s">
        <v>664</v>
      </c>
      <c r="C1561" s="4" t="s">
        <v>1126</v>
      </c>
      <c r="D1561" s="4" t="s">
        <v>2563</v>
      </c>
      <c r="E1561" s="6">
        <v>44110</v>
      </c>
      <c r="F1561" s="7">
        <v>-100</v>
      </c>
      <c r="G1561" s="7">
        <v>-140.87</v>
      </c>
      <c r="H1561" s="7">
        <v>0.01</v>
      </c>
    </row>
    <row r="1562" spans="1:8">
      <c r="A1562" s="4" t="s">
        <v>663</v>
      </c>
      <c r="B1562" s="4" t="s">
        <v>664</v>
      </c>
      <c r="C1562" s="4" t="s">
        <v>1366</v>
      </c>
      <c r="D1562" s="4" t="s">
        <v>2564</v>
      </c>
      <c r="E1562" s="6">
        <v>44110</v>
      </c>
      <c r="F1562" s="7">
        <v>-50</v>
      </c>
      <c r="G1562" s="7">
        <v>-60.14</v>
      </c>
      <c r="H1562" s="7">
        <v>-0.01</v>
      </c>
    </row>
    <row r="1563" spans="1:8">
      <c r="A1563" s="4" t="s">
        <v>663</v>
      </c>
      <c r="B1563" s="4" t="s">
        <v>664</v>
      </c>
      <c r="C1563" s="4" t="s">
        <v>1404</v>
      </c>
      <c r="D1563" s="4" t="s">
        <v>2565</v>
      </c>
      <c r="E1563" s="6">
        <v>44110</v>
      </c>
      <c r="F1563" s="7">
        <v>-100</v>
      </c>
      <c r="G1563" s="7">
        <v>-277.64</v>
      </c>
      <c r="H1563" s="7">
        <v>-0.01</v>
      </c>
    </row>
    <row r="1564" spans="1:8">
      <c r="A1564" s="4" t="s">
        <v>663</v>
      </c>
      <c r="B1564" s="4" t="s">
        <v>664</v>
      </c>
      <c r="C1564" s="4" t="s">
        <v>1146</v>
      </c>
      <c r="D1564" s="4" t="s">
        <v>2566</v>
      </c>
      <c r="E1564" s="6">
        <v>44110</v>
      </c>
      <c r="F1564" s="7">
        <v>-150</v>
      </c>
      <c r="G1564" s="7">
        <v>-120.45</v>
      </c>
      <c r="H1564" s="7">
        <v>0</v>
      </c>
    </row>
    <row r="1565" spans="1:8">
      <c r="A1565" s="4" t="s">
        <v>663</v>
      </c>
      <c r="B1565" s="4" t="s">
        <v>664</v>
      </c>
      <c r="C1565" s="4" t="s">
        <v>851</v>
      </c>
      <c r="D1565" s="4" t="s">
        <v>2567</v>
      </c>
      <c r="E1565" s="6">
        <v>44110</v>
      </c>
      <c r="F1565" s="7">
        <v>-50</v>
      </c>
      <c r="G1565" s="7">
        <v>-76.930000000000007</v>
      </c>
      <c r="H1565" s="7">
        <v>0</v>
      </c>
    </row>
    <row r="1566" spans="1:8">
      <c r="A1566" s="4" t="s">
        <v>663</v>
      </c>
      <c r="B1566" s="4" t="s">
        <v>664</v>
      </c>
      <c r="C1566" s="4" t="s">
        <v>784</v>
      </c>
      <c r="D1566" s="4" t="s">
        <v>2568</v>
      </c>
      <c r="E1566" s="6">
        <v>44110</v>
      </c>
      <c r="F1566" s="7">
        <v>-1</v>
      </c>
      <c r="G1566" s="7">
        <v>0</v>
      </c>
      <c r="H1566" s="7">
        <v>0</v>
      </c>
    </row>
    <row r="1567" spans="1:8">
      <c r="A1567" s="4" t="s">
        <v>705</v>
      </c>
      <c r="B1567" s="4" t="s">
        <v>706</v>
      </c>
      <c r="C1567" s="4" t="s">
        <v>2569</v>
      </c>
      <c r="D1567" s="4" t="s">
        <v>2570</v>
      </c>
      <c r="E1567" s="6">
        <v>44127</v>
      </c>
      <c r="F1567" s="7">
        <v>-705</v>
      </c>
      <c r="G1567" s="7">
        <v>-506.08000000000004</v>
      </c>
      <c r="H1567" s="7">
        <v>0</v>
      </c>
    </row>
    <row r="1568" spans="1:8">
      <c r="A1568" s="4" t="s">
        <v>705</v>
      </c>
      <c r="B1568" s="4" t="s">
        <v>706</v>
      </c>
      <c r="C1568" s="4" t="s">
        <v>2569</v>
      </c>
      <c r="D1568" s="4" t="s">
        <v>2570</v>
      </c>
      <c r="E1568" s="6">
        <v>44127</v>
      </c>
      <c r="F1568" s="7">
        <v>-1300</v>
      </c>
      <c r="G1568" s="7">
        <v>-933.2</v>
      </c>
      <c r="H1568" s="7">
        <v>0</v>
      </c>
    </row>
    <row r="1569" spans="1:8">
      <c r="A1569" s="4" t="s">
        <v>705</v>
      </c>
      <c r="B1569" s="4" t="s">
        <v>706</v>
      </c>
      <c r="C1569" s="4" t="s">
        <v>2569</v>
      </c>
      <c r="D1569" s="4" t="s">
        <v>2570</v>
      </c>
      <c r="E1569" s="6">
        <v>44127</v>
      </c>
      <c r="F1569" s="7">
        <v>-1175</v>
      </c>
      <c r="G1569" s="7">
        <v>-843.47</v>
      </c>
      <c r="H1569" s="7">
        <v>0</v>
      </c>
    </row>
    <row r="1570" spans="1:8">
      <c r="A1570" s="4" t="s">
        <v>705</v>
      </c>
      <c r="B1570" s="4" t="s">
        <v>706</v>
      </c>
      <c r="C1570" s="4" t="s">
        <v>2571</v>
      </c>
      <c r="D1570" s="4" t="s">
        <v>2572</v>
      </c>
      <c r="E1570" s="6">
        <v>44127</v>
      </c>
      <c r="F1570" s="7">
        <v>-695</v>
      </c>
      <c r="G1570" s="7">
        <v>-572.93999999999994</v>
      </c>
      <c r="H1570" s="7">
        <v>0</v>
      </c>
    </row>
    <row r="1571" spans="1:8">
      <c r="A1571" s="4" t="s">
        <v>705</v>
      </c>
      <c r="B1571" s="4" t="s">
        <v>706</v>
      </c>
      <c r="C1571" s="4" t="s">
        <v>2571</v>
      </c>
      <c r="D1571" s="4" t="s">
        <v>2572</v>
      </c>
      <c r="E1571" s="6">
        <v>44127</v>
      </c>
      <c r="F1571" s="7">
        <v>-360</v>
      </c>
      <c r="G1571" s="7">
        <v>-296.78000000000003</v>
      </c>
      <c r="H1571" s="7">
        <v>0</v>
      </c>
    </row>
    <row r="1572" spans="1:8">
      <c r="A1572" s="4" t="s">
        <v>705</v>
      </c>
      <c r="B1572" s="4" t="s">
        <v>706</v>
      </c>
      <c r="C1572" s="4" t="s">
        <v>840</v>
      </c>
      <c r="D1572" s="4" t="s">
        <v>2573</v>
      </c>
      <c r="E1572" s="6">
        <v>44127</v>
      </c>
      <c r="F1572" s="7">
        <v>-1</v>
      </c>
      <c r="G1572" s="7">
        <v>0</v>
      </c>
      <c r="H1572" s="7">
        <v>0</v>
      </c>
    </row>
    <row r="1573" spans="1:8">
      <c r="A1573" s="4" t="s">
        <v>705</v>
      </c>
      <c r="B1573" s="4" t="s">
        <v>706</v>
      </c>
      <c r="C1573" s="4" t="s">
        <v>784</v>
      </c>
      <c r="D1573" s="4" t="s">
        <v>2574</v>
      </c>
      <c r="E1573" s="6">
        <v>44127</v>
      </c>
      <c r="F1573" s="7">
        <v>-1</v>
      </c>
      <c r="G1573" s="7">
        <v>0</v>
      </c>
      <c r="H1573" s="7">
        <v>0</v>
      </c>
    </row>
    <row r="1574" spans="1:8">
      <c r="A1574" s="4" t="s">
        <v>668</v>
      </c>
      <c r="B1574" s="4" t="s">
        <v>669</v>
      </c>
      <c r="C1574" s="4" t="s">
        <v>914</v>
      </c>
      <c r="D1574" s="4" t="s">
        <v>2575</v>
      </c>
      <c r="E1574" s="6">
        <v>44111</v>
      </c>
      <c r="F1574" s="7">
        <v>-10</v>
      </c>
      <c r="G1574" s="7">
        <v>-7.06</v>
      </c>
      <c r="H1574" s="7">
        <v>0</v>
      </c>
    </row>
    <row r="1575" spans="1:8">
      <c r="A1575" s="4" t="s">
        <v>668</v>
      </c>
      <c r="B1575" s="4" t="s">
        <v>669</v>
      </c>
      <c r="C1575" s="4" t="s">
        <v>912</v>
      </c>
      <c r="D1575" s="4" t="s">
        <v>2576</v>
      </c>
      <c r="E1575" s="6">
        <v>44111</v>
      </c>
      <c r="F1575" s="7">
        <v>-15</v>
      </c>
      <c r="G1575" s="7">
        <v>-17.87</v>
      </c>
      <c r="H1575" s="7">
        <v>0</v>
      </c>
    </row>
    <row r="1576" spans="1:8">
      <c r="A1576" s="4" t="s">
        <v>668</v>
      </c>
      <c r="B1576" s="4" t="s">
        <v>669</v>
      </c>
      <c r="C1576" s="4" t="s">
        <v>1439</v>
      </c>
      <c r="D1576" s="4" t="s">
        <v>2577</v>
      </c>
      <c r="E1576" s="6">
        <v>44111</v>
      </c>
      <c r="F1576" s="7">
        <v>-10</v>
      </c>
      <c r="G1576" s="7">
        <v>-20.09</v>
      </c>
      <c r="H1576" s="7">
        <v>0.01</v>
      </c>
    </row>
    <row r="1577" spans="1:8">
      <c r="A1577" s="4" t="s">
        <v>668</v>
      </c>
      <c r="B1577" s="4" t="s">
        <v>669</v>
      </c>
      <c r="C1577" s="4" t="s">
        <v>784</v>
      </c>
      <c r="D1577" s="4" t="s">
        <v>2578</v>
      </c>
      <c r="E1577" s="6">
        <v>44111</v>
      </c>
      <c r="F1577" s="7">
        <v>-1</v>
      </c>
      <c r="G1577" s="7">
        <v>0</v>
      </c>
      <c r="H1577" s="7">
        <v>0</v>
      </c>
    </row>
    <row r="1578" spans="1:8">
      <c r="A1578" s="4" t="s">
        <v>670</v>
      </c>
      <c r="B1578" s="4" t="s">
        <v>671</v>
      </c>
      <c r="C1578" s="4" t="s">
        <v>817</v>
      </c>
      <c r="D1578" s="4" t="s">
        <v>2579</v>
      </c>
      <c r="E1578" s="6">
        <v>44111</v>
      </c>
      <c r="F1578" s="7">
        <v>-300</v>
      </c>
      <c r="G1578" s="7">
        <v>-284.40999999999997</v>
      </c>
      <c r="H1578" s="7">
        <v>0</v>
      </c>
    </row>
    <row r="1579" spans="1:8">
      <c r="A1579" s="4" t="s">
        <v>670</v>
      </c>
      <c r="B1579" s="4" t="s">
        <v>671</v>
      </c>
      <c r="C1579" s="4" t="s">
        <v>1628</v>
      </c>
      <c r="D1579" s="4" t="s">
        <v>2580</v>
      </c>
      <c r="E1579" s="6">
        <v>44111</v>
      </c>
      <c r="F1579" s="7">
        <v>-40</v>
      </c>
      <c r="G1579" s="7">
        <v>-30.07</v>
      </c>
      <c r="H1579" s="7">
        <v>0</v>
      </c>
    </row>
    <row r="1580" spans="1:8">
      <c r="A1580" s="4" t="s">
        <v>670</v>
      </c>
      <c r="B1580" s="4" t="s">
        <v>671</v>
      </c>
      <c r="C1580" s="4" t="s">
        <v>813</v>
      </c>
      <c r="D1580" s="4" t="s">
        <v>2581</v>
      </c>
      <c r="E1580" s="6">
        <v>44111</v>
      </c>
      <c r="F1580" s="7">
        <v>-10</v>
      </c>
      <c r="G1580" s="7">
        <v>-11.29</v>
      </c>
      <c r="H1580" s="7">
        <v>0</v>
      </c>
    </row>
    <row r="1581" spans="1:8">
      <c r="A1581" s="4" t="s">
        <v>670</v>
      </c>
      <c r="B1581" s="4" t="s">
        <v>671</v>
      </c>
      <c r="C1581" s="4" t="s">
        <v>815</v>
      </c>
      <c r="D1581" s="4" t="s">
        <v>2582</v>
      </c>
      <c r="E1581" s="6">
        <v>44111</v>
      </c>
      <c r="F1581" s="7">
        <v>-80</v>
      </c>
      <c r="G1581" s="7">
        <v>-153.01</v>
      </c>
      <c r="H1581" s="7">
        <v>0.01</v>
      </c>
    </row>
    <row r="1582" spans="1:8">
      <c r="A1582" s="4" t="s">
        <v>670</v>
      </c>
      <c r="B1582" s="4" t="s">
        <v>671</v>
      </c>
      <c r="C1582" s="4" t="s">
        <v>1104</v>
      </c>
      <c r="D1582" s="4" t="s">
        <v>2583</v>
      </c>
      <c r="E1582" s="6">
        <v>44111</v>
      </c>
      <c r="F1582" s="7">
        <v>-70</v>
      </c>
      <c r="G1582" s="7">
        <v>-95.93</v>
      </c>
      <c r="H1582" s="7">
        <v>0.01</v>
      </c>
    </row>
    <row r="1583" spans="1:8">
      <c r="A1583" s="4" t="s">
        <v>670</v>
      </c>
      <c r="B1583" s="4" t="s">
        <v>671</v>
      </c>
      <c r="C1583" s="4" t="s">
        <v>784</v>
      </c>
      <c r="D1583" s="4" t="s">
        <v>2584</v>
      </c>
      <c r="E1583" s="6">
        <v>44111</v>
      </c>
      <c r="F1583" s="7">
        <v>-1</v>
      </c>
      <c r="G1583" s="7">
        <v>0</v>
      </c>
      <c r="H1583" s="7">
        <v>0</v>
      </c>
    </row>
    <row r="1584" spans="1:8">
      <c r="A1584" s="4" t="s">
        <v>666</v>
      </c>
      <c r="B1584" s="4" t="s">
        <v>667</v>
      </c>
      <c r="C1584" s="4" t="s">
        <v>1948</v>
      </c>
      <c r="D1584" s="4" t="s">
        <v>2585</v>
      </c>
      <c r="E1584" s="6">
        <v>44111</v>
      </c>
      <c r="F1584" s="7">
        <v>-50</v>
      </c>
      <c r="G1584" s="7">
        <v>-9.4</v>
      </c>
      <c r="H1584" s="7">
        <v>0.01</v>
      </c>
    </row>
    <row r="1585" spans="1:8">
      <c r="A1585" s="4" t="s">
        <v>691</v>
      </c>
      <c r="B1585" s="4" t="s">
        <v>692</v>
      </c>
      <c r="C1585" s="4" t="s">
        <v>1290</v>
      </c>
      <c r="D1585" s="4" t="s">
        <v>2586</v>
      </c>
      <c r="E1585" s="6">
        <v>44120</v>
      </c>
      <c r="F1585" s="7">
        <v>-100</v>
      </c>
      <c r="G1585" s="7">
        <v>-58.7</v>
      </c>
      <c r="H1585" s="7">
        <v>0</v>
      </c>
    </row>
    <row r="1586" spans="1:8">
      <c r="A1586" s="4" t="s">
        <v>691</v>
      </c>
      <c r="B1586" s="4" t="s">
        <v>692</v>
      </c>
      <c r="C1586" s="4" t="s">
        <v>891</v>
      </c>
      <c r="D1586" s="4" t="s">
        <v>2587</v>
      </c>
      <c r="E1586" s="6">
        <v>44120</v>
      </c>
      <c r="F1586" s="7">
        <v>-50</v>
      </c>
      <c r="G1586" s="7">
        <v>-36.57</v>
      </c>
      <c r="H1586" s="7">
        <v>0.01</v>
      </c>
    </row>
    <row r="1587" spans="1:8">
      <c r="A1587" s="4" t="s">
        <v>691</v>
      </c>
      <c r="B1587" s="4" t="s">
        <v>692</v>
      </c>
      <c r="C1587" s="4" t="s">
        <v>1063</v>
      </c>
      <c r="D1587" s="4" t="s">
        <v>2588</v>
      </c>
      <c r="E1587" s="6">
        <v>44120</v>
      </c>
      <c r="F1587" s="7">
        <v>-100</v>
      </c>
      <c r="G1587" s="7">
        <v>-68.52</v>
      </c>
      <c r="H1587" s="7">
        <v>0</v>
      </c>
    </row>
    <row r="1588" spans="1:8">
      <c r="A1588" s="4" t="s">
        <v>691</v>
      </c>
      <c r="B1588" s="4" t="s">
        <v>692</v>
      </c>
      <c r="C1588" s="4" t="s">
        <v>1213</v>
      </c>
      <c r="D1588" s="4" t="s">
        <v>2589</v>
      </c>
      <c r="E1588" s="6">
        <v>44120</v>
      </c>
      <c r="F1588" s="7">
        <v>-100</v>
      </c>
      <c r="G1588" s="7">
        <v>-63.37</v>
      </c>
      <c r="H1588" s="7">
        <v>0</v>
      </c>
    </row>
    <row r="1589" spans="1:8">
      <c r="A1589" s="4" t="s">
        <v>691</v>
      </c>
      <c r="B1589" s="4" t="s">
        <v>692</v>
      </c>
      <c r="C1589" s="4" t="s">
        <v>916</v>
      </c>
      <c r="D1589" s="4" t="s">
        <v>2590</v>
      </c>
      <c r="E1589" s="6">
        <v>44120</v>
      </c>
      <c r="F1589" s="7">
        <v>-100</v>
      </c>
      <c r="G1589" s="7">
        <v>-37.58</v>
      </c>
      <c r="H1589" s="7">
        <v>0</v>
      </c>
    </row>
    <row r="1590" spans="1:8">
      <c r="A1590" s="4" t="s">
        <v>691</v>
      </c>
      <c r="B1590" s="4" t="s">
        <v>692</v>
      </c>
      <c r="C1590" s="4" t="s">
        <v>817</v>
      </c>
      <c r="D1590" s="4" t="s">
        <v>2591</v>
      </c>
      <c r="E1590" s="6">
        <v>44120</v>
      </c>
      <c r="F1590" s="7">
        <v>-100</v>
      </c>
      <c r="G1590" s="7">
        <v>-94.8</v>
      </c>
      <c r="H1590" s="7">
        <v>-0.01</v>
      </c>
    </row>
    <row r="1591" spans="1:8">
      <c r="A1591" s="4" t="s">
        <v>691</v>
      </c>
      <c r="B1591" s="4" t="s">
        <v>692</v>
      </c>
      <c r="C1591" s="4" t="s">
        <v>1364</v>
      </c>
      <c r="D1591" s="4" t="s">
        <v>2592</v>
      </c>
      <c r="E1591" s="6">
        <v>44120</v>
      </c>
      <c r="F1591" s="7">
        <v>-50</v>
      </c>
      <c r="G1591" s="7">
        <v>-140.87</v>
      </c>
      <c r="H1591" s="7">
        <v>0</v>
      </c>
    </row>
    <row r="1592" spans="1:8">
      <c r="A1592" s="4" t="s">
        <v>691</v>
      </c>
      <c r="B1592" s="4" t="s">
        <v>692</v>
      </c>
      <c r="C1592" s="4" t="s">
        <v>904</v>
      </c>
      <c r="D1592" s="4" t="s">
        <v>2593</v>
      </c>
      <c r="E1592" s="6">
        <v>44120</v>
      </c>
      <c r="F1592" s="7">
        <v>-25</v>
      </c>
      <c r="G1592" s="7">
        <v>-168.45</v>
      </c>
      <c r="H1592" s="7">
        <v>0</v>
      </c>
    </row>
    <row r="1593" spans="1:8">
      <c r="A1593" s="4" t="s">
        <v>691</v>
      </c>
      <c r="B1593" s="4" t="s">
        <v>692</v>
      </c>
      <c r="C1593" s="4" t="s">
        <v>1168</v>
      </c>
      <c r="D1593" s="4" t="s">
        <v>2594</v>
      </c>
      <c r="E1593" s="6">
        <v>44120</v>
      </c>
      <c r="F1593" s="7">
        <v>-100</v>
      </c>
      <c r="G1593" s="7">
        <v>-80.989999999999995</v>
      </c>
      <c r="H1593" s="7">
        <v>0</v>
      </c>
    </row>
    <row r="1594" spans="1:8">
      <c r="A1594" s="4" t="s">
        <v>673</v>
      </c>
      <c r="B1594" s="4" t="s">
        <v>674</v>
      </c>
      <c r="C1594" s="4" t="s">
        <v>784</v>
      </c>
      <c r="D1594" s="4" t="s">
        <v>2595</v>
      </c>
      <c r="E1594" s="6">
        <v>44111</v>
      </c>
      <c r="F1594" s="7">
        <v>-1</v>
      </c>
      <c r="G1594" s="7">
        <v>0</v>
      </c>
      <c r="H1594" s="7">
        <v>0</v>
      </c>
    </row>
    <row r="1595" spans="1:8">
      <c r="A1595" s="4" t="s">
        <v>691</v>
      </c>
      <c r="B1595" s="4" t="s">
        <v>692</v>
      </c>
      <c r="C1595" s="4" t="s">
        <v>815</v>
      </c>
      <c r="D1595" s="4" t="s">
        <v>2596</v>
      </c>
      <c r="E1595" s="6">
        <v>44120</v>
      </c>
      <c r="F1595" s="7">
        <v>-100</v>
      </c>
      <c r="G1595" s="7">
        <v>-191.26</v>
      </c>
      <c r="H1595" s="7">
        <v>0</v>
      </c>
    </row>
    <row r="1596" spans="1:8">
      <c r="A1596" s="4" t="s">
        <v>691</v>
      </c>
      <c r="B1596" s="4" t="s">
        <v>692</v>
      </c>
      <c r="C1596" s="4" t="s">
        <v>885</v>
      </c>
      <c r="D1596" s="4" t="s">
        <v>2597</v>
      </c>
      <c r="E1596" s="6">
        <v>44120</v>
      </c>
      <c r="F1596" s="7">
        <v>-100</v>
      </c>
      <c r="G1596" s="7">
        <v>-434.16</v>
      </c>
      <c r="H1596" s="7">
        <v>0.01</v>
      </c>
    </row>
    <row r="1597" spans="1:8">
      <c r="A1597" s="4" t="s">
        <v>691</v>
      </c>
      <c r="B1597" s="4" t="s">
        <v>692</v>
      </c>
      <c r="C1597" s="4" t="s">
        <v>1371</v>
      </c>
      <c r="D1597" s="4" t="s">
        <v>2598</v>
      </c>
      <c r="E1597" s="6">
        <v>44120</v>
      </c>
      <c r="F1597" s="7">
        <v>-50</v>
      </c>
      <c r="G1597" s="7">
        <v>-82.18</v>
      </c>
      <c r="H1597" s="7">
        <v>0</v>
      </c>
    </row>
    <row r="1598" spans="1:8">
      <c r="A1598" s="4" t="s">
        <v>691</v>
      </c>
      <c r="B1598" s="4" t="s">
        <v>692</v>
      </c>
      <c r="C1598" s="4" t="s">
        <v>1106</v>
      </c>
      <c r="D1598" s="4" t="s">
        <v>2599</v>
      </c>
      <c r="E1598" s="6">
        <v>44120</v>
      </c>
      <c r="F1598" s="7">
        <v>-100</v>
      </c>
      <c r="G1598" s="7">
        <v>-136.94999999999999</v>
      </c>
      <c r="H1598" s="7">
        <v>0</v>
      </c>
    </row>
    <row r="1599" spans="1:8">
      <c r="A1599" s="4" t="s">
        <v>691</v>
      </c>
      <c r="B1599" s="4" t="s">
        <v>692</v>
      </c>
      <c r="C1599" s="4" t="s">
        <v>893</v>
      </c>
      <c r="D1599" s="4" t="s">
        <v>2600</v>
      </c>
      <c r="E1599" s="6">
        <v>44120</v>
      </c>
      <c r="F1599" s="7">
        <v>-100</v>
      </c>
      <c r="G1599" s="7">
        <v>-307.71999999999997</v>
      </c>
      <c r="H1599" s="7">
        <v>0</v>
      </c>
    </row>
    <row r="1600" spans="1:8">
      <c r="A1600" s="4" t="s">
        <v>691</v>
      </c>
      <c r="B1600" s="4" t="s">
        <v>692</v>
      </c>
      <c r="C1600" s="4" t="s">
        <v>823</v>
      </c>
      <c r="D1600" s="4" t="s">
        <v>2601</v>
      </c>
      <c r="E1600" s="6">
        <v>44120</v>
      </c>
      <c r="F1600" s="7">
        <v>-50</v>
      </c>
      <c r="G1600" s="7">
        <v>-180.01</v>
      </c>
      <c r="H1600" s="7">
        <v>0</v>
      </c>
    </row>
    <row r="1601" spans="1:8">
      <c r="A1601" s="4" t="s">
        <v>691</v>
      </c>
      <c r="B1601" s="4" t="s">
        <v>692</v>
      </c>
      <c r="C1601" s="4" t="s">
        <v>860</v>
      </c>
      <c r="D1601" s="4" t="s">
        <v>2602</v>
      </c>
      <c r="E1601" s="6">
        <v>44120</v>
      </c>
      <c r="F1601" s="7">
        <v>-50</v>
      </c>
      <c r="G1601" s="7">
        <v>-161.69999999999999</v>
      </c>
      <c r="H1601" s="7">
        <v>0</v>
      </c>
    </row>
    <row r="1602" spans="1:8">
      <c r="A1602" s="4" t="s">
        <v>691</v>
      </c>
      <c r="B1602" s="4" t="s">
        <v>692</v>
      </c>
      <c r="C1602" s="4" t="s">
        <v>784</v>
      </c>
      <c r="D1602" s="4" t="s">
        <v>2603</v>
      </c>
      <c r="E1602" s="6">
        <v>44120</v>
      </c>
      <c r="F1602" s="7">
        <v>-1</v>
      </c>
      <c r="G1602" s="7">
        <v>0</v>
      </c>
      <c r="H1602" s="7">
        <v>0</v>
      </c>
    </row>
    <row r="1603" spans="1:8">
      <c r="A1603" s="4" t="s">
        <v>679</v>
      </c>
      <c r="B1603" s="4" t="s">
        <v>680</v>
      </c>
      <c r="C1603" s="4" t="s">
        <v>887</v>
      </c>
      <c r="D1603" s="4" t="s">
        <v>2604</v>
      </c>
      <c r="E1603" s="6">
        <v>44117</v>
      </c>
      <c r="F1603" s="7">
        <v>-75</v>
      </c>
      <c r="G1603" s="7">
        <v>-30.67</v>
      </c>
      <c r="H1603" s="7">
        <v>0</v>
      </c>
    </row>
    <row r="1604" spans="1:8">
      <c r="A1604" s="4" t="s">
        <v>679</v>
      </c>
      <c r="B1604" s="4" t="s">
        <v>680</v>
      </c>
      <c r="C1604" s="4" t="s">
        <v>993</v>
      </c>
      <c r="D1604" s="4" t="s">
        <v>2605</v>
      </c>
      <c r="E1604" s="6">
        <v>44117</v>
      </c>
      <c r="F1604" s="7">
        <v>-100</v>
      </c>
      <c r="G1604" s="7">
        <v>-35.31</v>
      </c>
      <c r="H1604" s="7">
        <v>0</v>
      </c>
    </row>
    <row r="1605" spans="1:8">
      <c r="A1605" s="4" t="s">
        <v>679</v>
      </c>
      <c r="B1605" s="4" t="s">
        <v>680</v>
      </c>
      <c r="C1605" s="4" t="s">
        <v>936</v>
      </c>
      <c r="D1605" s="4" t="s">
        <v>2606</v>
      </c>
      <c r="E1605" s="6">
        <v>44117</v>
      </c>
      <c r="F1605" s="7">
        <v>-100</v>
      </c>
      <c r="G1605" s="7">
        <v>-47.4</v>
      </c>
      <c r="H1605" s="7">
        <v>-0.01</v>
      </c>
    </row>
    <row r="1606" spans="1:8">
      <c r="A1606" s="4" t="s">
        <v>679</v>
      </c>
      <c r="B1606" s="4" t="s">
        <v>680</v>
      </c>
      <c r="C1606" s="4" t="s">
        <v>940</v>
      </c>
      <c r="D1606" s="4" t="s">
        <v>2607</v>
      </c>
      <c r="E1606" s="6">
        <v>44117</v>
      </c>
      <c r="F1606" s="7">
        <v>-50</v>
      </c>
      <c r="G1606" s="7">
        <v>-28.22</v>
      </c>
      <c r="H1606" s="7">
        <v>0</v>
      </c>
    </row>
    <row r="1607" spans="1:8">
      <c r="A1607" s="4" t="s">
        <v>679</v>
      </c>
      <c r="B1607" s="4" t="s">
        <v>680</v>
      </c>
      <c r="C1607" s="4" t="s">
        <v>942</v>
      </c>
      <c r="D1607" s="4" t="s">
        <v>2608</v>
      </c>
      <c r="E1607" s="6">
        <v>44117</v>
      </c>
      <c r="F1607" s="7">
        <v>-28</v>
      </c>
      <c r="G1607" s="7">
        <v>-28.12</v>
      </c>
      <c r="H1607" s="7">
        <v>0</v>
      </c>
    </row>
    <row r="1608" spans="1:8">
      <c r="A1608" s="4" t="s">
        <v>679</v>
      </c>
      <c r="B1608" s="4" t="s">
        <v>680</v>
      </c>
      <c r="C1608" s="4" t="s">
        <v>1139</v>
      </c>
      <c r="D1608" s="4" t="s">
        <v>2609</v>
      </c>
      <c r="E1608" s="6">
        <v>44117</v>
      </c>
      <c r="F1608" s="7">
        <v>-75</v>
      </c>
      <c r="G1608" s="7">
        <v>-46.9</v>
      </c>
      <c r="H1608" s="7">
        <v>0.01</v>
      </c>
    </row>
    <row r="1609" spans="1:8">
      <c r="A1609" s="4" t="s">
        <v>679</v>
      </c>
      <c r="B1609" s="4" t="s">
        <v>680</v>
      </c>
      <c r="C1609" s="4" t="s">
        <v>889</v>
      </c>
      <c r="D1609" s="4" t="s">
        <v>2610</v>
      </c>
      <c r="E1609" s="6">
        <v>44117</v>
      </c>
      <c r="F1609" s="7">
        <v>-20</v>
      </c>
      <c r="G1609" s="7">
        <v>-8.9400000000000013</v>
      </c>
      <c r="H1609" s="7">
        <v>0.01</v>
      </c>
    </row>
    <row r="1610" spans="1:8">
      <c r="A1610" s="4" t="s">
        <v>679</v>
      </c>
      <c r="B1610" s="4" t="s">
        <v>680</v>
      </c>
      <c r="C1610" s="4" t="s">
        <v>1063</v>
      </c>
      <c r="D1610" s="4" t="s">
        <v>2611</v>
      </c>
      <c r="E1610" s="6">
        <v>44117</v>
      </c>
      <c r="F1610" s="7">
        <v>-20</v>
      </c>
      <c r="G1610" s="7">
        <v>-13.7</v>
      </c>
      <c r="H1610" s="7">
        <v>-0.01</v>
      </c>
    </row>
    <row r="1611" spans="1:8">
      <c r="A1611" s="4" t="s">
        <v>679</v>
      </c>
      <c r="B1611" s="4" t="s">
        <v>680</v>
      </c>
      <c r="C1611" s="4" t="s">
        <v>987</v>
      </c>
      <c r="D1611" s="4" t="s">
        <v>2612</v>
      </c>
      <c r="E1611" s="6">
        <v>44117</v>
      </c>
      <c r="F1611" s="7">
        <v>-40</v>
      </c>
      <c r="G1611" s="7">
        <v>-30.01</v>
      </c>
      <c r="H1611" s="7">
        <v>0</v>
      </c>
    </row>
    <row r="1612" spans="1:8">
      <c r="A1612" s="4" t="s">
        <v>679</v>
      </c>
      <c r="B1612" s="4" t="s">
        <v>680</v>
      </c>
      <c r="C1612" s="4" t="s">
        <v>1956</v>
      </c>
      <c r="D1612" s="4" t="s">
        <v>2613</v>
      </c>
      <c r="E1612" s="6">
        <v>44117</v>
      </c>
      <c r="F1612" s="7">
        <v>-100</v>
      </c>
      <c r="G1612" s="7">
        <v>-34.24</v>
      </c>
      <c r="H1612" s="7">
        <v>0.01</v>
      </c>
    </row>
    <row r="1613" spans="1:8">
      <c r="A1613" s="4" t="s">
        <v>679</v>
      </c>
      <c r="B1613" s="4" t="s">
        <v>680</v>
      </c>
      <c r="C1613" s="4" t="s">
        <v>2040</v>
      </c>
      <c r="D1613" s="4" t="s">
        <v>2614</v>
      </c>
      <c r="E1613" s="6">
        <v>44117</v>
      </c>
      <c r="F1613" s="7">
        <v>-20</v>
      </c>
      <c r="G1613" s="7">
        <v>-34.799999999999997</v>
      </c>
      <c r="H1613" s="7">
        <v>0</v>
      </c>
    </row>
    <row r="1614" spans="1:8">
      <c r="A1614" s="4" t="s">
        <v>679</v>
      </c>
      <c r="B1614" s="4" t="s">
        <v>680</v>
      </c>
      <c r="C1614" s="4" t="s">
        <v>784</v>
      </c>
      <c r="D1614" s="4" t="s">
        <v>2615</v>
      </c>
      <c r="E1614" s="6">
        <v>44117</v>
      </c>
      <c r="F1614" s="7">
        <v>-1</v>
      </c>
      <c r="G1614" s="7">
        <v>0</v>
      </c>
      <c r="H1614" s="7">
        <v>0</v>
      </c>
    </row>
    <row r="1615" spans="1:8">
      <c r="A1615" s="4" t="s">
        <v>689</v>
      </c>
      <c r="B1615" s="4" t="s">
        <v>690</v>
      </c>
      <c r="C1615" s="4" t="s">
        <v>887</v>
      </c>
      <c r="D1615" s="4" t="s">
        <v>2616</v>
      </c>
      <c r="E1615" s="6">
        <v>44120</v>
      </c>
      <c r="F1615" s="7">
        <v>-150</v>
      </c>
      <c r="G1615" s="7">
        <v>-61.34</v>
      </c>
      <c r="H1615" s="7">
        <v>0</v>
      </c>
    </row>
    <row r="1616" spans="1:8">
      <c r="A1616" s="4" t="s">
        <v>689</v>
      </c>
      <c r="B1616" s="4" t="s">
        <v>690</v>
      </c>
      <c r="C1616" s="4" t="s">
        <v>993</v>
      </c>
      <c r="D1616" s="4" t="s">
        <v>2617</v>
      </c>
      <c r="E1616" s="6">
        <v>44120</v>
      </c>
      <c r="F1616" s="7">
        <v>-150</v>
      </c>
      <c r="G1616" s="7">
        <v>-52.96</v>
      </c>
      <c r="H1616" s="7">
        <v>0</v>
      </c>
    </row>
    <row r="1617" spans="1:8">
      <c r="A1617" s="4" t="s">
        <v>689</v>
      </c>
      <c r="B1617" s="4" t="s">
        <v>690</v>
      </c>
      <c r="C1617" s="4" t="s">
        <v>982</v>
      </c>
      <c r="D1617" s="4" t="s">
        <v>2618</v>
      </c>
      <c r="E1617" s="6">
        <v>44120</v>
      </c>
      <c r="F1617" s="7">
        <v>-50</v>
      </c>
      <c r="G1617" s="7">
        <v>-168.45</v>
      </c>
      <c r="H1617" s="7">
        <v>-0.01</v>
      </c>
    </row>
    <row r="1618" spans="1:8">
      <c r="A1618" s="4" t="s">
        <v>689</v>
      </c>
      <c r="B1618" s="4" t="s">
        <v>690</v>
      </c>
      <c r="C1618" s="4" t="s">
        <v>1044</v>
      </c>
      <c r="D1618" s="4" t="s">
        <v>2619</v>
      </c>
      <c r="E1618" s="6">
        <v>44120</v>
      </c>
      <c r="F1618" s="7">
        <v>-50</v>
      </c>
      <c r="G1618" s="7">
        <v>-213.8</v>
      </c>
      <c r="H1618" s="7">
        <v>0</v>
      </c>
    </row>
    <row r="1619" spans="1:8">
      <c r="A1619" s="4" t="s">
        <v>689</v>
      </c>
      <c r="B1619" s="4" t="s">
        <v>690</v>
      </c>
      <c r="C1619" s="4" t="s">
        <v>1106</v>
      </c>
      <c r="D1619" s="4" t="s">
        <v>2620</v>
      </c>
      <c r="E1619" s="6">
        <v>44120</v>
      </c>
      <c r="F1619" s="7">
        <v>-100</v>
      </c>
      <c r="G1619" s="7">
        <v>-136.94999999999999</v>
      </c>
      <c r="H1619" s="7">
        <v>-0.01</v>
      </c>
    </row>
    <row r="1620" spans="1:8">
      <c r="A1620" s="4" t="s">
        <v>689</v>
      </c>
      <c r="B1620" s="4" t="s">
        <v>690</v>
      </c>
      <c r="C1620" s="4" t="s">
        <v>893</v>
      </c>
      <c r="D1620" s="4" t="s">
        <v>2621</v>
      </c>
      <c r="E1620" s="6">
        <v>44120</v>
      </c>
      <c r="F1620" s="7">
        <v>-100</v>
      </c>
      <c r="G1620" s="7">
        <v>-307.71999999999997</v>
      </c>
      <c r="H1620" s="7">
        <v>0</v>
      </c>
    </row>
    <row r="1621" spans="1:8">
      <c r="A1621" s="4" t="s">
        <v>689</v>
      </c>
      <c r="B1621" s="4" t="s">
        <v>690</v>
      </c>
      <c r="C1621" s="4" t="s">
        <v>784</v>
      </c>
      <c r="D1621" s="4" t="s">
        <v>2622</v>
      </c>
      <c r="E1621" s="6">
        <v>44120</v>
      </c>
      <c r="F1621" s="7">
        <v>-1</v>
      </c>
      <c r="G1621" s="7">
        <v>0</v>
      </c>
      <c r="H1621" s="7">
        <v>0</v>
      </c>
    </row>
    <row r="1622" spans="1:8">
      <c r="A1622" s="4" t="s">
        <v>685</v>
      </c>
      <c r="B1622" s="4" t="s">
        <v>686</v>
      </c>
      <c r="C1622" s="4" t="s">
        <v>1011</v>
      </c>
      <c r="D1622" s="4" t="s">
        <v>2623</v>
      </c>
      <c r="E1622" s="6">
        <v>44120</v>
      </c>
      <c r="F1622" s="7">
        <v>-20</v>
      </c>
      <c r="G1622" s="7">
        <v>-12.26</v>
      </c>
      <c r="H1622" s="7">
        <v>0</v>
      </c>
    </row>
    <row r="1623" spans="1:8">
      <c r="A1623" s="4" t="s">
        <v>685</v>
      </c>
      <c r="B1623" s="4" t="s">
        <v>686</v>
      </c>
      <c r="C1623" s="4" t="s">
        <v>1015</v>
      </c>
      <c r="D1623" s="4" t="s">
        <v>2624</v>
      </c>
      <c r="E1623" s="6">
        <v>44120</v>
      </c>
      <c r="F1623" s="7">
        <v>-10</v>
      </c>
      <c r="G1623" s="7">
        <v>-9.26</v>
      </c>
      <c r="H1623" s="7">
        <v>-0.01</v>
      </c>
    </row>
    <row r="1624" spans="1:8">
      <c r="A1624" s="4" t="s">
        <v>685</v>
      </c>
      <c r="B1624" s="4" t="s">
        <v>686</v>
      </c>
      <c r="C1624" s="4" t="s">
        <v>887</v>
      </c>
      <c r="D1624" s="4" t="s">
        <v>2625</v>
      </c>
      <c r="E1624" s="6">
        <v>44120</v>
      </c>
      <c r="F1624" s="7">
        <v>-10</v>
      </c>
      <c r="G1624" s="7">
        <v>-4.09</v>
      </c>
      <c r="H1624" s="7">
        <v>0</v>
      </c>
    </row>
    <row r="1625" spans="1:8">
      <c r="A1625" s="4" t="s">
        <v>685</v>
      </c>
      <c r="B1625" s="4" t="s">
        <v>686</v>
      </c>
      <c r="C1625" s="4" t="s">
        <v>949</v>
      </c>
      <c r="D1625" s="4" t="s">
        <v>2626</v>
      </c>
      <c r="E1625" s="6">
        <v>44120</v>
      </c>
      <c r="F1625" s="7">
        <v>-20</v>
      </c>
      <c r="G1625" s="7">
        <v>-7.2099999999999991</v>
      </c>
      <c r="H1625" s="7">
        <v>0</v>
      </c>
    </row>
    <row r="1626" spans="1:8">
      <c r="A1626" s="4" t="s">
        <v>685</v>
      </c>
      <c r="B1626" s="4" t="s">
        <v>686</v>
      </c>
      <c r="C1626" s="4" t="s">
        <v>873</v>
      </c>
      <c r="D1626" s="4" t="s">
        <v>2627</v>
      </c>
      <c r="E1626" s="6">
        <v>44120</v>
      </c>
      <c r="F1626" s="7">
        <v>-10</v>
      </c>
      <c r="G1626" s="7">
        <v>-4.05</v>
      </c>
      <c r="H1626" s="7">
        <v>0</v>
      </c>
    </row>
    <row r="1627" spans="1:8">
      <c r="A1627" s="4" t="s">
        <v>685</v>
      </c>
      <c r="B1627" s="4" t="s">
        <v>686</v>
      </c>
      <c r="C1627" s="4" t="s">
        <v>942</v>
      </c>
      <c r="D1627" s="4" t="s">
        <v>2628</v>
      </c>
      <c r="E1627" s="6">
        <v>44120</v>
      </c>
      <c r="F1627" s="7">
        <v>-10</v>
      </c>
      <c r="G1627" s="7">
        <v>-10.039999999999999</v>
      </c>
      <c r="H1627" s="7">
        <v>0</v>
      </c>
    </row>
    <row r="1628" spans="1:8">
      <c r="A1628" s="4" t="s">
        <v>685</v>
      </c>
      <c r="B1628" s="4" t="s">
        <v>686</v>
      </c>
      <c r="C1628" s="4" t="s">
        <v>1126</v>
      </c>
      <c r="D1628" s="4" t="s">
        <v>2629</v>
      </c>
      <c r="E1628" s="6">
        <v>44120</v>
      </c>
      <c r="F1628" s="7">
        <v>-5</v>
      </c>
      <c r="G1628" s="7">
        <v>-7.0400000000000009</v>
      </c>
      <c r="H1628" s="7">
        <v>-0.01</v>
      </c>
    </row>
    <row r="1629" spans="1:8">
      <c r="A1629" s="4" t="s">
        <v>685</v>
      </c>
      <c r="B1629" s="4" t="s">
        <v>686</v>
      </c>
      <c r="C1629" s="4" t="s">
        <v>891</v>
      </c>
      <c r="D1629" s="4" t="s">
        <v>2630</v>
      </c>
      <c r="E1629" s="6">
        <v>44120</v>
      </c>
      <c r="F1629" s="7">
        <v>-20</v>
      </c>
      <c r="G1629" s="7">
        <v>-14.63</v>
      </c>
      <c r="H1629" s="7">
        <v>0</v>
      </c>
    </row>
    <row r="1630" spans="1:8">
      <c r="A1630" s="4" t="s">
        <v>685</v>
      </c>
      <c r="B1630" s="4" t="s">
        <v>686</v>
      </c>
      <c r="C1630" s="4" t="s">
        <v>1005</v>
      </c>
      <c r="D1630" s="4" t="s">
        <v>2631</v>
      </c>
      <c r="E1630" s="6">
        <v>44120</v>
      </c>
      <c r="F1630" s="7">
        <v>-20</v>
      </c>
      <c r="G1630" s="7">
        <v>-14.9</v>
      </c>
      <c r="H1630" s="7">
        <v>0</v>
      </c>
    </row>
    <row r="1631" spans="1:8">
      <c r="A1631" s="4" t="s">
        <v>685</v>
      </c>
      <c r="B1631" s="4" t="s">
        <v>686</v>
      </c>
      <c r="C1631" s="4" t="s">
        <v>1028</v>
      </c>
      <c r="D1631" s="4" t="s">
        <v>2632</v>
      </c>
      <c r="E1631" s="6">
        <v>44120</v>
      </c>
      <c r="F1631" s="7">
        <v>-10</v>
      </c>
      <c r="G1631" s="7">
        <v>-9.5599999999999987</v>
      </c>
      <c r="H1631" s="7">
        <v>0</v>
      </c>
    </row>
    <row r="1632" spans="1:8">
      <c r="A1632" s="4" t="s">
        <v>685</v>
      </c>
      <c r="B1632" s="4" t="s">
        <v>686</v>
      </c>
      <c r="C1632" s="4" t="s">
        <v>853</v>
      </c>
      <c r="D1632" s="4" t="s">
        <v>2633</v>
      </c>
      <c r="E1632" s="6">
        <v>44120</v>
      </c>
      <c r="F1632" s="7">
        <v>-10</v>
      </c>
      <c r="G1632" s="7">
        <v>-18</v>
      </c>
      <c r="H1632" s="7">
        <v>0</v>
      </c>
    </row>
    <row r="1633" spans="1:8">
      <c r="A1633" s="4" t="s">
        <v>685</v>
      </c>
      <c r="B1633" s="4" t="s">
        <v>686</v>
      </c>
      <c r="C1633" s="4" t="s">
        <v>1030</v>
      </c>
      <c r="D1633" s="4" t="s">
        <v>2634</v>
      </c>
      <c r="E1633" s="6">
        <v>44120</v>
      </c>
      <c r="F1633" s="7">
        <v>-10</v>
      </c>
      <c r="G1633" s="7">
        <v>-21.71</v>
      </c>
      <c r="H1633" s="7">
        <v>0</v>
      </c>
    </row>
    <row r="1634" spans="1:8">
      <c r="A1634" s="4" t="s">
        <v>685</v>
      </c>
      <c r="B1634" s="4" t="s">
        <v>686</v>
      </c>
      <c r="C1634" s="4" t="s">
        <v>1032</v>
      </c>
      <c r="D1634" s="4" t="s">
        <v>2635</v>
      </c>
      <c r="E1634" s="6">
        <v>44120</v>
      </c>
      <c r="F1634" s="7">
        <v>-10</v>
      </c>
      <c r="G1634" s="7">
        <v>-22.24</v>
      </c>
      <c r="H1634" s="7">
        <v>0</v>
      </c>
    </row>
    <row r="1635" spans="1:8">
      <c r="A1635" s="4" t="s">
        <v>685</v>
      </c>
      <c r="B1635" s="4" t="s">
        <v>686</v>
      </c>
      <c r="C1635" s="4" t="s">
        <v>784</v>
      </c>
      <c r="D1635" s="4" t="s">
        <v>2636</v>
      </c>
      <c r="E1635" s="6">
        <v>44120</v>
      </c>
      <c r="F1635" s="7">
        <v>-1</v>
      </c>
      <c r="G1635" s="7">
        <v>0</v>
      </c>
      <c r="H1635" s="7">
        <v>0</v>
      </c>
    </row>
    <row r="1636" spans="1:8">
      <c r="A1636" s="4" t="s">
        <v>685</v>
      </c>
      <c r="B1636" s="4" t="s">
        <v>686</v>
      </c>
      <c r="C1636" s="4" t="s">
        <v>940</v>
      </c>
      <c r="D1636" s="4" t="s">
        <v>2637</v>
      </c>
      <c r="E1636" s="6">
        <v>44120</v>
      </c>
      <c r="F1636" s="7">
        <v>-10</v>
      </c>
      <c r="G1636" s="7">
        <v>-5.64</v>
      </c>
      <c r="H1636" s="7">
        <v>-0.01</v>
      </c>
    </row>
    <row r="1637" spans="1:8">
      <c r="A1637" s="4" t="s">
        <v>770</v>
      </c>
      <c r="B1637" s="4" t="s">
        <v>771</v>
      </c>
      <c r="C1637" s="4" t="s">
        <v>1384</v>
      </c>
      <c r="D1637" s="4" t="s">
        <v>2638</v>
      </c>
      <c r="E1637" s="6">
        <v>44117</v>
      </c>
      <c r="F1637" s="7">
        <v>50</v>
      </c>
      <c r="G1637" s="7">
        <v>37.19</v>
      </c>
      <c r="H1637" s="7">
        <v>0</v>
      </c>
    </row>
    <row r="1638" spans="1:8">
      <c r="A1638" s="4" t="s">
        <v>770</v>
      </c>
      <c r="B1638" s="4" t="s">
        <v>771</v>
      </c>
      <c r="C1638" s="4" t="s">
        <v>1042</v>
      </c>
      <c r="D1638" s="4" t="s">
        <v>2639</v>
      </c>
      <c r="E1638" s="6">
        <v>44117</v>
      </c>
      <c r="F1638" s="7">
        <v>50</v>
      </c>
      <c r="G1638" s="7">
        <v>31.87</v>
      </c>
      <c r="H1638" s="7">
        <v>0</v>
      </c>
    </row>
    <row r="1639" spans="1:8">
      <c r="A1639" s="4" t="s">
        <v>770</v>
      </c>
      <c r="B1639" s="4" t="s">
        <v>771</v>
      </c>
      <c r="C1639" s="4" t="s">
        <v>883</v>
      </c>
      <c r="D1639" s="4" t="s">
        <v>2640</v>
      </c>
      <c r="E1639" s="6">
        <v>44117</v>
      </c>
      <c r="F1639" s="7">
        <v>50</v>
      </c>
      <c r="G1639" s="7">
        <v>39.89</v>
      </c>
      <c r="H1639" s="7">
        <v>0</v>
      </c>
    </row>
    <row r="1640" spans="1:8">
      <c r="A1640" s="4" t="s">
        <v>770</v>
      </c>
      <c r="B1640" s="4" t="s">
        <v>771</v>
      </c>
      <c r="C1640" s="4" t="s">
        <v>784</v>
      </c>
      <c r="D1640" s="4" t="s">
        <v>2641</v>
      </c>
      <c r="E1640" s="6">
        <v>44117</v>
      </c>
      <c r="F1640" s="7">
        <v>1</v>
      </c>
      <c r="G1640" s="7">
        <v>0</v>
      </c>
      <c r="H1640" s="7">
        <v>0</v>
      </c>
    </row>
    <row r="1641" spans="1:8">
      <c r="A1641" s="4" t="s">
        <v>677</v>
      </c>
      <c r="B1641" s="4" t="s">
        <v>678</v>
      </c>
      <c r="C1641" s="4" t="s">
        <v>1384</v>
      </c>
      <c r="D1641" s="4" t="s">
        <v>2642</v>
      </c>
      <c r="E1641" s="6">
        <v>44117</v>
      </c>
      <c r="F1641" s="7">
        <v>-50</v>
      </c>
      <c r="G1641" s="7">
        <v>-37.19</v>
      </c>
      <c r="H1641" s="7">
        <v>0</v>
      </c>
    </row>
    <row r="1642" spans="1:8">
      <c r="A1642" s="4" t="s">
        <v>677</v>
      </c>
      <c r="B1642" s="4" t="s">
        <v>678</v>
      </c>
      <c r="C1642" s="4" t="s">
        <v>1042</v>
      </c>
      <c r="D1642" s="4" t="s">
        <v>2643</v>
      </c>
      <c r="E1642" s="6">
        <v>44117</v>
      </c>
      <c r="F1642" s="7">
        <v>-50</v>
      </c>
      <c r="G1642" s="7">
        <v>-31.87</v>
      </c>
      <c r="H1642" s="7">
        <v>0</v>
      </c>
    </row>
    <row r="1643" spans="1:8">
      <c r="A1643" s="4" t="s">
        <v>677</v>
      </c>
      <c r="B1643" s="4" t="s">
        <v>678</v>
      </c>
      <c r="C1643" s="4" t="s">
        <v>784</v>
      </c>
      <c r="D1643" s="4" t="s">
        <v>2644</v>
      </c>
      <c r="E1643" s="6">
        <v>44117</v>
      </c>
      <c r="F1643" s="7">
        <v>-1</v>
      </c>
      <c r="G1643" s="7">
        <v>0</v>
      </c>
      <c r="H1643" s="7">
        <v>0</v>
      </c>
    </row>
    <row r="1644" spans="1:8">
      <c r="A1644" s="4" t="s">
        <v>677</v>
      </c>
      <c r="B1644" s="4" t="s">
        <v>678</v>
      </c>
      <c r="C1644" s="4" t="s">
        <v>949</v>
      </c>
      <c r="D1644" s="4" t="s">
        <v>2645</v>
      </c>
      <c r="E1644" s="6">
        <v>44117</v>
      </c>
      <c r="F1644" s="7">
        <v>-50</v>
      </c>
      <c r="G1644" s="7">
        <v>-18.02</v>
      </c>
      <c r="H1644" s="7">
        <v>-0.01</v>
      </c>
    </row>
    <row r="1645" spans="1:8">
      <c r="A1645" s="4" t="s">
        <v>693</v>
      </c>
      <c r="B1645" s="4" t="s">
        <v>694</v>
      </c>
      <c r="C1645" s="4" t="s">
        <v>1561</v>
      </c>
      <c r="D1645" s="4" t="s">
        <v>2646</v>
      </c>
      <c r="E1645" s="6">
        <v>44124</v>
      </c>
      <c r="F1645" s="7">
        <v>-500</v>
      </c>
      <c r="G1645" s="7">
        <v>-173.57</v>
      </c>
      <c r="H1645" s="7">
        <v>0</v>
      </c>
    </row>
    <row r="1646" spans="1:8">
      <c r="A1646" s="4" t="s">
        <v>693</v>
      </c>
      <c r="B1646" s="4" t="s">
        <v>694</v>
      </c>
      <c r="C1646" s="4" t="s">
        <v>784</v>
      </c>
      <c r="D1646" s="4" t="s">
        <v>2647</v>
      </c>
      <c r="E1646" s="6">
        <v>44124</v>
      </c>
      <c r="F1646" s="7">
        <v>-1</v>
      </c>
      <c r="G1646" s="7">
        <v>0</v>
      </c>
      <c r="H1646" s="7">
        <v>0</v>
      </c>
    </row>
    <row r="1647" spans="1:8">
      <c r="A1647" s="4" t="s">
        <v>709</v>
      </c>
      <c r="B1647" s="4" t="s">
        <v>710</v>
      </c>
      <c r="C1647" s="4" t="s">
        <v>2318</v>
      </c>
      <c r="D1647" s="4" t="s">
        <v>2648</v>
      </c>
      <c r="E1647" s="6">
        <v>44131</v>
      </c>
      <c r="F1647" s="7">
        <v>-50</v>
      </c>
      <c r="G1647" s="7">
        <v>-467.75</v>
      </c>
      <c r="H1647" s="7">
        <v>0</v>
      </c>
    </row>
    <row r="1648" spans="1:8">
      <c r="A1648" s="4" t="s">
        <v>709</v>
      </c>
      <c r="B1648" s="4" t="s">
        <v>710</v>
      </c>
      <c r="C1648" s="4" t="s">
        <v>840</v>
      </c>
      <c r="D1648" s="4" t="s">
        <v>2649</v>
      </c>
      <c r="E1648" s="6">
        <v>44131</v>
      </c>
      <c r="F1648" s="7">
        <v>-1</v>
      </c>
      <c r="G1648" s="7">
        <v>0</v>
      </c>
      <c r="H1648" s="7">
        <v>0</v>
      </c>
    </row>
    <row r="1649" spans="1:8">
      <c r="A1649" s="4" t="s">
        <v>709</v>
      </c>
      <c r="B1649" s="4" t="s">
        <v>710</v>
      </c>
      <c r="C1649" s="4" t="s">
        <v>784</v>
      </c>
      <c r="D1649" s="4" t="s">
        <v>2650</v>
      </c>
      <c r="E1649" s="6">
        <v>44131</v>
      </c>
      <c r="F1649" s="7">
        <v>-1</v>
      </c>
      <c r="G1649" s="7">
        <v>0</v>
      </c>
      <c r="H1649" s="7">
        <v>0</v>
      </c>
    </row>
    <row r="1650" spans="1:8">
      <c r="A1650" s="4" t="s">
        <v>687</v>
      </c>
      <c r="B1650" s="4" t="s">
        <v>688</v>
      </c>
      <c r="C1650" s="4" t="s">
        <v>2010</v>
      </c>
      <c r="D1650" s="4" t="s">
        <v>2651</v>
      </c>
      <c r="E1650" s="6">
        <v>44120</v>
      </c>
      <c r="F1650" s="7">
        <v>-25</v>
      </c>
      <c r="G1650" s="7">
        <v>-148.70999999999998</v>
      </c>
      <c r="H1650" s="7">
        <v>0</v>
      </c>
    </row>
    <row r="1651" spans="1:8">
      <c r="A1651" s="4" t="s">
        <v>687</v>
      </c>
      <c r="B1651" s="4" t="s">
        <v>688</v>
      </c>
      <c r="C1651" s="4" t="s">
        <v>2010</v>
      </c>
      <c r="D1651" s="4" t="s">
        <v>2652</v>
      </c>
      <c r="E1651" s="6">
        <v>44120</v>
      </c>
      <c r="F1651" s="7">
        <v>-25</v>
      </c>
      <c r="G1651" s="7">
        <v>-148.70999999999998</v>
      </c>
      <c r="H1651" s="7">
        <v>0</v>
      </c>
    </row>
    <row r="1652" spans="1:8">
      <c r="A1652" s="4" t="s">
        <v>687</v>
      </c>
      <c r="B1652" s="4" t="s">
        <v>688</v>
      </c>
      <c r="C1652" s="4" t="s">
        <v>2010</v>
      </c>
      <c r="D1652" s="4" t="s">
        <v>2653</v>
      </c>
      <c r="E1652" s="6">
        <v>44120</v>
      </c>
      <c r="F1652" s="7">
        <v>-25</v>
      </c>
      <c r="G1652" s="7">
        <v>-148.70999999999998</v>
      </c>
      <c r="H1652" s="7">
        <v>0</v>
      </c>
    </row>
    <row r="1653" spans="1:8">
      <c r="A1653" s="4" t="s">
        <v>687</v>
      </c>
      <c r="B1653" s="4" t="s">
        <v>688</v>
      </c>
      <c r="C1653" s="4" t="s">
        <v>784</v>
      </c>
      <c r="D1653" s="4" t="s">
        <v>2654</v>
      </c>
      <c r="E1653" s="6">
        <v>44120</v>
      </c>
      <c r="F1653" s="7">
        <v>-1</v>
      </c>
      <c r="G1653" s="7">
        <v>0</v>
      </c>
      <c r="H1653" s="7">
        <v>0</v>
      </c>
    </row>
    <row r="1654" spans="1:8">
      <c r="A1654" s="4" t="s">
        <v>718</v>
      </c>
      <c r="B1654" s="4" t="s">
        <v>719</v>
      </c>
      <c r="C1654" s="4" t="s">
        <v>2655</v>
      </c>
      <c r="D1654" s="4" t="s">
        <v>2656</v>
      </c>
      <c r="E1654" s="6">
        <v>44132</v>
      </c>
      <c r="F1654" s="7">
        <v>-40000</v>
      </c>
      <c r="G1654" s="7">
        <v>-3451.51</v>
      </c>
      <c r="H1654" s="7">
        <v>0</v>
      </c>
    </row>
    <row r="1655" spans="1:8">
      <c r="A1655" s="4" t="s">
        <v>681</v>
      </c>
      <c r="B1655" s="4" t="s">
        <v>682</v>
      </c>
      <c r="C1655" s="4" t="s">
        <v>1086</v>
      </c>
      <c r="D1655" s="4" t="s">
        <v>2657</v>
      </c>
      <c r="E1655" s="6">
        <v>44118</v>
      </c>
      <c r="F1655" s="7">
        <v>-400</v>
      </c>
      <c r="G1655" s="7">
        <v>-343.21</v>
      </c>
      <c r="H1655" s="7">
        <v>0</v>
      </c>
    </row>
    <row r="1656" spans="1:8">
      <c r="A1656" s="4" t="s">
        <v>734</v>
      </c>
      <c r="B1656" s="4" t="s">
        <v>735</v>
      </c>
      <c r="C1656" s="4" t="s">
        <v>1537</v>
      </c>
      <c r="D1656" s="4" t="s">
        <v>2658</v>
      </c>
      <c r="E1656" s="6">
        <v>44138</v>
      </c>
      <c r="F1656" s="7">
        <v>-1</v>
      </c>
      <c r="G1656" s="7">
        <v>-9.43</v>
      </c>
      <c r="H1656" s="7">
        <v>0</v>
      </c>
    </row>
    <row r="1657" spans="1:8">
      <c r="A1657" s="4" t="s">
        <v>734</v>
      </c>
      <c r="B1657" s="4" t="s">
        <v>735</v>
      </c>
      <c r="C1657" s="4" t="s">
        <v>840</v>
      </c>
      <c r="D1657" s="4" t="s">
        <v>2659</v>
      </c>
      <c r="E1657" s="6">
        <v>44138</v>
      </c>
      <c r="F1657" s="7">
        <v>-1</v>
      </c>
      <c r="G1657" s="7">
        <v>0</v>
      </c>
      <c r="H1657" s="7">
        <v>0</v>
      </c>
    </row>
    <row r="1658" spans="1:8">
      <c r="A1658" s="4" t="s">
        <v>734</v>
      </c>
      <c r="B1658" s="4" t="s">
        <v>735</v>
      </c>
      <c r="C1658" s="4" t="s">
        <v>784</v>
      </c>
      <c r="D1658" s="4" t="s">
        <v>2660</v>
      </c>
      <c r="E1658" s="6">
        <v>44138</v>
      </c>
      <c r="F1658" s="7">
        <v>-1</v>
      </c>
      <c r="G1658" s="7">
        <v>0</v>
      </c>
      <c r="H1658" s="7">
        <v>0</v>
      </c>
    </row>
    <row r="1659" spans="1:8">
      <c r="A1659" s="4" t="s">
        <v>718</v>
      </c>
      <c r="B1659" s="4" t="s">
        <v>719</v>
      </c>
      <c r="C1659" s="4" t="s">
        <v>784</v>
      </c>
      <c r="D1659" s="4" t="s">
        <v>2661</v>
      </c>
      <c r="E1659" s="6">
        <v>44132</v>
      </c>
      <c r="F1659" s="7">
        <v>-1</v>
      </c>
      <c r="G1659" s="7">
        <v>0</v>
      </c>
      <c r="H1659" s="7">
        <v>0</v>
      </c>
    </row>
    <row r="1660" spans="1:8">
      <c r="A1660" s="4" t="s">
        <v>691</v>
      </c>
      <c r="B1660" s="4" t="s">
        <v>692</v>
      </c>
      <c r="C1660" s="4" t="s">
        <v>858</v>
      </c>
      <c r="D1660" s="4" t="s">
        <v>2662</v>
      </c>
      <c r="E1660" s="6">
        <v>44120</v>
      </c>
      <c r="F1660" s="7">
        <v>-45</v>
      </c>
      <c r="G1660" s="7">
        <v>-115.6</v>
      </c>
      <c r="H1660" s="7">
        <v>0</v>
      </c>
    </row>
    <row r="1661" spans="1:8">
      <c r="A1661" s="4" t="s">
        <v>691</v>
      </c>
      <c r="B1661" s="4" t="s">
        <v>692</v>
      </c>
      <c r="C1661" s="4" t="s">
        <v>2663</v>
      </c>
      <c r="D1661" s="4" t="s">
        <v>2664</v>
      </c>
      <c r="E1661" s="6">
        <v>44120</v>
      </c>
      <c r="F1661" s="7">
        <v>-25</v>
      </c>
      <c r="G1661" s="7">
        <v>-65.53</v>
      </c>
      <c r="H1661" s="7">
        <v>0</v>
      </c>
    </row>
    <row r="1662" spans="1:8">
      <c r="A1662" s="4" t="s">
        <v>709</v>
      </c>
      <c r="B1662" s="4" t="s">
        <v>710</v>
      </c>
      <c r="C1662" s="4" t="s">
        <v>961</v>
      </c>
      <c r="D1662" s="4" t="s">
        <v>2665</v>
      </c>
      <c r="E1662" s="6">
        <v>44131</v>
      </c>
      <c r="F1662" s="7">
        <v>-50</v>
      </c>
      <c r="G1662" s="7">
        <v>-477.31000000000006</v>
      </c>
      <c r="H1662" s="7">
        <v>0</v>
      </c>
    </row>
    <row r="1663" spans="1:8">
      <c r="A1663" s="4" t="s">
        <v>697</v>
      </c>
      <c r="B1663" s="4" t="s">
        <v>698</v>
      </c>
      <c r="C1663" s="4" t="s">
        <v>940</v>
      </c>
      <c r="D1663" s="4" t="s">
        <v>2666</v>
      </c>
      <c r="E1663" s="6">
        <v>44124</v>
      </c>
      <c r="F1663" s="7">
        <v>-150</v>
      </c>
      <c r="G1663" s="7">
        <v>-84.67</v>
      </c>
      <c r="H1663" s="7">
        <v>0</v>
      </c>
    </row>
    <row r="1664" spans="1:8">
      <c r="A1664" s="4" t="s">
        <v>697</v>
      </c>
      <c r="B1664" s="4" t="s">
        <v>698</v>
      </c>
      <c r="C1664" s="4" t="s">
        <v>889</v>
      </c>
      <c r="D1664" s="4" t="s">
        <v>2667</v>
      </c>
      <c r="E1664" s="6">
        <v>44124</v>
      </c>
      <c r="F1664" s="7">
        <v>-10</v>
      </c>
      <c r="G1664" s="7">
        <v>-4.4700000000000006</v>
      </c>
      <c r="H1664" s="7">
        <v>0</v>
      </c>
    </row>
    <row r="1665" spans="1:8">
      <c r="A1665" s="4" t="s">
        <v>697</v>
      </c>
      <c r="B1665" s="4" t="s">
        <v>698</v>
      </c>
      <c r="C1665" s="4" t="s">
        <v>1063</v>
      </c>
      <c r="D1665" s="4" t="s">
        <v>2668</v>
      </c>
      <c r="E1665" s="6">
        <v>44124</v>
      </c>
      <c r="F1665" s="7">
        <v>-30</v>
      </c>
      <c r="G1665" s="7">
        <v>-20.56</v>
      </c>
      <c r="H1665" s="7">
        <v>0</v>
      </c>
    </row>
    <row r="1666" spans="1:8">
      <c r="A1666" s="4" t="s">
        <v>697</v>
      </c>
      <c r="B1666" s="4" t="s">
        <v>698</v>
      </c>
      <c r="C1666" s="4" t="s">
        <v>987</v>
      </c>
      <c r="D1666" s="4" t="s">
        <v>2669</v>
      </c>
      <c r="E1666" s="6">
        <v>44124</v>
      </c>
      <c r="F1666" s="7">
        <v>-40</v>
      </c>
      <c r="G1666" s="7">
        <v>-30.01</v>
      </c>
      <c r="H1666" s="7">
        <v>0</v>
      </c>
    </row>
    <row r="1667" spans="1:8">
      <c r="A1667" s="4" t="s">
        <v>697</v>
      </c>
      <c r="B1667" s="4" t="s">
        <v>698</v>
      </c>
      <c r="C1667" s="4" t="s">
        <v>930</v>
      </c>
      <c r="D1667" s="4" t="s">
        <v>2670</v>
      </c>
      <c r="E1667" s="6">
        <v>44124</v>
      </c>
      <c r="F1667" s="7">
        <v>-10</v>
      </c>
      <c r="G1667" s="7">
        <v>-3.17</v>
      </c>
      <c r="H1667" s="7">
        <v>0</v>
      </c>
    </row>
    <row r="1668" spans="1:8">
      <c r="A1668" s="4" t="s">
        <v>697</v>
      </c>
      <c r="B1668" s="4" t="s">
        <v>698</v>
      </c>
      <c r="C1668" s="4" t="s">
        <v>1323</v>
      </c>
      <c r="D1668" s="4" t="s">
        <v>2671</v>
      </c>
      <c r="E1668" s="6">
        <v>44124</v>
      </c>
      <c r="F1668" s="7">
        <v>-50</v>
      </c>
      <c r="G1668" s="7">
        <v>-13.44</v>
      </c>
      <c r="H1668" s="7">
        <v>-0.01</v>
      </c>
    </row>
    <row r="1669" spans="1:8">
      <c r="A1669" s="4" t="s">
        <v>697</v>
      </c>
      <c r="B1669" s="4" t="s">
        <v>698</v>
      </c>
      <c r="C1669" s="4" t="s">
        <v>1146</v>
      </c>
      <c r="D1669" s="4" t="s">
        <v>2672</v>
      </c>
      <c r="E1669" s="6">
        <v>44124</v>
      </c>
      <c r="F1669" s="7">
        <v>-75</v>
      </c>
      <c r="G1669" s="7">
        <v>-60.23</v>
      </c>
      <c r="H1669" s="7">
        <v>0</v>
      </c>
    </row>
    <row r="1670" spans="1:8">
      <c r="A1670" s="4" t="s">
        <v>697</v>
      </c>
      <c r="B1670" s="4" t="s">
        <v>698</v>
      </c>
      <c r="C1670" s="4" t="s">
        <v>784</v>
      </c>
      <c r="D1670" s="4" t="s">
        <v>2673</v>
      </c>
      <c r="E1670" s="6">
        <v>44124</v>
      </c>
      <c r="F1670" s="7">
        <v>-1</v>
      </c>
      <c r="G1670" s="7">
        <v>0</v>
      </c>
      <c r="H1670" s="7">
        <v>0</v>
      </c>
    </row>
    <row r="1671" spans="1:8">
      <c r="A1671" s="4" t="s">
        <v>699</v>
      </c>
      <c r="B1671" s="4" t="s">
        <v>700</v>
      </c>
      <c r="C1671" s="4" t="s">
        <v>940</v>
      </c>
      <c r="D1671" s="4" t="s">
        <v>2674</v>
      </c>
      <c r="E1671" s="6">
        <v>44124</v>
      </c>
      <c r="F1671" s="7">
        <v>-10</v>
      </c>
      <c r="G1671" s="7">
        <v>-5.64</v>
      </c>
      <c r="H1671" s="7">
        <v>-0.01</v>
      </c>
    </row>
    <row r="1672" spans="1:8">
      <c r="A1672" s="4" t="s">
        <v>699</v>
      </c>
      <c r="B1672" s="4" t="s">
        <v>700</v>
      </c>
      <c r="C1672" s="4" t="s">
        <v>784</v>
      </c>
      <c r="D1672" s="4" t="s">
        <v>2675</v>
      </c>
      <c r="E1672" s="6">
        <v>44124</v>
      </c>
      <c r="F1672" s="7">
        <v>-1</v>
      </c>
      <c r="G1672" s="7">
        <v>0</v>
      </c>
      <c r="H1672" s="7">
        <v>0</v>
      </c>
    </row>
    <row r="1673" spans="1:8">
      <c r="A1673" s="4" t="s">
        <v>726</v>
      </c>
      <c r="B1673" s="4" t="s">
        <v>727</v>
      </c>
      <c r="C1673" s="4" t="s">
        <v>891</v>
      </c>
      <c r="D1673" s="4" t="s">
        <v>2676</v>
      </c>
      <c r="E1673" s="6">
        <v>44133</v>
      </c>
      <c r="F1673" s="7">
        <v>-1000</v>
      </c>
      <c r="G1673" s="7">
        <v>-731.3</v>
      </c>
      <c r="H1673" s="7">
        <v>-0.01</v>
      </c>
    </row>
    <row r="1674" spans="1:8">
      <c r="A1674" s="4" t="s">
        <v>726</v>
      </c>
      <c r="B1674" s="4" t="s">
        <v>727</v>
      </c>
      <c r="C1674" s="4" t="s">
        <v>1005</v>
      </c>
      <c r="D1674" s="4" t="s">
        <v>2677</v>
      </c>
      <c r="E1674" s="6">
        <v>44133</v>
      </c>
      <c r="F1674" s="7">
        <v>-200</v>
      </c>
      <c r="G1674" s="7">
        <v>-149.01</v>
      </c>
      <c r="H1674" s="7">
        <v>0</v>
      </c>
    </row>
    <row r="1675" spans="1:8">
      <c r="A1675" s="4" t="s">
        <v>726</v>
      </c>
      <c r="B1675" s="4" t="s">
        <v>727</v>
      </c>
      <c r="C1675" s="4" t="s">
        <v>784</v>
      </c>
      <c r="D1675" s="4" t="s">
        <v>2678</v>
      </c>
      <c r="E1675" s="6">
        <v>44133</v>
      </c>
      <c r="F1675" s="7">
        <v>-1</v>
      </c>
      <c r="G1675" s="7">
        <v>0</v>
      </c>
      <c r="H1675" s="7">
        <v>0</v>
      </c>
    </row>
    <row r="1676" spans="1:8">
      <c r="A1676" s="4" t="s">
        <v>695</v>
      </c>
      <c r="B1676" s="4" t="s">
        <v>696</v>
      </c>
      <c r="C1676" s="4" t="s">
        <v>1349</v>
      </c>
      <c r="D1676" s="4" t="s">
        <v>2679</v>
      </c>
      <c r="E1676" s="6">
        <v>44124</v>
      </c>
      <c r="F1676" s="7">
        <v>-5000</v>
      </c>
      <c r="G1676" s="7">
        <v>-98.47</v>
      </c>
      <c r="H1676" s="7">
        <v>-0.01</v>
      </c>
    </row>
    <row r="1677" spans="1:8">
      <c r="A1677" s="4" t="s">
        <v>695</v>
      </c>
      <c r="B1677" s="4" t="s">
        <v>696</v>
      </c>
      <c r="C1677" s="4" t="s">
        <v>1341</v>
      </c>
      <c r="D1677" s="4" t="s">
        <v>2680</v>
      </c>
      <c r="E1677" s="6">
        <v>44124</v>
      </c>
      <c r="F1677" s="7">
        <v>-5000</v>
      </c>
      <c r="G1677" s="7">
        <v>-12.15</v>
      </c>
      <c r="H1677" s="7">
        <v>0.01</v>
      </c>
    </row>
    <row r="1678" spans="1:8">
      <c r="A1678" s="4" t="s">
        <v>695</v>
      </c>
      <c r="B1678" s="4" t="s">
        <v>696</v>
      </c>
      <c r="C1678" s="4" t="s">
        <v>784</v>
      </c>
      <c r="D1678" s="4" t="s">
        <v>2681</v>
      </c>
      <c r="E1678" s="6">
        <v>44124</v>
      </c>
      <c r="F1678" s="7">
        <v>-1</v>
      </c>
      <c r="G1678" s="7">
        <v>0</v>
      </c>
      <c r="H1678" s="7">
        <v>0</v>
      </c>
    </row>
    <row r="1679" spans="1:8">
      <c r="A1679" s="4" t="s">
        <v>712</v>
      </c>
      <c r="B1679" s="4" t="s">
        <v>713</v>
      </c>
      <c r="C1679" s="4" t="s">
        <v>1035</v>
      </c>
      <c r="D1679" s="4" t="s">
        <v>2682</v>
      </c>
      <c r="E1679" s="6">
        <v>44132</v>
      </c>
      <c r="F1679" s="7">
        <v>-200</v>
      </c>
      <c r="G1679" s="7">
        <v>-363.40999999999997</v>
      </c>
      <c r="H1679" s="7">
        <v>0</v>
      </c>
    </row>
    <row r="1680" spans="1:8">
      <c r="A1680" s="4" t="s">
        <v>712</v>
      </c>
      <c r="B1680" s="4" t="s">
        <v>713</v>
      </c>
      <c r="C1680" s="4" t="s">
        <v>1035</v>
      </c>
      <c r="D1680" s="4" t="s">
        <v>2683</v>
      </c>
      <c r="E1680" s="6">
        <v>44132</v>
      </c>
      <c r="F1680" s="7">
        <v>-100</v>
      </c>
      <c r="G1680" s="7">
        <v>-181.70999999999998</v>
      </c>
      <c r="H1680" s="7">
        <v>0</v>
      </c>
    </row>
    <row r="1681" spans="1:8">
      <c r="A1681" s="4" t="s">
        <v>712</v>
      </c>
      <c r="B1681" s="4" t="s">
        <v>713</v>
      </c>
      <c r="C1681" s="4" t="s">
        <v>1049</v>
      </c>
      <c r="D1681" s="4" t="s">
        <v>2684</v>
      </c>
      <c r="E1681" s="6">
        <v>44132</v>
      </c>
      <c r="F1681" s="7">
        <v>-1</v>
      </c>
      <c r="G1681" s="7">
        <v>0</v>
      </c>
      <c r="H1681" s="7">
        <v>0</v>
      </c>
    </row>
    <row r="1682" spans="1:8">
      <c r="A1682" s="4" t="s">
        <v>712</v>
      </c>
      <c r="B1682" s="4" t="s">
        <v>713</v>
      </c>
      <c r="C1682" s="4" t="s">
        <v>784</v>
      </c>
      <c r="D1682" s="4" t="s">
        <v>2685</v>
      </c>
      <c r="E1682" s="6">
        <v>44132</v>
      </c>
      <c r="F1682" s="7">
        <v>-1</v>
      </c>
      <c r="G1682" s="7">
        <v>0</v>
      </c>
      <c r="H1682" s="7">
        <v>0</v>
      </c>
    </row>
    <row r="1683" spans="1:8">
      <c r="A1683" s="4" t="s">
        <v>722</v>
      </c>
      <c r="B1683" s="4" t="s">
        <v>723</v>
      </c>
      <c r="C1683" s="4" t="s">
        <v>2686</v>
      </c>
      <c r="D1683" s="4" t="s">
        <v>2687</v>
      </c>
      <c r="E1683" s="6">
        <v>44132</v>
      </c>
      <c r="F1683" s="7">
        <v>-200</v>
      </c>
      <c r="G1683" s="7">
        <v>-32.18</v>
      </c>
      <c r="H1683" s="7">
        <v>0</v>
      </c>
    </row>
    <row r="1684" spans="1:8">
      <c r="A1684" s="4" t="s">
        <v>722</v>
      </c>
      <c r="B1684" s="4" t="s">
        <v>723</v>
      </c>
      <c r="C1684" s="4" t="s">
        <v>784</v>
      </c>
      <c r="D1684" s="4" t="s">
        <v>2688</v>
      </c>
      <c r="E1684" s="6">
        <v>44132</v>
      </c>
      <c r="F1684" s="7">
        <v>-1</v>
      </c>
      <c r="G1684" s="7">
        <v>0</v>
      </c>
      <c r="H1684" s="7">
        <v>0</v>
      </c>
    </row>
    <row r="1685" spans="1:8">
      <c r="A1685" s="4" t="s">
        <v>722</v>
      </c>
      <c r="B1685" s="4" t="s">
        <v>723</v>
      </c>
      <c r="C1685" s="4" t="s">
        <v>2689</v>
      </c>
      <c r="D1685" s="4" t="s">
        <v>2690</v>
      </c>
      <c r="E1685" s="6">
        <v>44132</v>
      </c>
      <c r="F1685" s="7">
        <v>-100</v>
      </c>
      <c r="G1685" s="7">
        <v>-33.08</v>
      </c>
      <c r="H1685" s="7">
        <v>0</v>
      </c>
    </row>
    <row r="1686" spans="1:8">
      <c r="A1686" s="4" t="s">
        <v>716</v>
      </c>
      <c r="B1686" s="4" t="s">
        <v>717</v>
      </c>
      <c r="C1686" s="4" t="s">
        <v>875</v>
      </c>
      <c r="D1686" s="4" t="s">
        <v>2691</v>
      </c>
      <c r="E1686" s="6">
        <v>44132</v>
      </c>
      <c r="F1686" s="7">
        <v>-100</v>
      </c>
      <c r="G1686" s="7">
        <v>-45.61</v>
      </c>
      <c r="H1686" s="7">
        <v>-0.01</v>
      </c>
    </row>
    <row r="1687" spans="1:8">
      <c r="A1687" s="4" t="s">
        <v>716</v>
      </c>
      <c r="B1687" s="4" t="s">
        <v>717</v>
      </c>
      <c r="C1687" s="4" t="s">
        <v>1202</v>
      </c>
      <c r="D1687" s="4" t="s">
        <v>2692</v>
      </c>
      <c r="E1687" s="6">
        <v>44132</v>
      </c>
      <c r="F1687" s="7">
        <v>-50</v>
      </c>
      <c r="G1687" s="7">
        <v>-56.92</v>
      </c>
      <c r="H1687" s="7">
        <v>0.01</v>
      </c>
    </row>
    <row r="1688" spans="1:8">
      <c r="A1688" s="4" t="s">
        <v>716</v>
      </c>
      <c r="B1688" s="4" t="s">
        <v>717</v>
      </c>
      <c r="C1688" s="4" t="s">
        <v>1005</v>
      </c>
      <c r="D1688" s="4" t="s">
        <v>2693</v>
      </c>
      <c r="E1688" s="6">
        <v>44132</v>
      </c>
      <c r="F1688" s="7">
        <v>-50</v>
      </c>
      <c r="G1688" s="7">
        <v>-37.25</v>
      </c>
      <c r="H1688" s="7">
        <v>-0.01</v>
      </c>
    </row>
    <row r="1689" spans="1:8">
      <c r="A1689" s="4" t="s">
        <v>716</v>
      </c>
      <c r="B1689" s="4" t="s">
        <v>717</v>
      </c>
      <c r="C1689" s="4" t="s">
        <v>1063</v>
      </c>
      <c r="D1689" s="4" t="s">
        <v>2694</v>
      </c>
      <c r="E1689" s="6">
        <v>44132</v>
      </c>
      <c r="F1689" s="7">
        <v>-100</v>
      </c>
      <c r="G1689" s="7">
        <v>-68.52</v>
      </c>
      <c r="H1689" s="7">
        <v>0</v>
      </c>
    </row>
    <row r="1690" spans="1:8">
      <c r="A1690" s="4" t="s">
        <v>716</v>
      </c>
      <c r="B1690" s="4" t="s">
        <v>717</v>
      </c>
      <c r="C1690" s="4" t="s">
        <v>1026</v>
      </c>
      <c r="D1690" s="4" t="s">
        <v>2695</v>
      </c>
      <c r="E1690" s="6">
        <v>44132</v>
      </c>
      <c r="F1690" s="7">
        <v>-200</v>
      </c>
      <c r="G1690" s="7">
        <v>-136.94999999999999</v>
      </c>
      <c r="H1690" s="7">
        <v>0</v>
      </c>
    </row>
    <row r="1691" spans="1:8">
      <c r="A1691" s="4" t="s">
        <v>716</v>
      </c>
      <c r="B1691" s="4" t="s">
        <v>717</v>
      </c>
      <c r="C1691" s="4" t="s">
        <v>815</v>
      </c>
      <c r="D1691" s="4" t="s">
        <v>2696</v>
      </c>
      <c r="E1691" s="6">
        <v>44132</v>
      </c>
      <c r="F1691" s="7">
        <v>-50</v>
      </c>
      <c r="G1691" s="7">
        <v>-95.63</v>
      </c>
      <c r="H1691" s="7">
        <v>-0.01</v>
      </c>
    </row>
    <row r="1692" spans="1:8">
      <c r="A1692" s="4" t="s">
        <v>716</v>
      </c>
      <c r="B1692" s="4" t="s">
        <v>717</v>
      </c>
      <c r="C1692" s="4" t="s">
        <v>853</v>
      </c>
      <c r="D1692" s="4" t="s">
        <v>2697</v>
      </c>
      <c r="E1692" s="6">
        <v>44132</v>
      </c>
      <c r="F1692" s="7">
        <v>-100</v>
      </c>
      <c r="G1692" s="7">
        <v>-180.01</v>
      </c>
      <c r="H1692" s="7">
        <v>0</v>
      </c>
    </row>
    <row r="1693" spans="1:8">
      <c r="A1693" s="4" t="s">
        <v>716</v>
      </c>
      <c r="B1693" s="4" t="s">
        <v>717</v>
      </c>
      <c r="C1693" s="4" t="s">
        <v>1015</v>
      </c>
      <c r="D1693" s="4" t="s">
        <v>2698</v>
      </c>
      <c r="E1693" s="6">
        <v>44132</v>
      </c>
      <c r="F1693" s="7">
        <v>-100</v>
      </c>
      <c r="G1693" s="7">
        <v>-92.61</v>
      </c>
      <c r="H1693" s="7">
        <v>0</v>
      </c>
    </row>
    <row r="1694" spans="1:8">
      <c r="A1694" s="4" t="s">
        <v>716</v>
      </c>
      <c r="B1694" s="4" t="s">
        <v>717</v>
      </c>
      <c r="C1694" s="4" t="s">
        <v>784</v>
      </c>
      <c r="D1694" s="4" t="s">
        <v>2699</v>
      </c>
      <c r="E1694" s="6">
        <v>44132</v>
      </c>
      <c r="F1694" s="7">
        <v>-1</v>
      </c>
      <c r="G1694" s="7">
        <v>0</v>
      </c>
      <c r="H1694" s="7">
        <v>0</v>
      </c>
    </row>
    <row r="1695" spans="1:8">
      <c r="A1695" s="4" t="s">
        <v>724</v>
      </c>
      <c r="B1695" s="4" t="s">
        <v>725</v>
      </c>
      <c r="C1695" s="4" t="s">
        <v>2048</v>
      </c>
      <c r="D1695" s="4" t="s">
        <v>2700</v>
      </c>
      <c r="E1695" s="6">
        <v>44133</v>
      </c>
      <c r="F1695" s="7">
        <v>-35</v>
      </c>
      <c r="G1695" s="7">
        <v>-340.11</v>
      </c>
      <c r="H1695" s="7">
        <v>0</v>
      </c>
    </row>
    <row r="1696" spans="1:8">
      <c r="A1696" s="4" t="s">
        <v>724</v>
      </c>
      <c r="B1696" s="4" t="s">
        <v>725</v>
      </c>
      <c r="C1696" s="4" t="s">
        <v>1049</v>
      </c>
      <c r="D1696" s="4" t="s">
        <v>2701</v>
      </c>
      <c r="E1696" s="6">
        <v>44133</v>
      </c>
      <c r="F1696" s="7">
        <v>-1</v>
      </c>
      <c r="G1696" s="7">
        <v>0</v>
      </c>
      <c r="H1696" s="7">
        <v>0</v>
      </c>
    </row>
    <row r="1697" spans="1:8">
      <c r="A1697" s="4" t="s">
        <v>724</v>
      </c>
      <c r="B1697" s="4" t="s">
        <v>725</v>
      </c>
      <c r="C1697" s="4" t="s">
        <v>784</v>
      </c>
      <c r="D1697" s="4" t="s">
        <v>2702</v>
      </c>
      <c r="E1697" s="6">
        <v>44133</v>
      </c>
      <c r="F1697" s="7">
        <v>-1</v>
      </c>
      <c r="G1697" s="7">
        <v>0</v>
      </c>
      <c r="H1697" s="7">
        <v>0</v>
      </c>
    </row>
    <row r="1698" spans="1:8">
      <c r="A1698" s="4" t="s">
        <v>2913</v>
      </c>
      <c r="B1698" s="4" t="s">
        <v>2914</v>
      </c>
      <c r="C1698" s="4" t="s">
        <v>803</v>
      </c>
      <c r="D1698" s="4" t="s">
        <v>2915</v>
      </c>
      <c r="E1698" s="6">
        <v>44151</v>
      </c>
      <c r="F1698" s="7">
        <v>-1000</v>
      </c>
      <c r="G1698" s="7">
        <v>-956.3</v>
      </c>
      <c r="H1698" s="7">
        <v>0</v>
      </c>
    </row>
    <row r="1699" spans="1:8">
      <c r="A1699" s="4" t="s">
        <v>2913</v>
      </c>
      <c r="B1699" s="4" t="s">
        <v>2914</v>
      </c>
      <c r="C1699" s="4" t="s">
        <v>786</v>
      </c>
      <c r="D1699" s="4" t="s">
        <v>2916</v>
      </c>
      <c r="E1699" s="6">
        <v>44151</v>
      </c>
      <c r="F1699" s="7">
        <v>-2000</v>
      </c>
      <c r="G1699" s="7">
        <v>-1338.82</v>
      </c>
      <c r="H1699" s="7">
        <v>0</v>
      </c>
    </row>
    <row r="1700" spans="1:8">
      <c r="A1700" s="4" t="s">
        <v>2913</v>
      </c>
      <c r="B1700" s="4" t="s">
        <v>2914</v>
      </c>
      <c r="C1700" s="4" t="s">
        <v>801</v>
      </c>
      <c r="D1700" s="4" t="s">
        <v>2917</v>
      </c>
      <c r="E1700" s="6">
        <v>44151</v>
      </c>
      <c r="F1700" s="7">
        <v>-1500</v>
      </c>
      <c r="G1700" s="7">
        <v>-1291.01</v>
      </c>
      <c r="H1700" s="7">
        <v>0</v>
      </c>
    </row>
    <row r="1701" spans="1:8">
      <c r="A1701" s="4" t="s">
        <v>2913</v>
      </c>
      <c r="B1701" s="4" t="s">
        <v>2914</v>
      </c>
      <c r="C1701" s="4" t="s">
        <v>799</v>
      </c>
      <c r="D1701" s="4" t="s">
        <v>2918</v>
      </c>
      <c r="E1701" s="6">
        <v>44151</v>
      </c>
      <c r="F1701" s="7">
        <v>-1500</v>
      </c>
      <c r="G1701" s="7">
        <v>-1147.56</v>
      </c>
      <c r="H1701" s="7">
        <v>0</v>
      </c>
    </row>
    <row r="1702" spans="1:8">
      <c r="A1702" s="4" t="s">
        <v>2913</v>
      </c>
      <c r="B1702" s="4" t="s">
        <v>2914</v>
      </c>
      <c r="C1702" s="4" t="s">
        <v>784</v>
      </c>
      <c r="D1702" s="4" t="s">
        <v>2919</v>
      </c>
      <c r="E1702" s="6">
        <v>44151</v>
      </c>
      <c r="F1702" s="7">
        <v>-1</v>
      </c>
      <c r="G1702" s="7">
        <v>0</v>
      </c>
      <c r="H1702" s="7">
        <v>0</v>
      </c>
    </row>
    <row r="1703" spans="1:8">
      <c r="A1703" s="4" t="s">
        <v>728</v>
      </c>
      <c r="B1703" s="4" t="s">
        <v>729</v>
      </c>
      <c r="C1703" s="4" t="s">
        <v>1485</v>
      </c>
      <c r="D1703" s="4" t="s">
        <v>2703</v>
      </c>
      <c r="E1703" s="6">
        <v>44134</v>
      </c>
      <c r="F1703" s="7">
        <v>-1000</v>
      </c>
      <c r="G1703" s="7">
        <v>-1713.9</v>
      </c>
      <c r="H1703" s="7">
        <v>0</v>
      </c>
    </row>
    <row r="1704" spans="1:8">
      <c r="A1704" s="4" t="s">
        <v>728</v>
      </c>
      <c r="B1704" s="4" t="s">
        <v>729</v>
      </c>
      <c r="C1704" s="4" t="s">
        <v>784</v>
      </c>
      <c r="D1704" s="4" t="s">
        <v>2704</v>
      </c>
      <c r="E1704" s="6">
        <v>44134</v>
      </c>
      <c r="F1704" s="7">
        <v>-1</v>
      </c>
      <c r="G1704" s="7">
        <v>0</v>
      </c>
      <c r="H1704" s="7">
        <v>0</v>
      </c>
    </row>
    <row r="1705" spans="1:8">
      <c r="A1705" s="4" t="s">
        <v>737</v>
      </c>
      <c r="B1705" s="4" t="s">
        <v>738</v>
      </c>
      <c r="C1705" s="4" t="s">
        <v>1086</v>
      </c>
      <c r="D1705" s="4" t="s">
        <v>2705</v>
      </c>
      <c r="E1705" s="6">
        <v>44139</v>
      </c>
      <c r="F1705" s="7">
        <v>-1</v>
      </c>
      <c r="G1705" s="7">
        <v>-4.84</v>
      </c>
      <c r="H1705" s="7">
        <v>0</v>
      </c>
    </row>
    <row r="1706" spans="1:8">
      <c r="A1706" s="4" t="s">
        <v>714</v>
      </c>
      <c r="B1706" s="4" t="s">
        <v>715</v>
      </c>
      <c r="C1706" s="4" t="s">
        <v>1126</v>
      </c>
      <c r="D1706" s="4" t="s">
        <v>2706</v>
      </c>
      <c r="E1706" s="6">
        <v>44132</v>
      </c>
      <c r="F1706" s="7">
        <v>-10</v>
      </c>
      <c r="G1706" s="7">
        <v>-14.09</v>
      </c>
      <c r="H1706" s="7">
        <v>0.01</v>
      </c>
    </row>
    <row r="1707" spans="1:8">
      <c r="A1707" s="4" t="s">
        <v>714</v>
      </c>
      <c r="B1707" s="4" t="s">
        <v>715</v>
      </c>
      <c r="C1707" s="4" t="s">
        <v>784</v>
      </c>
      <c r="D1707" s="4" t="s">
        <v>2707</v>
      </c>
      <c r="E1707" s="6">
        <v>44132</v>
      </c>
      <c r="F1707" s="7">
        <v>-1</v>
      </c>
      <c r="G1707" s="7">
        <v>0</v>
      </c>
      <c r="H1707" s="7">
        <v>0</v>
      </c>
    </row>
    <row r="1708" spans="1:8">
      <c r="A1708" s="4" t="s">
        <v>3280</v>
      </c>
      <c r="B1708" s="4" t="s">
        <v>3287</v>
      </c>
      <c r="C1708" s="4" t="s">
        <v>968</v>
      </c>
      <c r="D1708" s="4" t="s">
        <v>3288</v>
      </c>
      <c r="E1708" s="6">
        <v>44153</v>
      </c>
      <c r="F1708" s="7">
        <v>-470</v>
      </c>
      <c r="G1708" s="7">
        <v>-3709.21</v>
      </c>
      <c r="H1708" s="7">
        <v>0</v>
      </c>
    </row>
    <row r="1709" spans="1:8">
      <c r="A1709" s="4" t="s">
        <v>3280</v>
      </c>
      <c r="B1709" s="4" t="s">
        <v>3287</v>
      </c>
      <c r="C1709" s="4" t="s">
        <v>2272</v>
      </c>
      <c r="D1709" s="4" t="s">
        <v>3289</v>
      </c>
      <c r="E1709" s="6">
        <v>44153</v>
      </c>
      <c r="F1709" s="7">
        <v>-470</v>
      </c>
      <c r="G1709" s="7">
        <v>-3908.52</v>
      </c>
      <c r="H1709" s="7">
        <v>0</v>
      </c>
    </row>
    <row r="1710" spans="1:8">
      <c r="A1710" s="4" t="s">
        <v>3280</v>
      </c>
      <c r="B1710" s="4" t="s">
        <v>3287</v>
      </c>
      <c r="C1710" s="4" t="s">
        <v>970</v>
      </c>
      <c r="D1710" s="4" t="s">
        <v>3290</v>
      </c>
      <c r="E1710" s="6">
        <v>44153</v>
      </c>
      <c r="F1710" s="7">
        <v>-1358</v>
      </c>
      <c r="G1710" s="7">
        <v>-3890.21</v>
      </c>
      <c r="H1710" s="7">
        <v>0</v>
      </c>
    </row>
    <row r="1711" spans="1:8">
      <c r="A1711" s="4" t="s">
        <v>3280</v>
      </c>
      <c r="B1711" s="4" t="s">
        <v>3287</v>
      </c>
      <c r="C1711" s="4" t="s">
        <v>784</v>
      </c>
      <c r="D1711" s="4" t="s">
        <v>3291</v>
      </c>
      <c r="E1711" s="6">
        <v>44153</v>
      </c>
      <c r="F1711" s="7">
        <v>-1</v>
      </c>
      <c r="G1711" s="7">
        <v>0</v>
      </c>
      <c r="H1711" s="7">
        <v>0</v>
      </c>
    </row>
    <row r="1712" spans="1:8">
      <c r="A1712" s="4" t="s">
        <v>732</v>
      </c>
      <c r="B1712" s="4" t="s">
        <v>733</v>
      </c>
      <c r="C1712" s="4" t="s">
        <v>889</v>
      </c>
      <c r="D1712" s="4" t="s">
        <v>2708</v>
      </c>
      <c r="E1712" s="6">
        <v>44138</v>
      </c>
      <c r="F1712" s="7">
        <v>-60</v>
      </c>
      <c r="G1712" s="7">
        <v>-26.81</v>
      </c>
      <c r="H1712" s="7">
        <v>0.01</v>
      </c>
    </row>
    <row r="1713" spans="1:8">
      <c r="A1713" s="4" t="s">
        <v>732</v>
      </c>
      <c r="B1713" s="4" t="s">
        <v>733</v>
      </c>
      <c r="C1713" s="4" t="s">
        <v>1739</v>
      </c>
      <c r="D1713" s="4" t="s">
        <v>2709</v>
      </c>
      <c r="E1713" s="6">
        <v>44138</v>
      </c>
      <c r="F1713" s="7">
        <v>-60</v>
      </c>
      <c r="G1713" s="7">
        <v>-22.31</v>
      </c>
      <c r="H1713" s="7">
        <v>0</v>
      </c>
    </row>
    <row r="1714" spans="1:8">
      <c r="A1714" s="4" t="s">
        <v>732</v>
      </c>
      <c r="B1714" s="4" t="s">
        <v>733</v>
      </c>
      <c r="C1714" s="4" t="s">
        <v>1088</v>
      </c>
      <c r="D1714" s="4" t="s">
        <v>2710</v>
      </c>
      <c r="E1714" s="6">
        <v>44138</v>
      </c>
      <c r="F1714" s="7">
        <v>-100</v>
      </c>
      <c r="G1714" s="7">
        <v>-34.26</v>
      </c>
      <c r="H1714" s="7">
        <v>0</v>
      </c>
    </row>
    <row r="1715" spans="1:8">
      <c r="A1715" s="4" t="s">
        <v>732</v>
      </c>
      <c r="B1715" s="4" t="s">
        <v>733</v>
      </c>
      <c r="C1715" s="4" t="s">
        <v>987</v>
      </c>
      <c r="D1715" s="4" t="s">
        <v>2711</v>
      </c>
      <c r="E1715" s="6">
        <v>44138</v>
      </c>
      <c r="F1715" s="7">
        <v>-60</v>
      </c>
      <c r="G1715" s="7">
        <v>-45.01</v>
      </c>
      <c r="H1715" s="7">
        <v>0</v>
      </c>
    </row>
    <row r="1716" spans="1:8">
      <c r="A1716" s="4" t="s">
        <v>732</v>
      </c>
      <c r="B1716" s="4" t="s">
        <v>733</v>
      </c>
      <c r="C1716" s="4" t="s">
        <v>1143</v>
      </c>
      <c r="D1716" s="4" t="s">
        <v>2712</v>
      </c>
      <c r="E1716" s="6">
        <v>44138</v>
      </c>
      <c r="F1716" s="7">
        <v>-100</v>
      </c>
      <c r="G1716" s="7">
        <v>-41.09</v>
      </c>
      <c r="H1716" s="7">
        <v>0</v>
      </c>
    </row>
    <row r="1717" spans="1:8">
      <c r="A1717" s="4" t="s">
        <v>732</v>
      </c>
      <c r="B1717" s="4" t="s">
        <v>733</v>
      </c>
      <c r="C1717" s="4" t="s">
        <v>1030</v>
      </c>
      <c r="D1717" s="4" t="s">
        <v>2713</v>
      </c>
      <c r="E1717" s="6">
        <v>44138</v>
      </c>
      <c r="F1717" s="7">
        <v>-50</v>
      </c>
      <c r="G1717" s="7">
        <v>-108.54</v>
      </c>
      <c r="H1717" s="7">
        <v>0</v>
      </c>
    </row>
    <row r="1718" spans="1:8">
      <c r="A1718" s="4" t="s">
        <v>732</v>
      </c>
      <c r="B1718" s="4" t="s">
        <v>733</v>
      </c>
      <c r="C1718" s="4" t="s">
        <v>784</v>
      </c>
      <c r="D1718" s="4" t="s">
        <v>2714</v>
      </c>
      <c r="E1718" s="6">
        <v>44138</v>
      </c>
      <c r="F1718" s="7">
        <v>-1</v>
      </c>
      <c r="G1718" s="7">
        <v>0</v>
      </c>
      <c r="H1718" s="7">
        <v>0</v>
      </c>
    </row>
    <row r="1719" spans="1:8">
      <c r="A1719" s="4" t="s">
        <v>739</v>
      </c>
      <c r="B1719" s="4" t="s">
        <v>740</v>
      </c>
      <c r="C1719" s="4" t="s">
        <v>887</v>
      </c>
      <c r="D1719" s="4" t="s">
        <v>2715</v>
      </c>
      <c r="E1719" s="6">
        <v>44139</v>
      </c>
      <c r="F1719" s="7">
        <v>-250</v>
      </c>
      <c r="G1719" s="7">
        <v>-102.24</v>
      </c>
      <c r="H1719" s="7">
        <v>0</v>
      </c>
    </row>
    <row r="1720" spans="1:8">
      <c r="A1720" s="4" t="s">
        <v>739</v>
      </c>
      <c r="B1720" s="4" t="s">
        <v>740</v>
      </c>
      <c r="C1720" s="4" t="s">
        <v>1577</v>
      </c>
      <c r="D1720" s="4" t="s">
        <v>2716</v>
      </c>
      <c r="E1720" s="6">
        <v>44139</v>
      </c>
      <c r="F1720" s="7">
        <v>-50</v>
      </c>
      <c r="G1720" s="7">
        <v>-34.46</v>
      </c>
      <c r="H1720" s="7">
        <v>-0.01</v>
      </c>
    </row>
    <row r="1721" spans="1:8">
      <c r="A1721" s="4" t="s">
        <v>739</v>
      </c>
      <c r="B1721" s="4" t="s">
        <v>740</v>
      </c>
      <c r="C1721" s="4" t="s">
        <v>993</v>
      </c>
      <c r="D1721" s="4" t="s">
        <v>2717</v>
      </c>
      <c r="E1721" s="6">
        <v>44139</v>
      </c>
      <c r="F1721" s="7">
        <v>-50</v>
      </c>
      <c r="G1721" s="7">
        <v>-17.649999999999999</v>
      </c>
      <c r="H1721" s="7">
        <v>0</v>
      </c>
    </row>
    <row r="1722" spans="1:8">
      <c r="A1722" s="4" t="s">
        <v>739</v>
      </c>
      <c r="B1722" s="4" t="s">
        <v>740</v>
      </c>
      <c r="C1722" s="4" t="s">
        <v>873</v>
      </c>
      <c r="D1722" s="4" t="s">
        <v>2718</v>
      </c>
      <c r="E1722" s="6">
        <v>44139</v>
      </c>
      <c r="F1722" s="7">
        <v>-100</v>
      </c>
      <c r="G1722" s="7">
        <v>-40.49</v>
      </c>
      <c r="H1722" s="7">
        <v>0</v>
      </c>
    </row>
    <row r="1723" spans="1:8">
      <c r="A1723" s="4" t="s">
        <v>739</v>
      </c>
      <c r="B1723" s="4" t="s">
        <v>740</v>
      </c>
      <c r="C1723" s="4" t="s">
        <v>1579</v>
      </c>
      <c r="D1723" s="4" t="s">
        <v>2719</v>
      </c>
      <c r="E1723" s="6">
        <v>44139</v>
      </c>
      <c r="F1723" s="7">
        <v>-50</v>
      </c>
      <c r="G1723" s="7">
        <v>-51.84</v>
      </c>
      <c r="H1723" s="7">
        <v>-0.01</v>
      </c>
    </row>
    <row r="1724" spans="1:8">
      <c r="A1724" s="4" t="s">
        <v>739</v>
      </c>
      <c r="B1724" s="4" t="s">
        <v>740</v>
      </c>
      <c r="C1724" s="4" t="s">
        <v>849</v>
      </c>
      <c r="D1724" s="4" t="s">
        <v>2720</v>
      </c>
      <c r="E1724" s="6">
        <v>44139</v>
      </c>
      <c r="F1724" s="7">
        <v>-50</v>
      </c>
      <c r="G1724" s="7">
        <v>-216.20999999999998</v>
      </c>
      <c r="H1724" s="7">
        <v>0.01</v>
      </c>
    </row>
    <row r="1725" spans="1:8">
      <c r="A1725" s="4" t="s">
        <v>739</v>
      </c>
      <c r="B1725" s="4" t="s">
        <v>740</v>
      </c>
      <c r="C1725" s="4" t="s">
        <v>1011</v>
      </c>
      <c r="D1725" s="4" t="s">
        <v>2721</v>
      </c>
      <c r="E1725" s="6">
        <v>44139</v>
      </c>
      <c r="F1725" s="7">
        <v>-100</v>
      </c>
      <c r="G1725" s="7">
        <v>-61.32</v>
      </c>
      <c r="H1725" s="7">
        <v>0</v>
      </c>
    </row>
    <row r="1726" spans="1:8">
      <c r="A1726" s="4" t="s">
        <v>739</v>
      </c>
      <c r="B1726" s="4" t="s">
        <v>740</v>
      </c>
      <c r="C1726" s="4" t="s">
        <v>1060</v>
      </c>
      <c r="D1726" s="4" t="s">
        <v>2722</v>
      </c>
      <c r="E1726" s="6">
        <v>44139</v>
      </c>
      <c r="F1726" s="7">
        <v>-50</v>
      </c>
      <c r="G1726" s="7">
        <v>-37.19</v>
      </c>
      <c r="H1726" s="7">
        <v>0</v>
      </c>
    </row>
    <row r="1727" spans="1:8">
      <c r="A1727" s="4" t="s">
        <v>739</v>
      </c>
      <c r="B1727" s="4" t="s">
        <v>740</v>
      </c>
      <c r="C1727" s="4" t="s">
        <v>891</v>
      </c>
      <c r="D1727" s="4" t="s">
        <v>2723</v>
      </c>
      <c r="E1727" s="6">
        <v>44139</v>
      </c>
      <c r="F1727" s="7">
        <v>-100</v>
      </c>
      <c r="G1727" s="7">
        <v>-73.13</v>
      </c>
      <c r="H1727" s="7">
        <v>0</v>
      </c>
    </row>
    <row r="1728" spans="1:8">
      <c r="A1728" s="4" t="s">
        <v>739</v>
      </c>
      <c r="B1728" s="4" t="s">
        <v>740</v>
      </c>
      <c r="C1728" s="4" t="s">
        <v>1106</v>
      </c>
      <c r="D1728" s="4" t="s">
        <v>2724</v>
      </c>
      <c r="E1728" s="6">
        <v>44139</v>
      </c>
      <c r="F1728" s="7">
        <v>-100</v>
      </c>
      <c r="G1728" s="7">
        <v>-136.94999999999999</v>
      </c>
      <c r="H1728" s="7">
        <v>0</v>
      </c>
    </row>
    <row r="1729" spans="1:8">
      <c r="A1729" s="4" t="s">
        <v>739</v>
      </c>
      <c r="B1729" s="4" t="s">
        <v>740</v>
      </c>
      <c r="C1729" s="4" t="s">
        <v>784</v>
      </c>
      <c r="D1729" s="4" t="s">
        <v>2725</v>
      </c>
      <c r="E1729" s="6">
        <v>44139</v>
      </c>
      <c r="F1729" s="7">
        <v>-1</v>
      </c>
      <c r="G1729" s="7">
        <v>0</v>
      </c>
      <c r="H1729" s="7">
        <v>0</v>
      </c>
    </row>
    <row r="1730" spans="1:8">
      <c r="A1730" s="4" t="s">
        <v>772</v>
      </c>
      <c r="B1730" s="4" t="s">
        <v>773</v>
      </c>
      <c r="C1730" s="4" t="s">
        <v>1485</v>
      </c>
      <c r="D1730" s="4" t="s">
        <v>2726</v>
      </c>
      <c r="E1730" s="6">
        <v>44134</v>
      </c>
      <c r="F1730" s="7">
        <v>1000</v>
      </c>
      <c r="G1730" s="7">
        <v>1713.9</v>
      </c>
      <c r="H1730" s="7">
        <v>0</v>
      </c>
    </row>
    <row r="1731" spans="1:8">
      <c r="A1731" s="4" t="s">
        <v>772</v>
      </c>
      <c r="B1731" s="4" t="s">
        <v>773</v>
      </c>
      <c r="C1731" s="4" t="s">
        <v>784</v>
      </c>
      <c r="D1731" s="4" t="s">
        <v>2727</v>
      </c>
      <c r="E1731" s="6">
        <v>44134</v>
      </c>
      <c r="F1731" s="7">
        <v>1</v>
      </c>
      <c r="G1731" s="7">
        <v>0</v>
      </c>
      <c r="H1731" s="7">
        <v>0</v>
      </c>
    </row>
    <row r="1732" spans="1:8">
      <c r="A1732" s="4" t="s">
        <v>730</v>
      </c>
      <c r="B1732" s="4" t="s">
        <v>731</v>
      </c>
      <c r="C1732" s="4" t="s">
        <v>1485</v>
      </c>
      <c r="D1732" s="4" t="s">
        <v>2728</v>
      </c>
      <c r="E1732" s="6">
        <v>44134</v>
      </c>
      <c r="F1732" s="7">
        <v>-998</v>
      </c>
      <c r="G1732" s="7">
        <v>-1710.47</v>
      </c>
      <c r="H1732" s="7">
        <v>0</v>
      </c>
    </row>
    <row r="1733" spans="1:8">
      <c r="A1733" s="4" t="s">
        <v>730</v>
      </c>
      <c r="B1733" s="4" t="s">
        <v>731</v>
      </c>
      <c r="C1733" s="4" t="s">
        <v>1485</v>
      </c>
      <c r="D1733" s="4" t="s">
        <v>2728</v>
      </c>
      <c r="E1733" s="6">
        <v>44134</v>
      </c>
      <c r="F1733" s="7">
        <v>-2</v>
      </c>
      <c r="G1733" s="7">
        <v>-3.4299999999999997</v>
      </c>
      <c r="H1733" s="7">
        <v>0</v>
      </c>
    </row>
    <row r="1734" spans="1:8">
      <c r="A1734" s="4" t="s">
        <v>730</v>
      </c>
      <c r="B1734" s="4" t="s">
        <v>731</v>
      </c>
      <c r="C1734" s="4" t="s">
        <v>784</v>
      </c>
      <c r="D1734" s="4" t="s">
        <v>2729</v>
      </c>
      <c r="E1734" s="6">
        <v>44134</v>
      </c>
      <c r="F1734" s="7">
        <v>-1</v>
      </c>
      <c r="G1734" s="7">
        <v>0</v>
      </c>
      <c r="H1734" s="7">
        <v>0</v>
      </c>
    </row>
    <row r="1735" spans="1:8">
      <c r="A1735" s="4" t="s">
        <v>3282</v>
      </c>
      <c r="B1735" s="4" t="s">
        <v>3292</v>
      </c>
      <c r="C1735" s="4" t="s">
        <v>1044</v>
      </c>
      <c r="D1735" s="4" t="s">
        <v>3293</v>
      </c>
      <c r="E1735" s="6">
        <v>44153</v>
      </c>
      <c r="F1735" s="7">
        <v>-250</v>
      </c>
      <c r="G1735" s="7">
        <v>-1069.01</v>
      </c>
      <c r="H1735" s="7">
        <v>0</v>
      </c>
    </row>
    <row r="1736" spans="1:8">
      <c r="A1736" s="4" t="s">
        <v>3282</v>
      </c>
      <c r="B1736" s="4" t="s">
        <v>3292</v>
      </c>
      <c r="C1736" s="4" t="s">
        <v>784</v>
      </c>
      <c r="D1736" s="4" t="s">
        <v>3294</v>
      </c>
      <c r="E1736" s="6">
        <v>44153</v>
      </c>
      <c r="F1736" s="7">
        <v>-1</v>
      </c>
      <c r="G1736" s="7">
        <v>0</v>
      </c>
      <c r="H1736" s="7">
        <v>0</v>
      </c>
    </row>
    <row r="1737" spans="1:8">
      <c r="A1737" s="4" t="s">
        <v>742</v>
      </c>
      <c r="B1737" s="4" t="s">
        <v>743</v>
      </c>
      <c r="C1737" s="4" t="s">
        <v>2391</v>
      </c>
      <c r="D1737" s="4" t="s">
        <v>2730</v>
      </c>
      <c r="E1737" s="6">
        <v>44145</v>
      </c>
      <c r="F1737" s="7">
        <v>-500</v>
      </c>
      <c r="G1737" s="7">
        <v>-23.28</v>
      </c>
      <c r="H1737" s="7">
        <v>0</v>
      </c>
    </row>
    <row r="1738" spans="1:8">
      <c r="A1738" s="4" t="s">
        <v>742</v>
      </c>
      <c r="B1738" s="4" t="s">
        <v>743</v>
      </c>
      <c r="C1738" s="4" t="s">
        <v>840</v>
      </c>
      <c r="D1738" s="4" t="s">
        <v>2731</v>
      </c>
      <c r="E1738" s="6">
        <v>44145</v>
      </c>
      <c r="F1738" s="7">
        <v>-1</v>
      </c>
      <c r="G1738" s="7">
        <v>0</v>
      </c>
      <c r="H1738" s="7">
        <v>0</v>
      </c>
    </row>
    <row r="1739" spans="1:8">
      <c r="A1739" s="4" t="s">
        <v>742</v>
      </c>
      <c r="B1739" s="4" t="s">
        <v>743</v>
      </c>
      <c r="C1739" s="4" t="s">
        <v>784</v>
      </c>
      <c r="D1739" s="4" t="s">
        <v>2732</v>
      </c>
      <c r="E1739" s="6">
        <v>44145</v>
      </c>
      <c r="F1739" s="7">
        <v>-1</v>
      </c>
      <c r="G1739" s="7">
        <v>0</v>
      </c>
      <c r="H1739" s="7">
        <v>0</v>
      </c>
    </row>
    <row r="1740" spans="1:8">
      <c r="A1740" s="4" t="s">
        <v>3282</v>
      </c>
      <c r="B1740" s="4" t="s">
        <v>3292</v>
      </c>
      <c r="C1740" s="4" t="s">
        <v>1063</v>
      </c>
      <c r="D1740" s="4" t="s">
        <v>3295</v>
      </c>
      <c r="E1740" s="6">
        <v>44153</v>
      </c>
      <c r="F1740" s="7">
        <v>-50</v>
      </c>
      <c r="G1740" s="7">
        <v>-34.26</v>
      </c>
      <c r="H1740" s="7">
        <v>0</v>
      </c>
    </row>
    <row r="1741" spans="1:8">
      <c r="A1741" s="4" t="s">
        <v>3282</v>
      </c>
      <c r="B1741" s="4" t="s">
        <v>3292</v>
      </c>
      <c r="C1741" s="4" t="s">
        <v>851</v>
      </c>
      <c r="D1741" s="4" t="s">
        <v>3296</v>
      </c>
      <c r="E1741" s="6">
        <v>44153</v>
      </c>
      <c r="F1741" s="7">
        <v>-100</v>
      </c>
      <c r="G1741" s="7">
        <v>-153.85999999999999</v>
      </c>
      <c r="H1741" s="7">
        <v>0</v>
      </c>
    </row>
    <row r="1742" spans="1:8">
      <c r="A1742" s="4" t="s">
        <v>3282</v>
      </c>
      <c r="B1742" s="4" t="s">
        <v>3292</v>
      </c>
      <c r="C1742" s="4" t="s">
        <v>2040</v>
      </c>
      <c r="D1742" s="4" t="s">
        <v>3297</v>
      </c>
      <c r="E1742" s="6">
        <v>44153</v>
      </c>
      <c r="F1742" s="7">
        <v>-50</v>
      </c>
      <c r="G1742" s="7">
        <v>-87</v>
      </c>
      <c r="H1742" s="7">
        <v>0</v>
      </c>
    </row>
    <row r="1743" spans="1:8">
      <c r="A1743" s="4" t="s">
        <v>3282</v>
      </c>
      <c r="B1743" s="4" t="s">
        <v>3292</v>
      </c>
      <c r="C1743" s="4" t="s">
        <v>1208</v>
      </c>
      <c r="D1743" s="4" t="s">
        <v>3298</v>
      </c>
      <c r="E1743" s="6">
        <v>44153</v>
      </c>
      <c r="F1743" s="7">
        <v>-11</v>
      </c>
      <c r="G1743" s="7">
        <v>-16.27</v>
      </c>
      <c r="H1743" s="7">
        <v>-0.01</v>
      </c>
    </row>
    <row r="1744" spans="1:8">
      <c r="A1744" s="4" t="s">
        <v>3282</v>
      </c>
      <c r="B1744" s="4" t="s">
        <v>3292</v>
      </c>
      <c r="C1744" s="4" t="s">
        <v>1030</v>
      </c>
      <c r="D1744" s="4" t="s">
        <v>3299</v>
      </c>
      <c r="E1744" s="6">
        <v>44153</v>
      </c>
      <c r="F1744" s="7">
        <v>-25</v>
      </c>
      <c r="G1744" s="7">
        <v>-54.27</v>
      </c>
      <c r="H1744" s="7">
        <v>0</v>
      </c>
    </row>
    <row r="1745" spans="1:8">
      <c r="A1745" s="4" t="s">
        <v>3282</v>
      </c>
      <c r="B1745" s="4" t="s">
        <v>3292</v>
      </c>
      <c r="C1745" s="4" t="s">
        <v>1032</v>
      </c>
      <c r="D1745" s="4" t="s">
        <v>3300</v>
      </c>
      <c r="E1745" s="6">
        <v>44153</v>
      </c>
      <c r="F1745" s="7">
        <v>-25</v>
      </c>
      <c r="G1745" s="7">
        <v>-55.61</v>
      </c>
      <c r="H1745" s="7">
        <v>-0.01</v>
      </c>
    </row>
    <row r="1746" spans="1:8">
      <c r="A1746" s="4" t="s">
        <v>3282</v>
      </c>
      <c r="B1746" s="4" t="s">
        <v>3292</v>
      </c>
      <c r="C1746" s="4" t="s">
        <v>942</v>
      </c>
      <c r="D1746" s="4" t="s">
        <v>3301</v>
      </c>
      <c r="E1746" s="6">
        <v>44153</v>
      </c>
      <c r="F1746" s="7">
        <v>-50</v>
      </c>
      <c r="G1746" s="7">
        <v>-50.22</v>
      </c>
      <c r="H1746" s="7">
        <v>0.01</v>
      </c>
    </row>
    <row r="1747" spans="1:8">
      <c r="A1747" s="4" t="s">
        <v>3282</v>
      </c>
      <c r="B1747" s="4" t="s">
        <v>3292</v>
      </c>
      <c r="C1747" s="4" t="s">
        <v>879</v>
      </c>
      <c r="D1747" s="4" t="s">
        <v>3302</v>
      </c>
      <c r="E1747" s="6">
        <v>44153</v>
      </c>
      <c r="F1747" s="7">
        <v>-50</v>
      </c>
      <c r="G1747" s="7">
        <v>-41.11</v>
      </c>
      <c r="H1747" s="7">
        <v>0</v>
      </c>
    </row>
    <row r="1748" spans="1:8">
      <c r="A1748" s="4" t="s">
        <v>3282</v>
      </c>
      <c r="B1748" s="4" t="s">
        <v>3292</v>
      </c>
      <c r="C1748" s="4" t="s">
        <v>1161</v>
      </c>
      <c r="D1748" s="4" t="s">
        <v>3303</v>
      </c>
      <c r="E1748" s="6">
        <v>44153</v>
      </c>
      <c r="F1748" s="7">
        <v>-25</v>
      </c>
      <c r="G1748" s="7">
        <v>-75.61</v>
      </c>
      <c r="H1748" s="7">
        <v>0</v>
      </c>
    </row>
    <row r="1749" spans="1:8">
      <c r="A1749" s="4" t="s">
        <v>2763</v>
      </c>
      <c r="B1749" s="4" t="s">
        <v>2764</v>
      </c>
      <c r="C1749" s="4" t="s">
        <v>942</v>
      </c>
      <c r="D1749" s="4" t="s">
        <v>2889</v>
      </c>
      <c r="E1749" s="6">
        <v>44145</v>
      </c>
      <c r="F1749" s="7">
        <v>-100</v>
      </c>
      <c r="G1749" s="7">
        <v>-100.42999999999999</v>
      </c>
      <c r="H1749" s="7">
        <v>-0.01</v>
      </c>
    </row>
    <row r="1750" spans="1:8">
      <c r="A1750" s="4" t="s">
        <v>2763</v>
      </c>
      <c r="B1750" s="4" t="s">
        <v>2764</v>
      </c>
      <c r="C1750" s="4" t="s">
        <v>985</v>
      </c>
      <c r="D1750" s="4" t="s">
        <v>2890</v>
      </c>
      <c r="E1750" s="6">
        <v>44145</v>
      </c>
      <c r="F1750" s="7">
        <v>-50</v>
      </c>
      <c r="G1750" s="7">
        <v>-92.61</v>
      </c>
      <c r="H1750" s="7">
        <v>0</v>
      </c>
    </row>
    <row r="1751" spans="1:8">
      <c r="A1751" s="4" t="s">
        <v>2763</v>
      </c>
      <c r="B1751" s="4" t="s">
        <v>2764</v>
      </c>
      <c r="C1751" s="4" t="s">
        <v>821</v>
      </c>
      <c r="D1751" s="4" t="s">
        <v>2891</v>
      </c>
      <c r="E1751" s="6">
        <v>44145</v>
      </c>
      <c r="F1751" s="7">
        <v>-50</v>
      </c>
      <c r="G1751" s="7">
        <v>-150.22</v>
      </c>
      <c r="H1751" s="7">
        <v>0</v>
      </c>
    </row>
    <row r="1752" spans="1:8">
      <c r="A1752" s="4" t="s">
        <v>2763</v>
      </c>
      <c r="B1752" s="4" t="s">
        <v>2764</v>
      </c>
      <c r="C1752" s="4" t="s">
        <v>1669</v>
      </c>
      <c r="D1752" s="4" t="s">
        <v>2892</v>
      </c>
      <c r="E1752" s="6">
        <v>44145</v>
      </c>
      <c r="F1752" s="7">
        <v>-50</v>
      </c>
      <c r="G1752" s="7">
        <v>-114.66</v>
      </c>
      <c r="H1752" s="7">
        <v>0</v>
      </c>
    </row>
    <row r="1753" spans="1:8">
      <c r="A1753" s="4" t="s">
        <v>2763</v>
      </c>
      <c r="B1753" s="4" t="s">
        <v>2764</v>
      </c>
      <c r="C1753" s="4" t="s">
        <v>1106</v>
      </c>
      <c r="D1753" s="4" t="s">
        <v>2893</v>
      </c>
      <c r="E1753" s="6">
        <v>44145</v>
      </c>
      <c r="F1753" s="7">
        <v>-150</v>
      </c>
      <c r="G1753" s="7">
        <v>-205.43</v>
      </c>
      <c r="H1753" s="7">
        <v>-0.01</v>
      </c>
    </row>
    <row r="1754" spans="1:8">
      <c r="A1754" s="4" t="s">
        <v>2763</v>
      </c>
      <c r="B1754" s="4" t="s">
        <v>2764</v>
      </c>
      <c r="C1754" s="4" t="s">
        <v>964</v>
      </c>
      <c r="D1754" s="4" t="s">
        <v>2894</v>
      </c>
      <c r="E1754" s="6">
        <v>44145</v>
      </c>
      <c r="F1754" s="7">
        <v>-100</v>
      </c>
      <c r="G1754" s="7">
        <v>-82.18</v>
      </c>
      <c r="H1754" s="7">
        <v>0</v>
      </c>
    </row>
    <row r="1755" spans="1:8">
      <c r="A1755" s="4" t="s">
        <v>2763</v>
      </c>
      <c r="B1755" s="4" t="s">
        <v>2764</v>
      </c>
      <c r="C1755" s="4" t="s">
        <v>823</v>
      </c>
      <c r="D1755" s="4" t="s">
        <v>2895</v>
      </c>
      <c r="E1755" s="6">
        <v>44145</v>
      </c>
      <c r="F1755" s="7">
        <v>-50</v>
      </c>
      <c r="G1755" s="7">
        <v>-180.01</v>
      </c>
      <c r="H1755" s="7">
        <v>0.01</v>
      </c>
    </row>
    <row r="1756" spans="1:8">
      <c r="A1756" s="4" t="s">
        <v>2763</v>
      </c>
      <c r="B1756" s="4" t="s">
        <v>2764</v>
      </c>
      <c r="C1756" s="4" t="s">
        <v>1040</v>
      </c>
      <c r="D1756" s="4" t="s">
        <v>2896</v>
      </c>
      <c r="E1756" s="6">
        <v>44145</v>
      </c>
      <c r="F1756" s="7">
        <v>-50</v>
      </c>
      <c r="G1756" s="7">
        <v>-80.849999999999994</v>
      </c>
      <c r="H1756" s="7">
        <v>0</v>
      </c>
    </row>
    <row r="1757" spans="1:8">
      <c r="A1757" s="4" t="s">
        <v>2763</v>
      </c>
      <c r="B1757" s="4" t="s">
        <v>2764</v>
      </c>
      <c r="C1757" s="4" t="s">
        <v>784</v>
      </c>
      <c r="D1757" s="4" t="s">
        <v>2897</v>
      </c>
      <c r="E1757" s="6">
        <v>44145</v>
      </c>
      <c r="F1757" s="7">
        <v>-1</v>
      </c>
      <c r="G1757" s="7">
        <v>0</v>
      </c>
      <c r="H1757" s="7">
        <v>0</v>
      </c>
    </row>
    <row r="1758" spans="1:8">
      <c r="A1758" s="4" t="s">
        <v>2761</v>
      </c>
      <c r="B1758" s="4" t="s">
        <v>2762</v>
      </c>
      <c r="C1758" s="4" t="s">
        <v>2898</v>
      </c>
      <c r="D1758" s="4" t="s">
        <v>2899</v>
      </c>
      <c r="E1758" s="6">
        <v>44145</v>
      </c>
      <c r="F1758" s="7">
        <v>-4</v>
      </c>
      <c r="G1758" s="7">
        <v>-16.09</v>
      </c>
      <c r="H1758" s="7">
        <v>0</v>
      </c>
    </row>
    <row r="1759" spans="1:8">
      <c r="A1759" s="4" t="s">
        <v>3282</v>
      </c>
      <c r="B1759" s="4" t="s">
        <v>3292</v>
      </c>
      <c r="C1759" s="4" t="s">
        <v>1366</v>
      </c>
      <c r="D1759" s="4" t="s">
        <v>3304</v>
      </c>
      <c r="E1759" s="6">
        <v>44153</v>
      </c>
      <c r="F1759" s="7">
        <v>-100</v>
      </c>
      <c r="G1759" s="7">
        <v>-120.29</v>
      </c>
      <c r="H1759" s="7">
        <v>0.01</v>
      </c>
    </row>
    <row r="1760" spans="1:8">
      <c r="A1760" s="4" t="s">
        <v>2920</v>
      </c>
      <c r="B1760" s="4" t="s">
        <v>2921</v>
      </c>
      <c r="C1760" s="4" t="s">
        <v>1168</v>
      </c>
      <c r="D1760" s="4" t="s">
        <v>2922</v>
      </c>
      <c r="E1760" s="6">
        <v>44148</v>
      </c>
      <c r="F1760" s="7">
        <v>-10</v>
      </c>
      <c r="G1760" s="7">
        <v>-8.1</v>
      </c>
      <c r="H1760" s="7">
        <v>0</v>
      </c>
    </row>
    <row r="1761" spans="1:8">
      <c r="A1761" s="4" t="s">
        <v>2920</v>
      </c>
      <c r="B1761" s="4" t="s">
        <v>2921</v>
      </c>
      <c r="C1761" s="4" t="s">
        <v>1137</v>
      </c>
      <c r="D1761" s="4" t="s">
        <v>2923</v>
      </c>
      <c r="E1761" s="6">
        <v>44148</v>
      </c>
      <c r="F1761" s="7">
        <v>-50</v>
      </c>
      <c r="G1761" s="7">
        <v>-14.11</v>
      </c>
      <c r="H1761" s="7">
        <v>0</v>
      </c>
    </row>
    <row r="1762" spans="1:8">
      <c r="A1762" s="4" t="s">
        <v>2920</v>
      </c>
      <c r="B1762" s="4" t="s">
        <v>2921</v>
      </c>
      <c r="C1762" s="4" t="s">
        <v>1795</v>
      </c>
      <c r="D1762" s="4" t="s">
        <v>2924</v>
      </c>
      <c r="E1762" s="6">
        <v>44148</v>
      </c>
      <c r="F1762" s="7">
        <v>-50</v>
      </c>
      <c r="G1762" s="7">
        <v>-35.22</v>
      </c>
      <c r="H1762" s="7">
        <v>0</v>
      </c>
    </row>
    <row r="1763" spans="1:8">
      <c r="A1763" s="4" t="s">
        <v>2920</v>
      </c>
      <c r="B1763" s="4" t="s">
        <v>2921</v>
      </c>
      <c r="C1763" s="4" t="s">
        <v>2925</v>
      </c>
      <c r="D1763" s="4" t="s">
        <v>2926</v>
      </c>
      <c r="E1763" s="6">
        <v>44148</v>
      </c>
      <c r="F1763" s="7">
        <v>-50</v>
      </c>
      <c r="G1763" s="7">
        <v>-56.39</v>
      </c>
      <c r="H1763" s="7">
        <v>0</v>
      </c>
    </row>
    <row r="1764" spans="1:8">
      <c r="A1764" s="4" t="s">
        <v>2920</v>
      </c>
      <c r="B1764" s="4" t="s">
        <v>2921</v>
      </c>
      <c r="C1764" s="4" t="s">
        <v>1969</v>
      </c>
      <c r="D1764" s="4" t="s">
        <v>2927</v>
      </c>
      <c r="E1764" s="6">
        <v>44148</v>
      </c>
      <c r="F1764" s="7">
        <v>-25</v>
      </c>
      <c r="G1764" s="7">
        <v>-26.19</v>
      </c>
      <c r="H1764" s="7">
        <v>0</v>
      </c>
    </row>
    <row r="1765" spans="1:8">
      <c r="A1765" s="4" t="s">
        <v>2920</v>
      </c>
      <c r="B1765" s="4" t="s">
        <v>2921</v>
      </c>
      <c r="C1765" s="4" t="s">
        <v>2380</v>
      </c>
      <c r="D1765" s="4" t="s">
        <v>2928</v>
      </c>
      <c r="E1765" s="6">
        <v>44148</v>
      </c>
      <c r="F1765" s="7">
        <v>-25</v>
      </c>
      <c r="G1765" s="7">
        <v>-42.57</v>
      </c>
      <c r="H1765" s="7">
        <v>-0.01</v>
      </c>
    </row>
    <row r="1766" spans="1:8">
      <c r="A1766" s="4" t="s">
        <v>2920</v>
      </c>
      <c r="B1766" s="4" t="s">
        <v>2921</v>
      </c>
      <c r="C1766" s="4" t="s">
        <v>2908</v>
      </c>
      <c r="D1766" s="4" t="s">
        <v>2929</v>
      </c>
      <c r="E1766" s="6">
        <v>44148</v>
      </c>
      <c r="F1766" s="7">
        <v>-25</v>
      </c>
      <c r="G1766" s="7">
        <v>-53.45</v>
      </c>
      <c r="H1766" s="7">
        <v>0</v>
      </c>
    </row>
    <row r="1767" spans="1:8">
      <c r="A1767" s="4" t="s">
        <v>2920</v>
      </c>
      <c r="B1767" s="4" t="s">
        <v>2921</v>
      </c>
      <c r="C1767" s="4" t="s">
        <v>1165</v>
      </c>
      <c r="D1767" s="4" t="s">
        <v>2930</v>
      </c>
      <c r="E1767" s="6">
        <v>44148</v>
      </c>
      <c r="F1767" s="7">
        <v>-50</v>
      </c>
      <c r="G1767" s="7">
        <v>-45.32</v>
      </c>
      <c r="H1767" s="7">
        <v>0</v>
      </c>
    </row>
    <row r="1768" spans="1:8">
      <c r="A1768" s="4" t="s">
        <v>2920</v>
      </c>
      <c r="B1768" s="4" t="s">
        <v>2921</v>
      </c>
      <c r="C1768" s="4" t="s">
        <v>784</v>
      </c>
      <c r="D1768" s="4" t="s">
        <v>2931</v>
      </c>
      <c r="E1768" s="6">
        <v>44148</v>
      </c>
      <c r="F1768" s="7">
        <v>-1</v>
      </c>
      <c r="G1768" s="7">
        <v>0</v>
      </c>
      <c r="H1768" s="7">
        <v>0</v>
      </c>
    </row>
    <row r="1769" spans="1:8">
      <c r="A1769" s="4" t="s">
        <v>2932</v>
      </c>
      <c r="B1769" s="4" t="s">
        <v>2933</v>
      </c>
      <c r="C1769" s="4" t="s">
        <v>817</v>
      </c>
      <c r="D1769" s="4" t="s">
        <v>2934</v>
      </c>
      <c r="E1769" s="6">
        <v>44148</v>
      </c>
      <c r="F1769" s="7">
        <v>-500</v>
      </c>
      <c r="G1769" s="7">
        <v>-474.02</v>
      </c>
      <c r="H1769" s="7">
        <v>0</v>
      </c>
    </row>
    <row r="1770" spans="1:8">
      <c r="A1770" s="4" t="s">
        <v>2932</v>
      </c>
      <c r="B1770" s="4" t="s">
        <v>2933</v>
      </c>
      <c r="C1770" s="4" t="s">
        <v>813</v>
      </c>
      <c r="D1770" s="4" t="s">
        <v>2935</v>
      </c>
      <c r="E1770" s="6">
        <v>44148</v>
      </c>
      <c r="F1770" s="7">
        <v>-30</v>
      </c>
      <c r="G1770" s="7">
        <v>-33.869999999999997</v>
      </c>
      <c r="H1770" s="7">
        <v>0</v>
      </c>
    </row>
    <row r="1771" spans="1:8">
      <c r="A1771" s="4" t="s">
        <v>2932</v>
      </c>
      <c r="B1771" s="4" t="s">
        <v>2933</v>
      </c>
      <c r="C1771" s="4" t="s">
        <v>815</v>
      </c>
      <c r="D1771" s="4" t="s">
        <v>2936</v>
      </c>
      <c r="E1771" s="6">
        <v>44148</v>
      </c>
      <c r="F1771" s="7">
        <v>-150</v>
      </c>
      <c r="G1771" s="7">
        <v>-286.89</v>
      </c>
      <c r="H1771" s="7">
        <v>0</v>
      </c>
    </row>
    <row r="1772" spans="1:8">
      <c r="A1772" s="4" t="s">
        <v>2932</v>
      </c>
      <c r="B1772" s="4" t="s">
        <v>2933</v>
      </c>
      <c r="C1772" s="4" t="s">
        <v>784</v>
      </c>
      <c r="D1772" s="4" t="s">
        <v>2937</v>
      </c>
      <c r="E1772" s="6">
        <v>44148</v>
      </c>
      <c r="F1772" s="7">
        <v>-1</v>
      </c>
      <c r="G1772" s="7">
        <v>0</v>
      </c>
      <c r="H1772" s="7">
        <v>0</v>
      </c>
    </row>
    <row r="1773" spans="1:8">
      <c r="A1773" s="4" t="s">
        <v>2938</v>
      </c>
      <c r="B1773" s="4" t="s">
        <v>2939</v>
      </c>
      <c r="C1773" s="4" t="s">
        <v>1011</v>
      </c>
      <c r="D1773" s="4" t="s">
        <v>2940</v>
      </c>
      <c r="E1773" s="6">
        <v>44148</v>
      </c>
      <c r="F1773" s="7">
        <v>-50</v>
      </c>
      <c r="G1773" s="7">
        <v>-30.66</v>
      </c>
      <c r="H1773" s="7">
        <v>0</v>
      </c>
    </row>
    <row r="1774" spans="1:8">
      <c r="A1774" s="4" t="s">
        <v>2938</v>
      </c>
      <c r="B1774" s="4" t="s">
        <v>2939</v>
      </c>
      <c r="C1774" s="4" t="s">
        <v>1060</v>
      </c>
      <c r="D1774" s="4" t="s">
        <v>2941</v>
      </c>
      <c r="E1774" s="6">
        <v>44148</v>
      </c>
      <c r="F1774" s="7">
        <v>-50</v>
      </c>
      <c r="G1774" s="7">
        <v>-37.19</v>
      </c>
      <c r="H1774" s="7">
        <v>0</v>
      </c>
    </row>
    <row r="1775" spans="1:8">
      <c r="A1775" s="4" t="s">
        <v>2938</v>
      </c>
      <c r="B1775" s="4" t="s">
        <v>2939</v>
      </c>
      <c r="C1775" s="4" t="s">
        <v>784</v>
      </c>
      <c r="D1775" s="4" t="s">
        <v>2942</v>
      </c>
      <c r="E1775" s="6">
        <v>44148</v>
      </c>
      <c r="F1775" s="7">
        <v>-1</v>
      </c>
      <c r="G1775" s="7">
        <v>0</v>
      </c>
      <c r="H1775" s="7">
        <v>0</v>
      </c>
    </row>
    <row r="1776" spans="1:8">
      <c r="A1776" s="4" t="s">
        <v>3284</v>
      </c>
      <c r="B1776" s="4" t="s">
        <v>3305</v>
      </c>
      <c r="C1776" s="4" t="s">
        <v>1904</v>
      </c>
      <c r="D1776" s="4" t="s">
        <v>3306</v>
      </c>
      <c r="E1776" s="6">
        <v>44153</v>
      </c>
      <c r="F1776" s="7">
        <v>-16</v>
      </c>
      <c r="G1776" s="7">
        <v>-52.6</v>
      </c>
      <c r="H1776" s="7">
        <v>0</v>
      </c>
    </row>
    <row r="1777" spans="1:8">
      <c r="A1777" s="4" t="s">
        <v>3284</v>
      </c>
      <c r="B1777" s="4" t="s">
        <v>3305</v>
      </c>
      <c r="C1777" s="4" t="s">
        <v>869</v>
      </c>
      <c r="D1777" s="4" t="s">
        <v>3307</v>
      </c>
      <c r="E1777" s="6">
        <v>44153</v>
      </c>
      <c r="F1777" s="7">
        <v>-20</v>
      </c>
      <c r="G1777" s="7">
        <v>-57.21</v>
      </c>
      <c r="H1777" s="7">
        <v>-0.01</v>
      </c>
    </row>
    <row r="1778" spans="1:8">
      <c r="A1778" s="4" t="s">
        <v>3284</v>
      </c>
      <c r="B1778" s="4" t="s">
        <v>3305</v>
      </c>
      <c r="C1778" s="4" t="s">
        <v>3286</v>
      </c>
      <c r="D1778" s="4" t="s">
        <v>3308</v>
      </c>
      <c r="E1778" s="6">
        <v>44153</v>
      </c>
      <c r="F1778" s="7">
        <v>-5</v>
      </c>
      <c r="G1778" s="7">
        <v>-10.7</v>
      </c>
      <c r="H1778" s="7">
        <v>0.01</v>
      </c>
    </row>
    <row r="1779" spans="1:8">
      <c r="A1779" s="4" t="s">
        <v>3284</v>
      </c>
      <c r="B1779" s="4" t="s">
        <v>3305</v>
      </c>
      <c r="C1779" s="4" t="s">
        <v>873</v>
      </c>
      <c r="D1779" s="4" t="s">
        <v>3309</v>
      </c>
      <c r="E1779" s="6">
        <v>44153</v>
      </c>
      <c r="F1779" s="7">
        <v>-5</v>
      </c>
      <c r="G1779" s="7">
        <v>-2.02</v>
      </c>
      <c r="H1779" s="7">
        <v>0</v>
      </c>
    </row>
    <row r="1780" spans="1:8">
      <c r="A1780" s="4" t="s">
        <v>3284</v>
      </c>
      <c r="B1780" s="4" t="s">
        <v>3305</v>
      </c>
      <c r="C1780" s="4" t="s">
        <v>1485</v>
      </c>
      <c r="D1780" s="4" t="s">
        <v>3310</v>
      </c>
      <c r="E1780" s="6">
        <v>44153</v>
      </c>
      <c r="F1780" s="7">
        <v>-100</v>
      </c>
      <c r="G1780" s="7">
        <v>-171.39000000000001</v>
      </c>
      <c r="H1780" s="7">
        <v>0</v>
      </c>
    </row>
    <row r="1781" spans="1:8">
      <c r="A1781" s="4" t="s">
        <v>3284</v>
      </c>
      <c r="B1781" s="4" t="s">
        <v>3305</v>
      </c>
      <c r="C1781" s="4" t="s">
        <v>908</v>
      </c>
      <c r="D1781" s="4" t="s">
        <v>3311</v>
      </c>
      <c r="E1781" s="6">
        <v>44153</v>
      </c>
      <c r="F1781" s="7">
        <v>-100</v>
      </c>
      <c r="G1781" s="7">
        <v>-47.39</v>
      </c>
      <c r="H1781" s="7">
        <v>-0.01</v>
      </c>
    </row>
    <row r="1782" spans="1:8">
      <c r="A1782" s="4" t="s">
        <v>3284</v>
      </c>
      <c r="B1782" s="4" t="s">
        <v>3305</v>
      </c>
      <c r="C1782" s="4" t="s">
        <v>1310</v>
      </c>
      <c r="D1782" s="4" t="s">
        <v>3312</v>
      </c>
      <c r="E1782" s="6">
        <v>44153</v>
      </c>
      <c r="F1782" s="7">
        <v>-100</v>
      </c>
      <c r="G1782" s="7">
        <v>-126.79</v>
      </c>
      <c r="H1782" s="7">
        <v>0</v>
      </c>
    </row>
    <row r="1783" spans="1:8">
      <c r="A1783" s="4" t="s">
        <v>3284</v>
      </c>
      <c r="B1783" s="4" t="s">
        <v>3305</v>
      </c>
      <c r="C1783" s="4" t="s">
        <v>867</v>
      </c>
      <c r="D1783" s="4" t="s">
        <v>3313</v>
      </c>
      <c r="E1783" s="6">
        <v>44153</v>
      </c>
      <c r="F1783" s="7">
        <v>-30</v>
      </c>
      <c r="G1783" s="7">
        <v>-32.26</v>
      </c>
      <c r="H1783" s="7">
        <v>0</v>
      </c>
    </row>
    <row r="1784" spans="1:8">
      <c r="A1784" s="4" t="s">
        <v>3284</v>
      </c>
      <c r="B1784" s="4" t="s">
        <v>3305</v>
      </c>
      <c r="C1784" s="4" t="s">
        <v>3277</v>
      </c>
      <c r="D1784" s="4" t="s">
        <v>3314</v>
      </c>
      <c r="E1784" s="6">
        <v>44153</v>
      </c>
      <c r="F1784" s="7">
        <v>-2</v>
      </c>
      <c r="G1784" s="7">
        <v>-9.120000000000001</v>
      </c>
      <c r="H1784" s="7">
        <v>0.01</v>
      </c>
    </row>
    <row r="1785" spans="1:8">
      <c r="A1785" s="2" t="s">
        <v>774</v>
      </c>
      <c r="B1785" s="3"/>
      <c r="C1785" s="3" t="s">
        <v>774</v>
      </c>
      <c r="D1785" s="3"/>
      <c r="E1785" s="5"/>
      <c r="F1785" s="2">
        <f>SUBTOTAL(109,AtlasReport_2_Table_1[Quantity])</f>
        <v>-607553.19999999995</v>
      </c>
      <c r="G1785" s="2">
        <f>SUBTOTAL(109,AtlasReport_2_Table_1[Financial cost amount])</f>
        <v>-460866.86999999965</v>
      </c>
      <c r="H1785" s="2">
        <f>SUBTOTAL(109,AtlasReport_2_Table_1[Adjustment])</f>
        <v>430.43</v>
      </c>
    </row>
    <row r="1786" spans="1:8">
      <c r="A1786" s="2"/>
      <c r="B1786" s="2"/>
      <c r="C1786" s="2"/>
      <c r="D1786" s="2"/>
      <c r="E1786" s="5"/>
      <c r="F1786" s="2"/>
      <c r="G1786" s="2"/>
      <c r="H1786" s="2"/>
    </row>
    <row r="1787" spans="1:8">
      <c r="A1787" s="2"/>
      <c r="B1787" s="2"/>
      <c r="C1787" s="2"/>
      <c r="D1787" s="2"/>
      <c r="E1787" s="5"/>
      <c r="F1787" s="2"/>
      <c r="G1787" s="2"/>
      <c r="H1787" s="2"/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L27"/>
  <sheetViews>
    <sheetView workbookViewId="0">
      <selection activeCell="J13" sqref="J13"/>
    </sheetView>
  </sheetViews>
  <sheetFormatPr defaultRowHeight="13.5"/>
  <cols>
    <col min="10" max="10" width="11.625" bestFit="1" customWidth="1"/>
  </cols>
  <sheetData>
    <row r="2" spans="2:12">
      <c r="J2" t="s">
        <v>2734</v>
      </c>
    </row>
    <row r="3" spans="2:12">
      <c r="J3" s="1">
        <v>44146</v>
      </c>
      <c r="K3" t="s">
        <v>2735</v>
      </c>
      <c r="L3" t="s">
        <v>2736</v>
      </c>
    </row>
    <row r="4" spans="2:12">
      <c r="J4" s="1">
        <v>44153</v>
      </c>
      <c r="K4" t="s">
        <v>2911</v>
      </c>
      <c r="L4" t="s">
        <v>2912</v>
      </c>
    </row>
    <row r="9" spans="2:12">
      <c r="B9" t="s">
        <v>2741</v>
      </c>
    </row>
    <row r="10" spans="2:12">
      <c r="C10" t="s">
        <v>2742</v>
      </c>
      <c r="J10" t="s">
        <v>3317</v>
      </c>
    </row>
    <row r="11" spans="2:12">
      <c r="C11" t="s">
        <v>2743</v>
      </c>
      <c r="J11" t="s">
        <v>3318</v>
      </c>
    </row>
    <row r="12" spans="2:12">
      <c r="C12" t="s">
        <v>2880</v>
      </c>
      <c r="J12" t="s">
        <v>3319</v>
      </c>
    </row>
    <row r="13" spans="2:12">
      <c r="C13" t="s">
        <v>2744</v>
      </c>
    </row>
    <row r="14" spans="2:12">
      <c r="C14" t="s">
        <v>2745</v>
      </c>
    </row>
    <row r="15" spans="2:12">
      <c r="C15" t="s">
        <v>2746</v>
      </c>
    </row>
    <row r="17" spans="2:3">
      <c r="B17" t="s">
        <v>2747</v>
      </c>
    </row>
    <row r="18" spans="2:3">
      <c r="C18" t="s">
        <v>2748</v>
      </c>
    </row>
    <row r="19" spans="2:3">
      <c r="C19" t="s">
        <v>2749</v>
      </c>
    </row>
    <row r="20" spans="2:3">
      <c r="C20" t="s">
        <v>2750</v>
      </c>
    </row>
    <row r="21" spans="2:3">
      <c r="C21" t="s">
        <v>2751</v>
      </c>
    </row>
    <row r="22" spans="2:3">
      <c r="C22" t="s">
        <v>2752</v>
      </c>
    </row>
    <row r="23" spans="2:3">
      <c r="C23" t="s">
        <v>2753</v>
      </c>
    </row>
    <row r="24" spans="2:3">
      <c r="C24" t="s">
        <v>2754</v>
      </c>
    </row>
    <row r="25" spans="2:3">
      <c r="C25" t="s">
        <v>2755</v>
      </c>
    </row>
    <row r="26" spans="2:3">
      <c r="C26" t="s">
        <v>2756</v>
      </c>
    </row>
    <row r="27" spans="2:3">
      <c r="C27" t="s">
        <v>2757</v>
      </c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<?xml version="1.0" encoding="utf-8"?>
<Atlas>
  <Query type="ReportList" id="e99b40ac-efed-4e4e-899e-b97e5bf98b30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cm9k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EAAAACRIAAAAH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HAAAABw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QAAAAJEgAAAAc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Sg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EAAAACRIAAAAH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FEN1c3RQYWNraW5nU2xpcFRyYW5zBh4AAAAdQ3VzdG9tZXIgLSBQYWNraW5nIHNsaXAgbGluZXMJCAAAAAkIAAAACQgAAAAF4P///zBHbG9iZVNvZnR3YXJlLkF0bGFzNDAuQXRsYXNDb21tb24uRGF0YVNvdXJjZVR5cGUBAAAAB3ZhbHVlX18ACAIAAAAAAAAACSEAAAAJIgAAAATd////C1N5c3RlbS5HdWlkCwAAAAJfYQJfYgJfYwJfZAJfZQJfZgJfZwJfaAJfaQJfagJfawAAAAAAAAAAAAAACAcHAgICAgICAgLfM9Kan0+wTqdA6RgMCl/2CQgAAAAJCAAAAAklAAAABiYAAAAaVGFibGUuQ3VzdFBhY2tpbmdTbGlwVHJhbnM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Q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HR////1P///wYwAAAAM1RhYmxlLkN1c3RQYWNraW5nU2xpcFRyYW5zLlNhbGVzSWR+VGFibGUuU2FsZXNUYWJsZQkxAAAAAc7////U////BjMAAAA6VGFibGUuQ3VzdFBhY2tpbmdTbGlwVHJhbnMuSW52ZW50VHJhbnNJZH5UYWJsZS5JbnZlbnRUcmFucwk0AAAAAcv////U////BjYAAABYVGFibGUuQ3VzdFBhY2tpbmdTbGlwVHJhbnMuSW52ZW50VHJhbnNJZH5UYWJsZS5JbnZlbnRUcmFucy5JbnZlbnRUcmFuc0lkflRhYmxlLlNhbGVzTGluZQk3AAAABxQAAAAAAQAAAAgAAAAELUdsb2JlU29mdHdhcmUuQXRsYXM0MC5BdGxhc0NvbW1vbi5UeXBlLkNvbHVtbgIAAAAJOAAAAAk5AAAACToAAAAJOwAAAAk8AAAACT0AAAAJPgAAAAoRFQAAAAQAAAAGPwAAAA1BdGxhc1JlcG9ydF8zDQMHFwAAAAABAAAABA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A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G+////wP///wZDAAAAEFRhYmxlLlNhbGVzVGFibGUJMAAAAAG7////wP///wZGAAAAEVRhYmxlLkludmVudFRyYW5zCTMAAAABuP///8D///8GSQAAAC9UYWJsZS5JbnZlbnRUcmFucy5JbnZlbnRUcmFuc0lkflRhYmxlLlNhbGVzTGluZQk2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S1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bT///8+R2xvYmVTb2Z0d2FyZS5BdGxhczQwLkF0bGFzQ29tbW9uLlR5cGUuQXRsYXNRdWVyeUF0dHJpYnV0ZU5hbWUBAAAAB3ZhbHVlX18ACAIAAAACAAAABk0AAAAkZTk5YjQwYWMtZWZlZC00ZTRlLTg5OWUtYjk3ZTViZjk4YjMwAbL///+1////AbH///+0////AAAAAAZQAAAABHRydWUBr////7X///8Brv///7T///8LAAAABlMAAAAdQ3VzdG9tZXIgLSBQYWNraW5nIHNsaXAgbGluZXMBrP///7X///8Bq////7T///8bAAAABlYAAAAEVHJ1ZQGp////tf///wGo////tP///wYAAAAGWQAAAAVGYWxzZQGm////tf///wGl////tP///xwAAAAJVgAAAAGj////tf///wGi////tP///x0AAAAJWQAAAAGg////tf///wGf////tP///yoAAAAJVgAAAAGd////tf///wGc////tP///wEAAAAGZQAAAAMzNzIBmv///7X///8Bmf///7T///8nAAAABmgAAAALPURhdGFBcmVhSWQBl////7X///8Blv///7T///8ZAAAABmsAAAAPQ2VsbHNWZXJ0aWNhbGx5AZT///+1////AZP///+0////CQAAAAoBkv///7X///8Bkf///7T///8oAAAABnAAAAABNwGP////tf///wGO////tP///ysAAAAGcwAAABFUYWJsZVN0eWxlTWVkaXVtMgccAAAAAAEAAAAE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jP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1AAAAFEN1c3RQYWNraW5nU2xpcFRyYW5zAQAAAAGK////jP///wZ3AAAAClNhbGVzVGFibGUBAAAAAYj///+M////BnkAAAALSW52ZW50VHJhbnMBAAAAAYb///+M////BnsAAAAJU2FsZXNMaW5l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BQAAAAl8AAAABwAAAAl9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EAAAAJEgAAAAMAAAAJfwAAAAElAAAABAAAAAIAAAAJfAAAAAMAAAAJgQAAAAQp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mCAAAAAAAAAAcqAAAAAAEAAAAAAAAABC1HbG9iZVNvZnR3YXJlLkF0bGFzNDAuQXRsYXNDb21tb24uVHlwZS5Db2x1bW4CAAAAATEAAAAOAAAA/////waDAAAAClNhbGVzVGFibGUGhAAAAAxTYWxlcyBvcmRlcnMJCAAAAAkIAAAACQgAAAABev///+D///8AAAAACYcAAAAJiAAAAAF3////3f///9LjpYzjRxNFv3f4tURabc8JCAAAAAkIAAAACYsAAAAJMAAAAAaNAAAAFEN1c3RQYWNraW5nU2xpcFRyYW5zBo4AAAAaVGFibGUuQ3VzdFBhY2tpbmdTbGlwVHJhbnMGjwAAACJUYWJsZS5DdXN0UGFja2luZ1NsaXBUcmFucy5TYWxlc0lkBpAAAAAHU2FsZXNJZAaRAAAAB1NhbGVzSWQBAAAAAW7////Z////AAAAAAFt////2P///wAAAAAACZQAAAABNAAAAA4AAAD/////BpUAAAALSW52ZW50VHJhbnMGlgAAABZJbnZlbnRvcnkgdHJhbnNhY3Rpb25zCQgAAAAJCAAAAAkIAAAAAWj////g////AAAAAAmZAAAACZoAAAABZf///93///+tauPLQYU+RqfWsfDvBUDLCQgAAAAJCAAAAAmdAAAACTMAAAAGnwAAABRDdXN0UGFja2luZ1NsaXBUcmFucwagAAAAGlRhYmxlLkN1c3RQYWNraW5nU2xpcFRyYW5zBqEAAAAoVGFibGUuQ3VzdFBhY2tpbmdTbGlwVHJhbnMuSW52ZW50VHJhbnNJZAaiAAAADUludmVudFRyYW5zSWQGowAAAA1JbnZlbnRUcmFuc0lkAQAAAAFc////2f///wAAAAABW////9j///8AAAAAAAmmAAAAATcAAAAOAAAA/////wanAAAACVNhbGVzTGluZQaoAAAAC09yZGVyIGxpbmVzCQgAAAAJCAAAAAkIAAAAAVb////g////AAAAAAmrAAAACawAAAABU////93///+mxJBZo7MVTqVgiv+dw/YqCQgAAAAJCAAAAAmvAAAACTYAAAAGsQAAAAtJbnZlbnRUcmFucwayAAAAOlRhYmxlLkN1c3RQYWNraW5nU2xpcFRyYW5zLkludmVudFRyYW5zSWR+VGFibGUuSW52ZW50VHJhbnMGswAAAEhUYWJsZS5DdXN0UGFja2luZ1NsaXBUcmFucy5JbnZlbnRUcmFuc0lkflRhYmxlLkludmVudFRyYW5zLkludmVudFRyYW5zSWQGtAAAAA1JbnZlbnRUcmFuc0lkBrUAAAANSW52ZW50VHJhbnNJZAEAAAABSv///9n///8AAAAAAUn////Y////AAAAAAAJuAAAAAU4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m5AAAACboAAAAJuwAAAAa8AAAAC0N1c3RBY2NvdW50Br0AAAAQQ3VzdG9tZXIgYWNjb3VudAa+AAAABlN0cmluZwkIAAAABsAAAAAkOTBkN2RiZTYtZWFiZC00ZjU0LWFlNjItZGIyYzhiMjYxYTViBT////8tR2xvYmVTb2Z0d2FyZS5BdGxhczQwLkF0bGFzQ29tbW9uLkFnZ3JlZ2F0aW9uAQAAAAd2YWx1ZV9fAAgCAAAA/////wAAAAAFPv///yxHbG9iZVNvZnR3YXJlLkF0bGFzNDAuQXRsYXNDb21tb24uQ29sdW1uVHlwZQEAAAAHdmFsdWVfXwAIAgAAAAAAAAAFPf///ytHbG9iZVNvZnR3YXJlLkF0bGFzNDAuQXRsYXNDb21tb24uU29ydE9yZGVyAQAAAAd2YWx1ZV9fAAgCAAAAAgAAAAAAAAAABTz///9AR2xvYmVTb2Z0d2FyZS5BdGxhczQwLkF0bGFzQ29tbW9uLlR5cGUuQ29sdW1uK0Nyb3NzVGFiQ29sdW1uVHlwZQEAAAAHdmFsdWVfXwAIAgAAAAAAAAAKAQAAAAAAAAAAAAAAAAAGxQAAACQ4NmE3N2E3NC02NWM4LTQ4NjctYjE3ZS0xMzYyNDNiNjM3NWMGxgAAAD9UYWJsZS5DdXN0UGFja2luZ1NsaXBUcmFucy5TYWxlc0lkflRhYmxlLlNhbGVzVGFibGUuQ3VzdEFjY291bnQKCgoKATkAAAA4AAAACccAAAAJyAAAAAnJAAAABsoAAAAHU2FsZXNJZAbLAAAAC1NhbGVzIG9yZGVyBswAAAAGU3RyaW5nCQgAAAAGzgAAACQ2YzNhNjdiMC0yMTA1LTRmMDMtOGE5Yi0zZmY2NzVkNjJjODYBMf///z//////////AQAAAAEw////Pv///wAAAAABL////z3///8CAAAAAAAAAAABLv///zz///8AAAAACgEAAAAAAAAAAAEAAAAABtMAAAAkMGYyZWMzNDktZjgyNi00MjJkLWIzNmQtYjRlNDAxNGJlZWNiBtQAAAAiVGFibGUuQ3VzdFBhY2tpbmdTbGlwVHJhbnMuU2FsZXNJZAoKCgoBOgAAADgAAAAJ1QAAAAnWAAAACdcAAAAG2AAAAA1QYWNraW5nU2xpcElkBtkAAAAMUGFja2luZyBzbGlwBtoAAAAGU3RyaW5nCQgAAAAG3AAAACQwYzIwOWY2MC04ZGVmLTQ4MmMtYmYzYi1iYzYxYzIyNmM2OGYBI////z//////////AgAAAAEi////Pv///wAAAAABIf///z3///8CAAAAAAAAAAABIP///zz///8AAAAACgEAAAAAAAAAAAIAAAAABuEAAAAkOWY3ZGI3YjItNjVkNS00OTNiLWI0MzEtZjQ5Y2M2NjcyM2U2BuIAAAAoVGFibGUuQ3VzdFBhY2tpbmdTbGlwVHJhbnMuUGFja2luZ1NsaXBJZAoKCgoBOwAAADgAAAAJ4wAAAAnkAAAACeUAAAAG5gAAAAZJdGVtSWQG5wAAAARJdGVtBugAAAAGU3RyaW5nCQgAAAAG6gAAACQ4M2M5Yzg2Mi1jMjViLTQzNTgtYTk4OC05M2VmMGU5MjcyZTQBFf///z//////////AwAAAAEU////Pv///wAAAAABE////z3///8CAAAAAAAAAAABEv///zz///8AAAAACgEAAAAAAAAAAAMAAAAABu8AAAAkOTgyNDUxZjAtZmVkMC00Zjk1LThiMzktZTJiODM2ZDkzOGZhBvAAAAAhVGFibGUuQ3VzdFBhY2tpbmdTbGlwVHJhbnMuSXRlbUlkCgoKCgE8AAAAOAAAAAnxAAAACfIAAAAJ8wAAAAb0AAAADERlbGl2ZXJ5RGF0ZQb1AAAACVNoaXAgZGF0ZQb2AAAABERhdGUJCAAAAAb4AAAAJGFlYWE2YjRiLTZiMzItNGE5MC1iOWVmLTQ2YTlhNmQ4NTAzMgEH////P/////////8EAAAAAQb///8+////AAAAAAEF////Pf///wIAAAAAAAAAAAEE////PP///wAAAAAKAQAAAAAAAAAABAAAAAAG/QAAACRkYzAzOWM4My0zZDQ3LTQzNjUtODM4Mi00NTU3YzI2NTM2NTMG/gAAACdUYWJsZS5DdXN0UGFja2luZ1NsaXBUcmFucy5EZWxpdmVyeURhdGUKCgoKAT0AAAA4AAAACf8AAAAJAAEAAAkBAQAABgIBAAADUXR5BgMBAAAJRGVsaXZlcmVkBgQBAAAEUmVhbAkIAAAABgYBAAAkNTdjZDQxMGUtNzc1Zi00Y2UwLWEyMDYtNmUyZDIwZjRmNjgwAfn+//8/////AQAAAAUAAAAB+P7//z7///8AAAAAAff+//89////AgAAAAAAAAAAAfb+//88////AAAAAAoBAAAAAAAAAAAFAAAAAAYLAQAAJDZkYTVmYThiLTUyM2EtNDcyNS05M2RjLTA4NzgwMjZjNTNhMgYMAQAAHlRhYmxlLkN1c3RQYWNraW5nU2xpcFRyYW5zLlF0eQoKCgoBPgAAADgAAAAJDQEAAAkOAQAACQ8BAAAGEAEAAApTYWxlc1ByaWNlBhEBAAAKVW5pdCBwcmljZQYSAQAABFJlYWwJCAAAAAYUAQAAJGU4YmFlM2QyLWQ5Y2UtNDg2Yi1iMWM3LWJjN2FjMjA5ZGQ4OQHr/v//P/////////8GAAAAAer+//8+////AAAAAAHp/v//Pf///wIAAAAAAAAAAAHo/v//PP///wAAAAAKAQAAAAAAAAAABgAAAAAGGQEAACQ1YjY2MzVhZi02YzkyLTQ1NWItODM1NS1mOGE3NzY4NDMwMGEGGgEAAGNUYWJsZS5DdXN0UGFja2luZ1NsaXBUcmFucy5JbnZlbnRUcmFuc0lkflRhYmxlLkludmVudFRyYW5zLkludmVudFRyYW5zSWR+VGFibGUuU2FsZXNMaW5lLlNhbGVzUHJpY2UKCgoKAXwAAAASAAAAB30AAAAAAQAAAAU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OX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hwBAAAiVGFibGUuQ3VzdFBhY2tpbmdTbGlwVHJhbnMuU2FsZXNJZAkdAQAAAeL+///l/v//Bh8BAAAoVGFibGUuQ3VzdFBhY2tpbmdTbGlwVHJhbnMuUGFja2luZ1NsaXBJZAkgAQAAAd/+///l/v//BiIBAAAhVGFibGUuQ3VzdFBhY2tpbmdTbGlwVHJhbnMuSXRlbUlkCSMBAAAB3P7//+X+//8GJQEAACdUYWJsZS5DdXN0UGFja2luZ1NsaXBUcmFucy5EZWxpdmVyeURhdGUJJgEAAAHZ/v//5f7//wYoAQAAHlRhYmxlLkN1c3RQYWNraW5nU2xpcFRyYW5zLlF0eQkpAQAAB38A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W/v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CAAAABisBAAAnVGFibGUuQ3VzdFBhY2tpbmdTbGlwVHJhbnMuRGVsaXZlcnlEYXRlCSwBAAAHgQAAAAABAAAAAg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0/7//9T///8JMAAAAAkxAAAAAdD+///U////CTMAAAAJNAAAAASC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hwAAACEAAAABAAAACTMBAAADAAAACTQBAAABiAAAACIAAAABAAAACRIAAAADAAAACTYBAAAEiw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TMBAAAAAAAAAZQAAAApAAAAAAAAAAk4AQAAAAAAAASZ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MwEAAAAAAAAEm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GdAAAABAAAAAEAAAAJMwEAAAMAAAAJPAEAAAGmAAAAKQAAAAAAAAAJOAEAAAAAAAABqwAAACEAAAABAAAACTMBAAADAAAACT8BAAAErA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Sv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MwEAAAAAAAABuAAAACkAAAAAAAAACTgBAAAAAAAABLk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UMBAAABAAAAAQAAAAS6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R8AAAAJRAEAAAcAAAAJRQEAAAS7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wAAAAJMwEAAAcAAAAJRwEAAAHHAAAAuQAAAAlIAQAAAQAAAAEAAAAByAAAALoAAAAYAAAACUkBAAAHAAAACUoBAAAEy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RIAAAAHAAAACUwBAAAB1QAAALkAAAAJTQEAAAEAAAABAAAAAdYAAAC6AAAARAAAAAlEAQAABwAAAAlPAQAABNc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PwAAAAkzAQAABwAAAAlRAQAAAeMAAAC5AAAACVIBAAABAAAAAQAAAAHkAAAAugAAAEMAAAAJRAEAAAcAAAAJVAEAAATl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8AAAAJMwEAAAcAAAAJVgEAAAHxAAAAuQAAAAlXAQAAAQAAAAEAAAAB8gAAALoAAAAtAAAACUQBAAAHAAAACVkBAAAE8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qAAAACTMBAAAHAAAACVsBAAAB/wAAALkAAAAJXAEAAAEAAAABAAAAAQABAAC6AAAAQwAAAAlEAQAABwAAAAleAQAABAE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PwAAAAkzAQAABwAAAAlgAQAAAQ0BAAC5AAAACWEBAAABAAAAAQAAAAEOAQAAugAAADQAAAAJRAEAAAcAAAAJYwEAAAQP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EAAAAJMwEAAAcAAAAJZQEAAAUd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Ga/v//P/////////8ABmcBAAAGU3RyaW5nBmgBAAALU2FsZXMgb3JkZXIJaQEAAAGW/v//Pf///wIAAAAFlf7//zlHbG9iZVNvZnR3YXJlLkF0bGFzNDAuQXRsYXNDb21tb24uTnVtYmVyU2VxdWVuY2VDb25kaXRpb24BAAAAB3ZhbHVlX18ACAIAAAABAAAAAAAGbAEAABpUYWJsZS5DdXN0UGFja2luZ1NsaXBUcmFucwnKAAAACQgAAAAK/////wlsAQAACgnKAAAACgoKCQgAAAAJcgEAAAkIAAAAASABAAAdAQAAAYz+//8//////////wAGdQEAAAZTdHJpbmcGdgEAAAxQYWNraW5nIHNsaXAJdwEAAAGI/v//Pf///wIAAAABh/7//5X+//8BAAAAAAAGegEAABpUYWJsZS5DdXN0UGFja2luZ1NsaXBUcmFucwnYAAAACQgAAAAK/////wl6AQAACgnYAAAACgoKCQgAAAAJgAEAAAkIAAAAASMBAAAdAQAAAX7+//8//////////wAGgwEAAAZTdHJpbmcGhAEAAARJdGVtCXcBAAABev7//z3///8CAAAAAXn+//+V/v//AQAAAAAACXoBAAAJ5gAAAAkIAAAACv////8JegEAAAoJ5gAAAAoKCgkIAAAACY4BAAAJCAAAAAEmAQAAHQEAAAFw/v//P/////////8ABpEBAAAERGF0ZQaSAQAACVNoaXAgZGF0ZQmTAQAAAWz+//89////AgAAAAFr/v//lf7//wEAAAAAAAaWAQAAGlRhYmxlLkN1c3RQYWNraW5nU2xpcFRyYW5zCfQAAAAJCAAAAAr/////CZYBAAAKCfQAAAAKCgoJCAAAAAmcAQAACQgAAAABKQEAAB0BAAABYv7//z//////////AAafAQAABFJlYWwGoAEAAAlEZWxpdmVyZWQJdwEAAAFe/v//Pf///wIAAAABXf7//5X+//8BAAAAAAAJegEAAAkCAQAACQgAAAAK/////wl6AQAACgkCAQAACgoKCQgAAAAJqgEAAAkIAAAABSw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asAQAAGlRhYmxlLkN1c3RQYWNraW5nU2xpcFRyYW5zBq0BAAAMRGVsaXZlcnlEYXRlCQgAAAAGrwEAABYxLjEuMjAyMCAuLiAxMi4zMS4yMDIw/////wmsAQAACgmtAQAACgoKCQgAAAAJswEAAAkIAAAAATMBAAASAAAABzQB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Uv+///l/v//BrYBAAA/VGFibGUuQ3VzdFBhY2tpbmdTbGlwVHJhbnMuU2FsZXNJZH5UYWJsZS5TYWxlc1RhYmxlLkN1c3RBY2NvdW50CbcBAAAHNgE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Uj+///W/v//BrkBAAA9VGFibGUuQ3VzdFBhY2tpbmdTbGlwVHJhbnMuU2FsZXNJZH5UYWJsZS5TYWxlc1RhYmxlLkN1c3RHcm91cAm6AQAAATgBAACCAAAABzwB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UX+///U////CTYAAAAJNwAAAAc/AQ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FC/v//5f7//wa/AQAAY1RhYmxlLkN1c3RQYWNraW5nU2xpcFRyYW5zLkludmVudFRyYW5zSWR+VGFibGUuSW52ZW50VHJhbnMuSW52ZW50VHJhbnNJZH5UYWJsZS5TYWxlc0xpbmUuU2FsZXNQcmljZQnAAQAAB0MBAAAAAQAAAAQAAAAEN0dsb2JlU29mdHdhcmUuQXRsYXM0MC5BdGxhc0NvbW1vbi5UeXBlLkZpZWxkT3V0cHV0RmllbGQCAAAACbcBAAANAwRE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dF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Pv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U9/v//Mkdsb2JlU29mdHdhcmUuQXRsYXM0MC5BdGxhc0NvbW1vbi5Db2x1bW5BdHRyaWJ1dGVzAQAAAAd2YWx1ZV9fAAgCAAAACQAAAAkIAAAAATv+//8+/v//ATr+//89/v//CwAAAAbHAQAAATABOP7//z7+//8BN/7//z3+//8EAAAABsoBAAAHR2VuZXJhbAE1/v//Pv7//wE0/v//Pf7//wIAAAAGzQEAAAExATL+//8+/v//ATH+//89/v//AAAAAAbQAQAABTE3LjE0B0c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L/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bSAQAACEZvbnRCb2xkBtMBAAAFRmFsc2UBLP7//y/+//8G1QEAAApGb250SXRhbGljCdMBAAABKf7//y/+//8G2AEAAA1Gb250VW5kZXJsaW5lBtkBAAAFLTQxNDIBJv7//y/+//8G2wEAAAhGb250TmFtZQbcAQAAB0NhbGlicmkBI/7//y/+//8G3gEAAAlGb250Q29sb3IG3wEAAAEwASD+//8v/v//BuEBAAAIRm9udFNpemUG4gEAAAIxMQEd/v//L/7//wbkAQAACUZvbnRTdHlsZQblAQAAB1JlZ3VsYXIHSAEAAAABAAAABAAAAAQ3R2xvYmVTb2Z0d2FyZS5BdGxhczQwLkF0bGFzQ29tbW9uLlR5cGUuRmllbGRPdXRwdXRGaWVsZAIAAAAJHQEAAA0DAUkBAABEAQAAB0o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Z/v//Pv7//wEY/v//Pf7//wkAAAAJCAAAAAEW/v//Pv7//wEV/v//Pf7//wsAAAAG7AEAAAExARP+//8+/v//ARL+//89/v//BAAAAAbvAQAAB0dlbmVyYWwBEP7//z7+//8BD/7//z3+//8CAAAABvIBAAABMQEN/v//Pv7//wEM/v//Pf7//wAAAAAG9QEAAAUxMi40MwdM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r+//8v/v//BvcBAAAIRm9udEJvbGQJ0wEAAAEH/v//L/7//wb6AQAACkZvbnRJdGFsaWMJ0wEAAAEE/v//L/7//wb9AQAADUZvbnRVbmRlcmxpbmUG/gEAAAUtNDE0MgEB/v//L/7//wYAAgAACEZvbnROYW1lBgECAAAHQ2FsaWJyaQH+/f//L/7//wYDAgAACUZvbnRDb2xvcgYEAgAAATAB+/3//y/+//8GBgIAAAhGb250U2l6ZQYHAgAAAjExAfj9//8v/v//BgkCAAAJRm9udFN0eWxlBgoCAAAHUmVndWxhcgdNAQAAAAEAAAAEAAAABDdHbG9iZVNvZnR3YXJlLkF0bGFzNDAuQXRsYXNDb21tb24uVHlwZS5GaWVsZE91dHB1dEZpZWxkAgAAAAkgAQAADQMHTw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T9//8+/v//AfP9//89/v//BgAAAAYOAgAABVRvdGFsAfH9//8+/v//AfD9//89/v//EAAAAAYRAgAABE5vbmUB7v3//z7+//8B7f3//z3+//8JAAAACQgAAAAB6/3//z7+//8B6v3//z3+//8LAAAABhcCAAABMgHo/f//Pv7//wHn/f//Pf7//wQAAAAGGgIAAAdHZW5lcmFsAeX9//8+/v//AeT9//89/v//AgAAAAYdAgAAATEB4v3//z7+//8B4f3//z3+//8AAAAABiACAAAFMTcuNDMHU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f/f//L/7//wYiAgAACEZvbnRCb2xkCdMBAAAB3P3//y/+//8GJQIAAApGb250SXRhbGljCdMBAAAB2f3//y/+//8GKAIAAA1Gb250VW5kZXJsaW5lBikCAAAFLTQxNDIB1v3//y/+//8GKwIAAAhGb250TmFtZQYsAgAAB0NhbGlicmkB0/3//y/+//8GLgIAAAlGb250Q29sb3IGLwIAAAEwAdD9//8v/v//BjECAAAIRm9udFNpemUGMgIAAAIxMQHN/f//L/7//wY0AgAACUZvbnRTdHlsZQY1AgAAB1JlZ3VsYXIHUgEAAAABAAAABAAAAAQ3R2xvYmVTb2Z0d2FyZS5BdGxhczQwLkF0bGFzQ29tbW9uLlR5cGUuRmllbGRPdXRwdXRGaWVsZAIAAAAJIwEAAA0DB1Q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J/f//Pv7//wHI/f//Pf7//xAAAAAJEQIAAAHG/f//Pv7//wHF/f//Pf7//wkAAAAJCAAAAAHD/f//Pv7//wHC/f//Pf7//wsAAAAGPwIAAAEzAcD9//8+/v//Ab/9//89/v//BAAAAAZCAgAAB0dlbmVyYWwBvf3//z7+//8BvP3//z3+//8CAAAABkUCAAABMQG6/f//Pv7//wG5/f//Pf7//wAAAAAGSAIAAAUxNi43MQdW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f9//8v/v//CSICAAAJ0wEAAAG0/f//L/7//wklAgAACdMBAAABsf3//y/+//8JKAIAAAZRAgAABS00MTQyAa79//8v/v//CSsCAAAGVAIAAAdDYWxpYnJpAav9//8v/v//CS4CAAAGVwIAAAEwAaj9//8v/v//CTECAAAGWgIAAAIxMQGl/f//L/7//wk0AgAABl0CAAAHUmVndWxhcgdXAQAAAAEAAAAEAAAABDdHbG9iZVNvZnR3YXJlLkF0bGFzNDAuQXRsYXNDb21tb24uVHlwZS5GaWVsZE91dHB1dEZpZWxkAgAAAAkmAQAADQMHWQ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H9//8+/v//AaD9//89/v//CQAAAAkIAAAAAZ79//8+/v//AZ39//89/v//CwAAAAZkAgAAATQBm/3//z7+//8Bmv3//z3+//8EAAAABmcCAAAIbS9kL3l5eXkBmP3//z7+//8Bl/3//z3+//8CAAAABmoCAAABMQGV/f//Pv7//wGU/f//Pf7//wAAAAAGbQIAAAUxMC44Ngdb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L9//8v/v//CSICAAAJ0wEAAAGP/f//L/7//wklAgAACdMBAAABjP3//y/+//8JKAIAAAZ2AgAABS00MTQyAYn9//8v/v//CSsCAAAGeQIAAAdDYWxpYnJpAYb9//8v/v//CS4CAAAGfAIAAAEwAYP9//8v/v//CTECAAAGfwIAAAIxMQGA/f//L/7//wk0AgAABoICAAAHUmVndWxhcgdcAQAAAAEAAAAEAAAABDdHbG9iZVNvZnR3YXJlLkF0bGFzNDAuQXRsYXNDb21tb24uVHlwZS5GaWVsZE91dHB1dEZpZWxkAgAAAAkpAQAADQMHX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z9//8+/v//AXv9//89/v//EAAAAAkRAgAAAXn9//8+/v//AXj9//89/v//CQAAAAkIAAAAAXb9//8+/v//AXX9//89/v//CwAAAAaMAgAAATUBc/3//z7+//8Bcv3//z3+//8EAAAABo8CAAAHR2VuZXJhbAFw/f//Pv7//wFv/f//Pf7//wIAAAAGkgIAAAExAW39//8+/v//AWz9//89/v//AAAAAAaVAgAABTExLjI5B2A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v3//y/+//8JIgIAAAnTAQAAAWf9//8v/v//CSUCAAAJ0wEAAAFk/f//L/7//wkoAgAABp4CAAAFLTQxNDIBYf3//y/+//8JKwIAAAahAgAAB0NhbGlicmkBXv3//y/+//8JLgIAAAakAgAAATABW/3//y/+//8JMQIAAAanAgAAAjExAVj9//8v/v//CTQCAAAGqgIAAAdSZWd1bGFyB2EBAAAAAQAAAAQAAAAEN0dsb2JlU29mdHdhcmUuQXRsYXM0MC5BdGxhc0NvbW1vbi5UeXBlLkZpZWxkT3V0cHV0RmllbGQCAAAACcABAAANAwdj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VP3//z7+//8BU/3//z3+//8JAAAACQgAAAABUf3//z7+//8BUP3//z3+//8LAAAABrECAAABNgFO/f//Pv7//wFN/f//Pf7//wQAAAAGtAIAAAdHZW5lcmFsAUv9//8+/v//AUr9//89/v//AgAAAAa3AgAAATEBSP3//z7+//8BR/3//z3+//8AAAAABroCAAAFMTEuMjkHZ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F/f//L/7//wkiAgAACdMBAAABQv3//y/+//8JJQIAAAnTAQAAAT/9//8v/v//CSgCAAAGwwIAAAUtNDE0MgE8/f//L/7//wkrAgAABsYCAAAHQ2FsaWJyaQE5/f//L/7//wkuAgAABskCAAABMAE2/f//L/7//wkxAgAABswCAAACMTEBM/3//y/+//8JNAIAAAbPAgAAB1JlZ3VsYXIBaQEAAA4AAAD/////BtACAAAUQ3VzdFBhY2tpbmdTbGlwVHJhbnMG0QIAAB1DdXN0b21lciAtIFBhY2tpbmcgc2xpcCBsaW5lcwkIAAAACQgAAAAJCAAAAAEt/f//4P///wAAAAAJ1AIAAAnVAgAAASr9///d////6evrn+BC30CZqmIoQE3mOQkIAAAACQgAAAAJ2AIAAAlsAQAACgoKCgoBAAAAASb9///Z////AAAAAAEl/f//2P///wAAAAAACdwCAAAEc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IAAAACRIAAAADAAAACd4CAAABdwEAAA4AAABIAAAABt8CAAAUQ3VzdFBhY2tpbmdTbGlwVHJhbnMG4AIAAB1DdXN0b21lciAtIFBhY2tpbmcgc2xpcCBsaW5lcwkIAAAACQgAAAAJCAAAAAEe/f//4P///wAAAAAJ4wIAAAnkAgAAARv9///d////IzI3h2hm5k2yMkVplyUnsQkIAAAACQgAAAAJ5wIAAAl6AQAACgoKCgoBAAAAARf9///Z////AAAAAAEW/f//2P///wAAAAAACesCAAAEg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TMBAAADAAAACe0CAAAEj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TMBAAADAAAACe8CAAABkwEAAA4AAAD/////BvACAAAUQ3VzdFBhY2tpbmdTbGlwVHJhbnMG8QIAAB1DdXN0b21lciAtIFBhY2tpbmcgc2xpcCBsaW5lcwkIAAAACQgAAAAJCAAAAAEN/f//4P///wAAAAAJ9AIAAAn1AgAAAQr9///d////c3tQlLlH2km/aJ/AibnWqwkIAAAACQgAAAAJ+AIAAAmWAQAACgoKCgoBAAAAAQb9///Z////AAAAAAEF/f//2P///wAAAAAACfwCAAAEn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aAAAACTMBAAADAAAACf4CAAAEq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TMBAAADAAAACQADAAAEs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ZAAAACTMBAAADAAAACQIDAAABtwEAAB0BAAAB/fz//z//////////AAYEAwAABlN0cmluZwYFAwAAEEN1c3RvbWVyIGFjY291bnQJMQAAAAH5/P//Pf///wIAAAAB+Pz//5X+//8BAAAAAAAJMAAAAAm8AAAACQgAAAAK/////wkwAAAACgm8AAAABg4DAAAHU2FsZXNJZAYPAwAAFEN1c3RQYWNraW5nU2xpcFRyYW5zCgkIAAAACREDAAAJCAAAAAG6AQAALAEAAAkwAAAABhQDAAAJQ3VzdEdyb3VwCQgAAAAGFgMAAAQhSUMq/////wkwAAAACgkUAwAABhkDAAAHU2FsZXNJZAoKCQgAAAAJGwMAAAkIAAAAAcABAAAdAQAAAeP8//8//////////wAGHgMAAARSZWFsBh8DAAAKVW5pdCBwcmljZQk3AAAAAd/8//89////AgAAAAHe/P//lf7//wEAAAAAAAk2AAAACRABAAAJCAAAAAr/////CTYAAAAKCRABAAAGKAMAAA1JbnZlbnRUcmFuc0lkBikDAAALSW52ZW50VHJhbnMKCQgAAAAJKwMAAAkIAAAAAdQCAAAhAAAABQAAAAktAwAABwAAAAkuAwAAAdUCAAAiAAAAAQAAAAkzAQAAAwAAAAkwAwAAAdgCAAAEAAAAAgAAAAktAwAAAwAAAAkyAwAAAdwCAAApAAAAAAAAAAkzAwAAAAAAAAfe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z8//8v/v//BjUDAAAFTGFiZWwJaAEAAAHJ/P//L/7//wY4AwAABFR5cGUJZwEAAAHjAgAAIQAAAAUAAAAJOgMAAAcAAAAJOwMAAAHkAgAAIgAAAAQAAAAJOgMAAAcAAAAJPQMAAATnAg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OgMAAAAAAAAB6wIAACkAAAAAAAAACT8DAAAAAAAAB+0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Pz//y/+//8GQQMAAAhIZWxwVGV4dAZCAwAAI0lkZW50aWZpY2F0aW9uIG9mIHRoZSBwYWNraW5nIHNsaXAuAb38//8v/v//BkQDAAAFTGFiZWwJdgEAAAG6/P//L/7//wZHAwAABFR5cGUJdQEAAAfv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f8//8v/v//CUEDAAAGSwMAAA5JZGVudGlmeSBpdGVtLgG0/P//L/7//wlEAwAACYQBAAABsfz//y/+//8JRwMAAAmDAQAAAfQCAAAhAAAABAAAAAlSAwAABwAAAAlTAwAAAfUCAAAiAAAAAQAAAAkzAQAAAwAAAAlVAwAAAfgCAAAEAAAAAgAAAAlSAwAAAwAAAAlXAwAAAfwCAAApAAAAAAAAAAlYAwAAAAAAAAf+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f8//8v/v//CUQDAAAJkgEAAAGk/P//L/7//wlHAwAACZEBAAAHA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h/P//L/7//wlBAwAABmEDAAAkVG90YWwgcXVhbnRpdHkgb2YgdGhpcyBpdGVtIHJlbGVhc2VkAZ78//8v/v//CUQDAAAJoAEAAAGb/P//L/7//wlHAwAACZ8BAAAHA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Y/P//L/7//wlHAwAACZEBAAABlfz//y/+//8JRAMAAAmSAQAAAZL8//8v/v//Bm8DAAAIUmVmZXJzVG8GcAMAAAs9RGF0ZVBlcmlvZAQR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4AAAAJMwEAAAMAAAAJcgMAAAQb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kAAAAJMwEAAAMAAAAJdAMAAAQr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AAAAAJMwEAAAMAAAAJdgMAAAEtAwAAEgAAAAcuAwAAAAEAAAAF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J/P//5f7//wZ4AwAAKFRhYmxlLkN1c3RQYWNraW5nU2xpcFRyYW5zLlBhY2tpbmdTbGlwSWQJIAEAAAGG/P//5f7//wZ7AwAAIVRhYmxlLkN1c3RQYWNraW5nU2xpcFRyYW5zLkl0ZW1JZAkjAQAAAYP8///l/v//Bn4DAAAnVGFibGUuQ3VzdFBhY2tpbmdTbGlwVHJhbnMuRGVsaXZlcnlEYXRlCSYBAAABgPz//+X+//8GgQMAAB5UYWJsZS5DdXN0UGFja2luZ1NsaXBUcmFucy5RdHkJKQEAAAF9/P//5f7//waEAwAAIlRhYmxlLkN1c3RQYWNraW5nU2xpcFRyYW5zLlNhbGVzSWQJHQEAAAcwAw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evz//9b+//8GhwMAACdUYWJsZS5DdXN0UGFja2luZ1NsaXBUcmFucy5EZWxpdmVyeURhdGUJLAEAAAcyAw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F3/P//1P///wkwAAAACTEAAAABdPz//9T///8JMwAAAAk0AAAAATMDAACCAAAAAToDAAASAAAABzsDAAAAAQAAAAU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XH8///l/v//BpADAAAoVGFibGUuQ3VzdFBhY2tpbmdTbGlwVHJhbnMuUGFja2luZ1NsaXBJZAkgAQAAAW78///l/v//BpMDAAAhVGFibGUuQ3VzdFBhY2tpbmdTbGlwVHJhbnMuSXRlbUlkCSMBAAABa/z//+X+//8GlgMAAB5UYWJsZS5DdXN0UGFja2luZ1NsaXBUcmFucy5RdHkJKQEAAAFo/P//5f7//waZAwAAIlRhYmxlLkN1c3RQYWNraW5nU2xpcFRyYW5zLk9yZGVyZWQJmgMAAAFl/P//5f7//wacAwAAIVRhYmxlLkN1c3RQYWNraW5nU2xpcFRyYW5zLlJlbWFpbgmdAwAABz0DAAAAAQAAAAQ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Fi/P//1v7//wafAwAAJVRhYmxlLkN1c3RQYWNraW5nU2xpcFRyYW5zLkRhdGFBcmVhSWQJoAMAAAFf/P//1v7//waiAwAAKlRhYmxlLkN1c3RQYWNraW5nU2xpcFRyYW5zLkNyZWF0ZWREYXRlVGltZQmjAwAAAVz8///W/v//BqUDAAAhVGFibGUuQ3VzdFBhY2tpbmdTbGlwVHJhbnMuSXRlbUlkCaYDAAABWfz//9b+//8GqAMAAChUYWJsZS5DdXN0UGFja2luZ1NsaXBUcmFucy5QYWNraW5nU2xpcElkCakDAAABPwMAAIIAAAABUgMAABIAAAAHUwMAAAABAAAAB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Vvz//+X+//8GqwMAAChUYWJsZS5DdXN0UGFja2luZ1NsaXBUcmFucy5QYWNraW5nU2xpcElkCSABAAABU/z//+X+//8GrgMAACFUYWJsZS5DdXN0UGFja2luZ1NsaXBUcmFucy5JdGVtSWQJIwEAAAFQ/P//5f7//waxAwAAHlRhYmxlLkN1c3RQYWNraW5nU2xpcFRyYW5zLlF0eQkpAQAAAU38///l/v//BrQDAAAnVGFibGUuQ3VzdFBhY2tpbmdTbGlwVHJhbnMuRGVsaXZlcnlEYXRlCSYBAAAHVQM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Ur8///W/v//BrcDAAAqVGFibGUuQ3VzdFBhY2tpbmdTbGlwVHJhbnMuQ3JlYXRlZERhdGVUaW1lCbgDAAAHVwMAAAABAAAAAg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R/z//9T///8JMAAAAAkxAAAAAUT8///U////CTMAAAAJNAAAAAFYAwAAggAAAAdy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H8//8v/v//CUQDAAAJBQMAAAE+/P//L/7//wlHAwAACQQDAAAHd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7/P//L/7//wlHAwAABscDAAAGU3RyaW5nATj8//8v/v//CUQDAAAGygMAAA5DdXN0b21lciBncm91cAE1/P//L/7//wlvAwAABs0DAAAKPUN1c3RHcm91cAd2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L8//8v/v//CUQDAAAJHwMAAAEv/P//L/7//wlHAwAACR4DAAABmgMAAB0BAAABLPz//z//////////AAbVAwAABFJlYWwG1gMAAAdPcmRlcmVkCXcBAAABKPz//z3///8CAAAAASf8//+V/v//AQAAAAAACXoBAAAG2wMAAAdPcmRlcmVkCQgAAAAK/////wl6AQAACgnbAwAACgoKCQgAAAAJ4AMAAAkIAAAAAZ0DAAAdAQAAAR78//8//////////wAG4wMAAARSZWFsBuQDAAASUmVtYWluaW5nIHF1YW50aXR5CXcBAAABGvz//z3///8CAAAAARn8//+V/v//AQAAAAAACXoBAAAG6QMAAAZSZW1haW4JCAAAAAr/////CXoBAAAKCekDAAAKCgoJCAAAAAnuAwAACQgAAAABoAMAACwBAAAJegEAAAbxAwAACkRhdGFBcmVhSWQJCAAAAAkIAAAA/////wl6AQAACgnxAwAACgoKCQgAAAAJ9gMAAAkIAAAAAaMDAAAsAQAACXoBAAAG+QMAAA9DcmVhdGVkRGF0ZVRpbWUJCAAAAAkIAAAA/////wl6AQAACgn5AwAACgoKCQgAAAAJ/gMAAAkIAAAAAaYDAAAsAQAACXoBAAAGAQQAAAZJdGVtSWQJCAAAAAkIAAAA/////wl6AQAACgkBBAAACgoKCQgAAAAJBgQAAAkIAAAAAakDAAAsAQAACXoBAAAGCQQAAA1QYWNraW5nU2xpcElkCQgAAAAJCAAAAP////8JegEAAAoJCQQAAAoKCgkIAAAACQ4EAAAJCAAAAAG4AwAALAEAAAYQBAAAGlRhYmxlLkN1c3RQYWNraW5nU2xpcFRyYW5zCfkDAAAJCAAAAAYTBAAAFjEuMS4yMDE5IC4uIDEyLjMxLjIwMTn/////CRAEAAAKCfkDAAAKCgoJCAAAAAkXBAAACQgAAAAE4A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PAAAACTMBAAADAAAACRoEAAAE7g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PAAAACTMBAAADAAAACRwEAAAB9gMAABAAAAAAAAAACTMBAAAAAAAAAf4DAAAQAAAAAAAAAAkzAQAAAAAAAAEGBAAAEAAAAAAAAAAJMwEAAAAAAAABDgQAABAAAAAAAAAACTMBAAAAAAAABBc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wAAAAkzAQAAAwAAAAkeBAAABxo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4fv//y/+//8JQQMAAAYhBAAAEFF1YW50aXR5IG9yZGVyZWQB3vv//y/+//8JRAMAAAnWAwAAAdv7//8v/v//CUcDAAAJ1QMAAAcc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j7//8v/v//CUEDAAAGKgQAAElSZW1haW5pbmcgcXVhbnRpdHkgZm9yIHRoZSBzYWxlcyBvcmRlciBsaW5lIG5vdCB5ZXQgcGFja2luZyBzbGlwIHVwZGF0ZWQuAdX7//8v/v//CUQDAAAJ5AMAAAHS+///L/7//wlHAwAACeMDAAAHHg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P+///L/7//wlHAwAABjMEAAAIRGF0ZVRpbWUBzPv//y/+//8JRAMAAAY2BAAADENyZWF0ZWQgZGF0ZQHJ+///L/7//wlvAwAABjkEAAALPURhdGVQZXJpb2QL
    <Output>
      <OutputObject name="AtlasReport_3"/>
    </Output>
  </Query>
</Atlas>
</file>

<file path=customXml/item2.xml><?xml version="1.0" encoding="utf-8"?>
<Atlas>
  <Report name="AtlasReport_3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wAAAAkDAAAACQQAAAAGBQAAAA1BdGxhc1JlcG9ydF8zBgYAAAADMzc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HAAAAB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KDBs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GwAAAAgCAAAABhwAAAAVQXRsYXNSZXBvcnRfM19UYWJsZV8xCR0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sAAAAICAkeAAAAAwAAAAM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HwAAAAkgAAAACSEAAAAGIgAAAAtDdXN0QWNjb3VudAYjAAAAEEN1c3RvbWVyIGFjY291bnQGJAAAAAZTdHJpbmcGJQAAAAAGJgAAACQ5MGQ3ZGJlNi1lYWJkLTRmNTQtYWU2Mi1kYjJjOGIyNjFhNWIF2f///y1HbG9iZVNvZnR3YXJlLkF0bGFzNDAuQXRsYXNDb21tb24uQWdncmVnYXRpb24BAAAAB3ZhbHVlX18ACA4AAAD/////AAAAAAXY////LEdsb2JlU29mdHdhcmUuQXRsYXM0MC5BdGxhc0NvbW1vbi5Db2x1bW5UeXBlAQAAAAd2YWx1ZV9fAAgOAAAAAAAAAAXX////K0dsb2JlU29mdHdhcmUuQXRsYXM0MC5BdGxhc0NvbW1vbi5Tb3J0T3JkZXIBAAAAB3ZhbHVlX18ACA4AAAACAAAAAAAAAAAF1v///0BHbG9iZVNvZnR3YXJlLkF0bGFzNDAuQXRsYXNDb21tb24uVHlwZS5Db2x1bW4rQ3Jvc3NUYWJDb2x1bW5UeXBlAQAAAAd2YWx1ZV9fAAgOAAAAAAAAAAoBAAAAAAAAAAAAAAAAAAYrAAAAJDg2YTc3YTc0LTY1YzgtNDg2Ny1iMTdlLTEzNjI0M2I2Mzc1YwYsAAAAP1RhYmxlLkN1c3RQYWNraW5nU2xpcFRyYW5zLlNhbGVzSWR+VGFibGUuU2FsZXNUYWJsZS5DdXN0QWNjb3VudAoKCgoBFQAAABQAAAAJLQAAAAkuAAAACS8AAAAGMAAAAAdTYWxlc0lkBjEAAAALU2FsZXMgb3JkZXIGMgAAAAZTdHJpbmcJJQAAAAY0AAAAJDZjM2E2N2IwLTIxMDUtNGYwMy04YTliLTNmZjY3NWQ2MmM4NgHL////2f////////8BAAAAAcr////Y////AAAAAAHJ////1////wIAAAAAAAAAAAHI////1v///wAAAAAKAQAAAAAAAAAAAQAAAAAGOQAAACQwZjJlYzM0OS1mODI2LTQyMmQtYjM2ZC1iNGU0MDE0YmVlY2IGOgAAACJUYWJsZS5DdXN0UGFja2luZ1NsaXBUcmFucy5TYWxlc0lkCgoKCgEWAAAAFAAAAAk7AAAACTwAAAAJPQAAAAY+AAAADVBhY2tpbmdTbGlwSWQGPwAAAAxQYWNraW5nIHNsaXAGQAAAAAZTdHJpbmcJJQAAAAZCAAAAJDBjMjA5ZjYwLThkZWYtNDgyYy1iZjNiLWJjNjFjMjI2YzY4ZgG9////2f////////8CAAAAAbz////Y////AAAAAAG7////1////wIAAAAAAAAAAAG6////1v///wAAAAAKAQAAAAAAAAAAAgAAAAAGRwAAACQ5ZjdkYjdiMi02NWQ1LTQ5M2ItYjQzMS1mNDljYzY2NzIzZTYGSAAAAChUYWJsZS5DdXN0UGFja2luZ1NsaXBUcmFucy5QYWNraW5nU2xpcElkCgoKCgEXAAAAFAAAAAlJAAAACUoAAAAJSwAAAAZMAAAABkl0ZW1JZAZNAAAABEl0ZW0GTgAAAAZTdHJpbmcJJQAAAAZQAAAAJDgzYzljODYyLWMyNWItNDM1OC1hOTg4LTkzZWYwZTkyNzJlNAGv////2f////////8DAAAAAa7////Y////AAAAAAGt////1////wIAAAAAAAAAAAGs////1v///wAAAAAKAQAAAAAAAAAAAwAAAAAGVQAAACQ5ODI0NTFmMC1mZWQwLTRmOTUtOGIzOS1lMmI4MzZkOTM4ZmEGVgAAACFUYWJsZS5DdXN0UGFja2luZ1NsaXBUcmFucy5JdGVtSWQKCgoKARgAAAAUAAAACVcAAAAJWAAAAAlZAAAABloAAAAMRGVsaXZlcnlEYXRlBlsAAAAJU2hpcCBkYXRlBlwAAAAERGF0ZQklAAAABl4AAAAkYWVhYTZiNGItNmIzMi00YTkwLWI5ZWYtNDZhOWE2ZDg1MDMyAaH////Z/////////wQAAAABoP///9j///8AAAAAAZ/////X////AgAAAAAAAAAAAZ7////W////AAAAAAoBAAAAAAAAAAAEAAAAAAZjAAAAJGRjMDM5YzgzLTNkNDctNDM2NS04MzgyLTQ1NTdjMjY1MzY1MwZkAAAAJ1RhYmxlLkN1c3RQYWNraW5nU2xpcFRyYW5zLkRlbGl2ZXJ5RGF0ZQoKCgoBGQAAABQAAAAJZQAAAAlmAAAACWcAAAAGaAAAAANRdHkGaQAAAAlEZWxpdmVyZWQGagAAAARSZWFsCSUAAAAGbAAAACQ1N2NkNDEwZS03NzVmLTRjZTAtYTIwNi02ZTJkMjBmNGY2ODABk////9n///8BAAAABQAAAAGS////2P///wAAAAABkf///9f///8CAAAAAAAAAAABkP///9b///8AAAAACgEAAAAAAAAAAAUAAAAABnEAAAAkNmRhNWZhOGItNTIzYS00NzI1LTkzZGMtMDg3ODAyNmM1M2EyBnIAAAAeVGFibGUuQ3VzdFBhY2tpbmdTbGlwVHJhbnMuUXR5CgoKCgEaAAAAFAAAAAlzAAAACXQAAAAJdQAAAAZ2AAAAClNhbGVzUHJpY2UGdwAAAApVbml0IHByaWNlBngAAAAEUmVhbAklAAAABnoAAAAkZThiYWUzZDItZDljZS00ODZiLWIxYzctYmM3YWMyMDlkZDg5AYX////Z/////////wYAAAABhP///9j///8AAAAAAYP////X////AgAAAAAAAAAAAYL////W////AAAAAAoBAAAAAAAAAAAGAAAAAAZ/AAAAJDViNjYzNWFmLTZjOTItNDU1Yi04MzU1LWY4YTc3Njg0MzAwYQaAAAAAY1RhYmxlLkN1c3RQYWNraW5nU2xpcFRyYW5zLkludmVudFRyYW5zSWR+VGFibGUuSW52ZW50VHJhbnMuSW52ZW50VHJhbnNJZH5UYWJsZS5TYWxlc0xpbmUuU2FsZXNQcmljZQoKCgoFHQAAADhHbG9iZVNvZnR3YXJlLkF0bGFzNDAuQXRsYXNDb21tb25DbGllbnQuUmVwb3J0LlJlZmVyZW5jZQEAAAAKX3JlZmVyZW5jZQcIGwAAAAmBAAAABx4AAAAAAQAAAAQAAAAEPEdsb2JlU29mdHdhcmUuQXRsYXM0MC5BdGxhc0NvbW1vbkNsaWVudC5EYXRhU291cmNlRmllbGRWYWx1ZRsAAAAJggAAAAmDAAAACYQAAAAKBB8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YUAAAABAAAAAQAAAAQg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R8AAAAJhgAAAAcAAAAJhwAAAAQh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wAAAAJiAAAAAcAAAAJiQAAAAEtAAAAHwAAAAmKAAAAAQAAAAEAAAABLgAAACAAAAAYAAAACYsAAAAHAAAACYwAAAABLwAAACEAAAAVAAAACY0AAAAHAAAACY4AAAABOwAAAB8AAAAJjwAAAAEAAAABAAAAATwAAAAgAAAARAAAAAmGAAAABwAAAAmRAAAAAT0AAAAhAAAAPwAAAAmIAAAABwAAAAmTAAAAAUkAAAAfAAAACZQAAAABAAAAAQAAAAFKAAAAIAAAAEMAAAAJhgAAAAcAAAAJlgAAAAFLAAAAIQAAAD8AAAAJiAAAAAcAAAAJmAAAAAFXAAAAHwAAAAmZAAAAAQAAAAEAAAABWAAAACAAAAAtAAAACYYAAAAHAAAACZsAAAABWQAAACEAAAAqAAAACYgAAAAHAAAACZ0AAAABZQAAAB8AAAAJngAAAAEAAAABAAAAAWYAAAAgAAAAQwAAAAmGAAAABwAAAAmgAAAAAWcAAAAhAAAAPwAAAAmIAAAABwAAAAmiAAAAAXMAAAAfAAAACaMAAAABAAAAAQAAAAF0AAAAIAAAADQAAAAJhgAAAAcAAAAJpQAAAAF1AAAAIQAAADEAAAAJiAAAAAcAAAAJpwAAAA+BAAAAAQAAAAgBAAAABYIAAAA8R2xvYmVTb2Z0d2FyZS5BdGxhczQwLkF0bGFzQ29tbW9uQ2xpZW50LkRhdGFTb3VyY2VGaWVsZFZhbHVlBAAAABJfaXNEcmlsbERvd25GaWx0ZXIGX2RzS2V5Cl9maWVsZG5hbWULX2ZpZWxkVmFsdWUAAQEBARsAAAAABqgAAAAaVGFibGUuQ3VzdFBhY2tpbmdTbGlwVHJhbnMGqQAAAApEYXRhQXJlYUlkCQYAAAABgwAAAIIAAAAACagAAAAGrAAAAAxEZWxpdmVyeURhdGUGrQAAABYxLjEuMjAyMCAuLiAxMi4zMS4yMDIwAYQAAACCAAAAAAauAAAAM1RhYmxlLkN1c3RQYWNraW5nU2xpcFRyYW5zLlNhbGVzSWR+VGFibGUuU2FsZXNUYWJsZQavAAAACUN1c3RHcm91cAawAAAABCFJQyoHhQAAAAABAAAABAAAAAQ3R2xvYmVTb2Z0d2FyZS5BdGxhczQwLkF0bGFzQ29tbW9uLlR5cGUuRmllbGRPdXRwdXRGaWVsZA4AAAAJsQAAAA0DBIY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4c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RO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U3///8yR2xvYmVTb2Z0d2FyZS5BdGxhczQwLkF0bGFzQ29tbW9uLkNvbHVtbkF0dHJpYnV0ZXMBAAAAB3ZhbHVlX18ACA4AAAAJAAAACSUAAAABS////07///8BSv///03///8LAAAABrcAAAABMAFI////Tv///wFH////Tf///wQAAAAGugAAAAdHZW5lcmFsAUX///9O////AUT///9N////AgAAAAa9AAAAATEBQv///07///8BQf///03///8AAAAABsAAAAAFMTcuMTQBiAAAAAwAAAAHi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/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sIAAAAIRm9udEJvbGQGwwAAAAVGYWxzZQE8////P////wbFAAAACkZvbnRJdGFsaWMJwwAAAAE5////P////wbIAAAADUZvbnRVbmRlcmxpbmUGyQAAAAUtNDE0MgE2////P////wbLAAAACEZvbnROYW1lBswAAAAHQ2FsaWJyaQEz////P////wbOAAAACUZvbnRDb2xvcgbPAAAAATABMP///z////8G0QAAAAhGb250U2l6ZQbSAAAAAjExAS3///8/////BtQAAAAJRm9udFN0eWxlBtUAAAAHUmVndWxhcgeKAAAAAAEAAAAEAAAABDdHbG9iZVNvZnR3YXJlLkF0bGFzNDAuQXRsYXNDb21tb24uVHlwZS5GaWVsZE91dHB1dEZpZWxkDgAAAAnWAAAADQMBiwAAAIYAAAAHjA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n///9O////ASj///9N////CQAAAAklAAAAASb///9O////ASX///9N////CwAAAAbcAAAAATEBI////07///8BIv///03///8EAAAABt8AAAAHR2VuZXJhbAEg////Tv///wEf////Tf///wIAAAAG4gAAAAExAR3///9O////ARz///9N////AAAAAAblAAAABTEyLjQzAY0AAAAMAAAAB44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v///z////8G5wAAAAhGb250Qm9sZAnDAAAAARf///8/////BuoAAAAKRm9udEl0YWxpYwnDAAAAART///8/////Bu0AAAANRm9udFVuZGVybGluZQbuAAAABS00MTQyARH///8/////BvAAAAAIRm9udE5hbWUG8QAAAAdDYWxpYnJpAQ7///8/////BvMAAAAJRm9udENvbG9yBvQAAAABMAEL////P////wb2AAAACEZvbnRTaXplBvcAAAACMTEBCP///z////8G+QAAAAlGb250U3R5bGUG+gAAAAdSZWd1bGFyB48AAAAAAQAAAAQAAAAEN0dsb2JlU29mdHdhcmUuQXRsYXM0MC5BdGxhc0NvbW1vbi5UeXBlLkZpZWxkT3V0cHV0RmllbGQOAAAACfsAAAANAweR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BP///07///8BA////03///8GAAAABv4AAAAFVG90YWwBAf///07///8BAP///03///8QAAAABgEBAAAETm9uZQH+/v//Tv///wH9/v//Tf///wkAAAAJJQAAAAH7/v//Tv///wH6/v//Tf///wsAAAAGBwEAAAEyAfj+//9O////Aff+//9N////BAAAAAYKAQAAB0dlbmVyYWwB9f7//07///8B9P7//03///8CAAAABg0BAAABMQHy/v//Tv///wHx/v//Tf///wAAAAAGEAEAAAUxNy40MweT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/+//8/////BhIBAAAIRm9udEJvbGQJwwAAAAHs/v//P////wYVAQAACkZvbnRJdGFsaWMJwwAAAAHp/v//P////wYYAQAADUZvbnRVbmRlcmxpbmUGGQEAAAUtNDE0MgHm/v//P////wYbAQAACEZvbnROYW1lBhwBAAAHQ2FsaWJyaQHj/v//P////wYeAQAACUZvbnRDb2xvcgYfAQAAATAB4P7//z////8GIQEAAAhGb250U2l6ZQYiAQAAAjExAd3+//8/////BiQBAAAJRm9udFN0eWxlBiUBAAAHUmVndWxhcgeUAAAAAAEAAAAEAAAABDdHbG9iZVNvZnR3YXJlLkF0bGFzNDAuQXRsYXNDb21tb24uVHlwZS5GaWVsZE91dHB1dEZpZWxkDgAAAAkmAQAADQMHl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n+//9O////Adj+//9N////EAAAAAkBAQAAAdb+//9O////AdX+//9N////CQAAAAklAAAAAdP+//9O////AdL+//9N////CwAAAAYvAQAAATMB0P7//07///8Bz/7//03///8EAAAABjIBAAAHR2VuZXJhbAHN/v//Tv///wHM/v//Tf///wIAAAAGNQEAAAExAcr+//9O////Acn+//9N////AAAAAAY4AQAABTE2LjcxB5g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/7//z////8JEgEAAAnDAAAAAcT+//8/////CRUBAAAJwwAAAAHB/v//P////wkYAQAABkEBAAAFLTQxNDIBvv7//z////8JGwEAAAZEAQAAB0NhbGlicmkBu/7//z////8JHgEAAAZHAQAAATABuP7//z////8JIQEAAAZKAQAAAjExAbX+//8/////CSQBAAAGTQEAAAdSZWd1bGFyB5kAAAAAAQAAAAQAAAAEN0dsb2JlU29mdHdhcmUuQXRsYXM0MC5BdGxhc0NvbW1vbi5UeXBlLkZpZWxkT3V0cHV0RmllbGQOAAAACU4BAAANAweb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sf7//07///8BsP7//03///8JAAAACSUAAAABrv7//07///8Brf7//03///8LAAAABlQBAAABNAGr/v//Tv///wGq/v//Tf///wQAAAAGVwEAAAhtL2QveXl5eQGo/v//Tv///wGn/v//Tf///wIAAAAGWgEAAAExAaX+//9O////AaT+//9N////AAAAAAZdAQAABTEwLjg2B50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v7//z////8JEgEAAAnDAAAAAZ/+//8/////CRUBAAAJwwAAAAGc/v//P////wkYAQAABmYBAAAFLTQxNDIBmf7//z////8JGwEAAAZpAQAAB0NhbGlicmkBlv7//z////8JHgEAAAZsAQAAATABk/7//z////8JIQEAAAZvAQAAAjExAZD+//8/////CSQBAAAGcgEAAAdSZWd1bGFyB54AAAAAAQAAAAQAAAAEN0dsb2JlU29mdHdhcmUuQXRsYXM0MC5BdGxhc0NvbW1vbi5UeXBlLkZpZWxkT3V0cHV0RmllbGQOAAAACXMBAAANAweg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jP7//07///8Bi/7//03///8QAAAACQEBAAABif7//07///8BiP7//03///8JAAAACSUAAAABhv7//07///8Bhf7//03///8LAAAABnwBAAABNQGD/v//Tv///wGC/v//Tf///wQAAAAGfwEAAAdHZW5lcmFsAYD+//9O////AX/+//9N////AgAAAAaCAQAAATEBff7//07///8BfP7//03///8AAAAABoUBAAAFMTEuMjkHo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6/v//P////wkSAQAACcMAAAABd/7//z////8JFQEAAAnDAAAAAXT+//8/////CRgBAAAGjgEAAAUtNDE0MgFx/v//P////wkbAQAABpEBAAAHQ2FsaWJyaQFu/v//P////wkeAQAABpQBAAABMAFr/v//P////wkhAQAABpcBAAACMTEBaP7//z////8JJAEAAAaaAQAAB1JlZ3VsYXIHowAAAAABAAAABAAAAAQ3R2xvYmVTb2Z0d2FyZS5BdGxhczQwLkF0bGFzQ29tbW9uLlR5cGUuRmllbGRPdXRwdXRGaWVsZA4AAAAJmwEAAA0DB6U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k/v//Tv///wFj/v//Tf///wkAAAAJJQAAAAFh/v//Tv///wFg/v//Tf///wsAAAAGoQEAAAE2AV7+//9O////AV3+//9N////BAAAAAakAQAAB0dlbmVyYWwBW/7//07///8BWv7//03///8CAAAABqcBAAABMQFY/v//Tv///wFX/v//Tf///wAAAAAGqgEAAAUxMS4yOQen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X+//8/////CRIBAAAJwwAAAAFS/v//P////wkVAQAACcMAAAABT/7//z////8JGAEAAAazAQAABS00MTQyAUz+//8/////CRsBAAAGtgEAAAdDYWxpYnJpAUn+//8/////CR4BAAAGuQEAAAEwAUb+//8/////CSEBAAAGvAEAAAIxMQFD/v//P////wkkAQAABr8BAAAHUmVndWxhcgWx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FA/v//2f////////8ABsEBAAAGU3RyaW5nBsIBAAAQQ3VzdG9tZXIgYWNjb3VudAnDAQAAATz+///X////AgAAAAU7/v//OUdsb2JlU29mdHdhcmUuQXRsYXM0MC5BdGxhc0NvbW1vbi5OdW1iZXJTZXF1ZW5jZUNvbmRpdGlvbgEAAAAHdmFsdWVfXwAIDgAAAAEAAAAAAAmuAAAACSIAAAAJJQAAAAr/////Ca4AAAAKCSIAAAAGywEAAAdTYWxlc0lkBswBAAAUQ3VzdFBhY2tpbmdTbGlwVHJhbnMKCSUAAAAJzgEAAAklAAAAAdYAAACxAAAAATD+///Z/////////wAG0QEAAAZTdHJpbmcG0gEAAAtTYWxlcyBvcmRlcgnTAQAAASz+///X////AgAAAAEr/v//O/7//wEAAAAAAAbWAQAAGlRhYmxlLkN1c3RQYWNraW5nU2xpcFRyYW5zCTAAAAAJJQAAAAr/////CdYBAAAKCTAAAAAKCgoJJQAAAAncAQAACSUAAAAB+wAAALEAAAABIv7//9n/////////AAbfAQAABlN0cmluZwbgAQAADFBhY2tpbmcgc2xpcAnhAQAAAR7+///X////AgAAAAEd/v//O/7//wEAAAAAAAbkAQAAGlRhYmxlLkN1c3RQYWNraW5nU2xpcFRyYW5zCT4AAAAJJQAAAAr/////CeQBAAAKCT4AAAAKCgoJJQAAAAnqAQAACSUAAAABJgEAALEAAAABFP7//9n/////////AAbtAQAABlN0cmluZwbuAQAABEl0ZW0J4QEAAAEQ/v//1////wIAAAABD/7//zv+//8BAAAAAAAJ5AEAAAlMAAAACSUAAAAK/////wnkAQAACglMAAAACgoKCSUAAAAJ+AEAAAklAAAAAU4BAACxAAAAAQb+///Z/////////wAG+wEAAAREYXRlBvwBAAAJU2hpcCBkYXRlCf0BAAABAv7//9f///8CAAAAAQH+//87/v//AQAAAAAABgACAAAaVGFibGUuQ3VzdFBhY2tpbmdTbGlwVHJhbnMJWgAAAAklAAAACv////8JAAIAAAoJWgAAAAoKCgklAAAACQYCAAAJJQAAAAFzAQAAsQAAAAH4/f//2f////////8ABgkCAAAEUmVhbAYKAgAACURlbGl2ZXJlZAnhAQAAAfT9///X////AgAAAAHz/f//O/7//wEAAAAAAAnkAQAACWgAAAAJJQAAAAr/////CeQBAAAKCWgAAAAKCgoJJQAAAAkUAgAACSUAAAABmwEAALEAAAAB6v3//9n/////////AAYXAgAABFJlYWwGGAIAAApVbml0IHByaWNlCRkCAAAB5v3//9f///8CAAAAAeX9//87/v//AQAAAAAABhwCAABYVGFibGUuQ3VzdFBhY2tpbmdTbGlwVHJhbnMuSW52ZW50VHJhbnNJZH5UYWJsZS5JbnZlbnRUcmFucy5JbnZlbnRUcmFuc0lkflRhYmxlLlNhbGVzTGluZQl2AAAACSUAAAAK/////wkcAgAACgl2AAAABiECAAANSW52ZW50VHJhbnNJZAYiAgAAC0ludmVudFRyYW5zCgklAAAACSQCAAAJJQAAAAXDAQ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D/////BiYCAAAKU2FsZXNUYWJsZQYnAgAADFNhbGVzIG9yZGVycwklAAAACSUAAAAJJQAAAAXX/f//MEdsb2JlU29mdHdhcmUuQXRsYXM0MC5BdGxhc0NvbW1vbi5EYXRhU291cmNlVHlwZQEAAAAHdmFsdWVfXwAIDgAAAAAAAAAJKgIAAAkrAgAABNT9//8LU3lzdGVtLkd1aWQLAAAAAl9hAl9iAl9jAl9kAl9lAl9mAl9nAl9oAl9pAl9qAl9rAAAAAAAAAAAAAAAIBwcCAgICAgICAtLjpYzjRxNFv3f4tURabc8JJQAAAAklAAAACS4CAAAJrgAAAAYwAgAAFEN1c3RQYWNraW5nU2xpcFRyYW5zBjECAAAaVGFibGUuQ3VzdFBhY2tpbmdTbGlwVHJhbnMGMgIAACJUYWJsZS5DdXN0UGFja2luZ1NsaXBUcmFucy5TYWxlc0lkBjMCAAAHU2FsZXNJZAY0AgAAB1NhbGVzSWQBAAAABcv9//80R2xvYmVTb2Z0d2FyZS5BdGxhczQwLkF0bGFzQ29tbW9uLkRhdGFTb3VyY2VKb2luTW9kZQEAAAAHdmFsdWVfXwAIDgAAAAAAAAAFyv3//zVHbG9iZVNvZnR3YXJlLkF0bGFzNDAuQXRsYXNDb21tb24uRGF0YVNvdXJjZUZldGNoTW9kZQEAAAAHdmFsdWVfXwAIDgAAAAAAAAAACTcCAAABzgEAACEAAAAOAAAACYgAAAADAAAACTkCAAAB0wEAAMMBAAD/////BjoCAAAUQ3VzdFBhY2tpbmdTbGlwVHJhbnMGOwIAAB1DdXN0b21lciAtIFBhY2tpbmcgc2xpcCBsaW5lcwklAAAACSUAAAAJJQAAAAHD/f//1/3//wAAAAAJPgIAAAk/AgAAAcD9///U/f//6evrn+BC30CZqmIoQE3mOQklAAAACSUAAAAJQgIAAAnWAQAACgoKCgoBAAAAAbz9///L/f//AAAAAAG7/f//yv3//wAAAAAACUYCAAAB3AEAACEAAAAIAAAACY0AAAADAAAACUgCAAAB4QEAAMMBAABIAAAABkkCAAAUQ3VzdFBhY2tpbmdTbGlwVHJhbnMGSgIAAB1DdXN0b21lciAtIFBhY2tpbmcgc2xpcCBsaW5lcwklAAAACSUAAAAJJQAAAAG0/f//1/3//wAAAAAJTQIAAAlOAgAAAbH9///U/f//IzI3h2hm5k2yMkVplyUnsQklAAAACSUAAAAJUQIAAAnkAQAACgoKCgoBAAAAAa39///L/f//AAAAAAGs/f//yv3//wAAAAAACVUCAAAB6gEAACEAAAAvAAAACYgAAAADAAAACVcCAAAB+AEAACEAAAAvAAAACYgAAAADAAAACVkCAAAB/QEAAMMBAAD/////BloCAAAUQ3VzdFBhY2tpbmdTbGlwVHJhbnMGWwIAAB1DdXN0b21lciAtIFBhY2tpbmcgc2xpcCBsaW5lcwklAAAACSUAAAAJJQAAAAGj/f//1/3//wAAAAAJXgIAAAlfAgAAAaD9///U/f//c3tQlLlH2km/aJ/AibnWqwklAAAACSUAAAAJYgIAAAkAAgAACgoKCgoBAAAAAZz9///L/f//AAAAAAGb/f//yv3//wAAAAAACWYCAAABBgIAACEAAAAaAAAACYgAAAADAAAACWgCAAABFAIAACEAAAAvAAAACYgAAAADAAAACWoCAAABGQIAAMMBAAD/////BmsCAAAJU2FsZXNMaW5lBmwCAAALT3JkZXIgbGluZXMJJQAAAAklAAAACSUAAAABkv3//9f9//8AAAAACW8CAAAJcAIAAAGP/f//1P3//6bEkFmjsxVOpWCK/53D9ioJJQAAAAklAAAACXMCAAAJHAIAAAZ1AgAAC0ludmVudFRyYW5zBnYCAAA6VGFibGUuQ3VzdFBhY2tpbmdTbGlwVHJhbnMuSW52ZW50VHJhbnNJZH5UYWJsZS5JbnZlbnRUcmFucwZ3AgAASFRhYmxlLkN1c3RQYWNraW5nU2xpcFRyYW5zLkludmVudFRyYW5zSWR+VGFibGUuSW52ZW50VHJhbnMuSW52ZW50VHJhbnNJZAZ4AgAADUludmVudFRyYW5zSWQGeQIAAA1JbnZlbnRUcmFuc0lkAQAAAAGG/f//y/3//wAAAAABhf3//8r9//8AAAAAAAl8AgAAASQCAAAhAAAAIAAAAAmIAAAAAwAAAAl+AgAABCoC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BAAAACYgAAAADAAAACYACAAAEKwI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QAAAAmNAAAAAwAAAAmCAgAABC4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IAAAAAAAAAAQ3Ag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mEAgAAAAAAAAc5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v9//8/////BoYCAAAFTGFiZWwJwgEAAAF4/f//P////waJAgAABFR5cGUJwQEAAAE+AgAAKgIAAAUAAAAJiwIAAAcAAAAJjAIAAAE/AgAAKwIAAAEAAAAJiAAAAAMAAAAJjgIAAARCAg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M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VtdAgAAAAmLAgAAAwAAAAmQAgAAAUYCAAA3AgAAAAAAAAmRAgAAAAAAAAdI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79//8/////BpMCAAAFTGFiZWwJ0gEAAAFr/f//P////waWAgAABFR5cGUJ0QEAAAFNAgAAKgIAAAUAAAAJmAIAAAcAAAAJmQIAAAFOAgAAKwIAAAQAAAAJmAIAAAcAAAAJmwIAAAFRAgAALgIAAAAAAAAJmAIAAAAAAAABVQIAADcCAAAAAAAACZ0CAAAAAAAAB1c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v3//z////8GnwIAAAhIZWxwVGV4dAagAgAAI0lkZW50aWZpY2F0aW9uIG9mIHRoZSBwYWNraW5nIHNsaXAuAV/9//8/////CYYCAAAJ4AEAAAFc/f//P////wmJAgAACd8BAAAHWQ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Z/f//P////wmfAgAABqkCAAAOSWRlbnRpZnkgaXRlbS4BVv3//z////8JhgIAAAnuAQAAAVP9//8/////CYkCAAAJ7QEAAAFeAgAAKgIAAAQAAAAJsAIAAAcAAAAJsQIAAAFfAgAAKwIAAAEAAAAJiAAAAAMAAAAJswIAAARiAg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M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VtdAgAAAAmwAgAAAwAAAAm1AgAAAWYCAAA3AgAAAAAAAAm2AgAAAAAAAAdo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n9//8/////CYYCAAAJ/AEAAAFG/f//P////wmJAgAACfsBAAAHa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D/f//P////wmfAgAABr8CAAAkVG90YWwgcXVhbnRpdHkgb2YgdGhpcyBpdGVtIHJlbGVhc2VkAUD9//8/////CYYCAAAJCgIAAAE9/f//P////wmJAgAACQkCAAABbwIAACoCAAABAAAACYgAAAADAAAACccCAAAEcAI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NAAAAAAAAAAFzAgAALgIAAAAAAAAJiAAAAAAAAAABfAIAADcCAAAAAAAACYQCAAAAAAAAB34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f3//z////8JhgIAAAkYAgAAATL9//8/////CYkCAAAJFwIAAAeAAg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v/f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bSAgAAP1RhYmxlLkN1c3RQYWNraW5nU2xpcFRyYW5zLlNhbGVzSWR+VGFibGUuU2FsZXNUYWJsZS5DdXN0QWNjb3VudAmxAAAAB4IC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s/f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OAAAABtUCAAA9VGFibGUuQ3VzdFBhY2tpbmdTbGlwVHJhbnMuU2FsZXNJZH5UYWJsZS5TYWxlc1RhYmxlLkN1c3RHcm91cAnWAgAABIQC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GLAgAADAAAAAeMAgAAAAEAAAAF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p/f//L/3//wbYAgAAKFRhYmxlLkN1c3RQYWNraW5nU2xpcFRyYW5zLlBhY2tpbmdTbGlwSWQJ+wAAAAEm/f//L/3//wbbAgAAIVRhYmxlLkN1c3RQYWNraW5nU2xpcFRyYW5zLkl0ZW1JZAkmAQAAASP9//8v/f//Bt4CAAAnVGFibGUuQ3VzdFBhY2tpbmdTbGlwVHJhbnMuRGVsaXZlcnlEYXRlCU4BAAABIP3//y/9//8G4QIAAB5UYWJsZS5DdXN0UGFja2luZ1NsaXBUcmFucy5RdHkJcwEAAAEd/f//L/3//wbkAgAAIlRhYmxlLkN1c3RQYWNraW5nU2xpcFRyYW5zLlNhbGVzSWQJ1gAAAAeOAg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Gv3//yz9//8G5wIAACdUYWJsZS5DdXN0UGFja2luZ1NsaXBUcmFucy5EZWxpdmVyeURhdGUJ6AIAAAeQAg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X/f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DgAAAAmuAAAACcMBAAABFP3//xf9//8G7QIAADpUYWJsZS5DdXN0UGFja2luZ1NsaXBUcmFucy5JbnZlbnRUcmFuc0lkflRhYmxlLkludmVudFRyYW5zCe4CAAABkQIAAIQCAAABmAIAAAwAAAAHmQIAAAABAAAAB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Ef3//y/9//8G8AIAAChUYWJsZS5DdXN0UGFja2luZ1NsaXBUcmFucy5QYWNraW5nU2xpcElkCfsAAAABDv3//y/9//8G8wIAACFUYWJsZS5DdXN0UGFja2luZ1NsaXBUcmFucy5JdGVtSWQJJgEAAAEL/f//L/3//wb2AgAAHlRhYmxlLkN1c3RQYWNraW5nU2xpcFRyYW5zLlF0eQlzAQAAAQj9//8v/f//BvkCAAAiVGFibGUuQ3VzdFBhY2tpbmdTbGlwVHJhbnMuT3JkZXJlZAn6AgAAAQX9//8v/f//BvwCAAAhVGFibGUuQ3VzdFBhY2tpbmdTbGlwVHJhbnMuUmVtYWluCf0CAAAHmwIAAAABAAAABA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QL9//8s/f//Bv8CAAAlVGFibGUuQ3VzdFBhY2tpbmdTbGlwVHJhbnMuRGF0YUFyZWFJZAkAAwAAAf/8//8s/f//BgIDAAAqVGFibGUuQ3VzdFBhY2tpbmdTbGlwVHJhbnMuQ3JlYXRlZERhdGVUaW1lCQMDAAAB/Pz//yz9//8GBQMAACFUYWJsZS5DdXN0UGFja2luZ1NsaXBUcmFucy5JdGVtSWQJBgMAAAH5/P//LP3//wYIAwAAKFRhYmxlLkN1c3RQYWNraW5nU2xpcFRyYW5zLlBhY2tpbmdTbGlwSWQJCQMAAAGdAgAAhAIAAAGwAgAADAAAAAexAgAAAAEAAAAE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2/P//L/3//wYLAwAAKFRhYmxlLkN1c3RQYWNraW5nU2xpcFRyYW5zLlBhY2tpbmdTbGlwSWQJ+wAAAAHz/P//L/3//wYOAwAAIVRhYmxlLkN1c3RQYWNraW5nU2xpcFRyYW5zLkl0ZW1JZAkmAQAAAfD8//8v/f//BhEDAAAeVGFibGUuQ3VzdFBhY2tpbmdTbGlwVHJhbnMuUXR5CXMBAAAB7fz//y/9//8GFAMAACdUYWJsZS5DdXN0UGFja2luZ1NsaXBUcmFucy5EZWxpdmVyeURhdGUJTgEAAAezAg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6vz//yz9//8GFwMAACpUYWJsZS5DdXN0UGFja2luZ1NsaXBUcmFucy5DcmVhdGVkRGF0ZVRpbWUJGAMAAAe1Ag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Hn/P//F/3//wmuAAAACcMBAAAB5Pz//xf9//8J7QIAAAnuAgAAAbYCAACEAgAAB8cC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eH8//8v/f//BiADAABjVGFibGUuQ3VzdFBhY2tpbmdTbGlwVHJhbnMuSW52ZW50VHJhbnNJZH5UYWJsZS5JbnZlbnRUcmFucy5JbnZlbnRUcmFuc0lkflRhYmxlLlNhbGVzTGluZS5TYWxlc1ByaWNlCZsBAAAF1gI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Ca4AAAAJrwAAAAklAAAACbAAAAD/////Ca4AAAAKCa8AAAAGKAMAAAdTYWxlc0lkCgoJJQAAAAkqAwAACSUAAAAB6AIAANYCAAAGLAMAABpUYWJsZS5DdXN0UGFja2luZ1NsaXBUcmFucwmsAAAACSUAAAAJrQAAAP////8JLAMAAAoJrAAAAAoKCgklAAAACTMDAAAJJQAAAAHuAgAAwwEAAP////8GNQMAAAtJbnZlbnRUcmFucwY2AwAAFkludmVudG9yeSB0cmFuc2FjdGlvbnMJJQAAAAklAAAACSUAAAAByPz//9f9//8AAAAACTkDAAAJOgMAAAHF/P//1P3//61q48tBhT5Gp9ax8O8FQMsJJQAAAAklAAAACT0DAAAJ7QIAAAY/AwAAFEN1c3RQYWNraW5nU2xpcFRyYW5zBkADAAAaVGFibGUuQ3VzdFBhY2tpbmdTbGlwVHJhbnMGQQMAAChUYWJsZS5DdXN0UGFja2luZ1NsaXBUcmFucy5JbnZlbnRUcmFuc0lkBkIDAAANSW52ZW50VHJhbnNJZAZDAwAADUludmVudFRyYW5zSWQBAAAAAbz8///L/f//AAAAAAG7/P//yv3//wAAAAAACUYDAAAB+gIAALEAAAABufz//9n/////////AAZIAwAABFJlYWwGSQMAAAdPcmRlcmVkCeEBAAABtfz//9f///8CAAAAAbT8//87/v//AQAAAAAACeQBAAAGTgMAAAdPcmRlcmVkCSUAAAAK/////wnkAQAACglOAwAACgoKCSUAAAAJUwMAAAklAAAAAf0CAACxAAAAAav8///Z/////////wAGVgMAAARSZWFsBlcDAAASUmVtYWluaW5nIHF1YW50aXR5CeEBAAABp/z//9f///8CAAAAAab8//87/v//AQAAAAAACeQBAAAGXAMAAAZSZW1haW4JJQAAAAr/////CeQBAAAKCVwDAAAKCgoJJQAAAAlhAwAACSUAAAABAAMAANYCAAAJ5AEAAAZkAwAACkRhdGFBcmVhSWQJJQAAAAklAAAA/////wnkAQAACglkAwAACgoKCSUAAAAJaQMAAAklAAAAAQMDAADWAgAACeQBAAAGbAMAAA9DcmVhdGVkRGF0ZVRpbWUJJQAAAAklAAAA/////wnkAQAACglsAwAACgoKCSUAAAAJcQMAAAklAAAAAQYDAADWAgAACeQBAAAGdAMAAAZJdGVtSWQJJQAAAAklAAAA/////wnkAQAACgl0AwAACgoKCSUAAAAJeQMAAAklAAAAAQkDAADWAgAACeQBAAAGfAMAAA1QYWNraW5nU2xpcElkCSUAAAAJJQAAAP////8J5AEAAAoJfAMAAAoKCgklAAAACYEDAAAJJQAAAAEYAwAA1gIAAAaDAwAAGlRhYmxlLkN1c3RQYWNraW5nU2xpcFRyYW5zCWwDAAAJJQAAAAaGAwAAFjEuMS4yMDE5IC4uIDEyLjMxLjIwMTn/////CYMDAAAKCWwDAAAKCgoJJQAAAAmKAwAACSUAAAABKgMAACEAAAAZAAAACYgAAAADAAAACY0DAAABMwMAACEAAAAZAAAACYgAAAADAAAACY8DAAAEOQM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YgAAAAAAAAABDoD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jQAAAAAAAAAEPQ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iAAAAAMAAAAJkwMAAAFGAwAANwIAAAAAAAAJhAIAAAAAAAABUwMAACEAAAAPAAAACYgAAAADAAAACZYDAAABYQMAACEAAAAPAAAACYgAAAADAAAACZgDAAAEaQ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AAAAAAAAAEcQ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AAAAAAAAAEeQ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AAAAAAAAAEgQ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AAAAAAAAABigMAACEAAAAXAAAACYgAAAADAAAACZoDAAAHj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l/P//P////wmJAgAABp0DAAAGU3RyaW5nAWL8//8/////CYYCAAAGoAMAAA5DdXN0b21lciBncm91cAFf/P//P////waiAwAACFJlZmVyc1RvBqMDAAAKPUN1c3RHcm91cAeP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z8//8/////CYkCAAAJ+wEAAAFZ/P//P////wmGAgAACfwBAAABVvz//z////8JogMAAAasAwAACz1EYXRlUGVyaW9kB5MD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VP8//8X/f//CRwCAAAJGQIAAAeW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D8//8/////CZ8CAAAGsgMAABBRdWFudGl0eSBvcmRlcmVkAU38//8/////CYYCAAAJSQMAAAFK/P//P////wmJAgAACUgDAAAHm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H/P//P////wmfAgAABrsDAABJUmVtYWluaW5nIHF1YW50aXR5IGZvciB0aGUgc2FsZXMgb3JkZXIgbGluZSBub3QgeWV0IHBhY2tpbmcgc2xpcCB1cGRhdGVkLgFE/P//P////wmGAgAACVcDAAABQfz//z////8JiQIAAAlWAwAAB5o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vz//z////8JiQIAAAbEAwAACERhdGVUaW1lATv8//8/////CYYCAAAGxwMAAAxDcmVhdGVkIGRhdGUBOPz//z////8JogMAAAbKAwAACz1EYXRlUGVyaW9kCw==</Report>
</Atlas>
</file>

<file path=customXml/item3.xml><?xml version="1.0" encoding="utf-8"?>
<Atlas>
  <Query type="ReportList" id="511bc994-a89e-46fd-8955-c872ef0f9213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cm9k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C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IAAAACA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I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S4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C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0ludmVudFRyYW5zBh4AAAAWSW52ZW50b3J5IHRyYW5zYWN0aW9ucwkIAAAACQgAAAAJCAAAAAXg////MEdsb2JlU29mdHdhcmUuQXRsYXM0MC5BdGxhc0NvbW1vbi5EYXRhU291cmNlVHlwZQEAAAAHdmFsdWVfXwAIAgAAAAAAAAAJIQAAAAkiAAAABN3///8LU3lzdGVtLkd1aWQLAAAAAl9hAl9iAl9jAl9kAl9lAl9mAl9nAl9oAl9pAl9qAl9rAAAAAAAAAAAAAAAIBwcCAgICAgICAjDMD/PLTp5Eo79G4xvCH9MJCAAAAAkIAAAACSUAAAAGJgAAABFUYWJsZS5JbnZlbnRUcmFucw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g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AdH////U////BjAAAAAsVGFibGUuSW52ZW50VHJhbnMuQ3VzdFZlbmRBQ35UYWJsZS5DdXN0VGFibGUJMQAAAAcUAAAAAAEAAAAIAAAABC1HbG9iZVNvZnR3YXJlLkF0bGFzNDAuQXRsYXNDb21tb24uVHlwZS5Db2x1bW4CAAAACTIAAAAJMwAAAAk0AAAACTUAAAAJNgAAAAk3AAAACTgAAAAJOQAAABEVAAAABAAAAAY6AAAADUF0bGFzUmVwb3J0XzINAwcXAAAAAAEAAAAC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X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AcP////F////Bj4AAAAPVGFibGUuQ3VzdFRhYmxlCTA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MD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v////z5HbG9iZVNvZnR3YXJlLkF0bGFzNDAuQXRsYXNDb21tb24uVHlwZS5BdGxhc1F1ZXJ5QXR0cmlidXRlTmFtZQEAAAAHdmFsdWVfXwAIAgAAAAIAAAAGQgAAACQ1MTFiYzk5NC1hODllLTQ2ZmQtODk1NS1jODcyZWYwZjkyMTMBvf///8D///8BvP///7////8AAAAABkUAAAAEdHJ1ZQG6////wP///wG5////v////wsAAAAGSAAAABZJbnZlbnRvcnkgdHJhbnNhY3Rpb25zAbf////A////Abb///+/////GwAAAAZLAAAABFRydWUBtP///8D///8Bs////7////8GAAAABk4AAAAFRmFsc2UBsf///8D///8BsP///7////8cAAAACUsAAAABrv///8D///8Brf///7////8dAAAACU4AAAABq////8D///8Bqv///7////8qAAAACUsAAAABqP///8D///8Bp////7////8BAAAABloAAAADMzcyAaX////A////AaT///+/////JwAAAAZdAAAACz1EYXRhQXJlYUlkAaL////A////AaH///+/////GQAAAAZgAAAAD0NlbGxzVmVydGljYWxseQGf////wP///wGe////v////wkAAAAKAZ3////A////AZz///+/////KAAAAAZlAAAAATgBmv///8D///8Bmf///7////8rAAAABmgAAAARVGFibGVTdHlsZU1lZGl1bTIHHAAAAAABAAAAAg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Jf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agAAAAtJbnZlbnRUcmFucwEAAAABlf///5f///8GbAAAAAlDdXN0VGFibGU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IAAAACW0AAAARAAAACW4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gAAAAkSAAAAAwAAAAlwAAAAASUAAAAEAAAAAQAAAAltAAAAAwAAAAly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XMAAAAAAAAAByoAAAAAAQAAAAAAAAAELUdsb2JlU29mdHdhcmUuQXRsYXM0MC5BdGxhc0NvbW1vbi5UeXBlLkNvbHVtbgIAAAABMQAAAA4AAAD/////BnQAAAAJQ3VzdFRhYmxlBnUAAAAJQ3VzdG9tZXJzCQgAAAAJCAAAAAkIAAAAAYn////g////AAAAAAl4AAAACXkAAAABhv///93///+vGGJITFhnRIPXP0FUJx2PCQgAAAAJCAAAAAl8AAAACTAAAAAGfgAAAAtJbnZlbnRUcmFucwZ/AAAAEVRhYmxlLkludmVudFRyYW5zBoAAAAAcVGFibGUuSW52ZW50VHJhbnMuQ3VzdFZlbmRBQwaBAAAACkN1c3RWZW5kQUMGggAAAApBY2NvdW50TnVtAQAAAAF9////2f///wAAAAABfP///9j///8AAAAAAAmFAAAABTI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YYAAAAJhwAAAAmIAAAABokAAAAKVHJhbnNSZWZJZAaKAAAAC1NhbGVzIE9yZGVyBosAAAAGU3RyaW5nCQgAAAAGjQAAACRmMjU3NGRmYS1lYWQzLTRkZWQtODJlYy0zOGY2YTRiMGMwNWUFcv///y1HbG9iZVNvZnR3YXJlLkF0bGFzNDAuQXRsYXNDb21tb24uQWdncmVnYXRpb24BAAAAB3ZhbHVlX18ACAIAAAD/////AAAAAAVx////LEdsb2JlU29mdHdhcmUuQXRsYXM0MC5BdGxhc0NvbW1vbi5Db2x1bW5UeXBlAQAAAAd2YWx1ZV9fAAgCAAAAAAAAAAVw////K0dsb2JlU29mdHdhcmUuQXRsYXM0MC5BdGxhc0NvbW1vbi5Tb3J0T3JkZXIBAAAAB3ZhbHVlX18ACAIAAAACAAAAAAAAAAAFb////0BHbG9iZVNvZnR3YXJlLkF0bGFzNDAuQXRsYXNDb21tb24uVHlwZS5Db2x1bW4rQ3Jvc3NUYWJDb2x1bW5UeXBlAQAAAAd2YWx1ZV9fAAgCAAAAAAAAAAoBAAAAAAAAAAAAAAAAAAaSAAAAJDRjZDQ2YTQ0LTgyYTktNDZlYi1iMTQ2LWQzYmU0Njk5MDZiZQaTAAAAHFRhYmxlLkludmVudFRyYW5zLlRyYW5zUmVmSWQKCgoKATMAAAAyAAAACZQAAAAJlQAAAAmWAAAABpcAAAAJSW52b2ljZUlkBpgAAAAHSW52b2ljZQaZAAAABlN0cmluZwkIAAAABpsAAAAkMWE1MDVkMTItNjYzMy00MGYwLWFmYzgtMjdlM2NiZTIxZDU3AWT///9y/////////wEAAAABY////3H///8AAAAAAWL///9w////AgAAAAAAAAAAAWH///9v////AAAAAAoBAAAAAAAAAAABAAAAAAagAAAAJGUwM2ZlMGZmLTIzOWMtNGZjYS04OGE2LTAzZmY2YmQyNjg3NwahAAAAG1RhYmxlLkludmVudFRyYW5zLkludm9pY2VJZAoKCgoBNAAAADIAAAAJogAAAAmjAAAACaQAAAAGpQAAAAZJdGVtSWQGpgAAAAtJdGVtIG51bWJlcganAAAABlN0cmluZwkIAAAABqkAAAAkZTkyNjU0YjgtMmM2Zi00OGI4LWFkYTYtNTI3OGZmNDZiNjA4AVb///9y/////////wIAAAABVf///3H///8AAAAAAVT///9w////AgAAAAAAAAAAAVP///9v////AAAAAAoBAAAAAAAAAAACAAAAAAauAAAAJGRkYWY1NzExLWIwMGQtNDhmYy05MGRlLTk2YjU5MzA2NjgxZgavAAAAGFRhYmxlLkludmVudFRyYW5zLkl0ZW1JZAoKCgoBNQAAADIAAAAJsAAAAAmxAAAACbIAAAAGswAAAA1JbnZlbnRUcmFuc0lkBrQAAAAGTG90IElEBrUAAAAGU3RyaW5nCQgAAAAGtwAAACQzMzdkMmUwMi1iMTdlLTRkNjYtOTc2Yy01MzQ4OTU0NzM0MDQBSP///3L/////////AwAAAAFH////cf///wAAAAABRv///3D///8CAAAAAAAAAAABRf///2////8AAAAACgEAAAAAAAAAAAMAAAAABrwAAAAkOTgxMzdiNDgtNWVkOS00MDY5LTk4ZjAtOGRmNWVjMmY1NTM5Br0AAAAfVGFibGUuSW52ZW50VHJhbnMuSW52ZW50VHJhbnNJZAoKCgoBNgAAADIAAAAJvgAAAAm/AAAACcAAAAAGwQAAAA1EYXRlRmluYW5jaWFsBsIAAAAORmluYW5jaWFsIGRhdGUGwwAAAAREYXRlCQgAAAAGxQAAACQxOGZmODVlZC04OTIzLTRiZTEtOThiNC04YWYxYjhiZjJmZWIBOv///3L/////////BAAAAAE5////cf///wAAAAABOP///3D///8CAAAAAAAAAAABN////2////8AAAAACgEAAAAAAAAAAAQAAAAABsoAAAAkZDY3NTNmMGYtODNhMS00ZDZhLWEyM2EtNTgyMzIzNjAwMzM4BssAAAAfVGFibGUuSW52ZW50VHJhbnMuRGF0ZUZpbmFuY2lhbAoKCgoBNwAAADIAAAAJzAAAAAnNAAAACc4AAAAGzwAAAANRdHkG0AAAAAhRdWFudGl0eQbRAAAABFJlYWwJCAAAAAbTAAAAJDAwZmJmZDY2LWM0ODYtNDQ0ZS05OTJhLWFkZTY2MmMzZDNlMQEs////cv///wEAAAAFAAAAASv///9x////AAAAAAEq////cP///wIAAAAAAAAAAAEp////b////wAAAAAKAQAAAAAAAAAABQAAAAAG2AAAACQwNGM1MWIwYy0xZmYwLTQ5YTAtYTU4Yi05NWEwYTY4N2EwZWYG2QAAABVUYWJsZS5JbnZlbnRUcmFucy5RdHkKCgoKATgAAAAyAAAACdoAAAAJ2wAAAAncAAAABt0AAAAQQ29zdEFtb3VudFBvc3RlZAbeAAAAFUZpbmFuY2lhbCBjb3N0IGFtb3VudAbfAAAABFJlYWwJCAAAAAbhAAAAJDZjMzVhNDZiLWJlYzctNGE1ZS1iYTA0LTE4NTc3YmY3ZDU4NwEe////cv///wEAAAAGAAAAAR3///9x////AAAAAAEc////cP///wIAAAAAAAAAAAEb////b////wAAAAAKAQAAAAAAAAAABgAAAAAG5gAAACQ5MDhkODU2ZC1kMzU4LTRkMWItOTQwMi1hYzM2MDliNDA0ZjkG5wAAACJUYWJsZS5JbnZlbnRUcmFucy5Db3N0QW1vdW50UG9zdGVkCgoKCgE5AAAAMgAAAAnoAAAACekAAAAJ6gAAAAbrAAAAFENvc3RBbW91bnRBZGp1c3RtZW50BuwAAAAKQWRqdXN0bWVudAbtAAAABFJlYWwJCAAAAAbvAAAAJGJhMzcyMmYzLTM2M2ItNGM1Yy1hYjQ4LTlhYmM5M2M5NGFhZgEQ////cv///wEAAAAHAAAAAQ////9x////AAAAAAEO////cP///wIAAAAAAAAAAAEN////b////wAAAAAKAQAAAAAAAAAABwAAAAAG9AAAACRiOGE3MmJmYi1hZDhiLTRjZjctYTI1OS04M2YxZjI2YzI2NjAG9QAAACZUYWJsZS5JbnZlbnRUcmFucy5Db3N0QW1vdW50QWRqdXN0bWVudAoKCgoBbQAAABIAAAAHbgAAAAABAAAAC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Cv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9wAAABxUYWJsZS5JbnZlbnRUcmFucy5UcmFuc1JlZklkCfgAAAABB////wr///8G+gAAABtUYWJsZS5JbnZlbnRUcmFucy5JbnZvaWNlSWQJ+wAAAAEE////Cv///wb9AAAAGFRhYmxlLkludmVudFRyYW5zLkl0ZW1JZAn+AAAAAQH///8K////BgABAAAfVGFibGUuSW52ZW50VHJhbnMuSW52ZW50VHJhbnNJZAkBAQAAAf7+//8K////BgMBAAAfVGFibGUuSW52ZW50VHJhbnMuRGF0ZUZpbmFuY2lhbAkEAQAAAfv+//8K////BgYBAAAVVGFibGUuSW52ZW50VHJhbnMuUXR5CQcBAAAB+P7//wr///8GCQEAACJUYWJsZS5JbnZlbnRUcmFucy5Db3N0QW1vdW50UG9zdGVkCQoBAAAB9f7//wr///8GDAEAACZUYWJsZS5JbnZlbnRUcmFucy5Db3N0QW1vdW50QWRqdXN0bWVudAkNAQAAB3AAAAAAAQAAAAI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y/v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CAAAABg8BAAAfVGFibGUuSW52ZW50VHJhbnMuRGF0ZUZpbmFuY2lhbAkQAQAAAe/+///y/v//BhIBAAAbVGFibGUuSW52ZW50VHJhbnMuVHJhbnNUeXBlCRMBAAAHcgA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7P7//9T///8JMAAAAAkxAAAABHM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R4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BeQAAACIAAAABAAAACRIAAAADAAAACRgBAAAEf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AYUAAAApAAAAAAAAAAkaAQAAAAAAAASG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kbAQAAAQAAAAEAAAAEhw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vAAAACRwBAAAHAAAACR0BAAAEi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qAAAACRIAAAAHAAAACR8BAAABlAAAAIYAAAAJIAEAAAEAAAABAAAAAZUAAACHAAAALQAAAAkcAQAABwAAAAkiAQAABJY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gAAAAkSAAAABwAAAAkkAQAAAaIAAACGAAAACSUBAAABAAAAAQAAAAGjAAAAhwAAAC8AAAAJHAEAAAcAAAAJJwEAAASk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oAAAAJEgAAAAcAAAAJKQEAAAGwAAAAhgAAAAkqAQAAAQAAAAEAAAABsQAAAIcAAAAuAAAACRwBAAAHAAAACSwBAAAEs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qAAAACRIAAAAHAAAACS4BAAABvgAAAIYAAAAJLwEAAAEAAAABAAAAAb8AAACHAAAALgAAAAkcAQAABwAAAAkxAQAABM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gAAAAkSAAAABwAAAAkzAQAAAcwAAACGAAAACTQBAAABAAAAAQAAAAHNAAAAhwAAAC4AAAAJHAEAAAcAAAAJNgEAAATO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oAAAAJEgAAAAcAAAAJOAEAAAHaAAAAhgAAAAk5AQAAAQAAAAEAAAAB2wAAAIcAAAAuAAAACRwBAAAHAAAACTsBAAAE3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qAAAACRIAAAAHAAAACT0BAAAB6AAAAIYAAAAJPgEAAAEAAAABAAAAAekAAACHAAAALQAAAAkcAQAABwAAAAlAAQAABOo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gAAAAkSAAAABwAAAAlCAQAABfg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b3+//9y/////////wAGRAEAAAZTdHJpbmcGRQEAAAZOdW1iZXIJRgEAAAG5/v//cP///wIAAAAFuP7//zlHbG9iZVNvZnR3YXJlLkF0bGFzNDAuQXRsYXNDb21tb24uTnVtYmVyU2VxdWVuY2VDb25kaXRpb24BAAAAB3ZhbHVlX18ACAIAAAABAAAAAAAGSQEAABFUYWJsZS5JbnZlbnRUcmFucwmJAAAACQgAAAAK/////wlJAQAACgmJAAAACgoKCQgAAAAJTwEAAAkIAAAAAfsAAAD4AAAAAa/+//9y/////////wAGUgEAAAZTdHJpbmcGUwEAAAdJbnZvaWNlCUYBAAABq/7//3D///8CAAAAAar+//+4/v//AQAAAAAACUkBAAAJlwAAAAkIAAAACv////8JSQEAAAoJlwAAAAoKCgkIAAAACV0BAAAJCAAAAAH+AAAA+AAAAAGh/v//cv////////8ABmABAAAGU3RyaW5nBmEBAAALSXRlbSBudW1iZXIJRgEAAAGd/v//cP///wIAAAABnP7//7j+//8BAAAAAAAJSQEAAAmlAAAACQgAAAAK/////wlJAQAACgmlAAAACgoKCQgAAAAJawEAAAkIAAAAAQEBAAD4AAAAAZP+//9y/////////wAGbgEAAAZTdHJpbmcGbwEAAAZMb3QgSUQJRgEAAAGP/v//cP///wIAAAABjv7//7j+//8BAAAAAAAJSQEAAAmzAAAACQgAAAAK/////wlJAQAACgmzAAAACgoKCQgAAAAJeQEAAAkIAAAAAQQBAAD4AAAAAYX+//9y/////////wAGfAEAAAREYXRlBn0BAAAORmluYW5jaWFsIGRhdGUJRgEAAAGB/v//cP///wIAAAABgP7//7j+//8BAAAAAAAJSQEAAAnBAAAACQgAAAAK/////wlJAQAACgnBAAAACgoKCQgAAAAJhwEAAAkIAAAAAQcBAAD4AAAAAXf+//9y/////////wAGigEAAARSZWFsBosBAAAIUXVhbnRpdHkJRgEAAAFz/v//cP///wIAAAABcv7//7j+//8BAAAAAAAJSQEAAAnPAAAACQgAAAAK/////wlJAQAACgnPAAAACgoKCQgAAAAJlQEAAAkIAAAAAQoBAAD4AAAAAWn+//9y/////////wAGmAEAAARSZWFsBpkBAAAVRmluYW5jaWFsIGNvc3QgYW1vdW50CUYBAAABZf7//3D///8CAAAAAWT+//+4/v//AQAAAAAACUkBAAAJ3QAAAAkIAAAACv////8JSQEAAAoJ3QAAAAoKCgkIAAAACaMBAAAJCAAAAAENAQAA+AAAAAFb/v//cv////////8ABqYBAAAEUmVhbAanAQAACkFkanVzdG1lbnQJRgEAAAFX/v//cP///wIAAAABVv7//7j+//8BAAAAAAAJSQEAAAnrAAAACQgAAAAK/////wlJAQAACgnrAAAACgoKCQgAAAAJsQEAAAkIAAAABRA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lJAQAABrQBAAANRGF0ZUZpbmFuY2lhbAkIAAAABrYBAAAWMS4xLjIwMjAgLi4gMTIuMzEuMjAyMP////8JSQEAAAoJtAEAAAoKCgkIAAAACboBAAAJCAAAAAETAQAAEAEAAAlJAQAABr0BAAAJVHJhbnNUeXBlCQgAAAAGvwEAAAVTYWxlc/////8JSQEAAAoJvQEAAAoKCgkIAAAACcMBAAAJCAAAAAcYA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O/7///L+//8GxgEAADZUYWJsZS5JbnZlbnRUcmFucy5DdXN0VmVuZEFDflRhYmxlLkN1c3RUYWJsZS5DdXN0R3JvdXAJxwEAAAEaAQAAcwAAAAcbAQAAAAEAAAAEAAAABDdHbG9iZVNvZnR3YXJlLkF0bGFzNDAuQXRsYXNDb21tb24uVHlwZS5GaWVsZE91dHB1dEZpZWxkAgAAAAn4AAAADQMEHA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HQ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Df+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Nv7//zJHbG9iZVNvZnR3YXJlLkF0bGFzNDAuQXRsYXNDb21tb24uQ29sdW1uQXR0cmlidXRlcwEAAAAHdmFsdWVfXwAIAgAAABAAAAAGywEAAAROb25lATT+//83/v//ATP+//82/v//CQAAAAkIAAAAATH+//83/v//ATD+//82/v//CwAAAAbRAQAAATABLv7//zf+//8BLf7//zb+//8kAAAACYoAAAABK/7//zf+//8BKv7//zb+//8EAAAABtcBAAAHR2VuZXJhbAEo/v//N/7//wEn/v//Nv7//wIAAAAG2gEAAAExASX+//83/v//AST+//82/v//AAAAAAbdAQAABDkuODYHH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i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t8BAAAIRm9udEJvbGQG4AEAAAVGYWxzZQEf/v//Iv7//wbiAQAACkZvbnRJdGFsaWMJ4AEAAAEc/v//Iv7//wblAQAADUZvbnRVbmRlcmxpbmUG5gEAAAUtNDE0MgEZ/v//Iv7//wboAQAACEZvbnROYW1lBukBAAAHQ2FsaWJyaQEW/v//Iv7//wbrAQAACUZvbnRDb2xvcgbsAQAAATABE/7//yL+//8G7gEAAAhGb250U2l6ZQbvAQAAAjExARD+//8i/v//BvEBAAAJRm9udFN0eWxlBvIBAAAHUmVndWxhcgcgAQAAAAEAAAAEAAAABDdHbG9iZVNvZnR3YXJlLkF0bGFzNDAuQXRsYXNDb21tb24uVHlwZS5GaWVsZE91dHB1dEZpZWxkAgAAAAn7AAAADQMHIg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z+//83/v//AQv+//82/v//CQAAAAkIAAAAAQn+//83/v//AQj+//82/v//CwAAAAb5AQAAATEBBv7//zf+//8BBf7//zb+//8EAAAABvwBAAAHR2VuZXJhbAED/v//N/7//wEC/v//Nv7//wIAAAAG/wEAAAExAQD+//83/v//Af/9//82/v//AAAAAAYCAgAABTEwLjI5ByQ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/f3//yL+//8J3wEAAAngAQAAAfr9//8i/v//CeIBAAAJ4AEAAAH3/f//Iv7//wnlAQAABgsCAAAFLTQxNDIB9P3//yL+//8J6AEAAAYOAgAAB0NhbGlicmkB8f3//yL+//8J6wEAAAYRAgAAATAB7v3//yL+//8J7gEAAAYUAgAAAjExAev9//8i/v//CfEBAAAGFwIAAAdSZWd1bGFyByUBAAAAAQAAAAQAAAAEN0dsb2JlU29mdHdhcmUuQXRsYXM0MC5BdGxhc0NvbW1vbi5UeXBlLkZpZWxkT3V0cHV0RmllbGQCAAAACf4AAAANAwcn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5/3//zf+//8B5v3//zb+//8GAAAABhsCAAAFVG90YWwB5P3//zf+//8B4/3//zb+//8QAAAACcsBAAAB4f3//zf+//8B4P3//zb+//8JAAAACQgAAAAB3v3//zf+//8B3f3//zb+//8LAAAABiQCAAABMgHb/f//N/7//wHa/f//Nv7//wQAAAAGJwIAAAdHZW5lcmFsAdj9//83/v//Adf9//82/v//AgAAAAYqAgAAATEB1f3//zf+//8B1P3//zb+//8AAAAABi0CAAAFMzcuODYHK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S/f//Iv7//wnfAQAACeABAAABz/3//yL+//8J4gEAAAngAQAAAcz9//8i/v//CeUBAAAGNgIAAAUtNDE0MgHJ/f//Iv7//wnoAQAABjkCAAAHQ2FsaWJyaQHG/f//Iv7//wnrAQAABjwCAAABMAHD/f//Iv7//wnuAQAABj8CAAACMTEBwP3//yL+//8J8QEAAAZCAgAAB1JlZ3VsYXIHKgEAAAABAAAABAAAAAQ3R2xvYmVTb2Z0d2FyZS5BdGxhczQwLkF0bGFzQ29tbW9uLlR5cGUuRmllbGRPdXRwdXRGaWVsZAIAAAAJAQEAAA0DByw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8/f//N/7//wG7/f//Nv7//xAAAAAJywEAAAG5/f//N/7//wG4/f//Nv7//wkAAAAJCAAAAAG2/f//N/7//wG1/f//Nv7//wsAAAAGTAIAAAEzAbP9//83/v//AbL9//82/v//BAAAAAZPAgAAB0dlbmVyYWwBsP3//zf+//8Br/3//zb+//8CAAAABlICAAABMQGt/f//N/7//wGs/f//Nv7//wAAAAAGVQIAAAUxMC44Ngcu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r9//8i/v//Cd8BAAAJ4AEAAAGn/f//Iv7//wniAQAACeABAAABpP3//yL+//8J5QEAAAZeAgAABS00MTQyAaH9//8i/v//CegBAAAGYQIAAAdDYWxpYnJpAZ79//8i/v//CesBAAAGZAIAAAEwAZv9//8i/v//Ce4BAAAGZwIAAAIxMQGY/f//Iv7//wnxAQAABmoCAAAHUmVndWxhcgcvAQAAAAEAAAAEAAAABDdHbG9iZVNvZnR3YXJlLkF0bGFzNDAuQXRsYXNDb21tb24uVHlwZS5GaWVsZE91dHB1dEZpZWxkAgAAAAkEAQAADQMHM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T9//83/v//AZP9//82/v//EAAAAAnLAQAAAZH9//83/v//AZD9//82/v//CQAAAAkIAAAAAY79//83/v//AY39//82/v//CwAAAAZ0AgAAATQBi/3//zf+//8Biv3//zb+//8EAAAABncCAAAIbS9kL3l5eXkBiP3//zf+//8Bh/3//zb+//8CAAAABnoCAAABMQGF/f//N/7//wGE/f//Nv7//wAAAAAGfQIAAAIxNQcz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L9//8i/v//Cd8BAAAJ4AEAAAF//f//Iv7//wniAQAACeABAAABfP3//yL+//8J5QEAAAaGAgAABS00MTQyAXn9//8i/v//CegBAAAGiQIAAAdDYWxpYnJpAXb9//8i/v//CesBAAAGjAIAAAEwAXP9//8i/v//Ce4BAAAGjwIAAAIxMQFw/f//Iv7//wnxAQAABpICAAAHUmVndWxhcgc0AQAAAAEAAAAEAAAABDdHbG9iZVNvZnR3YXJlLkF0bGFzNDAuQXRsYXNDb21tb24uVHlwZS5GaWVsZE91dHB1dEZpZWxkAgAAAAkHAQAADQMHN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z9//83/v//AWv9//82/v//EAAAAAnLAQAAAWn9//83/v//AWj9//82/v//CQAAAAkIAAAAAWb9//83/v//AWX9//82/v//CwAAAAacAgAAATUBY/3//zf+//8BYv3//zb+//8EAAAABp8CAAAHR2VuZXJhbAFg/f//N/7//wFf/f//Nv7//wIAAAAGogIAAAExAV39//83/v//AVz9//82/v//AAAAAAalAgAABTEwLjI5Bzg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v3//yL+//8J3wEAAAngAQAAAVf9//8i/v//CeIBAAAJ4AEAAAFU/f//Iv7//wnlAQAABq4CAAAFLTQxNDIBUf3//yL+//8J6AEAAAaxAgAAB0NhbGlicmkBTv3//yL+//8J6wEAAAa0AgAAATABS/3//yL+//8J7gEAAAa3AgAAAjExAUj9//8i/v//CfEBAAAGugIAAAdSZWd1bGFyBzkBAAAAAQAAAAQAAAAEN0dsb2JlU29mdHdhcmUuQXRsYXM0MC5BdGxhc0NvbW1vbi5UeXBlLkZpZWxkT3V0cHV0RmllbGQCAAAACQoBAAANAwc7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RP3//zf+//8BQ/3//zb+//8QAAAACcsBAAABQf3//zf+//8BQP3//zb+//8JAAAACQgAAAABPv3//zf+//8BPf3//zb+//8LAAAABsQCAAABNgE7/f//N/7//wE6/f//Nv7//wQAAAAGxwIAAAdHZW5lcmFsATj9//83/v//ATf9//82/v//AgAAAAbKAgAAATEBNf3//zf+//8BNP3//zb+//8AAAAABs0CAAACMjIHP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y/f//Iv7//wnfAQAACeABAAABL/3//yL+//8J4gEAAAngAQAAASz9//8i/v//CeUBAAAG1gIAAAUtNDE0MgEp/f//Iv7//wnoAQAABtkCAAAHQ2FsaWJyaQEm/f//Iv7//wnrAQAABtwCAAABMAEj/f//Iv7//wnuAQAABt8CAAACMTEBIP3//yL+//8J8QEAAAbiAgAAB1JlZ3VsYXIHPgEAAAABAAAABAAAAAQ3R2xvYmVTb2Z0d2FyZS5BdGxhczQwLkF0bGFzQ29tbW9uLlR5cGUuRmllbGRPdXRwdXRGaWVsZAIAAAAJDQEAAA0DB0A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c/f//N/7//wEb/f//Nv7//wkAAAAJCAAAAAEZ/f//N/7//wEY/f//Nv7//wsAAAAG6QIAAAE3ARb9//83/v//ARX9//82/v//BAAAAAbsAgAAB0dlbmVyYWwBE/3//zf+//8BEv3//zb+//8CAAAABu8CAAABMQEQ/f//N/7//wEP/f//Nv7//wAAAAAG8gIAAAIxMwdC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39//8i/v//Cd8BAAAJ4AEAAAEK/f//Iv7//wniAQAACeABAAABB/3//yL+//8J5QEAAAb7AgAABS00MTQyAQT9//8i/v//CegBAAAG/gIAAAdDYWxpYnJpAQH9//8i/v//CesBAAAGAQMAAAEwAf78//8i/v//Ce4BAAAGBAMAAAIxMQH7/P//Iv7//wnxAQAABgcDAAAHUmVndWxhcgFGAQAADgAAALEAAAAGCAMAAAtJbnZlbnRUcmFucwYJAwAAFkludmVudG9yeSB0cmFuc2FjdGlvbnMJCAAAAAkIAAAACQgAAAAB9fz//+D///8AAAAACQwDAAAJDQMAAAHy/P//3f///8O/cwV3WChNt2d+tu9GrSkJCAAAAAkIAAAACRADAAAJSQEAAAoKCgoKAQAAAAHu/P//2f///wAAAAAB7fz//9j///8AAAAAAAkUAwAABE8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AAAAwAAAAkWAwAABF0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gAAAAkSAAAAAwAAAAkYAwAABG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AAAAwAAAAkaAwAABHk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AAAAwAAAAkcAwAABI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AAAAwAAAAkeAwAABJU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AAAAwAAAAkgAwAABK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AAAAwAAAAkiAwAABLE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gAAAAkSAAAAAwAAAAkkAwAABLo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gAAAAkSAAAAAwAAAAkmAwAABM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AAAAAkSAAAAAwAAAAkoAwAAAccBAAAQAQAACTAAAAAGKgMAAAlDdXN0R3JvdXAJCAAAAAYsAwAABCFJQyr/////CTAAAAAKCSoDAAAGLwMAAApDdXN0VmVuZEFDCgoJCAAAAAkxAwAACQgAAAABDAMAACEAAAAQAAAACTMDAAARAAAACTQDAAABDQMAACIAAAAJAAAACRIAAAARAAAACTYDAAABEAMAAAQAAAABAAAACTMDAAADAAAACTgDAAABFAMAACkAAAAAAAAACTkDAAAAAAAABxY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vz//yL+//8GOwMAAAhIZWxwVGV4dAY8AwAANU9yZGVyIG51bWJlciwgcHJvamVjdCBudW1iZXIsIHByb2R1Y3Rpb24gbnVtYmVyLCBldGMuAcP8//8i/v//Bj4DAAAFTGFiZWwJRQEAAAHA/P//Iv7//wZBAwAABFR5cGUJRAEAAAcY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38//8i/v//CT4DAAAJUwEAAAG6/P//Iv7//wlBAwAACVIBAAAHG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3/P//Iv7//wk7AwAABksDAAAOSWRlbnRpZnkgaXRlbS4BtPz//yL+//8JPgMAAAlhAQAAAbH8//8i/v//CUEDAAAJYAEAAAcc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78//8i/v//CTsDAAAGVAMAAFJTdW1tYXJ5IG51bWJlci9Mb3QgSUQgZm9yIHRyYW5zYWN0aW9ucyBhdHRhY2hlZCB0byB0aGUgc2FtZSBpbnZlbnRvcnkgdHJhbnNhY3Rpb24uAav8//8i/v//CT4DAAAJbwEAAAGo/P//Iv7//wlBAwAACW4BAAAHH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l/P//Iv7//wk7AwAABl0DAAAdRGF0ZSBvZiBmaW5hbmNpYWwgdHJhbnNhY3Rpb24Bovz//yL+//8JPgMAAAl9AQAAAZ/8//8i/v//CUEDAAAJfAEAAAcg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z8//8i/v//CTsDAAAGZgMAACRRdWFudGl0eSBhdHRhY2hlZCB0byB0aGUgdHJhbnNhY3Rpb24Bmfz//yL+//8JPgMAAAmLAQAAAZb8//8i/v//CUEDAAAJigEAAAci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P8//8i/v//CTsDAAAGbwMAADVJbnZlbnRvcnkgdmFsdWUgZm9yIHRoZSBmaW5hbmNpYWxseSB1cGRhdGVkIHF1YW50aXR5LgGQ/P//Iv7//wk+AwAACZkBAAABjfz//yL+//8JQQMAAAmYAQAAByQ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vz//yL+//8JPgMAAAmnAQAAAYf8//8i/v//CUEDAAAJpgEAAAcm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T8//8i/v//CUEDAAAJfAEAAAGB/P//Iv7//wk+AwAACX0BAAABfvz//yL+//8GgwMAAAhSZWZlcnNUbwaEAwAACz1EYXRlUGVyaW9kByg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/z//yL+//8JQQMAAAaHAwAABEVudW0BePz//yL+//8JPgMAAAaKAwAACVJlZmVyZW5jZQQx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YAAAAJEgAAAAMAAAAJjAMAAAEzAwAAEgAAAAc0AwAAAAEAAAAI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Fz/P//Cv///waOAwAAGFRhYmxlLkludmVudFRyYW5zLkl0ZW1JZAn+AAAAAXD8//8K////BpEDAAAfVGFibGUuSW52ZW50VHJhbnMuSW52ZW50VHJhbnNJZAkBAQAAAW38//8K////BpQDAAAcVGFibGUuSW52ZW50VHJhbnMuVHJhbnNSZWZJZAn4AAAAAWr8//8K////BpcDAAAfVGFibGUuSW52ZW50VHJhbnMuRGF0ZUZpbmFuY2lhbAkEAQAAAWf8//8K////BpoDAAAVVGFibGUuSW52ZW50VHJhbnMuUXR5CQcBAAABZPz//wr///8GnQMAACJUYWJsZS5JbnZlbnRUcmFucy5Db3N0QW1vdW50UG9zdGVkCQoBAAABYfz//wr///8GoAMAACZUYWJsZS5JbnZlbnRUcmFucy5Db3N0QW1vdW50QWRqdXN0bWVudAkNAQAAAV78//8K////BqMDAAAbVGFibGUuSW52ZW50VHJhbnMuSW52b2ljZUlkCfsAAAAHNgMAAAABAAAAC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Vv8///y/v//BqYDAAAfVGFibGUuSW52ZW50VHJhbnMuRGF0ZUZpbmFuY2lhbAmnAwAAAVj8///y/v//BqkDAAAdVGFibGUuSW52ZW50VHJhbnMuU3RhdHVzSXNzdWUJqgMAAAFV/P//8v7//wasAwAAGFRhYmxlLkludmVudFRyYW5zLkl0ZW1JZAmtAwAAAVL8///y/v//Bq8DAAAfVGFibGUuSW52ZW50VHJhbnMuSW52ZW50VHJhbnNJZAmwAwAAAU/8///y/v//BrIDAAAcVGFibGUuSW52ZW50VHJhbnMuVHJhbnNSZWZJZAmzAwAAAUz8///y/v//BrUDAAAeVGFibGUuSW52ZW50VHJhbnMuRGF0ZVBoeXNpY2FsCbYDAAABSfz///L+//8GuAMAAB9UYWJsZS5JbnZlbnRUcmFucy5TdGF0dXNSZWNlaXB0CbkDAAABRvz///L+//8GuwMAABtUYWJsZS5JbnZlbnRUcmFucy5UcmFuc1R5cGUJvAMAAAFD/P//8v7//wa+AwAAHFRhYmxlLkludmVudFRyYW5zLkRhdGFBcmVhSWQJvwMAAAc4Aw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FA/P//1P///wkwAAAACTEAAAABOQMAAHMAAAAHj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9/P//Iv7//wlBAwAABsUDAAAGU3RyaW5nATr8//8i/v//CT4DAAAGyAMAAA5DdXN0b21lciBncm91cAE3/P//Iv7//wmDAwAABssDAAAKPUN1c3RHcm91cAGnAwAAEAEAAAlJAQAACbQBAAAJCAAAAAmEAwAA/////wlJAQAACgm0AQAACgoKCQgAAAAJ0wMAAAkIAAAAAaoDAAAQAQAACUkBAAAG1gMAAAtTdGF0dXNJc3N1ZQkIAAAACQgAAAD/////CUkBAAAKCdYDAAAKCgoJCAAAAAnbAwAACQgAAAABrQMAABABAAAJSQEAAAbeAwAABkl0ZW1JZAkIAAAACQgAAAD/////CUkBAAAKCd4DAAAKCgoJCAAAAAnjAwAACQgAAAABsAMAABABAAAJSQEAAAbmAwAADUludmVudFRyYW5zSWQJCAAAAAkIAAAA/////wlJAQAACgnmAwAACgoKCQgAAAAJ6wMAAAkIAAAAAbMDAAAQAQAACUkBAAAG7gMAAApUcmFuc1JlZklkCQgAAAAJCAAAAP////8JSQEAAAoJ7gMAAAoKCgkIAAAACfMDAAAJCAAAAAG2AwAAEAEAAAlJAQAABvYDAAAMRGF0ZVBoeXNpY2FsCQgAAAAJCAAAAP////8JSQEAAAoJ9gMAAAoKCgkIAAAACfsDAAAJCAAAAAG5AwAAEAEAAAlJAQAABv4DAAANU3RhdHVzUmVjZWlwdAkIAAAACQgAAAD/////CUkBAAAKCf4DAAAKCgoJCAAAAAkDBAAACQgAAAABvAMAABABAAAJSQEAAAm9AQAACQgAAAAJCAAAAP////8JSQEAAAYJBAAAC0ludmVudFRyYW5zCb0BAAAKCgoJCAAAAAkMBAAACQgAAAABvwMAABABAAAJSQEAAAYPBAAACkRhdGFBcmVhSWQJCAAAAAkIAAAA/////wlJAQAACgkPBAAACgoKCQgAAAAJFAQAAAkIAAAABNM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wAAAAkSAAAAAwAAAAkXBAAABNs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kZBAAABOM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kbBAAABOs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kdBAAABPM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kfBAAABPs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khBAAABAM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kjBAAABAw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klBAAAARQEAAAQAAAAAAAAAAkSAAAAAAAAAAcX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n7//8i/v//CUEDAAAGKQQAAAREYXRlAdb7//8i/v//CT4DAAAGLAQAAA5GaW5hbmNpYWwgZGF0ZQHT+///Iv7//wmDAwAACYQDAAAHGQ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Q+///Iv7//wlBAwAABjIEAAAERW51bQHN+///Iv7//wk+AwAABjUEAAAMSXNzdWUgc3RhdHVzBxs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vv//yL+//8JQQMAAAY4BAAABlN0cmluZwHH+///Iv7//wk+AwAABjsEAAALSXRlbSBudW1iZXIHHQ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E+///Iv7//wlBAwAABj4EAAAGU3RyaW5nAcH7//8i/v//CT4DAAAGQQQAAAZMb3QgSUQHHw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++///Iv7//wlBAwAABkQEAAAGU3RyaW5nAbv7//8i/v//CT4DAAAGRwQAAAZOdW1iZXIHIQ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4+///Iv7//wlBAwAABkoEAAAERGF0ZQG1+///Iv7//wk+AwAABk0EAAANUGh5c2ljYWwgZGF0ZQcj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L7//8i/v//CUEDAAAGUAQAAARFbnVtAa/7//8i/v//CT4DAAAGUwQAAA5SZWNlaXB0IHN0YXR1cwcl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z7//8i/v//CUEDAAAGVgQAAARFbnVtAan7//8i/v//CT4DAAAGWQQAAAlSZWZlcmVuY2UL
    <Output>
      <OutputObject name="AtlasReport_2"/>
    </Output>
  </Query>
</Atlas>
</file>

<file path=customXml/item4.xml><?xml version="1.0" encoding="utf-8"?>
<Atlas>
  <Report name="AtlasReport_2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gAAAAkDAAAACQQAAAAGBQAAAA1BdGxhc1JlcG9ydF8yBgYAAAADMzc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IAAAACA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JGwAAAAwc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wAAAAIAgAAAAYdAAAAFUF0bGFzUmVwb3J0XzJfVGFibGVfMQke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cAAAACAgJHwAAAAQAAAAE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AAAAAJIQAAAAkiAAAABiMAAAAKVHJhbnNSZWZJZAYkAAAAC1NhbGVzIE9yZGVyBiUAAAAGU3RyaW5nBiYAAAAABicAAAAkZjI1NzRkZmEtZWFkMy00ZGVkLTgyZWMtMzhmNmE0YjBjMDVlBdj///8tR2xvYmVTb2Z0d2FyZS5BdGxhczQwLkF0bGFzQ29tbW9uLkFnZ3JlZ2F0aW9uAQAAAAd2YWx1ZV9fAAgOAAAA/////wAAAAAF1////yxHbG9iZVNvZnR3YXJlLkF0bGFzNDAuQXRsYXNDb21tb24uQ29sdW1uVHlwZQEAAAAHdmFsdWVfXwAIDgAAAAAAAAAF1v///ytHbG9iZVNvZnR3YXJlLkF0bGFzNDAuQXRsYXNDb21tb24uU29ydE9yZGVyAQAAAAd2YWx1ZV9fAAgOAAAAAgAAAAAAAAAABdX///9AR2xvYmVTb2Z0d2FyZS5BdGxhczQwLkF0bGFzQ29tbW9uLlR5cGUuQ29sdW1uK0Nyb3NzVGFiQ29sdW1uVHlwZQEAAAAHdmFsdWVfXwAIDgAAAAAAAAAKAQAAAAAAAAAAAAAAAAAGLAAAACQ0Y2Q0NmE0NC04MmE5LTQ2ZWItYjE0Ni1kM2JlNDY5OTA2YmUGLQAAABxUYWJsZS5JbnZlbnRUcmFucy5UcmFuc1JlZklkCgoKCgEVAAAAFAAAAAkuAAAACS8AAAAJMAAAAAYxAAAACUludm9pY2VJZAYyAAAAB0ludm9pY2UGMwAAAAZTdHJpbmcJJgAAAAY1AAAAJDFhNTA1ZDEyLTY2MzMtNDBmMC1hZmM4LTI3ZTNjYmUyMWQ1NwHK////2P////////8BAAAAAcn////X////AAAAAAHI////1v///wIAAAAAAAAAAAHH////1f///wAAAAAKAQAAAAAAAAAAAQAAAAAGOgAAACRlMDNmZTBmZi0yMzljLTRmY2EtODhhNi0wM2ZmNmJkMjY4NzcGOwAAABtUYWJsZS5JbnZlbnRUcmFucy5JbnZvaWNlSWQKCgoKARYAAAAUAAAACTwAAAAJPQAAAAk+AAAABj8AAAAGSXRlbUlkBkAAAAALSXRlbSBudW1iZXIGQQAAAAZTdHJpbmcJJgAAAAZDAAAAJGU5MjY1NGI4LTJjNmYtNDhiOC1hZGE2LTUyNzhmZjQ2YjYwOAG8////2P////////8CAAAAAbv////X////AAAAAAG6////1v///wIAAAAAAAAAAAG5////1f///wAAAAAKAQAAAAAAAAAAAgAAAAAGSAAAACRkZGFmNTcxMS1iMDBkLTQ4ZmMtOTBkZS05NmI1OTMwNjY4MWYGSQAAABhUYWJsZS5JbnZlbnRUcmFucy5JdGVtSWQKCgoKARcAAAAUAAAACUoAAAAJSwAAAAlMAAAABk0AAAANSW52ZW50VHJhbnNJZAZOAAAABkxvdCBJRAZPAAAABlN0cmluZwkmAAAABlEAAAAkMzM3ZDJlMDItYjE3ZS00ZDY2LTk3NmMtNTM0ODk1NDczNDA0Aa7////Y/////////wMAAAABrf///9f///8AAAAAAaz////W////AgAAAAAAAAAAAav////V////AAAAAAoBAAAAAAAAAAADAAAAAAZWAAAAJDk4MTM3YjQ4LTVlZDktNDA2OS05OGYwLThkZjVlYzJmNTUzOQZXAAAAH1RhYmxlLkludmVudFRyYW5zLkludmVudFRyYW5zSWQKCgoKARgAAAAUAAAACVgAAAAJWQAAAAlaAAAABlsAAAANRGF0ZUZpbmFuY2lhbAZcAAAADkZpbmFuY2lhbCBkYXRlBl0AAAAERGF0ZQkmAAAABl8AAAAkMThmZjg1ZWQtODkyMy00YmUxLTk4YjQtOGFmMWI4YmYyZmViAaD////Y/////////wQAAAABn////9f///8AAAAAAZ7////W////AgAAAAAAAAAAAZ3////V////AAAAAAoBAAAAAAAAAAAEAAAAAAZkAAAAJGQ2NzUzZjBmLTgzYTEtNGQ2YS1hMjNhLTU4MjMyMzYwMDMzOAZlAAAAH1RhYmxlLkludmVudFRyYW5zLkRhdGVGaW5hbmNpYWwKCgoKARkAAAAUAAAACWYAAAAJZwAAAAloAAAABmkAAAADUXR5BmoAAAAIUXVhbnRpdHkGawAAAARSZWFsCSYAAAAGbQAAACQwMGZiZmQ2Ni1jNDg2LTQ0NGUtOTkyYS1hZGU2NjJjM2QzZTEBkv///9j///8BAAAABQAAAAGR////1////wAAAAABkP///9b///8CAAAAAAAAAAABj////9X///8AAAAACgEAAAAAAAAAAAUAAAAABnIAAAAkMDRjNTFiMGMtMWZmMC00OWEwLWE1OGItOTVhMGE2ODdhMGVmBnMAAAAVVGFibGUuSW52ZW50VHJhbnMuUXR5CgoKCgEaAAAAFAAAAAl0AAAACXUAAAAJdgAAAAZ3AAAAEENvc3RBbW91bnRQb3N0ZWQGeAAAABVGaW5hbmNpYWwgY29zdCBhbW91bnQGeQAAAARSZWFsCSYAAAAGewAAACQ2YzM1YTQ2Yi1iZWM3LTRhNWUtYmEwNC0xODU3N2JmN2Q1ODcBhP///9j///8BAAAABgAAAAGD////1////wAAAAABgv///9b///8CAAAAAAAAAAABgf///9X///8AAAAACgEAAAAAAAAAAAYAAAAABoAAAAAkOTA4ZDg1NmQtZDM1OC00ZDFiLTk0MDItYWMzNjA5YjQwNGY5BoEAAAAiVGFibGUuSW52ZW50VHJhbnMuQ29zdEFtb3VudFBvc3RlZAoKCgoBGwAAABQAAAAJggAAAAmDAAAACYQAAAAGhQAAABRDb3N0QW1vdW50QWRqdXN0bWVudAaGAAAACkFkanVzdG1lbnQGhwAAAARSZWFsCSYAAAAGiQAAACRiYTM3MjJmMy0zNjNiLTRjNWMtYWI0OC05YWJjOTNjOTRhYWYBdv///9j///8BAAAABwAAAAF1////1////wAAAAABdP///9b///8CAAAAAAAAAAABc////9X///8AAAAACgEAAAAAAAAAAAcAAAAABo4AAAAkYjhhNzJiZmItYWQ4Yi00Y2Y3LWEyNTktODNmMWYyNmMyNjYwBo8AAAAmVGFibGUuSW52ZW50VHJhbnMuQ29zdEFtb3VudEFkanVzdG1lbnQKCgoKBR4AAAA4R2xvYmVTb2Z0d2FyZS5BdGxhczQwLkF0bGFzQ29tbW9uQ2xpZW50LlJlcG9ydC5SZWZlcmVuY2UBAAAACl9yZWZlcmVuY2UHCBwAAAAJkAAAAAcfAAAAAAEAAAAEAAAABDxHbG9iZVNvZnR3YXJlLkF0bGFzNDAuQXRsYXNDb21tb25DbGllbnQuRGF0YVNvdXJjZUZpZWxkVmFsdWUcAAAACZEAAAAJkgAAAAmTAAAACZQAAAAEIA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lQAAAAEAAAABAAAABCE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LwAAAAmWAAAABwAAAAmXAAAABC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gAAAAmYAAAABwAAAAmZAAAAAS4AAAAgAAAACZoAAAABAAAAAQAAAAEvAAAAIQAAAC0AAAAJlgAAAAcAAAAJnAAAAAEwAAAAIgAAACoAAAAJmAAAAAcAAAAJngAAAAE8AAAAIAAAAAmfAAAAAQAAAAEAAAABPQAAACEAAAAvAAAACZYAAAAHAAAACaEAAAABPgAAACIAAAAqAAAACZgAAAAHAAAACaMAAAABSgAAACAAAAAJpAAAAAEAAAABAAAAAUsAAAAhAAAALgAAAAmWAAAABwAAAAmmAAAAAUwAAAAiAAAAKgAAAAmYAAAABwAAAAmoAAAAAVgAAAAgAAAACakAAAABAAAAAQAAAAFZAAAAIQAAAC4AAAAJlgAAAAcAAAAJqwAAAAFaAAAAIgAAACoAAAAJmAAAAAcAAAAJrQAAAAFmAAAAIAAAAAmuAAAAAQAAAAEAAAABZwAAACEAAAAuAAAACZYAAAAHAAAACbAAAAABaAAAACIAAAAqAAAACZgAAAAHAAAACbIAAAABdAAAACAAAAAJswAAAAEAAAABAAAAAXUAAAAhAAAALgAAAAmWAAAABwAAAAm1AAAAAXYAAAAiAAAAKgAAAAmYAAAABwAAAAm3AAAAAYIAAAAgAAAACbgAAAABAAAAAQAAAAGDAAAAIQAAAC0AAAAJlgAAAAcAAAAJugAAAAGEAAAAIgAAACoAAAAJmAAAAAcAAAAJvAAAAA+QAAAAAQAAAAgBAAAABZEAAAA8R2xvYmVTb2Z0d2FyZS5BdGxhczQwLkF0bGFzQ29tbW9uQ2xpZW50LkRhdGFTb3VyY2VGaWVsZFZhbHVlBAAAABJfaXNEcmlsbERvd25GaWx0ZXIGX2RzS2V5Cl9maWVsZG5hbWULX2ZpZWxkVmFsdWUAAQEBARwAAAAABr0AAAARVGFibGUuSW52ZW50VHJhbnMGvgAAAApEYXRhQXJlYUlkCQYAAAABkgAAAJEAAAAACb0AAAAGwQAAAA1EYXRlRmluYW5jaWFsBsIAAAAWMS4xLjIwMjAgLi4gMTIuMzEuMjAyMAGTAAAAkQAAAAAJvQAAAAbEAAAACVRyYW5zVHlwZQbFAAAABVNhbGVzAZQAAACRAAAAAAbGAAAALFRhYmxlLkludmVudFRyYW5zLkN1c3RWZW5kQUN+VGFibGUuQ3VzdFRhYmxlBscAAAAJQ3VzdEdyb3VwBsgAAAAEIUlDKgeVAAAAAAEAAAAEAAAABDdHbG9iZVNvZnR3YXJlLkF0bGFzNDAuQXRsYXNDb21tb24uVHlwZS5GaWVsZE91dHB1dEZpZWxkDgAAAAnJAAAADQMElg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lw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Db/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Nf///zJHbG9iZVNvZnR3YXJlLkF0bGFzNDAuQXRsYXNDb21tb24uQ29sdW1uQXR0cmlidXRlcwEAAAAHdmFsdWVfXwAIDgAAABAAAAAGzAAAAAROb25lATP///82////ATL///81////CQAAAAkmAAAAATD///82////AS////81////CwAAAAbSAAAAATABLf///zb///8BLP///zX///8kAAAACSQAAAABKv///zb///8BKf///zX///8EAAAABtgAAAAHR2VuZXJhbAEn////Nv///wEm////Nf///wIAAAAG2wAAAAExAST///82////ASP///81////AAAAAAbeAAAABDkuODYBmAAAAAwAAAAHm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h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uAAAAAIRm9udEJvbGQG4QAAAAVGYWxzZQEe////If///wbjAAAACkZvbnRJdGFsaWMJ4QAAAAEb////If///wbmAAAADUZvbnRVbmRlcmxpbmUG5wAAAAUtNDE0MgEY////If///wbpAAAACEZvbnROYW1lBuoAAAAHQ2FsaWJyaQEV////If///wbsAAAACUZvbnRDb2xvcgbtAAAAATABEv///yH///8G7wAAAAhGb250U2l6ZQbwAAAAAjExAQ////8h////BvIAAAAJRm9udFN0eWxlBvMAAAAHUmVndWxhcgeaAAAAAAEAAAAEAAAABDdHbG9iZVNvZnR3YXJlLkF0bGFzNDAuQXRsYXNDb21tb24uVHlwZS5GaWVsZE91dHB1dEZpZWxkDgAAAAn0AAAADQMHnA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v///82////AQr///81////CQAAAAkmAAAAAQj///82////AQf///81////CwAAAAb6AAAAATEBBf///zb///8BBP///zX///8EAAAABv0AAAAHR2VuZXJhbAEC////Nv///wEB////Nf///wIAAAAGAAEAAAExAf/+//82////Af7+//81////AAAAAAYDAQAABTEwLjI5B54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/P7//yH///8J4AAAAAnhAAAAAfn+//8h////CeMAAAAJ4QAAAAH2/v//If///wnmAAAABgwBAAAFLTQxNDIB8/7//yH///8J6QAAAAYPAQAAB0NhbGlicmkB8P7//yH///8J7AAAAAYSAQAAATAB7f7//yH///8J7wAAAAYVAQAAAjExAer+//8h////CfIAAAAGGAEAAAdSZWd1bGFyB58AAAAAAQAAAAQAAAAEN0dsb2JlU29mdHdhcmUuQXRsYXM0MC5BdGxhc0NvbW1vbi5UeXBlLkZpZWxkT3V0cHV0RmllbGQOAAAACRkBAAANAweh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5v7//zb///8B5f7//zX///8GAAAABhwBAAAFVG90YWwB4/7//zb///8B4v7//zX///8QAAAACcwAAAAB4P7//zb///8B3/7//zX///8JAAAACSYAAAAB3f7//zb///8B3P7//zX///8LAAAABiUBAAABMgHa/v//Nv///wHZ/v//Nf///wQAAAAGKAEAAAdHZW5lcmFsAdf+//82////Adb+//81////AgAAAAYrAQAAATEB1P7//zb///8B0/7//zX///8AAAAABi4BAAAFMzcuODYHo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R/v//If///wngAAAACeEAAAABzv7//yH///8J4wAAAAnhAAAAAcv+//8h////CeYAAAAGNwEAAAUtNDE0MgHI/v//If///wnpAAAABjoBAAAHQ2FsaWJyaQHF/v//If///wnsAAAABj0BAAABMAHC/v//If///wnvAAAABkABAAACMTEBv/7//yH///8J8gAAAAZDAQAAB1JlZ3VsYXIHpAAAAAABAAAABAAAAAQ3R2xvYmVTb2Z0d2FyZS5BdGxhczQwLkF0bGFzQ29tbW9uLlR5cGUuRmllbGRPdXRwdXRGaWVsZA4AAAAJRAEAAA0DB6Y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7/v//Nv///wG6/v//Nf///xAAAAAJzAAAAAG4/v//Nv///wG3/v//Nf///wkAAAAJJgAAAAG1/v//Nv///wG0/v//Nf///wsAAAAGTQEAAAEzAbL+//82////AbH+//81////BAAAAAZQAQAAB0dlbmVyYWwBr/7//zb///8Brv7//zX///8CAAAABlMBAAABMQGs/v//Nv///wGr/v//Nf///wAAAAAGVgEAAAUxMC44Ngeo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n+//8h////CeAAAAAJ4QAAAAGm/v//If///wnjAAAACeEAAAABo/7//yH///8J5gAAAAZfAQAABS00MTQyAaD+//8h////CekAAAAGYgEAAAdDYWxpYnJpAZ3+//8h////CewAAAAGZQEAAAEwAZr+//8h////Ce8AAAAGaAEAAAIxMQGX/v//If///wnyAAAABmsBAAAHUmVndWxhcgepAAAAAAEAAAAEAAAABDdHbG9iZVNvZnR3YXJlLkF0bGFzNDAuQXRsYXNDb21tb24uVHlwZS5GaWVsZE91dHB1dEZpZWxkDgAAAAlsAQAADQMHq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P+//82////AZL+//81////EAAAAAnMAAAAAZD+//82////AY/+//81////CQAAAAkmAAAAAY3+//82////AYz+//81////CwAAAAZ1AQAAATQBiv7//zb///8Bif7//zX///8EAAAABngBAAAIbS9kL3l5eXkBh/7//zb///8Bhv7//zX///8CAAAABnsBAAABMQGE/v//Nv///wGD/v//Nf///wAAAAAGfgEAAAIxNQet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H+//8h////CeAAAAAJ4QAAAAF+/v//If///wnjAAAACeEAAAABe/7//yH///8J5gAAAAaHAQAABS00MTQyAXj+//8h////CekAAAAGigEAAAdDYWxpYnJpAXX+//8h////CewAAAAGjQEAAAEwAXL+//8h////Ce8AAAAGkAEAAAIxMQFv/v//If///wnyAAAABpMBAAAHUmVndWxhcgeuAAAAAAEAAAAEAAAABDdHbG9iZVNvZnR3YXJlLkF0bGFzNDAuQXRsYXNDb21tb24uVHlwZS5GaWVsZE91dHB1dEZpZWxkDgAAAAmUAQAADQMHs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v+//82////AWr+//81////EAAAAAnMAAAAAWj+//82////AWf+//81////CQAAAAkmAAAAAWX+//82////AWT+//81////CwAAAAadAQAAATUBYv7//zb///8BYf7//zX///8EAAAABqABAAAHR2VuZXJhbAFf/v//Nv///wFe/v//Nf///wIAAAAGowEAAAExAVz+//82////AVv+//81////AAAAAAamAQAABTEwLjI5B7I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f7//yH///8J4AAAAAnhAAAAAVb+//8h////CeMAAAAJ4QAAAAFT/v//If///wnmAAAABq8BAAAFLTQxNDIBUP7//yH///8J6QAAAAayAQAAB0NhbGlicmkBTf7//yH///8J7AAAAAa1AQAAATABSv7//yH///8J7wAAAAa4AQAAAjExAUf+//8h////CfIAAAAGuwEAAAdSZWd1bGFyB7MAAAAAAQAAAAQAAAAEN0dsb2JlU29mdHdhcmUuQXRsYXM0MC5BdGxhc0NvbW1vbi5UeXBlLkZpZWxkT3V0cHV0RmllbGQOAAAACbwBAAANAwe1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/7//zb///8BQv7//zX///8QAAAACcwAAAABQP7//zb///8BP/7//zX///8JAAAACSYAAAABPf7//zb///8BPP7//zX///8LAAAABsUBAAABNgE6/v//Nv///wE5/v//Nf///wQAAAAGyAEAAAdHZW5lcmFsATf+//82////ATb+//81////AgAAAAbLAQAAATEBNP7//zb///8BM/7//zX///8AAAAABs4BAAACMjIHt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x/v//If///wngAAAACeEAAAABLv7//yH///8J4wAAAAnhAAAAASv+//8h////CeYAAAAG1wEAAAUtNDE0MgEo/v//If///wnpAAAABtoBAAAHQ2FsaWJyaQEl/v//If///wnsAAAABt0BAAABMAEi/v//If///wnvAAAABuABAAACMTEBH/7//yH///8J8gAAAAbjAQAAB1JlZ3VsYXIHuAAAAAABAAAABAAAAAQ3R2xvYmVTb2Z0d2FyZS5BdGxhczQwLkF0bGFzQ29tbW9uLlR5cGUuRmllbGRPdXRwdXRGaWVsZA4AAAAJ5AEAAA0DB7o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b/v//Nv///wEa/v//Nf///wkAAAAJJgAAAAEY/v//Nv///wEX/v//Nf///wsAAAAG6gEAAAE3ARX+//82////ART+//81////BAAAAAbtAQAAB0dlbmVyYWwBEv7//zb///8BEf7//zX///8CAAAABvABAAABMQEP/v//Nv///wEO/v//Nf///wAAAAAG8wEAAAIxMwe8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z+//8h////CeAAAAAJ4QAAAAEJ/v//If///wnjAAAACeEAAAABBv7//yH///8J5gAAAAb8AQAABS00MTQyAQP+//8h////CekAAAAG/wEAAAdDYWxpYnJpAQD+//8h////CewAAAAGAgIAAAEwAf39//8h////Ce8AAAAGBQIAAAIxMQH6/f//If///wnyAAAABggCAAAHUmVndWxhcgXJ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H3/f//2P////////8ABgoCAAAGU3RyaW5nBgsCAAAGTnVtYmVyCQwCAAAB8/3//9b///8CAAAABfL9//85R2xvYmVTb2Z0d2FyZS5BdGxhczQwLkF0bGFzQ29tbW9uLk51bWJlclNlcXVlbmNlQ29uZGl0aW9uAQAAAAd2YWx1ZV9fAAgOAAAAAQAAAAAABg8CAAARVGFibGUuSW52ZW50VHJhbnMJIwAAAAkmAAAACv////8JDwIAAAoJIwAAAAoKCgkmAAAACRUCAAAJJgAAAAH0AAAAyQAAAAHp/f//2P////////8ABhgCAAAGU3RyaW5nBhkCAAAHSW52b2ljZQkMAgAAAeX9///W////AgAAAAHk/f//8v3//wEAAAAAAAkPAgAACTEAAAAJJgAAAAr/////CQ8CAAAKCTEAAAAKCgoJJgAAAAkjAgAACSYAAAABGQEAAMkAAAAB2/3//9j/////////AAYmAgAABlN0cmluZwYnAgAAC0l0ZW0gbnVtYmVyCQwCAAAB1/3//9b///8CAAAAAdb9///y/f//AQAAAAAACQ8CAAAJPwAAAAkmAAAACv////8JDwIAAAoJPwAAAAoKCgkmAAAACTECAAAJJgAAAAFEAQAAyQAAAAHN/f//2P////////8ABjQCAAAGU3RyaW5nBjUCAAAGTG90IElECQwCAAAByf3//9b///8CAAAAAcj9///y/f//AQAAAAAACQ8CAAAJTQAAAAkmAAAACv////8JDwIAAAoJTQAAAAoKCgkmAAAACT8CAAAJJgAAAAFsAQAAyQAAAAG//f//2P////////8ABkICAAAERGF0ZQZDAgAADkZpbmFuY2lhbCBkYXRlCQwCAAABu/3//9b///8CAAAAAbr9///y/f//AQAAAAAACQ8CAAAJWwAAAAkmAAAACv////8JDwIAAAoJWwAAAAoKCgkmAAAACU0CAAAJJgAAAAGUAQAAyQAAAAGx/f//2P////////8ABlACAAAEUmVhbAZRAgAACFF1YW50aXR5CQwCAAABrf3//9b///8CAAAAAaz9///y/f//AQAAAAAACQ8CAAAJaQAAAAkmAAAACv////8JDwIAAAoJaQAAAAoKCgkmAAAACVsCAAAJJgAAAAG8AQAAyQAAAAGj/f//2P////////8ABl4CAAAEUmVhbAZfAgAAFUZpbmFuY2lhbCBjb3N0IGFtb3VudAkMAgAAAZ/9///W////AgAAAAGe/f//8v3//wEAAAAAAAkPAgAACXcAAAAJJgAAAAr/////CQ8CAAAKCXcAAAAKCgoJJgAAAAlpAgAACSYAAAAB5AEAAMkAAAABlf3//9j/////////AAZsAgAABFJlYWwGbQIAAApBZGp1c3RtZW50CQwCAAABkf3//9b///8CAAAAAZD9///y/f//AQAAAAAACQ8CAAAJhQAAAAkmAAAACv////8JDwIAAAoJhQAAAAoKCgkmAAAACXcCAAAJJgAAAAUMAg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CxAAAABnkCAAALSW52ZW50VHJhbnMGegIAABZJbnZlbnRvcnkgdHJhbnNhY3Rpb25zCSYAAAAJJgAAAAkmAAAABYT9//8wR2xvYmVTb2Z0d2FyZS5BdGxhczQwLkF0bGFzQ29tbW9uLkRhdGFTb3VyY2VUeXBlAQAAAAd2YWx1ZV9fAAgOAAAAAAAAAAl9AgAACX4CAAAEgf3//wtTeXN0ZW0uR3VpZAsAAAACX2ECX2ICX2MCX2QCX2UCX2YCX2cCX2gCX2kCX2oCX2sAAAAAAAAAAAAAAAgHBwICAgICAgICw79zBXdYKE23Z36270atKQkmAAAACSYAAAAJgQIAAAkPAgAACgoKCgoBAAAABX39//80R2xvYmVTb2Z0d2FyZS5BdGxhczQwLkF0bGFzQ29tbW9uLkRhdGFTb3VyY2VKb2luTW9kZQEAAAAHdmFsdWVfXwAIDgAAAAAAAAAFfP3//zVHbG9iZVNvZnR3YXJlLkF0bGFzNDAuQXRsYXNDb21tb24uRGF0YVNvdXJjZUZldGNoTW9kZQEAAAAHdmFsdWVfXwAIDgAAAAAAAAAACYUCAAABFQIAACIAAAAVAAAACZgAAAADAAAACYcCAAABIwIAACIAAAASAAAACZgAAAADAAAACYkCAAABMQIAACIAAAAVAAAACZgAAAADAAAACYsCAAABPwIAACIAAAAVAAAACZgAAAADAAAACY0CAAABTQIAACIAAAAVAAAACZgAAAADAAAACY8CAAABWwIAACIAAAAVAAAACZgAAAADAAAACZECAAABaQIAACIAAAAVAAAACZgAAAADAAAACZMCAAABdwIAACIAAAASAAAACZgAAAADAAAACZUCAAAEfQI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RAAAAAJlgIAABEAAAAJlwIAAAR+Ag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JAAAACZgAAAARAAAACZkCAAAEgQ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lgIAAAMAAAAJmwIAAASFAg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mcAgAAAAAAAAeH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P9//8h////Bp4CAAAISGVscFRleHQGnwIAADVPcmRlciBudW1iZXIsIHByb2plY3QgbnVtYmVyLCBwcm9kdWN0aW9uIG51bWJlciwgZXRjLgFg/f//If///wahAgAABUxhYmVsCQsCAAABXf3//yH///8GpAIAAARUeXBlCQoCAAAHiQ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a/f//If///wmhAgAACRkCAAABV/3//yH///8JpAIAAAkYAgAAB4s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P3//yH///8JngIAAAauAgAADklkZW50aWZ5IGl0ZW0uAVH9//8h////CaECAAAJJwIAAAFO/f//If///wmkAgAACSYCAAAHjQ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L/f//If///wmeAgAABrcCAABSU3VtbWFyeSBudW1iZXIvTG90IElEIGZvciB0cmFuc2FjdGlvbnMgYXR0YWNoZWQgdG8gdGhlIHNhbWUgaW52ZW50b3J5IHRyYW5zYWN0aW9uLgFI/f//If///wmhAgAACTUCAAABRf3//yH///8JpAIAAAk0AgAAB48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v3//yH///8JngIAAAbAAgAAHURhdGUgb2YgZmluYW5jaWFsIHRyYW5zYWN0aW9uAT/9//8h////CaECAAAJQwIAAAE8/f//If///wmkAgAACUICAAAHkQ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5/f//If///wmeAgAABskCAAAkUXVhbnRpdHkgYXR0YWNoZWQgdG8gdGhlIHRyYW5zYWN0aW9uATb9//8h////CaECAAAJUQIAAAEz/f//If///wmkAgAACVACAAAHkw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w/f//If///wmeAgAABtICAAA1SW52ZW50b3J5IHZhbHVlIGZvciB0aGUgZmluYW5jaWFsbHkgdXBkYXRlZCBxdWFudGl0eS4BLf3//yH///8JoQIAAAlfAgAAASr9//8h////CaQCAAAJXgIAAAeV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f9//8h////CaECAAAJbQIAAAEk/f//If///wmkAgAACWwCAAABlgIAAAwAAAAHlwIAAAABAAAAC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If3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4AIAABhUYWJsZS5JbnZlbnRUcmFucy5JdGVtSWQJGQEAAAEe/f//If3//wbjAgAAH1RhYmxlLkludmVudFRyYW5zLkludmVudFRyYW5zSWQJRAEAAAEb/f//If3//wbmAgAAHFRhYmxlLkludmVudFRyYW5zLlRyYW5zUmVmSWQJyQAAAAEY/f//If3//wbpAgAAH1RhYmxlLkludmVudFRyYW5zLkRhdGVGaW5hbmNpYWwJbAEAAAEV/f//If3//wbsAgAAFVRhYmxlLkludmVudFRyYW5zLlF0eQmUAQAAARL9//8h/f//Bu8CAAAiVGFibGUuSW52ZW50VHJhbnMuQ29zdEFtb3VudFBvc3RlZAm8AQAAAQ/9//8h/f//BvICAAAmVGFibGUuSW52ZW50VHJhbnMuQ29zdEFtb3VudEFkanVzdG1lbnQJ5AEAAAEM/f//If3//wb1AgAAG1RhYmxlLkludmVudFRyYW5zLkludm9pY2VJZAn0AAAAB5kCAAAAAQAAAAk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J/f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OAAAABvgCAAAfVGFibGUuSW52ZW50VHJhbnMuRGF0ZUZpbmFuY2lhbAn5AgAAAQb9//8J/f//BvsCAAAdVGFibGUuSW52ZW50VHJhbnMuU3RhdHVzSXNzdWUJ/AIAAAED/f//Cf3//wb+AgAAGFRhYmxlLkludmVudFRyYW5zLkl0ZW1JZAn/AgAAAQD9//8J/f//BgEDAAAfVGFibGUuSW52ZW50VHJhbnMuSW52ZW50VHJhbnNJZAkCAwAAAf38//8J/f//BgQDAAAcVGFibGUuSW52ZW50VHJhbnMuVHJhbnNSZWZJZAkFAwAAAfr8//8J/f//BgcDAAAeVGFibGUuSW52ZW50VHJhbnMuRGF0ZVBoeXNpY2FsCQgDAAAB9/z//wn9//8GCgMAAB9UYWJsZS5JbnZlbnRUcmFucy5TdGF0dXNSZWNlaXB0CQsDAAAB9Pz//wn9//8GDQMAABtUYWJsZS5JbnZlbnRUcmFucy5UcmFuc1R5cGUJDgMAAAHx/P//Cf3//wYQAwAAHFRhYmxlLkludmVudFRyYW5zLkRhdGFBcmVhSWQJEQMAAAebAg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P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DgAAAAnGAAAACRQDAAAEnAI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fkC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kPAgAACcEAAAAJJgAAAAYYAwAACz1EYXRlUGVyaW9k/////wkPAgAACgnBAAAACgoKCSYAAAAJHAMAAAkmAAAAAfwCAAD5AgAACQ8CAAAGHwMAAAtTdGF0dXNJc3N1ZQkmAAAACSYAAAD/////CQ8CAAAKCR8DAAAKCgoJJgAAAAkkAwAACSYAAAAB/wIAAPkCAAAJDwIAAAYnAwAABkl0ZW1JZAkmAAAACSYAAAD/////CQ8CAAAKCScDAAAKCgoJJgAAAAksAwAACSYAAAABAgMAAPkCAAAJDwIAAAYvAwAADUludmVudFRyYW5zSWQJJgAAAAkmAAAA/////wkPAgAACgkvAwAACgoKCSYAAAAJNAMAAAkmAAAAAQUDAAD5AgAACQ8CAAAGNwMAAApUcmFuc1JlZklkCSYAAAAJJgAAAP////8JDwIAAAoJNwMAAAoKCgkmAAAACTwDAAAJJgAAAAEIAwAA+QIAAAkPAgAABj8DAAAMRGF0ZVBoeXNpY2FsCSYAAAAJJgAAAP////8JDwIAAAoJPwMAAAoKCgkmAAAACUQDAAAJJgAAAAELAwAA+QIAAAkPAgAABkcDAAANU3RhdHVzUmVjZWlwdAkmAAAACSYAAAD/////CQ8CAAAKCUcDAAAKCgoJJgAAAAlMAwAACSYAAAABDgMAAPkCAAAJDwIAAAnEAAAACSYAAAAJJgAAAP////8JDwIAAAZSAwAAC0ludmVudFRyYW5zCcQAAAAKCgoJJgAAAAlVAwAACSYAAAABEQMAAPkCAAAJDwIAAAZYAwAACkRhdGFBcmVhSWQJJgAAAAkmAAAA/////wkPAgAACglYAwAACgoKCSYAAAAJXQMAAAkmAAAAARQDAAAMAgAA/////wZfAwAACUN1c3RUYWJsZQZgAwAACUN1c3RvbWVycwkmAAAACSYAAAAJJgAAAAGe/P//hP3//wAAAAAJYwMAAAlkAwAAAZv8//+B/f//rxhiSExYZ0SD1z9BVCcdjwkmAAAACSYAAAAJZwMAAAnGAAAABmkDAAALSW52ZW50VHJhbnMGagMAABFUYWJsZS5JbnZlbnRUcmFucwZrAwAAHFRhYmxlLkludmVudFRyYW5zLkN1c3RWZW5kQUMGbAMAAApDdXN0VmVuZEFDBm0DAAAKQWNjb3VudE51bQEAAAABkvz//339//8AAAAAAZH8//98/f//AAAAAAAJcAMAAAEcAwAAIgAAAAMAAAAJmAAAAAMAAAAJcgMAAAEkAwAAIgAAAAIAAAAJmAAAAAMAAAAJdAMAAAEsAwAAIgAAAAIAAAAJmAAAAAMAAAAJdgMAAAE0AwAAIgAAAAIAAAAJmAAAAAMAAAAJeAMAAAE8AwAAIgAAAAIAAAAJmAAAAAMAAAAJegMAAAFEAwAAIgAAAAIAAAAJmAAAAAMAAAAJfAMAAAFMAwAAIgAAAAIAAAAJmAAAAAMAAAAJfgMAAAFVAwAAIgAAAAIAAAAJmAAAAAMAAAAJgAMAAARd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mYAAAAAAAAAARjAw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mAAAAAAAAAABZAMAAH4CAAABAAAACZgAAAADAAAACYIDAAAEZw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ZgAAAAAAAAAAXADAACFAgAAAAAAAAmEAwAAAAAAAAdy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v8//8h////CaQCAAAGhwMAAAREYXRlAXj8//8h////CaECAAAGigMAAA5GaW5hbmNpYWwgZGF0ZQF1/P//If///waMAwAACFJlZmVyc1RvCRgDAAAHdA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y/P//If///wmkAgAABpADAAAERW51bQFv/P//If///wmhAgAABpMDAAAMSXNzdWUgc3RhdHVzB3Y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Pz//yH///8JpAIAAAaWAwAABlN0cmluZwFp/P//If///wmhAgAABpkDAAALSXRlbSBudW1iZXIHeA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m/P//If///wmkAgAABpwDAAAGU3RyaW5nAWP8//8h////CaECAAAGnwMAAAZMb3QgSUQHeg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g/P//If///wmkAgAABqIDAAAGU3RyaW5nAV38//8h////CaECAAAGpQMAAAZOdW1iZXIHfA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a/P//If///wmkAgAABqgDAAAERGF0ZQFX/P//If///wmhAgAABqsDAAANUGh5c2ljYWwgZGF0ZQd+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T8//8h////CaQCAAAGrgMAAARFbnVtAVH8//8h////CaECAAAGsQMAAA5SZWNlaXB0IHN0YXR1cweA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78//8h////CaQCAAAGtAMAAARFbnVtAUv8//8h////CaECAAAGtwMAAAlSZWZlcmVuY2UHggM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Uj8//8J/f//BrkDAAA2VGFibGUuSW52ZW50VHJhbnMuQ3VzdFZlbmRBQ35UYWJsZS5DdXN0VGFibGUuQ3VzdEdyb3VwCboDAAABhAMAAJwCAAABugMAAPkCAAAJxgAAAAnHAAAACSYAAAAJyAAAAP////8JxgAAAAoJxwAAAAbBAwAACkN1c3RWZW5kQUMKCgkmAAAACcMDAAAJJgAAAAHDAwAAIgAAABYAAAAJmAAAAAMAAAAJxgMAAAfG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n8//8h////CaQCAAAGyQMAAAZTdHJpbmcBNvz//yH///8JoQIAAAbMAwAADkN1c3RvbWVyIGdyb3VwATP8//8h////CYwDAAAGzwMAAAo9Q3VzdEdyb3VwCw==</Report>
</Atlas>
</file>

<file path=customXml/item5.xml><?xml version="1.0" encoding="utf-8"?>
<Atlas>
  <Query type="ReportList" id="12c8769d-6938-4ad8-aa1d-1660dd07cf48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cm9k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C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GAAAABg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I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TA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C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D0N1c3RJbnZvaWNlSm91cgYeAAAAGEN1c3RvbWVyIGludm9pY2Ugam91cm5hbAkIAAAACQgAAAAJCAAAAAXg////MEdsb2JlU29mdHdhcmUuQXRsYXM0MC5BdGxhc0NvbW1vbi5EYXRhU291cmNlVHlwZQEAAAAHdmFsdWVfXwAIAgAAAAAAAAAJIQAAAAkiAAAABN3///8LU3lzdGVtLkd1aWQLAAAAAl9hAl9iAl9jAl9kAl9lAl9mAl9nAl9oAl9pAl9qAl9rAAAAAAAAAAAAAAAIBwcCAgICAgICAjuXsfLS7T9Lt9dZrGmPGPQJCAAAAAkIAAAACSUAAAAGJgAAABVUYWJsZS5DdXN0SW52b2ljZUpvdXI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HR////1P///wYwAAAAMlRhYmxlLkN1c3RJbnZvaWNlSm91ci5PcmRlckFjY291bnR+VGFibGUuQ3VzdFRhYmxlCTEAAAAHFAAAAAABAAAACAAAAAQtR2xvYmVTb2Z0d2FyZS5BdGxhczQwLkF0bGFzQ29tbW9uLlR5cGUuQ29sdW1uAgAAAAkyAAAACTMAAAAJNAAAAAk1AAAACTYAAAAJNwAAAA0CERUAAAAEAAAABjgAAAANQXRsYXNSZXBvcnRfMQ0DBxcAAAAAAQAAAAI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x/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Bxf///8f///8GPAAAAA9UYWJsZS5DdXN0VGFibGUJMA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wv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XB////Pkdsb2JlU29mdHdhcmUuQXRsYXM0MC5BdGxhc0NvbW1vbi5UeXBlLkF0bGFzUXVlcnlBdHRyaWJ1dGVOYW1lAQAAAAd2YWx1ZV9fAAgCAAAAAgAAAAZAAAAAJDEyYzg3NjlkLTY5MzgtNGFkOC1hYTFkLTE2NjBkZDA3Y2Y0OAG/////wv///wG+////wf///wAAAAAGQwAAAAR0cnVlAbz////C////Abv////B////CwAAAAZGAAAAGEN1c3RvbWVyIGludm9pY2Ugam91cm5hbAG5////wv///wG4////wf///xsAAAAGSQAAAARUcnVlAbb////C////AbX////B////BgAAAAZMAAAABUZhbHNlAbP////C////AbL////B////HAAAAAlJAAAAAbD////C////Aa/////B////HQAAAAlMAAAAAa3////C////Aaz////B////KgAAAAlJAAAAAar////C////Aan////B////AQAAAAZYAAAAAzM3MgGn////wv///wGm////wf///ycAAAAGWwAAAAs9RGF0YUFyZWFJZAGk////wv///wGj////wf///xkAAAAGXgAAAA9DZWxsc1ZlcnRpY2FsbHkBof///8L///8BoP///8H///8JAAAACgGf////wv///wGe////wf///ygAAAAGYwAAAAE2AZz////C////AZv////B////KwAAAAZmAAAAEVRhYmxlU3R5bGVNZWRpdW0yBxwAAAAAAQAAAAI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Z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mgAAAAPQ3VzdEludm9pY2VKb3VyAQAAAAGX////mf///wZqAAAACUN1c3RUYWJs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UAAAAJawAAAAcAAAAJbA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CAAAACRIAAAADAAAACW4AAAABJQAAAAQAAAABAAAACWsAAAADAAAACXA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cQAAAAAAAAAHKgAAAAABAAAAAAAAAAQtR2xvYmVTb2Z0d2FyZS5BdGxhczQwLkF0bGFzQ29tbW9uLlR5cGUuQ29sdW1uAgAAAAExAAAADgAAAP////8GcgAAAAlDdXN0VGFibGUGcwAAAAlDdXN0b21lcnMJCAAAAAkIAAAACQgAAAABi////+D///8AAAAACXYAAAAJdwAAAAGI////3f///2MtQlZR059PiynQ2L8vGe8JCAAAAAkIAAAACXoAAAAJMAAAAAZ8AAAAD0N1c3RJbnZvaWNlSm91cgZ9AAAAFVRhYmxlLkN1c3RJbnZvaWNlSm91cgZ+AAAAIlRhYmxlLkN1c3RJbnZvaWNlSm91ci5PcmRlckFjY291bnQGfwAAAAxPcmRlckFjY291bnQGgAAAAApBY2NvdW50TnVtAQAAAAF/////2f///wAAAAABfv///9j///8AAAAAAAmDAAAABTI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YQAAAAJhQAAAAmGAAAABocAAAAMT3JkZXJBY2NvdW50BogAAAAQQ3VzdG9tZXIgYWNjb3VudAaJAAAABlN0cmluZwkIAAAABosAAAAkYWIwNjVmNmItOTg0NC00MGM0LTkyOTQtYjA3YzMxZThjZDEyBXT///8tR2xvYmVTb2Z0d2FyZS5BdGxhczQwLkF0bGFzQ29tbW9uLkFnZ3JlZ2F0aW9uAQAAAAd2YWx1ZV9fAAgCAAAA/////wAAAAAFc////yxHbG9iZVNvZnR3YXJlLkF0bGFzNDAuQXRsYXNDb21tb24uQ29sdW1uVHlwZQEAAAAHdmFsdWVfXwAIAgAAAAAAAAAFcv///ytHbG9iZVNvZnR3YXJlLkF0bGFzNDAuQXRsYXNDb21tb24uU29ydE9yZGVyAQAAAAd2YWx1ZV9fAAgCAAAAAgAAAAAAAAAABXH///9AR2xvYmVTb2Z0d2FyZS5BdGxhczQwLkF0bGFzQ29tbW9uLlR5cGUuQ29sdW1uK0Nyb3NzVGFiQ29sdW1uVHlwZQEAAAAHdmFsdWVfXwAIAgAAAAAAAAAKAQAAAAAAAAAAAAAAAAAGkAAAACQxZDA1MWQxMS1mY2E0LTRiMTEtOTNiZC04YmJhZmM4YWY0ZDMGkQAAACJUYWJsZS5DdXN0SW52b2ljZUpvdXIuT3JkZXJBY2NvdW50CgoKCgEzAAAAMgAAAAmSAAAACZMAAAAJlAAAAAaVAAAABE5hbWUGlgAAAAROYW1lBpcAAAAGU3RyaW5nCQgAAAAGmQAAACQyYmE5OWQ1NC1mOGQ3LTQwMTMtYWE1MC0wZjg2MTk2OTI3YWIBZv///3T/////////AQAAAAFl////c////wAAAAABZP///3L///8CAAAAAAAAAAABY////3H///8AAAAACgEAAAAAAAAAAAEAAAAABp4AAAAkZGZiNTFmM2EtMTg1Ni00YmUxLTljN2UtNjM1N2MwYWM3ZGYzBp8AAAA3VGFibGUuQ3VzdEludm9pY2VKb3VyLk9yZGVyQWNjb3VudH5UYWJsZS5DdXN0VGFibGUuTmFtZQoKCgoBNAAAADIAAAAJoAAAAAmhAAAACaIAAAAGowAAAAdTYWxlc0lkBqQAAAALU2FsZXMgb3JkZXIGpQAAAAZTdHJpbmcJCAAAAAanAAAAJGU4YjJmZDUxLWZmNDYtNDhiZS1hNTM3LTBiNmRkYmU5NmU3MgFY////dP////////8CAAAAAVf///9z////AAAAAAFW////cv///wIAAAAAAAAAAAFV////cf///wAAAAAKAQAAAAAAAAAAAgAAAAAGrAAAACRlOTY2MGZjYS1mNjcyLTRhOTctODExYy0xN2Q0NGE3MjVkNjIGrQAAAB1UYWJsZS5DdXN0SW52b2ljZUpvdXIuU2FsZXNJZAoKCgoBNQAAADIAAAAJrgAAAAmvAAAACbAAAAAGsQAAAAtJbnZvaWNlRGF0ZQayAAAABERhdGUGswAAAAREYXRlCQgAAAAGtQAAACQ0MmZlYmYxOS1jZWE3LTRkNzUtYTAwZS0xYjhjODdlNGYyZTQBSv///3T/////////AwAAAAFJ////c////wAAAAABSP///3L///8CAAAAAAAAAAABR////3H///8AAAAACgEAAAAAAAAAAAMAAAAABroAAAAkMWZiZGE2ZWUtYzUyYS00OWY0LTkwZTEtNmI0ZTBhNmE1MmI5BrsAAAAhVGFibGUuQ3VzdEludm9pY2VKb3VyLkludm9pY2VEYXRlCgoKCgE2AAAAMgAAAAm8AAAACb0AAAAJvgAAAAa/AAAACUludm9pY2VJZAbAAAAAB0ludm9pY2UGwQAAAAZTdHJpbmcJCAAAAAbDAAAAJGI1NmJjZjQzLWI5YTktNDQ3MS05NWQ2LWVmZWIyZjJlZWJlZQE8////dP////////8EAAAAATv///9z////AAAAAAE6////cv///wIAAAAAAAAAAAE5////cf///wAAAAAKAQAAAAAAAAAABAAAAAAGyAAAACRiZDI1YWY0My02ODc5LTQ0YmEtOTJjNS05YjllNTYyOTZiMzgGyQAAAB9UYWJsZS5DdXN0SW52b2ljZUpvdXIuSW52b2ljZUlkCgoKCgE3AAAAMgAAAAnKAAAACcsAAAAJzAAAAAbNAAAAD1NhbGVzQmFsYW5jZU1TVAbOAAAAIVNhbGVzIGJhbGFuY2UgaW4gZGVmYXVsdCBjdXJyZW5jeQbPAAAABFJlYWwJCAAAAAbRAAAAJDE3MDJkOTE0LTVlYmItNDNmOS05MzM0LTVlOTRlOTJjZWYzNQEu////dP///wEAAAAFAAAAAS3///9z////AAAAAAEs////cv///wIAAAAAAAAAAAEr////cf///wAAAAAKAQAAAAAAAAAABQAAAAAG1gAAACRiZDA5YmE2ZS02NzgzLTQ3Y2ItYjllOC00NzJkZjZiNzAwYmYG1wAAACVUYWJsZS5DdXN0SW52b2ljZUpvdXIuU2FsZXNCYWxhbmNlTVNUCgoKCgFrAAAAEgAAAAdsAAAAAAEAAAAF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o//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bZAAAAIlRhYmxlLkN1c3RJbnZvaWNlSm91ci5PcmRlckFjY291bnQJ2gAAAAEl////KP///wbcAAAAHVRhYmxlLkN1c3RJbnZvaWNlSm91ci5TYWxlc0lkCd0AAAABIv///yj///8G3wAAACFUYWJsZS5DdXN0SW52b2ljZUpvdXIuSW52b2ljZURhdGUJ4AAAAAEf////KP///wbiAAAAH1RhYmxlLkN1c3RJbnZvaWNlSm91ci5JbnZvaWNlSWQJ4wAAAAEc////KP///wblAAAAJVRhYmxlLkN1c3RJbnZvaWNlSm91ci5TYWxlc0JhbGFuY2VNU1QJ5gAAAAduAAAAAAEAAAAC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Gf/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boAAAAIVRhYmxlLkN1c3RJbnZvaWNlSm91ci5JbnZvaWNlRGF0ZQnpAAAAARb///8Z////BusAAAAfVGFibGUuQ3VzdEludm9pY2VKb3VyLkN1c3RHcm91cAnsAAAAB3AA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RP////U////CTAAAAAJMQAAAARx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dgAAACEAAAABAAAACRIAAAADAAAACfEAAAAEdw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R6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BgwAAACkAAAAAAAAACfMAAAAAAAAABIQ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fQAAAABAAAAAQAAAASF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TYAAAAJ9QAAAAcAAAAJ9gAAAASG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EAAAAJ9wAAAAcAAAAJ+AAAAAGSAAAAhAAAAAn5AAAAAQAAAAEAAAABkwAAAIUAAAAmAAAACfoAAAAHAAAACfsAAAAEl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jAAAACRIAAAAHAAAACf0AAAABoAAAAIQAAAAJ/gAAAAEAAAABAAAAAaEAAACFAAAANQAAAAn1AAAABwAAAAkAAQAABK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MQAAAAn3AAAABwAAAAkCAQAAAa4AAACEAAAACQMBAAABAAAAAQAAAAGvAAAAhQAAADUAAAAJ9QAAAAcAAAAJBQEAAASw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EAAAAJ9wAAAAcAAAAJBwEAAAG8AAAAhAAAAAkIAQAAAQAAAAEAAAABvQAAAIUAAAA1AAAACfUAAAAHAAAACQoBAAAEv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xAAAACfcAAAAHAAAACQwBAAABygAAAIQAAAAJDQEAAAEAAAABAAAAAcsAAACFAAAANAAAAAn1AAAABwAAAAkPAQAABMw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MQAAAAn3AAAABwAAAAkRAQAABdo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e7+//90/////////wAGEwEAAAZTdHJpbmcGFAEAABBDdXN0b21lciBhY2NvdW50CRUBAAAB6v7//3L///8CAAAABen+//85R2xvYmVTb2Z0d2FyZS5BdGxhczQwLkF0bGFzQ29tbW9uLk51bWJlclNlcXVlbmNlQ29uZGl0aW9uAQAAAAd2YWx1ZV9fAAgCAAAAAQAAAAAABhgBAAAVVGFibGUuQ3VzdEludm9pY2VKb3VyCYcAAAAJCAAAAAr/////CRgBAAAKCYcAAAAKCgoJCAAAAAkeAQAACQgAAAAB3QAAANoAAAAB4P7//3T/////////AAYhAQAABlN0cmluZwYiAQAAC1NhbGVzIG9yZGVyCRUBAAAB3P7//3L///8CAAAAAdv+///p/v//AQAAAAAACRgBAAAJowAAAAkIAAAACv////8JGAEAAAoJowAAAAoKCgkIAAAACSwBAAAJCAAAAAHgAAAA2gAAAAHS/v//dP////////8ABi8BAAAERGF0ZQYwAQAABERhdGUJFQEAAAHO/v//cv///wIAAAABzf7//+n+//8BAAAAAAAJGAEAAAmxAAAACQgAAAAK/////wkYAQAACgmxAAAACgoKCQgAAAAJOgEAAAkIAAAAAeMAAADaAAAAAcT+//90/////////wAGPQEAAAZTdHJpbmcGPgEAAAdJbnZvaWNlCRUBAAABwP7//3L///8CAAAAAb/+///p/v//AQAAAAAACRgBAAAJvwAAAAkIAAAACv////8JGAEAAAoJvwAAAAoKCgkIAAAACUgBAAAJCAAAAAHmAAAA2gAAAAG2/v//dP////////8ABksBAAAEUmVhbAZMAQAAIVNhbGVzIGJhbGFuY2UgaW4gZGVmYXVsdCBjdXJyZW5jeQkVAQAAAbL+//9y////AgAAAAGx/v//6f7//wEAAAAAAAkYAQAACc0AAAAJCAAAAAr/////CRgBAAAKCc0AAAAKCgoJCAAAAAlWAQAACQgAAAAF6QA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gBAAAGWQEAAAtJbnZvaWNlRGF0ZQkIAAAABlsBAAAWMS4xLjIwMjAgLi4gMTIuMzEuMjAyMP////8JGAEAAAoJWQEAAAoKCgkIAAAACV8BAAAJCAAAAAHsAAAA6QAAAAkYAQAABmIBAAAJQ3VzdEdyb3VwCQgAAAAGZAEAAAQhSUMq/////wkYAQAACgliAQAACgoKCQgAAAAJaAEAAAkIAAAAB/EA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Zb+//8o////BmsBAAA3VGFibGUuQ3VzdEludm9pY2VKb3VyLk9yZGVyQWNjb3VudH5UYWJsZS5DdXN0VGFibGUuTmFtZQlsAQAAAfMAAABxAAAAB/QAAAAAAQAAAAQAAAAEN0dsb2JlU29mdHdhcmUuQXRsYXM0MC5BdGxhc0NvbW1vbi5UeXBlLkZpZWxkT3V0cHV0RmllbGQCAAAACdoAAAANAwT1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f2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kv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WR/v//Mkdsb2JlU29mdHdhcmUuQXRsYXM0MC5BdGxhc0NvbW1vbi5Db2x1bW5BdHRyaWJ1dGVzAQAAAAd2YWx1ZV9fAAgCAAAABgAAAAZwAQAABVRvdGFsAY/+//+S/v//AY7+//+R/v//EAAAAAZzAQAABE5vbmUBjP7//5L+//8Bi/7//5H+//8JAAAACQgAAAABif7//5L+//8BiP7//5H+//8LAAAABnkBAAABMAGG/v//kv7//wGF/v//kf7//wQAAAAGfAEAAAdHZW5lcmFsAYP+//+S/v//AYL+//+R/v//AgAAAAZ/AQAAATEBgP7//5L+//8Bf/7//5H+//8AAAAABoIBAAAFMTUuMTQB9wAAABIAAAAH+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R9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oQBAAAIRm9udEJvbGQGhQEAAAVGYWxzZQF6/v//ff7//waHAQAACkZvbnRJdGFsaWMJhQEAAAF3/v//ff7//waKAQAADUZvbnRVbmRlcmxpbmUGiwEAAAUtNDE0MgF0/v//ff7//waNAQAACEZvbnROYW1lBo4BAAAHQ2FsaWJyaQFx/v//ff7//waQAQAACUZvbnRDb2xvcgaRAQAAATABbv7//33+//8GkwEAAAhGb250U2l6ZQaUAQAAAjExAWv+//99/v//BpYBAAAJRm9udFN0eWxlBpcBAAAHUmVndWxhcgf5AAAAAAEAAAAEAAAABDdHbG9iZVNvZnR3YXJlLkF0bGFzNDAuQXRsYXNDb21tb24uVHlwZS5GaWVsZE91dHB1dEZpZWxkAgAAAAlsAQAADQMB+gAAAPUAAAAH+w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f+//+S/v//AWb+//+R/v//CQAAAAkIAAAAAWT+//+S/v//AWP+//+R/v//CwAAAAaeAQAAATEBYf7//5L+//8BYP7//5H+//8EAAAABqEBAAAHR2VuZXJhbAFe/v//kv7//wFd/v//kf7//wIAAAAGpAEAAAExAVv+//+S/v//AVr+//+R/v//AAAAAAanAQAABTQ1LjI5B/0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P7//33+//8GqQEAAAhGb250Qm9sZAmFAQAAAVX+//99/v//BqwBAAAKRm9udEl0YWxpYwmFAQAAAVL+//99/v//Bq8BAAANRm9udFVuZGVybGluZQawAQAABS00MTQyAU/+//99/v//BrIBAAAIRm9udE5hbWUGswEAAAdDYWxpYnJpAUz+//99/v//BrUBAAAJRm9udENvbG9yBrYBAAABMAFJ/v//ff7//wa4AQAACEZvbnRTaXplBrkBAAACMTEBRv7//33+//8GuwEAAAlGb250U3R5bGUGvAEAAAdSZWd1bGFyB/4AAAAAAQAAAAQAAAAEN0dsb2JlU29mdHdhcmUuQXRsYXM0MC5BdGxhc0NvbW1vbi5UeXBlLkZpZWxkT3V0cHV0RmllbGQCAAAACd0AAAANAwcA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v7//5L+//8BQf7//5H+//8QAAAACXMBAAABP/7//5L+//8BPv7//5H+//8JAAAACQgAAAABPP7//5L+//8BO/7//5H+//8LAAAABsYBAAABMgE5/v//kv7//wE4/v//kf7//wQAAAAGyQEAAAdHZW5lcmFsATb+//+S/v//ATX+//+R/v//AgAAAAbMAQAAATEBM/7//5L+//8BMv7//5H+//8AAAAABs8BAAAFMTIuNDMHA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w/v//ff7//wmEAQAACYUBAAABLf7//33+//8JhwEAAAmFAQAAASr+//99/v//CYoBAAAG2AEAAAUtNDE0MgEn/v//ff7//wmNAQAABtsBAAAHQ2FsaWJyaQEk/v//ff7//wmQAQAABt4BAAABMAEh/v//ff7//wmTAQAABuEBAAACMTEBHv7//33+//8JlgEAAAbkAQAAB1JlZ3VsYXIHAwEAAAABAAAABAAAAAQ3R2xvYmVTb2Z0d2FyZS5BdGxhczQwLkF0bGFzQ29tbW9uLlR5cGUuRmllbGRPdXRwdXRGaWVsZAIAAAAJ4AAAAA0DBwU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a/v//kv7//wEZ/v//kf7//xAAAAAJcwEAAAEX/v//kv7//wEW/v//kf7//wkAAAAJCAAAAAEU/v//kv7//wET/v//kf7//wsAAAAG7gEAAAEzARH+//+S/v//ARD+//+R/v//BAAAAAbxAQAACG0vZC95eXl5AQ7+//+S/v//AQ3+//+R/v//AgAAAAb0AQAAATEBC/7//5L+//8BCv7//5H+//8AAAAABvcBAAACMTAHB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I/v//ff7//wmEAQAACYUBAAABBf7//33+//8JhwEAAAmFAQAAAQL+//99/v//CYoBAAAGAAIAAAUtNDE0MgH//f//ff7//wmNAQAABgMCAAAHQ2FsaWJyaQH8/f//ff7//wmQAQAABgYCAAABMAH5/f//ff7//wmTAQAABgkCAAACMTEB9v3//33+//8JlgEAAAYMAgAAB1JlZ3VsYXIHCAEAAAABAAAABAAAAAQ3R2xvYmVTb2Z0d2FyZS5BdGxhczQwLkF0bGFzQ29tbW9uLlR5cGUuRmllbGRPdXRwdXRGaWVsZAIAAAAJ4wAAAA0DBwo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y/f//kv7//wHx/f//kf7//xAAAAAJcwEAAAHv/f//kv7//wHu/f//kf7//wkAAAAJCAAAAAHs/f//kv7//wHr/f//kf7//wsAAAAGFgIAAAE0Aen9//+S/v//Aej9//+R/v//BAAAAAYZAgAAB0dlbmVyYWwB5v3//5L+//8B5f3//5H+//8CAAAABhwCAAABMQHj/f//kv7//wHi/f//kf7//wAAAAAGHwIAAAUxMC4yOQcM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D9//99/v//CYQBAAAJhQEAAAHd/f//ff7//wmHAQAACYUBAAAB2v3//33+//8JigEAAAYoAgAABS00MTQyAdf9//99/v//CY0BAAAGKwIAAAdDYWxpYnJpAdT9//99/v//CZABAAAGLgIAAAEwAdH9//99/v//CZMBAAAGMQIAAAIxMQHO/f//ff7//wmWAQAABjQCAAAHUmVndWxhcgcNAQAAAAEAAAAEAAAABDdHbG9iZVNvZnR3YXJlLkF0bGFzNDAuQXRsYXNDb21tb24uVHlwZS5GaWVsZE91dHB1dEZpZWxkAgAAAAnmAAAADQMHD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r9//+S/v//Acn9//+R/v//CQAAAAkIAAAAAcf9//+S/v//Acb9//+R/v//CwAAAAY7AgAAATUBxP3//5L+//8Bw/3//5H+//8EAAAABj4CAAAHR2VuZXJhbAHB/f//kv7//wHA/f//kf7//wIAAAAGQQIAAAExAb79//+S/v//Ab39//+R/v//AAAAAAZEAgAABTMyLjE0BxE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/3//33+//8JhAEAAAmFAQAAAbj9//99/v//CYcBAAAJhQEAAAG1/f//ff7//wmKAQAABk0CAAAFLTQxNDIBsv3//33+//8JjQEAAAZQAgAAB0NhbGlicmkBr/3//33+//8JkAEAAAZTAgAAATABrP3//33+//8JkwEAAAZWAgAAAjExAan9//99/v//CZYBAAAGWQIAAAdSZWd1bGFyARUBAAAOAAAAPgAAAAZaAgAAD0N1c3RJbnZvaWNlSm91cgZbAgAAGEN1c3RvbWVyIGludm9pY2Ugam91cm5hbAkIAAAACQgAAAAJCAAAAAGj/f//4P///wAAAAAJXgIAAAlfAgAAAaD9///d////y+Rg2smrok6plU+K4ey2hQkIAAAACQgAAAAJYgIAAAkYAQAACgoKCgoBAAAAAZz9///Z////AAAAAAGb/f//2P///wAAAAAACWYCAAAEH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bAAAACfcAAAADAAAACWgCAAAEL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bAAAACfcAAAADAAAACWoCAAAEO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bAAAACfcAAAADAAAACWwCAAAES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bAAAACfcAAAADAAAACW4CAAAEV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YAAAACfcAAAADAAAACXACAAAEX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dAAAACfcAAAADAAAACXICAAAEa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dAAAACfcAAAADAAAACXQCAAABbAEAANoAAAABi/3//3T/////////AAZ2AgAABlN0cmluZwZ3AgAABE5hbWUJMQAAAAGH/f//cv///wIAAAABhv3//+n+//8BAAAAAAAJMAAAAAmVAAAACQgAAAAK/////wkwAAAACgmVAAAABoACAAAMT3JkZXJBY2NvdW50BoECAAAPQ3VzdEludm9pY2VKb3VyCgkIAAAACYMCAAAJCAAAAAFeAgAAIQAAAA0AAAAJhQIAABEAAAAJhgIAAAFfAgAAIgAAAAkAAAAJhQIAABEAAAAJiAIAAARiAg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hQIAAAAAAAABZgIAACkAAAAAAAAACYoCAAAAAAAAB2g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f3//33+//8GjAIAAAhIZWxwVGV4dAaNAgAAKkN1c3RvbWVyIGFjY291bnQgdGhhdCBnZW5lcmF0ZWQgdGhlIG9yZGVyLgFy/f//ff7//waPAgAABUxhYmVsCRQBAAABb/3//33+//8GkgIAAARUeXBlCRMBAAAHa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s/f//ff7//wmMAgAABpYCAAAcT3JkZXIgbnVtYmVyL3Byb2plY3QgbnVtYmVyLgFp/f//ff7//wmPAgAACSIBAAABZv3//33+//8JkgIAAAkhAQAAB2w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/3//33+//8JjAIAAAafAgAAEERhdGUgb2YgaW52b2ljZS4BYP3//33+//8JjwIAAAkwAQAAAV39//99/v//CZICAAAJLwEAAAdu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r9//99/v//CYwCAAAGqAIAAA5JbnZvaWNlIG51bWJlcgFX/f//ff7//wmPAgAACT4BAAABVP3//33+//8JkgIAAAk9AQAAB3A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f3//33+//8JjwIAAAlMAQAAAU79//99/v//CZICAAAJSwEAAAdy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v9//99/v//CZICAAAJLwEAAAFI/f//ff7//wmPAgAACTABAAABRf3//33+//8GvAIAAAhSZWZlcnNUbwa9AgAACz1EYXRlUGVyaW9kB3Q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v3//33+//8JkgIAAAbAAgAABlN0cmluZwE//f//ff7//wmPAgAABsMCAAAFR3JvdXABPP3//33+//8JvAIAAAbGAgAACj1DdXN0R3JvdXAEg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MAAAACRIAAAADAAAACcgCAAABhQIAABIAAAAHhgIAAAABAAAAB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N/3//yj///8GygIAACJUYWJsZS5DdXN0SW52b2ljZUpvdXIuT3JkZXJBY2NvdW50CdoAAAABNP3//yj///8GzQIAAB1UYWJsZS5DdXN0SW52b2ljZUpvdXIuU2FsZXNJZAndAAAAATH9//8o////BtACAAAhVGFibGUuQ3VzdEludm9pY2VKb3VyLkludm9pY2VEYXRlCeAAAAABLv3//yj///8G0wIAAB9UYWJsZS5DdXN0SW52b2ljZUpvdXIuSW52b2ljZUlkCeMAAAABK/3//yj///8G1gIAACVUYWJsZS5DdXN0SW52b2ljZUpvdXIuU2FsZXNCYWxhbmNlTVNUCeYAAAAHiAIAAAABAAAAC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Sj9//8Z////BtkCAAAgVGFibGUuQ3VzdEludm9pY2VKb3VyLkRhdGFBcmVhSWQJ2gIAAAEl/f//Gf///wbcAgAAIlRhYmxlLkN1c3RJbnZvaWNlSm91ci5DdXJyZW5jeUNvZGUJ3QIAAAEi/f//Gf///wbfAgAAIlRhYmxlLkN1c3RJbnZvaWNlSm91ci5PcmRlckFjY291bnQJ4AIAAAEf/f//Gf///wbiAgAAIVRhYmxlLkN1c3RJbnZvaWNlSm91ci5JbnZvaWNlRGF0ZQnjAgAAARz9//8Z////BuUCAAAfVGFibGUuQ3VzdEludm9pY2VKb3VyLkN1c3RHcm91cAnmAgAAARn9//8Z////BugCAAAfVGFibGUuQ3VzdEludm9pY2VKb3VyLkludm9pY2VJZAnpAgAAARb9//8Z////BusCAAAkVGFibGUuQ3VzdEludm9pY2VKb3VyLkludm9pY2VBY2NvdW50CewCAAABE/3//xn///8G7gIAAB1UYWJsZS5DdXN0SW52b2ljZUpvdXIuU2FsZXNJZAnvAgAAARD9//8Z////BvECAAAjVGFibGUuQ3VzdEludm9pY2VKb3VyLkxlZGdlclZvdWNoZXIJ8gIAAAGKAgAAcQAAAAfI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39//99/v//BvQCAAAFTGFiZWwJdwIAAAEK/f//ff7//wb3AgAABFR5cGUJdgIAAAHaAgAA6QAAAAkYAQAABvoCAAAKRGF0YUFyZWFJZAkIAAAACQgAAAD/////CRgBAAAKCfoCAAAKCgoJCAAAAAn/AgAACQgAAAAB3QIAAOkAAAAJGAEAAAYCAwAADEN1cnJlbmN5Q29kZQkIAAAACQgAAAD/////CRgBAAAKCQIDAAAKCgoJCAAAAAkHAwAACQgAAAAB4AIAAOkAAAAJGAEAAAYKAwAADE9yZGVyQWNjb3VudAkIAAAACQgAAAD/////CRgBAAAKCQoDAAAKCgoJCAAAAAkPAwAACQgAAAAB4wIAAOkAAAAJGAEAAAYSAwAAC0ludm9pY2VEYXRlCQgAAAAJCAAAAP////8JGAEAAAoJEgMAAAoKCgkIAAAACRcDAAAJCAAAAAHmAgAA6QAAAAkYAQAACWIBAAAJCAAAAAkIAAAA/////wkYAQAACgliAQAACgoKCQgAAAAJHwMAAAkIAAAAAekCAADpAAAACRgBAAAGIgMAAAlJbnZvaWNlSWQJCAAAAAkIAAAA/////wkYAQAACgkiAwAACgoKCQgAAAAJJwMAAAkIAAAAAewCAADpAAAACRgBAAAGKgMAAA5JbnZvaWNlQWNjb3VudAkIAAAACQgAAAD/////CRgBAAAKCSoDAAAKCgoJCAAAAAkvAwAACQgAAAAB7wIAAOkAAAAJGAEAAAYyAwAAB1NhbGVzSWQJCAAAAAkIAAAA/////wkYAQAACgkyAwAACgoKCQgAAAAJNwMAAAkIAAAAAfICAADpAAAACRgBAAAGOgMAAA1MZWRnZXJWb3VjaGVyCQgAAAAJCAAAAP////8JGAEAAAoJOgMAAAoKCgkIAAAACT8DAAAJCAAAAAH/AgAAEAAAAAAAAAAJ9wAAAAAAAAABBwMAABAAAAAAAAAACfcAAAAAAAAAAQ8DAAAQAAAAAAAAAAn3AAAAAAAAAAEXAwAAEAAAAAAAAAAJ9wAAAAAAAAABHwMAABAAAAAAAAAACfcAAAAAAAAAAScDAAAQAAAAAAAAAAn3AAAAAAAAAAEvAwAAEAAAAAAAAAAJ9wAAAAAAAAABNwMAABAAAAAAAAAACfcAAAAAAAAAAT8DAAAQAAAAAAAAAAn3AAAAAAAAAAs=
    <Output>
      <OutputObject name="AtlasReport_1"/>
    </Output>
  </Query>
</Atlas>
</file>

<file path=customXml/item6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c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GAAAAB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DQIMGgAAAGpHbG9iZVNvZnR3YXJlLkF0bGFzNDAuQXRsYXNDb21tb25DbGllbnQsIFZlcnNpb249NC4wLjAuMCwgQ3VsdHVyZT1uZXV0cmFsLCBQdWJsaWNLZXlUb2tlbj1hZTIxZWMzNTc1ZDEyOTlmBRAAAAAuR2xvYmVTb2Z0d2FyZS5BdGxhczQwLkFJRXhjZWwuUmVwb3J0TGlzdE9iamVjdAMAAAAFX25hbWUKX3JlZmVyZW5jZQlfb2JqZWN0Tm8BBAA4R2xvYmVTb2Z0d2FyZS5BdGxhczQwLkF0bGFzQ29tbW9uQ2xpZW50LlJlcG9ydC5SZWZlcmVuY2UaAAAACAIAAAAGGwAAABVBdGxhc1JlcG9ydF8xX1RhYmxlXzEJHAAAAAAAAAAEEwAAAM0BU3lzdGVtLkNvbGxlY3Rpb25zLkdlbmVyaWMuTGlzdGAxW1tHbG9iZVNvZnR3YXJlLkF0bGFzNDAuQXRsYXNDb21tb25DbGllbnQuRGF0YVNvdXJjZUZpZWxkVmFsdWUsIEdsb2JlU29mdHdhcmUuQXRsYXM0MC5BdGxhc0NvbW1vbkNsaWVudCwgVmVyc2lvbj00LjAuMC4wLCBDdWx0dXJlPW5ldXRyYWwsIFB1YmxpY0tleVRva2VuPWFlMjFlYzM1NzVkMTI5OWZdXQMAAAAGX2l0ZW1zBV9zaXplCF92ZXJzaW9uBAAAPkdsb2JlU29mdHdhcmUuQXRsYXM0MC5BdGxhc0NvbW1vbkNsaWVudC5EYXRhU291cmNlRmllbGRWYWx1ZVtdGgAAAAgICR0AAAADAAAAAwAAAAUU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OAAAACCxHbG9iZVNvZnR3YXJlLkF0bGFzNDAuQXRsYXNDb21tb24uQ29sdW1uVHlwZQ4AAAArR2xvYmVTb2Z0d2FyZS5BdGxhczQwLkF0bGFzQ29tbW9uLlNvcnRPcmRlcg4AAAAIAUBHbG9iZVNvZnR3YXJlLkF0bGFzNDAuQXRsYXNDb21tb24uVHlwZS5Db2x1bW4rQ3Jvc3NUYWJDb2x1bW5UeXBlD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OAAAADgAAAAkeAAAACR8AAAAJIAAAAAYhAAAADE9yZGVyQWNjb3VudAYiAAAAEEN1c3RvbWVyIGFjY291bnQGIwAAAAZTdHJpbmcGJAAAAAAGJQAAACRhYjA2NWY2Yi05ODQ0LTQwYzQtOTI5NC1iMDdjMzFlOGNkMTIF2v///y1HbG9iZVNvZnR3YXJlLkF0bGFzNDAuQXRsYXNDb21tb24uQWdncmVnYXRpb24BAAAAB3ZhbHVlX18ACA4AAAD/////AAAAAAXZ////LEdsb2JlU29mdHdhcmUuQXRsYXM0MC5BdGxhc0NvbW1vbi5Db2x1bW5UeXBlAQAAAAd2YWx1ZV9fAAgOAAAAAAAAAAXY////K0dsb2JlU29mdHdhcmUuQXRsYXM0MC5BdGxhc0NvbW1vbi5Tb3J0T3JkZXIBAAAAB3ZhbHVlX18ACA4AAAACAAAAAAAAAAAF1////0BHbG9iZVNvZnR3YXJlLkF0bGFzNDAuQXRsYXNDb21tb24uVHlwZS5Db2x1bW4rQ3Jvc3NUYWJDb2x1bW5UeXBlAQAAAAd2YWx1ZV9fAAgOAAAAAAAAAAoBAAAAAAAAAAAAAAAAAAYqAAAAJDFkMDUxZDExLWZjYTQtNGIxMS05M2JkLThiYmFmYzhhZjRkMwYrAAAAIlRhYmxlLkN1c3RJbnZvaWNlSm91ci5PcmRlckFjY291bnQKCgoKARUAAAAUAAAACSwAAAAJLQAAAAkuAAAABi8AAAAETmFtZQYwAAAABE5hbWUGMQAAAAZTdHJpbmcJJAAAAAYzAAAAJDJiYTk5ZDU0LWY4ZDctNDAxMy1hYTUwLTBmODYxOTY5MjdhYgHM////2v////////8BAAAAAcv////Z////AAAAAAHK////2P///wIAAAAAAAAAAAHJ////1////wAAAAAKAQAAAAAAAAAAAQAAAAAGOAAAACRkZmI1MWYzYS0xODU2LTRiZTEtOWM3ZS02MzU3YzBhYzdkZjMGOQAAADdUYWJsZS5DdXN0SW52b2ljZUpvdXIuT3JkZXJBY2NvdW50flRhYmxlLkN1c3RUYWJsZS5OYW1lCgoKCgEWAAAAFAAAAAk6AAAACTsAAAAJPAAAAAY9AAAAB1NhbGVzSWQGPgAAAAtTYWxlcyBvcmRlcgY/AAAABlN0cmluZwkkAAAABkEAAAAkZThiMmZkNTEtZmY0Ni00OGJlLWE1MzctMGI2ZGRiZTk2ZTcyAb7////a/////////wIAAAABvf///9n///8AAAAAAbz////Y////AgAAAAAAAAAAAbv////X////AAAAAAoBAAAAAAAAAAACAAAAAAZGAAAAJGU5NjYwZmNhLWY2NzItNGE5Ny04MTFjLTE3ZDQ0YTcyNWQ2MgZHAAAAHVRhYmxlLkN1c3RJbnZvaWNlSm91ci5TYWxlc0lkCgoKCgEXAAAAFAAAAAlIAAAACUkAAAAJSgAAAAZLAAAAC0ludm9pY2VEYXRlBkwAAAAERGF0ZQZNAAAABERhdGUJJAAAAAZPAAAAJDQyZmViZjE5LWNlYTctNGQ3NS1hMDBlLTFiOGM4N2U0ZjJlNAGw////2v////////8DAAAAAa/////Z////AAAAAAGu////2P///wIAAAAAAAAAAAGt////1////wAAAAAKAQAAAAAAAAAAAwAAAAAGVAAAACQxZmJkYTZlZS1jNTJhLTQ5ZjQtOTBlMS02YjRlMGE2YTUyYjkGVQAAACFUYWJsZS5DdXN0SW52b2ljZUpvdXIuSW52b2ljZURhdGUKCgoKARgAAAAUAAAACVYAAAAJVwAAAAlYAAAABlkAAAAJSW52b2ljZUlkBloAAAAHSW52b2ljZQZbAAAABlN0cmluZwkkAAAABl0AAAAkYjU2YmNmNDMtYjlhOS00NDcxLTk1ZDYtZWZlYjJmMmVlYmVlAaL////a/////////wQAAAABof///9n///8AAAAAAaD////Y////AgAAAAAAAAAAAZ/////X////AAAAAAoBAAAAAAAAAAAEAAAAAAZiAAAAJGJkMjVhZjQzLTY4NzktNDRiYS05MmM1LTliOWU1NjI5NmIzOAZjAAAAH1RhYmxlLkN1c3RJbnZvaWNlSm91ci5JbnZvaWNlSWQKCgoKARkAAAAUAAAACWQAAAAJZQAAAAlmAAAABmcAAAAPU2FsZXNCYWxhbmNlTVNUBmgAAAAhU2FsZXMgYmFsYW5jZSBpbiBkZWZhdWx0IGN1cnJlbmN5BmkAAAAEUmVhbAkkAAAABmsAAAAkMTcwMmQ5MTQtNWViYi00M2Y5LTkzMzQtNWU5NGU5MmNlZjM1AZT////a////AQAAAAUAAAABk////9n///8AAAAAAZL////Y////AgAAAAAAAAAAAZH////X////AAAAAAoBAAAAAAAAAAAFAAAAAAZwAAAAJGJkMDliYTZlLTY3ODMtNDdjYi1iOWU4LTQ3MmRmNmI3MDBiZgZxAAAAJVRhYmxlLkN1c3RJbnZvaWNlSm91ci5TYWxlc0JhbGFuY2VNU1QKCgoKBRwAAAA4R2xvYmVTb2Z0d2FyZS5BdGxhczQwLkF0bGFzQ29tbW9uQ2xpZW50LlJlcG9ydC5SZWZlcmVuY2UBAAAACl9yZWZlcmVuY2UHCBoAAAAJcgAAAAcdAAAAAAEAAAAEAAAABDxHbG9iZVNvZnR3YXJlLkF0bGFzNDAuQXRsYXNDb21tb25DbGllbnQuRGF0YVNvdXJjZUZpZWxkVmFsdWUaAAAACXMAAAAJdAAAAAl1AAAACgQe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l2AAAAAQAAAAEAAAAEHw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102AAAACXcAAAAHAAAACXgAAAAEI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xAAAACXkAAAAHAAAACXoAAAABLAAAAB4AAAAJewAAAAEAAAABAAAAAS0AAAAfAAAAJgAAAAl8AAAABwAAAAl9AAAAAS4AAAAgAAAAIwAAAAl+AAAABwAAAAl/AAAAAToAAAAeAAAACYAAAAABAAAAAQAAAAE7AAAAHwAAADUAAAAJdwAAAAcAAAAJggAAAAE8AAAAIAAAADEAAAAJeQAAAAcAAAAJhAAAAAFIAAAAHgAAAAmFAAAAAQAAAAEAAAABSQAAAB8AAAA1AAAACXcAAAAHAAAACYcAAAABSgAAACAAAAAxAAAACXkAAAAHAAAACYkAAAABVgAAAB4AAAAJigAAAAEAAAABAAAAAVcAAAAfAAAANQAAAAl3AAAABwAAAAmMAAAAAVgAAAAgAAAAMQAAAAl5AAAABwAAAAmOAAAAAWQAAAAeAAAACY8AAAABAAAAAQAAAAFlAAAAHwAAADQAAAAJdwAAAAcAAAAJkQAAAAFmAAAAIAAAADEAAAAJeQAAAAcAAAAJkwAAAA9yAAAAAQAAAAgBAAAABXMAAAA8R2xvYmVTb2Z0d2FyZS5BdGxhczQwLkF0bGFzQ29tbW9uQ2xpZW50LkRhdGFTb3VyY2VGaWVsZFZhbHVlBAAAABJfaXNEcmlsbERvd25GaWx0ZXIGX2RzS2V5Cl9maWVsZG5hbWULX2ZpZWxkVmFsdWUAAQEBARoAAAAABpQAAAAVVGFibGUuQ3VzdEludm9pY2VKb3VyBpUAAAAKRGF0YUFyZWFJZAkGAAAAAXQAAABzAAAAAAmUAAAABpgAAAALSW52b2ljZURhdGUGmQAAABYxLjEuMjAyMCAuLiAxMi4zMS4yMDIwAXUAAABzAAAAAAmUAAAABpsAAAAJQ3VzdEdyb3VwBpwAAAAEIUlDKgd2AAAAAAEAAAAEAAAABDdHbG9iZVNvZnR3YXJlLkF0bGFzNDAuQXRsYXNDb21tb24uVHlwZS5GaWVsZE91dHB1dEZpZWxkDgAAAAmdAAAADQMEdw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eA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GL/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Yf///zJHbG9iZVNvZnR3YXJlLkF0bGFzNDAuQXRsYXNDb21tb24uQ29sdW1uQXR0cmlidXRlcwEAAAAHdmFsdWVfXwAIDgAAAAYAAAAGoAAAAAVUb3RhbAFf////Yv///wFe////Yf///xAAAAAGowAAAAROb25lAVz///9i////AVv///9h////CQAAAAkkAAAAAVn///9i////AVj///9h////CwAAAAapAAAAATABVv///2L///8BVf///2H///8EAAAABqwAAAAHR2VuZXJhbAFT////Yv///wFS////Yf///wIAAAAGrwAAAAExAVD///9i////AU////9h////AAAAAAayAAAABTE1LjE0AXkAAAAMAAAAB3o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Tf/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a0AAAACEZvbnRCb2xkBrUAAAAFRmFsc2UBSv///03///8GtwAAAApGb250SXRhbGljCbUAAAABR////03///8GugAAAA1Gb250VW5kZXJsaW5lBrsAAAAFLTQxNDIBRP///03///8GvQAAAAhGb250TmFtZQa+AAAAB0NhbGlicmkBQf///03///8GwAAAAAlGb250Q29sb3IGwQAAAAEwAT7///9N////BsMAAAAIRm9udFNpemUGxAAAAAIxMQE7////Tf///wbGAAAACUZvbnRTdHlsZQbHAAAAB1JlZ3VsYXIHewAAAAABAAAABAAAAAQ3R2xvYmVTb2Z0d2FyZS5BdGxhczQwLkF0bGFzQ29tbW9uLlR5cGUuRmllbGRPdXRwdXRGaWVsZA4AAAAJyAAAAA0DAXwAAAB3AAAAB30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3////Yv///wE2////Yf///wkAAAAJJAAAAAE0////Yv///wEz////Yf///wsAAAAGzgAAAAExATH///9i////ATD///9h////BAAAAAbRAAAAB0dlbmVyYWwBLv///2L///8BLf///2H///8CAAAABtQAAAABMQEr////Yv///wEq////Yf///wAAAAAG1wAAAAU0NS4yOQF+AAAADAAAAAd/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j///9N////BtkAAAAIRm9udEJvbGQJtQAAAAEl////Tf///wbcAAAACkZvbnRJdGFsaWMJtQAAAAEi////Tf///wbfAAAADUZvbnRVbmRlcmxpbmUG4AAAAAUtNDE0MgEf////Tf///wbiAAAACEZvbnROYW1lBuMAAAAHQ2FsaWJyaQEc////Tf///wblAAAACUZvbnRDb2xvcgbmAAAAATABGf///03///8G6AAAAAhGb250U2l6ZQbpAAAAAjExARb///9N////BusAAAAJRm9udFN0eWxlBuwAAAAHUmVndWxhcgeAAAAAAAEAAAAEAAAABDdHbG9iZVNvZnR3YXJlLkF0bGFzNDAuQXRsYXNDb21tb24uVHlwZS5GaWVsZE91dHB1dEZpZWxkDgAAAAntAAAADQMHg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L///9i////ARH///9h////EAAAAAmjAAAAAQ////9i////AQ7///9h////CQAAAAkkAAAAAQz///9i////AQv///9h////CwAAAAb2AAAAATIBCf///2L///8BCP///2H///8EAAAABvkAAAAHR2VuZXJhbAEG////Yv///wEF////Yf///wIAAAAG/AAAAAExAQP///9i////AQL///9h////AAAAAAb/AAAABTEyLjQzB4Q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P///03///8JtAAAAAm1AAAAAf3+//9N////CbcAAAAJtQAAAAH6/v//Tf///wm6AAAABggBAAAFLTQxNDIB9/7//03///8JvQAAAAYLAQAAB0NhbGlicmkB9P7//03///8JwAAAAAYOAQAAATAB8f7//03///8JwwAAAAYRAQAAAjExAe7+//9N////CcYAAAAGFAEAAAdSZWd1bGFyB4UAAAAAAQAAAAQAAAAEN0dsb2JlU29mdHdhcmUuQXRsYXM0MC5BdGxhc0NvbW1vbi5UeXBlLkZpZWxkT3V0cHV0RmllbGQOAAAACRUBAAANAweH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6v7//2L///8B6f7//2H///8QAAAACaMAAAAB5/7//2L///8B5v7//2H///8JAAAACSQAAAAB5P7//2L///8B4/7//2H///8LAAAABh4BAAABMwHh/v//Yv///wHg/v//Yf///wQAAAAGIQEAAAhtL2QveXl5eQHe/v//Yv///wHd/v//Yf///wIAAAAGJAEAAAExAdv+//9i////Adr+//9h////AAAAAAYnAQAAAjEwB4k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P7//03///8JtAAAAAm1AAAAAdX+//9N////CbcAAAAJtQAAAAHS/v//Tf///wm6AAAABjABAAAFLTQxNDIBz/7//03///8JvQAAAAYzAQAAB0NhbGlicmkBzP7//03///8JwAAAAAY2AQAAATAByf7//03///8JwwAAAAY5AQAAAjExAcb+//9N////CcYAAAAGPAEAAAdSZWd1bGFyB4oAAAAAAQAAAAQAAAAEN0dsb2JlU29mdHdhcmUuQXRsYXM0MC5BdGxhc0NvbW1vbi5UeXBlLkZpZWxkT3V0cHV0RmllbGQOAAAACT0BAAANAweM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wv7//2L///8Bwf7//2H///8QAAAACaMAAAABv/7//2L///8Bvv7//2H///8JAAAACSQAAAABvP7//2L///8Bu/7//2H///8LAAAABkYBAAABNAG5/v//Yv///wG4/v//Yf///wQAAAAGSQEAAAdHZW5lcmFsAbb+//9i////AbX+//9h////AgAAAAZMAQAAATEBs/7//2L///8Bsv7//2H///8AAAAABk8BAAAFMTAuMjkHj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w/v//Tf///wm0AAAACbUAAAABrf7//03///8JtwAAAAm1AAAAAar+//9N////CboAAAAGWAEAAAUtNDE0MgGn/v//Tf///wm9AAAABlsBAAAHQ2FsaWJyaQGk/v//Tf///wnAAAAABl4BAAABMAGh/v//Tf///wnDAAAABmEBAAACMTEBnv7//03///8JxgAAAAZkAQAAB1JlZ3VsYXIHjwAAAAABAAAABAAAAAQ3R2xvYmVTb2Z0d2FyZS5BdGxhczQwLkF0bGFzQ29tbW9uLlR5cGUuRmllbGRPdXRwdXRGaWVsZA4AAAAJZQEAAA0DB5E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a/v//Yv///wGZ/v//Yf///wkAAAAJJAAAAAGX/v//Yv///wGW/v//Yf///wsAAAAGawEAAAE1AZT+//9i////AZP+//9h////BAAAAAZuAQAAB0dlbmVyYWwBkf7//2L///8BkP7//2H///8CAAAABnEBAAABMQGO/v//Yv///wGN/v//Yf///wAAAAAGdAEAAAUzMi4xNAeT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v+//9N////CbQAAAAJtQAAAAGI/v//Tf///wm3AAAACbUAAAABhf7//03///8JugAAAAZ9AQAABS00MTQyAYL+//9N////Cb0AAAAGgAEAAAdDYWxpYnJpAX/+//9N////CcAAAAAGgwEAAAEwAXz+//9N////CcMAAAAGhgEAAAIxMQF5/v//Tf///wnGAAAABokBAAAHUmVndWxhcgWd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F2/v//2v////////8ABosBAAAGU3RyaW5nBowBAAAQQ3VzdG9tZXIgYWNjb3VudAmNAQAAAXL+///Y////AgAAAAVx/v//OUdsb2JlU29mdHdhcmUuQXRsYXM0MC5BdGxhc0NvbW1vbi5OdW1iZXJTZXF1ZW5jZUNvbmRpdGlvbgEAAAAHdmFsdWVfXwAIDgAAAAEAAAAAAAaQAQAAFVRhYmxlLkN1c3RJbnZvaWNlSm91cgkhAAAACSQAAAAK/////wmQAQAACgkhAAAACgoKCSQAAAAJlgEAAAkkAAAAAcgAAACdAAAAAWj+///a/////////wAGmQEAAAZTdHJpbmcGmgEAAAROYW1lCZsBAAABZP7//9j///8CAAAAAWP+//9x/v//AQAAAAAABp4BAAAyVGFibGUuQ3VzdEludm9pY2VKb3VyLk9yZGVyQWNjb3VudH5UYWJsZS5DdXN0VGFibGUJLwAAAAkkAAAACv////8JngEAAAoJLwAAAAajAQAADE9yZGVyQWNjb3VudAakAQAAD0N1c3RJbnZvaWNlSm91cgoJJAAAAAmmAQAACSQAAAAB7QAAAJ0AAAABWP7//9r/////////AAapAQAABlN0cmluZwaqAQAAC1NhbGVzIG9yZGVyCY0BAAABVP7//9j///8CAAAAAVP+//9x/v//AQAAAAAACZABAAAJPQAAAAkkAAAACv////8JkAEAAAoJPQAAAAoKCgkkAAAACbQBAAAJJAAAAAEVAQAAnQAAAAFK/v//2v////////8ABrcBAAAERGF0ZQa4AQAABERhdGUJjQEAAAFG/v//2P///wIAAAABRf7//3H+//8BAAAAAAAJkAEAAAlLAAAACSQAAAAK/////wmQAQAACglLAAAACgoKCSQAAAAJwgEAAAkkAAAAAT0BAACdAAAAATz+///a/////////wAGxQEAAAZTdHJpbmcGxgEAAAdJbnZvaWNlCY0BAAABOP7//9j///8CAAAAATf+//9x/v//AQAAAAAACZABAAAJWQAAAAkkAAAACv////8JkAEAAAoJWQAAAAoKCgkkAAAACdABAAAJJAAAAAFlAQAAnQAAAAEu/v//2v////////8ABtMBAAAEUmVhbAbUAQAAIVNhbGVzIGJhbGFuY2UgaW4gZGVmYXVsdCBjdXJyZW5jeQmNAQAAASr+///Y////AgAAAAEp/v//cf7//wEAAAAAAAmQAQAACWcAAAAJJAAAAAr/////CZABAAAKCWcAAAAKCgoJJAAAAAneAQAACSQAAAAFjQE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PgAAAAbgAQAAD0N1c3RJbnZvaWNlSm91cgbhAQAAGEN1c3RvbWVyIGludm9pY2Ugam91cm5hbAkkAAAACSQAAAAJJAAAAAUd/v//MEdsb2JlU29mdHdhcmUuQXRsYXM0MC5BdGxhc0NvbW1vbi5EYXRhU291cmNlVHlwZQEAAAAHdmFsdWVfXwAIDgAAAAAAAAAJ5AEAAAnlAQAABBr+//8LU3lzdGVtLkd1aWQLAAAAAl9hAl9iAl9jAl9kAl9lAl9mAl9nAl9oAl9pAl9qAl9rAAAAAAAAAAAAAAAIBwcCAgICAgICAsvkYNrJq6JOqZVPiuHstoUJJAAAAAkkAAAACegBAAAJkAEAAAoKCgoKAQAAAAUW/v//NEdsb2JlU29mdHdhcmUuQXRsYXM0MC5BdGxhc0NvbW1vbi5EYXRhU291cmNlSm9pbk1vZGUBAAAAB3ZhbHVlX18ACA4AAAAAAAAABRX+//81R2xvYmVTb2Z0d2FyZS5BdGxhczQwLkF0bGFzQ29tbW9uLkRhdGFTb3VyY2VGZXRjaE1vZGUBAAAAB3ZhbHVlX18ACA4AAAAAAAAAAAnsAQAAAZYBAAAgAAAAGwAAAAl5AAAAAwAAAAnuAQAAAZsBAACNAQAA/////wbvAQAACUN1c3RUYWJsZQbwAQAACUN1c3RvbWVycwkkAAAACSQAAAAJJAAAAAEO/v//Hf7//wAAAAAJ8wEAAAn0AQAAAQv+//8a/v//Yy1CVlHTn0+LKdDYvy8Z7wkkAAAACSQAAAAJ9wEAAAmeAQAABvkBAAAPQ3VzdEludm9pY2VKb3VyBvoBAAAVVGFibGUuQ3VzdEludm9pY2VKb3VyBvsBAAAiVGFibGUuQ3VzdEludm9pY2VKb3VyLk9yZGVyQWNjb3VudAb8AQAADE9yZGVyQWNjb3VudAb9AQAACkFjY291bnROdW0BAAAAAQL+//8W/v//AAAAAAEB/v//Ff7//wAAAAAACQACAAABpgEAACAAAAAMAAAACX4AAAADAAAACQICAAABtAEAACAAAAAbAAAACXkAAAADAAAACQQCAAABwgEAACAAAAAbAAAACXkAAAADAAAACQYCAAAB0AEAACAAAAAbAAAACXkAAAADAAAACQgCAAAB3gEAACAAAAAYAAAACXkAAAADAAAACQoCAAAE5AE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0AAAAJCwIAABEAAAAJDAIAAATlA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JAAAACQsCAAARAAAACQ4CAAAE6AE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QsCAAAAAAAABOwB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RACAAAAAAAAB+4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7/3//03///8GEgIAAAhIZWxwVGV4dAYTAgAAKkN1c3RvbWVyIGFjY291bnQgdGhhdCBnZW5lcmF0ZWQgdGhlIG9yZGVyLgHs/f//Tf///wYVAgAABUxhYmVsCYwBAAAB6f3//03///8GGAIAAARUeXBlCYsBAAAB8wEAAOQBAAABAAAACX4AAAADAAAACRsCAAAE9AE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+AAAAAAAAAAH3AQAA6AEAAAAAAAAJfgAAAAAAAAABAAIAAOwBAAAAAAAACR0CAAAAAAAABwI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4v3//03///8GHwIAAAVMYWJlbAmaAQAAAd/9//9N////BiICAAAEVHlwZQmZAQAABwQ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P3//03///8JEgIAAAYmAgAAHE9yZGVyIG51bWJlci9wcm9qZWN0IG51bWJlci4B2f3//03///8JFQIAAAmqAQAAAdb9//9N////CRgCAAAJqQEAAAcG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P9//9N////CRICAAAGLwIAABBEYXRlIG9mIGludm9pY2UuAdD9//9N////CRUCAAAJuAEAAAHN/f//Tf///wkYAgAACbcBAAAHC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K/f//Tf///wkSAgAABjgCAAAOSW52b2ljZSBudW1iZXIBx/3//03///8JFQIAAAnGAQAAAcT9//9N////CRgCAAAJxQEAAAcK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H9//9N////CRUCAAAJ1AEAAAG+/f//Tf///wkYAgAACdMBAAABCwIAAAwAAAAHDAIAAAABAAAAB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u/3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RgIAACJUYWJsZS5DdXN0SW52b2ljZUpvdXIuT3JkZXJBY2NvdW50CZ0AAAABuP3//7v9//8GSQIAAB1UYWJsZS5DdXN0SW52b2ljZUpvdXIuU2FsZXNJZAntAAAAAbX9//+7/f//BkwCAAAhVGFibGUuQ3VzdEludm9pY2VKb3VyLkludm9pY2VEYXRlCRUBAAABsv3//7v9//8GTwIAAB9UYWJsZS5DdXN0SW52b2ljZUpvdXIuSW52b2ljZUlkCT0BAAABr/3//7v9//8GUgIAACVUYWJsZS5DdXN0SW52b2ljZUpvdXIuU2FsZXNCYWxhbmNlTVNUCWUBAAAHDgIAAAABAAAAC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Kz9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4AAAAGVQIAACBUYWJsZS5DdXN0SW52b2ljZUpvdXIuRGF0YUFyZWFJZAlWAgAAAan9//+s/f//BlgCAAAiVGFibGUuQ3VzdEludm9pY2VKb3VyLkN1cnJlbmN5Q29kZQlZAgAAAab9//+s/f//BlsCAAAiVGFibGUuQ3VzdEludm9pY2VKb3VyLk9yZGVyQWNjb3VudAlcAgAAAaP9//+s/f//Bl4CAAAhVGFibGUuQ3VzdEludm9pY2VKb3VyLkludm9pY2VEYXRlCV8CAAABoP3//6z9//8GYQIAAB9UYWJsZS5DdXN0SW52b2ljZUpvdXIuQ3VzdEdyb3VwCWICAAABnf3//6z9//8GZAIAAB9UYWJsZS5DdXN0SW52b2ljZUpvdXIuSW52b2ljZUlkCWUCAAABmv3//6z9//8GZwIAACRUYWJsZS5DdXN0SW52b2ljZUpvdXIuSW52b2ljZUFjY291bnQJaAIAAAGX/f//rP3//wZqAgAAHVRhYmxlLkN1c3RJbnZvaWNlSm91ci5TYWxlc0lkCWsCAAABlP3//6z9//8GbQIAACNUYWJsZS5DdXN0SW52b2ljZUpvdXIuTGVkZ2VyVm91Y2hlcgluAgAABBAC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cbAg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R/f//u/3//wZwAgAAN1RhYmxlLkN1c3RJbnZvaWNlSm91ci5PcmRlckFjY291bnR+VGFibGUuQ3VzdFRhYmxlLk5hbWUJyAAAAAEdAgAAEAIAAAVWAg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JkAEAAAZzAgAACkRhdGFBcmVhSWQJJAAAAAkkAAAA/////wmQAQAACglzAgAACgoKCSQAAAAJeAIAAAkkAAAAAVkCAABWAgAACZABAAAGewIAAAxDdXJyZW5jeUNvZGUJJAAAAAkkAAAA/////wmQAQAACgl7AgAACgoKCSQAAAAJgAIAAAkkAAAAAVwCAABWAgAACZABAAAGgwIAAAxPcmRlckFjY291bnQJJAAAAAkkAAAA/////wmQAQAACgmDAgAACgoKCSQAAAAJiAIAAAkkAAAAAV8CAABWAgAACZABAAAGiwIAAAtJbnZvaWNlRGF0ZQkkAAAACSQAAAD/////CZABAAAKCYsCAAAKCgoJJAAAAAmQAgAACSQAAAABYgIAAFYCAAAJkAEAAAmbAAAACSQAAAAJJAAAAP////8JkAEAAAoJmwAAAAoKCgkkAAAACZgCAAAJJAAAAAFlAgAAVgIAAAmQAQAABpsCAAAJSW52b2ljZUlkCSQAAAAJJAAAAP////8JkAEAAAoJmwIAAAoKCgkkAAAACaACAAAJJAAAAAFoAgAAVgIAAAmQAQAABqMCAAAOSW52b2ljZUFjY291bnQJJAAAAAkkAAAA/////wmQAQAACgmjAgAACgoKCSQAAAAJqAIAAAkkAAAAAWsCAABWAgAACZABAAAGqwIAAAdTYWxlc0lkCSQAAAAJJAAAAP////8JkAEAAAoJqwIAAAoKCgkkAAAACbACAAAJJAAAAAFuAgAAVgIAAAmQAQAABrMCAAANTGVkZ2VyVm91Y2hlcgkkAAAACSQAAAD/////CZABAAAKCbMCAAAKCgoJJAAAAAm4AgAACSQAAAAEe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Eg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Ei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Ek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Em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Eo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Eq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Es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Eu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L</Report>
</Atlas>
</file>

<file path=customXml/itemProps1.xml><?xml version="1.0" encoding="utf-8"?>
<ds:datastoreItem xmlns:ds="http://schemas.openxmlformats.org/officeDocument/2006/customXml" ds:itemID="{2B58AEBB-BFA6-4BEC-A906-A5B2210592F2}">
  <ds:schemaRefs/>
</ds:datastoreItem>
</file>

<file path=customXml/itemProps2.xml><?xml version="1.0" encoding="utf-8"?>
<ds:datastoreItem xmlns:ds="http://schemas.openxmlformats.org/officeDocument/2006/customXml" ds:itemID="{4D03858F-1EF9-4A3E-9110-0AD63895E621}">
  <ds:schemaRefs/>
</ds:datastoreItem>
</file>

<file path=customXml/itemProps3.xml><?xml version="1.0" encoding="utf-8"?>
<ds:datastoreItem xmlns:ds="http://schemas.openxmlformats.org/officeDocument/2006/customXml" ds:itemID="{B4B478BB-BFF5-4E41-AFF1-8879D13EF376}">
  <ds:schemaRefs/>
</ds:datastoreItem>
</file>

<file path=customXml/itemProps4.xml><?xml version="1.0" encoding="utf-8"?>
<ds:datastoreItem xmlns:ds="http://schemas.openxmlformats.org/officeDocument/2006/customXml" ds:itemID="{7731940F-A6C0-4B69-8543-E9877597CAE9}">
  <ds:schemaRefs/>
</ds:datastoreItem>
</file>

<file path=customXml/itemProps5.xml><?xml version="1.0" encoding="utf-8"?>
<ds:datastoreItem xmlns:ds="http://schemas.openxmlformats.org/officeDocument/2006/customXml" ds:itemID="{7E8CF69F-9C12-4C0A-9926-31D1E382B752}">
  <ds:schemaRefs/>
</ds:datastoreItem>
</file>

<file path=customXml/itemProps6.xml><?xml version="1.0" encoding="utf-8"?>
<ds:datastoreItem xmlns:ds="http://schemas.openxmlformats.org/officeDocument/2006/customXml" ds:itemID="{11B1287F-9D7E-4BB1-A20F-218EF228746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9</vt:i4>
      </vt:variant>
    </vt:vector>
  </HeadingPairs>
  <TitlesOfParts>
    <vt:vector size="17" baseType="lpstr">
      <vt:lpstr>General</vt:lpstr>
      <vt:lpstr>Report</vt:lpstr>
      <vt:lpstr>Charts</vt:lpstr>
      <vt:lpstr>SalesBudget</vt:lpstr>
      <vt:lpstr>CustInvoiceJour</vt:lpstr>
      <vt:lpstr>CustPackingSlipTrans</vt:lpstr>
      <vt:lpstr>InventTrans</vt:lpstr>
      <vt:lpstr>Notes</vt:lpstr>
      <vt:lpstr>CustInvoiceJour!AtlasReport_1</vt:lpstr>
      <vt:lpstr>InventTrans!AtlasReport_2</vt:lpstr>
      <vt:lpstr>CustPackingSlipTrans!AtlasReport_3</vt:lpstr>
      <vt:lpstr>CustGroup</vt:lpstr>
      <vt:lpstr>DataAreaId</vt:lpstr>
      <vt:lpstr>DatePeriod</vt:lpstr>
      <vt:lpstr>EndDate</vt:lpstr>
      <vt:lpstr>StartDate</vt:lpstr>
      <vt:lpstr>TopN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2020-11-10T11:01:29Z</dcterms:created>
  <dcterms:modified xsi:type="dcterms:W3CDTF">2020-11-20T03:36:52Z</dcterms:modified>
</cp:coreProperties>
</file>